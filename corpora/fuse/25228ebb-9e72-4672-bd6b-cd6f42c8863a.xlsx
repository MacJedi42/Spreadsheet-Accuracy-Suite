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65" yWindow="0" windowWidth="10965" windowHeight="7305" tabRatio="500"/>
  </bookViews>
  <sheets>
    <sheet name="final" sheetId="2" r:id="rId1"/>
    <sheet name="raw data" sheetId="1" r:id="rId2"/>
    <sheet name="Sheet1" sheetId="3" r:id="rId3"/>
    <sheet name="Sheet2" sheetId="4" r:id="rId4"/>
  </sheets>
  <definedNames>
    <definedName name="_xlnm._FilterDatabase" localSheetId="0" hidden="1">final!$A$1:$Q$1281</definedName>
    <definedName name="_xlnm.Print_Area" localSheetId="0">final!$A$1:$Z$1227</definedName>
    <definedName name="_xlnm.Print_Area" localSheetId="1">'raw data'!$A$1:$N$1273</definedName>
    <definedName name="_xlnm.Print_Titles" localSheetId="0">final!$1:$1</definedName>
  </definedNames>
  <calcPr calcId="124519"/>
</workbook>
</file>

<file path=xl/calcChain.xml><?xml version="1.0" encoding="utf-8"?>
<calcChain xmlns="http://schemas.openxmlformats.org/spreadsheetml/2006/main">
  <c r="N892" i="2"/>
  <c r="N866"/>
  <c r="N843"/>
  <c r="N173"/>
  <c r="N955"/>
  <c r="N243"/>
  <c r="N172"/>
  <c r="N1111"/>
  <c r="N441"/>
  <c r="N528"/>
  <c r="N920"/>
  <c r="N1272"/>
  <c r="N1261"/>
  <c r="N615"/>
  <c r="N363"/>
  <c r="N1262"/>
  <c r="N1004"/>
  <c r="N846"/>
  <c r="N984"/>
  <c r="N1236"/>
  <c r="N512"/>
  <c r="N211"/>
  <c r="N842"/>
  <c r="N525"/>
  <c r="N231"/>
  <c r="N230"/>
  <c r="N364"/>
  <c r="N116"/>
  <c r="N1285"/>
  <c r="N136"/>
  <c r="N86"/>
  <c r="N1263"/>
  <c r="N1110"/>
  <c r="N1068"/>
  <c r="N646"/>
  <c r="N494"/>
  <c r="N865"/>
  <c r="N232"/>
  <c r="N407"/>
  <c r="N493"/>
  <c r="N527"/>
  <c r="N555"/>
  <c r="N823"/>
  <c r="N2"/>
  <c r="N652"/>
  <c r="N181"/>
  <c r="N73"/>
  <c r="N679"/>
  <c r="N1234"/>
  <c r="N142"/>
  <c r="N912"/>
  <c r="N1009"/>
  <c r="N180"/>
  <c r="N131"/>
  <c r="N135"/>
  <c r="N649"/>
  <c r="N526"/>
  <c r="N793"/>
  <c r="N474"/>
  <c r="N840"/>
  <c r="N1109"/>
  <c r="N636"/>
  <c r="N1284"/>
  <c r="N182"/>
  <c r="N989"/>
  <c r="N878"/>
  <c r="N72"/>
  <c r="N264"/>
  <c r="N511"/>
  <c r="N1283"/>
  <c r="N1139"/>
  <c r="N554"/>
  <c r="N242"/>
  <c r="N355"/>
  <c r="N418"/>
  <c r="N366"/>
  <c r="N310"/>
  <c r="N492"/>
  <c r="N473"/>
  <c r="N1271"/>
  <c r="N293"/>
  <c r="N292"/>
  <c r="N1108"/>
  <c r="N839"/>
  <c r="N1106"/>
  <c r="N1105"/>
  <c r="N241"/>
  <c r="N1137"/>
  <c r="N1136"/>
  <c r="N837"/>
  <c r="N362"/>
  <c r="N309"/>
  <c r="N462"/>
  <c r="N130"/>
  <c r="N864"/>
  <c r="N553"/>
  <c r="N1270"/>
  <c r="N1008"/>
  <c r="N402"/>
  <c r="N1025"/>
  <c r="N439"/>
  <c r="N678"/>
  <c r="N1085"/>
  <c r="N1269"/>
  <c r="N816"/>
  <c r="N510"/>
  <c r="N308"/>
  <c r="N307"/>
  <c r="N613"/>
  <c r="N1209"/>
  <c r="N306"/>
  <c r="N491"/>
  <c r="N551"/>
  <c r="N360"/>
  <c r="N83"/>
  <c r="N596"/>
  <c r="N765"/>
  <c r="N988"/>
  <c r="N612"/>
  <c r="N609"/>
  <c r="N608"/>
  <c r="N297"/>
  <c r="N1134"/>
  <c r="N1132"/>
  <c r="N524"/>
  <c r="N489"/>
  <c r="N229"/>
  <c r="N1282"/>
  <c r="N863"/>
  <c r="N228"/>
  <c r="N384"/>
  <c r="N775"/>
  <c r="N836"/>
  <c r="N226"/>
  <c r="N472"/>
  <c r="N240"/>
  <c r="N1195"/>
  <c r="N1067"/>
  <c r="N312"/>
  <c r="N677"/>
  <c r="N675"/>
  <c r="N550"/>
  <c r="N593"/>
  <c r="N535"/>
  <c r="N461"/>
  <c r="N82"/>
  <c r="N1233"/>
  <c r="N129"/>
  <c r="N523"/>
  <c r="N401"/>
  <c r="N861"/>
  <c r="N972"/>
  <c r="N521"/>
  <c r="N1268"/>
  <c r="N1131"/>
  <c r="N1287"/>
  <c r="N210"/>
  <c r="N792"/>
  <c r="N1084"/>
  <c r="N592"/>
  <c r="N924"/>
  <c r="N1066"/>
  <c r="N607"/>
  <c r="N549"/>
  <c r="N738"/>
  <c r="N359"/>
  <c r="N1104"/>
  <c r="N109"/>
  <c r="N1183"/>
  <c r="N1022"/>
  <c r="N911"/>
  <c r="N158"/>
  <c r="N815"/>
  <c r="N239"/>
  <c r="N971"/>
  <c r="N891"/>
  <c r="N305"/>
  <c r="N803"/>
  <c r="N877"/>
  <c r="N358"/>
  <c r="N692"/>
  <c r="N1065"/>
  <c r="N304"/>
  <c r="N1281"/>
  <c r="N835"/>
  <c r="N834"/>
  <c r="N509"/>
  <c r="N953"/>
  <c r="N291"/>
  <c r="N1125"/>
  <c r="N802"/>
  <c r="N438"/>
  <c r="N1232"/>
  <c r="N1123"/>
  <c r="N400"/>
  <c r="N399"/>
  <c r="N1286"/>
  <c r="N519"/>
  <c r="N225"/>
  <c r="N812"/>
  <c r="N224"/>
  <c r="N488"/>
  <c r="N460"/>
  <c r="N1267"/>
  <c r="N859"/>
  <c r="N548"/>
  <c r="N417"/>
  <c r="N762"/>
  <c r="N157"/>
  <c r="N1280"/>
  <c r="N726"/>
  <c r="N674"/>
  <c r="N128"/>
  <c r="N691"/>
  <c r="N1021"/>
  <c r="N35"/>
  <c r="N115"/>
  <c r="N811"/>
  <c r="N1081"/>
  <c r="N290"/>
  <c r="N127"/>
  <c r="N759"/>
  <c r="N437"/>
  <c r="N962"/>
  <c r="N1170"/>
  <c r="N547"/>
  <c r="N222"/>
  <c r="N1103"/>
  <c r="N263"/>
  <c r="N987"/>
  <c r="N93"/>
  <c r="N141"/>
  <c r="N378"/>
  <c r="N1192"/>
  <c r="N910"/>
  <c r="N673"/>
  <c r="N909"/>
  <c r="N18"/>
  <c r="N606"/>
  <c r="N833"/>
  <c r="N672"/>
  <c r="N725"/>
  <c r="N713"/>
  <c r="N736"/>
  <c r="N1191"/>
  <c r="N724"/>
  <c r="N1020"/>
  <c r="N758"/>
  <c r="N634"/>
  <c r="N986"/>
  <c r="N505"/>
  <c r="N712"/>
  <c r="N503"/>
  <c r="N416"/>
  <c r="N546"/>
  <c r="N238"/>
  <c r="N1266"/>
  <c r="N433"/>
  <c r="N832"/>
  <c r="N376"/>
  <c r="N375"/>
  <c r="N398"/>
  <c r="N354"/>
  <c r="N1169"/>
  <c r="N92"/>
  <c r="N373"/>
  <c r="N689"/>
  <c r="N1279"/>
  <c r="N372"/>
  <c r="N545"/>
  <c r="N1051"/>
  <c r="N397"/>
  <c r="N471"/>
  <c r="N415"/>
  <c r="N671"/>
  <c r="N755"/>
  <c r="N754"/>
  <c r="N1278"/>
  <c r="N371"/>
  <c r="N580"/>
  <c r="N564"/>
  <c r="N1120"/>
  <c r="N831"/>
  <c r="N53"/>
  <c r="N791"/>
  <c r="N735"/>
  <c r="N688"/>
  <c r="N544"/>
  <c r="N669"/>
  <c r="N125"/>
  <c r="N543"/>
  <c r="N1156"/>
  <c r="N1185"/>
  <c r="N1149"/>
  <c r="N451"/>
  <c r="N208"/>
  <c r="N432"/>
  <c r="N668"/>
  <c r="N753"/>
  <c r="N370"/>
  <c r="N395"/>
  <c r="N431"/>
  <c r="N470"/>
  <c r="N289"/>
  <c r="N774"/>
  <c r="N664"/>
  <c r="N237"/>
  <c r="N352"/>
  <c r="N1256"/>
  <c r="N517"/>
  <c r="N1050"/>
  <c r="N296"/>
  <c r="N394"/>
  <c r="N830"/>
  <c r="N1155"/>
  <c r="N1182"/>
  <c r="N591"/>
  <c r="N140"/>
  <c r="N542"/>
  <c r="N752"/>
  <c r="N303"/>
  <c r="N590"/>
  <c r="N288"/>
  <c r="N1255"/>
  <c r="N197"/>
  <c r="N723"/>
  <c r="N487"/>
  <c r="N1189"/>
  <c r="N1181"/>
  <c r="N218"/>
  <c r="N1168"/>
  <c r="N469"/>
  <c r="N262"/>
  <c r="N1098"/>
  <c r="N458"/>
  <c r="N178"/>
  <c r="N1080"/>
  <c r="N605"/>
  <c r="N341"/>
  <c r="N1019"/>
  <c r="N485"/>
  <c r="N541"/>
  <c r="N287"/>
  <c r="N393"/>
  <c r="N1188"/>
  <c r="N667"/>
  <c r="N790"/>
  <c r="N633"/>
  <c r="N1097"/>
  <c r="N1180"/>
  <c r="N1179"/>
  <c r="N1178"/>
  <c r="N1177"/>
  <c r="N908"/>
  <c r="N1176"/>
  <c r="N70"/>
  <c r="N632"/>
  <c r="N285"/>
  <c r="N1064"/>
  <c r="N631"/>
  <c r="N283"/>
  <c r="N483"/>
  <c r="N623"/>
  <c r="N648"/>
  <c r="N482"/>
  <c r="N282"/>
  <c r="N579"/>
  <c r="N539"/>
  <c r="N1118"/>
  <c r="N1117"/>
  <c r="N156"/>
  <c r="N369"/>
  <c r="N1231"/>
  <c r="N1167"/>
  <c r="N171"/>
  <c r="N414"/>
  <c r="N450"/>
  <c r="N457"/>
  <c r="N663"/>
  <c r="N810"/>
  <c r="N534"/>
  <c r="N1147"/>
  <c r="N1146"/>
  <c r="N1145"/>
  <c r="N1144"/>
  <c r="N1143"/>
  <c r="N1142"/>
  <c r="N295"/>
  <c r="N1208"/>
  <c r="N357"/>
  <c r="N1141"/>
  <c r="N302"/>
  <c r="N789"/>
  <c r="N905"/>
  <c r="N711"/>
  <c r="N155"/>
  <c r="N392"/>
  <c r="N788"/>
  <c r="N647"/>
  <c r="N756"/>
  <c r="N734"/>
  <c r="N722"/>
  <c r="N1005"/>
  <c r="N1245"/>
  <c r="N1079"/>
  <c r="N1049"/>
  <c r="N709"/>
  <c r="N261"/>
  <c r="N481"/>
  <c r="N449"/>
  <c r="N622"/>
  <c r="N787"/>
  <c r="N1230"/>
  <c r="N17"/>
  <c r="N666"/>
  <c r="N1277"/>
  <c r="N645"/>
  <c r="N448"/>
  <c r="N643"/>
  <c r="N578"/>
  <c r="N455"/>
  <c r="N970"/>
  <c r="N207"/>
  <c r="N1175"/>
  <c r="N139"/>
  <c r="N786"/>
  <c r="N708"/>
  <c r="N1116"/>
  <c r="N890"/>
  <c r="N391"/>
  <c r="N1078"/>
  <c r="N809"/>
  <c r="N665"/>
  <c r="N206"/>
  <c r="N889"/>
  <c r="N1276"/>
  <c r="N627"/>
  <c r="N721"/>
  <c r="N1166"/>
  <c r="N1229"/>
  <c r="N1220"/>
  <c r="N1045"/>
  <c r="N1219"/>
  <c r="N751"/>
  <c r="N1173"/>
  <c r="N784"/>
  <c r="N1018"/>
  <c r="N170"/>
  <c r="N876"/>
  <c r="N260"/>
  <c r="N1260"/>
  <c r="N1041"/>
  <c r="N468"/>
  <c r="N858"/>
  <c r="N236"/>
  <c r="N1172"/>
  <c r="N281"/>
  <c r="N1171"/>
  <c r="N888"/>
  <c r="N801"/>
  <c r="N783"/>
  <c r="N772"/>
  <c r="N771"/>
  <c r="N80"/>
  <c r="N589"/>
  <c r="N642"/>
  <c r="N750"/>
  <c r="N1154"/>
  <c r="N800"/>
  <c r="N770"/>
  <c r="N52"/>
  <c r="N747"/>
  <c r="N1040"/>
  <c r="N91"/>
  <c r="N1275"/>
  <c r="N620"/>
  <c r="N1218"/>
  <c r="N1077"/>
  <c r="N61"/>
  <c r="N430"/>
  <c r="N933"/>
  <c r="N576"/>
  <c r="N258"/>
  <c r="N821"/>
  <c r="N336"/>
  <c r="N887"/>
  <c r="N619"/>
  <c r="N985"/>
  <c r="N604"/>
  <c r="N257"/>
  <c r="N1217"/>
  <c r="N8"/>
  <c r="N480"/>
  <c r="N1115"/>
  <c r="N479"/>
  <c r="N744"/>
  <c r="N658"/>
  <c r="N799"/>
  <c r="N769"/>
  <c r="N1214"/>
  <c r="N900"/>
  <c r="N1076"/>
  <c r="N743"/>
  <c r="N603"/>
  <c r="N588"/>
  <c r="N279"/>
  <c r="N798"/>
  <c r="N707"/>
  <c r="N720"/>
  <c r="N919"/>
  <c r="N168"/>
  <c r="N641"/>
  <c r="N575"/>
  <c r="N1165"/>
  <c r="N563"/>
  <c r="N301"/>
  <c r="N538"/>
  <c r="N1163"/>
  <c r="N501"/>
  <c r="N618"/>
  <c r="N718"/>
  <c r="N1207"/>
  <c r="N467"/>
  <c r="N466"/>
  <c r="N741"/>
  <c r="N587"/>
  <c r="N626"/>
  <c r="N562"/>
  <c r="N918"/>
  <c r="N235"/>
  <c r="N1102"/>
  <c r="N585"/>
  <c r="N996"/>
  <c r="N1205"/>
  <c r="N154"/>
  <c r="N1213"/>
  <c r="N706"/>
  <c r="N1274"/>
  <c r="N1114"/>
  <c r="N537"/>
  <c r="N536"/>
  <c r="N205"/>
  <c r="N602"/>
  <c r="N1254"/>
  <c r="N1253"/>
  <c r="N782"/>
  <c r="N1096"/>
  <c r="N1252"/>
  <c r="N1251"/>
  <c r="N943"/>
  <c r="N1211"/>
  <c r="N923"/>
  <c r="N922"/>
  <c r="N797"/>
  <c r="N796"/>
  <c r="N829"/>
  <c r="N705"/>
  <c r="N778"/>
  <c r="N1075"/>
  <c r="N1162"/>
  <c r="N687"/>
  <c r="N365"/>
  <c r="N886"/>
  <c r="N256"/>
  <c r="N1204"/>
  <c r="N7"/>
  <c r="N1273"/>
  <c r="N1113"/>
  <c r="N278"/>
  <c r="N874"/>
  <c r="N1017"/>
  <c r="N478"/>
  <c r="N300"/>
  <c r="N277"/>
  <c r="N1265"/>
  <c r="N153"/>
  <c r="N60"/>
  <c r="N825"/>
  <c r="N883"/>
  <c r="N276"/>
  <c r="N1244"/>
  <c r="N882"/>
  <c r="N969"/>
  <c r="N390"/>
  <c r="N1153"/>
  <c r="N100"/>
  <c r="N447"/>
  <c r="N1243"/>
  <c r="N1259"/>
  <c r="N733"/>
  <c r="N500"/>
  <c r="N216"/>
  <c r="N717"/>
  <c r="N686"/>
  <c r="N275"/>
  <c r="N1242"/>
  <c r="N465"/>
  <c r="N1016"/>
  <c r="N99"/>
  <c r="N640"/>
  <c r="N917"/>
  <c r="N298"/>
  <c r="N51"/>
  <c r="N601"/>
  <c r="N776"/>
  <c r="N6"/>
  <c r="N995"/>
  <c r="N1038"/>
  <c r="N1250"/>
  <c r="N1241"/>
  <c r="N1203"/>
  <c r="N685"/>
  <c r="N731"/>
  <c r="N625"/>
  <c r="N464"/>
  <c r="N794"/>
  <c r="N583"/>
  <c r="N574"/>
  <c r="N1161"/>
  <c r="N446"/>
  <c r="N152"/>
  <c r="N515"/>
  <c r="N429"/>
  <c r="N1063"/>
  <c r="N151"/>
  <c r="N79"/>
  <c r="N1095"/>
  <c r="N311"/>
  <c r="N881"/>
  <c r="N824"/>
  <c r="N167"/>
  <c r="N1101"/>
  <c r="N639"/>
  <c r="N1015"/>
  <c r="N204"/>
  <c r="N1240"/>
  <c r="N166"/>
  <c r="N1249"/>
  <c r="N149"/>
  <c r="N960"/>
  <c r="N1248"/>
  <c r="N1074"/>
  <c r="N69"/>
  <c r="N767"/>
  <c r="N1003"/>
  <c r="N1201"/>
  <c r="N1239"/>
  <c r="N1094"/>
  <c r="N88"/>
  <c r="N1238"/>
  <c r="N1198"/>
  <c r="N1090"/>
  <c r="N716"/>
  <c r="N904"/>
  <c r="N255"/>
  <c r="N413"/>
  <c r="N148"/>
  <c r="N808"/>
  <c r="N1152"/>
  <c r="N477"/>
  <c r="N873"/>
  <c r="N740"/>
  <c r="N1197"/>
  <c r="N213"/>
  <c r="N254"/>
  <c r="N1062"/>
  <c r="N274"/>
  <c r="N78"/>
  <c r="N704"/>
  <c r="N561"/>
  <c r="N389"/>
  <c r="N335"/>
  <c r="N1112"/>
  <c r="N582"/>
  <c r="N1258"/>
  <c r="N147"/>
  <c r="N703"/>
  <c r="N1061"/>
  <c r="N1140"/>
  <c r="N50"/>
  <c r="N146"/>
  <c r="N428"/>
  <c r="N138"/>
  <c r="N820"/>
  <c r="N273"/>
  <c r="N1160"/>
  <c r="N271"/>
  <c r="N533"/>
  <c r="N1060"/>
  <c r="N253"/>
  <c r="N573"/>
  <c r="N1237"/>
  <c r="N600"/>
  <c r="N857"/>
  <c r="N388"/>
  <c r="N581"/>
  <c r="N572"/>
  <c r="N1159"/>
  <c r="N1158"/>
  <c r="N476"/>
  <c r="N387"/>
  <c r="N270"/>
  <c r="N252"/>
  <c r="N1036"/>
  <c r="N638"/>
  <c r="N443"/>
  <c r="N599"/>
  <c r="N87"/>
  <c r="N532"/>
  <c r="N880"/>
  <c r="N268"/>
  <c r="N499"/>
  <c r="N498"/>
  <c r="N806"/>
  <c r="N267"/>
  <c r="N872"/>
  <c r="N656"/>
  <c r="N265"/>
  <c r="N1035"/>
  <c r="N250"/>
  <c r="N819"/>
  <c r="N530"/>
  <c r="N145"/>
  <c r="N1100"/>
  <c r="N560"/>
  <c r="N1073"/>
  <c r="N899"/>
  <c r="N569"/>
  <c r="N144"/>
  <c r="N871"/>
  <c r="N655"/>
  <c r="N805"/>
  <c r="N856"/>
  <c r="N1033"/>
  <c r="N715"/>
  <c r="N1264"/>
  <c r="N249"/>
  <c r="N855"/>
  <c r="N1001"/>
  <c r="N427"/>
  <c r="N426"/>
  <c r="N368"/>
  <c r="N684"/>
  <c r="N203"/>
  <c r="N1032"/>
  <c r="N124"/>
  <c r="N248"/>
  <c r="N495"/>
  <c r="N334"/>
  <c r="N1151"/>
  <c r="N1071"/>
  <c r="N165"/>
  <c r="N164"/>
  <c r="N903"/>
  <c r="N617"/>
  <c r="N1089"/>
  <c r="N1070"/>
  <c r="N121"/>
  <c r="N942"/>
  <c r="N558"/>
  <c r="N729"/>
  <c r="N514"/>
  <c r="N1000"/>
  <c r="N869"/>
  <c r="N1247"/>
  <c r="N1196"/>
  <c r="N994"/>
  <c r="N654"/>
  <c r="N852"/>
  <c r="N851"/>
  <c r="N850"/>
  <c r="N983"/>
  <c r="N764"/>
  <c r="N161"/>
  <c r="N120"/>
  <c r="N424"/>
  <c r="N683"/>
  <c r="N422"/>
  <c r="N637"/>
  <c r="N1059"/>
  <c r="N1099"/>
  <c r="N653"/>
  <c r="N212"/>
  <c r="N421"/>
  <c r="N993"/>
  <c r="N1058"/>
  <c r="N177"/>
  <c r="N902"/>
  <c r="N932"/>
  <c r="N412"/>
  <c r="N333"/>
  <c r="N728"/>
  <c r="N114"/>
  <c r="N386"/>
  <c r="N568"/>
  <c r="N941"/>
  <c r="N332"/>
  <c r="N848"/>
  <c r="N999"/>
  <c r="N1057"/>
  <c r="N1087"/>
  <c r="N1031"/>
  <c r="N119"/>
  <c r="N247"/>
  <c r="N331"/>
  <c r="N329"/>
  <c r="N137"/>
  <c r="N1030"/>
  <c r="N1028"/>
  <c r="N98"/>
  <c r="N16"/>
  <c r="N980"/>
  <c r="N682"/>
  <c r="N681"/>
  <c r="N557"/>
  <c r="N411"/>
  <c r="N410"/>
  <c r="N1027"/>
  <c r="N700"/>
  <c r="N328"/>
  <c r="N327"/>
  <c r="N326"/>
  <c r="N321"/>
  <c r="N318"/>
  <c r="N847"/>
  <c r="N699"/>
  <c r="N1210"/>
  <c r="N624"/>
  <c r="N1257"/>
  <c r="N697"/>
  <c r="N76"/>
  <c r="N234"/>
  <c r="N556"/>
  <c r="N565"/>
  <c r="N868"/>
  <c r="N915"/>
  <c r="N662"/>
  <c r="N952"/>
  <c r="N714"/>
  <c r="N931"/>
  <c r="N1056"/>
  <c r="N763"/>
  <c r="N998"/>
  <c r="N143"/>
  <c r="N59"/>
  <c r="N529"/>
  <c r="N696"/>
  <c r="N442"/>
  <c r="N951"/>
  <c r="N695"/>
  <c r="N113"/>
  <c r="N949"/>
  <c r="N1026"/>
  <c r="N982"/>
  <c r="N160"/>
  <c r="N202"/>
  <c r="N940"/>
  <c r="N939"/>
  <c r="N111"/>
  <c r="N110"/>
  <c r="N979"/>
  <c r="N959"/>
  <c r="N1157"/>
  <c r="N317"/>
  <c r="N159"/>
  <c r="N316"/>
  <c r="N845"/>
  <c r="N58"/>
  <c r="N47"/>
  <c r="N246"/>
  <c r="N463"/>
  <c r="N57"/>
  <c r="N901"/>
  <c r="N420"/>
  <c r="N981"/>
  <c r="N804"/>
  <c r="N694"/>
  <c r="N419"/>
  <c r="N938"/>
  <c r="N898"/>
  <c r="N978"/>
  <c r="N651"/>
  <c r="N650"/>
  <c r="N958"/>
  <c r="N990"/>
  <c r="N616"/>
  <c r="N1014"/>
  <c r="N661"/>
  <c r="N95"/>
  <c r="N968"/>
  <c r="N194"/>
  <c r="N108"/>
  <c r="N190"/>
  <c r="N189"/>
  <c r="N1012"/>
  <c r="N409"/>
  <c r="N1069"/>
  <c r="N818"/>
  <c r="N660"/>
  <c r="N15"/>
  <c r="N977"/>
  <c r="N976"/>
  <c r="N313"/>
  <c r="N948"/>
  <c r="N201"/>
  <c r="N34"/>
  <c r="N879"/>
  <c r="N1246"/>
  <c r="N997"/>
  <c r="N14"/>
  <c r="N967"/>
  <c r="N966"/>
  <c r="N965"/>
  <c r="N964"/>
  <c r="N914"/>
  <c r="N937"/>
  <c r="N49"/>
  <c r="N233"/>
  <c r="N68"/>
  <c r="N913"/>
  <c r="N67"/>
  <c r="N1011"/>
  <c r="N727"/>
  <c r="N867"/>
  <c r="N930"/>
  <c r="N66"/>
  <c r="N65"/>
  <c r="N936"/>
  <c r="N5"/>
  <c r="N46"/>
  <c r="N45"/>
  <c r="N176"/>
  <c r="N187"/>
  <c r="N186"/>
  <c r="N13"/>
  <c r="N947"/>
  <c r="N929"/>
  <c r="N973"/>
  <c r="N957"/>
  <c r="N956"/>
  <c r="N946"/>
  <c r="N200"/>
  <c r="N693"/>
  <c r="N844"/>
  <c r="N56"/>
  <c r="N408"/>
  <c r="N659"/>
  <c r="N75"/>
  <c r="N921"/>
  <c r="N107"/>
  <c r="N105"/>
  <c r="N103"/>
  <c r="N895"/>
  <c r="N963"/>
  <c r="N12"/>
  <c r="N934"/>
  <c r="N74"/>
  <c r="N183"/>
  <c r="N175"/>
  <c r="N33"/>
  <c r="N928"/>
  <c r="N44"/>
  <c r="N4"/>
  <c r="N3"/>
  <c r="N926"/>
  <c r="N174"/>
  <c r="N102"/>
  <c r="N101"/>
  <c r="N1010"/>
  <c r="N94"/>
  <c r="N945"/>
  <c r="N32"/>
  <c r="N64"/>
  <c r="N63"/>
  <c r="N31"/>
  <c r="N30"/>
  <c r="N42"/>
  <c r="N41"/>
  <c r="N40"/>
  <c r="N11"/>
  <c r="N39"/>
  <c r="N38"/>
  <c r="N894"/>
  <c r="N925"/>
  <c r="N29"/>
  <c r="N37"/>
  <c r="N954"/>
  <c r="N893"/>
  <c r="N10"/>
  <c r="S166"/>
  <c r="S1283"/>
  <c r="S1282"/>
  <c r="S1281"/>
  <c r="S1280"/>
  <c r="S1279"/>
  <c r="S1278"/>
  <c r="S1277"/>
  <c r="S1276"/>
  <c r="S1275"/>
  <c r="S1274"/>
  <c r="S1273"/>
  <c r="S1271"/>
  <c r="S1270"/>
  <c r="S1269"/>
  <c r="S1268"/>
  <c r="S1267"/>
  <c r="S1266"/>
  <c r="S1265"/>
  <c r="S1264"/>
  <c r="S1260"/>
  <c r="S1259"/>
  <c r="S1258"/>
  <c r="S1257"/>
  <c r="S1256"/>
  <c r="S1255"/>
  <c r="S1254"/>
  <c r="S1253"/>
  <c r="S1252"/>
  <c r="S1251"/>
  <c r="S1250"/>
  <c r="S1249"/>
  <c r="S1248"/>
  <c r="S1247"/>
  <c r="S1246"/>
  <c r="S1245"/>
  <c r="S1244"/>
  <c r="S1243"/>
  <c r="S1242"/>
  <c r="S1241"/>
  <c r="S1240"/>
  <c r="S1239"/>
  <c r="S1238"/>
  <c r="S1237"/>
  <c r="S1233"/>
  <c r="S1232"/>
  <c r="S1231"/>
  <c r="S1230"/>
  <c r="S1229"/>
  <c r="S1220"/>
  <c r="S1219"/>
  <c r="S1218"/>
  <c r="S1217"/>
  <c r="S1214"/>
  <c r="S1213"/>
  <c r="S1211"/>
  <c r="S1210"/>
  <c r="S1209"/>
  <c r="S1208"/>
  <c r="S1207"/>
  <c r="S1205"/>
  <c r="S1204"/>
  <c r="S1203"/>
  <c r="S1201"/>
  <c r="S1198"/>
  <c r="S1197"/>
  <c r="S1196"/>
  <c r="S1195"/>
  <c r="S1192"/>
  <c r="S1191"/>
  <c r="S1189"/>
  <c r="S1188"/>
  <c r="S1185"/>
  <c r="S1184"/>
  <c r="S1183"/>
  <c r="S1182"/>
  <c r="S1181"/>
  <c r="S1180"/>
  <c r="S1179"/>
  <c r="S1178"/>
  <c r="S1177"/>
  <c r="S1176"/>
  <c r="S1175"/>
  <c r="S1173"/>
  <c r="S1172"/>
  <c r="S1171"/>
  <c r="S1170"/>
  <c r="S1169"/>
  <c r="S1168"/>
  <c r="S1167"/>
  <c r="S1166"/>
  <c r="S1165"/>
  <c r="S1163"/>
  <c r="S1162"/>
  <c r="S1161"/>
  <c r="S1160"/>
  <c r="S1159"/>
  <c r="S1158"/>
  <c r="S1157"/>
  <c r="S1156"/>
  <c r="S1155"/>
  <c r="S1154"/>
  <c r="S1153"/>
  <c r="S1152"/>
  <c r="S1151"/>
  <c r="S1149"/>
  <c r="S1147"/>
  <c r="S1146"/>
  <c r="S1145"/>
  <c r="S1144"/>
  <c r="S1143"/>
  <c r="S1142"/>
  <c r="S1141"/>
  <c r="S1140"/>
  <c r="S1139"/>
  <c r="S1137"/>
  <c r="S1136"/>
  <c r="S1134"/>
  <c r="S1132"/>
  <c r="S1131"/>
  <c r="S1125"/>
  <c r="S1123"/>
  <c r="S1120"/>
  <c r="S1118"/>
  <c r="S1117"/>
  <c r="S1116"/>
  <c r="S1115"/>
  <c r="S1114"/>
  <c r="S1113"/>
  <c r="S1112"/>
  <c r="S1108"/>
  <c r="S1106"/>
  <c r="S1105"/>
  <c r="S1104"/>
  <c r="S1103"/>
  <c r="S1102"/>
  <c r="S1101"/>
  <c r="S1100"/>
  <c r="S1099"/>
  <c r="S1098"/>
  <c r="S1097"/>
  <c r="S1096"/>
  <c r="S1095"/>
  <c r="S1094"/>
  <c r="S1090"/>
  <c r="S1089"/>
  <c r="S1087"/>
  <c r="S1085"/>
  <c r="S1084"/>
  <c r="S1081"/>
  <c r="S1080"/>
  <c r="S1079"/>
  <c r="S1078"/>
  <c r="S1077"/>
  <c r="S1076"/>
  <c r="S1075"/>
  <c r="S1074"/>
  <c r="S1073"/>
  <c r="S1071"/>
  <c r="S1070"/>
  <c r="S1069"/>
  <c r="S1067"/>
  <c r="S1066"/>
  <c r="S1065"/>
  <c r="S1064"/>
  <c r="S1063"/>
  <c r="S1062"/>
  <c r="S1061"/>
  <c r="S1060"/>
  <c r="S1059"/>
  <c r="S1058"/>
  <c r="S1057"/>
  <c r="S1056"/>
  <c r="S1051"/>
  <c r="S1050"/>
  <c r="S1049"/>
  <c r="S1045"/>
  <c r="S1041"/>
  <c r="S1040"/>
  <c r="S1038"/>
  <c r="S1036"/>
  <c r="S1035"/>
  <c r="S1033"/>
  <c r="S1032"/>
  <c r="S1031"/>
  <c r="S1030"/>
  <c r="S1028"/>
  <c r="S1027"/>
  <c r="S1026"/>
  <c r="S1025"/>
  <c r="S1022"/>
  <c r="S1021"/>
  <c r="S1020"/>
  <c r="S1019"/>
  <c r="S1018"/>
  <c r="S1017"/>
  <c r="S1016"/>
  <c r="S1015"/>
  <c r="S1014"/>
  <c r="S1012"/>
  <c r="S1010"/>
  <c r="S1008"/>
  <c r="S1005"/>
  <c r="S1003"/>
  <c r="S1001"/>
  <c r="S1000"/>
  <c r="S999"/>
  <c r="S998"/>
  <c r="S997"/>
  <c r="S996"/>
  <c r="S995"/>
  <c r="S994"/>
  <c r="S993"/>
  <c r="S990"/>
  <c r="S988"/>
  <c r="S987"/>
  <c r="S986"/>
  <c r="S985"/>
  <c r="S984"/>
  <c r="S983"/>
  <c r="S982"/>
  <c r="S981"/>
  <c r="S953"/>
  <c r="S980"/>
  <c r="S979"/>
  <c r="S978"/>
  <c r="S977"/>
  <c r="S976"/>
  <c r="S973"/>
  <c r="S972"/>
  <c r="S971"/>
  <c r="S970"/>
  <c r="S969"/>
  <c r="S968"/>
  <c r="S967"/>
  <c r="S966"/>
  <c r="S965"/>
  <c r="S964"/>
  <c r="S963"/>
  <c r="S962"/>
  <c r="S960"/>
  <c r="S952"/>
  <c r="S959"/>
  <c r="S958"/>
  <c r="S957"/>
  <c r="S956"/>
  <c r="S954"/>
  <c r="S951"/>
  <c r="S949"/>
  <c r="S948"/>
  <c r="S1011"/>
  <c r="S947"/>
  <c r="S946"/>
  <c r="S945"/>
  <c r="S943"/>
  <c r="S942"/>
  <c r="S941"/>
  <c r="S940"/>
  <c r="S939"/>
  <c r="S938"/>
  <c r="S937"/>
  <c r="S936"/>
  <c r="S934"/>
  <c r="S933"/>
  <c r="S932"/>
  <c r="S931"/>
  <c r="S930"/>
  <c r="S929"/>
  <c r="S928"/>
  <c r="S926"/>
  <c r="S925"/>
  <c r="S924"/>
  <c r="S923"/>
  <c r="S922"/>
  <c r="S921"/>
  <c r="S919"/>
  <c r="S918"/>
  <c r="S917"/>
  <c r="S915"/>
  <c r="S914"/>
  <c r="S913"/>
  <c r="S911"/>
  <c r="S910"/>
  <c r="S909"/>
  <c r="S908"/>
  <c r="S905"/>
  <c r="S903"/>
  <c r="S902"/>
  <c r="S901"/>
  <c r="S900"/>
  <c r="S899"/>
  <c r="S898"/>
  <c r="S895"/>
  <c r="S894"/>
  <c r="S893"/>
  <c r="S891"/>
  <c r="S890"/>
  <c r="S889"/>
  <c r="S888"/>
  <c r="S887"/>
  <c r="S886"/>
  <c r="S883"/>
  <c r="S882"/>
  <c r="S881"/>
  <c r="S880"/>
  <c r="S879"/>
  <c r="S877"/>
  <c r="S876"/>
  <c r="S874"/>
  <c r="S873"/>
  <c r="S872"/>
  <c r="S871"/>
  <c r="S869"/>
  <c r="S868"/>
  <c r="S867"/>
  <c r="S864"/>
  <c r="S863"/>
  <c r="S861"/>
  <c r="S859"/>
  <c r="S858"/>
  <c r="S857"/>
  <c r="S856"/>
  <c r="S855"/>
  <c r="S852"/>
  <c r="S851"/>
  <c r="S850"/>
  <c r="S848"/>
  <c r="S847"/>
  <c r="S846"/>
  <c r="S845"/>
  <c r="S844"/>
  <c r="S839"/>
  <c r="S837"/>
  <c r="S836"/>
  <c r="S835"/>
  <c r="S834"/>
  <c r="S833"/>
  <c r="S832"/>
  <c r="S831"/>
  <c r="S830"/>
  <c r="S829"/>
  <c r="S825"/>
  <c r="S824"/>
  <c r="S821"/>
  <c r="S820"/>
  <c r="S819"/>
  <c r="S818"/>
  <c r="S816"/>
  <c r="S815"/>
  <c r="S812"/>
  <c r="S811"/>
  <c r="S810"/>
  <c r="S809"/>
  <c r="S808"/>
  <c r="S806"/>
  <c r="S805"/>
  <c r="S804"/>
  <c r="S803"/>
  <c r="S802"/>
  <c r="S801"/>
  <c r="S800"/>
  <c r="S799"/>
  <c r="S798"/>
  <c r="S797"/>
  <c r="S796"/>
  <c r="S794"/>
  <c r="S792"/>
  <c r="S791"/>
  <c r="S790"/>
  <c r="S789"/>
  <c r="S788"/>
  <c r="S787"/>
  <c r="S786"/>
  <c r="S784"/>
  <c r="S783"/>
  <c r="S782"/>
  <c r="S778"/>
  <c r="S776"/>
  <c r="S775"/>
  <c r="S774"/>
  <c r="S772"/>
  <c r="S771"/>
  <c r="S770"/>
  <c r="S769"/>
  <c r="S767"/>
  <c r="S764"/>
  <c r="S763"/>
  <c r="S762"/>
  <c r="S759"/>
  <c r="S758"/>
  <c r="S755"/>
  <c r="S754"/>
  <c r="S753"/>
  <c r="S752"/>
  <c r="S751"/>
  <c r="S750"/>
  <c r="S747"/>
  <c r="S744"/>
  <c r="S743"/>
  <c r="S741"/>
  <c r="S740"/>
  <c r="S738"/>
  <c r="S736"/>
  <c r="S735"/>
  <c r="S734"/>
  <c r="S733"/>
  <c r="S731"/>
  <c r="S729"/>
  <c r="S728"/>
  <c r="S727"/>
  <c r="S726"/>
  <c r="S725"/>
  <c r="S724"/>
  <c r="S723"/>
  <c r="S722"/>
  <c r="S721"/>
  <c r="S720"/>
  <c r="S718"/>
  <c r="S717"/>
  <c r="S716"/>
  <c r="S715"/>
  <c r="S714"/>
  <c r="S713"/>
  <c r="S712"/>
  <c r="S711"/>
  <c r="S709"/>
  <c r="S708"/>
  <c r="S707"/>
  <c r="S706"/>
  <c r="S705"/>
  <c r="S704"/>
  <c r="S703"/>
  <c r="S700"/>
  <c r="S699"/>
  <c r="S697"/>
  <c r="S696"/>
  <c r="S695"/>
  <c r="S694"/>
  <c r="S693"/>
  <c r="S765"/>
  <c r="S692"/>
  <c r="S691"/>
  <c r="S689"/>
  <c r="S688"/>
  <c r="S687"/>
  <c r="S686"/>
  <c r="S685"/>
  <c r="S684"/>
  <c r="S683"/>
  <c r="S682"/>
  <c r="S681"/>
  <c r="S678"/>
  <c r="S677"/>
  <c r="S675"/>
  <c r="S674"/>
  <c r="S673"/>
  <c r="S672"/>
  <c r="S671"/>
  <c r="S669"/>
  <c r="S668"/>
  <c r="S667"/>
  <c r="S666"/>
  <c r="S665"/>
  <c r="S664"/>
  <c r="S663"/>
  <c r="S662"/>
  <c r="S661"/>
  <c r="S660"/>
  <c r="S659"/>
  <c r="S658"/>
  <c r="S656"/>
  <c r="S655"/>
  <c r="S654"/>
  <c r="S653"/>
  <c r="S652"/>
  <c r="S651"/>
  <c r="S650"/>
  <c r="S648"/>
  <c r="S647"/>
  <c r="S756"/>
  <c r="S645"/>
  <c r="S643"/>
  <c r="S642"/>
  <c r="S641"/>
  <c r="S640"/>
  <c r="S639"/>
  <c r="S638"/>
  <c r="S637"/>
  <c r="S634"/>
  <c r="S633"/>
  <c r="S632"/>
  <c r="S631"/>
  <c r="S627"/>
  <c r="S626"/>
  <c r="S625"/>
  <c r="S624"/>
  <c r="S623"/>
  <c r="S622"/>
  <c r="S620"/>
  <c r="S619"/>
  <c r="S618"/>
  <c r="S617"/>
  <c r="S616"/>
  <c r="S613"/>
  <c r="S612"/>
  <c r="S609"/>
  <c r="S608"/>
  <c r="S607"/>
  <c r="S606"/>
  <c r="S605"/>
  <c r="S604"/>
  <c r="S603"/>
  <c r="S602"/>
  <c r="S601"/>
  <c r="S600"/>
  <c r="S599"/>
  <c r="S596"/>
  <c r="S593"/>
  <c r="S591"/>
  <c r="S590"/>
  <c r="S587"/>
  <c r="S581"/>
  <c r="S580"/>
  <c r="S579"/>
  <c r="S578"/>
  <c r="S576"/>
  <c r="S575"/>
  <c r="S574"/>
  <c r="S573"/>
  <c r="S572"/>
  <c r="S569"/>
  <c r="S568"/>
  <c r="S565"/>
  <c r="S564"/>
  <c r="S563"/>
  <c r="S562"/>
  <c r="S561"/>
  <c r="S560"/>
  <c r="S558"/>
  <c r="S557"/>
  <c r="S556"/>
  <c r="S554"/>
  <c r="S553"/>
  <c r="S551"/>
  <c r="S550"/>
  <c r="S549"/>
  <c r="S548"/>
  <c r="S547"/>
  <c r="S546"/>
  <c r="S545"/>
  <c r="S544"/>
  <c r="S543"/>
  <c r="S542"/>
  <c r="S541"/>
  <c r="S539"/>
  <c r="S538"/>
  <c r="S537"/>
  <c r="S536"/>
  <c r="S535"/>
  <c r="S534"/>
  <c r="S533"/>
  <c r="S532"/>
  <c r="S530"/>
  <c r="S529"/>
  <c r="S524"/>
  <c r="S523"/>
  <c r="S521"/>
  <c r="S519"/>
  <c r="S517"/>
  <c r="S515"/>
  <c r="S514"/>
  <c r="S510"/>
  <c r="S509"/>
  <c r="S505"/>
  <c r="S503"/>
  <c r="S501"/>
  <c r="S500"/>
  <c r="S499"/>
  <c r="S498"/>
  <c r="S495"/>
  <c r="S492"/>
  <c r="S491"/>
  <c r="S489"/>
  <c r="S488"/>
  <c r="S487"/>
  <c r="S485"/>
  <c r="S483"/>
  <c r="S482"/>
  <c r="S481"/>
  <c r="S449"/>
  <c r="S480"/>
  <c r="S479"/>
  <c r="S478"/>
  <c r="S477"/>
  <c r="S476"/>
  <c r="S473"/>
  <c r="S472"/>
  <c r="S471"/>
  <c r="S470"/>
  <c r="S469"/>
  <c r="S468"/>
  <c r="S467"/>
  <c r="S466"/>
  <c r="S465"/>
  <c r="S464"/>
  <c r="S463"/>
  <c r="S462"/>
  <c r="S461"/>
  <c r="S460"/>
  <c r="S458"/>
  <c r="S457"/>
  <c r="S455"/>
  <c r="S452"/>
  <c r="S451"/>
  <c r="S450"/>
  <c r="S448"/>
  <c r="S447"/>
  <c r="S446"/>
  <c r="S445"/>
  <c r="S443"/>
  <c r="S442"/>
  <c r="S439"/>
  <c r="S438"/>
  <c r="S437"/>
  <c r="S433"/>
  <c r="S432"/>
  <c r="S431"/>
  <c r="S430"/>
  <c r="S429"/>
  <c r="S428"/>
  <c r="S427"/>
  <c r="S426"/>
  <c r="S424"/>
  <c r="S422"/>
  <c r="S421"/>
  <c r="S420"/>
  <c r="S419"/>
  <c r="S413"/>
  <c r="S412"/>
  <c r="S411"/>
  <c r="S410"/>
  <c r="S409"/>
  <c r="S408"/>
  <c r="S402"/>
  <c r="S398"/>
  <c r="S397"/>
  <c r="S395"/>
  <c r="S394"/>
  <c r="S393"/>
  <c r="S390"/>
  <c r="S389"/>
  <c r="S388"/>
  <c r="S386"/>
  <c r="S384"/>
  <c r="S378"/>
  <c r="S376"/>
  <c r="S375"/>
  <c r="S373"/>
  <c r="S372"/>
  <c r="S371"/>
  <c r="S370"/>
  <c r="S369"/>
  <c r="S368"/>
  <c r="S418"/>
  <c r="S401"/>
  <c r="S400"/>
  <c r="S399"/>
  <c r="S417"/>
  <c r="S416"/>
  <c r="S415"/>
  <c r="S414"/>
  <c r="S392"/>
  <c r="S391"/>
  <c r="S387"/>
  <c r="S366"/>
  <c r="S592"/>
  <c r="S589"/>
  <c r="S588"/>
  <c r="S585"/>
  <c r="S365"/>
  <c r="S583"/>
  <c r="S582"/>
  <c r="S362"/>
  <c r="S360"/>
  <c r="S359"/>
  <c r="S358"/>
  <c r="S357"/>
  <c r="S355"/>
  <c r="S354"/>
  <c r="S352"/>
  <c r="S335"/>
  <c r="S334"/>
  <c r="S333"/>
  <c r="S332"/>
  <c r="S331"/>
  <c r="S329"/>
  <c r="S328"/>
  <c r="S327"/>
  <c r="S326"/>
  <c r="S321"/>
  <c r="S318"/>
  <c r="S317"/>
  <c r="S316"/>
  <c r="S313"/>
  <c r="S312"/>
  <c r="S262"/>
  <c r="S311"/>
  <c r="S310"/>
  <c r="S309"/>
  <c r="S308"/>
  <c r="S307"/>
  <c r="S306"/>
  <c r="S304"/>
  <c r="S303"/>
  <c r="S302"/>
  <c r="S301"/>
  <c r="S300"/>
  <c r="S298"/>
  <c r="S297"/>
  <c r="S305"/>
  <c r="S296"/>
  <c r="S218"/>
  <c r="S341"/>
  <c r="S295"/>
  <c r="S336"/>
  <c r="S293"/>
  <c r="S292"/>
  <c r="S291"/>
  <c r="S290"/>
  <c r="S289"/>
  <c r="S288"/>
  <c r="S287"/>
  <c r="S285"/>
  <c r="S283"/>
  <c r="S282"/>
  <c r="S281"/>
  <c r="S279"/>
  <c r="S278"/>
  <c r="S277"/>
  <c r="S276"/>
  <c r="S275"/>
  <c r="S274"/>
  <c r="S273"/>
  <c r="S271"/>
  <c r="S270"/>
  <c r="S268"/>
  <c r="S267"/>
  <c r="S265"/>
  <c r="S263"/>
  <c r="S261"/>
  <c r="S260"/>
  <c r="S258"/>
  <c r="S257"/>
  <c r="S256"/>
  <c r="S255"/>
  <c r="S254"/>
  <c r="S252"/>
  <c r="S250"/>
  <c r="S249"/>
  <c r="S248"/>
  <c r="S247"/>
  <c r="S246"/>
  <c r="S242"/>
  <c r="S241"/>
  <c r="S240"/>
  <c r="S239"/>
  <c r="S238"/>
  <c r="S237"/>
  <c r="S236"/>
  <c r="S235"/>
  <c r="S234"/>
  <c r="S233"/>
  <c r="S229"/>
  <c r="S228"/>
  <c r="S226"/>
  <c r="S225"/>
  <c r="S224"/>
  <c r="S222"/>
  <c r="S216"/>
  <c r="S213"/>
  <c r="S212"/>
  <c r="S210"/>
  <c r="S208"/>
  <c r="S207"/>
  <c r="S206"/>
  <c r="S205"/>
  <c r="S204"/>
  <c r="S203"/>
  <c r="S202"/>
  <c r="S201"/>
  <c r="S200"/>
  <c r="S197"/>
  <c r="S194"/>
  <c r="S190"/>
  <c r="S189"/>
  <c r="S187"/>
  <c r="S186"/>
  <c r="S183"/>
  <c r="S182"/>
  <c r="S178"/>
  <c r="S177"/>
  <c r="S176"/>
  <c r="S175"/>
  <c r="S174"/>
  <c r="S172"/>
  <c r="S171"/>
  <c r="S170"/>
  <c r="S168"/>
  <c r="S167"/>
  <c r="S165"/>
  <c r="S164"/>
  <c r="S161"/>
  <c r="S160"/>
  <c r="S159"/>
  <c r="S158"/>
  <c r="S157"/>
  <c r="S156"/>
  <c r="S155"/>
  <c r="S154"/>
  <c r="S153"/>
  <c r="S152"/>
  <c r="S151"/>
  <c r="S149"/>
  <c r="S148"/>
  <c r="S147"/>
  <c r="S146"/>
  <c r="S145"/>
  <c r="S144"/>
  <c r="S143"/>
  <c r="S141"/>
  <c r="S140"/>
  <c r="S139"/>
  <c r="S138"/>
  <c r="S137"/>
  <c r="S130"/>
  <c r="S129"/>
  <c r="S128"/>
  <c r="S127"/>
  <c r="S125"/>
  <c r="S124"/>
  <c r="S121"/>
  <c r="S120"/>
  <c r="S119"/>
  <c r="S115"/>
  <c r="S114"/>
  <c r="S113"/>
  <c r="S111"/>
  <c r="S110"/>
  <c r="S109"/>
  <c r="S108"/>
  <c r="S107"/>
  <c r="S105"/>
  <c r="S103"/>
  <c r="S102"/>
  <c r="S101"/>
  <c r="S100"/>
  <c r="S99"/>
  <c r="S98"/>
  <c r="S95"/>
  <c r="S94"/>
  <c r="S93"/>
  <c r="S92"/>
  <c r="S91"/>
  <c r="S88"/>
  <c r="S87"/>
  <c r="S83"/>
  <c r="S82"/>
  <c r="S80"/>
  <c r="S79"/>
  <c r="S78"/>
  <c r="S76"/>
  <c r="S75"/>
  <c r="S74"/>
  <c r="S70"/>
  <c r="S69"/>
  <c r="S68"/>
  <c r="S67"/>
  <c r="S66"/>
  <c r="S65"/>
  <c r="S64"/>
  <c r="S63"/>
  <c r="S61"/>
  <c r="S60"/>
  <c r="S59"/>
  <c r="S58"/>
  <c r="S57"/>
  <c r="S56"/>
  <c r="S53"/>
  <c r="S52"/>
  <c r="S51"/>
  <c r="S50"/>
  <c r="S49"/>
  <c r="S47"/>
  <c r="S46"/>
  <c r="S45"/>
  <c r="S44"/>
  <c r="S42"/>
  <c r="S41"/>
  <c r="S40"/>
  <c r="S39"/>
  <c r="S38"/>
  <c r="S37"/>
  <c r="S35"/>
  <c r="S34"/>
  <c r="S33"/>
  <c r="S32"/>
  <c r="S31"/>
  <c r="S30"/>
  <c r="S29"/>
  <c r="S27"/>
  <c r="S26"/>
  <c r="S25"/>
  <c r="S24"/>
  <c r="S23"/>
  <c r="S22"/>
  <c r="S21"/>
  <c r="S20"/>
  <c r="S18"/>
  <c r="S17"/>
  <c r="S16"/>
  <c r="S15"/>
  <c r="S14"/>
  <c r="S13"/>
  <c r="S12"/>
  <c r="S11"/>
  <c r="S10"/>
  <c r="S8"/>
  <c r="S7"/>
  <c r="S6"/>
  <c r="S5"/>
  <c r="S4"/>
  <c r="S3"/>
  <c r="S2"/>
  <c r="O1230" i="1"/>
  <c r="O1231" s="1"/>
  <c r="O1232" s="1"/>
  <c r="O1233" s="1"/>
  <c r="O1234" s="1"/>
  <c r="O1235" s="1"/>
  <c r="O1236" s="1"/>
  <c r="O1237" s="1"/>
  <c r="O1238" s="1"/>
  <c r="O1239" s="1"/>
  <c r="O1240" s="1"/>
  <c r="O1241" s="1"/>
  <c r="O1242" s="1"/>
  <c r="O1243" s="1"/>
  <c r="O1244" s="1"/>
  <c r="O1245" s="1"/>
  <c r="O1246" s="1"/>
  <c r="O1247" s="1"/>
  <c r="O1248" s="1"/>
  <c r="O1249" s="1"/>
  <c r="O1250" s="1"/>
  <c r="O1251" s="1"/>
  <c r="O1252" s="1"/>
  <c r="O1253" s="1"/>
  <c r="O1254" s="1"/>
  <c r="O1255" s="1"/>
  <c r="O1256" s="1"/>
  <c r="O1257" s="1"/>
  <c r="O1258" s="1"/>
  <c r="O1259" s="1"/>
  <c r="O1260" s="1"/>
  <c r="O1261" s="1"/>
  <c r="O1262" s="1"/>
  <c r="O1263" s="1"/>
  <c r="O1264" s="1"/>
  <c r="O1265" s="1"/>
  <c r="O1266" s="1"/>
  <c r="O1267" s="1"/>
  <c r="O1268" s="1"/>
  <c r="O1269" s="1"/>
  <c r="O1270" s="1"/>
</calcChain>
</file>

<file path=xl/comments1.xml><?xml version="1.0" encoding="utf-8"?>
<comments xmlns="http://schemas.openxmlformats.org/spreadsheetml/2006/main">
  <authors>
    <author xml:space="preserve"> </author>
    <author>Sandram</author>
  </authors>
  <commentList>
    <comment ref="I3" author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AD Ken Mangelsdorf stated that this region will be closing.</t>
        </r>
      </text>
    </comment>
    <comment ref="I93" authorId="0">
      <text>
        <r>
          <rPr>
            <b/>
            <sz val="8"/>
            <color indexed="81"/>
            <rFont val="Tahoma"/>
            <family val="2"/>
          </rPr>
          <t xml:space="preserve">AFFILIATED - NO BUDGET REQUIRED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I142" authorId="0">
      <text>
        <r>
          <rPr>
            <b/>
            <sz val="8"/>
            <color indexed="81"/>
            <rFont val="Tahoma"/>
            <family val="2"/>
          </rPr>
          <t xml:space="preserve"> No Budget Required</t>
        </r>
      </text>
    </comment>
    <comment ref="I241" authorId="0">
      <text>
        <r>
          <rPr>
            <b/>
            <sz val="8"/>
            <color indexed="81"/>
            <rFont val="Tahoma"/>
            <family val="2"/>
          </rPr>
          <t xml:space="preserve"> :AFFILIATED  - NO BUDGET REQUIRED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308" authorId="1">
      <text>
        <r>
          <rPr>
            <b/>
            <sz val="9"/>
            <color indexed="81"/>
            <rFont val="Tahoma"/>
            <family val="2"/>
          </rPr>
          <t>Sandram:8/9/12 Per AD Christopher Haig, Region will be dissolving.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52" author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AFFILIATED
 - NO BUDGET REQUIRED</t>
        </r>
      </text>
    </comment>
    <comment ref="E399" authorId="1">
      <text>
        <r>
          <rPr>
            <b/>
            <sz val="9"/>
            <color indexed="81"/>
            <rFont val="Tahoma"/>
            <family val="2"/>
          </rPr>
          <t xml:space="preserve">Sandram:8/6/12 Per AD Elizabeth Kelley - not running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02" authorId="1">
      <text>
        <r>
          <rPr>
            <b/>
            <sz val="9"/>
            <color indexed="81"/>
            <rFont val="Tahoma"/>
            <family val="2"/>
          </rPr>
          <t>Sandram:8/6/12 Per AD Elizabeth Kelley - not running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18" authorId="0">
      <text>
        <r>
          <rPr>
            <b/>
            <sz val="8"/>
            <color indexed="81"/>
            <rFont val="Tahoma"/>
            <family val="2"/>
          </rPr>
          <t xml:space="preserve"> :AFFILIATED - NO BUDGET REQUIRED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468" author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Per AD Don Wilson, This region has been Inactive for a few years</t>
        </r>
      </text>
    </comment>
    <comment ref="I482" author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AFFILIATE - NO BUDGET REQUIRED</t>
        </r>
      </text>
    </comment>
    <comment ref="I485" authorId="1">
      <text>
        <r>
          <rPr>
            <b/>
            <sz val="9"/>
            <color indexed="81"/>
            <rFont val="Tahoma"/>
            <family val="2"/>
          </rPr>
          <t>Sandram: 7/30/12 email from AD David Wood - Rgn will be closing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89" authorId="1">
      <text>
        <r>
          <rPr>
            <b/>
            <sz val="9"/>
            <color indexed="81"/>
            <rFont val="Tahoma"/>
            <family val="2"/>
          </rPr>
          <t xml:space="preserve">Sandram: 8/6/12 Per AD David Wood, Rgn closing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93" authorId="1">
      <text>
        <r>
          <rPr>
            <b/>
            <sz val="9"/>
            <color indexed="81"/>
            <rFont val="Tahoma"/>
            <family val="2"/>
          </rPr>
          <t>Sandram:  8/6/12 Per AD David Wood, Rgn closing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94" authorId="1">
      <text>
        <r>
          <rPr>
            <b/>
            <sz val="9"/>
            <color indexed="81"/>
            <rFont val="Tahoma"/>
            <family val="2"/>
          </rPr>
          <t>Sandram:  8/6/12 Per AD David Wood, Rgn closing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517" author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AFFILIATED NO BUDGET REQUIRED</t>
        </r>
      </text>
    </comment>
    <comment ref="I539" author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AFFILIATED NO BUDGET REQUIRED
</t>
        </r>
      </text>
    </comment>
    <comment ref="E612" authorId="0">
      <text>
        <r>
          <rPr>
            <b/>
            <sz val="8"/>
            <color indexed="81"/>
            <rFont val="Tahoma"/>
            <family val="2"/>
          </rPr>
          <t xml:space="preserve"> :Per Joan region should be Inactive, never started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O612" authorId="0">
      <text>
        <r>
          <rPr>
            <b/>
            <sz val="8"/>
            <color indexed="81"/>
            <rFont val="Tahoma"/>
            <family val="2"/>
          </rPr>
          <t xml:space="preserve"> :Rec'd email from Treasurer of record to remove her due to she is no longer a part of AYSO RGTR  Rochelle Haynes  </t>
        </r>
        <r>
          <rPr>
            <sz val="8"/>
            <color indexed="81"/>
            <rFont val="Tahoma"/>
            <family val="2"/>
          </rPr>
          <t xml:space="preserve">
sent request to Brenda/Joan</t>
        </r>
      </text>
    </comment>
    <comment ref="I631" author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AFFILIATE NO BUDGET REQUIRED</t>
        </r>
      </text>
    </comment>
    <comment ref="E663" authorId="1">
      <text>
        <r>
          <rPr>
            <b/>
            <sz val="9"/>
            <color indexed="81"/>
            <rFont val="Tahoma"/>
            <family val="2"/>
          </rPr>
          <t>Sandram:8/7/12 AD Guy Anama - Region Inactive - paperwork pending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707" authorId="1">
      <text>
        <r>
          <rPr>
            <b/>
            <sz val="9"/>
            <color indexed="81"/>
            <rFont val="Tahoma"/>
            <family val="2"/>
          </rPr>
          <t xml:space="preserve">Sandram:8/7/12 email from AD Mike Ricci-inactive, paperwork pending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787" authorId="1">
      <text>
        <r>
          <rPr>
            <b/>
            <sz val="9"/>
            <color indexed="81"/>
            <rFont val="Tahoma"/>
            <family val="2"/>
          </rPr>
          <t>Sandram:7/25/12
AD Barb Johnson - Rgn closing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878" authorId="0">
      <text>
        <r>
          <rPr>
            <b/>
            <sz val="8"/>
            <color indexed="81"/>
            <rFont val="Tahoma"/>
            <family val="2"/>
          </rPr>
          <t xml:space="preserve"> :Affiliate - NO BUDGET REQUIRED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I882" author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AFFILIATED NO BUDGET REQUIRED</t>
        </r>
      </text>
    </comment>
    <comment ref="I891" authorId="0">
      <text>
        <r>
          <rPr>
            <b/>
            <sz val="8"/>
            <color indexed="81"/>
            <rFont val="Tahoma"/>
            <family val="2"/>
          </rPr>
          <t xml:space="preserve"> :7/13/09 note in contact log…per JoanB, region is being closed.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1068" authorId="1">
      <text>
        <r>
          <rPr>
            <b/>
            <sz val="9"/>
            <color indexed="81"/>
            <rFont val="Tahoma"/>
            <family val="2"/>
          </rPr>
          <t xml:space="preserve">Sandram:10/9/12 Per AD Janelle rgn is closed waiting on paperwork from bank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103" authorId="1">
      <text>
        <r>
          <rPr>
            <b/>
            <sz val="9"/>
            <color indexed="81"/>
            <rFont val="Tahoma"/>
            <family val="2"/>
          </rPr>
          <t xml:space="preserve">Sandram: 10/9/12 Per AD Thomas Cox, paperwork submitted to suspend.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105" authorId="1">
      <text>
        <r>
          <rPr>
            <b/>
            <sz val="9"/>
            <color indexed="81"/>
            <rFont val="Tahoma"/>
            <family val="2"/>
          </rPr>
          <t>Sandram:10/9/12 Per AD Thomas Cox, paperwork submitted to suspend.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178" author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AFFILIATE NO BUDGET REQUIRED</t>
        </r>
      </text>
    </comment>
    <comment ref="I1182" author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AFFILIATE NO BUDGET REQUIRED</t>
        </r>
      </text>
    </comment>
    <comment ref="I1233" author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AFFILIATE NO BUDGET REQUIRED
</t>
        </r>
      </text>
    </comment>
    <comment ref="I1260" author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AFFILIATE NO BUDGET REQUIRED</t>
        </r>
      </text>
    </comment>
    <comment ref="E1268" authorId="1">
      <text>
        <r>
          <rPr>
            <b/>
            <sz val="9"/>
            <color indexed="81"/>
            <rFont val="Tahoma"/>
            <family val="2"/>
          </rPr>
          <t xml:space="preserve">Sandram: 7/18/12 Per Wendy Smith inactive-no paperwork has been submitted.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271" authorId="1">
      <text>
        <r>
          <rPr>
            <b/>
            <sz val="9"/>
            <color indexed="81"/>
            <rFont val="Tahoma"/>
            <family val="2"/>
          </rPr>
          <t>Sandram:8/13/12 Per email from AD Matilde Casas this is an city program and no budget is required.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278" author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AFFILIATE NO BUDGET REQUIRED</t>
        </r>
      </text>
    </comment>
    <comment ref="I1280" author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AFFILILATE NO BUDGET REQUIRED</t>
        </r>
      </text>
    </comment>
    <comment ref="I1286" author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AFFILIATE NO BUDGET REQUIRED</t>
        </r>
      </text>
    </comment>
    <comment ref="I1287" author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AFFILIATE NO BUDGET REQUIRED</t>
        </r>
      </text>
    </comment>
  </commentList>
</comments>
</file>

<file path=xl/comments2.xml><?xml version="1.0" encoding="utf-8"?>
<comments xmlns="http://schemas.openxmlformats.org/spreadsheetml/2006/main">
  <authors>
    <author xml:space="preserve"> </author>
  </authors>
  <commentList>
    <comment ref="E48" authorId="0">
      <text>
        <r>
          <rPr>
            <b/>
            <sz val="8"/>
            <color indexed="81"/>
            <rFont val="Tahoma"/>
            <family val="2"/>
          </rPr>
          <t xml:space="preserve"> :7/13/09 note in contact log…per JoanB, region is being closed.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85" authorId="0">
      <text>
        <r>
          <rPr>
            <b/>
            <sz val="8"/>
            <color indexed="81"/>
            <rFont val="Tahoma"/>
            <family val="2"/>
          </rPr>
          <t xml:space="preserve"> :AFFILIATED  - NO BUDGET REQUIRED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104" authorId="0">
      <text>
        <r>
          <rPr>
            <b/>
            <sz val="8"/>
            <color indexed="81"/>
            <rFont val="Tahoma"/>
            <family val="2"/>
          </rPr>
          <t xml:space="preserve"> :AFFILIATED - NO BUDGET REQUIRED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134" author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AFFILIATE - NO BUDGET REQUIRED</t>
        </r>
      </text>
    </comment>
    <comment ref="E138" author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AFFILIATED NO BUDGET REQUIRED</t>
        </r>
      </text>
    </comment>
    <comment ref="E156" author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AFFILIATE NO BUDGET REQUIRED</t>
        </r>
      </text>
    </comment>
    <comment ref="E224" authorId="0">
      <text>
        <r>
          <rPr>
            <b/>
            <sz val="8"/>
            <color indexed="81"/>
            <rFont val="Tahoma"/>
            <family val="2"/>
          </rPr>
          <t xml:space="preserve"> :Affiliate - NO BUDGET REQUIRED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226" author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AFFILIATED NO BUDGET REQUIRED</t>
        </r>
      </text>
    </comment>
    <comment ref="E285" author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AFFILIATE NO BUDGET REQUIRED</t>
        </r>
      </text>
    </comment>
    <comment ref="E311" author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AFFILIATE NO BUDGET REQUIRED</t>
        </r>
      </text>
    </comment>
    <comment ref="E313" author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AFFILIATE NO BUDGET REQUIRED</t>
        </r>
      </text>
    </comment>
    <comment ref="E328" author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AFFILIATE NO BUDGET REQUIRED</t>
        </r>
      </text>
    </comment>
    <comment ref="E332" author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AFFILIATE NO BUDGET REQUIRED</t>
        </r>
      </text>
    </comment>
  </commentList>
</comments>
</file>

<file path=xl/sharedStrings.xml><?xml version="1.0" encoding="utf-8"?>
<sst xmlns="http://schemas.openxmlformats.org/spreadsheetml/2006/main" count="18582" uniqueCount="2018">
  <si>
    <t>KENN E DYER</t>
  </si>
  <si>
    <t>Ray   Broadbent</t>
  </si>
  <si>
    <t>Robert E LaSalle</t>
  </si>
  <si>
    <t>Fernando   Perez</t>
  </si>
  <si>
    <t>Chad M Lemke</t>
  </si>
  <si>
    <t>Norma l Bourgeois</t>
  </si>
  <si>
    <t>Traci D Hernandez</t>
  </si>
  <si>
    <t>Steven T Williams</t>
  </si>
  <si>
    <t>Section 12 : SD Bruce W Perkins</t>
  </si>
  <si>
    <t>RICKY A MILLER</t>
  </si>
  <si>
    <t>Jo  O'Brien</t>
  </si>
  <si>
    <t>Dirk W Johnson</t>
  </si>
  <si>
    <t>Patrick J Kelly</t>
  </si>
  <si>
    <t>Kimberly Ann Gates</t>
  </si>
  <si>
    <t>Dale R Sprigg</t>
  </si>
  <si>
    <t>Mark A Musselman</t>
  </si>
  <si>
    <t>Joseph W D'Andrea</t>
  </si>
  <si>
    <t>Mark D Mountan</t>
  </si>
  <si>
    <t>Steven   Lucas</t>
  </si>
  <si>
    <t>GEORGE M SMITH</t>
  </si>
  <si>
    <t>Wendy S Melius</t>
  </si>
  <si>
    <t>David H Wisnewski</t>
  </si>
  <si>
    <t>DeAnne R Belles</t>
  </si>
  <si>
    <t>Brian S Fenton</t>
  </si>
  <si>
    <t>Barry A LeGars</t>
  </si>
  <si>
    <t>Mark A Dickey</t>
  </si>
  <si>
    <t>Donald M Showan</t>
  </si>
  <si>
    <t>Daniel S Rae</t>
  </si>
  <si>
    <t>Michele L Whitman</t>
  </si>
  <si>
    <t>John A Blachek</t>
  </si>
  <si>
    <t>Betsy   Snyder</t>
  </si>
  <si>
    <t>Keith E Lair</t>
  </si>
  <si>
    <t>Duane E Kleckner</t>
  </si>
  <si>
    <t>Eugene W Dupler</t>
  </si>
  <si>
    <t>VICTORIA L ECKERT</t>
  </si>
  <si>
    <t>Paul M Brabson</t>
  </si>
  <si>
    <t>Robert E Kline</t>
  </si>
  <si>
    <t>Daniel F Eggleston</t>
  </si>
  <si>
    <t>Robert E Bollman</t>
  </si>
  <si>
    <t>Ricky W Stanfield</t>
  </si>
  <si>
    <t>Steve R McIlveen</t>
  </si>
  <si>
    <t>LANE M LALONE</t>
  </si>
  <si>
    <t>Randy  Dively</t>
  </si>
  <si>
    <t>Rhonda R Swihura</t>
  </si>
  <si>
    <t>Curtis A Lichtenfels</t>
  </si>
  <si>
    <t>Clyde O Long</t>
  </si>
  <si>
    <t>Kathleen A Masiello</t>
  </si>
  <si>
    <t>Brett M Feather</t>
  </si>
  <si>
    <t>Wendell  Yoder</t>
  </si>
  <si>
    <t>David L Everhart</t>
  </si>
  <si>
    <t>Tammie J Shetler</t>
  </si>
  <si>
    <t>Marjorie R Zubek</t>
  </si>
  <si>
    <t>Malcolm T Jones</t>
  </si>
  <si>
    <t>David H Bowers</t>
  </si>
  <si>
    <t>David B Ward</t>
  </si>
  <si>
    <t>Patrick C McCurdy</t>
  </si>
  <si>
    <t>Ronda J Redman</t>
  </si>
  <si>
    <t>Fernando J Indacochea</t>
  </si>
  <si>
    <t>Frank "Jason" J Willetts</t>
  </si>
  <si>
    <t>Troy H Foland</t>
  </si>
  <si>
    <t>Kirk L Billingsley</t>
  </si>
  <si>
    <t>Jay N Hegeman</t>
  </si>
  <si>
    <t>John D Gordon</t>
  </si>
  <si>
    <t>Angela M Mutter</t>
  </si>
  <si>
    <t>Brett  Harney</t>
  </si>
  <si>
    <t>Benjamin J Bowden</t>
  </si>
  <si>
    <t>Spring2005</t>
  </si>
  <si>
    <t>James W Binner</t>
  </si>
  <si>
    <t>Charles G Porter</t>
  </si>
  <si>
    <t>Kevin S Agnello</t>
  </si>
  <si>
    <t>Warren E White</t>
  </si>
  <si>
    <t>Tyge L Gibson</t>
  </si>
  <si>
    <t>Scott   Saxon</t>
  </si>
  <si>
    <t>Thomas John Heffner</t>
  </si>
  <si>
    <t>Boyd "Scott"  Gulliver</t>
  </si>
  <si>
    <t>Robert J Checchi</t>
  </si>
  <si>
    <t>Kenneth A Mueller</t>
  </si>
  <si>
    <t>Peter A Evans</t>
  </si>
  <si>
    <t>Laurie D Richards</t>
  </si>
  <si>
    <t>Joellen   Foley</t>
  </si>
  <si>
    <t>Charles A McLeod</t>
  </si>
  <si>
    <t>Moses B Jackson</t>
  </si>
  <si>
    <t>Chris P Kiefer</t>
  </si>
  <si>
    <t>Kerry A McCleaf</t>
  </si>
  <si>
    <t>Jason  Hoffman</t>
  </si>
  <si>
    <t>Beth A Snyder</t>
  </si>
  <si>
    <t>Rebecca  Dominguez</t>
  </si>
  <si>
    <t>Heather M Stamm</t>
  </si>
  <si>
    <t>Alan M Crider</t>
  </si>
  <si>
    <t>Heather C Carmack</t>
  </si>
  <si>
    <t>Mark E Hughey</t>
  </si>
  <si>
    <t>Gregory E Bard</t>
  </si>
  <si>
    <t>Greg L Strait</t>
  </si>
  <si>
    <t>Donna L Savine</t>
  </si>
  <si>
    <t>Donald L Mock</t>
  </si>
  <si>
    <t>Thomas  Hare</t>
  </si>
  <si>
    <t>Nathaniel L Zechman</t>
  </si>
  <si>
    <t>Brian K Robbins</t>
  </si>
  <si>
    <t>Jeffrey A Snyder</t>
  </si>
  <si>
    <t>Duane E Schmoyer</t>
  </si>
  <si>
    <t>Barry E King</t>
  </si>
  <si>
    <t>Thomas C Peeler</t>
  </si>
  <si>
    <t>Barry G Pidcoe</t>
  </si>
  <si>
    <t>Richard G Scheib</t>
  </si>
  <si>
    <t>Brian L Krah</t>
  </si>
  <si>
    <t>Bobbi-Jo   Staver</t>
  </si>
  <si>
    <t>Gina R Champion</t>
  </si>
  <si>
    <t>Heather L Baldwin</t>
  </si>
  <si>
    <t>Brion E Harlan</t>
  </si>
  <si>
    <t>Gregory E Davidson</t>
  </si>
  <si>
    <t>Kristin R Shultz</t>
  </si>
  <si>
    <t>Ramiro  Antorcha</t>
  </si>
  <si>
    <t>Jennie A McHenry</t>
  </si>
  <si>
    <t>Ronald G Mase</t>
  </si>
  <si>
    <t>Eric S Smith</t>
  </si>
  <si>
    <t>Section 13 : SD Shari M Shaffer</t>
  </si>
  <si>
    <t>Karoline  Carvajal</t>
  </si>
  <si>
    <t>Hector G Santini</t>
  </si>
  <si>
    <t>Ivan   Alonzo</t>
  </si>
  <si>
    <t>Jennifer P Mallea</t>
  </si>
  <si>
    <t>Rose A Arsenault</t>
  </si>
  <si>
    <t>Richard M Schwartz</t>
  </si>
  <si>
    <t>Steven A Hess</t>
  </si>
  <si>
    <t>Michael J Manzione</t>
  </si>
  <si>
    <t>Bertha A Bostrom</t>
  </si>
  <si>
    <t>Lisa P Seltzer</t>
  </si>
  <si>
    <t>Shelli S Bair</t>
  </si>
  <si>
    <t>James E Barnes</t>
  </si>
  <si>
    <t>Didier  Kuntzmann</t>
  </si>
  <si>
    <t>Christopher M Bull</t>
  </si>
  <si>
    <t>Timothy F Norton</t>
  </si>
  <si>
    <t>Laura L Lietaert</t>
  </si>
  <si>
    <t>Bonnie C McManus</t>
  </si>
  <si>
    <t>Ernest M Toth</t>
  </si>
  <si>
    <t>Jeffrey H Kilpatrick</t>
  </si>
  <si>
    <t>Mickey O Morgan</t>
  </si>
  <si>
    <t>Mike W Todd</t>
  </si>
  <si>
    <t>Vicki L Rumsey</t>
  </si>
  <si>
    <t>Melita W Franzen</t>
  </si>
  <si>
    <t>Section 14 : SD Wendy J Smith</t>
  </si>
  <si>
    <t>A</t>
  </si>
  <si>
    <t>Jose E Perez</t>
  </si>
  <si>
    <t>Kristin   Massicott</t>
  </si>
  <si>
    <t>Dale G Toney</t>
  </si>
  <si>
    <t>Section</t>
  </si>
  <si>
    <t>Area</t>
  </si>
  <si>
    <t>Region</t>
  </si>
  <si>
    <t>Season</t>
  </si>
  <si>
    <t>Status</t>
  </si>
  <si>
    <t>B</t>
  </si>
  <si>
    <t>Area 1</t>
  </si>
  <si>
    <t>B :  AD Kenneth W Mangelsdorf</t>
  </si>
  <si>
    <t>C :  AD Calvin  House</t>
  </si>
  <si>
    <t>D</t>
  </si>
  <si>
    <t>D :  AD Frances M Stronks</t>
  </si>
  <si>
    <t>F</t>
  </si>
  <si>
    <t>F :  AD Nick  Lincir</t>
  </si>
  <si>
    <t>G</t>
  </si>
  <si>
    <t>G :  AD Sandra A Oerly</t>
  </si>
  <si>
    <t>H</t>
  </si>
  <si>
    <t>H :  AD James L Engel</t>
  </si>
  <si>
    <t>N :  AD Russell  Frear</t>
  </si>
  <si>
    <t>P :  AD Brent A Whittlesey</t>
  </si>
  <si>
    <t>R</t>
  </si>
  <si>
    <t>R :  AD Chuck C Neve</t>
  </si>
  <si>
    <t>S</t>
  </si>
  <si>
    <t>S :  AD Larry W Berquist</t>
  </si>
  <si>
    <t>U</t>
  </si>
  <si>
    <t>U :  AD Beverly S Allaire</t>
  </si>
  <si>
    <t>Area 2</t>
  </si>
  <si>
    <t>A :  AD David T Elward</t>
  </si>
  <si>
    <t>B :  AD Michael D Rodriguez</t>
  </si>
  <si>
    <t>C :  AD Linda K Wilmoth</t>
  </si>
  <si>
    <t>D :  AD Alan  Matre</t>
  </si>
  <si>
    <t>E :  AD Dena  Anderson</t>
  </si>
  <si>
    <t>F :  AD Yvette M Kvasnicka</t>
  </si>
  <si>
    <t>J</t>
  </si>
  <si>
    <t>J :  AD Karen   Sloan</t>
  </si>
  <si>
    <t>N :  AD Ken S Rhoads</t>
  </si>
  <si>
    <t>S :  AD Shelly   Ehrmantraut</t>
  </si>
  <si>
    <t>Area 3</t>
  </si>
  <si>
    <t>A :  AD Dennis C Trott</t>
  </si>
  <si>
    <t>B :  AD Joyce M Purnell</t>
  </si>
  <si>
    <t>E :  AD Stephen W Barth</t>
  </si>
  <si>
    <t>G :  AD Sarah M Puskarenko</t>
  </si>
  <si>
    <t>J :  AD Patti   Foley</t>
  </si>
  <si>
    <t>L</t>
  </si>
  <si>
    <t>L :  AD David P Bunce</t>
  </si>
  <si>
    <t>N :  AD Theresa L Osborn</t>
  </si>
  <si>
    <t>T</t>
  </si>
  <si>
    <t>T :  AD Daniel G Howald</t>
  </si>
  <si>
    <t>Area 4</t>
  </si>
  <si>
    <t>A :  AD Brad  Edgar</t>
  </si>
  <si>
    <t>B :  AD Dawn E Powers</t>
  </si>
  <si>
    <t>C :  AD Refer to  SD</t>
  </si>
  <si>
    <t>J :  AD Brenda K Herian</t>
  </si>
  <si>
    <t>K</t>
  </si>
  <si>
    <t>K :  AD Debra K Pearson</t>
  </si>
  <si>
    <t>N :  AD Melanie R Thompson</t>
  </si>
  <si>
    <t>U :  AD Robert E Winters</t>
  </si>
  <si>
    <t>Area 5</t>
  </si>
  <si>
    <t>B :  AD Michael A Mays</t>
  </si>
  <si>
    <t>C :  AD Roberta G Malcolm</t>
  </si>
  <si>
    <t>D :  AD Tracie  Mullins</t>
  </si>
  <si>
    <t>E :  AD Donald R Wilson</t>
  </si>
  <si>
    <t>F :  AD David A Wood</t>
  </si>
  <si>
    <t>G :  AD Susan  Reed</t>
  </si>
  <si>
    <t>H :  AD Bryan M Marchand</t>
  </si>
  <si>
    <t>Area 6</t>
  </si>
  <si>
    <t>A :  AD Theresa E Frice</t>
  </si>
  <si>
    <t>B :  AD Donald L Finch</t>
  </si>
  <si>
    <t>C :  AD Charles A Rufa</t>
  </si>
  <si>
    <t>D :  AD Ronald   Schreiber</t>
  </si>
  <si>
    <t>E :  AD Jeff L Ransom</t>
  </si>
  <si>
    <t>F :  AD Louise  McCurry</t>
  </si>
  <si>
    <t>G :  AD Daniel J Sauer</t>
  </si>
  <si>
    <t>H :  AD Nathan F Schwartz</t>
  </si>
  <si>
    <t>Area 7</t>
  </si>
  <si>
    <t>A :  AD Maurice G Miranda</t>
  </si>
  <si>
    <t>E :  AD Conrad T Shiroma</t>
  </si>
  <si>
    <t>O</t>
  </si>
  <si>
    <t>O :  AD Matthew C Yim</t>
  </si>
  <si>
    <t>Area 8</t>
  </si>
  <si>
    <t>A :  AD Barbara J Johnson</t>
  </si>
  <si>
    <t>B :  AD Charles Andy A Nicks</t>
  </si>
  <si>
    <t>C :  AD Michael A Ricci</t>
  </si>
  <si>
    <t>D :  AD Kendall B Smith</t>
  </si>
  <si>
    <t>E :  AD Elizabeth A Baker</t>
  </si>
  <si>
    <t>F :  AD Carolyn M Taylor</t>
  </si>
  <si>
    <t>G :  AD David  Witter</t>
  </si>
  <si>
    <t>H :  AD Carrie   Edgerle</t>
  </si>
  <si>
    <t>J :  AD Gwynne L De Longpre</t>
  </si>
  <si>
    <t>Area 9</t>
  </si>
  <si>
    <t>B :  AD Eileen   Tabert</t>
  </si>
  <si>
    <t>I :  AD Daryn   Brasher</t>
  </si>
  <si>
    <t>M</t>
  </si>
  <si>
    <t>M :  AD Gene A Aubrey</t>
  </si>
  <si>
    <t>R :  AD David  Soelberg</t>
  </si>
  <si>
    <t>Area 10</t>
  </si>
  <si>
    <t>A :  AD Donna D Nelson</t>
  </si>
  <si>
    <t>D :  AD Charles N Johnson</t>
  </si>
  <si>
    <t>E :  AD Richard  Pagliarli</t>
  </si>
  <si>
    <t>O :  AD Refer to  SD</t>
  </si>
  <si>
    <t>Q :  AD Thomas F Lebens</t>
  </si>
  <si>
    <t>S :  AD Mark  Hovis</t>
  </si>
  <si>
    <t>V</t>
  </si>
  <si>
    <t>V :  AD Steve E Singer</t>
  </si>
  <si>
    <t>W</t>
  </si>
  <si>
    <t>W :  AD Archie C Shum</t>
  </si>
  <si>
    <t>Area 11</t>
  </si>
  <si>
    <t>E :  AD Robert W Beale</t>
  </si>
  <si>
    <t>K :  AD Anthony  De Giglio</t>
  </si>
  <si>
    <t>L :  AD James R Rosenberg</t>
  </si>
  <si>
    <t>Q :  AD Jack   McManus</t>
  </si>
  <si>
    <t>R :  AD Mark L Bol</t>
  </si>
  <si>
    <t>S :  AD Stephen R Minton</t>
  </si>
  <si>
    <t>V :  AD Sallie M Goodrow</t>
  </si>
  <si>
    <t>Z</t>
  </si>
  <si>
    <t>Z :  AD Gerardo  Gutierrez</t>
  </si>
  <si>
    <t>Area 12</t>
  </si>
  <si>
    <t>A :  AD Frank  Duarte</t>
  </si>
  <si>
    <t>B :  AD Janelle  Riedl</t>
  </si>
  <si>
    <t>C :  AD Robert C Daniel</t>
  </si>
  <si>
    <t>D :  AD Gary R Blanton</t>
  </si>
  <si>
    <t>E :  AD Thomas H Cox</t>
  </si>
  <si>
    <t>F :  AD Refer to  SD</t>
  </si>
  <si>
    <t>Area 13</t>
  </si>
  <si>
    <t>A :  AD WILLIAM D JAMES</t>
  </si>
  <si>
    <t>B :  AD Curtis B Broome</t>
  </si>
  <si>
    <t>C :  AD Sandy S Collier</t>
  </si>
  <si>
    <t>D :  AD Robert E Lasagna</t>
  </si>
  <si>
    <t>E :  AD Refer to  SD</t>
  </si>
  <si>
    <t>F :  AD Jack  Rapkin</t>
  </si>
  <si>
    <t>G :  AD Angela  Slayton-Sargent</t>
  </si>
  <si>
    <t>H :  AD Dianne J McCurley</t>
  </si>
  <si>
    <t>I :  AD Shari M Shaffer</t>
  </si>
  <si>
    <t>K :  AD John E Bush</t>
  </si>
  <si>
    <t>Y :  AD Bruce E Waugh</t>
  </si>
  <si>
    <t>Area 14</t>
  </si>
  <si>
    <t>A :  AD Richard N Bradwell</t>
  </si>
  <si>
    <t>I :  AD William D Reese</t>
  </si>
  <si>
    <t>J :  AD Michael  Hartley</t>
  </si>
  <si>
    <t>L :  AD Reggy R Monsanto</t>
  </si>
  <si>
    <t>Area 99</t>
  </si>
  <si>
    <t>A :  AD Carlos A Moya</t>
  </si>
  <si>
    <t>B :  AD Theresa J Bingham</t>
  </si>
  <si>
    <t>Pilot Date</t>
  </si>
  <si>
    <t>Charter Date</t>
  </si>
  <si>
    <t>Rif Date</t>
  </si>
  <si>
    <t>Budget Date</t>
  </si>
  <si>
    <t>Gdlins Date</t>
  </si>
  <si>
    <t>SigfrmDate</t>
  </si>
  <si>
    <t>Regional Commissioner</t>
  </si>
  <si>
    <t>NAP</t>
  </si>
  <si>
    <t>VIP</t>
  </si>
  <si>
    <t>FS2007</t>
  </si>
  <si>
    <t>C</t>
  </si>
  <si>
    <t>Y</t>
  </si>
  <si>
    <t>Thomas E Babineau</t>
  </si>
  <si>
    <t>P</t>
  </si>
  <si>
    <t>Fernando M Salazar</t>
  </si>
  <si>
    <t>Darryl E May</t>
  </si>
  <si>
    <t>Juan M Castaneda</t>
  </si>
  <si>
    <t>Chris  Mangelsdorf</t>
  </si>
  <si>
    <t>Angelica H Horne</t>
  </si>
  <si>
    <t>Michael S Machado</t>
  </si>
  <si>
    <t>Jane  Mason</t>
  </si>
  <si>
    <t>Marco  Quezada</t>
  </si>
  <si>
    <t>Hugo  Correa</t>
  </si>
  <si>
    <t>Anthony  Baclig</t>
  </si>
  <si>
    <t>Aldo A Mascheroni</t>
  </si>
  <si>
    <t>Lisa M Ortega</t>
  </si>
  <si>
    <t>Robert  MacTavish</t>
  </si>
  <si>
    <t>Bernardo   Hermosillo</t>
  </si>
  <si>
    <t>Jose M Estrada</t>
  </si>
  <si>
    <t>FS2002</t>
  </si>
  <si>
    <t>X</t>
  </si>
  <si>
    <t>E</t>
  </si>
  <si>
    <t>Refer to  AD</t>
  </si>
  <si>
    <t>Santiago   Cuevas</t>
  </si>
  <si>
    <t>Frank T Herrera</t>
  </si>
  <si>
    <t>David   Estrada</t>
  </si>
  <si>
    <t>N</t>
  </si>
  <si>
    <t>Cesar V Ramirez</t>
  </si>
  <si>
    <t>Pedro E Chavarria</t>
  </si>
  <si>
    <t>Cheryl S Savitt</t>
  </si>
  <si>
    <t>Bart R Cruz</t>
  </si>
  <si>
    <t>Lisa A Popovich</t>
  </si>
  <si>
    <t>Ramon C Pulido</t>
  </si>
  <si>
    <t>Michael   Riley</t>
  </si>
  <si>
    <t>Richard P Labayen</t>
  </si>
  <si>
    <t>Marco A Prado</t>
  </si>
  <si>
    <t>Anett M Scognamillo</t>
  </si>
  <si>
    <t>David G Behenna</t>
  </si>
  <si>
    <t>Andree Lorette Mannes</t>
  </si>
  <si>
    <t>Steve   Morgan</t>
  </si>
  <si>
    <t>D. R Monod DeFroideville</t>
  </si>
  <si>
    <t>Jose G Serrano</t>
  </si>
  <si>
    <t>Ruben A Olivas</t>
  </si>
  <si>
    <t>Q</t>
  </si>
  <si>
    <t>Troy E Safley</t>
  </si>
  <si>
    <t>William  Gomez</t>
  </si>
  <si>
    <t>Rob K Ferjo</t>
  </si>
  <si>
    <t>Ulrich R McNulty</t>
  </si>
  <si>
    <t>Sharon A Schumaier</t>
  </si>
  <si>
    <t>Cyrus W Robbins</t>
  </si>
  <si>
    <t>William  Diaz</t>
  </si>
  <si>
    <t>Dennis H Keat</t>
  </si>
  <si>
    <t>FS2001</t>
  </si>
  <si>
    <t>Kyle W Larick</t>
  </si>
  <si>
    <t>Thomas P Herrin</t>
  </si>
  <si>
    <t>Timothy P Maurer</t>
  </si>
  <si>
    <t>Sandy  Caplinger</t>
  </si>
  <si>
    <t>Darcy L Tonto-Zemp</t>
  </si>
  <si>
    <t>Kim S Bakos</t>
  </si>
  <si>
    <t>Vonda G Stone</t>
  </si>
  <si>
    <t>Vincent P Landay</t>
  </si>
  <si>
    <t>Deborah G Held</t>
  </si>
  <si>
    <t>Rita H Baumer</t>
  </si>
  <si>
    <t>Jeffrey S Pop</t>
  </si>
  <si>
    <t>Steven  Stautzenbach</t>
  </si>
  <si>
    <t>Leonel H Rodriguez</t>
  </si>
  <si>
    <t>Derrick   Butler</t>
  </si>
  <si>
    <t>Art E Heeg</t>
  </si>
  <si>
    <t>Richard C Garcia</t>
  </si>
  <si>
    <t>George W Brummer</t>
  </si>
  <si>
    <t>Terry L Moreno</t>
  </si>
  <si>
    <t>Tommy J Lather</t>
  </si>
  <si>
    <t>FS1997</t>
  </si>
  <si>
    <t>Region Inactive</t>
  </si>
  <si>
    <t>Jose L Salgado</t>
  </si>
  <si>
    <t>Patrick E Lavely</t>
  </si>
  <si>
    <t>Heather M Lange</t>
  </si>
  <si>
    <t>James J Simpson</t>
  </si>
  <si>
    <t>Tambi N Aragon</t>
  </si>
  <si>
    <t>FS1996</t>
  </si>
  <si>
    <t>I</t>
  </si>
  <si>
    <t>FS1999</t>
  </si>
  <si>
    <t>Richard B Foster</t>
  </si>
  <si>
    <t>Regina E Jackowiak</t>
  </si>
  <si>
    <t>FS2003</t>
  </si>
  <si>
    <t>Martine   Martinez</t>
  </si>
  <si>
    <t>Stephen Patrick Kennedy</t>
  </si>
  <si>
    <t>Susan E Heinzel</t>
  </si>
  <si>
    <t>Kathleen L Gonzalez</t>
  </si>
  <si>
    <t>Harry E Dalton</t>
  </si>
  <si>
    <t>Section 1 : SD Refer to  BL</t>
  </si>
  <si>
    <t>Michael J Sterns</t>
  </si>
  <si>
    <t>Saul  Rotblatt</t>
  </si>
  <si>
    <t>Alan John Black</t>
  </si>
  <si>
    <t>Darin R Roland</t>
  </si>
  <si>
    <t>James Drew Van Horne</t>
  </si>
  <si>
    <t>DAVID L TEICHMANN</t>
  </si>
  <si>
    <t>FS2005</t>
  </si>
  <si>
    <t>Tadelle  Yifru</t>
  </si>
  <si>
    <t>Michael J Palu</t>
  </si>
  <si>
    <t>Patricia O Reyes-Hernandez</t>
  </si>
  <si>
    <t>Mary Elena   Milliken</t>
  </si>
  <si>
    <t>Robert D Luttrell</t>
  </si>
  <si>
    <t>Ann M Buckley</t>
  </si>
  <si>
    <t>Joseph M Hull</t>
  </si>
  <si>
    <t>Jeffrey G McClure</t>
  </si>
  <si>
    <t>Steve   Forbes</t>
  </si>
  <si>
    <t>Thomas A Dumas</t>
  </si>
  <si>
    <t>SF1997</t>
  </si>
  <si>
    <t>Gabriel P Zepeda</t>
  </si>
  <si>
    <t>Patrick  Fuller</t>
  </si>
  <si>
    <t>Joaquin C Raya</t>
  </si>
  <si>
    <t>FS2004</t>
  </si>
  <si>
    <t>John T Abkemeier</t>
  </si>
  <si>
    <t>Diego   Garcia</t>
  </si>
  <si>
    <t>Harry F Miller</t>
  </si>
  <si>
    <t>Michael R Dedoshka</t>
  </si>
  <si>
    <t>Alfredo S Rodriguez</t>
  </si>
  <si>
    <t>Joseph F Hopelian</t>
  </si>
  <si>
    <t>Edward M Dominguez</t>
  </si>
  <si>
    <t>Brian  Paddock</t>
  </si>
  <si>
    <t>Jerry L Cates</t>
  </si>
  <si>
    <t>DARCI L THOMAS</t>
  </si>
  <si>
    <t>Mike g McGovern</t>
  </si>
  <si>
    <t>Thomas W Cormany</t>
  </si>
  <si>
    <t>Walter A Brinkerhoff</t>
  </si>
  <si>
    <t>Monica M Sanderson</t>
  </si>
  <si>
    <t>Mary Kay   Pate</t>
  </si>
  <si>
    <t>Gregg S Lawrence</t>
  </si>
  <si>
    <t>Mark D Lake</t>
  </si>
  <si>
    <t>Lisa C Morgan</t>
  </si>
  <si>
    <t>Lonnie D Abbott</t>
  </si>
  <si>
    <t>Gertrude (Winnie) M English</t>
  </si>
  <si>
    <t>John A Chavez</t>
  </si>
  <si>
    <t>Greg  Alexander</t>
  </si>
  <si>
    <t>Stephanie A Hannah</t>
  </si>
  <si>
    <t>Greg  Bissonette</t>
  </si>
  <si>
    <t>Cindy M Talia</t>
  </si>
  <si>
    <t>William R Lutze</t>
  </si>
  <si>
    <t>Chris  Anderson</t>
  </si>
  <si>
    <t>Rachael  Posada</t>
  </si>
  <si>
    <t>William Michael DeBusk</t>
  </si>
  <si>
    <t>Michael  Goldberg</t>
  </si>
  <si>
    <t>Arya E Degenhardt</t>
  </si>
  <si>
    <t>Mark A Chapman</t>
  </si>
  <si>
    <t>Connie D Laitinen</t>
  </si>
  <si>
    <t>Art  Zimmermann</t>
  </si>
  <si>
    <t>Toni M Bonfantini</t>
  </si>
  <si>
    <t>Maria G Gonzalez</t>
  </si>
  <si>
    <t>Robert  Manchia</t>
  </si>
  <si>
    <t>George S Kujiraoka</t>
  </si>
  <si>
    <t>Emil V Picchi</t>
  </si>
  <si>
    <t>Loretta L Rakstins</t>
  </si>
  <si>
    <t>Brad D Driver</t>
  </si>
  <si>
    <t>Daren L Stewart</t>
  </si>
  <si>
    <t>David V Bressie</t>
  </si>
  <si>
    <t>Shirlee A Roeder</t>
  </si>
  <si>
    <t>Jeanne M Andersen</t>
  </si>
  <si>
    <t>Marian L French</t>
  </si>
  <si>
    <t>George  Looney</t>
  </si>
  <si>
    <t>Annette F Byers</t>
  </si>
  <si>
    <t>Julia   White</t>
  </si>
  <si>
    <t>Jan E Bony</t>
  </si>
  <si>
    <t>Keith  Underdahl</t>
  </si>
  <si>
    <t>Craig A Dircksen</t>
  </si>
  <si>
    <t>FS1993</t>
  </si>
  <si>
    <t>FS1995</t>
  </si>
  <si>
    <t>William R Link</t>
  </si>
  <si>
    <t>FS2000</t>
  </si>
  <si>
    <t>Mark K Harris</t>
  </si>
  <si>
    <t>Section 2 : SD Janette L Rudkin</t>
  </si>
  <si>
    <t>Annette   Walker</t>
  </si>
  <si>
    <t>Bruce  Shearouse</t>
  </si>
  <si>
    <t>Dana L DiPrima</t>
  </si>
  <si>
    <t>Dewey M Thompson</t>
  </si>
  <si>
    <t>Karen F Feuer</t>
  </si>
  <si>
    <t>Louis   Sventora</t>
  </si>
  <si>
    <t>Stephen J Burnstin</t>
  </si>
  <si>
    <t>Michael J Dubois</t>
  </si>
  <si>
    <t>Carl F Johanson</t>
  </si>
  <si>
    <t>Scott D Weiss</t>
  </si>
  <si>
    <t>George F Bushnell</t>
  </si>
  <si>
    <t>Denise M D'Amico</t>
  </si>
  <si>
    <t>Thomas S Auray</t>
  </si>
  <si>
    <t>Marilyn A Benitez</t>
  </si>
  <si>
    <t>William  Landis</t>
  </si>
  <si>
    <t>John G Helmkamp</t>
  </si>
  <si>
    <t>Randall S Pittman</t>
  </si>
  <si>
    <t>Leonard B Brown</t>
  </si>
  <si>
    <t>Timothy Michael Patterson</t>
  </si>
  <si>
    <t>Todd V Saunders</t>
  </si>
  <si>
    <t>Raymond M Burynski</t>
  </si>
  <si>
    <t>Mark R Schmalz</t>
  </si>
  <si>
    <t>Scott G Gorgas</t>
  </si>
  <si>
    <t>Richard H Mueller</t>
  </si>
  <si>
    <t>Todd  Humiston</t>
  </si>
  <si>
    <t>Scott R Truett</t>
  </si>
  <si>
    <t>Lori K Engle</t>
  </si>
  <si>
    <t>Bruce C Broat</t>
  </si>
  <si>
    <t>James F Enos</t>
  </si>
  <si>
    <t>Patrick K Purcell</t>
  </si>
  <si>
    <t>maura  hatton</t>
  </si>
  <si>
    <t>Linda A Dittmar</t>
  </si>
  <si>
    <t>Allison A Lafever</t>
  </si>
  <si>
    <t>Kevin M Holmes</t>
  </si>
  <si>
    <t>Irvin   Bunce</t>
  </si>
  <si>
    <t>Mark W Weir</t>
  </si>
  <si>
    <t>Robert W Davenport</t>
  </si>
  <si>
    <t>Melissa A Allen</t>
  </si>
  <si>
    <t>Alan C Herbert</t>
  </si>
  <si>
    <t>Diane K Hausserman</t>
  </si>
  <si>
    <t>Christopher  Patterson</t>
  </si>
  <si>
    <t>Terry L Mizener</t>
  </si>
  <si>
    <t>Laura M Eysaman</t>
  </si>
  <si>
    <t>david c mosher</t>
  </si>
  <si>
    <t>Amy S Manning</t>
  </si>
  <si>
    <t>Lisa M Dunkelberg</t>
  </si>
  <si>
    <t>Kathleen B Bowerman</t>
  </si>
  <si>
    <t>Alexander  Rohac</t>
  </si>
  <si>
    <t>Arthur H Knapp</t>
  </si>
  <si>
    <t>Sharon  Finkle-Kleps</t>
  </si>
  <si>
    <t>Dane S Taylor</t>
  </si>
  <si>
    <t>Walter J Bean</t>
  </si>
  <si>
    <t>Mark E Lewandowski</t>
  </si>
  <si>
    <t>Gina M Kipp</t>
  </si>
  <si>
    <t>Heather M McPartlon-Geidel</t>
  </si>
  <si>
    <t>Ellen B Monaghan</t>
  </si>
  <si>
    <t>Andy   Charlery</t>
  </si>
  <si>
    <t>Michael R McCann</t>
  </si>
  <si>
    <t>Jon E Abouaf</t>
  </si>
  <si>
    <t>Craig W Manning</t>
  </si>
  <si>
    <t>William   Sahler</t>
  </si>
  <si>
    <t>Lorrie   Maher</t>
  </si>
  <si>
    <t>Meredith R Esselman</t>
  </si>
  <si>
    <t>Keith R Anderson</t>
  </si>
  <si>
    <t>Jimi m Grassi</t>
  </si>
  <si>
    <t>Bryan Michael Bonitz</t>
  </si>
  <si>
    <t>Kimberly   Thompson</t>
  </si>
  <si>
    <t>Donald   viele</t>
  </si>
  <si>
    <t>John  Moul</t>
  </si>
  <si>
    <t>Kristen   Meyer</t>
  </si>
  <si>
    <t>Mary P Killian</t>
  </si>
  <si>
    <t>Wendy S Julkerski</t>
  </si>
  <si>
    <t>Keith A Bond</t>
  </si>
  <si>
    <t>Jodi L Gaines</t>
  </si>
  <si>
    <t>Amy M Klos</t>
  </si>
  <si>
    <t>Michael J Ferguson</t>
  </si>
  <si>
    <t>Edward G Heller</t>
  </si>
  <si>
    <t>Laurence A Grob</t>
  </si>
  <si>
    <t>Leonard P Vallario</t>
  </si>
  <si>
    <t>Colleen G Wagner</t>
  </si>
  <si>
    <t>Christine M Werlau</t>
  </si>
  <si>
    <t>Philip  Ishmael</t>
  </si>
  <si>
    <t>Daniel   Cohen</t>
  </si>
  <si>
    <t>Rossano C Polvara</t>
  </si>
  <si>
    <t>Hossein A Fassa</t>
  </si>
  <si>
    <t>James G Dore</t>
  </si>
  <si>
    <t>David J Rose</t>
  </si>
  <si>
    <t>Mike  Castro</t>
  </si>
  <si>
    <t>Donald E Laing</t>
  </si>
  <si>
    <t>Josh  Blumenthal</t>
  </si>
  <si>
    <t>William G Cavanagh</t>
  </si>
  <si>
    <t>Ira E Silfin</t>
  </si>
  <si>
    <t>Ripton  Cooke</t>
  </si>
  <si>
    <t>Section 3 : SD Peter  van der Heijden</t>
  </si>
  <si>
    <t>Peter  Sherwin</t>
  </si>
  <si>
    <t>Steven C Dutton</t>
  </si>
  <si>
    <t>Judy   Gabriel</t>
  </si>
  <si>
    <t>Lewis A Hawley</t>
  </si>
  <si>
    <t>Jeanine M Marlar</t>
  </si>
  <si>
    <t>Christy  Jackson</t>
  </si>
  <si>
    <t>Kelli Bernadette Steinkuehler</t>
  </si>
  <si>
    <t>Laura E Klein</t>
  </si>
  <si>
    <t>Lora K Jensen</t>
  </si>
  <si>
    <t>Mary D Taggs</t>
  </si>
  <si>
    <t>Jennifer L Skinner</t>
  </si>
  <si>
    <t>SF2001</t>
  </si>
  <si>
    <t>SF1998</t>
  </si>
  <si>
    <t>SF2000</t>
  </si>
  <si>
    <t>Clifford M St Clair</t>
  </si>
  <si>
    <t>SF1999</t>
  </si>
  <si>
    <t>Penelope Dawn Yates</t>
  </si>
  <si>
    <t>Troy D Pedersen</t>
  </si>
  <si>
    <t>David A Shields</t>
  </si>
  <si>
    <t>Don W Andrews</t>
  </si>
  <si>
    <t>Jennifer Lee White</t>
  </si>
  <si>
    <t>Tina M Harris</t>
  </si>
  <si>
    <t>Darrel W Willis</t>
  </si>
  <si>
    <t>Robert  Pinkerton</t>
  </si>
  <si>
    <t>SF2002</t>
  </si>
  <si>
    <t>Toby J Kuhn</t>
  </si>
  <si>
    <t>David A Costantini</t>
  </si>
  <si>
    <t>Audie L Brockel</t>
  </si>
  <si>
    <t>Lara P Edwards</t>
  </si>
  <si>
    <t>Annette Orene Hoepfner</t>
  </si>
  <si>
    <t>Karin L Yarnell</t>
  </si>
  <si>
    <t>Richard D Pearson</t>
  </si>
  <si>
    <t>Jennifer R Mueller</t>
  </si>
  <si>
    <t>Ken D Haberl</t>
  </si>
  <si>
    <t>Lisa L Miller</t>
  </si>
  <si>
    <t>Heinrich L Klinge</t>
  </si>
  <si>
    <t>Patricia   Rudy</t>
  </si>
  <si>
    <t>Peter Hamilton Sloan</t>
  </si>
  <si>
    <t>Jamie Dionne Vines</t>
  </si>
  <si>
    <t>Spring2002</t>
  </si>
  <si>
    <t>Barbara A Williams</t>
  </si>
  <si>
    <t>Kevin R. Ainsworth</t>
  </si>
  <si>
    <t>Laticia M Sumner</t>
  </si>
  <si>
    <t>Pam   Houdek</t>
  </si>
  <si>
    <t>Heather A Pardun</t>
  </si>
  <si>
    <t>David H Luong</t>
  </si>
  <si>
    <t>Cheryl L Murdoch</t>
  </si>
  <si>
    <t>Joyce E Lauer</t>
  </si>
  <si>
    <t>Steve  Maguire</t>
  </si>
  <si>
    <t>Shelly A Kaspar-Cope</t>
  </si>
  <si>
    <t>Monika E Anderson</t>
  </si>
  <si>
    <t>Robert W Horner</t>
  </si>
  <si>
    <t>Gordon S Ritthaler</t>
  </si>
  <si>
    <t>Ronald R Roenne</t>
  </si>
  <si>
    <t>Barry R Wilson</t>
  </si>
  <si>
    <t>Troy  Strunk</t>
  </si>
  <si>
    <t>Kari L McCloud</t>
  </si>
  <si>
    <t>FS2006</t>
  </si>
  <si>
    <t>Section 4 : SD Darryl S Roberts</t>
  </si>
  <si>
    <t>Michael E Goin</t>
  </si>
  <si>
    <t>Rene Eddie Neely</t>
  </si>
  <si>
    <t>Lynda C Morse</t>
  </si>
  <si>
    <t>Steve R Sanders</t>
  </si>
  <si>
    <t>Cynthia  Kang-Rotondo</t>
  </si>
  <si>
    <t>Darren K Rogers</t>
  </si>
  <si>
    <t>George H Burgess</t>
  </si>
  <si>
    <t>June J Douglass</t>
  </si>
  <si>
    <t>Lorri A Kimbrough</t>
  </si>
  <si>
    <t>Amanda Hope Bailey</t>
  </si>
  <si>
    <t>David  Kemp</t>
  </si>
  <si>
    <t>Eddie G Shultz</t>
  </si>
  <si>
    <t>William C Kee</t>
  </si>
  <si>
    <t>Michael J Herrell</t>
  </si>
  <si>
    <t>Allan W Hancock</t>
  </si>
  <si>
    <t>Justin M Smith</t>
  </si>
  <si>
    <t>Deborah L Farmer</t>
  </si>
  <si>
    <t>Jessica   Avila</t>
  </si>
  <si>
    <t>Doug  Gooch</t>
  </si>
  <si>
    <t>J.D.   Hall</t>
  </si>
  <si>
    <t>Gregory L Oliver</t>
  </si>
  <si>
    <t>Ernest H Tipton</t>
  </si>
  <si>
    <t>Jennifer K Bachman</t>
  </si>
  <si>
    <t>Bob   Ellington</t>
  </si>
  <si>
    <t>Matt  Comstock</t>
  </si>
  <si>
    <t>Shannon L Gentry</t>
  </si>
  <si>
    <t>Bentley T Beard</t>
  </si>
  <si>
    <t>Daniel  Spangle</t>
  </si>
  <si>
    <t>Kimberly L McNeil</t>
  </si>
  <si>
    <t>Shannon N Cleveland</t>
  </si>
  <si>
    <t>Raylene  Stephenson</t>
  </si>
  <si>
    <t>Davis H Swaim</t>
  </si>
  <si>
    <t>Kathy H Riley</t>
  </si>
  <si>
    <t>Michael  Coffey</t>
  </si>
  <si>
    <t>Harry  Mamroth</t>
  </si>
  <si>
    <t>Helmut  Ziegler</t>
  </si>
  <si>
    <t>Kristine B Kampfen</t>
  </si>
  <si>
    <t>Sheri F Green</t>
  </si>
  <si>
    <t>FS1998</t>
  </si>
  <si>
    <t>Robert A FitzPatrick</t>
  </si>
  <si>
    <t>Dawn M Arneach</t>
  </si>
  <si>
    <t>James E Michael</t>
  </si>
  <si>
    <t>Kevin D Robinson</t>
  </si>
  <si>
    <t>Kevin A Marazzi</t>
  </si>
  <si>
    <t>Darrell E Harris</t>
  </si>
  <si>
    <t>Sheryl L Rizk</t>
  </si>
  <si>
    <t>Todd A Bohanan</t>
  </si>
  <si>
    <t>Shannon L Lyle</t>
  </si>
  <si>
    <t>Richard  Resler</t>
  </si>
  <si>
    <t>Sheri   Farley</t>
  </si>
  <si>
    <t>David L Vinson</t>
  </si>
  <si>
    <t>Stacy G Franks</t>
  </si>
  <si>
    <t>Rhonda S Dennis</t>
  </si>
  <si>
    <t>Stacey L Calvert</t>
  </si>
  <si>
    <t>Shannon K Cavender</t>
  </si>
  <si>
    <t>Matthew Clinton Buck</t>
  </si>
  <si>
    <t>Erica L Ammons</t>
  </si>
  <si>
    <t>Mickie L Phillips</t>
  </si>
  <si>
    <t>Samuel F Lariviere</t>
  </si>
  <si>
    <t>Gerard P Arsenault</t>
  </si>
  <si>
    <t>Michelle L Harris</t>
  </si>
  <si>
    <t>Richard  Phillips</t>
  </si>
  <si>
    <t>David   Robbins</t>
  </si>
  <si>
    <t>John Phillip Bailey</t>
  </si>
  <si>
    <t>Deborah D Hymel</t>
  </si>
  <si>
    <t>Ferdinand   Rodriguez</t>
  </si>
  <si>
    <t>LaSonia B Whitehead</t>
  </si>
  <si>
    <t>Lisa H Cranford</t>
  </si>
  <si>
    <t>Jeremy  Parker</t>
  </si>
  <si>
    <t>Gary C Lindsey</t>
  </si>
  <si>
    <t>Section 5 : SD Lee   Stewart</t>
  </si>
  <si>
    <t>Deborah L Gallagher</t>
  </si>
  <si>
    <t>Mark  Will</t>
  </si>
  <si>
    <t>MARK A DELAMAR</t>
  </si>
  <si>
    <t>Jose C Velarde</t>
  </si>
  <si>
    <t>Wendy C Driver</t>
  </si>
  <si>
    <t>Joni L Goodmann</t>
  </si>
  <si>
    <t>Mark T Fuhr</t>
  </si>
  <si>
    <t>Edward A Gobler</t>
  </si>
  <si>
    <t>Jeffrey D Waite</t>
  </si>
  <si>
    <t>Paul T Johnson</t>
  </si>
  <si>
    <t>SF2004</t>
  </si>
  <si>
    <t>Mary S Ahnen</t>
  </si>
  <si>
    <t>Andrew J Bangsberg</t>
  </si>
  <si>
    <t>Karin A Carlson</t>
  </si>
  <si>
    <t>Jeffery R Kot</t>
  </si>
  <si>
    <t>Karen  Krupa</t>
  </si>
  <si>
    <t>Cherie K Fischer</t>
  </si>
  <si>
    <t>Michael Alan Bagley</t>
  </si>
  <si>
    <t>Brenda  Buck</t>
  </si>
  <si>
    <t>Marnie L Bergmann</t>
  </si>
  <si>
    <t>Robyn L Miche'</t>
  </si>
  <si>
    <t>Timothy M O'Connor</t>
  </si>
  <si>
    <t>Patricia M Hawkins</t>
  </si>
  <si>
    <t>Dennette Michelle Johnson</t>
  </si>
  <si>
    <t>Thomas B Solon</t>
  </si>
  <si>
    <t>William M Otto</t>
  </si>
  <si>
    <t>Shawn P Gunst</t>
  </si>
  <si>
    <t>Anthony  Hamilton</t>
  </si>
  <si>
    <t>Martin   Oster</t>
  </si>
  <si>
    <t>James A Stortz</t>
  </si>
  <si>
    <t>Lawrence E Mish</t>
  </si>
  <si>
    <t>Patricia J Ciesla</t>
  </si>
  <si>
    <t>Robert  Temple</t>
  </si>
  <si>
    <t>John F Galligan</t>
  </si>
  <si>
    <t>Richard A Costello</t>
  </si>
  <si>
    <t>Elena   Saclarides</t>
  </si>
  <si>
    <t>Nives   Bernardi</t>
  </si>
  <si>
    <t>Steven J Levine</t>
  </si>
  <si>
    <t>Lee  Karlin</t>
  </si>
  <si>
    <t>Cynthia R Plouche</t>
  </si>
  <si>
    <t>John A Forlow</t>
  </si>
  <si>
    <t>Timothy A Daugherty</t>
  </si>
  <si>
    <t>Mary   Dunne</t>
  </si>
  <si>
    <t>Cheryl  Birkbeck</t>
  </si>
  <si>
    <t>Leon J Hegewald</t>
  </si>
  <si>
    <t>Thomas   Buonadonna</t>
  </si>
  <si>
    <t>Andy J Wooldridge</t>
  </si>
  <si>
    <t>Robert B Smith</t>
  </si>
  <si>
    <t>Paul P Rafac</t>
  </si>
  <si>
    <t>Stuart   Baum</t>
  </si>
  <si>
    <t>Reginald D Cole</t>
  </si>
  <si>
    <t>Kevin P Toye</t>
  </si>
  <si>
    <t>Sreeram  Nair</t>
  </si>
  <si>
    <t>Maricela   Castillo-Ibarra</t>
  </si>
  <si>
    <t>SF2003</t>
  </si>
  <si>
    <t>Andrew G Meyer</t>
  </si>
  <si>
    <t>Francine  Schwartz-Arroyo</t>
  </si>
  <si>
    <t>Celestine T Reda</t>
  </si>
  <si>
    <t>Deena   Hammond</t>
  </si>
  <si>
    <t>Sherri L Cowans</t>
  </si>
  <si>
    <t>Quinton L Brown</t>
  </si>
  <si>
    <t>Matthew S Hanlon</t>
  </si>
  <si>
    <t>Matt D Kottman</t>
  </si>
  <si>
    <t>James E Hanson</t>
  </si>
  <si>
    <t>Rich  Legge</t>
  </si>
  <si>
    <t>Tammy J Beverley</t>
  </si>
  <si>
    <t>Scott A Hoffmann</t>
  </si>
  <si>
    <t>Timothy R Hopkins</t>
  </si>
  <si>
    <t>FS1994</t>
  </si>
  <si>
    <t>Daniel J Hill</t>
  </si>
  <si>
    <t>Norden S Gilbert</t>
  </si>
  <si>
    <t>David A Lund</t>
  </si>
  <si>
    <t>David W Hill</t>
  </si>
  <si>
    <t>Jay   Bratko</t>
  </si>
  <si>
    <t>Bennett P Kissel</t>
  </si>
  <si>
    <t>Tom C Nielsen</t>
  </si>
  <si>
    <t>Jeffrey   Taylor</t>
  </si>
  <si>
    <t>Section 6 : SD Wells  Frice</t>
  </si>
  <si>
    <t>David N Brown</t>
  </si>
  <si>
    <t>Sue  Dela Cruz</t>
  </si>
  <si>
    <t>Cathy D Sawada</t>
  </si>
  <si>
    <t>Sheldene K Hozaki</t>
  </si>
  <si>
    <t>Keith  duBois</t>
  </si>
  <si>
    <t>David S Makua</t>
  </si>
  <si>
    <t>Owen D Ueno</t>
  </si>
  <si>
    <t>Brian A Cremer</t>
  </si>
  <si>
    <t>Robert C French</t>
  </si>
  <si>
    <t>Yukiko M Sassone</t>
  </si>
  <si>
    <t>Gregory R Hopkins</t>
  </si>
  <si>
    <t>Clyde S Asato</t>
  </si>
  <si>
    <t>Dunstan Peter Canne</t>
  </si>
  <si>
    <t>Kenneth S Honeker</t>
  </si>
  <si>
    <t>Obed K Donlin</t>
  </si>
  <si>
    <t>Tim T Kawahakui</t>
  </si>
  <si>
    <t>Richard J Oei</t>
  </si>
  <si>
    <t>Gary  Tashiro</t>
  </si>
  <si>
    <t>James R Fernandez</t>
  </si>
  <si>
    <t>Guy  Anama</t>
  </si>
  <si>
    <t>Roy Y Takekawa</t>
  </si>
  <si>
    <t>Kent S Goya</t>
  </si>
  <si>
    <t>Ginger   Matayoghi</t>
  </si>
  <si>
    <t>Antonette L Yamamoto</t>
  </si>
  <si>
    <t>Reynold M Gima</t>
  </si>
  <si>
    <t>Section 7 : SD Brendan K Cravalho</t>
  </si>
  <si>
    <t>Dale A Hall</t>
  </si>
  <si>
    <t>Cheryl A Finnila</t>
  </si>
  <si>
    <t>Stacy M Mentel</t>
  </si>
  <si>
    <t>Phillip S Moon</t>
  </si>
  <si>
    <t>Amy K Oram</t>
  </si>
  <si>
    <t>Carmen M Brow</t>
  </si>
  <si>
    <t>Brett M Karhoff</t>
  </si>
  <si>
    <t>James P Yarbrough</t>
  </si>
  <si>
    <t>Nicole M Townsend</t>
  </si>
  <si>
    <t>Ronald L Neumann</t>
  </si>
  <si>
    <t>Dan  Coles</t>
  </si>
  <si>
    <t>Jackie s Kukal</t>
  </si>
  <si>
    <t>Charles Andy A Nicks</t>
  </si>
  <si>
    <t>Thomas M Vander Molen</t>
  </si>
  <si>
    <t>Brian m England</t>
  </si>
  <si>
    <t>Douglas J Beauregard</t>
  </si>
  <si>
    <t>Dave l Delpiere</t>
  </si>
  <si>
    <t>Amy L Hedgecock</t>
  </si>
  <si>
    <t>Kim K Missman</t>
  </si>
  <si>
    <t>Kelli M Vaughan</t>
  </si>
  <si>
    <t>Todd S Rozema</t>
  </si>
  <si>
    <t>Arlyn J Coffey</t>
  </si>
  <si>
    <t>Jesusa S Hernandez</t>
  </si>
  <si>
    <t>Scott A Kierzek</t>
  </si>
  <si>
    <t>Alexander w Truesdale</t>
  </si>
  <si>
    <t>Robert C Schatow</t>
  </si>
  <si>
    <t>Douglas H Damm</t>
  </si>
  <si>
    <t>Suzanne  Saunders</t>
  </si>
  <si>
    <t>Thomas G Korth</t>
  </si>
  <si>
    <t>Oliver   Bosnjakovski</t>
  </si>
  <si>
    <t>Michael  Rutkowski</t>
  </si>
  <si>
    <t>Robert W Saelens</t>
  </si>
  <si>
    <t>Richard B Higgerson</t>
  </si>
  <si>
    <t>Dennis A Manter</t>
  </si>
  <si>
    <t>William G Hembree</t>
  </si>
  <si>
    <t>Karen Kristine Kaminski</t>
  </si>
  <si>
    <t>Michael   Fiscus</t>
  </si>
  <si>
    <t>Karen A Watt</t>
  </si>
  <si>
    <t>Steven J Krause</t>
  </si>
  <si>
    <t>Louis W Tisch</t>
  </si>
  <si>
    <t>Paula   Parisot</t>
  </si>
  <si>
    <t>Dennis L Carroll</t>
  </si>
  <si>
    <t>William G Fedewa</t>
  </si>
  <si>
    <t>Brandon  Perkins</t>
  </si>
  <si>
    <t>James F Wait</t>
  </si>
  <si>
    <t>Phil L Noakes</t>
  </si>
  <si>
    <t>Andrea M Smith</t>
  </si>
  <si>
    <t>Theresa D Sheldon</t>
  </si>
  <si>
    <t>Victoria G Snyder</t>
  </si>
  <si>
    <t>Nicola J DeBrabander</t>
  </si>
  <si>
    <t>Tim   Hart Haberl</t>
  </si>
  <si>
    <t>Mark  Grost</t>
  </si>
  <si>
    <t>Brandy L Neelis</t>
  </si>
  <si>
    <t>Matthew  Galer</t>
  </si>
  <si>
    <t>Patrick E Hancox</t>
  </si>
  <si>
    <t>Jon  Hornburg</t>
  </si>
  <si>
    <t>Kevin  Russell</t>
  </si>
  <si>
    <t>Nicholas E Guntz</t>
  </si>
  <si>
    <t>Scott D Hunter</t>
  </si>
  <si>
    <t>Marci M Mauldin</t>
  </si>
  <si>
    <t>Raymond L Buck</t>
  </si>
  <si>
    <t>Susan S Heaslip</t>
  </si>
  <si>
    <t>Michael K Mills</t>
  </si>
  <si>
    <t>Cynthia Ann Montney</t>
  </si>
  <si>
    <t>Christopher J Rittmueller</t>
  </si>
  <si>
    <t>Paul W Kerr</t>
  </si>
  <si>
    <t>Coleen S Martin</t>
  </si>
  <si>
    <t>Charlotte A Yettaw</t>
  </si>
  <si>
    <t>Refer to  SD</t>
  </si>
  <si>
    <t>Christopher David Clark</t>
  </si>
  <si>
    <t>Duane S Will</t>
  </si>
  <si>
    <t>Scott M Jones</t>
  </si>
  <si>
    <t>Jennifer M Ross</t>
  </si>
  <si>
    <t>Warren L Kuhl</t>
  </si>
  <si>
    <t>Scott D Beardslee</t>
  </si>
  <si>
    <t>Joanne  Zang</t>
  </si>
  <si>
    <t>Nicole R Sanchez</t>
  </si>
  <si>
    <t>William N Hoffmann</t>
  </si>
  <si>
    <t>John M Matus</t>
  </si>
  <si>
    <t>Brian  Brandt</t>
  </si>
  <si>
    <t>Ronald D Mills</t>
  </si>
  <si>
    <t>Laura   McLogan-Karle</t>
  </si>
  <si>
    <t>Eric L Woerner</t>
  </si>
  <si>
    <t>David M McKeighan</t>
  </si>
  <si>
    <t>John   Tache</t>
  </si>
  <si>
    <t>Sharlene A Timmons</t>
  </si>
  <si>
    <t>Joshua  Inman</t>
  </si>
  <si>
    <t>Daniel   Failla</t>
  </si>
  <si>
    <t>Dawn  Ignat</t>
  </si>
  <si>
    <t>Laura L Marentette</t>
  </si>
  <si>
    <t>Fay E Nickel</t>
  </si>
  <si>
    <t>Bill C Caputo</t>
  </si>
  <si>
    <t>Dana  Webster</t>
  </si>
  <si>
    <t>Barbara E Gonzales</t>
  </si>
  <si>
    <t>Brian  Plawecki</t>
  </si>
  <si>
    <t>Lori Ann Harmon</t>
  </si>
  <si>
    <t>Scott A Dingman</t>
  </si>
  <si>
    <t>Carol A Tondreau</t>
  </si>
  <si>
    <t>Sandy A Lane</t>
  </si>
  <si>
    <t>Daniel  Dixon</t>
  </si>
  <si>
    <t>Joan L Feyen</t>
  </si>
  <si>
    <t>Matthew J Kwantes</t>
  </si>
  <si>
    <t>Roy D Hawkins</t>
  </si>
  <si>
    <t>James A Hagene</t>
  </si>
  <si>
    <t>Dean K Hubbard</t>
  </si>
  <si>
    <t>Kristin E Keizer</t>
  </si>
  <si>
    <t>Jeffrey A Blum</t>
  </si>
  <si>
    <t>Thomas J Griffioen</t>
  </si>
  <si>
    <t>Section 8 : SD Eric R Yott</t>
  </si>
  <si>
    <t>Jenny L McVey</t>
  </si>
  <si>
    <t>Lisa Aleen Fuelling</t>
  </si>
  <si>
    <t>Brett K Wardle</t>
  </si>
  <si>
    <t>Jolene T Mohar</t>
  </si>
  <si>
    <t>Kevin J Cravey</t>
  </si>
  <si>
    <t>Karen  Jackson</t>
  </si>
  <si>
    <t>Scott  Mayfield</t>
  </si>
  <si>
    <t>Gordon L White</t>
  </si>
  <si>
    <t>Phillis L Silliman</t>
  </si>
  <si>
    <t>Kim L Rasmussen</t>
  </si>
  <si>
    <t>Shauna S Kump</t>
  </si>
  <si>
    <t>Angela Dawn Stofey</t>
  </si>
  <si>
    <t>Marc R Carroll</t>
  </si>
  <si>
    <t>Jill A Fransen</t>
  </si>
  <si>
    <t>Leland D Nelson</t>
  </si>
  <si>
    <t>Allyson D Briese</t>
  </si>
  <si>
    <t>Gretchen L Swift</t>
  </si>
  <si>
    <t>Jennifer G Lane</t>
  </si>
  <si>
    <t>John A Marjerison</t>
  </si>
  <si>
    <t>Daniel M Wilmot</t>
  </si>
  <si>
    <t>Lance S Hoover</t>
  </si>
  <si>
    <t>Arleigh W Dodson</t>
  </si>
  <si>
    <t>Nathaniel O Jorden</t>
  </si>
  <si>
    <t>Christi  Kallstrom</t>
  </si>
  <si>
    <t>Keith C MacMurdie</t>
  </si>
  <si>
    <t>Michael S Grieshaber</t>
  </si>
  <si>
    <t>Andrew R Hartmann</t>
  </si>
  <si>
    <t>GRANT  SINGLETON</t>
  </si>
  <si>
    <t>Richard W Ulibarri</t>
  </si>
  <si>
    <t>Shannon   Hawkins</t>
  </si>
  <si>
    <t>Natalie  Lawes</t>
  </si>
  <si>
    <t>Joe  Drago</t>
  </si>
  <si>
    <t>Lisa  Tracy</t>
  </si>
  <si>
    <t>Shar   Leatherow</t>
  </si>
  <si>
    <t>Bruce D Illum</t>
  </si>
  <si>
    <t>Kent W Coburn</t>
  </si>
  <si>
    <t>Kay   Larrison</t>
  </si>
  <si>
    <t>Shawn C Saban</t>
  </si>
  <si>
    <t>Janalene   Roseman</t>
  </si>
  <si>
    <t>Kenda C Tanner</t>
  </si>
  <si>
    <t>Julie A Belton</t>
  </si>
  <si>
    <t>Rick T Bowles</t>
  </si>
  <si>
    <t>Section 9 : SD Dave   Oram</t>
  </si>
  <si>
    <t>Robert P Greco</t>
  </si>
  <si>
    <t>Judith A Vaughn</t>
  </si>
  <si>
    <t>Avis L Chadwick</t>
  </si>
  <si>
    <t>Janet C Fenton</t>
  </si>
  <si>
    <t>Beth M Villanueva</t>
  </si>
  <si>
    <t>John C Buckley</t>
  </si>
  <si>
    <t>Nashid H Salahud-Din</t>
  </si>
  <si>
    <t>Luis E Ponce</t>
  </si>
  <si>
    <t>Humberto   Topete</t>
  </si>
  <si>
    <t>Rita R Jimenez</t>
  </si>
  <si>
    <t>David E Moren</t>
  </si>
  <si>
    <t>Ladonna  Kirby</t>
  </si>
  <si>
    <t>Karen M Tillquist</t>
  </si>
  <si>
    <t>Tim   Bacon</t>
  </si>
  <si>
    <t>Emil Demon Graves</t>
  </si>
  <si>
    <t>John M Meikle</t>
  </si>
  <si>
    <t>Robert  Olivarez</t>
  </si>
  <si>
    <t>Kristen A Pearson</t>
  </si>
  <si>
    <t>John Vincent Otis</t>
  </si>
  <si>
    <t>Ricardo  Rohde</t>
  </si>
  <si>
    <t>Thomas E Krause</t>
  </si>
  <si>
    <t>Beatriz A Romero</t>
  </si>
  <si>
    <t>ANTHONY P DONADIO</t>
  </si>
  <si>
    <t>Brigette M Brazier</t>
  </si>
  <si>
    <t>Daniel  Rowe</t>
  </si>
  <si>
    <t>Graham A Rice</t>
  </si>
  <si>
    <t>Niall B Stewart</t>
  </si>
  <si>
    <t>Thomas E Sorce</t>
  </si>
  <si>
    <t>Martin F Abbiss</t>
  </si>
  <si>
    <t>Rui A Godinho</t>
  </si>
  <si>
    <t>Don A Ramirez</t>
  </si>
  <si>
    <t>Bob   Domm</t>
  </si>
  <si>
    <t>Kirk L Irwin</t>
  </si>
  <si>
    <t>David  Montgomery</t>
  </si>
  <si>
    <t>Harry   Frame</t>
  </si>
  <si>
    <t>John L Meneses</t>
  </si>
  <si>
    <t>Javier   Quevedo</t>
  </si>
  <si>
    <t>James M Baca</t>
  </si>
  <si>
    <t>Tamara  Slocum</t>
  </si>
  <si>
    <t>Andy W Knightley</t>
  </si>
  <si>
    <t>Staci  Truelson</t>
  </si>
  <si>
    <t>Sandy   Menane</t>
  </si>
  <si>
    <t>Paul "Chris" C Cline</t>
  </si>
  <si>
    <t>John A Cox</t>
  </si>
  <si>
    <t>Jim B Naranjo</t>
  </si>
  <si>
    <t>Quintin   Quinteros</t>
  </si>
  <si>
    <t>Lauren L Rauch</t>
  </si>
  <si>
    <t>Althea   John</t>
  </si>
  <si>
    <t>Mark T Singer</t>
  </si>
  <si>
    <t>Ahuva  Fogel</t>
  </si>
  <si>
    <t>Shinaan s Krakowsky</t>
  </si>
  <si>
    <t>Monique  Franklin</t>
  </si>
  <si>
    <t>John M Wawee</t>
  </si>
  <si>
    <t>Jose  Perez</t>
  </si>
  <si>
    <t>David G Mena</t>
  </si>
  <si>
    <t>Martha   Duenas</t>
  </si>
  <si>
    <t>Victor M Pelaya</t>
  </si>
  <si>
    <t>Ruben A Gonzalez</t>
  </si>
  <si>
    <t>Sylvia S De Santiago</t>
  </si>
  <si>
    <t>John   Maloney</t>
  </si>
  <si>
    <t>Amber   Todd</t>
  </si>
  <si>
    <t>Norma  Alvarez</t>
  </si>
  <si>
    <t>Greg   Aguilar</t>
  </si>
  <si>
    <t>Matthew G Winegar</t>
  </si>
  <si>
    <t>Theresa Louise Jester</t>
  </si>
  <si>
    <t>Section 10 : SD Michael A Marks</t>
  </si>
  <si>
    <t>Scott T Monzingo</t>
  </si>
  <si>
    <t>ERANDY  MORRELLO</t>
  </si>
  <si>
    <t>miguel  hernandez</t>
  </si>
  <si>
    <t>Craig A Ball</t>
  </si>
  <si>
    <t>Eduardo  Ramirez</t>
  </si>
  <si>
    <t>Carlos A Lopez</t>
  </si>
  <si>
    <t>Ken A Spira</t>
  </si>
  <si>
    <t>Fredrick M Freeman</t>
  </si>
  <si>
    <t>Gary L Schutt</t>
  </si>
  <si>
    <t>George "Russ" R Marlow</t>
  </si>
  <si>
    <t>John  Gray</t>
  </si>
  <si>
    <t>John  Almanza</t>
  </si>
  <si>
    <t>Phillip John Hice</t>
  </si>
  <si>
    <t>Brett C Minter</t>
  </si>
  <si>
    <t>Rodolfo  Cordova</t>
  </si>
  <si>
    <t>William D Bivens</t>
  </si>
  <si>
    <t>Paul A. Levey</t>
  </si>
  <si>
    <t>Diana Leigh Presta</t>
  </si>
  <si>
    <t>Douglas  Cirbo</t>
  </si>
  <si>
    <t>Alan K Caserio</t>
  </si>
  <si>
    <t>Tim  Dickinson</t>
  </si>
  <si>
    <t>Gary R Hartung</t>
  </si>
  <si>
    <t>Patrick R White</t>
  </si>
  <si>
    <t>John G Jacovides</t>
  </si>
  <si>
    <t>Dana  Edwards</t>
  </si>
  <si>
    <t>Ronald S Guerena</t>
  </si>
  <si>
    <t>Phillip J Greenberg</t>
  </si>
  <si>
    <t>Christopher S Morgan</t>
  </si>
  <si>
    <t>Jeff  Braun</t>
  </si>
  <si>
    <t>John s Rubright</t>
  </si>
  <si>
    <t>Donald W Kelley</t>
  </si>
  <si>
    <t>Jonathan  Smith</t>
  </si>
  <si>
    <t>Audrey R Castreje</t>
  </si>
  <si>
    <t>John G Gomez</t>
  </si>
  <si>
    <t>Anthony J LaRocco</t>
  </si>
  <si>
    <t>Byron E Wright</t>
  </si>
  <si>
    <t>Mark D Hammond</t>
  </si>
  <si>
    <t>Bret R Henning</t>
  </si>
  <si>
    <t>Phillip Anthony Rogers</t>
  </si>
  <si>
    <t>Felipe  Valdez</t>
  </si>
  <si>
    <t>Wayne L Marking</t>
  </si>
  <si>
    <t>Diane   Longaker</t>
  </si>
  <si>
    <t>Jean M Macias</t>
  </si>
  <si>
    <t>Francisco  Rios</t>
  </si>
  <si>
    <t>Rick A Payne</t>
  </si>
  <si>
    <t>Roderick A Millican</t>
  </si>
  <si>
    <t>Mel M Mann</t>
  </si>
  <si>
    <t>Steve  Teincuff</t>
  </si>
  <si>
    <t>Eric L Silva</t>
  </si>
  <si>
    <t>Paolo  Landini</t>
  </si>
  <si>
    <t>Calvin F Smith</t>
  </si>
  <si>
    <t>John E Watts</t>
  </si>
  <si>
    <t>Connie C Stahl</t>
  </si>
  <si>
    <t>Marsi E Jones</t>
  </si>
  <si>
    <t>Elaine  Tulving</t>
  </si>
  <si>
    <t>Armando  Rodriguez</t>
  </si>
  <si>
    <t>PJ  Dinneny</t>
  </si>
  <si>
    <t>Julie   Johnson</t>
  </si>
  <si>
    <t>Leo  Acosta</t>
  </si>
  <si>
    <t>Zoraida  Caltitla</t>
  </si>
  <si>
    <t>Rosenda G Dominguez</t>
  </si>
  <si>
    <t>Jesus   Cervantes</t>
  </si>
  <si>
    <t>Marcos  Aspeitia</t>
  </si>
  <si>
    <t>Daniel  Salazar</t>
  </si>
  <si>
    <t>Martin  Pacheco</t>
  </si>
  <si>
    <t>Aisha   Sabir</t>
  </si>
  <si>
    <t>Andres   Rivera</t>
  </si>
  <si>
    <t>Section 11 : SD Michael L Fults</t>
  </si>
  <si>
    <t>Steven "Fernando"   Montenegro</t>
  </si>
  <si>
    <t>Kaissa  Gurvine</t>
  </si>
  <si>
    <t>Preston   Clonts</t>
  </si>
  <si>
    <t>Deborah L Miner</t>
  </si>
  <si>
    <t>Francisco Y Martinez</t>
  </si>
  <si>
    <t>Deborah L Martin</t>
  </si>
  <si>
    <t>Brian R Oertel</t>
  </si>
  <si>
    <t>Mary A Helfrich</t>
  </si>
  <si>
    <t>Greg   Abrigo</t>
  </si>
  <si>
    <t>James  Frey</t>
  </si>
  <si>
    <t>Glenna   Davenport</t>
  </si>
  <si>
    <t>Karen M Montano</t>
  </si>
  <si>
    <t>Ramiro  Olivarez II</t>
  </si>
  <si>
    <t>Jose A Pacheco</t>
  </si>
  <si>
    <t>Michael  Holevar</t>
  </si>
  <si>
    <t>Martin T Etcheverry</t>
  </si>
  <si>
    <t>Mark W Statham</t>
  </si>
  <si>
    <t>Shauna A Bigham</t>
  </si>
  <si>
    <t>Patti  Steiner</t>
  </si>
  <si>
    <t>David R Wright</t>
  </si>
  <si>
    <t>Maria T Garvin</t>
  </si>
  <si>
    <t>Michael V Cirvello</t>
  </si>
  <si>
    <t>Charles  Brooks</t>
  </si>
  <si>
    <t>Kelly Lynne O'Brien</t>
  </si>
  <si>
    <t>William H Orman</t>
  </si>
  <si>
    <t>David G Hawley</t>
  </si>
  <si>
    <t>Frederick B Johnson</t>
  </si>
  <si>
    <t>Michael K Daniels</t>
  </si>
  <si>
    <t>Alan L Stott</t>
  </si>
  <si>
    <t>jolene t nauman</t>
  </si>
  <si>
    <t>Jeanne M Gacanich</t>
  </si>
  <si>
    <t>Robert M Clougherty</t>
  </si>
  <si>
    <t>Stephen  Casalnuovo</t>
  </si>
  <si>
    <t>Kimberly A Ruscetti</t>
  </si>
  <si>
    <t>Earl A Chavez</t>
  </si>
  <si>
    <t>Chris   Hintz</t>
  </si>
  <si>
    <t>Jerry D Reeves</t>
  </si>
  <si>
    <t>Tina M Baca</t>
  </si>
  <si>
    <t>Audrey C Herrera</t>
  </si>
  <si>
    <t>Guillermo  Bonilla</t>
  </si>
  <si>
    <t>Laura Elizabeth Mijares</t>
  </si>
  <si>
    <t>Serena J Denning</t>
  </si>
  <si>
    <t>Douglas A Ryan</t>
  </si>
  <si>
    <t>Stanley W Miller</t>
  </si>
  <si>
    <t>Joyce L Crissman</t>
  </si>
  <si>
    <t>Ralph E Evans</t>
  </si>
  <si>
    <t>Jeffrey J Schenck</t>
  </si>
  <si>
    <t>Arne T Kolsrud</t>
  </si>
  <si>
    <t>Tomas  Guerra</t>
  </si>
  <si>
    <t>Jon S Papsdorf</t>
  </si>
  <si>
    <t>Nicholas K Gandt</t>
  </si>
  <si>
    <t>James E Valadez</t>
  </si>
  <si>
    <t>Linda A Speck</t>
  </si>
  <si>
    <t>Ronnie D Stotz</t>
  </si>
  <si>
    <t>Area Director</t>
  </si>
  <si>
    <t>Tom Tobin</t>
  </si>
  <si>
    <t>=mid(P940,6,30)</t>
  </si>
  <si>
    <t>Re-sent - already current but updated 04.02.08</t>
  </si>
  <si>
    <t>Updated 04.23.08</t>
  </si>
  <si>
    <t>Updated 05.30.08</t>
  </si>
  <si>
    <t>Updated 06.06.08</t>
  </si>
  <si>
    <t>Updated 03.25.08- faxed by Judy Gabriel and 06.17.08</t>
  </si>
  <si>
    <t>07.10.08</t>
  </si>
  <si>
    <t>Updtd 7/10/08</t>
  </si>
  <si>
    <t>Theresa Bingham</t>
  </si>
  <si>
    <t>Wayne Cassity</t>
  </si>
  <si>
    <t>Martin Abbiss</t>
  </si>
  <si>
    <t>07.25.08</t>
  </si>
  <si>
    <t xml:space="preserve"> 08/01/2008</t>
  </si>
  <si>
    <t>08.07.08</t>
  </si>
  <si>
    <t>Updtd 8.15.08</t>
  </si>
  <si>
    <t>08.15.08</t>
  </si>
  <si>
    <t>8.15.08</t>
  </si>
  <si>
    <t>8.22.08</t>
  </si>
  <si>
    <t>08/.22.08</t>
  </si>
  <si>
    <t>Stephen W Barth</t>
  </si>
  <si>
    <t>10.17.08</t>
  </si>
  <si>
    <t>Updtd 10.31.08</t>
  </si>
  <si>
    <t>Updtd 12.03.08</t>
  </si>
  <si>
    <t>updtd 1.29.09</t>
  </si>
  <si>
    <t>Updtd 1.29.09</t>
  </si>
  <si>
    <t>03.31.09</t>
  </si>
  <si>
    <t>Keith Bond</t>
  </si>
  <si>
    <t>Updated 05/04/2009</t>
  </si>
  <si>
    <t>Input into System</t>
  </si>
  <si>
    <t>In Compliance (Y/N)</t>
  </si>
  <si>
    <t>CLOSED</t>
  </si>
  <si>
    <t>Jacqueline Lewis</t>
  </si>
  <si>
    <t>Les Berkey</t>
  </si>
  <si>
    <t>Stefan Larson</t>
  </si>
  <si>
    <t>Erick Sims</t>
  </si>
  <si>
    <t>David Skalsky</t>
  </si>
  <si>
    <t>Michael Molano</t>
  </si>
  <si>
    <t>Marie Nahass</t>
  </si>
  <si>
    <t>Candace Deaton</t>
  </si>
  <si>
    <t>Brian Kersten</t>
  </si>
  <si>
    <t>Updated 06/15/09</t>
  </si>
  <si>
    <t>Updated 06/15/09 Faxed in</t>
  </si>
  <si>
    <t>Karen Doucette</t>
  </si>
  <si>
    <t>Kimberly Traut</t>
  </si>
  <si>
    <t>Jason Becker</t>
  </si>
  <si>
    <t>Scott DePhillips</t>
  </si>
  <si>
    <t>Jenny Dembergh</t>
  </si>
  <si>
    <t>Teresa Tobolski</t>
  </si>
  <si>
    <t>Christine Katsch</t>
  </si>
  <si>
    <t>Dennis Roche</t>
  </si>
  <si>
    <t>Joel Birks</t>
  </si>
  <si>
    <t>Jean Nelson</t>
  </si>
  <si>
    <t>Melissa Hardy</t>
  </si>
  <si>
    <t>Abby Auffert</t>
  </si>
  <si>
    <t>Donna Southland</t>
  </si>
  <si>
    <t>Mark Johnson</t>
  </si>
  <si>
    <t>Steven Williams</t>
  </si>
  <si>
    <t>Kelly Kelsoe</t>
  </si>
  <si>
    <t>Karen Moore</t>
  </si>
  <si>
    <t>Peter Xiques</t>
  </si>
  <si>
    <t>Charles Hethcoat</t>
  </si>
  <si>
    <t>Beverly Whittaker</t>
  </si>
  <si>
    <t>Matthew Conley</t>
  </si>
  <si>
    <t>Darrin Nicely</t>
  </si>
  <si>
    <t>Henk Rook</t>
  </si>
  <si>
    <t>Laurie Murray</t>
  </si>
  <si>
    <t>Jerilyn Canniff</t>
  </si>
  <si>
    <t>William Trugillo</t>
  </si>
  <si>
    <t>Nella Sword</t>
  </si>
  <si>
    <t>James Christmas</t>
  </si>
  <si>
    <t>Jennifer Vance</t>
  </si>
  <si>
    <t>Edwin Donaldson</t>
  </si>
  <si>
    <t>Nicholas Gray</t>
  </si>
  <si>
    <t>Kimberly Patterson</t>
  </si>
  <si>
    <t>Refer to SD</t>
  </si>
  <si>
    <t>Jennifer Woodward</t>
  </si>
  <si>
    <t>Lynn Bowers</t>
  </si>
  <si>
    <t>Tiffany Glessner</t>
  </si>
  <si>
    <t>James Steinbeck</t>
  </si>
  <si>
    <t>Jeremy Mattes</t>
  </si>
  <si>
    <t>Mark Kessler</t>
  </si>
  <si>
    <t>Refer to AD</t>
  </si>
  <si>
    <t>Nicole Flaugh</t>
  </si>
  <si>
    <t>Benedict Roberts</t>
  </si>
  <si>
    <t>Jeffrey Hein</t>
  </si>
  <si>
    <t>Shawn Keefer</t>
  </si>
  <si>
    <t>Joshua Billow</t>
  </si>
  <si>
    <t>Angel Inzunza</t>
  </si>
  <si>
    <t>Gregory Koury</t>
  </si>
  <si>
    <t>Roseanna Weatherford</t>
  </si>
  <si>
    <t>Cindy Brekke</t>
  </si>
  <si>
    <t>Guy Sutton</t>
  </si>
  <si>
    <t>Melissa Poulson</t>
  </si>
  <si>
    <t>Crystal Johnson</t>
  </si>
  <si>
    <t>Robert Orr</t>
  </si>
  <si>
    <t>Randy Ikeda</t>
  </si>
  <si>
    <t>Marco Beltran</t>
  </si>
  <si>
    <t>Jennifer LaVelle</t>
  </si>
  <si>
    <t>Timothy Reed</t>
  </si>
  <si>
    <t>Michael Gesler</t>
  </si>
  <si>
    <t>April Richardson</t>
  </si>
  <si>
    <t>Eric Diller</t>
  </si>
  <si>
    <t>Tmothy Moran</t>
  </si>
  <si>
    <t>James Howerzyl</t>
  </si>
  <si>
    <t>Karin Kristine Kaminski</t>
  </si>
  <si>
    <t>Scott Bray</t>
  </si>
  <si>
    <t>George Isaac</t>
  </si>
  <si>
    <t>Jane Harrison</t>
  </si>
  <si>
    <t>Ken Linzner</t>
  </si>
  <si>
    <t>William Crain</t>
  </si>
  <si>
    <t>James Anthony</t>
  </si>
  <si>
    <t>Sylvia Wall</t>
  </si>
  <si>
    <t>Kevin Mitchell</t>
  </si>
  <si>
    <t>Rosemarie Pedersen</t>
  </si>
  <si>
    <t>Catherine Frazer</t>
  </si>
  <si>
    <t>Daniel Volz</t>
  </si>
  <si>
    <t>Travis Braden</t>
  </si>
  <si>
    <t>Pam Furniss</t>
  </si>
  <si>
    <t>Gina Gonzalez</t>
  </si>
  <si>
    <t>Juan Cano</t>
  </si>
  <si>
    <t>Albert "David" Tapia</t>
  </si>
  <si>
    <t>James Lyon</t>
  </si>
  <si>
    <t>Jeffrey Hartsough</t>
  </si>
  <si>
    <t>Updated 061709</t>
  </si>
  <si>
    <t>Updated 06/19/09</t>
  </si>
  <si>
    <t>Updated 06/30/09</t>
  </si>
  <si>
    <t>Updated 07/01/09</t>
  </si>
  <si>
    <t>Updated 07/06/09</t>
  </si>
  <si>
    <t>Updated 07/07/09</t>
  </si>
  <si>
    <t>AFFILILATE</t>
  </si>
  <si>
    <t>BUDGET NOT REQUIRED</t>
  </si>
  <si>
    <t>Updated 07/08/09</t>
  </si>
  <si>
    <t>Updated 07/13/09</t>
  </si>
  <si>
    <t xml:space="preserve">Kimberly Headrick </t>
  </si>
  <si>
    <t>Updated 7/16/09</t>
  </si>
  <si>
    <t>Updated 7/21/09</t>
  </si>
  <si>
    <t>Updated 07/24/09</t>
  </si>
  <si>
    <t>Updated 7/28/09</t>
  </si>
  <si>
    <t>Janet Anderson</t>
  </si>
  <si>
    <t>Ainslie Binder</t>
  </si>
  <si>
    <t>Sean McQuillan</t>
  </si>
  <si>
    <t>Joanne Lazore</t>
  </si>
  <si>
    <t>Cheryl Brouty</t>
  </si>
  <si>
    <t>Todd Kaufman</t>
  </si>
  <si>
    <t>Jess McCoy</t>
  </si>
  <si>
    <t>David Kuiper</t>
  </si>
  <si>
    <t>Shylah McNellis</t>
  </si>
  <si>
    <t>Mark Saxton</t>
  </si>
  <si>
    <t>Andy Beare</t>
  </si>
  <si>
    <t>Kevin Aexander</t>
  </si>
  <si>
    <t xml:space="preserve">Roberto Shim </t>
  </si>
  <si>
    <t>Updated 08/04/09</t>
  </si>
  <si>
    <t>Updated 08/12/09</t>
  </si>
  <si>
    <t>Updated 08/13/09</t>
  </si>
  <si>
    <t>Updated 08/14/09</t>
  </si>
  <si>
    <t xml:space="preserve">Brent Whittlesey </t>
  </si>
  <si>
    <t>Updated 09/04/09</t>
  </si>
  <si>
    <t>Updated 09/09/09</t>
  </si>
  <si>
    <t>Updated 09/16/09</t>
  </si>
  <si>
    <t xml:space="preserve">Rita Jimenez </t>
  </si>
  <si>
    <t>Updated 09/22/09</t>
  </si>
  <si>
    <t>Updated 10/01/09</t>
  </si>
  <si>
    <t>Updated 10/15/09</t>
  </si>
  <si>
    <t>Updated 12/9/09</t>
  </si>
  <si>
    <t>Updated 12/14/09</t>
  </si>
  <si>
    <t>Updated 1/13/10</t>
  </si>
  <si>
    <t>Ernie Harlow</t>
  </si>
  <si>
    <t>updated 03/04/10</t>
  </si>
  <si>
    <t>Updated 3/24/10</t>
  </si>
  <si>
    <t>Updated 03/25/10</t>
  </si>
  <si>
    <t>Updated 03/31/10</t>
  </si>
  <si>
    <t>Updated 4/28/10</t>
  </si>
  <si>
    <t>Updated 06/14/10</t>
  </si>
  <si>
    <t>Updated 06/17/10</t>
  </si>
  <si>
    <t>Updated 08/06/10</t>
  </si>
  <si>
    <t>Updated 08/12/10</t>
  </si>
  <si>
    <t>Updated 08/19/10</t>
  </si>
  <si>
    <t>Updated 08/26/10</t>
  </si>
  <si>
    <t xml:space="preserve"> </t>
  </si>
  <si>
    <t>Edward Waterman</t>
  </si>
  <si>
    <t>Updated 09/29/10</t>
  </si>
  <si>
    <t>Updated 09/30/10</t>
  </si>
  <si>
    <t>Updated 10/20/10</t>
  </si>
  <si>
    <t>Updated 11/19/10</t>
  </si>
  <si>
    <t>Updated 010611</t>
  </si>
  <si>
    <t>Updated 02/02/11</t>
  </si>
  <si>
    <t>Updated 2/15/11</t>
  </si>
  <si>
    <t>Wayne Hoy</t>
  </si>
  <si>
    <t>Updated 030811</t>
  </si>
  <si>
    <t>Updated 03/22/11</t>
  </si>
  <si>
    <t>Updated 3/22/11</t>
  </si>
  <si>
    <t>Angela Harcourt</t>
  </si>
  <si>
    <t>Derrick Upgton</t>
  </si>
  <si>
    <t>Thomas Sobeck</t>
  </si>
  <si>
    <t>Crystalee Mandaquit</t>
  </si>
  <si>
    <t>Jose Perez</t>
  </si>
  <si>
    <t>Madan Bellam</t>
  </si>
  <si>
    <t>Updated 03/30/11</t>
  </si>
  <si>
    <t>Updated 04/01/11</t>
  </si>
  <si>
    <t>Updated 04/12/11</t>
  </si>
  <si>
    <t>Tyson Flack</t>
  </si>
  <si>
    <t>Updated 05/13/11</t>
  </si>
  <si>
    <t>Octavio Rojas</t>
  </si>
  <si>
    <t>David Cole</t>
  </si>
  <si>
    <t>Dominick Winder</t>
  </si>
  <si>
    <t>Scott Radford</t>
  </si>
  <si>
    <t>Updated 05/25/11</t>
  </si>
  <si>
    <t>Kevin Sohn</t>
  </si>
  <si>
    <t>Updated 05/01/12</t>
  </si>
  <si>
    <t>Updated 05/02/12</t>
  </si>
  <si>
    <t>Updated 05/03/12</t>
  </si>
  <si>
    <t>Lorie Shaw</t>
  </si>
  <si>
    <t>Updated 05/11/12</t>
  </si>
  <si>
    <t>Updated 05/15/12</t>
  </si>
  <si>
    <t>Richard Niedermayer</t>
  </si>
  <si>
    <t>Updated 05/17/12</t>
  </si>
  <si>
    <t>Updated 05/22/12</t>
  </si>
  <si>
    <t>Updated 05/23/12</t>
  </si>
  <si>
    <t>Aaron Berghaus</t>
  </si>
  <si>
    <t>Updated 05/24/12</t>
  </si>
  <si>
    <t>Updated 05/29/12</t>
  </si>
  <si>
    <t>Updated 05/30/12</t>
  </si>
  <si>
    <t>Dena Anderson</t>
  </si>
  <si>
    <t>Updated 04/12/12</t>
  </si>
  <si>
    <t>Updated 05/31/12</t>
  </si>
  <si>
    <t>Updated 06/01/12</t>
  </si>
  <si>
    <t>Terry Dixon</t>
  </si>
  <si>
    <t>Updated 06/01/12 - revised</t>
  </si>
  <si>
    <t>Updated 06/04/12</t>
  </si>
  <si>
    <t>Jason Silverstein</t>
  </si>
  <si>
    <t>Updated 06/05/12</t>
  </si>
  <si>
    <t>Updated 06/06/12</t>
  </si>
  <si>
    <t>Cara Lemburg</t>
  </si>
  <si>
    <t>Updated 06/11/12</t>
  </si>
  <si>
    <t>Michael Rumage</t>
  </si>
  <si>
    <t>Warren Kuhl</t>
  </si>
  <si>
    <t>Sandra Tenney</t>
  </si>
  <si>
    <t>Tamara Mager</t>
  </si>
  <si>
    <t>Franklin Quintero</t>
  </si>
  <si>
    <t>John Hadidian</t>
  </si>
  <si>
    <t>Updated 06/18/12</t>
  </si>
  <si>
    <t>Isidro Garcia</t>
  </si>
  <si>
    <t>Updated 06/22/12</t>
  </si>
  <si>
    <t>Updated 06/27/12</t>
  </si>
  <si>
    <t>Updated 07/02/12</t>
  </si>
  <si>
    <t>Updated 07/05/12</t>
  </si>
  <si>
    <t>Updated 07/12/12</t>
  </si>
  <si>
    <t>Updated 07/09/12</t>
  </si>
  <si>
    <t>Updated 07/10/12</t>
  </si>
  <si>
    <t>Updated 07/11/12</t>
  </si>
  <si>
    <t>Updated 07/13/12</t>
  </si>
  <si>
    <t>Updated 07/16/12</t>
  </si>
  <si>
    <t>Updated 07/17/12</t>
  </si>
  <si>
    <t>Updated 07/18/12</t>
  </si>
  <si>
    <t>Updated 07/20/12</t>
  </si>
  <si>
    <t>Updated 07/24/12</t>
  </si>
  <si>
    <t>Updated 07/25/12</t>
  </si>
  <si>
    <t>Updated 07/26/12</t>
  </si>
  <si>
    <t>Timothy Riggle</t>
  </si>
  <si>
    <t>Roberta Mann</t>
  </si>
  <si>
    <t>Siavash Fallahi</t>
  </si>
  <si>
    <t>Arthur Feagles</t>
  </si>
  <si>
    <t>Stephen Lichtman</t>
  </si>
  <si>
    <t>Laura Luke</t>
  </si>
  <si>
    <t>Tracy Worden</t>
  </si>
  <si>
    <t>Jennifer Lamphere</t>
  </si>
  <si>
    <t>Armi Cachila</t>
  </si>
  <si>
    <t>Rose Thornton</t>
  </si>
  <si>
    <t>Ramon Canales</t>
  </si>
  <si>
    <t>Thomas Isbrecht</t>
  </si>
  <si>
    <t>Heather Dewar</t>
  </si>
  <si>
    <t>Rachael Ramirez</t>
  </si>
  <si>
    <t>Charlotte Lockhart</t>
  </si>
  <si>
    <t>Rebecca Pollack Rude</t>
  </si>
  <si>
    <t>Brandon Lootens</t>
  </si>
  <si>
    <t>David Bryant</t>
  </si>
  <si>
    <t>Kennette Watson</t>
  </si>
  <si>
    <t>Stanley Nnochirionye</t>
  </si>
  <si>
    <t>Updated 07/27/12</t>
  </si>
  <si>
    <t>Updated 07/30/12</t>
  </si>
  <si>
    <t>Updated 07/31/12</t>
  </si>
  <si>
    <t>Updated 08/01/12</t>
  </si>
  <si>
    <t>Updated 08/02/12</t>
  </si>
  <si>
    <t>Daniel Lowe</t>
  </si>
  <si>
    <t>Updated 08/03/12</t>
  </si>
  <si>
    <t>Updated 08/06/12</t>
  </si>
  <si>
    <t>Updated 08/07/12</t>
  </si>
  <si>
    <t>Updated 08/09/12</t>
  </si>
  <si>
    <t>Updated 08/10/12</t>
  </si>
  <si>
    <t>Updated 08/13/12</t>
  </si>
  <si>
    <t>Updated 08/15/12</t>
  </si>
  <si>
    <t>Updated 08/16/12</t>
  </si>
  <si>
    <t>Updated 08/21/12</t>
  </si>
  <si>
    <t>Updated 08/22/12</t>
  </si>
  <si>
    <t>Leo Williams</t>
  </si>
  <si>
    <t>Amy Hussey</t>
  </si>
  <si>
    <t>Gwenn Werner</t>
  </si>
  <si>
    <t>Joseph Harter</t>
  </si>
  <si>
    <t>Caryn Doman</t>
  </si>
  <si>
    <t>Tory Satter</t>
  </si>
  <si>
    <t>Shawna Ridenour</t>
  </si>
  <si>
    <t>Angelo Corso</t>
  </si>
  <si>
    <t>Vicki Guenther</t>
  </si>
  <si>
    <t>Kenneth Carroll</t>
  </si>
  <si>
    <t>Leesa Ellis</t>
  </si>
  <si>
    <t>Michael Maule</t>
  </si>
  <si>
    <t>Rick DiLoreto</t>
  </si>
  <si>
    <t>Mitchell Reidel</t>
  </si>
  <si>
    <t>Celeste Walker</t>
  </si>
  <si>
    <t>Mary Behr</t>
  </si>
  <si>
    <t>Brian Stover</t>
  </si>
  <si>
    <t>Brian Umstot</t>
  </si>
  <si>
    <t>Nancy Hixson</t>
  </si>
  <si>
    <t>Vira Kimmel</t>
  </si>
  <si>
    <t>Updated 08/28/12</t>
  </si>
  <si>
    <t>Updated 08/30/12</t>
  </si>
  <si>
    <t>Updated 09/07/12</t>
  </si>
  <si>
    <t>Updated 09/11/12</t>
  </si>
  <si>
    <t>9/20/12 2012-2013 Fiscal Budget rec'd</t>
  </si>
  <si>
    <t>Cathy McCarter</t>
  </si>
  <si>
    <t>Jessica Nawrocki</t>
  </si>
  <si>
    <t>Kim Missman</t>
  </si>
  <si>
    <t>David Van Dyke</t>
  </si>
  <si>
    <t>Robert Levander</t>
  </si>
  <si>
    <t>Michael Dougherty</t>
  </si>
  <si>
    <t>Mark Davidson</t>
  </si>
  <si>
    <t>Richard Bloom</t>
  </si>
  <si>
    <t>Michael Barth</t>
  </si>
  <si>
    <t>Heidi Beals</t>
  </si>
  <si>
    <t>Christopher Gajeski</t>
  </si>
  <si>
    <t>Marc Smith</t>
  </si>
  <si>
    <t>Arlene Petokas</t>
  </si>
  <si>
    <t>Michael Fox</t>
  </si>
  <si>
    <t>Ruben Robles</t>
  </si>
  <si>
    <t>Eduardo Nunez</t>
  </si>
  <si>
    <t>Bradley Wakeman</t>
  </si>
  <si>
    <t>Jake Mangels</t>
  </si>
  <si>
    <t>Updated 10/02/12</t>
  </si>
  <si>
    <t>Updated 10/08/12</t>
  </si>
  <si>
    <t>Updated 10/09/12</t>
  </si>
  <si>
    <t>Updated 10/12/12</t>
  </si>
  <si>
    <t>Updated 10/15/12</t>
  </si>
  <si>
    <t>Updated 10/16/12</t>
  </si>
  <si>
    <t>Updated 10/22/12</t>
  </si>
  <si>
    <t>Updated 10/23/12</t>
  </si>
  <si>
    <t>Christopher Remund</t>
  </si>
  <si>
    <t>Susan Rossetti</t>
  </si>
  <si>
    <t>Annissa Maxfield</t>
  </si>
  <si>
    <t>Phillip Cordero</t>
  </si>
  <si>
    <t>David Clasen</t>
  </si>
  <si>
    <t>Christopher Hess</t>
  </si>
  <si>
    <t>Michael "Shane" Theiss</t>
  </si>
  <si>
    <t>Carl Nippa</t>
  </si>
  <si>
    <t>Armando Rodriguez</t>
  </si>
  <si>
    <t>Andrew Becke</t>
  </si>
  <si>
    <t>Stephanie Thomas</t>
  </si>
  <si>
    <t>Justin Taylor</t>
  </si>
  <si>
    <t>Updated 10/25/12</t>
  </si>
  <si>
    <t>Updated 10/29/12</t>
  </si>
  <si>
    <t>Updated 10/30/12</t>
  </si>
  <si>
    <t>Updated 10/31/12</t>
  </si>
  <si>
    <t>Updated 11/01/12</t>
  </si>
  <si>
    <t>Updated 11/05/12</t>
  </si>
  <si>
    <t>Updated 11/08/12</t>
  </si>
  <si>
    <t>Updated 11/19/12</t>
  </si>
  <si>
    <t>Harvey Bush</t>
  </si>
  <si>
    <t>Gregory Eastman</t>
  </si>
  <si>
    <t>Seth Piro</t>
  </si>
  <si>
    <t>Matthew Gorak</t>
  </si>
  <si>
    <t>Russell Melton</t>
  </si>
  <si>
    <t>Laura Morris</t>
  </si>
  <si>
    <t>Brandi Kruse</t>
  </si>
  <si>
    <t>Stephanie McDonald</t>
  </si>
  <si>
    <t>Eric Beckner</t>
  </si>
  <si>
    <t>Alan Dagen</t>
  </si>
  <si>
    <t>Matthew Odonnell</t>
  </si>
  <si>
    <t>Updated 11/28/12</t>
  </si>
  <si>
    <t>Updated 11/29/12</t>
  </si>
  <si>
    <t>Daniel Naughton</t>
  </si>
  <si>
    <t>Updated 01/08/13</t>
  </si>
  <si>
    <t>Daniel Olswang</t>
  </si>
  <si>
    <t>Updated 01/14/03</t>
  </si>
  <si>
    <t>Updated 01/15/13</t>
  </si>
  <si>
    <t>Updated 01/17/13</t>
  </si>
  <si>
    <t>Updated 01/28/13</t>
  </si>
  <si>
    <t>Theresa Frice</t>
  </si>
  <si>
    <t>Updated 01/31/13</t>
  </si>
  <si>
    <t>John Reeber</t>
  </si>
  <si>
    <t>Lawrence Barnes</t>
  </si>
  <si>
    <t>Jeremy Hurst</t>
  </si>
  <si>
    <t>Tony Barnes</t>
  </si>
  <si>
    <t>Marcus DeBoard</t>
  </si>
  <si>
    <t>Michael McBrayer</t>
  </si>
  <si>
    <t>Anna Veach</t>
  </si>
  <si>
    <t>Harry Nunn</t>
  </si>
  <si>
    <t>John Watts</t>
  </si>
  <si>
    <t>Lisa Franklin</t>
  </si>
  <si>
    <t>Howard Daugherty</t>
  </si>
  <si>
    <t>Brady Hess</t>
  </si>
  <si>
    <t>Updated 02/20/13</t>
  </si>
  <si>
    <t>Updated 03/15/13</t>
  </si>
  <si>
    <t>Updated 03/19/13</t>
  </si>
  <si>
    <t>Updated 03/20/13</t>
  </si>
  <si>
    <t>Julian Perez</t>
  </si>
  <si>
    <t>Updated 03/27/13</t>
  </si>
  <si>
    <t>Alan Hill</t>
  </si>
  <si>
    <t>Michael Nobis</t>
  </si>
  <si>
    <t>RaeJeanna Stoddard</t>
  </si>
  <si>
    <t>William Gratke</t>
  </si>
  <si>
    <t>Frank Gallucci</t>
  </si>
  <si>
    <t>Kathryn Echavarria</t>
  </si>
  <si>
    <t>John Conway</t>
  </si>
  <si>
    <t>Kenneth Keiser</t>
  </si>
  <si>
    <t>Timothy Hernandez</t>
  </si>
  <si>
    <t>Hector Lemos</t>
  </si>
  <si>
    <t>Teresa Whitfield</t>
  </si>
  <si>
    <t>Lynn Cooper</t>
  </si>
  <si>
    <t>Janice Pruitt</t>
  </si>
  <si>
    <t>Margaret Hemstrought</t>
  </si>
  <si>
    <t>Megan Sheldon</t>
  </si>
  <si>
    <t>James Ripper</t>
  </si>
  <si>
    <t>Richard Elliot</t>
  </si>
  <si>
    <t>Rich Perez</t>
  </si>
  <si>
    <t>Alfred Leon</t>
  </si>
  <si>
    <t>Scott Barradas</t>
  </si>
  <si>
    <t>Julius Hitchens</t>
  </si>
  <si>
    <t>Brandy Florence</t>
  </si>
  <si>
    <t>Dwight Holderbaum</t>
  </si>
  <si>
    <t>Christina Kinery</t>
  </si>
  <si>
    <t>Updated 04/01/13</t>
  </si>
  <si>
    <t>Updated 04/05/13</t>
  </si>
  <si>
    <t>Updated 04/09/13</t>
  </si>
  <si>
    <t>Updated 04/30/13</t>
  </si>
  <si>
    <t>James Scott</t>
  </si>
  <si>
    <t>Heather McClure</t>
  </si>
  <si>
    <t>Tony Zaragoza</t>
  </si>
  <si>
    <t>William Trefz</t>
  </si>
  <si>
    <t>Molly Walt</t>
  </si>
  <si>
    <t>Andrew Moore</t>
  </si>
  <si>
    <t>Paul Toro</t>
  </si>
  <si>
    <t>Jeffrey Roberts</t>
  </si>
  <si>
    <t>Dana Patterson</t>
  </si>
  <si>
    <t>Joseph Bondi</t>
  </si>
  <si>
    <t>Harold Quiros</t>
  </si>
  <si>
    <t>John Herron</t>
  </si>
  <si>
    <t>David Selecky</t>
  </si>
  <si>
    <t>Christie Lents</t>
  </si>
  <si>
    <t>Christine Daron</t>
  </si>
  <si>
    <t>William McDougald</t>
  </si>
  <si>
    <t>Sharon Ellis</t>
  </si>
  <si>
    <t>Elizabeth Parker</t>
  </si>
  <si>
    <t>Earnest Phillips</t>
  </si>
  <si>
    <t>Margaret Noe</t>
  </si>
  <si>
    <t>Norman Taylor</t>
  </si>
  <si>
    <t>Alyssa Lacey</t>
  </si>
  <si>
    <t>Charles Bedard</t>
  </si>
  <si>
    <t>Duston Denver</t>
  </si>
  <si>
    <t>Gloria Viebrock</t>
  </si>
  <si>
    <t>Katie Jones</t>
  </si>
  <si>
    <t>Crystal Thomas</t>
  </si>
  <si>
    <t>Melanie Ward</t>
  </si>
  <si>
    <t>Matthew DePauw</t>
  </si>
  <si>
    <t>Philip Whitsel</t>
  </si>
  <si>
    <t>Diana Davis-Schiltz</t>
  </si>
  <si>
    <t>Ruben Hernandez</t>
  </si>
  <si>
    <t>Louis Chevalier</t>
  </si>
  <si>
    <t>Herschel Weisman</t>
  </si>
  <si>
    <t>John Fletcher</t>
  </si>
  <si>
    <t>Jorge Arroyo</t>
  </si>
  <si>
    <t>Richard Gurvine</t>
  </si>
  <si>
    <t>Nathan Salcido</t>
  </si>
  <si>
    <t>Harold Clapper</t>
  </si>
  <si>
    <t>Updated 05/03/13</t>
  </si>
  <si>
    <t>Updated 05/08/13</t>
  </si>
  <si>
    <t>Updated 05/09/13</t>
  </si>
  <si>
    <t>Updated 05/14/13</t>
  </si>
  <si>
    <t>Updated 05/16/13</t>
  </si>
  <si>
    <t>Updated 05/19/13</t>
  </si>
  <si>
    <t>Updated 05/20/13</t>
  </si>
  <si>
    <t>Updated 05/21/13</t>
  </si>
  <si>
    <t>Updated 05/22/13</t>
  </si>
  <si>
    <t>Updated 05/24/13</t>
  </si>
  <si>
    <t>Updated 05/28/13</t>
  </si>
  <si>
    <t>Received/Updated Date at NSTC</t>
  </si>
  <si>
    <t>revoked</t>
  </si>
  <si>
    <t>SUSPENDED</t>
  </si>
  <si>
    <t>JoAnn Thompson</t>
  </si>
  <si>
    <t>Carolyn Ragain</t>
  </si>
  <si>
    <t>Samantha Alexander</t>
  </si>
  <si>
    <t>Jessica Kaminski</t>
  </si>
  <si>
    <t>Jennifer Nolan</t>
  </si>
  <si>
    <t>3/314/11</t>
  </si>
  <si>
    <t>Pamela Habersetzer</t>
  </si>
  <si>
    <t>Barb Peck</t>
  </si>
  <si>
    <t>Josh Hills</t>
  </si>
  <si>
    <t>Jennifer Stanford</t>
  </si>
  <si>
    <t>Adrian Draghici</t>
  </si>
  <si>
    <t>David Ravenscraft</t>
  </si>
  <si>
    <t>0/00/0000</t>
  </si>
  <si>
    <t>Erandy Morrello</t>
  </si>
  <si>
    <t>Daniel Nieto</t>
  </si>
  <si>
    <t>John Eddings</t>
  </si>
  <si>
    <t>Ken Joe</t>
  </si>
  <si>
    <t>Steven Bickel</t>
  </si>
  <si>
    <t>Arthur Ponce</t>
  </si>
  <si>
    <t>Rolando Morales</t>
  </si>
  <si>
    <t>Anne Louit</t>
  </si>
  <si>
    <t>Isabel Ducharme</t>
  </si>
  <si>
    <t>Mario Partida</t>
  </si>
  <si>
    <t>Pablo Urquiza</t>
  </si>
  <si>
    <t>Thomas Pulte</t>
  </si>
  <si>
    <t>Ross Kay</t>
  </si>
  <si>
    <t>Darryl Letchworth</t>
  </si>
  <si>
    <t>Eric Stoker</t>
  </si>
  <si>
    <t>Ana Prado</t>
  </si>
  <si>
    <t>Alan Kossoff</t>
  </si>
  <si>
    <t>Valente Marin</t>
  </si>
  <si>
    <t>Ricky Nieraeth</t>
  </si>
  <si>
    <t>Jerry Wilson</t>
  </si>
  <si>
    <t>David Campbell</t>
  </si>
  <si>
    <t>Carmen Urenda</t>
  </si>
  <si>
    <t>Louisa Lee</t>
  </si>
  <si>
    <t>John Hall</t>
  </si>
  <si>
    <t>Jose Becerra</t>
  </si>
  <si>
    <t>Paul Dominguez</t>
  </si>
  <si>
    <t>Kerrie Oestreich</t>
  </si>
  <si>
    <t>Andrea Aguilar</t>
  </si>
  <si>
    <t>Laura Love</t>
  </si>
  <si>
    <t>Mark Dauber</t>
  </si>
  <si>
    <t>Stephen Mick</t>
  </si>
  <si>
    <t>Michael Karon</t>
  </si>
  <si>
    <t>Charles Gilman</t>
  </si>
  <si>
    <t>Francisco Rendon</t>
  </si>
  <si>
    <t>Rudolph Charles</t>
  </si>
  <si>
    <t>Lenin Merchan</t>
  </si>
  <si>
    <t>William Braun</t>
  </si>
  <si>
    <t>Debra Johnson</t>
  </si>
  <si>
    <t>Rafael Martinez</t>
  </si>
  <si>
    <t>Osbaldo Castro</t>
  </si>
  <si>
    <t>Joseph Silva</t>
  </si>
  <si>
    <t>Steven Moss</t>
  </si>
  <si>
    <t>Carolina Coppolo</t>
  </si>
  <si>
    <t>Dena Flores</t>
  </si>
  <si>
    <t>Robert Medaris</t>
  </si>
  <si>
    <t>Don Yates</t>
  </si>
  <si>
    <t>Gordon Short</t>
  </si>
  <si>
    <t>Rajesh Manglore</t>
  </si>
  <si>
    <t>Brian Eugeni</t>
  </si>
  <si>
    <t>Meredith Dioro</t>
  </si>
  <si>
    <t>Elaina Lima</t>
  </si>
  <si>
    <t>Michael Yip</t>
  </si>
  <si>
    <t>Brian Lizzarago</t>
  </si>
  <si>
    <t>Keith George</t>
  </si>
  <si>
    <t>Samuel Link</t>
  </si>
  <si>
    <t>Robert Stankus</t>
  </si>
  <si>
    <t>Jennifer Bosche-Danzer</t>
  </si>
  <si>
    <t>Travis Tucker</t>
  </si>
  <si>
    <t>Mark VanCleef</t>
  </si>
  <si>
    <t>Brent Hamlin</t>
  </si>
  <si>
    <t>Manuel Arellano</t>
  </si>
  <si>
    <t>Gina Garcia</t>
  </si>
  <si>
    <t>Dorothy Harvey</t>
  </si>
  <si>
    <t>Eric Tillemans</t>
  </si>
  <si>
    <t>Kenneth Riegel</t>
  </si>
  <si>
    <t>James Need</t>
  </si>
  <si>
    <t>Liz Baumgartner</t>
  </si>
  <si>
    <t>Trina Gold</t>
  </si>
  <si>
    <t>Brienne Lopez</t>
  </si>
  <si>
    <t>Helen Fulstone</t>
  </si>
  <si>
    <t>Thomas Luksch</t>
  </si>
  <si>
    <t>Stephanie Padilla</t>
  </si>
  <si>
    <t>Ganesh Balgi</t>
  </si>
  <si>
    <t>Carl Schultz</t>
  </si>
  <si>
    <t>Alan Shapiro</t>
  </si>
  <si>
    <t>Calvin Gee</t>
  </si>
  <si>
    <t>Marten Mills</t>
  </si>
  <si>
    <t>Stephen Kelley</t>
  </si>
  <si>
    <t>Michael Murphy</t>
  </si>
  <si>
    <t>Carol Hunter</t>
  </si>
  <si>
    <t>Jeff Schoonmaker</t>
  </si>
  <si>
    <t>Brian Michaels</t>
  </si>
  <si>
    <t>Jeremy Logan</t>
  </si>
  <si>
    <t>Daren Broderick</t>
  </si>
  <si>
    <t>Jeff Speelman</t>
  </si>
  <si>
    <t>Nigel Pilgrim</t>
  </si>
  <si>
    <t>James Fracker</t>
  </si>
  <si>
    <t>Elizabeth Letters</t>
  </si>
  <si>
    <t>John Restivo</t>
  </si>
  <si>
    <t>Shay Johnson</t>
  </si>
  <si>
    <t>Edward Witherspoon</t>
  </si>
  <si>
    <t>Vicky Aton</t>
  </si>
  <si>
    <t>Maria Lindsay</t>
  </si>
  <si>
    <t>Michael Papp</t>
  </si>
  <si>
    <t>Ismael Morales</t>
  </si>
  <si>
    <t>Melissa Burns</t>
  </si>
  <si>
    <t>Thomas Reynolds</t>
  </si>
  <si>
    <t>Jason Perkins</t>
  </si>
  <si>
    <t>Albert Garcia</t>
  </si>
  <si>
    <t>Jimi Grassi</t>
  </si>
  <si>
    <t>Peter Racette</t>
  </si>
  <si>
    <t>Lisa Stutz</t>
  </si>
  <si>
    <t>Jonathan Taub</t>
  </si>
  <si>
    <t>John Vamossy</t>
  </si>
  <si>
    <t>Franklin Jolley</t>
  </si>
  <si>
    <t>Robert Squirrell</t>
  </si>
  <si>
    <t>Tom Richer</t>
  </si>
  <si>
    <t>Melinda Ganeles</t>
  </si>
  <si>
    <t>Karen Kuhn</t>
  </si>
  <si>
    <t>Mark Rubeo</t>
  </si>
  <si>
    <t>Steve Baranowski</t>
  </si>
  <si>
    <t>Brad Edgar</t>
  </si>
  <si>
    <t>Michelle Topper</t>
  </si>
  <si>
    <t>Ryan Alexander</t>
  </si>
  <si>
    <t>Beth Stuart</t>
  </si>
  <si>
    <t>Jason Boesch</t>
  </si>
  <si>
    <t>Eric Carter</t>
  </si>
  <si>
    <t>Trinity Kramer</t>
  </si>
  <si>
    <t>Glenn Sayer</t>
  </si>
  <si>
    <t>Lisa Lorenz</t>
  </si>
  <si>
    <t>Jeff Rathjen</t>
  </si>
  <si>
    <t>Carol Henderson</t>
  </si>
  <si>
    <t>Karla Allred</t>
  </si>
  <si>
    <t>Craig Bay</t>
  </si>
  <si>
    <t>Shawn Ehrstein</t>
  </si>
  <si>
    <t>Nicole Rushton</t>
  </si>
  <si>
    <t>Christina Hendrickson</t>
  </si>
  <si>
    <t>Denis Clancy</t>
  </si>
  <si>
    <t>Jessica Sullivan</t>
  </si>
  <si>
    <t>Barbara Moore</t>
  </si>
  <si>
    <t>Millard Walker</t>
  </si>
  <si>
    <t>Kellie Gilliam</t>
  </si>
  <si>
    <t>Kevin Crow</t>
  </si>
  <si>
    <t>Rodney Etzel</t>
  </si>
  <si>
    <t>David Lunsford</t>
  </si>
  <si>
    <t>David Stewart</t>
  </si>
  <si>
    <t>Beth Lewis</t>
  </si>
  <si>
    <t>Monica Lannom</t>
  </si>
  <si>
    <t>Daniel Spangle</t>
  </si>
  <si>
    <t>Scott Klocko</t>
  </si>
  <si>
    <t>James Garrett</t>
  </si>
  <si>
    <t>Anthony Schwieterman</t>
  </si>
  <si>
    <t>Bruce Evans</t>
  </si>
  <si>
    <t>Jena Brannon</t>
  </si>
  <si>
    <t>Neil Greenwood</t>
  </si>
  <si>
    <t>James Stembridge</t>
  </si>
  <si>
    <t>Shantell Toups</t>
  </si>
  <si>
    <t>Jeffrey Clark</t>
  </si>
  <si>
    <t>Charles Stephenson</t>
  </si>
  <si>
    <t>Lisa Rusch</t>
  </si>
  <si>
    <t>Joseph Nadeau</t>
  </si>
  <si>
    <t>Mark Sekulich</t>
  </si>
  <si>
    <t>Dennis Smith</t>
  </si>
  <si>
    <t>Paul Smith</t>
  </si>
  <si>
    <t>Brenda Agee</t>
  </si>
  <si>
    <t>Jennifer Flottum</t>
  </si>
  <si>
    <t>Patrick Schradle</t>
  </si>
  <si>
    <t>Deb Chapman</t>
  </si>
  <si>
    <t>Jason Deatherage</t>
  </si>
  <si>
    <t>Kerrie Erickson</t>
  </si>
  <si>
    <t>Angela Kazmierski</t>
  </si>
  <si>
    <t>Concessa Palm</t>
  </si>
  <si>
    <t>Kimberly Butler</t>
  </si>
  <si>
    <t>Pedro Porcayo</t>
  </si>
  <si>
    <t>Robert Surrette</t>
  </si>
  <si>
    <t xml:space="preserve">William Reilly </t>
  </si>
  <si>
    <t>Mary Harris</t>
  </si>
  <si>
    <t>Victoria Hoefler</t>
  </si>
  <si>
    <t>Brennen Roberts</t>
  </si>
  <si>
    <t>Lawrence Ramos</t>
  </si>
  <si>
    <t>Tony Deering</t>
  </si>
  <si>
    <t>Lee Remen</t>
  </si>
  <si>
    <t>Robert Randolph</t>
  </si>
  <si>
    <t>Logan Langballe</t>
  </si>
  <si>
    <t>Fiona Nolan</t>
  </si>
  <si>
    <t>Stuart Slutzky</t>
  </si>
  <si>
    <t>Todd Taylor</t>
  </si>
  <si>
    <t>Kelly Nielsen</t>
  </si>
  <si>
    <t>Lynn Scharpf</t>
  </si>
  <si>
    <t>Jacqueline Cote</t>
  </si>
  <si>
    <t>Sheila Berleman</t>
  </si>
  <si>
    <t>Stephen Sapita</t>
  </si>
  <si>
    <t>Frank Schuler</t>
  </si>
  <si>
    <t>Cara Altamirano</t>
  </si>
  <si>
    <t>Greg Scott</t>
  </si>
  <si>
    <t>Diana Hayes</t>
  </si>
  <si>
    <t>Clarence Kaona</t>
  </si>
  <si>
    <t>Jayson Correa</t>
  </si>
  <si>
    <t>Guadalupe Ruiz</t>
  </si>
  <si>
    <t xml:space="preserve">Richard Wentling </t>
  </si>
  <si>
    <t>Brian Asamoto</t>
  </si>
  <si>
    <t>Donal Dwyer</t>
  </si>
  <si>
    <t>Roger Weeks</t>
  </si>
  <si>
    <t>Kenneth Lee</t>
  </si>
  <si>
    <t>Matthew Briggs</t>
  </si>
  <si>
    <t>Dustin Ruth</t>
  </si>
  <si>
    <t>Jason Gole</t>
  </si>
  <si>
    <t>Christopher House</t>
  </si>
  <si>
    <t>Richard Buiteweg</t>
  </si>
  <si>
    <t>Jeffrey Funke</t>
  </si>
  <si>
    <t>Krystal Samolej</t>
  </si>
  <si>
    <t>William McMurray</t>
  </si>
  <si>
    <t>Vincent Smith</t>
  </si>
  <si>
    <t>Brian Maynard</t>
  </si>
  <si>
    <t>Patrick Lawrie</t>
  </si>
  <si>
    <t>Donald Kachman</t>
  </si>
  <si>
    <t>Timothy Hart Haberl</t>
  </si>
  <si>
    <t>David Ironside</t>
  </si>
  <si>
    <t>Alice Kurth</t>
  </si>
  <si>
    <t>Thomas Rhyner</t>
  </si>
  <si>
    <t>Mike Fields</t>
  </si>
  <si>
    <t>Kristopher Kohn</t>
  </si>
  <si>
    <t>Teri Stefanovsky</t>
  </si>
  <si>
    <t>Craiig Austin</t>
  </si>
  <si>
    <t>Harold Whitcomb</t>
  </si>
  <si>
    <t>Donalld Lobdell</t>
  </si>
  <si>
    <t>Todd Womack</t>
  </si>
  <si>
    <t>Scott Williams</t>
  </si>
  <si>
    <t>Michelle Baar</t>
  </si>
  <si>
    <t>Jessica Unangst</t>
  </si>
  <si>
    <t>Corey Canute</t>
  </si>
  <si>
    <t>Scott Huggins</t>
  </si>
  <si>
    <t>Justin Martin</t>
  </si>
  <si>
    <t>Kristal Gerow</t>
  </si>
  <si>
    <t>Jimmy Argyle</t>
  </si>
  <si>
    <t>Elizabeth Osterloh</t>
  </si>
  <si>
    <t>Heather Provost</t>
  </si>
  <si>
    <t>Linda Proctor</t>
  </si>
  <si>
    <t>Michael Sansone</t>
  </si>
  <si>
    <t>Stephen Service</t>
  </si>
  <si>
    <t>Jody Smith</t>
  </si>
  <si>
    <t>Patricia England</t>
  </si>
  <si>
    <t>Andrea Harper</t>
  </si>
  <si>
    <t>Marc Carroll</t>
  </si>
  <si>
    <t>Dela Chatriand</t>
  </si>
  <si>
    <t>Robyn George</t>
  </si>
  <si>
    <t>Michael Blake</t>
  </si>
  <si>
    <t>Eric Nelson</t>
  </si>
  <si>
    <t>Mary Smith</t>
  </si>
  <si>
    <t>Gary Isaacson</t>
  </si>
  <si>
    <t>Robin McCaul</t>
  </si>
  <si>
    <t>Maria Jetkoski</t>
  </si>
  <si>
    <t>Lisa Hone</t>
  </si>
  <si>
    <t>Jeremy Wright</t>
  </si>
  <si>
    <t>Patricia Smith</t>
  </si>
  <si>
    <t>James Lencioni</t>
  </si>
  <si>
    <t>Tisha Acosta</t>
  </si>
  <si>
    <t>Sarah Rushing</t>
  </si>
  <si>
    <t>Chris Vaughn</t>
  </si>
  <si>
    <t>Desiree Whatmough</t>
  </si>
  <si>
    <t>Jack Rust</t>
  </si>
  <si>
    <t>Dawn Garcia</t>
  </si>
  <si>
    <t>Miguel Guerrero</t>
  </si>
  <si>
    <t>Gregory Heldreth</t>
  </si>
  <si>
    <t>Morgan Ramirez</t>
  </si>
  <si>
    <t>Steven Ferry</t>
  </si>
  <si>
    <t>Chris Davis</t>
  </si>
  <si>
    <t>Ricardina Leon</t>
  </si>
  <si>
    <t>Chad Nelsen</t>
  </si>
  <si>
    <t>Rick Perryman</t>
  </si>
  <si>
    <t>Alma Sanchez</t>
  </si>
  <si>
    <t>Micaela Rivera</t>
  </si>
  <si>
    <t>Joaquin Paz</t>
  </si>
  <si>
    <t>Bryan Krill</t>
  </si>
  <si>
    <t>Stacia Finley</t>
  </si>
  <si>
    <t>David Chambers</t>
  </si>
  <si>
    <t>Laurie Wagner</t>
  </si>
  <si>
    <t>Jodi Buntich</t>
  </si>
  <si>
    <t>Michael Joncich</t>
  </si>
  <si>
    <t>Martin Kroschinsky</t>
  </si>
  <si>
    <t>Oscar Barraza</t>
  </si>
  <si>
    <t>Nicolas Esquivel</t>
  </si>
  <si>
    <t>Timothy Azbell</t>
  </si>
  <si>
    <t>Cheryl Fichera</t>
  </si>
  <si>
    <t>Darren Rosten</t>
  </si>
  <si>
    <t>Robert Dill</t>
  </si>
  <si>
    <t>David Matewosian</t>
  </si>
  <si>
    <t>James Fuller</t>
  </si>
  <si>
    <t>Michael Ramirez</t>
  </si>
  <si>
    <t>Darryl Ducharme</t>
  </si>
  <si>
    <t>Alan Gandall</t>
  </si>
  <si>
    <t>William Worden</t>
  </si>
  <si>
    <t>Lynn Perez</t>
  </si>
  <si>
    <t>Thomas Anderson</t>
  </si>
  <si>
    <t>Ajay Bhardwaj</t>
  </si>
  <si>
    <t>Vincent Barone</t>
  </si>
  <si>
    <t>Earl Estrada</t>
  </si>
  <si>
    <t>Kevin Gramling</t>
  </si>
  <si>
    <t>Mark Verrengia</t>
  </si>
  <si>
    <t>Brett Eckles</t>
  </si>
  <si>
    <t>Brian Foster</t>
  </si>
  <si>
    <t>Joanne Shannon</t>
  </si>
  <si>
    <t>Mario Ramirez</t>
  </si>
  <si>
    <t>Patricia Wallace</t>
  </si>
  <si>
    <t>Thomas Murphy</t>
  </si>
  <si>
    <t>Patrick Yeatts</t>
  </si>
  <si>
    <t>David Mattero</t>
  </si>
  <si>
    <t>Craig Angarola</t>
  </si>
  <si>
    <t>Heather Hove</t>
  </si>
  <si>
    <t>Jason Harding</t>
  </si>
  <si>
    <t>Mary Langworthy</t>
  </si>
  <si>
    <t>Michael Sasso</t>
  </si>
  <si>
    <t>PJ Dinneny</t>
  </si>
  <si>
    <t>Tammy Carey</t>
  </si>
  <si>
    <t>Juan Garcia</t>
  </si>
  <si>
    <t>Alfonso Piceno</t>
  </si>
  <si>
    <t>Valerie Verdugo</t>
  </si>
  <si>
    <t>Alondra Soto</t>
  </si>
  <si>
    <t>Erika Calderon</t>
  </si>
  <si>
    <t>Francis McDonough</t>
  </si>
  <si>
    <t>Billie Jo Lash</t>
  </si>
  <si>
    <t>Jesus Duarte</t>
  </si>
  <si>
    <t>Robert Oropeza</t>
  </si>
  <si>
    <t>Christopher Rodriguez Durgin</t>
  </si>
  <si>
    <t>Terry Fix</t>
  </si>
  <si>
    <t>Rebekah Boone</t>
  </si>
  <si>
    <t>Isaiah Schlesinger</t>
  </si>
  <si>
    <t>Megan Bryan</t>
  </si>
  <si>
    <t>Cindy Babbitt</t>
  </si>
  <si>
    <t>Aaron Luce</t>
  </si>
  <si>
    <t>Kimberly Gonzales</t>
  </si>
  <si>
    <t>Pauline Hernandez</t>
  </si>
  <si>
    <t>Paul Armstrong</t>
  </si>
  <si>
    <t>Doris Berry</t>
  </si>
  <si>
    <t>Jackie Sanchez</t>
  </si>
  <si>
    <t>Domonic Villella</t>
  </si>
  <si>
    <t>Justin Najaka</t>
  </si>
  <si>
    <t>Kent Jennings</t>
  </si>
  <si>
    <t>David Warren</t>
  </si>
  <si>
    <t>David Currey</t>
  </si>
  <si>
    <t>Bobby Wilson</t>
  </si>
  <si>
    <t>Charles Jenschke</t>
  </si>
  <si>
    <t>Faber Moyer</t>
  </si>
  <si>
    <t>Paul Kendall</t>
  </si>
  <si>
    <t>Michael Luther</t>
  </si>
  <si>
    <t>Chris Cronrath</t>
  </si>
  <si>
    <t>Sieney Clark</t>
  </si>
  <si>
    <t>Anthony Funari</t>
  </si>
  <si>
    <t>Adam Hoover</t>
  </si>
  <si>
    <t>Amanda Johns</t>
  </si>
  <si>
    <t>Stacy Kelly</t>
  </si>
  <si>
    <t>Roger Snook</t>
  </si>
  <si>
    <t>Shawn Maddox</t>
  </si>
  <si>
    <t>Giovanni Rosanova</t>
  </si>
  <si>
    <t>Noah Wareham</t>
  </si>
  <si>
    <t>Heather Gardner</t>
  </si>
  <si>
    <t>Aimee Robertson</t>
  </si>
  <si>
    <t>Fran Sivi</t>
  </si>
  <si>
    <t>John Thomas</t>
  </si>
  <si>
    <t>Rune Andreassen</t>
  </si>
  <si>
    <t>William Seddon</t>
  </si>
  <si>
    <t>Dana Miller</t>
  </si>
  <si>
    <t>Rona Hummel</t>
  </si>
  <si>
    <t>Drew Meyer</t>
  </si>
  <si>
    <t>Brian Shedleski</t>
  </si>
  <si>
    <t>Jeffrey Baum</t>
  </si>
  <si>
    <t>Garrick Davis</t>
  </si>
  <si>
    <t>Jamie McFalls</t>
  </si>
  <si>
    <t>Matthew Lesky</t>
  </si>
  <si>
    <t>Alicia Pollock</t>
  </si>
  <si>
    <t>April Richards</t>
  </si>
  <si>
    <t>Kenneth Wootton</t>
  </si>
  <si>
    <t>Tanya Felix</t>
  </si>
  <si>
    <t>Troy Emmert</t>
  </si>
  <si>
    <t>Paul Fegley</t>
  </si>
  <si>
    <t>Beth Hackenberg</t>
  </si>
  <si>
    <t>Chris Ross</t>
  </si>
  <si>
    <t>Harry Champion</t>
  </si>
  <si>
    <t>Renee Pfirman</t>
  </si>
  <si>
    <t>Mark Pyser</t>
  </si>
  <si>
    <t>Kristin Montgomery</t>
  </si>
  <si>
    <t>Kim Tucker</t>
  </si>
  <si>
    <t>Jennifer Doane</t>
  </si>
  <si>
    <t>Scott Jones</t>
  </si>
  <si>
    <t>Thomas Nicolakakos</t>
  </si>
  <si>
    <t>Ryan Hagopian</t>
  </si>
  <si>
    <t>Thomas Coward</t>
  </si>
  <si>
    <t>Arno Silva</t>
  </si>
  <si>
    <t>Mark Turbessi</t>
  </si>
  <si>
    <t>Ligia Courneya-Carrick</t>
  </si>
  <si>
    <t>Jamarica Ison</t>
  </si>
  <si>
    <t>Shanta Roberts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</si>
</sst>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\ mm/dd/yyyy"/>
  </numFmts>
  <fonts count="19">
    <font>
      <sz val="10"/>
      <color indexed="8"/>
      <name val="ARIAL"/>
      <charset val="1"/>
    </font>
    <font>
      <sz val="10"/>
      <color indexed="8"/>
      <name val="ARIAL"/>
      <charset val="1"/>
    </font>
    <font>
      <b/>
      <sz val="10"/>
      <color indexed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8"/>
      <name val="Courier New"/>
      <family val="3"/>
    </font>
    <font>
      <sz val="10"/>
      <color indexed="8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color theme="10"/>
      <name val="Arial"/>
      <family val="2"/>
    </font>
    <font>
      <b/>
      <i/>
      <sz val="10"/>
      <color rgb="FFFF0000"/>
      <name val="Arial"/>
      <family val="2"/>
    </font>
    <font>
      <sz val="10"/>
      <color rgb="FFFF0000"/>
      <name val="Arial"/>
      <family val="2"/>
    </font>
    <font>
      <sz val="9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9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>
      <alignment vertical="top"/>
    </xf>
    <xf numFmtId="43" fontId="10" fillId="0" borderId="0" applyFont="0" applyFill="0" applyBorder="0" applyAlignment="0" applyProtection="0">
      <alignment vertical="top"/>
    </xf>
    <xf numFmtId="0" fontId="15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>
      <alignment vertical="top"/>
    </xf>
    <xf numFmtId="37" fontId="1" fillId="0" borderId="0" xfId="0" applyNumberFormat="1" applyFont="1">
      <alignment vertical="top"/>
    </xf>
    <xf numFmtId="164" fontId="1" fillId="0" borderId="0" xfId="0" applyNumberFormat="1" applyFont="1">
      <alignment vertical="top"/>
    </xf>
    <xf numFmtId="0" fontId="2" fillId="0" borderId="0" xfId="0" applyFont="1">
      <alignment vertical="top"/>
    </xf>
    <xf numFmtId="0" fontId="3" fillId="0" borderId="0" xfId="0" applyFont="1">
      <alignment vertical="top"/>
    </xf>
    <xf numFmtId="164" fontId="4" fillId="0" borderId="0" xfId="0" applyNumberFormat="1" applyFont="1">
      <alignment vertical="top"/>
    </xf>
    <xf numFmtId="0" fontId="4" fillId="0" borderId="0" xfId="0" applyFont="1">
      <alignment vertical="top"/>
    </xf>
    <xf numFmtId="0" fontId="0" fillId="2" borderId="0" xfId="0" applyFill="1">
      <alignment vertical="top"/>
    </xf>
    <xf numFmtId="164" fontId="4" fillId="2" borderId="0" xfId="0" applyNumberFormat="1" applyFont="1" applyFill="1">
      <alignment vertical="top"/>
    </xf>
    <xf numFmtId="0" fontId="2" fillId="0" borderId="0" xfId="0" applyFont="1" applyFill="1">
      <alignment vertical="top"/>
    </xf>
    <xf numFmtId="0" fontId="0" fillId="0" borderId="0" xfId="0" applyFill="1">
      <alignment vertical="top"/>
    </xf>
    <xf numFmtId="49" fontId="2" fillId="0" borderId="0" xfId="0" applyNumberFormat="1" applyFont="1" applyFill="1">
      <alignment vertical="top"/>
    </xf>
    <xf numFmtId="49" fontId="0" fillId="0" borderId="0" xfId="0" applyNumberFormat="1" applyFill="1">
      <alignment vertical="top"/>
    </xf>
    <xf numFmtId="0" fontId="2" fillId="0" borderId="1" xfId="0" applyFont="1" applyFill="1" applyBorder="1">
      <alignment vertical="top"/>
    </xf>
    <xf numFmtId="0" fontId="0" fillId="0" borderId="0" xfId="0" applyFill="1" applyBorder="1">
      <alignment vertical="top"/>
    </xf>
    <xf numFmtId="0" fontId="0" fillId="0" borderId="0" xfId="0" applyFill="1" applyBorder="1" applyAlignment="1">
      <alignment horizontal="left" vertical="top"/>
    </xf>
    <xf numFmtId="0" fontId="0" fillId="0" borderId="0" xfId="0" applyFill="1" applyAlignment="1">
      <alignment horizontal="left" vertical="top"/>
    </xf>
    <xf numFmtId="0" fontId="2" fillId="0" borderId="2" xfId="0" applyFont="1" applyFill="1" applyBorder="1" applyAlignment="1">
      <alignment horizontal="left" vertical="top"/>
    </xf>
    <xf numFmtId="0" fontId="2" fillId="0" borderId="0" xfId="0" applyFont="1" applyFill="1" applyBorder="1">
      <alignment vertical="top"/>
    </xf>
    <xf numFmtId="0" fontId="2" fillId="0" borderId="2" xfId="0" applyFont="1" applyFill="1" applyBorder="1">
      <alignment vertical="top"/>
    </xf>
    <xf numFmtId="0" fontId="7" fillId="0" borderId="2" xfId="0" applyFont="1" applyFill="1" applyBorder="1" applyAlignment="1">
      <alignment horizontal="center" vertical="top" wrapText="1"/>
    </xf>
    <xf numFmtId="0" fontId="8" fillId="0" borderId="0" xfId="0" applyFont="1" applyFill="1" applyAlignment="1">
      <alignment horizontal="center" vertical="top"/>
    </xf>
    <xf numFmtId="0" fontId="9" fillId="0" borderId="0" xfId="0" applyFont="1">
      <alignment vertical="top"/>
    </xf>
    <xf numFmtId="0" fontId="8" fillId="0" borderId="0" xfId="0" applyFont="1" applyFill="1" applyBorder="1" applyAlignment="1">
      <alignment horizontal="center" vertical="top"/>
    </xf>
    <xf numFmtId="14" fontId="0" fillId="0" borderId="0" xfId="0" applyNumberFormat="1" applyFill="1">
      <alignment vertical="top"/>
    </xf>
    <xf numFmtId="14" fontId="6" fillId="0" borderId="0" xfId="0" applyNumberFormat="1" applyFont="1" applyFill="1" applyAlignment="1">
      <alignment horizontal="left" vertical="top"/>
    </xf>
    <xf numFmtId="14" fontId="0" fillId="0" borderId="0" xfId="1" applyNumberFormat="1" applyFont="1" applyFill="1" applyBorder="1">
      <alignment vertical="top"/>
    </xf>
    <xf numFmtId="14" fontId="10" fillId="0" borderId="0" xfId="0" applyNumberFormat="1" applyFont="1" applyFill="1">
      <alignment vertical="top"/>
    </xf>
    <xf numFmtId="14" fontId="5" fillId="0" borderId="2" xfId="0" applyNumberFormat="1" applyFont="1" applyFill="1" applyBorder="1" applyAlignment="1">
      <alignment horizontal="left" vertical="top"/>
    </xf>
    <xf numFmtId="0" fontId="8" fillId="0" borderId="0" xfId="2" applyFont="1" applyProtection="1">
      <alignment vertical="top"/>
    </xf>
    <xf numFmtId="0" fontId="10" fillId="0" borderId="0" xfId="0" applyFont="1" applyFill="1" applyAlignment="1">
      <alignment horizontal="left" vertical="top"/>
    </xf>
    <xf numFmtId="14" fontId="8" fillId="0" borderId="0" xfId="0" applyNumberFormat="1" applyFont="1" applyFill="1" applyAlignment="1">
      <alignment horizontal="left" vertical="top"/>
    </xf>
    <xf numFmtId="14" fontId="8" fillId="0" borderId="0" xfId="0" applyNumberFormat="1" applyFont="1" applyFill="1" applyAlignment="1">
      <alignment horizontal="left"/>
    </xf>
    <xf numFmtId="14" fontId="8" fillId="0" borderId="0" xfId="0" applyNumberFormat="1" applyFont="1" applyFill="1" applyBorder="1" applyAlignment="1">
      <alignment horizontal="left" vertical="top"/>
    </xf>
    <xf numFmtId="14" fontId="10" fillId="0" borderId="0" xfId="0" applyNumberFormat="1" applyFont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14" fontId="5" fillId="0" borderId="0" xfId="0" applyNumberFormat="1" applyFont="1" applyFill="1" applyBorder="1" applyAlignment="1">
      <alignment horizontal="left" vertical="top"/>
    </xf>
    <xf numFmtId="0" fontId="7" fillId="0" borderId="0" xfId="0" applyFont="1" applyFill="1" applyBorder="1" applyAlignment="1">
      <alignment horizontal="center" vertical="top" wrapText="1"/>
    </xf>
    <xf numFmtId="14" fontId="6" fillId="0" borderId="0" xfId="0" applyNumberFormat="1" applyFont="1" applyFill="1" applyBorder="1" applyAlignment="1">
      <alignment horizontal="left" vertical="top"/>
    </xf>
    <xf numFmtId="0" fontId="10" fillId="0" borderId="0" xfId="0" applyFont="1" applyFill="1" applyBorder="1" applyAlignment="1">
      <alignment horizontal="left" vertical="top"/>
    </xf>
    <xf numFmtId="14" fontId="0" fillId="0" borderId="0" xfId="0" applyNumberFormat="1" applyAlignment="1">
      <alignment horizontal="left" vertical="top"/>
    </xf>
    <xf numFmtId="14" fontId="16" fillId="0" borderId="0" xfId="0" applyNumberFormat="1" applyFont="1" applyFill="1" applyAlignment="1">
      <alignment horizontal="left" vertical="top"/>
    </xf>
    <xf numFmtId="14" fontId="7" fillId="0" borderId="2" xfId="0" applyNumberFormat="1" applyFont="1" applyFill="1" applyBorder="1" applyAlignment="1">
      <alignment horizontal="left" vertical="top"/>
    </xf>
    <xf numFmtId="14" fontId="17" fillId="0" borderId="0" xfId="0" applyNumberFormat="1" applyFont="1" applyFill="1" applyAlignment="1">
      <alignment horizontal="left" vertical="top"/>
    </xf>
    <xf numFmtId="14" fontId="0" fillId="0" borderId="0" xfId="0" applyNumberFormat="1" applyFill="1" applyAlignment="1">
      <alignment horizontal="left" vertical="top"/>
    </xf>
    <xf numFmtId="14" fontId="10" fillId="0" borderId="0" xfId="0" applyNumberFormat="1" applyFont="1" applyFill="1" applyAlignment="1">
      <alignment horizontal="left" vertical="top"/>
    </xf>
    <xf numFmtId="0" fontId="18" fillId="0" borderId="0" xfId="0" applyFont="1">
      <alignment vertical="top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ayso.org/vol_dspvolunteerinfo.aspx?vid=924101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www.eayso.org/vol_dspvolunteerinfo.aspx?vid=729852" TargetMode="External"/><Relationship Id="rId1" Type="http://schemas.openxmlformats.org/officeDocument/2006/relationships/hyperlink" Target="https://www.eayso.org/vol_dspvolunteerinfo.aspx?vid=526366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eayso.org/vol_dspvolunteerinfo.aspx?vid=894257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AG1297"/>
  <sheetViews>
    <sheetView tabSelected="1" showOutlineSymbols="0" workbookViewId="0">
      <pane xSplit="14" ySplit="1" topLeftCell="O588" activePane="bottomRight" state="frozen"/>
      <selection pane="topRight" activeCell="O1" sqref="O1"/>
      <selection pane="bottomLeft" activeCell="A2" sqref="A2"/>
      <selection pane="bottomRight" activeCell="C618" sqref="C618"/>
    </sheetView>
  </sheetViews>
  <sheetFormatPr defaultColWidth="6.85546875" defaultRowHeight="12.75" customHeight="1"/>
  <cols>
    <col min="1" max="1" width="10.42578125" style="16" customWidth="1"/>
    <col min="2" max="2" width="9" style="16" customWidth="1"/>
    <col min="3" max="3" width="11.85546875" style="16" customWidth="1"/>
    <col min="4" max="4" width="8.7109375" hidden="1" customWidth="1"/>
    <col min="5" max="5" width="8.28515625" style="16" customWidth="1"/>
    <col min="6" max="6" width="10.7109375" hidden="1" customWidth="1"/>
    <col min="7" max="7" width="12.42578125" hidden="1" customWidth="1"/>
    <col min="8" max="8" width="10.7109375" hidden="1" customWidth="1"/>
    <col min="9" max="9" width="16.140625" style="25" customWidth="1"/>
    <col min="10" max="10" width="11.42578125" hidden="1" customWidth="1"/>
    <col min="11" max="11" width="11.140625" hidden="1" customWidth="1"/>
    <col min="12" max="13" width="0" hidden="1" customWidth="1"/>
    <col min="14" max="14" width="14.7109375" style="21" customWidth="1"/>
    <col min="15" max="15" width="24.7109375" style="16" customWidth="1"/>
    <col min="16" max="16" width="16.85546875" style="10" hidden="1" customWidth="1"/>
    <col min="17" max="17" width="28.7109375" style="10" hidden="1" customWidth="1"/>
    <col min="18" max="18" width="30.85546875" style="12" hidden="1" customWidth="1"/>
    <col min="19" max="19" width="29.85546875" style="16" hidden="1" customWidth="1"/>
    <col min="20" max="20" width="78.42578125" style="31" bestFit="1" customWidth="1"/>
    <col min="21" max="21" width="16.85546875" style="10" bestFit="1" customWidth="1"/>
    <col min="22" max="22" width="7.140625" style="10" bestFit="1" customWidth="1"/>
    <col min="23" max="23" width="11.5703125" style="10" customWidth="1"/>
    <col min="24" max="16384" width="6.85546875" style="10"/>
  </cols>
  <sheetData>
    <row r="1" spans="1:27" s="9" customFormat="1" ht="26.25" thickBot="1">
      <c r="A1" s="17" t="s">
        <v>144</v>
      </c>
      <c r="B1" s="17" t="s">
        <v>145</v>
      </c>
      <c r="C1" s="17" t="s">
        <v>146</v>
      </c>
      <c r="D1" s="3" t="s">
        <v>147</v>
      </c>
      <c r="E1" s="17" t="s">
        <v>148</v>
      </c>
      <c r="F1" s="3" t="s">
        <v>286</v>
      </c>
      <c r="G1" s="3" t="s">
        <v>287</v>
      </c>
      <c r="H1" s="3" t="s">
        <v>288</v>
      </c>
      <c r="I1" s="28" t="s">
        <v>289</v>
      </c>
      <c r="J1" s="3" t="s">
        <v>290</v>
      </c>
      <c r="K1" s="3" t="s">
        <v>291</v>
      </c>
      <c r="L1" s="3" t="s">
        <v>293</v>
      </c>
      <c r="M1" s="3" t="s">
        <v>294</v>
      </c>
      <c r="N1" s="20" t="s">
        <v>1166</v>
      </c>
      <c r="O1" s="17" t="s">
        <v>292</v>
      </c>
      <c r="P1" s="13" t="s">
        <v>1135</v>
      </c>
      <c r="Q1" s="13"/>
      <c r="R1" s="11"/>
      <c r="S1" s="17" t="s">
        <v>1135</v>
      </c>
      <c r="T1" s="42" t="s">
        <v>1620</v>
      </c>
      <c r="U1" s="19" t="s">
        <v>1165</v>
      </c>
      <c r="V1" s="19"/>
      <c r="W1" s="19"/>
      <c r="X1" s="19"/>
      <c r="Y1" s="19"/>
      <c r="Z1" s="19"/>
      <c r="AA1" s="18"/>
    </row>
    <row r="2" spans="1:27">
      <c r="A2" s="15">
        <v>1</v>
      </c>
      <c r="B2" s="15" t="s">
        <v>149</v>
      </c>
      <c r="C2" s="15">
        <v>3</v>
      </c>
      <c r="D2" s="7" t="s">
        <v>295</v>
      </c>
      <c r="E2" s="15" t="s">
        <v>296</v>
      </c>
      <c r="F2" s="2">
        <v>26102</v>
      </c>
      <c r="G2" s="2">
        <v>26102</v>
      </c>
      <c r="H2" s="2">
        <v>39358</v>
      </c>
      <c r="I2" s="25">
        <v>41820</v>
      </c>
      <c r="K2" s="2">
        <v>36320</v>
      </c>
      <c r="L2" t="s">
        <v>297</v>
      </c>
      <c r="M2" t="s">
        <v>297</v>
      </c>
      <c r="N2" s="23" t="str">
        <f t="shared" ref="N2:N8" si="0">IF((I2&gt;$W$2),"Y","N")</f>
        <v>Y</v>
      </c>
      <c r="O2" s="29" t="s">
        <v>1550</v>
      </c>
      <c r="P2" s="14" t="s">
        <v>150</v>
      </c>
      <c r="Q2" s="14" t="s">
        <v>151</v>
      </c>
      <c r="S2" s="16" t="str">
        <f t="shared" ref="S2:S8" si="1">MID(Q2,9,30)</f>
        <v>Kenneth W Mangelsdorf</v>
      </c>
      <c r="T2" s="33">
        <v>41442</v>
      </c>
      <c r="U2" s="14"/>
      <c r="W2" s="24">
        <v>41455</v>
      </c>
    </row>
    <row r="3" spans="1:27">
      <c r="A3" s="16">
        <v>1</v>
      </c>
      <c r="B3" s="16" t="s">
        <v>149</v>
      </c>
      <c r="C3" s="16">
        <v>30</v>
      </c>
      <c r="D3" s="7" t="s">
        <v>295</v>
      </c>
      <c r="E3" s="16" t="s">
        <v>316</v>
      </c>
      <c r="F3" s="2">
        <v>38772</v>
      </c>
      <c r="H3" s="2">
        <v>39310</v>
      </c>
      <c r="I3" s="25">
        <v>39263</v>
      </c>
      <c r="L3" t="s">
        <v>297</v>
      </c>
      <c r="M3" t="s">
        <v>297</v>
      </c>
      <c r="N3" s="23" t="str">
        <f t="shared" si="0"/>
        <v>N</v>
      </c>
      <c r="O3" s="16" t="s">
        <v>300</v>
      </c>
      <c r="P3" s="10" t="s">
        <v>150</v>
      </c>
      <c r="Q3" s="10" t="s">
        <v>151</v>
      </c>
      <c r="S3" s="16" t="str">
        <f t="shared" si="1"/>
        <v>Kenneth W Mangelsdorf</v>
      </c>
    </row>
    <row r="4" spans="1:27">
      <c r="A4" s="16">
        <v>1</v>
      </c>
      <c r="B4" s="16" t="s">
        <v>149</v>
      </c>
      <c r="C4" s="16">
        <v>31</v>
      </c>
      <c r="D4" t="s">
        <v>295</v>
      </c>
      <c r="E4" s="16" t="s">
        <v>296</v>
      </c>
      <c r="F4" s="2">
        <v>26830</v>
      </c>
      <c r="G4" s="2">
        <v>26830</v>
      </c>
      <c r="H4" s="2">
        <v>38886</v>
      </c>
      <c r="I4" s="25">
        <v>41455</v>
      </c>
      <c r="J4" s="2">
        <v>39190</v>
      </c>
      <c r="K4" s="2">
        <v>36257</v>
      </c>
      <c r="L4" t="s">
        <v>297</v>
      </c>
      <c r="M4" t="s">
        <v>297</v>
      </c>
      <c r="N4" s="23" t="str">
        <f t="shared" si="0"/>
        <v>N</v>
      </c>
      <c r="O4" s="30" t="s">
        <v>1586</v>
      </c>
      <c r="P4" s="10" t="s">
        <v>150</v>
      </c>
      <c r="Q4" s="10" t="s">
        <v>151</v>
      </c>
      <c r="S4" s="16" t="str">
        <f t="shared" si="1"/>
        <v>Kenneth W Mangelsdorf</v>
      </c>
      <c r="T4" s="31">
        <v>41045</v>
      </c>
      <c r="W4" s="24"/>
    </row>
    <row r="5" spans="1:27">
      <c r="A5" s="16">
        <v>1</v>
      </c>
      <c r="B5" s="16" t="s">
        <v>149</v>
      </c>
      <c r="C5" s="16">
        <v>67</v>
      </c>
      <c r="D5" s="7" t="s">
        <v>295</v>
      </c>
      <c r="E5" s="16" t="s">
        <v>296</v>
      </c>
      <c r="F5" s="2">
        <v>27591</v>
      </c>
      <c r="G5" s="2">
        <v>27591</v>
      </c>
      <c r="H5" s="2">
        <v>39456</v>
      </c>
      <c r="I5" s="25">
        <v>41820</v>
      </c>
      <c r="J5" s="2">
        <v>38224</v>
      </c>
      <c r="K5" s="2">
        <v>36179</v>
      </c>
      <c r="L5" t="s">
        <v>297</v>
      </c>
      <c r="M5" t="s">
        <v>297</v>
      </c>
      <c r="N5" s="23" t="str">
        <f t="shared" si="0"/>
        <v>Y</v>
      </c>
      <c r="O5" s="16" t="s">
        <v>1540</v>
      </c>
      <c r="P5" s="10" t="s">
        <v>150</v>
      </c>
      <c r="Q5" s="10" t="s">
        <v>151</v>
      </c>
      <c r="S5" s="16" t="str">
        <f t="shared" si="1"/>
        <v>Kenneth W Mangelsdorf</v>
      </c>
      <c r="T5" s="31">
        <v>41451</v>
      </c>
    </row>
    <row r="6" spans="1:27">
      <c r="A6" s="16">
        <v>1</v>
      </c>
      <c r="B6" s="16" t="s">
        <v>149</v>
      </c>
      <c r="C6" s="16">
        <v>583</v>
      </c>
      <c r="D6" s="7" t="s">
        <v>295</v>
      </c>
      <c r="E6" s="16" t="s">
        <v>296</v>
      </c>
      <c r="F6" s="2">
        <v>31857</v>
      </c>
      <c r="G6" s="2">
        <v>31857</v>
      </c>
      <c r="H6" s="2">
        <v>39132</v>
      </c>
      <c r="I6" s="25">
        <v>41455</v>
      </c>
      <c r="J6" s="2">
        <v>39087</v>
      </c>
      <c r="K6" s="2">
        <v>39190</v>
      </c>
      <c r="L6" t="s">
        <v>297</v>
      </c>
      <c r="M6" t="s">
        <v>297</v>
      </c>
      <c r="N6" s="23" t="str">
        <f t="shared" si="0"/>
        <v>N</v>
      </c>
      <c r="O6" s="16" t="s">
        <v>303</v>
      </c>
      <c r="P6" s="10" t="s">
        <v>150</v>
      </c>
      <c r="Q6" s="10" t="s">
        <v>151</v>
      </c>
      <c r="S6" s="16" t="str">
        <f t="shared" si="1"/>
        <v>Kenneth W Mangelsdorf</v>
      </c>
      <c r="T6" s="31">
        <v>41067</v>
      </c>
    </row>
    <row r="7" spans="1:27">
      <c r="A7" s="16">
        <v>1</v>
      </c>
      <c r="B7" s="16" t="s">
        <v>149</v>
      </c>
      <c r="C7" s="16">
        <v>661</v>
      </c>
      <c r="D7" s="7" t="s">
        <v>295</v>
      </c>
      <c r="E7" s="16" t="s">
        <v>296</v>
      </c>
      <c r="F7" s="2">
        <v>32522</v>
      </c>
      <c r="G7" s="2">
        <v>33621</v>
      </c>
      <c r="H7" s="2">
        <v>39218</v>
      </c>
      <c r="I7" s="25">
        <v>41820</v>
      </c>
      <c r="J7" s="2">
        <v>39087</v>
      </c>
      <c r="K7" s="2">
        <v>39213</v>
      </c>
      <c r="L7" t="s">
        <v>297</v>
      </c>
      <c r="M7" t="s">
        <v>297</v>
      </c>
      <c r="N7" s="23" t="str">
        <f t="shared" si="0"/>
        <v>Y</v>
      </c>
      <c r="O7" s="16" t="s">
        <v>1637</v>
      </c>
      <c r="P7" s="10" t="s">
        <v>150</v>
      </c>
      <c r="Q7" s="10" t="s">
        <v>151</v>
      </c>
      <c r="S7" s="16" t="str">
        <f t="shared" si="1"/>
        <v>Kenneth W Mangelsdorf</v>
      </c>
      <c r="T7" s="31">
        <v>41432</v>
      </c>
    </row>
    <row r="8" spans="1:27">
      <c r="A8" s="16">
        <v>1</v>
      </c>
      <c r="B8" s="16" t="s">
        <v>149</v>
      </c>
      <c r="C8" s="16">
        <v>779</v>
      </c>
      <c r="D8" s="7" t="s">
        <v>295</v>
      </c>
      <c r="E8" s="16" t="s">
        <v>296</v>
      </c>
      <c r="F8" s="2">
        <v>33313</v>
      </c>
      <c r="G8" s="2">
        <v>33563</v>
      </c>
      <c r="H8" s="2">
        <v>39283</v>
      </c>
      <c r="I8" s="25">
        <v>41820</v>
      </c>
      <c r="J8" s="2">
        <v>36161</v>
      </c>
      <c r="K8" s="2">
        <v>36201</v>
      </c>
      <c r="L8" t="s">
        <v>297</v>
      </c>
      <c r="M8" t="s">
        <v>297</v>
      </c>
      <c r="N8" s="23" t="str">
        <f t="shared" si="0"/>
        <v>Y</v>
      </c>
      <c r="O8" s="16" t="s">
        <v>1638</v>
      </c>
      <c r="P8" s="10" t="s">
        <v>150</v>
      </c>
      <c r="Q8" s="10" t="s">
        <v>151</v>
      </c>
      <c r="S8" s="16" t="str">
        <f t="shared" si="1"/>
        <v>Kenneth W Mangelsdorf</v>
      </c>
      <c r="T8" s="31">
        <v>41428</v>
      </c>
    </row>
    <row r="9" spans="1:27" customFormat="1" hidden="1">
      <c r="A9" t="s">
        <v>150</v>
      </c>
      <c r="B9" t="s">
        <v>151</v>
      </c>
      <c r="I9" s="6"/>
    </row>
    <row r="10" spans="1:27">
      <c r="A10" s="16">
        <v>1</v>
      </c>
      <c r="B10" s="16" t="s">
        <v>296</v>
      </c>
      <c r="C10" s="16">
        <v>2</v>
      </c>
      <c r="D10" t="s">
        <v>295</v>
      </c>
      <c r="E10" s="16" t="s">
        <v>296</v>
      </c>
      <c r="F10" s="2">
        <v>26102</v>
      </c>
      <c r="G10" s="2">
        <v>26102</v>
      </c>
      <c r="H10" s="2">
        <v>39495</v>
      </c>
      <c r="I10" s="25">
        <v>41820</v>
      </c>
      <c r="J10" s="2">
        <v>38897</v>
      </c>
      <c r="K10" s="2">
        <v>38392</v>
      </c>
      <c r="L10" t="s">
        <v>297</v>
      </c>
      <c r="M10" t="s">
        <v>297</v>
      </c>
      <c r="N10" s="23" t="str">
        <f t="shared" ref="N10:N18" si="2">IF((I10&gt;$W$2),"Y","N")</f>
        <v>Y</v>
      </c>
      <c r="O10" s="29" t="s">
        <v>1639</v>
      </c>
      <c r="P10" s="10" t="s">
        <v>150</v>
      </c>
      <c r="Q10" s="10" t="s">
        <v>152</v>
      </c>
      <c r="S10" s="16" t="str">
        <f t="shared" ref="S10:S18" si="3">MID(Q10,9,30)</f>
        <v>Calvin  House</v>
      </c>
      <c r="T10" s="31">
        <v>41435</v>
      </c>
    </row>
    <row r="11" spans="1:27">
      <c r="A11" s="16">
        <v>1</v>
      </c>
      <c r="B11" s="16" t="s">
        <v>296</v>
      </c>
      <c r="C11" s="16">
        <v>13</v>
      </c>
      <c r="D11" s="7" t="s">
        <v>295</v>
      </c>
      <c r="E11" s="16" t="s">
        <v>296</v>
      </c>
      <c r="F11" s="2">
        <v>26648</v>
      </c>
      <c r="G11" s="2">
        <v>28901</v>
      </c>
      <c r="H11" s="2">
        <v>39285</v>
      </c>
      <c r="I11" s="25">
        <v>41455</v>
      </c>
      <c r="J11" s="2">
        <v>38997</v>
      </c>
      <c r="K11" s="2">
        <v>36299</v>
      </c>
      <c r="L11" t="s">
        <v>297</v>
      </c>
      <c r="M11" t="s">
        <v>297</v>
      </c>
      <c r="N11" s="23" t="str">
        <f t="shared" si="2"/>
        <v>N</v>
      </c>
      <c r="O11" s="16" t="s">
        <v>1640</v>
      </c>
      <c r="P11" s="10" t="s">
        <v>150</v>
      </c>
      <c r="Q11" s="10" t="s">
        <v>152</v>
      </c>
      <c r="S11" s="16" t="str">
        <f t="shared" si="3"/>
        <v>Calvin  House</v>
      </c>
      <c r="T11" s="31">
        <v>41067</v>
      </c>
    </row>
    <row r="12" spans="1:27">
      <c r="A12" s="16">
        <v>1</v>
      </c>
      <c r="B12" s="16" t="s">
        <v>296</v>
      </c>
      <c r="C12" s="16">
        <v>40</v>
      </c>
      <c r="D12" t="s">
        <v>295</v>
      </c>
      <c r="E12" s="16" t="s">
        <v>296</v>
      </c>
      <c r="F12" s="2">
        <v>26830</v>
      </c>
      <c r="G12" s="2">
        <v>26830</v>
      </c>
      <c r="H12" s="2">
        <v>39290</v>
      </c>
      <c r="I12" s="25">
        <v>41820</v>
      </c>
      <c r="J12" s="2">
        <v>34654</v>
      </c>
      <c r="K12" s="2">
        <v>39310</v>
      </c>
      <c r="L12" t="s">
        <v>297</v>
      </c>
      <c r="M12" t="s">
        <v>297</v>
      </c>
      <c r="N12" s="23" t="str">
        <f t="shared" si="2"/>
        <v>Y</v>
      </c>
      <c r="O12" s="16" t="s">
        <v>1641</v>
      </c>
      <c r="P12" s="10" t="s">
        <v>150</v>
      </c>
      <c r="Q12" s="10" t="s">
        <v>152</v>
      </c>
      <c r="S12" s="16" t="str">
        <f t="shared" si="3"/>
        <v>Calvin  House</v>
      </c>
      <c r="T12" s="31">
        <v>41432</v>
      </c>
    </row>
    <row r="13" spans="1:27">
      <c r="A13" s="16">
        <v>1</v>
      </c>
      <c r="B13" s="16" t="s">
        <v>296</v>
      </c>
      <c r="C13" s="16">
        <v>60</v>
      </c>
      <c r="D13" s="7" t="s">
        <v>295</v>
      </c>
      <c r="E13" s="16" t="s">
        <v>296</v>
      </c>
      <c r="F13" s="2">
        <v>27591</v>
      </c>
      <c r="G13" s="2">
        <v>27591</v>
      </c>
      <c r="H13" s="2">
        <v>39231</v>
      </c>
      <c r="I13" s="25">
        <v>41820</v>
      </c>
      <c r="J13" s="2">
        <v>34654</v>
      </c>
      <c r="K13" s="2">
        <v>39169</v>
      </c>
      <c r="L13" t="s">
        <v>297</v>
      </c>
      <c r="M13" t="s">
        <v>297</v>
      </c>
      <c r="N13" s="23" t="str">
        <f t="shared" si="2"/>
        <v>Y</v>
      </c>
      <c r="O13" s="16" t="s">
        <v>1642</v>
      </c>
      <c r="P13" s="10" t="s">
        <v>150</v>
      </c>
      <c r="Q13" s="10" t="s">
        <v>152</v>
      </c>
      <c r="S13" s="16" t="str">
        <f t="shared" si="3"/>
        <v>Calvin  House</v>
      </c>
      <c r="T13" s="31">
        <v>41464</v>
      </c>
    </row>
    <row r="14" spans="1:27">
      <c r="A14" s="16">
        <v>1</v>
      </c>
      <c r="B14" s="16" t="s">
        <v>296</v>
      </c>
      <c r="C14" s="16">
        <v>88</v>
      </c>
      <c r="D14" t="s">
        <v>295</v>
      </c>
      <c r="E14" s="16" t="s">
        <v>296</v>
      </c>
      <c r="F14" s="2">
        <v>27590</v>
      </c>
      <c r="G14" s="2">
        <v>27957</v>
      </c>
      <c r="H14" s="2">
        <v>39295</v>
      </c>
      <c r="I14" s="25">
        <v>41820</v>
      </c>
      <c r="J14" s="2">
        <v>37904</v>
      </c>
      <c r="K14" s="2">
        <v>38607</v>
      </c>
      <c r="L14" t="s">
        <v>297</v>
      </c>
      <c r="M14" t="s">
        <v>297</v>
      </c>
      <c r="N14" s="23" t="str">
        <f t="shared" si="2"/>
        <v>Y</v>
      </c>
      <c r="O14" s="16" t="s">
        <v>310</v>
      </c>
      <c r="P14" s="10" t="s">
        <v>150</v>
      </c>
      <c r="Q14" s="10" t="s">
        <v>152</v>
      </c>
      <c r="S14" s="16" t="str">
        <f t="shared" si="3"/>
        <v>Calvin  House</v>
      </c>
      <c r="T14" s="31">
        <v>41410</v>
      </c>
    </row>
    <row r="15" spans="1:27">
      <c r="A15" s="16">
        <v>1</v>
      </c>
      <c r="B15" s="16" t="s">
        <v>296</v>
      </c>
      <c r="C15" s="16">
        <v>98</v>
      </c>
      <c r="D15" t="s">
        <v>295</v>
      </c>
      <c r="E15" s="16" t="s">
        <v>296</v>
      </c>
      <c r="F15" s="2">
        <v>27785</v>
      </c>
      <c r="G15" s="2">
        <v>28981</v>
      </c>
      <c r="H15" s="2">
        <v>39164</v>
      </c>
      <c r="I15" s="25">
        <v>41820</v>
      </c>
      <c r="J15" s="2">
        <v>38897</v>
      </c>
      <c r="K15" s="2">
        <v>39162</v>
      </c>
      <c r="L15" t="s">
        <v>297</v>
      </c>
      <c r="M15" t="s">
        <v>297</v>
      </c>
      <c r="N15" s="23" t="str">
        <f t="shared" si="2"/>
        <v>Y</v>
      </c>
      <c r="O15" s="16" t="s">
        <v>1551</v>
      </c>
      <c r="P15" s="10" t="s">
        <v>150</v>
      </c>
      <c r="Q15" s="10" t="s">
        <v>152</v>
      </c>
      <c r="S15" s="16" t="str">
        <f t="shared" si="3"/>
        <v>Calvin  House</v>
      </c>
      <c r="T15" s="31">
        <v>41484</v>
      </c>
    </row>
    <row r="16" spans="1:27">
      <c r="A16" s="16">
        <v>1</v>
      </c>
      <c r="B16" s="16" t="s">
        <v>296</v>
      </c>
      <c r="C16" s="16">
        <v>214</v>
      </c>
      <c r="D16" s="7" t="s">
        <v>295</v>
      </c>
      <c r="E16" s="16" t="s">
        <v>296</v>
      </c>
      <c r="F16" s="2">
        <v>29205</v>
      </c>
      <c r="G16" s="2">
        <v>29089</v>
      </c>
      <c r="H16" s="2">
        <v>39444</v>
      </c>
      <c r="I16" s="25">
        <v>41820</v>
      </c>
      <c r="J16" s="2">
        <v>38918</v>
      </c>
      <c r="K16" s="2">
        <v>36286</v>
      </c>
      <c r="L16" t="s">
        <v>297</v>
      </c>
      <c r="M16" t="s">
        <v>297</v>
      </c>
      <c r="N16" s="23" t="str">
        <f t="shared" si="2"/>
        <v>Y</v>
      </c>
      <c r="O16" s="16" t="s">
        <v>1643</v>
      </c>
      <c r="P16" s="10" t="s">
        <v>150</v>
      </c>
      <c r="Q16" s="10" t="s">
        <v>152</v>
      </c>
      <c r="S16" s="16" t="str">
        <f t="shared" si="3"/>
        <v>Calvin  House</v>
      </c>
      <c r="T16" s="31">
        <v>41428</v>
      </c>
    </row>
    <row r="17" spans="1:33">
      <c r="A17" s="16">
        <v>1</v>
      </c>
      <c r="B17" s="16" t="s">
        <v>296</v>
      </c>
      <c r="C17" s="16">
        <v>908</v>
      </c>
      <c r="D17" t="s">
        <v>295</v>
      </c>
      <c r="E17" s="16" t="s">
        <v>296</v>
      </c>
      <c r="F17" s="2">
        <v>34208</v>
      </c>
      <c r="G17" s="2">
        <v>35356</v>
      </c>
      <c r="H17" s="2">
        <v>39235</v>
      </c>
      <c r="I17" s="25">
        <v>41820</v>
      </c>
      <c r="J17" s="2">
        <v>38897</v>
      </c>
      <c r="K17" s="2">
        <v>35860</v>
      </c>
      <c r="L17" t="s">
        <v>297</v>
      </c>
      <c r="M17" t="s">
        <v>297</v>
      </c>
      <c r="N17" s="23" t="str">
        <f t="shared" si="2"/>
        <v>Y</v>
      </c>
      <c r="O17" s="30" t="s">
        <v>1644</v>
      </c>
      <c r="P17" s="10" t="s">
        <v>150</v>
      </c>
      <c r="Q17" s="10" t="s">
        <v>152</v>
      </c>
      <c r="S17" s="16" t="str">
        <f t="shared" si="3"/>
        <v>Calvin  House</v>
      </c>
      <c r="T17" s="31">
        <v>41409</v>
      </c>
    </row>
    <row r="18" spans="1:33">
      <c r="A18" s="16">
        <v>1</v>
      </c>
      <c r="B18" s="16" t="s">
        <v>296</v>
      </c>
      <c r="C18" s="16">
        <v>1304</v>
      </c>
      <c r="D18" s="7" t="s">
        <v>295</v>
      </c>
      <c r="E18" s="16" t="s">
        <v>296</v>
      </c>
      <c r="F18" s="2">
        <v>36333</v>
      </c>
      <c r="G18" s="2">
        <v>36903</v>
      </c>
      <c r="H18" s="2">
        <v>39314</v>
      </c>
      <c r="I18" s="25">
        <v>41820</v>
      </c>
      <c r="L18" t="s">
        <v>297</v>
      </c>
      <c r="N18" s="23" t="str">
        <f t="shared" si="2"/>
        <v>Y</v>
      </c>
      <c r="O18" s="16" t="s">
        <v>1645</v>
      </c>
      <c r="P18" s="10" t="s">
        <v>150</v>
      </c>
      <c r="Q18" s="10" t="s">
        <v>152</v>
      </c>
      <c r="S18" s="16" t="str">
        <f t="shared" si="3"/>
        <v>Calvin  House</v>
      </c>
      <c r="T18" s="31">
        <v>41464</v>
      </c>
    </row>
    <row r="19" spans="1:33" customFormat="1" hidden="1">
      <c r="A19">
        <v>1</v>
      </c>
      <c r="B19" t="s">
        <v>296</v>
      </c>
      <c r="C19">
        <v>1375</v>
      </c>
      <c r="D19" t="s">
        <v>315</v>
      </c>
      <c r="E19" t="s">
        <v>316</v>
      </c>
      <c r="F19" s="2">
        <v>36983</v>
      </c>
      <c r="H19" s="2">
        <v>36983</v>
      </c>
      <c r="I19" s="6"/>
      <c r="L19" t="s">
        <v>317</v>
      </c>
      <c r="M19" t="s">
        <v>297</v>
      </c>
      <c r="O19" t="s">
        <v>318</v>
      </c>
      <c r="P19" t="s">
        <v>150</v>
      </c>
      <c r="Q19" t="s">
        <v>152</v>
      </c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spans="1:33">
      <c r="A20" s="16">
        <v>1</v>
      </c>
      <c r="B20" s="16" t="s">
        <v>296</v>
      </c>
      <c r="C20" s="16">
        <v>1376</v>
      </c>
      <c r="D20" t="s">
        <v>295</v>
      </c>
      <c r="E20" s="30" t="s">
        <v>316</v>
      </c>
      <c r="F20" s="2">
        <v>36983</v>
      </c>
      <c r="H20" s="2">
        <v>36983</v>
      </c>
      <c r="I20" s="25" t="s">
        <v>1635</v>
      </c>
      <c r="L20" t="s">
        <v>317</v>
      </c>
      <c r="M20" t="s">
        <v>297</v>
      </c>
      <c r="N20" s="23" t="s">
        <v>322</v>
      </c>
      <c r="O20" s="16" t="s">
        <v>318</v>
      </c>
      <c r="P20" s="10" t="s">
        <v>150</v>
      </c>
      <c r="Q20" s="10" t="s">
        <v>152</v>
      </c>
      <c r="S20" s="16" t="str">
        <f t="shared" ref="S20:S27" si="4">MID(Q20,9,30)</f>
        <v>Calvin  House</v>
      </c>
      <c r="T20" s="43" t="s">
        <v>1167</v>
      </c>
    </row>
    <row r="21" spans="1:33">
      <c r="A21" s="16">
        <v>1</v>
      </c>
      <c r="B21" s="16" t="s">
        <v>296</v>
      </c>
      <c r="C21" s="16">
        <v>1377</v>
      </c>
      <c r="D21" t="s">
        <v>295</v>
      </c>
      <c r="E21" s="30" t="s">
        <v>316</v>
      </c>
      <c r="F21" s="2">
        <v>36983</v>
      </c>
      <c r="H21" s="2">
        <v>36983</v>
      </c>
      <c r="I21" s="25" t="s">
        <v>1635</v>
      </c>
      <c r="L21" t="s">
        <v>317</v>
      </c>
      <c r="M21" t="s">
        <v>297</v>
      </c>
      <c r="N21" s="23" t="s">
        <v>322</v>
      </c>
      <c r="O21" s="30" t="s">
        <v>318</v>
      </c>
      <c r="P21" s="10" t="s">
        <v>150</v>
      </c>
      <c r="Q21" s="10" t="s">
        <v>152</v>
      </c>
      <c r="S21" s="16" t="str">
        <f t="shared" si="4"/>
        <v>Calvin  House</v>
      </c>
      <c r="T21" s="43" t="s">
        <v>1167</v>
      </c>
    </row>
    <row r="22" spans="1:33">
      <c r="A22" s="16">
        <v>1</v>
      </c>
      <c r="B22" s="16" t="s">
        <v>296</v>
      </c>
      <c r="C22" s="16">
        <v>1419</v>
      </c>
      <c r="D22" s="7" t="s">
        <v>295</v>
      </c>
      <c r="E22" s="30" t="s">
        <v>316</v>
      </c>
      <c r="F22" s="2">
        <v>37469</v>
      </c>
      <c r="H22" s="2">
        <v>37469</v>
      </c>
      <c r="I22" s="25">
        <v>37834</v>
      </c>
      <c r="L22" t="s">
        <v>317</v>
      </c>
      <c r="M22" t="s">
        <v>297</v>
      </c>
      <c r="N22" s="23" t="s">
        <v>322</v>
      </c>
      <c r="O22" s="16" t="s">
        <v>318</v>
      </c>
      <c r="P22" s="10" t="s">
        <v>150</v>
      </c>
      <c r="Q22" s="10" t="s">
        <v>152</v>
      </c>
      <c r="S22" s="16" t="str">
        <f t="shared" si="4"/>
        <v>Calvin  House</v>
      </c>
      <c r="T22" s="43" t="s">
        <v>1167</v>
      </c>
    </row>
    <row r="23" spans="1:33">
      <c r="A23" s="16">
        <v>1</v>
      </c>
      <c r="B23" s="16" t="s">
        <v>296</v>
      </c>
      <c r="C23" s="16">
        <v>1465</v>
      </c>
      <c r="D23" s="7" t="s">
        <v>295</v>
      </c>
      <c r="E23" s="30" t="s">
        <v>316</v>
      </c>
      <c r="F23" s="2">
        <v>37993</v>
      </c>
      <c r="H23" s="2">
        <v>38006</v>
      </c>
      <c r="I23" s="25">
        <v>38200</v>
      </c>
      <c r="L23" t="s">
        <v>297</v>
      </c>
      <c r="M23" t="s">
        <v>297</v>
      </c>
      <c r="N23" s="23" t="s">
        <v>322</v>
      </c>
      <c r="O23" s="16" t="s">
        <v>318</v>
      </c>
      <c r="P23" s="10" t="s">
        <v>150</v>
      </c>
      <c r="Q23" s="10" t="s">
        <v>152</v>
      </c>
      <c r="S23" s="16" t="str">
        <f t="shared" si="4"/>
        <v>Calvin  House</v>
      </c>
      <c r="T23" s="43" t="s">
        <v>1167</v>
      </c>
    </row>
    <row r="24" spans="1:33">
      <c r="A24" s="16">
        <v>1</v>
      </c>
      <c r="B24" s="16" t="s">
        <v>296</v>
      </c>
      <c r="C24" s="16">
        <v>1483</v>
      </c>
      <c r="D24" s="7" t="s">
        <v>295</v>
      </c>
      <c r="E24" s="30" t="s">
        <v>316</v>
      </c>
      <c r="F24" s="2">
        <v>38209</v>
      </c>
      <c r="H24" s="2">
        <v>38264</v>
      </c>
      <c r="I24" s="25">
        <v>38564</v>
      </c>
      <c r="L24" t="s">
        <v>297</v>
      </c>
      <c r="M24" t="s">
        <v>297</v>
      </c>
      <c r="N24" s="23" t="s">
        <v>322</v>
      </c>
      <c r="P24" s="10" t="s">
        <v>150</v>
      </c>
      <c r="Q24" s="10" t="s">
        <v>152</v>
      </c>
      <c r="S24" s="16" t="str">
        <f t="shared" si="4"/>
        <v>Calvin  House</v>
      </c>
      <c r="T24" s="43" t="s">
        <v>1167</v>
      </c>
    </row>
    <row r="25" spans="1:33">
      <c r="A25" s="16">
        <v>1</v>
      </c>
      <c r="B25" s="16" t="s">
        <v>296</v>
      </c>
      <c r="C25" s="16">
        <v>1484</v>
      </c>
      <c r="D25" t="s">
        <v>295</v>
      </c>
      <c r="E25" s="30" t="s">
        <v>316</v>
      </c>
      <c r="F25" s="2">
        <v>38222</v>
      </c>
      <c r="H25" s="2">
        <v>38264</v>
      </c>
      <c r="I25" s="25" t="s">
        <v>1635</v>
      </c>
      <c r="L25" t="s">
        <v>297</v>
      </c>
      <c r="M25" t="s">
        <v>297</v>
      </c>
      <c r="N25" s="23" t="s">
        <v>322</v>
      </c>
      <c r="P25" s="10" t="s">
        <v>150</v>
      </c>
      <c r="Q25" s="10" t="s">
        <v>152</v>
      </c>
      <c r="S25" s="16" t="str">
        <f t="shared" si="4"/>
        <v>Calvin  House</v>
      </c>
      <c r="T25" s="43" t="s">
        <v>1167</v>
      </c>
    </row>
    <row r="26" spans="1:33">
      <c r="A26" s="16">
        <v>1</v>
      </c>
      <c r="B26" s="16" t="s">
        <v>296</v>
      </c>
      <c r="C26" s="16">
        <v>1490</v>
      </c>
      <c r="D26" s="7" t="s">
        <v>295</v>
      </c>
      <c r="E26" s="30" t="s">
        <v>316</v>
      </c>
      <c r="F26" s="2">
        <v>38275</v>
      </c>
      <c r="H26" s="2">
        <v>38288</v>
      </c>
      <c r="I26" s="25">
        <v>38534</v>
      </c>
      <c r="L26" t="s">
        <v>297</v>
      </c>
      <c r="M26" t="s">
        <v>322</v>
      </c>
      <c r="N26" s="23" t="s">
        <v>322</v>
      </c>
      <c r="P26" s="10" t="s">
        <v>150</v>
      </c>
      <c r="Q26" s="10" t="s">
        <v>152</v>
      </c>
      <c r="S26" s="16" t="str">
        <f t="shared" si="4"/>
        <v>Calvin  House</v>
      </c>
      <c r="T26" s="43" t="s">
        <v>1167</v>
      </c>
    </row>
    <row r="27" spans="1:33">
      <c r="A27" s="16">
        <v>1</v>
      </c>
      <c r="B27" s="16" t="s">
        <v>296</v>
      </c>
      <c r="C27" s="16">
        <v>1491</v>
      </c>
      <c r="D27" s="7" t="s">
        <v>295</v>
      </c>
      <c r="E27" s="30" t="s">
        <v>316</v>
      </c>
      <c r="F27" s="2">
        <v>38275</v>
      </c>
      <c r="H27" s="2">
        <v>38287</v>
      </c>
      <c r="I27" s="25">
        <v>38534</v>
      </c>
      <c r="L27" t="s">
        <v>317</v>
      </c>
      <c r="M27" t="s">
        <v>297</v>
      </c>
      <c r="N27" s="23" t="s">
        <v>322</v>
      </c>
      <c r="P27" s="10" t="s">
        <v>150</v>
      </c>
      <c r="Q27" s="10" t="s">
        <v>152</v>
      </c>
      <c r="S27" s="16" t="str">
        <f t="shared" si="4"/>
        <v>Calvin  House</v>
      </c>
      <c r="T27" s="43" t="s">
        <v>1167</v>
      </c>
    </row>
    <row r="28" spans="1:33" customFormat="1" hidden="1">
      <c r="A28" t="s">
        <v>150</v>
      </c>
      <c r="B28" t="s">
        <v>152</v>
      </c>
      <c r="I28" s="6"/>
    </row>
    <row r="29" spans="1:33">
      <c r="A29" s="16">
        <v>1</v>
      </c>
      <c r="B29" s="16" t="s">
        <v>153</v>
      </c>
      <c r="C29" s="16">
        <v>7</v>
      </c>
      <c r="D29" s="7" t="s">
        <v>295</v>
      </c>
      <c r="E29" s="16" t="s">
        <v>296</v>
      </c>
      <c r="F29" s="2">
        <v>26102</v>
      </c>
      <c r="G29" s="2">
        <v>26102</v>
      </c>
      <c r="H29" s="2">
        <v>39223</v>
      </c>
      <c r="I29" s="25">
        <v>41820</v>
      </c>
      <c r="J29" s="2">
        <v>39385</v>
      </c>
      <c r="K29" s="2">
        <v>36266</v>
      </c>
      <c r="L29" t="s">
        <v>297</v>
      </c>
      <c r="M29" t="s">
        <v>297</v>
      </c>
      <c r="N29" s="23" t="str">
        <f t="shared" ref="N29:N35" si="5">IF((I29&gt;$W$2),"Y","N")</f>
        <v>Y</v>
      </c>
      <c r="O29" s="16" t="s">
        <v>1646</v>
      </c>
      <c r="P29" s="10" t="s">
        <v>150</v>
      </c>
      <c r="Q29" s="10" t="s">
        <v>154</v>
      </c>
      <c r="S29" s="16" t="str">
        <f t="shared" ref="S29:S35" si="6">MID(Q29,9,30)</f>
        <v>Frances M Stronks</v>
      </c>
      <c r="T29" s="31">
        <v>41432</v>
      </c>
    </row>
    <row r="30" spans="1:33">
      <c r="A30" s="16">
        <v>1</v>
      </c>
      <c r="B30" s="16" t="s">
        <v>153</v>
      </c>
      <c r="C30" s="16">
        <v>17</v>
      </c>
      <c r="D30" s="7" t="s">
        <v>295</v>
      </c>
      <c r="E30" s="16" t="s">
        <v>296</v>
      </c>
      <c r="F30" s="2">
        <v>26102</v>
      </c>
      <c r="G30" s="2">
        <v>26102</v>
      </c>
      <c r="H30" s="2">
        <v>39311</v>
      </c>
      <c r="I30" s="25">
        <v>41820</v>
      </c>
      <c r="J30" s="2">
        <v>39336</v>
      </c>
      <c r="K30" s="2">
        <v>39315</v>
      </c>
      <c r="L30" t="s">
        <v>297</v>
      </c>
      <c r="M30" t="s">
        <v>297</v>
      </c>
      <c r="N30" s="23" t="str">
        <f t="shared" si="5"/>
        <v>Y</v>
      </c>
      <c r="O30" s="30" t="s">
        <v>1647</v>
      </c>
      <c r="P30" s="10" t="s">
        <v>150</v>
      </c>
      <c r="Q30" s="10" t="s">
        <v>154</v>
      </c>
      <c r="S30" s="16" t="str">
        <f t="shared" si="6"/>
        <v>Frances M Stronks</v>
      </c>
      <c r="T30" s="31">
        <v>41422</v>
      </c>
    </row>
    <row r="31" spans="1:33">
      <c r="A31" s="16">
        <v>1</v>
      </c>
      <c r="B31" s="16" t="s">
        <v>153</v>
      </c>
      <c r="C31" s="16">
        <v>18</v>
      </c>
      <c r="D31" t="s">
        <v>295</v>
      </c>
      <c r="E31" s="16" t="s">
        <v>296</v>
      </c>
      <c r="F31" s="2">
        <v>26102</v>
      </c>
      <c r="G31" s="2">
        <v>26102</v>
      </c>
      <c r="H31" s="2">
        <v>39336</v>
      </c>
      <c r="I31" s="25">
        <v>41820</v>
      </c>
      <c r="J31" s="2">
        <v>39336</v>
      </c>
      <c r="K31" s="2">
        <v>36287</v>
      </c>
      <c r="L31" t="s">
        <v>297</v>
      </c>
      <c r="M31" t="s">
        <v>297</v>
      </c>
      <c r="N31" s="23" t="str">
        <f t="shared" si="5"/>
        <v>Y</v>
      </c>
      <c r="O31" s="16" t="s">
        <v>1648</v>
      </c>
      <c r="P31" s="10" t="s">
        <v>150</v>
      </c>
      <c r="Q31" s="10" t="s">
        <v>154</v>
      </c>
      <c r="S31" s="16" t="str">
        <f t="shared" si="6"/>
        <v>Frances M Stronks</v>
      </c>
      <c r="T31" s="31">
        <v>41432</v>
      </c>
    </row>
    <row r="32" spans="1:33">
      <c r="A32" s="16">
        <v>1</v>
      </c>
      <c r="B32" s="16" t="s">
        <v>153</v>
      </c>
      <c r="C32" s="16">
        <v>21</v>
      </c>
      <c r="D32" s="7" t="s">
        <v>295</v>
      </c>
      <c r="E32" s="16" t="s">
        <v>296</v>
      </c>
      <c r="F32" s="2">
        <v>26648</v>
      </c>
      <c r="G32" s="2">
        <v>26648</v>
      </c>
      <c r="H32" s="2">
        <v>39315</v>
      </c>
      <c r="I32" s="25">
        <v>41820</v>
      </c>
      <c r="J32" s="2">
        <v>39321</v>
      </c>
      <c r="K32" s="2">
        <v>37846</v>
      </c>
      <c r="L32" t="s">
        <v>297</v>
      </c>
      <c r="M32" t="s">
        <v>297</v>
      </c>
      <c r="N32" s="23" t="str">
        <f t="shared" si="5"/>
        <v>Y</v>
      </c>
      <c r="O32" s="16" t="s">
        <v>1649</v>
      </c>
      <c r="P32" s="10" t="s">
        <v>150</v>
      </c>
      <c r="Q32" s="10" t="s">
        <v>154</v>
      </c>
      <c r="S32" s="16" t="str">
        <f t="shared" si="6"/>
        <v>Frances M Stronks</v>
      </c>
      <c r="T32" s="31">
        <v>41425</v>
      </c>
    </row>
    <row r="33" spans="1:26">
      <c r="A33" s="16">
        <v>1</v>
      </c>
      <c r="B33" s="16" t="s">
        <v>153</v>
      </c>
      <c r="C33" s="16">
        <v>34</v>
      </c>
      <c r="D33" t="s">
        <v>295</v>
      </c>
      <c r="E33" s="16" t="s">
        <v>296</v>
      </c>
      <c r="F33" s="2">
        <v>26830</v>
      </c>
      <c r="G33" s="2">
        <v>26830</v>
      </c>
      <c r="H33" s="2">
        <v>39311</v>
      </c>
      <c r="I33" s="25">
        <v>41820</v>
      </c>
      <c r="J33" s="2">
        <v>39489</v>
      </c>
      <c r="K33" s="2">
        <v>39017</v>
      </c>
      <c r="L33" t="s">
        <v>297</v>
      </c>
      <c r="M33" t="s">
        <v>297</v>
      </c>
      <c r="N33" s="23" t="str">
        <f t="shared" si="5"/>
        <v>Y</v>
      </c>
      <c r="O33" s="16" t="s">
        <v>1572</v>
      </c>
      <c r="P33" s="10" t="s">
        <v>150</v>
      </c>
      <c r="Q33" s="10" t="s">
        <v>154</v>
      </c>
      <c r="S33" s="16" t="str">
        <f t="shared" si="6"/>
        <v>Frances M Stronks</v>
      </c>
      <c r="T33" s="31">
        <v>41428</v>
      </c>
    </row>
    <row r="34" spans="1:26">
      <c r="A34" s="16">
        <v>1</v>
      </c>
      <c r="B34" s="16" t="s">
        <v>153</v>
      </c>
      <c r="C34" s="16">
        <v>92</v>
      </c>
      <c r="D34" s="7" t="s">
        <v>295</v>
      </c>
      <c r="E34" s="16" t="s">
        <v>296</v>
      </c>
      <c r="F34" s="2">
        <v>27785</v>
      </c>
      <c r="G34" s="2">
        <v>28093</v>
      </c>
      <c r="H34" s="2">
        <v>39269</v>
      </c>
      <c r="I34" s="25">
        <v>41820</v>
      </c>
      <c r="J34" s="2">
        <v>39288</v>
      </c>
      <c r="K34" s="2">
        <v>38105</v>
      </c>
      <c r="L34" t="s">
        <v>297</v>
      </c>
      <c r="M34" t="s">
        <v>297</v>
      </c>
      <c r="N34" s="23" t="str">
        <f t="shared" si="5"/>
        <v>Y</v>
      </c>
      <c r="O34" s="16" t="s">
        <v>1650</v>
      </c>
      <c r="P34" s="10" t="s">
        <v>150</v>
      </c>
      <c r="Q34" s="10" t="s">
        <v>154</v>
      </c>
      <c r="S34" s="16" t="str">
        <f t="shared" si="6"/>
        <v>Frances M Stronks</v>
      </c>
      <c r="T34" s="31">
        <v>41415</v>
      </c>
      <c r="V34" s="14"/>
      <c r="W34" s="26">
        <v>39994</v>
      </c>
      <c r="X34" s="14"/>
      <c r="Y34" s="14"/>
      <c r="Z34" s="14"/>
    </row>
    <row r="35" spans="1:26">
      <c r="A35" s="16">
        <v>1</v>
      </c>
      <c r="B35" s="16" t="s">
        <v>153</v>
      </c>
      <c r="C35" s="16">
        <v>1345</v>
      </c>
      <c r="D35" s="7" t="s">
        <v>295</v>
      </c>
      <c r="E35" s="16" t="s">
        <v>296</v>
      </c>
      <c r="F35" s="2">
        <v>36669</v>
      </c>
      <c r="G35" s="2">
        <v>38426</v>
      </c>
      <c r="H35" s="2">
        <v>39356</v>
      </c>
      <c r="I35" s="25">
        <v>41455</v>
      </c>
      <c r="J35" s="2">
        <v>39336</v>
      </c>
      <c r="L35" t="s">
        <v>297</v>
      </c>
      <c r="M35" t="s">
        <v>297</v>
      </c>
      <c r="N35" s="23" t="str">
        <f t="shared" si="5"/>
        <v>N</v>
      </c>
      <c r="O35" s="16" t="s">
        <v>1651</v>
      </c>
      <c r="P35" s="10" t="s">
        <v>150</v>
      </c>
      <c r="Q35" s="10" t="s">
        <v>154</v>
      </c>
      <c r="S35" s="16" t="str">
        <f t="shared" si="6"/>
        <v>Frances M Stronks</v>
      </c>
      <c r="T35" s="31" t="s">
        <v>1295</v>
      </c>
    </row>
    <row r="36" spans="1:26" customFormat="1" hidden="1">
      <c r="A36" t="s">
        <v>150</v>
      </c>
      <c r="B36" t="s">
        <v>154</v>
      </c>
      <c r="I36" s="6"/>
    </row>
    <row r="37" spans="1:26">
      <c r="A37" s="16">
        <v>1</v>
      </c>
      <c r="B37" s="16" t="s">
        <v>155</v>
      </c>
      <c r="C37" s="16">
        <v>6</v>
      </c>
      <c r="D37" s="7" t="s">
        <v>295</v>
      </c>
      <c r="E37" s="16" t="s">
        <v>296</v>
      </c>
      <c r="F37" s="2">
        <v>26648</v>
      </c>
      <c r="G37" s="2">
        <v>28901</v>
      </c>
      <c r="H37" s="2">
        <v>39464</v>
      </c>
      <c r="I37" s="25">
        <v>41820</v>
      </c>
      <c r="K37" s="2">
        <v>38559</v>
      </c>
      <c r="L37" t="s">
        <v>297</v>
      </c>
      <c r="M37" t="s">
        <v>297</v>
      </c>
      <c r="N37" s="23" t="str">
        <f t="shared" ref="N37:N42" si="7">IF((I37&gt;$W$2),"Y","N")</f>
        <v>Y</v>
      </c>
      <c r="O37" s="16" t="s">
        <v>1587</v>
      </c>
      <c r="P37" s="10" t="s">
        <v>150</v>
      </c>
      <c r="Q37" s="10" t="s">
        <v>156</v>
      </c>
      <c r="S37" s="16" t="str">
        <f t="shared" ref="S37:S42" si="8">MID(Q37,9,30)</f>
        <v>Nick  Lincir</v>
      </c>
      <c r="T37" s="31">
        <v>41439</v>
      </c>
    </row>
    <row r="38" spans="1:26">
      <c r="A38" s="16">
        <v>1</v>
      </c>
      <c r="B38" s="16" t="s">
        <v>155</v>
      </c>
      <c r="C38" s="16">
        <v>10</v>
      </c>
      <c r="D38" t="s">
        <v>295</v>
      </c>
      <c r="E38" s="16" t="s">
        <v>296</v>
      </c>
      <c r="F38" s="2">
        <v>26102</v>
      </c>
      <c r="G38" s="2">
        <v>26102</v>
      </c>
      <c r="H38" s="2">
        <v>39237</v>
      </c>
      <c r="I38" s="25">
        <v>41820</v>
      </c>
      <c r="J38" s="2">
        <v>36799</v>
      </c>
      <c r="K38" s="2">
        <v>35592</v>
      </c>
      <c r="L38" t="s">
        <v>297</v>
      </c>
      <c r="M38" t="s">
        <v>297</v>
      </c>
      <c r="N38" s="23" t="str">
        <f t="shared" si="7"/>
        <v>Y</v>
      </c>
      <c r="O38" s="16" t="s">
        <v>1652</v>
      </c>
      <c r="P38" s="10" t="s">
        <v>150</v>
      </c>
      <c r="Q38" s="10" t="s">
        <v>156</v>
      </c>
      <c r="S38" s="16" t="str">
        <f t="shared" si="8"/>
        <v>Nick  Lincir</v>
      </c>
      <c r="T38" s="31">
        <v>41425</v>
      </c>
      <c r="U38" s="24">
        <v>39968</v>
      </c>
    </row>
    <row r="39" spans="1:26">
      <c r="A39" s="16">
        <v>1</v>
      </c>
      <c r="B39" s="16" t="s">
        <v>155</v>
      </c>
      <c r="C39" s="16">
        <v>12</v>
      </c>
      <c r="D39" s="7" t="s">
        <v>295</v>
      </c>
      <c r="E39" s="16" t="s">
        <v>296</v>
      </c>
      <c r="F39" s="2">
        <v>26102</v>
      </c>
      <c r="G39" s="2">
        <v>26102</v>
      </c>
      <c r="H39" s="2">
        <v>39520</v>
      </c>
      <c r="I39" s="25">
        <v>41820</v>
      </c>
      <c r="J39" s="2">
        <v>37848</v>
      </c>
      <c r="K39" s="2">
        <v>39317</v>
      </c>
      <c r="L39" t="s">
        <v>297</v>
      </c>
      <c r="M39" t="s">
        <v>297</v>
      </c>
      <c r="N39" s="23" t="str">
        <f t="shared" si="7"/>
        <v>Y</v>
      </c>
      <c r="O39" s="16" t="s">
        <v>1653</v>
      </c>
      <c r="P39" s="10" t="s">
        <v>150</v>
      </c>
      <c r="Q39" s="10" t="s">
        <v>156</v>
      </c>
      <c r="S39" s="16" t="str">
        <f t="shared" si="8"/>
        <v>Nick  Lincir</v>
      </c>
      <c r="T39" s="31">
        <v>41428</v>
      </c>
    </row>
    <row r="40" spans="1:26">
      <c r="A40" s="16">
        <v>1</v>
      </c>
      <c r="B40" s="16" t="s">
        <v>155</v>
      </c>
      <c r="C40" s="16">
        <v>14</v>
      </c>
      <c r="D40" s="7" t="s">
        <v>295</v>
      </c>
      <c r="E40" s="16" t="s">
        <v>296</v>
      </c>
      <c r="F40" s="2">
        <v>26102</v>
      </c>
      <c r="G40" s="2">
        <v>26102</v>
      </c>
      <c r="H40" s="2">
        <v>39181</v>
      </c>
      <c r="I40" s="25">
        <v>41820</v>
      </c>
      <c r="J40" s="2">
        <v>37099</v>
      </c>
      <c r="K40" s="2">
        <v>36258</v>
      </c>
      <c r="L40" t="s">
        <v>297</v>
      </c>
      <c r="M40" t="s">
        <v>297</v>
      </c>
      <c r="N40" s="23" t="str">
        <f t="shared" si="7"/>
        <v>Y</v>
      </c>
      <c r="O40" s="16" t="s">
        <v>1654</v>
      </c>
      <c r="P40" s="10" t="s">
        <v>150</v>
      </c>
      <c r="Q40" s="10" t="s">
        <v>156</v>
      </c>
      <c r="S40" s="16" t="str">
        <f t="shared" si="8"/>
        <v>Nick  Lincir</v>
      </c>
      <c r="T40" s="31">
        <v>41425</v>
      </c>
      <c r="U40" s="24">
        <v>39976</v>
      </c>
    </row>
    <row r="41" spans="1:26">
      <c r="A41" s="16">
        <v>1</v>
      </c>
      <c r="B41" s="16" t="s">
        <v>155</v>
      </c>
      <c r="C41" s="16">
        <v>15</v>
      </c>
      <c r="D41" s="7" t="s">
        <v>295</v>
      </c>
      <c r="E41" s="16" t="s">
        <v>296</v>
      </c>
      <c r="F41" s="2">
        <v>26102</v>
      </c>
      <c r="G41" s="2">
        <v>26102</v>
      </c>
      <c r="H41" s="2">
        <v>39419</v>
      </c>
      <c r="I41" s="25">
        <v>41820</v>
      </c>
      <c r="J41" s="2">
        <v>39498</v>
      </c>
      <c r="K41" s="2">
        <v>34114</v>
      </c>
      <c r="L41" t="s">
        <v>297</v>
      </c>
      <c r="M41" t="s">
        <v>297</v>
      </c>
      <c r="N41" s="23" t="str">
        <f t="shared" si="7"/>
        <v>Y</v>
      </c>
      <c r="O41" s="16" t="s">
        <v>1655</v>
      </c>
      <c r="P41" s="10" t="s">
        <v>150</v>
      </c>
      <c r="Q41" s="10" t="s">
        <v>156</v>
      </c>
      <c r="S41" s="16" t="str">
        <f t="shared" si="8"/>
        <v>Nick  Lincir</v>
      </c>
      <c r="T41" s="31">
        <v>41432</v>
      </c>
    </row>
    <row r="42" spans="1:26">
      <c r="A42" s="16">
        <v>1</v>
      </c>
      <c r="B42" s="16" t="s">
        <v>155</v>
      </c>
      <c r="C42" s="16">
        <v>16</v>
      </c>
      <c r="D42" s="7" t="s">
        <v>295</v>
      </c>
      <c r="E42" s="16" t="s">
        <v>296</v>
      </c>
      <c r="F42" s="2">
        <v>26102</v>
      </c>
      <c r="G42" s="2">
        <v>26102</v>
      </c>
      <c r="H42" s="2">
        <v>39245</v>
      </c>
      <c r="I42" s="25">
        <v>41820</v>
      </c>
      <c r="J42" s="2">
        <v>35933</v>
      </c>
      <c r="K42" s="2">
        <v>37799</v>
      </c>
      <c r="L42" t="s">
        <v>297</v>
      </c>
      <c r="M42" t="s">
        <v>297</v>
      </c>
      <c r="N42" s="23" t="str">
        <f t="shared" si="7"/>
        <v>Y</v>
      </c>
      <c r="O42" s="16" t="s">
        <v>337</v>
      </c>
      <c r="P42" s="10" t="s">
        <v>150</v>
      </c>
      <c r="Q42" s="10" t="s">
        <v>156</v>
      </c>
      <c r="S42" s="16" t="str">
        <f t="shared" si="8"/>
        <v>Nick  Lincir</v>
      </c>
      <c r="T42" s="31">
        <v>41432</v>
      </c>
    </row>
    <row r="43" spans="1:26" customFormat="1" hidden="1">
      <c r="A43" t="s">
        <v>150</v>
      </c>
      <c r="B43" t="s">
        <v>156</v>
      </c>
      <c r="I43" s="6"/>
    </row>
    <row r="44" spans="1:26">
      <c r="A44" s="16">
        <v>1</v>
      </c>
      <c r="B44" s="16" t="s">
        <v>157</v>
      </c>
      <c r="C44" s="16">
        <v>32</v>
      </c>
      <c r="D44" s="7" t="s">
        <v>295</v>
      </c>
      <c r="E44" s="16" t="s">
        <v>296</v>
      </c>
      <c r="F44" s="2">
        <v>26830</v>
      </c>
      <c r="G44" s="2">
        <v>26830</v>
      </c>
      <c r="H44" s="2">
        <v>39505</v>
      </c>
      <c r="I44" s="25">
        <v>41820</v>
      </c>
      <c r="J44" s="2">
        <v>30865</v>
      </c>
      <c r="K44" s="2">
        <v>39147</v>
      </c>
      <c r="L44" t="s">
        <v>297</v>
      </c>
      <c r="M44" t="s">
        <v>297</v>
      </c>
      <c r="N44" s="23" t="str">
        <f>IF((I44&gt;$W$2),"Y","N")</f>
        <v>Y</v>
      </c>
      <c r="O44" s="30" t="s">
        <v>1168</v>
      </c>
      <c r="P44" s="10" t="s">
        <v>150</v>
      </c>
      <c r="Q44" s="10" t="s">
        <v>158</v>
      </c>
      <c r="S44" s="16" t="str">
        <f>MID(Q44,9,30)</f>
        <v>Sandra A Oerly</v>
      </c>
      <c r="T44" s="31">
        <v>41428</v>
      </c>
    </row>
    <row r="45" spans="1:26">
      <c r="A45" s="16">
        <v>1</v>
      </c>
      <c r="B45" s="16" t="s">
        <v>157</v>
      </c>
      <c r="C45" s="16">
        <v>65</v>
      </c>
      <c r="D45" s="7" t="s">
        <v>295</v>
      </c>
      <c r="E45" s="16" t="s">
        <v>296</v>
      </c>
      <c r="F45" s="2">
        <v>27591</v>
      </c>
      <c r="G45" s="2">
        <v>27591</v>
      </c>
      <c r="H45" s="2">
        <v>39259</v>
      </c>
      <c r="I45" s="25">
        <v>41820</v>
      </c>
      <c r="J45" s="2">
        <v>35217</v>
      </c>
      <c r="K45" s="2">
        <v>35889</v>
      </c>
      <c r="L45" t="s">
        <v>339</v>
      </c>
      <c r="M45" t="s">
        <v>297</v>
      </c>
      <c r="N45" s="23" t="str">
        <f>IF((I45&gt;$W$2),"Y","N")</f>
        <v>Y</v>
      </c>
      <c r="O45" s="16" t="s">
        <v>1656</v>
      </c>
      <c r="P45" s="10" t="s">
        <v>150</v>
      </c>
      <c r="Q45" s="10" t="s">
        <v>158</v>
      </c>
      <c r="S45" s="16" t="str">
        <f>MID(Q45,9,30)</f>
        <v>Sandra A Oerly</v>
      </c>
      <c r="T45" s="31">
        <v>41432</v>
      </c>
      <c r="U45" s="24">
        <v>39968</v>
      </c>
    </row>
    <row r="46" spans="1:26">
      <c r="A46" s="16">
        <v>1</v>
      </c>
      <c r="B46" s="16" t="s">
        <v>157</v>
      </c>
      <c r="C46" s="16">
        <v>66</v>
      </c>
      <c r="D46" s="7" t="s">
        <v>295</v>
      </c>
      <c r="E46" s="16" t="s">
        <v>296</v>
      </c>
      <c r="F46" s="2">
        <v>27591</v>
      </c>
      <c r="G46" s="2">
        <v>27591</v>
      </c>
      <c r="H46" s="2">
        <v>39164</v>
      </c>
      <c r="I46" s="25">
        <v>41820</v>
      </c>
      <c r="J46" s="2">
        <v>31228</v>
      </c>
      <c r="K46" s="2">
        <v>38674</v>
      </c>
      <c r="L46" t="s">
        <v>297</v>
      </c>
      <c r="M46" t="s">
        <v>297</v>
      </c>
      <c r="N46" s="23" t="str">
        <f>IF((I46&gt;$W$2),"Y","N")</f>
        <v>Y</v>
      </c>
      <c r="O46" s="16" t="s">
        <v>1657</v>
      </c>
      <c r="P46" s="10" t="s">
        <v>150</v>
      </c>
      <c r="Q46" s="10" t="s">
        <v>158</v>
      </c>
      <c r="S46" s="16" t="str">
        <f>MID(Q46,9,30)</f>
        <v>Sandra A Oerly</v>
      </c>
      <c r="T46" s="31">
        <v>41432</v>
      </c>
      <c r="U46" s="24">
        <v>39968</v>
      </c>
    </row>
    <row r="47" spans="1:26">
      <c r="A47" s="16">
        <v>1</v>
      </c>
      <c r="B47" s="16" t="s">
        <v>157</v>
      </c>
      <c r="C47" s="16">
        <v>136</v>
      </c>
      <c r="D47" t="s">
        <v>295</v>
      </c>
      <c r="E47" s="16" t="s">
        <v>296</v>
      </c>
      <c r="F47" s="2">
        <v>27922</v>
      </c>
      <c r="G47" s="2">
        <v>28975</v>
      </c>
      <c r="H47" s="2">
        <v>39462</v>
      </c>
      <c r="I47" s="25">
        <v>41820</v>
      </c>
      <c r="J47" s="2">
        <v>33054</v>
      </c>
      <c r="K47" s="2">
        <v>35515</v>
      </c>
      <c r="L47" t="s">
        <v>297</v>
      </c>
      <c r="M47" t="s">
        <v>297</v>
      </c>
      <c r="N47" s="23" t="str">
        <f>IF((I47&gt;$W$2),"Y","N")</f>
        <v>Y</v>
      </c>
      <c r="O47" s="16" t="s">
        <v>1658</v>
      </c>
      <c r="P47" s="10" t="s">
        <v>150</v>
      </c>
      <c r="Q47" s="10" t="s">
        <v>158</v>
      </c>
      <c r="S47" s="16" t="str">
        <f>MID(Q47,9,30)</f>
        <v>Sandra A Oerly</v>
      </c>
      <c r="T47" s="31">
        <v>41445</v>
      </c>
    </row>
    <row r="48" spans="1:26" customFormat="1" hidden="1">
      <c r="A48" t="s">
        <v>150</v>
      </c>
      <c r="B48" t="s">
        <v>158</v>
      </c>
      <c r="I48" s="6"/>
    </row>
    <row r="49" spans="1:33">
      <c r="A49" s="16">
        <v>1</v>
      </c>
      <c r="B49" s="16" t="s">
        <v>159</v>
      </c>
      <c r="C49" s="16">
        <v>80</v>
      </c>
      <c r="D49" t="s">
        <v>295</v>
      </c>
      <c r="E49" s="16" t="s">
        <v>296</v>
      </c>
      <c r="F49" s="2">
        <v>27591</v>
      </c>
      <c r="G49" s="2">
        <v>27886</v>
      </c>
      <c r="H49" s="2">
        <v>39363</v>
      </c>
      <c r="I49" s="25">
        <v>41820</v>
      </c>
      <c r="J49" s="2">
        <v>38996</v>
      </c>
      <c r="K49" s="2">
        <v>38898</v>
      </c>
      <c r="L49" t="s">
        <v>297</v>
      </c>
      <c r="M49" t="s">
        <v>297</v>
      </c>
      <c r="N49" s="23" t="str">
        <f>IF((I49&gt;$W$2),"Y","N")</f>
        <v>Y</v>
      </c>
      <c r="O49" s="16" t="s">
        <v>1659</v>
      </c>
      <c r="P49" s="10" t="s">
        <v>150</v>
      </c>
      <c r="Q49" s="10" t="s">
        <v>160</v>
      </c>
      <c r="S49" s="16" t="str">
        <f>MID(Q49,9,30)</f>
        <v>James L Engel</v>
      </c>
      <c r="T49" s="31">
        <v>41424</v>
      </c>
    </row>
    <row r="50" spans="1:33">
      <c r="A50" s="16">
        <v>1</v>
      </c>
      <c r="B50" s="16" t="s">
        <v>159</v>
      </c>
      <c r="C50" s="16">
        <v>443</v>
      </c>
      <c r="D50" s="7" t="s">
        <v>295</v>
      </c>
      <c r="E50" s="16" t="s">
        <v>296</v>
      </c>
      <c r="F50" s="2">
        <v>30919</v>
      </c>
      <c r="G50" s="2">
        <v>31374</v>
      </c>
      <c r="H50" s="2">
        <v>39323</v>
      </c>
      <c r="I50" s="25">
        <v>41820</v>
      </c>
      <c r="J50" s="2">
        <v>38996</v>
      </c>
      <c r="K50" s="2">
        <v>39336</v>
      </c>
      <c r="L50" t="s">
        <v>297</v>
      </c>
      <c r="M50" t="s">
        <v>297</v>
      </c>
      <c r="N50" s="23" t="str">
        <f>IF((I50&gt;$W$2),"Y","N")</f>
        <v>Y</v>
      </c>
      <c r="O50" s="30" t="s">
        <v>1660</v>
      </c>
      <c r="P50" s="10" t="s">
        <v>150</v>
      </c>
      <c r="Q50" s="10" t="s">
        <v>160</v>
      </c>
      <c r="S50" s="16" t="str">
        <f>MID(Q50,9,30)</f>
        <v>James L Engel</v>
      </c>
      <c r="T50" s="31">
        <v>41424</v>
      </c>
    </row>
    <row r="51" spans="1:33">
      <c r="A51" s="16">
        <v>1</v>
      </c>
      <c r="B51" s="16" t="s">
        <v>159</v>
      </c>
      <c r="C51" s="16">
        <v>588</v>
      </c>
      <c r="D51" t="s">
        <v>295</v>
      </c>
      <c r="E51" s="16" t="s">
        <v>296</v>
      </c>
      <c r="F51" s="2">
        <v>31857</v>
      </c>
      <c r="G51" s="2">
        <v>32826</v>
      </c>
      <c r="H51" s="2">
        <v>39233</v>
      </c>
      <c r="I51" s="25">
        <v>41820</v>
      </c>
      <c r="J51" s="2">
        <v>39321</v>
      </c>
      <c r="K51" s="2">
        <v>38587</v>
      </c>
      <c r="L51" t="s">
        <v>297</v>
      </c>
      <c r="M51" t="s">
        <v>297</v>
      </c>
      <c r="N51" s="23" t="str">
        <f>IF((I51&gt;$W$2),"Y","N")</f>
        <v>Y</v>
      </c>
      <c r="O51" s="16" t="s">
        <v>318</v>
      </c>
      <c r="P51" s="10" t="s">
        <v>150</v>
      </c>
      <c r="Q51" s="10" t="s">
        <v>160</v>
      </c>
      <c r="S51" s="16" t="str">
        <f>MID(Q51,9,30)</f>
        <v>James L Engel</v>
      </c>
      <c r="T51" s="31">
        <v>41424</v>
      </c>
    </row>
    <row r="52" spans="1:33">
      <c r="A52" s="16">
        <v>1</v>
      </c>
      <c r="B52" s="16" t="s">
        <v>159</v>
      </c>
      <c r="C52" s="16">
        <v>813</v>
      </c>
      <c r="D52" s="7" t="s">
        <v>295</v>
      </c>
      <c r="E52" s="16" t="s">
        <v>296</v>
      </c>
      <c r="F52" s="2">
        <v>33544</v>
      </c>
      <c r="G52" s="2">
        <v>34269</v>
      </c>
      <c r="H52" s="2">
        <v>39337</v>
      </c>
      <c r="I52" s="25">
        <v>41820</v>
      </c>
      <c r="J52" s="2">
        <v>39321</v>
      </c>
      <c r="K52" s="2">
        <v>39336</v>
      </c>
      <c r="L52" t="s">
        <v>297</v>
      </c>
      <c r="M52" t="s">
        <v>297</v>
      </c>
      <c r="N52" s="23" t="str">
        <f>IF((I52&gt;$W$2),"Y","N")</f>
        <v>Y</v>
      </c>
      <c r="O52" s="30" t="s">
        <v>1503</v>
      </c>
      <c r="P52" s="10" t="s">
        <v>150</v>
      </c>
      <c r="Q52" s="10" t="s">
        <v>160</v>
      </c>
      <c r="S52" s="16" t="str">
        <f>MID(Q52,9,30)</f>
        <v>James L Engel</v>
      </c>
      <c r="T52" s="31">
        <v>41424</v>
      </c>
    </row>
    <row r="53" spans="1:33">
      <c r="A53" s="16">
        <v>1</v>
      </c>
      <c r="B53" s="16" t="s">
        <v>159</v>
      </c>
      <c r="C53" s="16">
        <v>1200</v>
      </c>
      <c r="D53" t="s">
        <v>295</v>
      </c>
      <c r="E53" s="16" t="s">
        <v>296</v>
      </c>
      <c r="F53" s="2">
        <v>35601</v>
      </c>
      <c r="G53" s="2">
        <v>35874</v>
      </c>
      <c r="H53" s="2">
        <v>39474</v>
      </c>
      <c r="I53" s="25">
        <v>41820</v>
      </c>
      <c r="J53" s="2">
        <v>39321</v>
      </c>
      <c r="K53" s="2">
        <v>39351</v>
      </c>
      <c r="L53" t="s">
        <v>297</v>
      </c>
      <c r="M53" t="s">
        <v>297</v>
      </c>
      <c r="N53" s="23" t="str">
        <f>IF((I53&gt;$W$2),"Y","N")</f>
        <v>Y</v>
      </c>
      <c r="O53" s="16" t="s">
        <v>1661</v>
      </c>
      <c r="P53" s="10" t="s">
        <v>150</v>
      </c>
      <c r="Q53" s="10" t="s">
        <v>160</v>
      </c>
      <c r="S53" s="16" t="str">
        <f>MID(Q53,9,30)</f>
        <v>James L Engel</v>
      </c>
      <c r="T53" s="31">
        <v>41424</v>
      </c>
    </row>
    <row r="54" spans="1:33" s="7" customFormat="1" hidden="1">
      <c r="A54" s="7">
        <v>1</v>
      </c>
      <c r="B54" s="7" t="s">
        <v>159</v>
      </c>
      <c r="C54" s="7">
        <v>1394</v>
      </c>
      <c r="D54" s="7" t="s">
        <v>348</v>
      </c>
      <c r="E54" s="7" t="s">
        <v>316</v>
      </c>
      <c r="F54" s="2">
        <v>37175</v>
      </c>
      <c r="G54"/>
      <c r="H54" s="2">
        <v>37175</v>
      </c>
      <c r="I54" s="8">
        <v>37540</v>
      </c>
      <c r="J54"/>
      <c r="K54"/>
      <c r="L54" t="s">
        <v>317</v>
      </c>
      <c r="M54" t="s">
        <v>297</v>
      </c>
      <c r="N54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</row>
    <row r="55" spans="1:33" customFormat="1" hidden="1">
      <c r="A55" t="s">
        <v>150</v>
      </c>
      <c r="B55" t="s">
        <v>160</v>
      </c>
      <c r="I55" s="6"/>
    </row>
    <row r="56" spans="1:33">
      <c r="A56" s="16">
        <v>1</v>
      </c>
      <c r="B56" s="16" t="s">
        <v>322</v>
      </c>
      <c r="C56" s="16">
        <v>50</v>
      </c>
      <c r="D56" s="7" t="s">
        <v>295</v>
      </c>
      <c r="E56" s="16" t="s">
        <v>296</v>
      </c>
      <c r="F56" s="2">
        <v>27275</v>
      </c>
      <c r="G56" s="2">
        <v>27591</v>
      </c>
      <c r="H56" s="2">
        <v>38932</v>
      </c>
      <c r="I56" s="25">
        <v>41455</v>
      </c>
      <c r="J56" s="2">
        <v>37202</v>
      </c>
      <c r="K56" s="2">
        <v>36371</v>
      </c>
      <c r="L56" t="s">
        <v>297</v>
      </c>
      <c r="M56" t="s">
        <v>297</v>
      </c>
      <c r="N56" s="23" t="str">
        <f t="shared" ref="N56:N61" si="9">IF((I56&gt;$W$2),"Y","N")</f>
        <v>N</v>
      </c>
      <c r="O56" s="16" t="s">
        <v>349</v>
      </c>
      <c r="P56" s="10" t="s">
        <v>150</v>
      </c>
      <c r="Q56" s="10" t="s">
        <v>161</v>
      </c>
      <c r="S56" s="16" t="str">
        <f t="shared" ref="S56:S61" si="10">MID(Q56,9,30)</f>
        <v>Russell  Frear</v>
      </c>
      <c r="T56" s="31" t="s">
        <v>1480</v>
      </c>
    </row>
    <row r="57" spans="1:33">
      <c r="A57" s="16">
        <v>1</v>
      </c>
      <c r="B57" s="16" t="s">
        <v>322</v>
      </c>
      <c r="C57" s="16">
        <v>130</v>
      </c>
      <c r="D57" t="s">
        <v>295</v>
      </c>
      <c r="E57" s="16" t="s">
        <v>296</v>
      </c>
      <c r="F57" s="2">
        <v>27922</v>
      </c>
      <c r="G57" s="2">
        <v>28607</v>
      </c>
      <c r="H57" s="2">
        <v>39240</v>
      </c>
      <c r="I57" s="25">
        <v>41455</v>
      </c>
      <c r="J57" s="2">
        <v>36817</v>
      </c>
      <c r="K57" s="2">
        <v>36427</v>
      </c>
      <c r="L57" t="s">
        <v>297</v>
      </c>
      <c r="M57" t="s">
        <v>297</v>
      </c>
      <c r="N57" s="23" t="str">
        <f t="shared" si="9"/>
        <v>N</v>
      </c>
      <c r="O57" s="16" t="s">
        <v>1662</v>
      </c>
      <c r="P57" s="10" t="s">
        <v>150</v>
      </c>
      <c r="Q57" s="10" t="s">
        <v>161</v>
      </c>
      <c r="S57" s="16" t="str">
        <f t="shared" si="10"/>
        <v>Russell  Frear</v>
      </c>
      <c r="T57" s="31" t="s">
        <v>1362</v>
      </c>
      <c r="U57" s="24">
        <v>39968</v>
      </c>
    </row>
    <row r="58" spans="1:33">
      <c r="A58" s="16">
        <v>1</v>
      </c>
      <c r="B58" s="16" t="s">
        <v>322</v>
      </c>
      <c r="C58" s="16">
        <v>137</v>
      </c>
      <c r="D58" s="7" t="s">
        <v>295</v>
      </c>
      <c r="E58" s="16" t="s">
        <v>296</v>
      </c>
      <c r="F58" s="2">
        <v>28093</v>
      </c>
      <c r="G58" s="2">
        <v>28618</v>
      </c>
      <c r="H58" s="2">
        <v>39465</v>
      </c>
      <c r="I58" s="25">
        <v>41820</v>
      </c>
      <c r="J58" s="2">
        <v>36817</v>
      </c>
      <c r="K58" s="2">
        <v>36347</v>
      </c>
      <c r="L58" t="s">
        <v>322</v>
      </c>
      <c r="M58" t="s">
        <v>297</v>
      </c>
      <c r="N58" s="23" t="str">
        <f t="shared" si="9"/>
        <v>Y</v>
      </c>
      <c r="O58" s="16" t="s">
        <v>1663</v>
      </c>
      <c r="P58" s="10" t="s">
        <v>150</v>
      </c>
      <c r="Q58" s="10" t="s">
        <v>161</v>
      </c>
      <c r="S58" s="16" t="str">
        <f t="shared" si="10"/>
        <v>Russell  Frear</v>
      </c>
      <c r="T58" s="31">
        <v>41428</v>
      </c>
    </row>
    <row r="59" spans="1:33">
      <c r="A59" s="16">
        <v>1</v>
      </c>
      <c r="B59" s="16" t="s">
        <v>322</v>
      </c>
      <c r="C59" s="16">
        <v>165</v>
      </c>
      <c r="D59" s="7" t="s">
        <v>295</v>
      </c>
      <c r="E59" s="16" t="s">
        <v>296</v>
      </c>
      <c r="F59" s="2">
        <v>28296</v>
      </c>
      <c r="G59" s="2">
        <v>28986</v>
      </c>
      <c r="H59" s="2">
        <v>39274</v>
      </c>
      <c r="I59" s="25">
        <v>41820</v>
      </c>
      <c r="J59" s="2">
        <v>36817</v>
      </c>
      <c r="K59" s="2">
        <v>38944</v>
      </c>
      <c r="L59" t="s">
        <v>297</v>
      </c>
      <c r="M59" t="s">
        <v>297</v>
      </c>
      <c r="N59" s="23" t="str">
        <f t="shared" si="9"/>
        <v>Y</v>
      </c>
      <c r="O59" s="16" t="s">
        <v>352</v>
      </c>
      <c r="P59" s="10" t="s">
        <v>150</v>
      </c>
      <c r="Q59" s="10" t="s">
        <v>161</v>
      </c>
      <c r="S59" s="16" t="str">
        <f t="shared" si="10"/>
        <v>Russell  Frear</v>
      </c>
      <c r="T59" s="31">
        <v>41387</v>
      </c>
    </row>
    <row r="60" spans="1:33">
      <c r="A60" s="16">
        <v>1</v>
      </c>
      <c r="B60" s="16" t="s">
        <v>322</v>
      </c>
      <c r="C60" s="16">
        <v>641</v>
      </c>
      <c r="D60" s="7" t="s">
        <v>295</v>
      </c>
      <c r="E60" s="16" t="s">
        <v>296</v>
      </c>
      <c r="F60" s="2">
        <v>32293</v>
      </c>
      <c r="G60" s="2">
        <v>32816</v>
      </c>
      <c r="H60" s="2">
        <v>39512</v>
      </c>
      <c r="I60" s="25">
        <v>41820</v>
      </c>
      <c r="J60" s="2">
        <v>36817</v>
      </c>
      <c r="K60" s="2">
        <v>36374</v>
      </c>
      <c r="L60" t="s">
        <v>297</v>
      </c>
      <c r="M60" t="s">
        <v>297</v>
      </c>
      <c r="N60" s="23" t="str">
        <f t="shared" si="9"/>
        <v>Y</v>
      </c>
      <c r="O60" s="16" t="s">
        <v>1482</v>
      </c>
      <c r="P60" s="10" t="s">
        <v>150</v>
      </c>
      <c r="Q60" s="10" t="s">
        <v>161</v>
      </c>
      <c r="S60" s="16" t="str">
        <f t="shared" si="10"/>
        <v>Russell  Frear</v>
      </c>
      <c r="T60" s="31">
        <v>41465</v>
      </c>
    </row>
    <row r="61" spans="1:33">
      <c r="A61" s="16">
        <v>1</v>
      </c>
      <c r="B61" s="16" t="s">
        <v>322</v>
      </c>
      <c r="C61" s="16">
        <v>797</v>
      </c>
      <c r="D61" t="s">
        <v>295</v>
      </c>
      <c r="E61" s="16" t="s">
        <v>296</v>
      </c>
      <c r="F61" s="2">
        <v>33452</v>
      </c>
      <c r="G61" s="2">
        <v>34051</v>
      </c>
      <c r="H61" s="2">
        <v>38918</v>
      </c>
      <c r="I61" s="25">
        <v>41820</v>
      </c>
      <c r="J61" s="2">
        <v>36388</v>
      </c>
      <c r="K61" s="2">
        <v>38918</v>
      </c>
      <c r="L61" t="s">
        <v>297</v>
      </c>
      <c r="M61" t="s">
        <v>297</v>
      </c>
      <c r="N61" s="23" t="str">
        <f t="shared" si="9"/>
        <v>Y</v>
      </c>
      <c r="O61" s="30" t="s">
        <v>1169</v>
      </c>
      <c r="P61" s="10" t="s">
        <v>150</v>
      </c>
      <c r="Q61" s="10" t="s">
        <v>161</v>
      </c>
      <c r="S61" s="16" t="str">
        <f t="shared" si="10"/>
        <v>Russell  Frear</v>
      </c>
      <c r="T61" s="31">
        <v>41408</v>
      </c>
    </row>
    <row r="62" spans="1:33" customFormat="1" hidden="1">
      <c r="A62" t="s">
        <v>150</v>
      </c>
      <c r="B62" t="s">
        <v>161</v>
      </c>
      <c r="I62" s="6"/>
    </row>
    <row r="63" spans="1:33">
      <c r="A63" s="16">
        <v>1</v>
      </c>
      <c r="B63" s="16" t="s">
        <v>299</v>
      </c>
      <c r="C63" s="16">
        <v>19</v>
      </c>
      <c r="D63" s="7" t="s">
        <v>295</v>
      </c>
      <c r="E63" s="16" t="s">
        <v>296</v>
      </c>
      <c r="F63" s="2">
        <v>26648</v>
      </c>
      <c r="G63" s="2">
        <v>26648</v>
      </c>
      <c r="H63" s="2">
        <v>39084</v>
      </c>
      <c r="I63" s="25">
        <v>41820</v>
      </c>
      <c r="K63" s="2">
        <v>38617</v>
      </c>
      <c r="L63" t="s">
        <v>297</v>
      </c>
      <c r="M63" t="s">
        <v>297</v>
      </c>
      <c r="N63" s="23" t="str">
        <f t="shared" ref="N63:N70" si="11">IF((I63&gt;$W$2),"Y","N")</f>
        <v>Y</v>
      </c>
      <c r="O63" s="16" t="s">
        <v>1664</v>
      </c>
      <c r="P63" s="10" t="s">
        <v>150</v>
      </c>
      <c r="Q63" s="10" t="s">
        <v>162</v>
      </c>
      <c r="S63" s="16" t="str">
        <f t="shared" ref="S63:S70" si="12">MID(Q63,9,30)</f>
        <v>Brent A Whittlesey</v>
      </c>
      <c r="T63" s="31">
        <v>41470</v>
      </c>
    </row>
    <row r="64" spans="1:33">
      <c r="A64" s="16">
        <v>1</v>
      </c>
      <c r="B64" s="16" t="s">
        <v>299</v>
      </c>
      <c r="C64" s="16">
        <v>20</v>
      </c>
      <c r="D64" t="s">
        <v>295</v>
      </c>
      <c r="E64" s="16" t="s">
        <v>296</v>
      </c>
      <c r="F64" s="2">
        <v>26648</v>
      </c>
      <c r="G64" s="2">
        <v>26648</v>
      </c>
      <c r="H64" s="2">
        <v>39525</v>
      </c>
      <c r="I64" s="25">
        <v>40724</v>
      </c>
      <c r="J64" s="2">
        <v>38392</v>
      </c>
      <c r="K64" s="2">
        <v>34431</v>
      </c>
      <c r="L64" t="s">
        <v>297</v>
      </c>
      <c r="M64" t="s">
        <v>297</v>
      </c>
      <c r="N64" s="23" t="str">
        <f t="shared" si="11"/>
        <v>N</v>
      </c>
      <c r="O64" s="16" t="s">
        <v>1665</v>
      </c>
      <c r="P64" s="10" t="s">
        <v>150</v>
      </c>
      <c r="Q64" s="10" t="s">
        <v>162</v>
      </c>
      <c r="S64" s="16" t="str">
        <f t="shared" si="12"/>
        <v>Brent A Whittlesey</v>
      </c>
    </row>
    <row r="65" spans="1:33">
      <c r="A65" s="16">
        <v>1</v>
      </c>
      <c r="B65" s="16" t="s">
        <v>299</v>
      </c>
      <c r="C65" s="16">
        <v>69</v>
      </c>
      <c r="D65" s="7" t="s">
        <v>295</v>
      </c>
      <c r="E65" s="16" t="s">
        <v>296</v>
      </c>
      <c r="F65" s="2">
        <v>27591</v>
      </c>
      <c r="G65" s="2">
        <v>27591</v>
      </c>
      <c r="H65" s="2">
        <v>39408</v>
      </c>
      <c r="I65" s="25">
        <v>41820</v>
      </c>
      <c r="J65" s="2">
        <v>37939</v>
      </c>
      <c r="K65" s="2">
        <v>35271</v>
      </c>
      <c r="L65" t="s">
        <v>297</v>
      </c>
      <c r="M65" t="s">
        <v>297</v>
      </c>
      <c r="N65" s="23" t="str">
        <f t="shared" si="11"/>
        <v>Y</v>
      </c>
      <c r="O65" s="16" t="s">
        <v>1275</v>
      </c>
      <c r="P65" s="10" t="s">
        <v>150</v>
      </c>
      <c r="Q65" s="10" t="s">
        <v>162</v>
      </c>
      <c r="S65" s="16" t="str">
        <f t="shared" si="12"/>
        <v>Brent A Whittlesey</v>
      </c>
      <c r="T65" s="31">
        <v>41470</v>
      </c>
    </row>
    <row r="66" spans="1:33">
      <c r="A66" s="16">
        <v>1</v>
      </c>
      <c r="B66" s="16" t="s">
        <v>299</v>
      </c>
      <c r="C66" s="16">
        <v>70</v>
      </c>
      <c r="D66" s="7" t="s">
        <v>295</v>
      </c>
      <c r="E66" s="16" t="s">
        <v>296</v>
      </c>
      <c r="F66" s="2">
        <v>27591</v>
      </c>
      <c r="G66" s="2">
        <v>27957</v>
      </c>
      <c r="H66" s="2">
        <v>38894</v>
      </c>
      <c r="I66" s="25">
        <v>41820</v>
      </c>
      <c r="K66" s="2">
        <v>35935</v>
      </c>
      <c r="L66" t="s">
        <v>297</v>
      </c>
      <c r="M66" t="s">
        <v>297</v>
      </c>
      <c r="N66" s="23" t="str">
        <f t="shared" si="11"/>
        <v>Y</v>
      </c>
      <c r="O66" s="30" t="s">
        <v>1666</v>
      </c>
      <c r="P66" s="10" t="s">
        <v>150</v>
      </c>
      <c r="Q66" s="10" t="s">
        <v>162</v>
      </c>
      <c r="S66" s="16" t="str">
        <f t="shared" si="12"/>
        <v>Brent A Whittlesey</v>
      </c>
      <c r="T66" s="31">
        <v>41465</v>
      </c>
    </row>
    <row r="67" spans="1:33">
      <c r="A67" s="16">
        <v>1</v>
      </c>
      <c r="B67" s="16" t="s">
        <v>299</v>
      </c>
      <c r="C67" s="16">
        <v>76</v>
      </c>
      <c r="D67" t="s">
        <v>295</v>
      </c>
      <c r="E67" s="16" t="s">
        <v>296</v>
      </c>
      <c r="F67" s="2">
        <v>27591</v>
      </c>
      <c r="G67" s="2">
        <v>27591</v>
      </c>
      <c r="H67" s="2">
        <v>39259</v>
      </c>
      <c r="I67" s="25">
        <v>41820</v>
      </c>
      <c r="J67" s="2">
        <v>38302</v>
      </c>
      <c r="K67" s="2">
        <v>36222</v>
      </c>
      <c r="L67" t="s">
        <v>297</v>
      </c>
      <c r="M67" t="s">
        <v>297</v>
      </c>
      <c r="N67" s="23" t="str">
        <f t="shared" si="11"/>
        <v>Y</v>
      </c>
      <c r="O67" s="16" t="s">
        <v>1667</v>
      </c>
      <c r="P67" s="10" t="s">
        <v>150</v>
      </c>
      <c r="Q67" s="10" t="s">
        <v>162</v>
      </c>
      <c r="S67" s="16" t="str">
        <f t="shared" si="12"/>
        <v>Brent A Whittlesey</v>
      </c>
      <c r="T67" s="31">
        <v>41470</v>
      </c>
    </row>
    <row r="68" spans="1:33">
      <c r="A68" s="16">
        <v>1</v>
      </c>
      <c r="B68" s="16" t="s">
        <v>299</v>
      </c>
      <c r="C68" s="16">
        <v>78</v>
      </c>
      <c r="D68" t="s">
        <v>295</v>
      </c>
      <c r="E68" s="16" t="s">
        <v>296</v>
      </c>
      <c r="F68" s="2">
        <v>27591</v>
      </c>
      <c r="G68" s="2">
        <v>27922</v>
      </c>
      <c r="H68" s="2">
        <v>38873</v>
      </c>
      <c r="I68" s="25">
        <v>41090</v>
      </c>
      <c r="J68" s="2">
        <v>37939</v>
      </c>
      <c r="K68" s="2">
        <v>35187</v>
      </c>
      <c r="L68" t="s">
        <v>297</v>
      </c>
      <c r="M68" t="s">
        <v>297</v>
      </c>
      <c r="N68" s="23" t="str">
        <f t="shared" si="11"/>
        <v>N</v>
      </c>
      <c r="O68" s="30" t="s">
        <v>1668</v>
      </c>
      <c r="P68" s="10" t="s">
        <v>150</v>
      </c>
      <c r="Q68" s="10" t="s">
        <v>162</v>
      </c>
      <c r="S68" s="16" t="str">
        <f t="shared" si="12"/>
        <v>Brent A Whittlesey</v>
      </c>
      <c r="T68" s="31" t="s">
        <v>1312</v>
      </c>
    </row>
    <row r="69" spans="1:33">
      <c r="A69" s="16">
        <v>1</v>
      </c>
      <c r="B69" s="16" t="s">
        <v>299</v>
      </c>
      <c r="C69" s="16">
        <v>514</v>
      </c>
      <c r="D69" s="7" t="s">
        <v>295</v>
      </c>
      <c r="E69" s="16" t="s">
        <v>296</v>
      </c>
      <c r="F69" s="2">
        <v>31437</v>
      </c>
      <c r="G69" s="2">
        <v>33021</v>
      </c>
      <c r="H69" s="2">
        <v>37496</v>
      </c>
      <c r="I69" s="25">
        <v>41455</v>
      </c>
      <c r="K69" s="2">
        <v>34396</v>
      </c>
      <c r="L69" t="s">
        <v>297</v>
      </c>
      <c r="M69" t="s">
        <v>297</v>
      </c>
      <c r="N69" s="23" t="str">
        <f t="shared" si="11"/>
        <v>N</v>
      </c>
      <c r="O69" s="16" t="s">
        <v>1669</v>
      </c>
      <c r="P69" s="10" t="s">
        <v>150</v>
      </c>
      <c r="Q69" s="10" t="s">
        <v>162</v>
      </c>
      <c r="S69" s="16" t="str">
        <f t="shared" si="12"/>
        <v>Brent A Whittlesey</v>
      </c>
      <c r="T69" s="31" t="s">
        <v>1415</v>
      </c>
    </row>
    <row r="70" spans="1:33">
      <c r="A70" s="16">
        <v>1</v>
      </c>
      <c r="B70" s="16" t="s">
        <v>299</v>
      </c>
      <c r="C70" s="16">
        <v>1031</v>
      </c>
      <c r="D70" s="7" t="s">
        <v>295</v>
      </c>
      <c r="E70" s="16" t="s">
        <v>296</v>
      </c>
      <c r="F70" s="2">
        <v>34750</v>
      </c>
      <c r="G70" s="2">
        <v>35874</v>
      </c>
      <c r="H70" s="2">
        <v>39243</v>
      </c>
      <c r="I70" s="25">
        <v>41455</v>
      </c>
      <c r="J70" s="2">
        <v>38161</v>
      </c>
      <c r="K70" s="2">
        <v>35951</v>
      </c>
      <c r="L70" t="s">
        <v>297</v>
      </c>
      <c r="M70" t="s">
        <v>322</v>
      </c>
      <c r="N70" s="23" t="str">
        <f t="shared" si="11"/>
        <v>N</v>
      </c>
      <c r="O70" s="30" t="s">
        <v>1670</v>
      </c>
      <c r="P70" s="10" t="s">
        <v>150</v>
      </c>
      <c r="Q70" s="10" t="s">
        <v>162</v>
      </c>
      <c r="S70" s="16" t="str">
        <f t="shared" si="12"/>
        <v>Brent A Whittlesey</v>
      </c>
      <c r="T70" s="31" t="s">
        <v>1381</v>
      </c>
      <c r="U70" s="24">
        <v>39757</v>
      </c>
    </row>
    <row r="71" spans="1:33" customFormat="1" hidden="1">
      <c r="A71" t="s">
        <v>150</v>
      </c>
      <c r="B71" t="s">
        <v>162</v>
      </c>
      <c r="I71" s="6"/>
    </row>
    <row r="72" spans="1:33">
      <c r="A72" s="16">
        <v>1</v>
      </c>
      <c r="B72" s="16" t="s">
        <v>299</v>
      </c>
      <c r="C72" s="16">
        <v>1567</v>
      </c>
      <c r="E72" s="16" t="s">
        <v>299</v>
      </c>
      <c r="F72" s="2">
        <v>35899</v>
      </c>
      <c r="H72" s="2">
        <v>37175</v>
      </c>
      <c r="I72" s="25">
        <v>41820</v>
      </c>
      <c r="L72" t="s">
        <v>297</v>
      </c>
      <c r="N72" s="23" t="str">
        <f>IF((I72&gt;$W$2),"Y","N")</f>
        <v>Y</v>
      </c>
      <c r="O72" s="16" t="s">
        <v>1292</v>
      </c>
      <c r="T72" s="31">
        <v>41484</v>
      </c>
    </row>
    <row r="73" spans="1:33">
      <c r="A73" s="16">
        <v>1</v>
      </c>
      <c r="B73" s="16" t="s">
        <v>299</v>
      </c>
      <c r="C73" s="16">
        <v>1595</v>
      </c>
      <c r="E73" s="16" t="s">
        <v>299</v>
      </c>
      <c r="F73" s="2">
        <v>38126</v>
      </c>
      <c r="H73" s="2">
        <v>38524</v>
      </c>
      <c r="I73" s="25">
        <v>41090</v>
      </c>
      <c r="L73" t="s">
        <v>297</v>
      </c>
      <c r="M73" t="s">
        <v>297</v>
      </c>
      <c r="N73" s="21" t="str">
        <f>IF((I73&gt;$W$2),"Y","N")</f>
        <v>N</v>
      </c>
      <c r="O73" s="16" t="s">
        <v>1671</v>
      </c>
      <c r="T73" s="31" t="s">
        <v>1343</v>
      </c>
    </row>
    <row r="74" spans="1:33">
      <c r="A74" s="16">
        <v>1</v>
      </c>
      <c r="B74" s="16" t="s">
        <v>163</v>
      </c>
      <c r="C74" s="16">
        <v>37</v>
      </c>
      <c r="D74" s="7" t="s">
        <v>295</v>
      </c>
      <c r="E74" s="16" t="s">
        <v>296</v>
      </c>
      <c r="F74" s="2">
        <v>27275</v>
      </c>
      <c r="G74" s="2">
        <v>27275</v>
      </c>
      <c r="H74" s="2">
        <v>39160</v>
      </c>
      <c r="I74" s="25">
        <v>41820</v>
      </c>
      <c r="J74" s="2">
        <v>37433</v>
      </c>
      <c r="K74" s="2">
        <v>35689</v>
      </c>
      <c r="L74" t="s">
        <v>297</v>
      </c>
      <c r="M74" t="s">
        <v>297</v>
      </c>
      <c r="N74" s="23" t="str">
        <f>IF((I74&gt;$W$2),"Y","N")</f>
        <v>Y</v>
      </c>
      <c r="O74" s="30" t="s">
        <v>1672</v>
      </c>
      <c r="P74" s="10" t="s">
        <v>150</v>
      </c>
      <c r="Q74" s="10" t="s">
        <v>164</v>
      </c>
      <c r="S74" s="16" t="str">
        <f>MID(Q74,9,30)</f>
        <v>Chuck C Neve</v>
      </c>
      <c r="T74" s="31">
        <v>41465</v>
      </c>
    </row>
    <row r="75" spans="1:33">
      <c r="A75" s="16">
        <v>1</v>
      </c>
      <c r="B75" s="16" t="s">
        <v>163</v>
      </c>
      <c r="C75" s="16">
        <v>47</v>
      </c>
      <c r="D75" s="7" t="s">
        <v>295</v>
      </c>
      <c r="E75" s="16" t="s">
        <v>296</v>
      </c>
      <c r="F75" s="2">
        <v>27275</v>
      </c>
      <c r="G75" s="2">
        <v>27591</v>
      </c>
      <c r="H75" s="2">
        <v>39340</v>
      </c>
      <c r="I75" s="25">
        <v>41820</v>
      </c>
      <c r="J75" s="2">
        <v>37433</v>
      </c>
      <c r="K75" s="2">
        <v>36237</v>
      </c>
      <c r="L75" t="s">
        <v>297</v>
      </c>
      <c r="M75" t="s">
        <v>297</v>
      </c>
      <c r="N75" s="23" t="str">
        <f>IF((I75&gt;$W$2),"Y","N")</f>
        <v>Y</v>
      </c>
      <c r="O75" s="30" t="s">
        <v>1673</v>
      </c>
      <c r="P75" s="10" t="s">
        <v>150</v>
      </c>
      <c r="Q75" s="10" t="s">
        <v>164</v>
      </c>
      <c r="S75" s="16" t="str">
        <f>MID(Q75,9,30)</f>
        <v>Chuck C Neve</v>
      </c>
      <c r="T75" s="31">
        <v>41365</v>
      </c>
    </row>
    <row r="76" spans="1:33">
      <c r="A76" s="16">
        <v>1</v>
      </c>
      <c r="B76" s="16" t="s">
        <v>163</v>
      </c>
      <c r="C76" s="16">
        <v>187</v>
      </c>
      <c r="D76" s="7" t="s">
        <v>295</v>
      </c>
      <c r="E76" s="16" t="s">
        <v>296</v>
      </c>
      <c r="F76" s="2">
        <v>28628</v>
      </c>
      <c r="G76" s="2">
        <v>29527</v>
      </c>
      <c r="H76" s="2">
        <v>39172</v>
      </c>
      <c r="I76" s="25">
        <v>41820</v>
      </c>
      <c r="J76" s="2">
        <v>36813</v>
      </c>
      <c r="K76" s="2">
        <v>36361</v>
      </c>
      <c r="L76" t="s">
        <v>297</v>
      </c>
      <c r="M76" t="s">
        <v>297</v>
      </c>
      <c r="N76" s="23" t="str">
        <f>IF((I76&gt;$W$2),"Y","N")</f>
        <v>Y</v>
      </c>
      <c r="O76" s="30" t="s">
        <v>1437</v>
      </c>
      <c r="P76" s="10" t="s">
        <v>150</v>
      </c>
      <c r="Q76" s="10" t="s">
        <v>164</v>
      </c>
      <c r="S76" s="16" t="str">
        <f>MID(Q76,9,30)</f>
        <v>Chuck C Neve</v>
      </c>
      <c r="T76" s="31">
        <v>41478</v>
      </c>
    </row>
    <row r="77" spans="1:33" s="7" customFormat="1" hidden="1">
      <c r="A77" s="7">
        <v>1</v>
      </c>
      <c r="B77" s="7" t="s">
        <v>163</v>
      </c>
      <c r="C77" s="7">
        <v>736</v>
      </c>
      <c r="D77" s="7" t="s">
        <v>368</v>
      </c>
      <c r="E77" s="7" t="s">
        <v>316</v>
      </c>
      <c r="F77" s="2">
        <v>32949</v>
      </c>
      <c r="G77" s="2">
        <v>33264</v>
      </c>
      <c r="H77" s="2">
        <v>35634</v>
      </c>
      <c r="I77" s="8">
        <v>35976</v>
      </c>
      <c r="J77" s="2">
        <v>33419</v>
      </c>
      <c r="K77" s="2">
        <v>35634</v>
      </c>
      <c r="L77" t="s">
        <v>322</v>
      </c>
      <c r="M77" t="s">
        <v>297</v>
      </c>
      <c r="N77"/>
      <c r="O77" s="7" t="s">
        <v>369</v>
      </c>
      <c r="P77" s="7" t="s">
        <v>150</v>
      </c>
      <c r="Q77" s="7" t="s">
        <v>164</v>
      </c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</row>
    <row r="78" spans="1:33">
      <c r="A78" s="16">
        <v>1</v>
      </c>
      <c r="B78" s="16" t="s">
        <v>163</v>
      </c>
      <c r="C78" s="16">
        <v>462</v>
      </c>
      <c r="D78" s="7" t="s">
        <v>295</v>
      </c>
      <c r="E78" s="16" t="s">
        <v>296</v>
      </c>
      <c r="F78" s="2">
        <v>31131</v>
      </c>
      <c r="G78" s="2">
        <v>31434</v>
      </c>
      <c r="H78" s="2">
        <v>39337</v>
      </c>
      <c r="I78" s="25">
        <v>41455</v>
      </c>
      <c r="J78" s="2">
        <v>37477</v>
      </c>
      <c r="K78" s="2">
        <v>39331</v>
      </c>
      <c r="L78" t="s">
        <v>297</v>
      </c>
      <c r="M78" t="s">
        <v>297</v>
      </c>
      <c r="N78" s="23" t="str">
        <f>IF((I78&gt;$W$2),"Y","N")</f>
        <v>N</v>
      </c>
      <c r="O78" s="16" t="s">
        <v>1674</v>
      </c>
      <c r="P78" s="10" t="s">
        <v>150</v>
      </c>
      <c r="Q78" s="10" t="s">
        <v>164</v>
      </c>
      <c r="S78" s="16" t="str">
        <f>MID(Q78,9,30)</f>
        <v>Chuck C Neve</v>
      </c>
      <c r="T78" s="31" t="s">
        <v>1347</v>
      </c>
    </row>
    <row r="79" spans="1:33">
      <c r="A79" s="16">
        <v>1</v>
      </c>
      <c r="B79" s="16" t="s">
        <v>163</v>
      </c>
      <c r="C79" s="16">
        <v>544</v>
      </c>
      <c r="D79" s="7" t="s">
        <v>295</v>
      </c>
      <c r="E79" s="16" t="s">
        <v>296</v>
      </c>
      <c r="F79" s="2">
        <v>31612</v>
      </c>
      <c r="G79" s="2">
        <v>32816</v>
      </c>
      <c r="H79" s="2">
        <v>38939</v>
      </c>
      <c r="I79" s="25">
        <v>41820</v>
      </c>
      <c r="J79" s="2">
        <v>37862</v>
      </c>
      <c r="K79" s="2">
        <v>38922</v>
      </c>
      <c r="L79" t="s">
        <v>297</v>
      </c>
      <c r="M79" t="s">
        <v>297</v>
      </c>
      <c r="N79" s="23" t="str">
        <f>IF((I79&gt;$W$2),"Y","N")</f>
        <v>Y</v>
      </c>
      <c r="O79" s="16" t="s">
        <v>1675</v>
      </c>
      <c r="P79" s="10" t="s">
        <v>150</v>
      </c>
      <c r="Q79" s="10" t="s">
        <v>164</v>
      </c>
      <c r="S79" s="16" t="str">
        <f>MID(Q79,9,30)</f>
        <v>Chuck C Neve</v>
      </c>
      <c r="T79" s="31">
        <v>41464</v>
      </c>
    </row>
    <row r="80" spans="1:33">
      <c r="A80" s="16">
        <v>1</v>
      </c>
      <c r="B80" s="16" t="s">
        <v>163</v>
      </c>
      <c r="C80" s="16">
        <v>820</v>
      </c>
      <c r="D80" s="7" t="s">
        <v>295</v>
      </c>
      <c r="E80" s="16" t="s">
        <v>296</v>
      </c>
      <c r="F80" s="2">
        <v>33621</v>
      </c>
      <c r="G80" s="2">
        <v>33992</v>
      </c>
      <c r="H80" s="2">
        <v>39140</v>
      </c>
      <c r="I80" s="25">
        <v>41820</v>
      </c>
      <c r="J80" s="2">
        <v>35335</v>
      </c>
      <c r="K80" s="2">
        <v>36444</v>
      </c>
      <c r="L80" t="s">
        <v>297</v>
      </c>
      <c r="M80" t="s">
        <v>297</v>
      </c>
      <c r="N80" s="23" t="str">
        <f>IF((I80&gt;$W$2),"Y","N")</f>
        <v>Y</v>
      </c>
      <c r="O80" s="16" t="s">
        <v>1676</v>
      </c>
      <c r="P80" s="10" t="s">
        <v>150</v>
      </c>
      <c r="Q80" s="10" t="s">
        <v>164</v>
      </c>
      <c r="S80" s="16" t="str">
        <f>MID(Q80,9,30)</f>
        <v>Chuck C Neve</v>
      </c>
      <c r="T80" s="31">
        <v>41334</v>
      </c>
    </row>
    <row r="81" spans="1:33" customFormat="1" hidden="1">
      <c r="A81" t="s">
        <v>150</v>
      </c>
      <c r="B81" t="s">
        <v>164</v>
      </c>
      <c r="I81" s="6"/>
    </row>
    <row r="82" spans="1:33">
      <c r="A82" s="16">
        <v>1</v>
      </c>
      <c r="B82" s="16" t="s">
        <v>163</v>
      </c>
      <c r="C82" s="16">
        <v>1463</v>
      </c>
      <c r="D82" s="7" t="s">
        <v>295</v>
      </c>
      <c r="E82" s="16" t="s">
        <v>296</v>
      </c>
      <c r="F82" s="2">
        <v>37875</v>
      </c>
      <c r="G82" s="2">
        <v>38058</v>
      </c>
      <c r="H82" s="2">
        <v>39191</v>
      </c>
      <c r="I82" s="25">
        <v>41820</v>
      </c>
      <c r="L82" t="s">
        <v>297</v>
      </c>
      <c r="M82" t="s">
        <v>297</v>
      </c>
      <c r="N82" s="23" t="str">
        <f>IF((I82&gt;$W$2),"Y","N")</f>
        <v>Y</v>
      </c>
      <c r="O82" s="30" t="s">
        <v>1170</v>
      </c>
      <c r="P82" s="10" t="s">
        <v>150</v>
      </c>
      <c r="Q82" s="10" t="s">
        <v>164</v>
      </c>
      <c r="S82" s="16" t="str">
        <f>MID(Q82,9,30)</f>
        <v>Chuck C Neve</v>
      </c>
      <c r="T82" s="31">
        <v>41444</v>
      </c>
    </row>
    <row r="83" spans="1:33">
      <c r="A83" s="16">
        <v>1</v>
      </c>
      <c r="B83" s="16" t="s">
        <v>163</v>
      </c>
      <c r="C83" s="16">
        <v>1508</v>
      </c>
      <c r="D83" s="7" t="s">
        <v>295</v>
      </c>
      <c r="E83" s="16" t="s">
        <v>296</v>
      </c>
      <c r="F83" s="2">
        <v>38548</v>
      </c>
      <c r="G83" s="2">
        <v>39360</v>
      </c>
      <c r="H83" s="2">
        <v>39503</v>
      </c>
      <c r="I83" s="25">
        <v>41820</v>
      </c>
      <c r="L83" t="s">
        <v>297</v>
      </c>
      <c r="M83" t="s">
        <v>297</v>
      </c>
      <c r="N83" s="23" t="str">
        <f>IF((I83&gt;$W$2),"Y","N")</f>
        <v>Y</v>
      </c>
      <c r="O83" s="30" t="s">
        <v>1171</v>
      </c>
      <c r="P83" s="10" t="s">
        <v>150</v>
      </c>
      <c r="Q83" s="10" t="s">
        <v>164</v>
      </c>
      <c r="S83" s="16" t="str">
        <f>MID(Q83,9,30)</f>
        <v>Chuck C Neve</v>
      </c>
      <c r="T83" s="31">
        <v>41460</v>
      </c>
    </row>
    <row r="84" spans="1:33" s="7" customFormat="1" hidden="1">
      <c r="A84" s="7">
        <v>1</v>
      </c>
      <c r="B84" s="7" t="s">
        <v>165</v>
      </c>
      <c r="C84" s="7">
        <v>739</v>
      </c>
      <c r="D84" s="7" t="s">
        <v>375</v>
      </c>
      <c r="E84" s="7" t="s">
        <v>376</v>
      </c>
      <c r="F84" s="2">
        <v>33021</v>
      </c>
      <c r="G84" s="2">
        <v>34244</v>
      </c>
      <c r="H84" s="2">
        <v>35378</v>
      </c>
      <c r="I84" s="8">
        <v>34880</v>
      </c>
      <c r="J84"/>
      <c r="K84" s="2">
        <v>34446</v>
      </c>
      <c r="L84" t="s">
        <v>322</v>
      </c>
      <c r="M84" t="s">
        <v>297</v>
      </c>
      <c r="N84"/>
      <c r="O84" s="7" t="s">
        <v>369</v>
      </c>
      <c r="P84" s="7" t="s">
        <v>150</v>
      </c>
      <c r="Q84" s="7" t="s">
        <v>166</v>
      </c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  <row r="85" spans="1:33" s="7" customFormat="1" hidden="1">
      <c r="A85" s="7">
        <v>1</v>
      </c>
      <c r="B85" s="7" t="s">
        <v>165</v>
      </c>
      <c r="C85" s="7">
        <v>752</v>
      </c>
      <c r="D85" s="7" t="s">
        <v>377</v>
      </c>
      <c r="E85" s="7" t="s">
        <v>376</v>
      </c>
      <c r="F85" s="2">
        <v>34803</v>
      </c>
      <c r="G85"/>
      <c r="H85" s="2">
        <v>36441</v>
      </c>
      <c r="I85" s="8">
        <v>36373</v>
      </c>
      <c r="J85" s="2">
        <v>33312</v>
      </c>
      <c r="K85" s="2">
        <v>34785</v>
      </c>
      <c r="L85" t="s">
        <v>322</v>
      </c>
      <c r="M85" t="s">
        <v>297</v>
      </c>
      <c r="N85"/>
      <c r="O85" s="7" t="s">
        <v>369</v>
      </c>
      <c r="P85" s="7" t="s">
        <v>150</v>
      </c>
      <c r="Q85" s="7" t="s">
        <v>166</v>
      </c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</row>
    <row r="86" spans="1:33">
      <c r="A86" s="16">
        <v>1</v>
      </c>
      <c r="B86" s="16" t="s">
        <v>163</v>
      </c>
      <c r="C86" s="16">
        <v>1605</v>
      </c>
      <c r="E86" s="16" t="s">
        <v>299</v>
      </c>
      <c r="F86" s="2">
        <v>38908</v>
      </c>
      <c r="H86" s="2">
        <v>38908</v>
      </c>
      <c r="I86" s="25">
        <v>41455</v>
      </c>
      <c r="L86" t="s">
        <v>297</v>
      </c>
      <c r="M86" t="s">
        <v>322</v>
      </c>
      <c r="N86" s="23" t="str">
        <f>IF((I86&gt;$W$2),"Y","N")</f>
        <v>N</v>
      </c>
      <c r="O86" s="16" t="s">
        <v>1438</v>
      </c>
    </row>
    <row r="87" spans="1:33">
      <c r="A87" s="16">
        <v>1</v>
      </c>
      <c r="B87" s="16" t="s">
        <v>165</v>
      </c>
      <c r="C87" s="16">
        <v>397</v>
      </c>
      <c r="D87" s="7" t="s">
        <v>295</v>
      </c>
      <c r="E87" s="16" t="s">
        <v>296</v>
      </c>
      <c r="F87" s="2">
        <v>30480</v>
      </c>
      <c r="G87" s="2">
        <v>31493</v>
      </c>
      <c r="H87" s="2">
        <v>39463</v>
      </c>
      <c r="I87" s="25">
        <v>41820</v>
      </c>
      <c r="J87" s="2">
        <v>39308</v>
      </c>
      <c r="K87" s="2">
        <v>39463</v>
      </c>
      <c r="L87" t="s">
        <v>322</v>
      </c>
      <c r="M87" t="s">
        <v>297</v>
      </c>
      <c r="N87" s="23" t="str">
        <f>IF((I87&gt;$W$2),"Y","N")</f>
        <v>Y</v>
      </c>
      <c r="O87" s="30" t="s">
        <v>1677</v>
      </c>
      <c r="P87" s="10" t="s">
        <v>150</v>
      </c>
      <c r="Q87" s="10" t="s">
        <v>166</v>
      </c>
      <c r="S87" s="16" t="str">
        <f>MID(Q87,9,30)</f>
        <v>Larry W Berquist</v>
      </c>
      <c r="T87" s="31">
        <v>41432</v>
      </c>
    </row>
    <row r="88" spans="1:33">
      <c r="A88" s="16">
        <v>1</v>
      </c>
      <c r="B88" s="16" t="s">
        <v>165</v>
      </c>
      <c r="C88" s="16">
        <v>507</v>
      </c>
      <c r="D88" t="s">
        <v>295</v>
      </c>
      <c r="E88" s="16" t="s">
        <v>376</v>
      </c>
      <c r="F88" s="2">
        <v>31374</v>
      </c>
      <c r="G88" s="2">
        <v>34244</v>
      </c>
      <c r="H88" s="2">
        <v>38988</v>
      </c>
      <c r="I88" s="25">
        <v>41455</v>
      </c>
      <c r="J88" s="2">
        <v>39360</v>
      </c>
      <c r="K88" s="2">
        <v>34893</v>
      </c>
      <c r="L88" t="s">
        <v>297</v>
      </c>
      <c r="M88" t="s">
        <v>297</v>
      </c>
      <c r="N88" s="23" t="str">
        <f>IF((I88&gt;$W$2),"Y","N")</f>
        <v>N</v>
      </c>
      <c r="O88" s="16" t="s">
        <v>318</v>
      </c>
      <c r="P88" s="10" t="s">
        <v>150</v>
      </c>
      <c r="Q88" s="10" t="s">
        <v>166</v>
      </c>
      <c r="S88" s="16" t="str">
        <f>MID(Q88,9,30)</f>
        <v>Larry W Berquist</v>
      </c>
      <c r="T88" s="31" t="s">
        <v>1354</v>
      </c>
    </row>
    <row r="89" spans="1:33" s="7" customFormat="1" hidden="1">
      <c r="A89" s="7">
        <v>1</v>
      </c>
      <c r="B89" s="7" t="s">
        <v>165</v>
      </c>
      <c r="C89" s="7">
        <v>1458</v>
      </c>
      <c r="D89" s="7" t="s">
        <v>380</v>
      </c>
      <c r="E89" s="7" t="s">
        <v>376</v>
      </c>
      <c r="F89" s="2">
        <v>37830</v>
      </c>
      <c r="G89"/>
      <c r="H89" s="2">
        <v>37909</v>
      </c>
      <c r="I89" s="8">
        <v>38199</v>
      </c>
      <c r="J89" s="2">
        <v>37904</v>
      </c>
      <c r="K89" s="2">
        <v>37909</v>
      </c>
      <c r="L89" t="s">
        <v>297</v>
      </c>
      <c r="M89" t="s">
        <v>322</v>
      </c>
      <c r="N89"/>
      <c r="P89" s="7" t="s">
        <v>150</v>
      </c>
      <c r="Q89" s="7" t="s">
        <v>166</v>
      </c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</row>
    <row r="90" spans="1:33" customFormat="1" hidden="1">
      <c r="A90" t="s">
        <v>150</v>
      </c>
      <c r="B90" t="s">
        <v>166</v>
      </c>
      <c r="I90" s="6"/>
    </row>
    <row r="91" spans="1:33">
      <c r="A91" s="16">
        <v>1</v>
      </c>
      <c r="B91" s="16" t="s">
        <v>165</v>
      </c>
      <c r="C91" s="16">
        <v>808</v>
      </c>
      <c r="D91" s="7" t="s">
        <v>295</v>
      </c>
      <c r="E91" s="16" t="s">
        <v>296</v>
      </c>
      <c r="F91" s="2">
        <v>33487</v>
      </c>
      <c r="G91" s="2">
        <v>35209</v>
      </c>
      <c r="H91" s="2">
        <v>38999</v>
      </c>
      <c r="I91" s="25">
        <v>41820</v>
      </c>
      <c r="J91" s="2">
        <v>39300</v>
      </c>
      <c r="K91" s="2">
        <v>35222</v>
      </c>
      <c r="L91" t="s">
        <v>297</v>
      </c>
      <c r="M91" t="s">
        <v>297</v>
      </c>
      <c r="N91" s="23" t="str">
        <f>IF((I91&gt;$W$2),"Y","N")</f>
        <v>Y</v>
      </c>
      <c r="O91" s="16" t="s">
        <v>1486</v>
      </c>
      <c r="P91" s="10" t="s">
        <v>150</v>
      </c>
      <c r="Q91" s="10" t="s">
        <v>166</v>
      </c>
      <c r="S91" s="16" t="str">
        <f>MID(Q91,9,30)</f>
        <v>Larry W Berquist</v>
      </c>
      <c r="T91" s="31">
        <v>41428</v>
      </c>
    </row>
    <row r="92" spans="1:33">
      <c r="A92" s="16">
        <v>1</v>
      </c>
      <c r="B92" s="16" t="s">
        <v>165</v>
      </c>
      <c r="C92" s="16">
        <v>1258</v>
      </c>
      <c r="D92" s="7" t="s">
        <v>295</v>
      </c>
      <c r="E92" s="16" t="s">
        <v>296</v>
      </c>
      <c r="F92" s="2">
        <v>35983</v>
      </c>
      <c r="G92" s="2">
        <v>37036</v>
      </c>
      <c r="H92" s="2">
        <v>39498</v>
      </c>
      <c r="I92" s="25">
        <v>41820</v>
      </c>
      <c r="J92" s="2">
        <v>37904</v>
      </c>
      <c r="L92" t="s">
        <v>297</v>
      </c>
      <c r="M92" t="s">
        <v>297</v>
      </c>
      <c r="N92" s="23" t="str">
        <f>IF((I92&gt;$W$2),"Y","N")</f>
        <v>Y</v>
      </c>
      <c r="O92" s="16" t="s">
        <v>379</v>
      </c>
      <c r="P92" s="10" t="s">
        <v>150</v>
      </c>
      <c r="Q92" s="10" t="s">
        <v>166</v>
      </c>
      <c r="S92" s="16" t="str">
        <f>MID(Q92,9,30)</f>
        <v>Larry W Berquist</v>
      </c>
      <c r="T92" s="31">
        <v>41428</v>
      </c>
    </row>
    <row r="93" spans="1:33">
      <c r="A93" s="16">
        <v>1</v>
      </c>
      <c r="B93" s="16" t="s">
        <v>165</v>
      </c>
      <c r="C93" s="16">
        <v>1315</v>
      </c>
      <c r="D93" s="7" t="s">
        <v>295</v>
      </c>
      <c r="E93" s="16" t="s">
        <v>296</v>
      </c>
      <c r="F93" s="2">
        <v>36476</v>
      </c>
      <c r="G93" s="2">
        <v>37694</v>
      </c>
      <c r="H93" s="2">
        <v>39470</v>
      </c>
      <c r="I93" s="25" t="s">
        <v>1266</v>
      </c>
      <c r="J93" s="2">
        <v>39360</v>
      </c>
      <c r="K93" s="2">
        <v>39296</v>
      </c>
      <c r="L93" t="s">
        <v>297</v>
      </c>
      <c r="M93" t="s">
        <v>297</v>
      </c>
      <c r="N93" s="23" t="str">
        <f>IF((I93&gt;$W$2),"Y","N")</f>
        <v>Y</v>
      </c>
      <c r="O93" s="30" t="s">
        <v>1588</v>
      </c>
      <c r="P93" s="10" t="s">
        <v>150</v>
      </c>
      <c r="Q93" s="10" t="s">
        <v>166</v>
      </c>
      <c r="S93" s="16" t="str">
        <f>MID(Q93,9,30)</f>
        <v>Larry W Berquist</v>
      </c>
      <c r="T93" s="31">
        <v>41428</v>
      </c>
    </row>
    <row r="94" spans="1:33">
      <c r="A94" s="16">
        <v>1</v>
      </c>
      <c r="B94" s="16" t="s">
        <v>167</v>
      </c>
      <c r="C94" s="16">
        <v>23</v>
      </c>
      <c r="D94" s="7" t="s">
        <v>295</v>
      </c>
      <c r="E94" s="16" t="s">
        <v>296</v>
      </c>
      <c r="F94" s="2">
        <v>26648</v>
      </c>
      <c r="G94" s="2">
        <v>26648</v>
      </c>
      <c r="H94" s="2">
        <v>39273</v>
      </c>
      <c r="I94" s="25">
        <v>41820</v>
      </c>
      <c r="J94" s="2">
        <v>35430</v>
      </c>
      <c r="K94" s="2">
        <v>38623</v>
      </c>
      <c r="L94" t="s">
        <v>297</v>
      </c>
      <c r="M94" t="s">
        <v>297</v>
      </c>
      <c r="N94" s="23" t="str">
        <f>IF((I94&gt;$W$2),"Y","N")</f>
        <v>Y</v>
      </c>
      <c r="O94" s="30" t="s">
        <v>1172</v>
      </c>
      <c r="P94" s="10" t="s">
        <v>150</v>
      </c>
      <c r="Q94" s="10" t="s">
        <v>168</v>
      </c>
      <c r="S94" s="16" t="str">
        <f>MID(Q94,9,30)</f>
        <v>Beverly S Allaire</v>
      </c>
      <c r="T94" s="31">
        <v>41486</v>
      </c>
    </row>
    <row r="95" spans="1:33">
      <c r="A95" s="16">
        <v>1</v>
      </c>
      <c r="B95" s="16" t="s">
        <v>167</v>
      </c>
      <c r="C95" s="16">
        <v>112</v>
      </c>
      <c r="D95" t="s">
        <v>295</v>
      </c>
      <c r="E95" s="16" t="s">
        <v>296</v>
      </c>
      <c r="F95" s="2">
        <v>27785</v>
      </c>
      <c r="G95" s="2">
        <v>28901</v>
      </c>
      <c r="H95" s="2">
        <v>39462</v>
      </c>
      <c r="I95" s="25">
        <v>41820</v>
      </c>
      <c r="J95" s="2">
        <v>37740</v>
      </c>
      <c r="K95" s="2">
        <v>36286</v>
      </c>
      <c r="L95" t="s">
        <v>297</v>
      </c>
      <c r="M95" t="s">
        <v>297</v>
      </c>
      <c r="N95" s="23" t="str">
        <f>IF((I95&gt;$W$2),"Y","N")</f>
        <v>Y</v>
      </c>
      <c r="O95" s="16" t="s">
        <v>1678</v>
      </c>
      <c r="P95" s="10" t="s">
        <v>150</v>
      </c>
      <c r="Q95" s="10" t="s">
        <v>168</v>
      </c>
      <c r="S95" s="16" t="str">
        <f>MID(Q95,9,30)</f>
        <v>Beverly S Allaire</v>
      </c>
      <c r="T95" s="31">
        <v>41463</v>
      </c>
    </row>
    <row r="96" spans="1:33" customFormat="1" hidden="1">
      <c r="A96" t="s">
        <v>150</v>
      </c>
      <c r="B96" t="s">
        <v>168</v>
      </c>
      <c r="I96" s="6"/>
    </row>
    <row r="97" spans="1:33" customFormat="1" hidden="1">
      <c r="A97" t="s">
        <v>386</v>
      </c>
      <c r="I97" s="6"/>
    </row>
    <row r="98" spans="1:33">
      <c r="A98" s="16">
        <v>1</v>
      </c>
      <c r="B98" s="16" t="s">
        <v>167</v>
      </c>
      <c r="C98" s="16">
        <v>215</v>
      </c>
      <c r="D98" s="7" t="s">
        <v>295</v>
      </c>
      <c r="E98" s="16" t="s">
        <v>296</v>
      </c>
      <c r="F98" s="2">
        <v>28902</v>
      </c>
      <c r="G98" s="2">
        <v>29721</v>
      </c>
      <c r="H98" s="2">
        <v>37965</v>
      </c>
      <c r="I98" s="25">
        <v>41455</v>
      </c>
      <c r="J98" s="2">
        <v>35122</v>
      </c>
      <c r="K98" s="2">
        <v>36461</v>
      </c>
      <c r="L98" t="s">
        <v>297</v>
      </c>
      <c r="M98" t="s">
        <v>297</v>
      </c>
      <c r="N98" s="23" t="str">
        <f t="shared" ref="N98:N103" si="13">IF((I98&gt;$W$2),"Y","N")</f>
        <v>N</v>
      </c>
      <c r="O98" s="30" t="s">
        <v>1679</v>
      </c>
      <c r="P98" s="10" t="s">
        <v>150</v>
      </c>
      <c r="Q98" s="10" t="s">
        <v>168</v>
      </c>
      <c r="S98" s="16" t="str">
        <f t="shared" ref="S98:S103" si="14">MID(Q98,9,30)</f>
        <v>Beverly S Allaire</v>
      </c>
      <c r="T98" s="31" t="s">
        <v>1365</v>
      </c>
    </row>
    <row r="99" spans="1:33">
      <c r="A99" s="16">
        <v>1</v>
      </c>
      <c r="B99" s="16" t="s">
        <v>167</v>
      </c>
      <c r="C99" s="16">
        <v>602</v>
      </c>
      <c r="D99" s="7" t="s">
        <v>295</v>
      </c>
      <c r="E99" s="16" t="s">
        <v>296</v>
      </c>
      <c r="F99" s="2">
        <v>31912</v>
      </c>
      <c r="G99" s="2">
        <v>32949</v>
      </c>
      <c r="H99" s="2">
        <v>39180</v>
      </c>
      <c r="I99" s="25">
        <v>41820</v>
      </c>
      <c r="J99" s="2">
        <v>37939</v>
      </c>
      <c r="K99" s="2">
        <v>37995</v>
      </c>
      <c r="L99" t="s">
        <v>297</v>
      </c>
      <c r="M99" t="s">
        <v>297</v>
      </c>
      <c r="N99" s="23" t="str">
        <f t="shared" si="13"/>
        <v>Y</v>
      </c>
      <c r="O99" s="16" t="s">
        <v>384</v>
      </c>
      <c r="P99" s="10" t="s">
        <v>150</v>
      </c>
      <c r="Q99" s="10" t="s">
        <v>168</v>
      </c>
      <c r="S99" s="16" t="str">
        <f t="shared" si="14"/>
        <v>Beverly S Allaire</v>
      </c>
      <c r="T99" s="31">
        <v>41414</v>
      </c>
    </row>
    <row r="100" spans="1:33">
      <c r="A100" s="16">
        <v>1</v>
      </c>
      <c r="B100" s="16" t="s">
        <v>167</v>
      </c>
      <c r="C100" s="16">
        <v>624</v>
      </c>
      <c r="D100" s="7" t="s">
        <v>295</v>
      </c>
      <c r="E100" s="16" t="s">
        <v>296</v>
      </c>
      <c r="F100" s="2">
        <v>32164</v>
      </c>
      <c r="G100" s="2">
        <v>32164</v>
      </c>
      <c r="H100" s="2">
        <v>39115</v>
      </c>
      <c r="I100" s="25">
        <v>41820</v>
      </c>
      <c r="J100" s="2">
        <v>36348</v>
      </c>
      <c r="K100" s="2">
        <v>36200</v>
      </c>
      <c r="L100" t="s">
        <v>297</v>
      </c>
      <c r="M100" t="s">
        <v>297</v>
      </c>
      <c r="N100" s="23" t="str">
        <f t="shared" si="13"/>
        <v>Y</v>
      </c>
      <c r="O100" s="30" t="s">
        <v>1680</v>
      </c>
      <c r="P100" s="10" t="s">
        <v>150</v>
      </c>
      <c r="Q100" s="10" t="s">
        <v>168</v>
      </c>
      <c r="S100" s="16" t="str">
        <f t="shared" si="14"/>
        <v>Beverly S Allaire</v>
      </c>
      <c r="T100" s="31">
        <v>41424</v>
      </c>
    </row>
    <row r="101" spans="1:33">
      <c r="A101" s="16">
        <v>2</v>
      </c>
      <c r="B101" s="16" t="s">
        <v>140</v>
      </c>
      <c r="C101" s="16">
        <v>25</v>
      </c>
      <c r="D101" s="7" t="s">
        <v>295</v>
      </c>
      <c r="E101" s="16" t="s">
        <v>296</v>
      </c>
      <c r="F101" s="2">
        <v>26648</v>
      </c>
      <c r="G101" s="2">
        <v>26648</v>
      </c>
      <c r="H101" s="2">
        <v>39510</v>
      </c>
      <c r="I101" s="25">
        <v>41820</v>
      </c>
      <c r="K101" s="2">
        <v>34911</v>
      </c>
      <c r="L101" t="s">
        <v>297</v>
      </c>
      <c r="M101" t="s">
        <v>297</v>
      </c>
      <c r="N101" s="23" t="str">
        <f t="shared" si="13"/>
        <v>Y</v>
      </c>
      <c r="O101" s="16" t="s">
        <v>1681</v>
      </c>
      <c r="P101" s="10" t="s">
        <v>169</v>
      </c>
      <c r="Q101" s="10" t="s">
        <v>170</v>
      </c>
      <c r="S101" s="16" t="str">
        <f t="shared" si="14"/>
        <v>David T Elward</v>
      </c>
      <c r="T101" s="31">
        <v>41442</v>
      </c>
    </row>
    <row r="102" spans="1:33">
      <c r="A102" s="16">
        <v>2</v>
      </c>
      <c r="B102" s="16" t="s">
        <v>140</v>
      </c>
      <c r="C102" s="16">
        <v>26</v>
      </c>
      <c r="D102" t="s">
        <v>295</v>
      </c>
      <c r="E102" s="16" t="s">
        <v>296</v>
      </c>
      <c r="F102" s="2">
        <v>26648</v>
      </c>
      <c r="G102" s="2">
        <v>26648</v>
      </c>
      <c r="H102" s="2">
        <v>39293</v>
      </c>
      <c r="I102" s="25">
        <v>41820</v>
      </c>
      <c r="K102" s="2">
        <v>33693</v>
      </c>
      <c r="L102" t="s">
        <v>297</v>
      </c>
      <c r="M102" t="s">
        <v>297</v>
      </c>
      <c r="N102" s="23" t="str">
        <f t="shared" si="13"/>
        <v>Y</v>
      </c>
      <c r="O102" s="16" t="s">
        <v>1682</v>
      </c>
      <c r="P102" s="10" t="s">
        <v>169</v>
      </c>
      <c r="Q102" s="10" t="s">
        <v>170</v>
      </c>
      <c r="S102" s="16" t="str">
        <f t="shared" si="14"/>
        <v>David T Elward</v>
      </c>
      <c r="T102" s="31">
        <v>41470</v>
      </c>
    </row>
    <row r="103" spans="1:33">
      <c r="A103" s="16">
        <v>2</v>
      </c>
      <c r="B103" s="16" t="s">
        <v>140</v>
      </c>
      <c r="C103" s="16">
        <v>43</v>
      </c>
      <c r="D103" s="7" t="s">
        <v>295</v>
      </c>
      <c r="E103" s="16" t="s">
        <v>296</v>
      </c>
      <c r="F103" s="2">
        <v>26830</v>
      </c>
      <c r="G103" s="2">
        <v>26830</v>
      </c>
      <c r="H103" s="2">
        <v>39177</v>
      </c>
      <c r="I103" s="25">
        <v>41820</v>
      </c>
      <c r="K103" s="2">
        <v>35508</v>
      </c>
      <c r="L103" t="s">
        <v>297</v>
      </c>
      <c r="N103" s="23" t="str">
        <f t="shared" si="13"/>
        <v>Y</v>
      </c>
      <c r="O103" s="16" t="s">
        <v>1683</v>
      </c>
      <c r="P103" s="10" t="s">
        <v>169</v>
      </c>
      <c r="Q103" s="10" t="s">
        <v>170</v>
      </c>
      <c r="S103" s="16" t="str">
        <f t="shared" si="14"/>
        <v>David T Elward</v>
      </c>
      <c r="T103" s="31">
        <v>41443</v>
      </c>
    </row>
    <row r="104" spans="1:33" s="7" customFormat="1" hidden="1">
      <c r="A104" s="7">
        <v>2</v>
      </c>
      <c r="B104" s="7" t="s">
        <v>140</v>
      </c>
      <c r="C104" s="7">
        <v>1149</v>
      </c>
      <c r="D104" s="7" t="s">
        <v>393</v>
      </c>
      <c r="E104" s="7" t="s">
        <v>376</v>
      </c>
      <c r="F104" s="2">
        <v>35395</v>
      </c>
      <c r="G104" s="2">
        <v>37820</v>
      </c>
      <c r="H104" s="2">
        <v>38412</v>
      </c>
      <c r="I104" s="8">
        <v>38384</v>
      </c>
      <c r="J104"/>
      <c r="K104" s="2">
        <v>37687</v>
      </c>
      <c r="L104" t="s">
        <v>297</v>
      </c>
      <c r="M104" t="s">
        <v>297</v>
      </c>
      <c r="N104"/>
      <c r="P104" s="7" t="s">
        <v>169</v>
      </c>
      <c r="Q104" s="7" t="s">
        <v>170</v>
      </c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</row>
    <row r="105" spans="1:33">
      <c r="A105" s="16">
        <v>2</v>
      </c>
      <c r="B105" s="16" t="s">
        <v>140</v>
      </c>
      <c r="C105" s="16">
        <v>44</v>
      </c>
      <c r="D105" s="7" t="s">
        <v>295</v>
      </c>
      <c r="E105" s="16" t="s">
        <v>296</v>
      </c>
      <c r="F105" s="2">
        <v>26908</v>
      </c>
      <c r="G105" s="2">
        <v>27275</v>
      </c>
      <c r="H105" s="2">
        <v>38856</v>
      </c>
      <c r="I105" s="25">
        <v>41820</v>
      </c>
      <c r="J105" s="2">
        <v>32904</v>
      </c>
      <c r="K105" s="2">
        <v>36165</v>
      </c>
      <c r="L105" t="s">
        <v>297</v>
      </c>
      <c r="M105" t="s">
        <v>297</v>
      </c>
      <c r="N105" s="23" t="str">
        <f>IF((I105&gt;$W$2),"Y","N")</f>
        <v>Y</v>
      </c>
      <c r="O105" s="16" t="s">
        <v>1589</v>
      </c>
      <c r="P105" s="10" t="s">
        <v>169</v>
      </c>
      <c r="Q105" s="10" t="s">
        <v>170</v>
      </c>
      <c r="S105" s="16" t="str">
        <f>MID(Q105,9,30)</f>
        <v>David T Elward</v>
      </c>
      <c r="T105" s="31">
        <v>41457</v>
      </c>
    </row>
    <row r="106" spans="1:33" customFormat="1" hidden="1">
      <c r="A106" t="s">
        <v>169</v>
      </c>
      <c r="B106" t="s">
        <v>170</v>
      </c>
      <c r="I106" s="6"/>
    </row>
    <row r="107" spans="1:33">
      <c r="A107" s="16">
        <v>2</v>
      </c>
      <c r="B107" s="16" t="s">
        <v>140</v>
      </c>
      <c r="C107" s="16">
        <v>45</v>
      </c>
      <c r="D107" t="s">
        <v>295</v>
      </c>
      <c r="E107" s="16" t="s">
        <v>296</v>
      </c>
      <c r="F107" s="2">
        <v>27275</v>
      </c>
      <c r="G107" s="2">
        <v>27275</v>
      </c>
      <c r="H107" s="2">
        <v>39513</v>
      </c>
      <c r="I107" s="25">
        <v>41820</v>
      </c>
      <c r="K107" s="2">
        <v>34490</v>
      </c>
      <c r="L107" t="s">
        <v>297</v>
      </c>
      <c r="M107" t="s">
        <v>297</v>
      </c>
      <c r="N107" s="23" t="str">
        <f>IF((I107&gt;$W$2),"Y","N")</f>
        <v>Y</v>
      </c>
      <c r="O107" s="16" t="s">
        <v>1684</v>
      </c>
      <c r="P107" s="10" t="s">
        <v>169</v>
      </c>
      <c r="Q107" s="10" t="s">
        <v>170</v>
      </c>
      <c r="S107" s="16" t="str">
        <f>MID(Q107,9,30)</f>
        <v>David T Elward</v>
      </c>
      <c r="T107" s="31">
        <v>41452</v>
      </c>
    </row>
    <row r="108" spans="1:33">
      <c r="A108" s="16">
        <v>2</v>
      </c>
      <c r="B108" s="16" t="s">
        <v>140</v>
      </c>
      <c r="C108" s="16">
        <v>109</v>
      </c>
      <c r="D108" s="7" t="s">
        <v>295</v>
      </c>
      <c r="E108" s="16" t="s">
        <v>296</v>
      </c>
      <c r="F108" s="2">
        <v>27785</v>
      </c>
      <c r="G108" s="2">
        <v>27805</v>
      </c>
      <c r="H108" s="2">
        <v>39519</v>
      </c>
      <c r="I108" s="25">
        <v>41820</v>
      </c>
      <c r="J108" s="2">
        <v>37995</v>
      </c>
      <c r="K108" s="2">
        <v>36307</v>
      </c>
      <c r="L108" t="s">
        <v>297</v>
      </c>
      <c r="M108" t="s">
        <v>297</v>
      </c>
      <c r="N108" s="23" t="str">
        <f>IF((I108&gt;$W$2),"Y","N")</f>
        <v>Y</v>
      </c>
      <c r="O108" s="30" t="s">
        <v>1173</v>
      </c>
      <c r="P108" s="10" t="s">
        <v>169</v>
      </c>
      <c r="Q108" s="10" t="s">
        <v>170</v>
      </c>
      <c r="S108" s="16" t="str">
        <f>MID(Q108,9,30)</f>
        <v>David T Elward</v>
      </c>
      <c r="T108" s="31">
        <v>41442</v>
      </c>
    </row>
    <row r="109" spans="1:33">
      <c r="A109" s="16">
        <v>2</v>
      </c>
      <c r="B109" s="16" t="s">
        <v>140</v>
      </c>
      <c r="C109" s="16">
        <v>1433</v>
      </c>
      <c r="D109" s="7" t="s">
        <v>295</v>
      </c>
      <c r="E109" s="30" t="s">
        <v>376</v>
      </c>
      <c r="F109" s="2">
        <v>37560</v>
      </c>
      <c r="H109" s="2">
        <v>39154</v>
      </c>
      <c r="I109" s="25">
        <v>37986</v>
      </c>
      <c r="L109" t="s">
        <v>297</v>
      </c>
      <c r="M109" t="s">
        <v>297</v>
      </c>
      <c r="N109" s="23" t="str">
        <f>IF((I109&gt;$W$2),"Y","N")</f>
        <v>N</v>
      </c>
      <c r="O109" s="30" t="s">
        <v>318</v>
      </c>
      <c r="P109" s="10" t="s">
        <v>169</v>
      </c>
      <c r="Q109" s="10" t="s">
        <v>170</v>
      </c>
      <c r="S109" s="16" t="str">
        <f>MID(Q109,9,30)</f>
        <v>David T Elward</v>
      </c>
    </row>
    <row r="110" spans="1:33">
      <c r="A110" s="16">
        <v>2</v>
      </c>
      <c r="B110" s="16" t="s">
        <v>149</v>
      </c>
      <c r="C110" s="16">
        <v>145</v>
      </c>
      <c r="D110" t="s">
        <v>295</v>
      </c>
      <c r="E110" s="16" t="s">
        <v>296</v>
      </c>
      <c r="F110" s="2">
        <v>28213</v>
      </c>
      <c r="G110" s="2">
        <v>28261</v>
      </c>
      <c r="H110" s="2">
        <v>39501</v>
      </c>
      <c r="I110" s="25">
        <v>41820</v>
      </c>
      <c r="J110" s="2">
        <v>38842</v>
      </c>
      <c r="K110" s="2">
        <v>38796</v>
      </c>
      <c r="L110" t="s">
        <v>297</v>
      </c>
      <c r="M110" t="s">
        <v>297</v>
      </c>
      <c r="N110" s="23" t="str">
        <f>IF((I110&gt;$W$2),"Y","N")</f>
        <v>Y</v>
      </c>
      <c r="O110" s="16" t="s">
        <v>1685</v>
      </c>
      <c r="P110" s="10" t="s">
        <v>169</v>
      </c>
      <c r="Q110" s="10" t="s">
        <v>171</v>
      </c>
      <c r="S110" s="16" t="str">
        <f>MID(Q110,9,30)</f>
        <v>Michael D Rodriguez</v>
      </c>
      <c r="T110" s="31">
        <v>41425</v>
      </c>
    </row>
    <row r="111" spans="1:33">
      <c r="A111" s="16">
        <v>2</v>
      </c>
      <c r="B111" s="16" t="s">
        <v>149</v>
      </c>
      <c r="C111" s="16">
        <v>146</v>
      </c>
      <c r="D111" s="7" t="s">
        <v>295</v>
      </c>
      <c r="E111" s="16" t="s">
        <v>296</v>
      </c>
      <c r="F111" s="2">
        <v>28213</v>
      </c>
      <c r="G111" s="2">
        <v>28901</v>
      </c>
      <c r="H111" s="2">
        <v>39292</v>
      </c>
      <c r="I111" s="25">
        <v>41820</v>
      </c>
      <c r="J111" s="2">
        <v>38401</v>
      </c>
      <c r="K111" s="2">
        <v>34032</v>
      </c>
      <c r="L111" t="s">
        <v>297</v>
      </c>
      <c r="M111" t="s">
        <v>297</v>
      </c>
      <c r="N111" s="23" t="str">
        <f>IF((I111&gt;$W$2),"Y","N")</f>
        <v>Y</v>
      </c>
      <c r="O111" s="16" t="s">
        <v>1686</v>
      </c>
      <c r="P111" s="10" t="s">
        <v>169</v>
      </c>
      <c r="Q111" s="10" t="s">
        <v>171</v>
      </c>
      <c r="S111" s="16" t="str">
        <f>MID(Q111,9,30)</f>
        <v>Michael D Rodriguez</v>
      </c>
      <c r="T111" s="31">
        <v>41452</v>
      </c>
    </row>
    <row r="112" spans="1:33" customFormat="1" hidden="1">
      <c r="A112" t="s">
        <v>169</v>
      </c>
      <c r="B112" t="s">
        <v>171</v>
      </c>
      <c r="I112" s="6"/>
    </row>
    <row r="113" spans="1:33">
      <c r="A113" s="16">
        <v>2</v>
      </c>
      <c r="B113" s="16" t="s">
        <v>149</v>
      </c>
      <c r="C113" s="16">
        <v>157</v>
      </c>
      <c r="D113" s="7" t="s">
        <v>295</v>
      </c>
      <c r="E113" s="16" t="s">
        <v>296</v>
      </c>
      <c r="F113" s="2">
        <v>28813</v>
      </c>
      <c r="G113" s="2">
        <v>28884</v>
      </c>
      <c r="H113" s="2">
        <v>38972</v>
      </c>
      <c r="I113" s="25">
        <v>41820</v>
      </c>
      <c r="J113" s="2">
        <v>38401</v>
      </c>
      <c r="K113" s="2">
        <v>38489</v>
      </c>
      <c r="L113" t="s">
        <v>297</v>
      </c>
      <c r="M113" t="s">
        <v>297</v>
      </c>
      <c r="N113" s="23" t="str">
        <f>IF((I113&gt;$W$2),"Y","N")</f>
        <v>Y</v>
      </c>
      <c r="O113" s="30" t="s">
        <v>1174</v>
      </c>
      <c r="P113" s="10" t="s">
        <v>169</v>
      </c>
      <c r="Q113" s="10" t="s">
        <v>171</v>
      </c>
      <c r="S113" s="16" t="str">
        <f>MID(Q113,9,30)</f>
        <v>Michael D Rodriguez</v>
      </c>
      <c r="T113" s="31">
        <v>41428</v>
      </c>
    </row>
    <row r="114" spans="1:33">
      <c r="A114" s="16">
        <v>2</v>
      </c>
      <c r="B114" s="16" t="s">
        <v>149</v>
      </c>
      <c r="C114" s="16">
        <v>249</v>
      </c>
      <c r="D114" t="s">
        <v>295</v>
      </c>
      <c r="E114" s="16" t="s">
        <v>296</v>
      </c>
      <c r="F114" s="2">
        <v>29248</v>
      </c>
      <c r="G114" s="2">
        <v>29913</v>
      </c>
      <c r="H114" s="2">
        <v>39239</v>
      </c>
      <c r="I114" s="25">
        <v>41820</v>
      </c>
      <c r="J114" s="2">
        <v>38764</v>
      </c>
      <c r="K114" s="2">
        <v>35117</v>
      </c>
      <c r="L114" t="s">
        <v>297</v>
      </c>
      <c r="M114" t="s">
        <v>297</v>
      </c>
      <c r="N114" s="23" t="str">
        <f>IF((I114&gt;$W$2),"Y","N")</f>
        <v>Y</v>
      </c>
      <c r="O114" s="30" t="s">
        <v>1687</v>
      </c>
      <c r="P114" s="10" t="s">
        <v>169</v>
      </c>
      <c r="Q114" s="10" t="s">
        <v>171</v>
      </c>
      <c r="S114" s="16" t="str">
        <f>MID(Q114,9,30)</f>
        <v>Michael D Rodriguez</v>
      </c>
      <c r="T114" s="31">
        <v>41432</v>
      </c>
    </row>
    <row r="115" spans="1:33">
      <c r="A115" s="16">
        <v>2</v>
      </c>
      <c r="B115" s="16" t="s">
        <v>149</v>
      </c>
      <c r="C115" s="16">
        <v>1344</v>
      </c>
      <c r="D115" s="7" t="s">
        <v>295</v>
      </c>
      <c r="E115" s="16" t="s">
        <v>296</v>
      </c>
      <c r="F115" s="2">
        <v>36669</v>
      </c>
      <c r="G115" s="2">
        <v>37036</v>
      </c>
      <c r="H115" s="2">
        <v>38925</v>
      </c>
      <c r="I115" s="25">
        <v>41820</v>
      </c>
      <c r="J115" s="2">
        <v>38842</v>
      </c>
      <c r="K115" s="2">
        <v>38938</v>
      </c>
      <c r="L115" t="s">
        <v>297</v>
      </c>
      <c r="M115" t="s">
        <v>297</v>
      </c>
      <c r="N115" s="23" t="str">
        <f>IF((I115&gt;$W$2),"Y","N")</f>
        <v>Y</v>
      </c>
      <c r="O115" s="30" t="s">
        <v>1573</v>
      </c>
      <c r="P115" s="10" t="s">
        <v>169</v>
      </c>
      <c r="Q115" s="10" t="s">
        <v>171</v>
      </c>
      <c r="S115" s="16" t="str">
        <f>MID(Q115,9,30)</f>
        <v>Michael D Rodriguez</v>
      </c>
      <c r="T115" s="31">
        <v>41414</v>
      </c>
    </row>
    <row r="116" spans="1:33">
      <c r="A116" s="16">
        <v>2</v>
      </c>
      <c r="B116" s="16" t="s">
        <v>149</v>
      </c>
      <c r="C116" s="16">
        <v>1606</v>
      </c>
      <c r="E116" s="16" t="s">
        <v>299</v>
      </c>
      <c r="F116" s="2">
        <v>38967</v>
      </c>
      <c r="H116" s="2">
        <v>38967</v>
      </c>
      <c r="I116" s="25" t="s">
        <v>1266</v>
      </c>
      <c r="L116" t="s">
        <v>297</v>
      </c>
      <c r="M116" t="s">
        <v>322</v>
      </c>
      <c r="N116" s="23" t="str">
        <f>IF((I116&gt;$W$2),"Y","N")</f>
        <v>Y</v>
      </c>
      <c r="O116" s="16" t="s">
        <v>1398</v>
      </c>
    </row>
    <row r="117" spans="1:33" s="7" customFormat="1" hidden="1">
      <c r="A117" s="7">
        <v>2</v>
      </c>
      <c r="B117" s="7" t="s">
        <v>296</v>
      </c>
      <c r="C117" s="7">
        <v>990</v>
      </c>
      <c r="D117" s="7" t="s">
        <v>368</v>
      </c>
      <c r="E117" s="7" t="s">
        <v>316</v>
      </c>
      <c r="F117" s="2">
        <v>34561</v>
      </c>
      <c r="G117"/>
      <c r="H117" s="2">
        <v>35702</v>
      </c>
      <c r="I117" s="8">
        <v>34668</v>
      </c>
      <c r="J117"/>
      <c r="K117" s="2">
        <v>35501</v>
      </c>
      <c r="L117" t="s">
        <v>322</v>
      </c>
      <c r="M117" t="s">
        <v>297</v>
      </c>
      <c r="N117"/>
      <c r="O117" s="7" t="s">
        <v>369</v>
      </c>
      <c r="P117" s="7" t="s">
        <v>169</v>
      </c>
      <c r="Q117" s="7" t="s">
        <v>172</v>
      </c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</row>
    <row r="118" spans="1:33" customFormat="1" hidden="1">
      <c r="A118">
        <v>2</v>
      </c>
      <c r="B118" t="s">
        <v>296</v>
      </c>
      <c r="C118">
        <v>1078</v>
      </c>
      <c r="D118" t="s">
        <v>404</v>
      </c>
      <c r="E118" t="s">
        <v>316</v>
      </c>
      <c r="F118" s="2">
        <v>34970</v>
      </c>
      <c r="I118" s="6"/>
      <c r="L118" t="s">
        <v>322</v>
      </c>
      <c r="M118" t="s">
        <v>297</v>
      </c>
      <c r="O118" t="s">
        <v>369</v>
      </c>
      <c r="P118" t="s">
        <v>169</v>
      </c>
      <c r="Q118" t="s">
        <v>172</v>
      </c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</row>
    <row r="119" spans="1:33">
      <c r="A119" s="16">
        <v>2</v>
      </c>
      <c r="B119" s="16" t="s">
        <v>296</v>
      </c>
      <c r="C119" s="16">
        <v>223</v>
      </c>
      <c r="D119" s="7" t="s">
        <v>295</v>
      </c>
      <c r="E119" s="16" t="s">
        <v>296</v>
      </c>
      <c r="F119" s="2">
        <v>25578</v>
      </c>
      <c r="G119" s="2">
        <v>29445</v>
      </c>
      <c r="H119" s="2">
        <v>39105</v>
      </c>
      <c r="I119" s="25">
        <v>41455</v>
      </c>
      <c r="J119" s="2">
        <v>39029</v>
      </c>
      <c r="K119" s="2">
        <v>36341</v>
      </c>
      <c r="L119" t="s">
        <v>297</v>
      </c>
      <c r="M119" t="s">
        <v>297</v>
      </c>
      <c r="N119" s="23" t="str">
        <f>IF((I119&gt;$W$2),"Y","N")</f>
        <v>N</v>
      </c>
      <c r="O119" s="30" t="s">
        <v>1688</v>
      </c>
      <c r="P119" s="10" t="s">
        <v>169</v>
      </c>
      <c r="Q119" s="10" t="s">
        <v>172</v>
      </c>
      <c r="S119" s="16" t="str">
        <f>MID(Q119,9,30)</f>
        <v>Linda K Wilmoth</v>
      </c>
      <c r="T119" s="31" t="s">
        <v>1481</v>
      </c>
      <c r="U119" s="10" t="s">
        <v>1150</v>
      </c>
    </row>
    <row r="120" spans="1:33">
      <c r="A120" s="16">
        <v>2</v>
      </c>
      <c r="B120" s="16" t="s">
        <v>296</v>
      </c>
      <c r="C120" s="16">
        <v>281</v>
      </c>
      <c r="D120" s="7" t="s">
        <v>295</v>
      </c>
      <c r="E120" s="16" t="s">
        <v>296</v>
      </c>
      <c r="F120" s="2">
        <v>29586</v>
      </c>
      <c r="G120" s="2">
        <v>29972</v>
      </c>
      <c r="H120" s="2">
        <v>39085</v>
      </c>
      <c r="I120" s="25">
        <v>41820</v>
      </c>
      <c r="J120" s="2">
        <v>32201</v>
      </c>
      <c r="K120" s="2">
        <v>36236</v>
      </c>
      <c r="L120" t="s">
        <v>297</v>
      </c>
      <c r="M120" t="s">
        <v>297</v>
      </c>
      <c r="N120" s="23" t="str">
        <f>IF((I120&gt;$W$2),"Y","N")</f>
        <v>Y</v>
      </c>
      <c r="O120" s="16" t="s">
        <v>1689</v>
      </c>
      <c r="P120" s="10" t="s">
        <v>169</v>
      </c>
      <c r="Q120" s="10" t="s">
        <v>172</v>
      </c>
      <c r="S120" s="16" t="str">
        <f>MID(Q120,9,30)</f>
        <v>Linda K Wilmoth</v>
      </c>
      <c r="T120" s="31">
        <v>41807</v>
      </c>
    </row>
    <row r="121" spans="1:33">
      <c r="A121" s="16">
        <v>2</v>
      </c>
      <c r="B121" s="16" t="s">
        <v>296</v>
      </c>
      <c r="C121" s="16">
        <v>305</v>
      </c>
      <c r="D121" t="s">
        <v>295</v>
      </c>
      <c r="E121" s="16" t="s">
        <v>296</v>
      </c>
      <c r="F121" s="2">
        <v>29687</v>
      </c>
      <c r="G121" s="2">
        <v>29972</v>
      </c>
      <c r="H121" s="2">
        <v>39189</v>
      </c>
      <c r="I121" s="25">
        <v>41820</v>
      </c>
      <c r="K121" s="2">
        <v>38013</v>
      </c>
      <c r="L121" t="s">
        <v>297</v>
      </c>
      <c r="M121" t="s">
        <v>297</v>
      </c>
      <c r="N121" s="23" t="str">
        <f>IF((I121&gt;$W$2),"Y","N")</f>
        <v>Y</v>
      </c>
      <c r="O121" s="16" t="s">
        <v>1590</v>
      </c>
      <c r="P121" s="10" t="s">
        <v>169</v>
      </c>
      <c r="Q121" s="10" t="s">
        <v>172</v>
      </c>
      <c r="S121" s="16" t="str">
        <f>MID(Q121,9,30)</f>
        <v>Linda K Wilmoth</v>
      </c>
      <c r="T121" s="31">
        <v>41452</v>
      </c>
    </row>
    <row r="122" spans="1:33" s="7" customFormat="1" hidden="1">
      <c r="A122" s="7">
        <v>2</v>
      </c>
      <c r="B122" s="7" t="s">
        <v>296</v>
      </c>
      <c r="C122" s="7">
        <v>1413</v>
      </c>
      <c r="D122" s="7" t="s">
        <v>380</v>
      </c>
      <c r="E122" s="7" t="s">
        <v>316</v>
      </c>
      <c r="F122" s="2">
        <v>37379</v>
      </c>
      <c r="G122"/>
      <c r="H122" s="2">
        <v>37379</v>
      </c>
      <c r="I122" s="8">
        <v>37379</v>
      </c>
      <c r="J122"/>
      <c r="K122"/>
      <c r="L122" t="s">
        <v>322</v>
      </c>
      <c r="M122" t="s">
        <v>297</v>
      </c>
      <c r="N122"/>
      <c r="P122" s="7" t="s">
        <v>169</v>
      </c>
      <c r="Q122" s="7" t="s">
        <v>172</v>
      </c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</row>
    <row r="123" spans="1:33" s="7" customFormat="1" hidden="1">
      <c r="A123" s="7">
        <v>2</v>
      </c>
      <c r="B123" s="7" t="s">
        <v>296</v>
      </c>
      <c r="C123" s="7">
        <v>1414</v>
      </c>
      <c r="D123" s="7" t="s">
        <v>408</v>
      </c>
      <c r="E123" s="7" t="s">
        <v>316</v>
      </c>
      <c r="F123" s="2">
        <v>37393</v>
      </c>
      <c r="G123"/>
      <c r="H123" s="2">
        <v>37393</v>
      </c>
      <c r="I123" s="8">
        <v>37803</v>
      </c>
      <c r="J123"/>
      <c r="K123"/>
      <c r="L123" t="s">
        <v>322</v>
      </c>
      <c r="M123" t="s">
        <v>297</v>
      </c>
      <c r="N123"/>
      <c r="O123" s="7" t="s">
        <v>409</v>
      </c>
      <c r="P123" s="7" t="s">
        <v>169</v>
      </c>
      <c r="Q123" s="7" t="s">
        <v>172</v>
      </c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</row>
    <row r="124" spans="1:33">
      <c r="A124" s="16">
        <v>2</v>
      </c>
      <c r="B124" s="16" t="s">
        <v>296</v>
      </c>
      <c r="C124" s="16">
        <v>328</v>
      </c>
      <c r="D124" s="7" t="s">
        <v>295</v>
      </c>
      <c r="E124" s="16" t="s">
        <v>296</v>
      </c>
      <c r="F124" s="2">
        <v>29848</v>
      </c>
      <c r="G124" s="2">
        <v>37176</v>
      </c>
      <c r="H124" s="2">
        <v>38407</v>
      </c>
      <c r="I124" s="25">
        <v>40724</v>
      </c>
      <c r="J124" s="2">
        <v>37792</v>
      </c>
      <c r="K124" s="2">
        <v>33117</v>
      </c>
      <c r="L124" t="s">
        <v>297</v>
      </c>
      <c r="M124" t="s">
        <v>297</v>
      </c>
      <c r="N124" s="23" t="str">
        <f>IF((I124&gt;$W$2),"Y","N")</f>
        <v>N</v>
      </c>
      <c r="O124" s="16" t="s">
        <v>403</v>
      </c>
      <c r="P124" s="10" t="s">
        <v>169</v>
      </c>
      <c r="Q124" s="10" t="s">
        <v>172</v>
      </c>
      <c r="S124" s="16" t="str">
        <f>MID(Q124,9,30)</f>
        <v>Linda K Wilmoth</v>
      </c>
      <c r="T124" s="31" t="s">
        <v>1336</v>
      </c>
    </row>
    <row r="125" spans="1:33">
      <c r="A125" s="16">
        <v>2</v>
      </c>
      <c r="B125" s="16" t="s">
        <v>296</v>
      </c>
      <c r="C125" s="16">
        <v>1187</v>
      </c>
      <c r="D125" t="s">
        <v>295</v>
      </c>
      <c r="E125" s="16" t="s">
        <v>296</v>
      </c>
      <c r="F125" s="2">
        <v>35551</v>
      </c>
      <c r="G125" s="2">
        <v>36308</v>
      </c>
      <c r="H125" s="2">
        <v>39280</v>
      </c>
      <c r="I125" s="25">
        <v>41820</v>
      </c>
      <c r="K125" s="2">
        <v>38461</v>
      </c>
      <c r="L125" t="s">
        <v>297</v>
      </c>
      <c r="M125" t="s">
        <v>297</v>
      </c>
      <c r="N125" s="23" t="str">
        <f>IF((I125&gt;$W$2),"Y","N")</f>
        <v>Y</v>
      </c>
      <c r="O125" s="16" t="s">
        <v>1690</v>
      </c>
      <c r="P125" s="10" t="s">
        <v>169</v>
      </c>
      <c r="Q125" s="10" t="s">
        <v>172</v>
      </c>
      <c r="S125" s="16" t="str">
        <f>MID(Q125,9,30)</f>
        <v>Linda K Wilmoth</v>
      </c>
      <c r="T125" s="31">
        <v>41425</v>
      </c>
    </row>
    <row r="126" spans="1:33" customFormat="1" hidden="1">
      <c r="A126" t="s">
        <v>169</v>
      </c>
      <c r="B126" t="s">
        <v>172</v>
      </c>
      <c r="I126" s="6"/>
    </row>
    <row r="127" spans="1:33">
      <c r="A127" s="16">
        <v>2</v>
      </c>
      <c r="B127" s="16" t="s">
        <v>296</v>
      </c>
      <c r="C127" s="16">
        <v>1339</v>
      </c>
      <c r="D127" s="7" t="s">
        <v>295</v>
      </c>
      <c r="E127" s="30" t="s">
        <v>296</v>
      </c>
      <c r="F127" s="2">
        <v>36648</v>
      </c>
      <c r="H127" s="2">
        <v>38331</v>
      </c>
      <c r="I127" s="25">
        <v>40724</v>
      </c>
      <c r="L127" t="s">
        <v>322</v>
      </c>
      <c r="N127" s="23" t="str">
        <f>IF((I127&gt;$W$2),"Y","N")</f>
        <v>N</v>
      </c>
      <c r="O127" s="30" t="s">
        <v>1691</v>
      </c>
      <c r="P127" s="10" t="s">
        <v>169</v>
      </c>
      <c r="Q127" s="10" t="s">
        <v>172</v>
      </c>
      <c r="S127" s="16" t="str">
        <f>MID(Q127,9,30)</f>
        <v>Linda K Wilmoth</v>
      </c>
      <c r="T127" s="31" t="s">
        <v>1320</v>
      </c>
    </row>
    <row r="128" spans="1:33">
      <c r="A128" s="16">
        <v>2</v>
      </c>
      <c r="B128" s="16" t="s">
        <v>296</v>
      </c>
      <c r="C128" s="16">
        <v>1352</v>
      </c>
      <c r="D128" s="7" t="s">
        <v>295</v>
      </c>
      <c r="E128" s="16" t="s">
        <v>299</v>
      </c>
      <c r="F128" s="2">
        <v>36726</v>
      </c>
      <c r="H128" s="2">
        <v>38467</v>
      </c>
      <c r="I128" s="25">
        <v>40359</v>
      </c>
      <c r="L128" t="s">
        <v>297</v>
      </c>
      <c r="N128" s="23" t="str">
        <f>IF((I128&gt;$W$2),"Y","N")</f>
        <v>N</v>
      </c>
      <c r="O128" s="16" t="s">
        <v>407</v>
      </c>
      <c r="P128" s="10" t="s">
        <v>169</v>
      </c>
      <c r="Q128" s="10" t="s">
        <v>172</v>
      </c>
      <c r="S128" s="16" t="str">
        <f>MID(Q128,9,30)</f>
        <v>Linda K Wilmoth</v>
      </c>
      <c r="T128" s="31" t="s">
        <v>1290</v>
      </c>
    </row>
    <row r="129" spans="1:33">
      <c r="A129" s="16">
        <v>2</v>
      </c>
      <c r="B129" s="16" t="s">
        <v>296</v>
      </c>
      <c r="C129" s="16">
        <v>1461</v>
      </c>
      <c r="D129" s="7" t="s">
        <v>295</v>
      </c>
      <c r="E129" s="30" t="s">
        <v>296</v>
      </c>
      <c r="F129" s="2">
        <v>37868</v>
      </c>
      <c r="H129" s="2">
        <v>37868</v>
      </c>
      <c r="I129" s="25">
        <v>40359</v>
      </c>
      <c r="L129" t="s">
        <v>322</v>
      </c>
      <c r="M129" t="s">
        <v>322</v>
      </c>
      <c r="N129" s="23" t="str">
        <f>IF((I129&gt;$W$2),"Y","N")</f>
        <v>N</v>
      </c>
      <c r="O129" s="16" t="s">
        <v>410</v>
      </c>
      <c r="P129" s="10" t="s">
        <v>169</v>
      </c>
      <c r="Q129" s="10" t="s">
        <v>172</v>
      </c>
      <c r="S129" s="16" t="str">
        <f>MID(Q129,9,30)</f>
        <v>Linda K Wilmoth</v>
      </c>
      <c r="T129" s="31" t="s">
        <v>1268</v>
      </c>
    </row>
    <row r="130" spans="1:33">
      <c r="A130" s="16">
        <v>2</v>
      </c>
      <c r="B130" s="16" t="s">
        <v>296</v>
      </c>
      <c r="C130" s="16">
        <v>1534</v>
      </c>
      <c r="D130" s="7" t="s">
        <v>295</v>
      </c>
      <c r="E130" s="16" t="s">
        <v>376</v>
      </c>
      <c r="F130" s="2">
        <v>39086</v>
      </c>
      <c r="H130" s="2">
        <v>39104</v>
      </c>
      <c r="I130" s="25">
        <v>39263</v>
      </c>
      <c r="L130" t="s">
        <v>297</v>
      </c>
      <c r="M130" t="s">
        <v>297</v>
      </c>
      <c r="N130" s="23" t="str">
        <f>IF((I130&gt;$W$2),"Y","N")</f>
        <v>N</v>
      </c>
      <c r="O130" s="16" t="s">
        <v>411</v>
      </c>
      <c r="P130" s="10" t="s">
        <v>169</v>
      </c>
      <c r="Q130" s="10" t="s">
        <v>172</v>
      </c>
      <c r="S130" s="16" t="str">
        <f>MID(Q130,9,30)</f>
        <v>Linda K Wilmoth</v>
      </c>
    </row>
    <row r="131" spans="1:33">
      <c r="A131" s="16">
        <v>2</v>
      </c>
      <c r="B131" s="16" t="s">
        <v>296</v>
      </c>
      <c r="C131" s="16">
        <v>1579</v>
      </c>
      <c r="E131" s="16" t="s">
        <v>299</v>
      </c>
      <c r="F131" s="2">
        <v>37539</v>
      </c>
      <c r="H131" s="2">
        <v>38524</v>
      </c>
      <c r="I131" s="25">
        <v>40724</v>
      </c>
      <c r="K131" s="2">
        <v>37539</v>
      </c>
      <c r="L131" t="s">
        <v>297</v>
      </c>
      <c r="M131" t="s">
        <v>322</v>
      </c>
      <c r="N131" s="21" t="str">
        <f>IF((I131&gt;$W$2),"Y","N")</f>
        <v>N</v>
      </c>
      <c r="O131" s="16" t="s">
        <v>1332</v>
      </c>
      <c r="T131" s="31" t="s">
        <v>1327</v>
      </c>
    </row>
    <row r="132" spans="1:33" customFormat="1" hidden="1">
      <c r="A132">
        <v>2</v>
      </c>
      <c r="B132" t="s">
        <v>153</v>
      </c>
      <c r="C132">
        <v>1323</v>
      </c>
      <c r="D132" t="s">
        <v>393</v>
      </c>
      <c r="E132" t="s">
        <v>316</v>
      </c>
      <c r="F132" s="2">
        <v>36556</v>
      </c>
      <c r="H132" s="2">
        <v>36996</v>
      </c>
      <c r="I132" s="6"/>
      <c r="L132" t="s">
        <v>297</v>
      </c>
      <c r="M132" t="s">
        <v>297</v>
      </c>
      <c r="O132" t="s">
        <v>318</v>
      </c>
      <c r="P132" t="s">
        <v>169</v>
      </c>
      <c r="Q132" t="s">
        <v>173</v>
      </c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</row>
    <row r="133" spans="1:33" s="7" customFormat="1" hidden="1">
      <c r="A133" s="7">
        <v>2</v>
      </c>
      <c r="B133" s="7" t="s">
        <v>153</v>
      </c>
      <c r="C133" s="7">
        <v>1331</v>
      </c>
      <c r="D133" s="7" t="s">
        <v>348</v>
      </c>
      <c r="E133" s="7" t="s">
        <v>316</v>
      </c>
      <c r="F133" s="2">
        <v>36598</v>
      </c>
      <c r="G133"/>
      <c r="H133" s="2">
        <v>37069</v>
      </c>
      <c r="I133" s="8">
        <v>37011</v>
      </c>
      <c r="J133"/>
      <c r="K133"/>
      <c r="L133" t="s">
        <v>297</v>
      </c>
      <c r="M133" t="s">
        <v>297</v>
      </c>
      <c r="N133"/>
      <c r="P133" s="7" t="s">
        <v>169</v>
      </c>
      <c r="Q133" s="7" t="s">
        <v>173</v>
      </c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</row>
    <row r="134" spans="1:33" customFormat="1" hidden="1">
      <c r="A134" t="s">
        <v>169</v>
      </c>
      <c r="B134" t="s">
        <v>173</v>
      </c>
      <c r="I134" s="6"/>
    </row>
    <row r="135" spans="1:33">
      <c r="A135" s="16">
        <v>2</v>
      </c>
      <c r="B135" s="16" t="s">
        <v>296</v>
      </c>
      <c r="C135" s="16">
        <v>1583</v>
      </c>
      <c r="E135" s="16" t="s">
        <v>299</v>
      </c>
      <c r="F135" s="2">
        <v>37526</v>
      </c>
      <c r="H135" s="2">
        <v>38524</v>
      </c>
      <c r="I135" s="25">
        <v>40724</v>
      </c>
      <c r="L135" t="s">
        <v>297</v>
      </c>
      <c r="M135" t="s">
        <v>297</v>
      </c>
      <c r="N135" s="21" t="str">
        <f t="shared" ref="N135:N149" si="15">IF((I135&gt;$W$2),"Y","N")</f>
        <v>N</v>
      </c>
      <c r="O135" s="16" t="s">
        <v>318</v>
      </c>
      <c r="T135" s="31" t="s">
        <v>1327</v>
      </c>
    </row>
    <row r="136" spans="1:33">
      <c r="A136" s="16">
        <v>2</v>
      </c>
      <c r="B136" s="16" t="s">
        <v>296</v>
      </c>
      <c r="C136" s="16">
        <v>1604</v>
      </c>
      <c r="E136" s="16" t="s">
        <v>299</v>
      </c>
      <c r="F136" s="2">
        <v>38961</v>
      </c>
      <c r="H136" s="2">
        <v>38961</v>
      </c>
      <c r="I136" s="25">
        <v>41090</v>
      </c>
      <c r="L136" t="s">
        <v>297</v>
      </c>
      <c r="M136" t="s">
        <v>322</v>
      </c>
      <c r="N136" s="23" t="str">
        <f t="shared" si="15"/>
        <v>N</v>
      </c>
      <c r="O136" s="16" t="s">
        <v>1378</v>
      </c>
    </row>
    <row r="137" spans="1:33">
      <c r="A137" s="16">
        <v>2</v>
      </c>
      <c r="B137" s="16" t="s">
        <v>153</v>
      </c>
      <c r="C137" s="16">
        <v>218</v>
      </c>
      <c r="D137" t="s">
        <v>295</v>
      </c>
      <c r="E137" s="16" t="s">
        <v>296</v>
      </c>
      <c r="F137" s="2">
        <v>28902</v>
      </c>
      <c r="G137" s="2">
        <v>29279</v>
      </c>
      <c r="H137" s="2">
        <v>39449</v>
      </c>
      <c r="I137" s="25">
        <v>41455</v>
      </c>
      <c r="K137" s="2">
        <v>38244</v>
      </c>
      <c r="L137" t="s">
        <v>297</v>
      </c>
      <c r="M137" t="s">
        <v>297</v>
      </c>
      <c r="N137" s="23" t="str">
        <f t="shared" si="15"/>
        <v>N</v>
      </c>
      <c r="O137" s="16" t="s">
        <v>1692</v>
      </c>
      <c r="P137" s="10" t="s">
        <v>169</v>
      </c>
      <c r="Q137" s="10" t="s">
        <v>173</v>
      </c>
      <c r="S137" s="16" t="str">
        <f>MID(Q137,9,30)</f>
        <v>Alan  Matre</v>
      </c>
      <c r="T137" s="31" t="s">
        <v>1383</v>
      </c>
    </row>
    <row r="138" spans="1:33">
      <c r="A138" s="16">
        <v>2</v>
      </c>
      <c r="B138" s="16" t="s">
        <v>153</v>
      </c>
      <c r="C138" s="16">
        <v>436</v>
      </c>
      <c r="D138" s="7" t="s">
        <v>295</v>
      </c>
      <c r="E138" s="16" t="s">
        <v>296</v>
      </c>
      <c r="F138" s="2">
        <v>30856</v>
      </c>
      <c r="G138" s="2">
        <v>31794</v>
      </c>
      <c r="H138" s="2">
        <v>39499</v>
      </c>
      <c r="I138" s="25">
        <v>41455</v>
      </c>
      <c r="K138" s="2">
        <v>38707</v>
      </c>
      <c r="L138" t="s">
        <v>297</v>
      </c>
      <c r="M138" t="s">
        <v>297</v>
      </c>
      <c r="N138" s="23" t="str">
        <f t="shared" si="15"/>
        <v>N</v>
      </c>
      <c r="O138" s="16" t="s">
        <v>413</v>
      </c>
      <c r="P138" s="10" t="s">
        <v>169</v>
      </c>
      <c r="Q138" s="10" t="s">
        <v>173</v>
      </c>
      <c r="S138" s="16" t="str">
        <f>MID(Q138,9,30)</f>
        <v>Alan  Matre</v>
      </c>
      <c r="T138" s="31" t="s">
        <v>1426</v>
      </c>
    </row>
    <row r="139" spans="1:33">
      <c r="A139" s="16">
        <v>2</v>
      </c>
      <c r="B139" s="16" t="s">
        <v>153</v>
      </c>
      <c r="C139" s="16">
        <v>884</v>
      </c>
      <c r="D139" t="s">
        <v>295</v>
      </c>
      <c r="E139" s="16" t="s">
        <v>296</v>
      </c>
      <c r="F139" s="2">
        <v>34044</v>
      </c>
      <c r="G139" s="2">
        <v>34845</v>
      </c>
      <c r="H139" s="2">
        <v>39511</v>
      </c>
      <c r="I139" s="25">
        <v>41820</v>
      </c>
      <c r="K139" s="2">
        <v>36237</v>
      </c>
      <c r="L139" t="s">
        <v>297</v>
      </c>
      <c r="M139" t="s">
        <v>297</v>
      </c>
      <c r="N139" s="23" t="str">
        <f t="shared" si="15"/>
        <v>Y</v>
      </c>
      <c r="O139" s="16" t="s">
        <v>1693</v>
      </c>
      <c r="P139" s="10" t="s">
        <v>169</v>
      </c>
      <c r="Q139" s="10" t="s">
        <v>173</v>
      </c>
      <c r="S139" s="16" t="str">
        <f>MID(Q139,9,30)</f>
        <v>Alan  Matre</v>
      </c>
      <c r="T139" s="31">
        <v>41428</v>
      </c>
      <c r="U139" s="24">
        <v>39972</v>
      </c>
    </row>
    <row r="140" spans="1:33">
      <c r="A140" s="16">
        <v>2</v>
      </c>
      <c r="B140" s="16" t="s">
        <v>153</v>
      </c>
      <c r="C140" s="16">
        <v>1111</v>
      </c>
      <c r="D140" s="7" t="s">
        <v>295</v>
      </c>
      <c r="E140" s="16" t="s">
        <v>296</v>
      </c>
      <c r="F140" s="2">
        <v>35208</v>
      </c>
      <c r="H140" s="2">
        <v>39357</v>
      </c>
      <c r="I140" s="25">
        <v>41455</v>
      </c>
      <c r="J140" s="2">
        <v>38118</v>
      </c>
      <c r="K140" s="2">
        <v>35836</v>
      </c>
      <c r="L140" t="s">
        <v>297</v>
      </c>
      <c r="M140" t="s">
        <v>297</v>
      </c>
      <c r="N140" s="23" t="str">
        <f t="shared" si="15"/>
        <v>N</v>
      </c>
      <c r="O140" s="16" t="s">
        <v>1694</v>
      </c>
      <c r="P140" s="10" t="s">
        <v>169</v>
      </c>
      <c r="Q140" s="10" t="s">
        <v>173</v>
      </c>
      <c r="S140" s="16" t="str">
        <f>MID(Q140,9,30)</f>
        <v>Alan  Matre</v>
      </c>
      <c r="T140" s="31">
        <v>41032</v>
      </c>
    </row>
    <row r="141" spans="1:33">
      <c r="A141" s="16">
        <v>2</v>
      </c>
      <c r="B141" s="16" t="s">
        <v>153</v>
      </c>
      <c r="C141" s="16">
        <v>1312</v>
      </c>
      <c r="D141" t="s">
        <v>295</v>
      </c>
      <c r="E141" s="16" t="s">
        <v>299</v>
      </c>
      <c r="F141" s="2">
        <v>36416</v>
      </c>
      <c r="H141" s="2">
        <v>39354</v>
      </c>
      <c r="I141" s="25">
        <v>41820</v>
      </c>
      <c r="L141" t="s">
        <v>297</v>
      </c>
      <c r="M141" t="s">
        <v>297</v>
      </c>
      <c r="N141" s="23" t="str">
        <f t="shared" si="15"/>
        <v>Y</v>
      </c>
      <c r="O141" s="16" t="s">
        <v>416</v>
      </c>
      <c r="P141" s="10" t="s">
        <v>169</v>
      </c>
      <c r="Q141" s="10" t="s">
        <v>173</v>
      </c>
      <c r="S141" s="16" t="str">
        <f>MID(Q141,9,30)</f>
        <v>Alan  Matre</v>
      </c>
      <c r="T141" s="31">
        <v>41477</v>
      </c>
    </row>
    <row r="142" spans="1:33">
      <c r="A142" s="16">
        <v>2</v>
      </c>
      <c r="B142" s="16" t="s">
        <v>153</v>
      </c>
      <c r="C142" s="16">
        <v>1593</v>
      </c>
      <c r="E142" s="16" t="s">
        <v>299</v>
      </c>
      <c r="F142" s="2">
        <v>38189</v>
      </c>
      <c r="H142" s="2">
        <v>38189</v>
      </c>
      <c r="I142" s="25" t="s">
        <v>1266</v>
      </c>
      <c r="L142" t="s">
        <v>297</v>
      </c>
      <c r="M142" t="s">
        <v>322</v>
      </c>
      <c r="N142" s="23" t="str">
        <f t="shared" si="15"/>
        <v>Y</v>
      </c>
      <c r="O142" s="16" t="s">
        <v>318</v>
      </c>
      <c r="T142" s="31" t="s">
        <v>1266</v>
      </c>
    </row>
    <row r="143" spans="1:33">
      <c r="A143" s="16">
        <v>2</v>
      </c>
      <c r="B143" s="16" t="s">
        <v>317</v>
      </c>
      <c r="C143" s="16">
        <v>166</v>
      </c>
      <c r="D143" s="7" t="s">
        <v>295</v>
      </c>
      <c r="E143" s="16" t="s">
        <v>296</v>
      </c>
      <c r="F143" s="2">
        <v>28296</v>
      </c>
      <c r="G143" s="2">
        <v>28973</v>
      </c>
      <c r="H143" s="2">
        <v>39474</v>
      </c>
      <c r="I143" s="25">
        <v>41820</v>
      </c>
      <c r="J143" s="2">
        <v>36811</v>
      </c>
      <c r="K143" s="2">
        <v>38076</v>
      </c>
      <c r="L143" t="s">
        <v>297</v>
      </c>
      <c r="M143" t="s">
        <v>297</v>
      </c>
      <c r="N143" s="23" t="str">
        <f t="shared" si="15"/>
        <v>Y</v>
      </c>
      <c r="O143" s="30" t="s">
        <v>1348</v>
      </c>
      <c r="P143" s="10" t="s">
        <v>169</v>
      </c>
      <c r="Q143" s="10" t="s">
        <v>174</v>
      </c>
      <c r="S143" s="16" t="str">
        <f t="shared" ref="S143:S149" si="16">MID(Q143,9,30)</f>
        <v>Dena  Anderson</v>
      </c>
      <c r="T143" s="31">
        <v>41396</v>
      </c>
    </row>
    <row r="144" spans="1:33">
      <c r="A144" s="16">
        <v>2</v>
      </c>
      <c r="B144" s="16" t="s">
        <v>317</v>
      </c>
      <c r="C144" s="16">
        <v>360</v>
      </c>
      <c r="D144" s="7" t="s">
        <v>295</v>
      </c>
      <c r="E144" s="16" t="s">
        <v>296</v>
      </c>
      <c r="F144" s="2">
        <v>30099</v>
      </c>
      <c r="G144" s="2">
        <v>30744</v>
      </c>
      <c r="H144" s="2">
        <v>39217</v>
      </c>
      <c r="I144" s="25">
        <v>41820</v>
      </c>
      <c r="K144" s="2">
        <v>35849</v>
      </c>
      <c r="L144" t="s">
        <v>297</v>
      </c>
      <c r="M144" t="s">
        <v>297</v>
      </c>
      <c r="N144" s="23" t="str">
        <f t="shared" si="15"/>
        <v>Y</v>
      </c>
      <c r="O144" s="30" t="s">
        <v>1695</v>
      </c>
      <c r="P144" s="10" t="s">
        <v>169</v>
      </c>
      <c r="Q144" s="10" t="s">
        <v>174</v>
      </c>
      <c r="S144" s="16" t="str">
        <f t="shared" si="16"/>
        <v>Dena  Anderson</v>
      </c>
      <c r="T144" s="31">
        <v>41060</v>
      </c>
    </row>
    <row r="145" spans="1:20">
      <c r="A145" s="16">
        <v>2</v>
      </c>
      <c r="B145" s="16" t="s">
        <v>317</v>
      </c>
      <c r="C145" s="16">
        <v>370</v>
      </c>
      <c r="D145" s="7" t="s">
        <v>295</v>
      </c>
      <c r="E145" s="16" t="s">
        <v>296</v>
      </c>
      <c r="F145" s="2">
        <v>30209</v>
      </c>
      <c r="G145" s="2">
        <v>30583</v>
      </c>
      <c r="H145" s="2">
        <v>39512</v>
      </c>
      <c r="I145" s="25">
        <v>41820</v>
      </c>
      <c r="J145" s="2">
        <v>31928</v>
      </c>
      <c r="K145" s="2">
        <v>33844</v>
      </c>
      <c r="L145" t="s">
        <v>297</v>
      </c>
      <c r="N145" s="23" t="str">
        <f t="shared" si="15"/>
        <v>Y</v>
      </c>
      <c r="O145" s="30" t="s">
        <v>1696</v>
      </c>
      <c r="P145" s="10" t="s">
        <v>169</v>
      </c>
      <c r="Q145" s="10" t="s">
        <v>174</v>
      </c>
      <c r="S145" s="16" t="str">
        <f t="shared" si="16"/>
        <v>Dena  Anderson</v>
      </c>
      <c r="T145" s="31">
        <v>41428</v>
      </c>
    </row>
    <row r="146" spans="1:20">
      <c r="A146" s="16">
        <v>2</v>
      </c>
      <c r="B146" s="16" t="s">
        <v>317</v>
      </c>
      <c r="C146" s="16">
        <v>441</v>
      </c>
      <c r="D146" s="7" t="s">
        <v>295</v>
      </c>
      <c r="E146" s="16" t="s">
        <v>296</v>
      </c>
      <c r="F146" s="2">
        <v>30919</v>
      </c>
      <c r="G146" s="2">
        <v>34845</v>
      </c>
      <c r="H146" s="2">
        <v>37043</v>
      </c>
      <c r="I146" s="25">
        <v>40724</v>
      </c>
      <c r="K146" s="2">
        <v>35492</v>
      </c>
      <c r="L146" t="s">
        <v>297</v>
      </c>
      <c r="N146" s="23" t="str">
        <f t="shared" si="15"/>
        <v>N</v>
      </c>
      <c r="O146" s="30" t="s">
        <v>1552</v>
      </c>
      <c r="P146" s="10" t="s">
        <v>169</v>
      </c>
      <c r="Q146" s="10" t="s">
        <v>174</v>
      </c>
      <c r="S146" s="16" t="str">
        <f t="shared" si="16"/>
        <v>Dena  Anderson</v>
      </c>
      <c r="T146" s="31" t="s">
        <v>1541</v>
      </c>
    </row>
    <row r="147" spans="1:20">
      <c r="A147" s="16">
        <v>2</v>
      </c>
      <c r="B147" s="16" t="s">
        <v>317</v>
      </c>
      <c r="C147" s="16">
        <v>449</v>
      </c>
      <c r="D147" s="7" t="s">
        <v>295</v>
      </c>
      <c r="E147" s="16" t="s">
        <v>296</v>
      </c>
      <c r="F147" s="2">
        <v>30989</v>
      </c>
      <c r="G147" s="2">
        <v>34656</v>
      </c>
      <c r="H147" s="2">
        <v>31715</v>
      </c>
      <c r="I147" s="25">
        <v>34254</v>
      </c>
      <c r="J147" s="2">
        <v>34641</v>
      </c>
      <c r="K147" s="2">
        <v>31715</v>
      </c>
      <c r="L147" t="s">
        <v>322</v>
      </c>
      <c r="M147" t="s">
        <v>297</v>
      </c>
      <c r="N147" s="23" t="str">
        <f t="shared" si="15"/>
        <v>N</v>
      </c>
      <c r="O147" s="16" t="s">
        <v>318</v>
      </c>
      <c r="P147" s="10" t="s">
        <v>169</v>
      </c>
      <c r="Q147" s="10" t="s">
        <v>174</v>
      </c>
      <c r="S147" s="16" t="str">
        <f t="shared" si="16"/>
        <v>Dena  Anderson</v>
      </c>
    </row>
    <row r="148" spans="1:20">
      <c r="A148" s="16">
        <v>2</v>
      </c>
      <c r="B148" s="16" t="s">
        <v>317</v>
      </c>
      <c r="C148" s="30">
        <v>488</v>
      </c>
      <c r="D148" s="7" t="s">
        <v>295</v>
      </c>
      <c r="E148" s="16" t="s">
        <v>296</v>
      </c>
      <c r="F148" s="2">
        <v>31310</v>
      </c>
      <c r="G148" s="2">
        <v>31857</v>
      </c>
      <c r="H148" s="2">
        <v>37899</v>
      </c>
      <c r="I148" s="25">
        <v>41820</v>
      </c>
      <c r="K148" s="2">
        <v>36368</v>
      </c>
      <c r="L148" t="s">
        <v>297</v>
      </c>
      <c r="M148" t="s">
        <v>297</v>
      </c>
      <c r="N148" s="23" t="str">
        <f t="shared" si="15"/>
        <v>Y</v>
      </c>
      <c r="O148" s="30" t="s">
        <v>1697</v>
      </c>
      <c r="P148" s="10" t="s">
        <v>169</v>
      </c>
      <c r="Q148" s="10" t="s">
        <v>174</v>
      </c>
      <c r="S148" s="16" t="str">
        <f t="shared" si="16"/>
        <v>Dena  Anderson</v>
      </c>
      <c r="T148" s="31">
        <v>41400</v>
      </c>
    </row>
    <row r="149" spans="1:20">
      <c r="A149" s="16">
        <v>2</v>
      </c>
      <c r="B149" s="16" t="s">
        <v>317</v>
      </c>
      <c r="C149" s="16">
        <v>518</v>
      </c>
      <c r="D149" t="s">
        <v>295</v>
      </c>
      <c r="E149" s="16" t="s">
        <v>296</v>
      </c>
      <c r="F149" s="2">
        <v>31437</v>
      </c>
      <c r="G149" s="2">
        <v>32293</v>
      </c>
      <c r="H149" s="2">
        <v>39311</v>
      </c>
      <c r="I149" s="25">
        <v>41820</v>
      </c>
      <c r="K149" s="2">
        <v>35319</v>
      </c>
      <c r="L149" t="s">
        <v>322</v>
      </c>
      <c r="M149" t="s">
        <v>297</v>
      </c>
      <c r="N149" s="23" t="str">
        <f t="shared" si="15"/>
        <v>Y</v>
      </c>
      <c r="O149" s="16" t="s">
        <v>1591</v>
      </c>
      <c r="P149" s="10" t="s">
        <v>169</v>
      </c>
      <c r="Q149" s="10" t="s">
        <v>174</v>
      </c>
      <c r="S149" s="16" t="str">
        <f t="shared" si="16"/>
        <v>Dena  Anderson</v>
      </c>
      <c r="T149" s="31">
        <v>41348</v>
      </c>
    </row>
    <row r="150" spans="1:20" customFormat="1" hidden="1">
      <c r="A150" t="s">
        <v>169</v>
      </c>
      <c r="B150" t="s">
        <v>174</v>
      </c>
      <c r="I150" s="6"/>
    </row>
    <row r="151" spans="1:20">
      <c r="A151" s="16">
        <v>2</v>
      </c>
      <c r="B151" s="16" t="s">
        <v>317</v>
      </c>
      <c r="C151" s="16">
        <v>546</v>
      </c>
      <c r="D151" t="s">
        <v>295</v>
      </c>
      <c r="E151" s="16" t="s">
        <v>296</v>
      </c>
      <c r="F151" s="2">
        <v>31674</v>
      </c>
      <c r="G151" s="2">
        <v>33313</v>
      </c>
      <c r="H151" s="2">
        <v>39161</v>
      </c>
      <c r="I151" s="25">
        <v>41820</v>
      </c>
      <c r="K151" s="2">
        <v>34721</v>
      </c>
      <c r="L151" t="s">
        <v>297</v>
      </c>
      <c r="M151" t="s">
        <v>297</v>
      </c>
      <c r="N151" s="23" t="str">
        <f t="shared" ref="N151:N161" si="17">IF((I151&gt;$W$2),"Y","N")</f>
        <v>Y</v>
      </c>
      <c r="O151" s="30" t="s">
        <v>1553</v>
      </c>
      <c r="P151" s="10" t="s">
        <v>169</v>
      </c>
      <c r="Q151" s="10" t="s">
        <v>174</v>
      </c>
      <c r="S151" s="16" t="str">
        <f t="shared" ref="S151:S161" si="18">MID(Q151,9,30)</f>
        <v>Dena  Anderson</v>
      </c>
      <c r="T151" s="31">
        <v>41423</v>
      </c>
    </row>
    <row r="152" spans="1:20">
      <c r="A152" s="16">
        <v>2</v>
      </c>
      <c r="B152" s="16" t="s">
        <v>317</v>
      </c>
      <c r="C152" s="16">
        <v>556</v>
      </c>
      <c r="D152" s="7" t="s">
        <v>295</v>
      </c>
      <c r="E152" s="16" t="s">
        <v>296</v>
      </c>
      <c r="F152" s="2">
        <v>31674</v>
      </c>
      <c r="G152" s="2">
        <v>33313</v>
      </c>
      <c r="H152" s="2">
        <v>39294</v>
      </c>
      <c r="I152" s="25">
        <v>40724</v>
      </c>
      <c r="J152" s="2">
        <v>33358</v>
      </c>
      <c r="K152" s="2">
        <v>36242</v>
      </c>
      <c r="L152" t="s">
        <v>297</v>
      </c>
      <c r="N152" s="23" t="str">
        <f t="shared" si="17"/>
        <v>N</v>
      </c>
      <c r="O152" s="30" t="s">
        <v>1359</v>
      </c>
      <c r="P152" s="10" t="s">
        <v>169</v>
      </c>
      <c r="Q152" s="10" t="s">
        <v>174</v>
      </c>
      <c r="S152" s="16" t="str">
        <f t="shared" si="18"/>
        <v>Dena  Anderson</v>
      </c>
    </row>
    <row r="153" spans="1:20">
      <c r="A153" s="16">
        <v>2</v>
      </c>
      <c r="B153" s="16" t="s">
        <v>317</v>
      </c>
      <c r="C153" s="16">
        <v>643</v>
      </c>
      <c r="D153" s="7" t="s">
        <v>295</v>
      </c>
      <c r="E153" s="16" t="s">
        <v>296</v>
      </c>
      <c r="F153" s="2">
        <v>32293</v>
      </c>
      <c r="G153" s="2">
        <v>33313</v>
      </c>
      <c r="H153" s="2">
        <v>37936</v>
      </c>
      <c r="I153" s="25">
        <v>41820</v>
      </c>
      <c r="J153" s="2">
        <v>34515</v>
      </c>
      <c r="K153" s="2">
        <v>36382</v>
      </c>
      <c r="L153" t="s">
        <v>297</v>
      </c>
      <c r="M153" t="s">
        <v>297</v>
      </c>
      <c r="N153" s="23" t="str">
        <f t="shared" si="17"/>
        <v>Y</v>
      </c>
      <c r="O153" s="16" t="s">
        <v>1698</v>
      </c>
      <c r="P153" s="10" t="s">
        <v>169</v>
      </c>
      <c r="Q153" s="10" t="s">
        <v>174</v>
      </c>
      <c r="S153" s="16" t="str">
        <f t="shared" si="18"/>
        <v>Dena  Anderson</v>
      </c>
      <c r="T153" s="31">
        <v>41418</v>
      </c>
    </row>
    <row r="154" spans="1:20">
      <c r="A154" s="16">
        <v>2</v>
      </c>
      <c r="B154" s="16" t="s">
        <v>317</v>
      </c>
      <c r="C154" s="16">
        <v>710</v>
      </c>
      <c r="D154" s="7" t="s">
        <v>295</v>
      </c>
      <c r="E154" s="16" t="s">
        <v>296</v>
      </c>
      <c r="F154" s="2">
        <v>32892</v>
      </c>
      <c r="G154" s="2">
        <v>33313</v>
      </c>
      <c r="H154" s="2">
        <v>39190</v>
      </c>
      <c r="I154" s="25">
        <v>41820</v>
      </c>
      <c r="J154" s="2">
        <v>34285</v>
      </c>
      <c r="K154" s="2">
        <v>38832</v>
      </c>
      <c r="L154" t="s">
        <v>297</v>
      </c>
      <c r="M154" t="s">
        <v>297</v>
      </c>
      <c r="N154" s="23" t="str">
        <f t="shared" si="17"/>
        <v>Y</v>
      </c>
      <c r="O154" s="30" t="s">
        <v>1554</v>
      </c>
      <c r="P154" s="10" t="s">
        <v>169</v>
      </c>
      <c r="Q154" s="10" t="s">
        <v>174</v>
      </c>
      <c r="S154" s="16" t="str">
        <f t="shared" si="18"/>
        <v>Dena  Anderson</v>
      </c>
      <c r="T154" s="31">
        <v>41478</v>
      </c>
    </row>
    <row r="155" spans="1:20">
      <c r="A155" s="16">
        <v>2</v>
      </c>
      <c r="B155" s="16" t="s">
        <v>317</v>
      </c>
      <c r="C155" s="16">
        <v>953</v>
      </c>
      <c r="D155" s="7" t="s">
        <v>295</v>
      </c>
      <c r="E155" s="16" t="s">
        <v>316</v>
      </c>
      <c r="F155" s="2">
        <v>34493</v>
      </c>
      <c r="G155" s="2">
        <v>37820</v>
      </c>
      <c r="H155" s="2">
        <v>37268</v>
      </c>
      <c r="I155" s="25">
        <v>34880</v>
      </c>
      <c r="J155" s="2">
        <v>37819</v>
      </c>
      <c r="K155" s="2">
        <v>37268</v>
      </c>
      <c r="L155" t="s">
        <v>297</v>
      </c>
      <c r="M155" t="s">
        <v>297</v>
      </c>
      <c r="N155" s="23" t="str">
        <f t="shared" si="17"/>
        <v>N</v>
      </c>
      <c r="O155" s="16" t="s">
        <v>318</v>
      </c>
      <c r="P155" s="10" t="s">
        <v>169</v>
      </c>
      <c r="Q155" s="10" t="s">
        <v>174</v>
      </c>
      <c r="S155" s="16" t="str">
        <f t="shared" si="18"/>
        <v>Dena  Anderson</v>
      </c>
    </row>
    <row r="156" spans="1:20">
      <c r="A156" s="16">
        <v>2</v>
      </c>
      <c r="B156" s="16" t="s">
        <v>317</v>
      </c>
      <c r="C156" s="16">
        <v>1001</v>
      </c>
      <c r="D156" s="7" t="s">
        <v>295</v>
      </c>
      <c r="E156" s="16" t="s">
        <v>296</v>
      </c>
      <c r="F156" s="2">
        <v>34592</v>
      </c>
      <c r="G156" s="2">
        <v>36672</v>
      </c>
      <c r="H156" s="2">
        <v>38650</v>
      </c>
      <c r="I156" s="25">
        <v>38533</v>
      </c>
      <c r="K156" s="2">
        <v>38646</v>
      </c>
      <c r="L156" t="s">
        <v>297</v>
      </c>
      <c r="M156" t="s">
        <v>297</v>
      </c>
      <c r="N156" s="23" t="str">
        <f t="shared" si="17"/>
        <v>N</v>
      </c>
      <c r="O156" s="30" t="s">
        <v>318</v>
      </c>
      <c r="P156" s="10" t="s">
        <v>169</v>
      </c>
      <c r="Q156" s="10" t="s">
        <v>174</v>
      </c>
      <c r="S156" s="16" t="str">
        <f t="shared" si="18"/>
        <v>Dena  Anderson</v>
      </c>
    </row>
    <row r="157" spans="1:20">
      <c r="A157" s="16">
        <v>2</v>
      </c>
      <c r="B157" s="16" t="s">
        <v>317</v>
      </c>
      <c r="C157" s="16">
        <v>1360</v>
      </c>
      <c r="D157" s="7" t="s">
        <v>295</v>
      </c>
      <c r="E157" s="16" t="s">
        <v>299</v>
      </c>
      <c r="F157" s="2">
        <v>36803</v>
      </c>
      <c r="H157" s="2">
        <v>37753</v>
      </c>
      <c r="I157" s="25">
        <v>41455</v>
      </c>
      <c r="K157" s="2">
        <v>37756</v>
      </c>
      <c r="L157" t="s">
        <v>297</v>
      </c>
      <c r="M157" t="s">
        <v>297</v>
      </c>
      <c r="N157" s="23" t="str">
        <f t="shared" si="17"/>
        <v>N</v>
      </c>
      <c r="O157" s="30" t="s">
        <v>1175</v>
      </c>
      <c r="P157" s="10" t="s">
        <v>169</v>
      </c>
      <c r="Q157" s="10" t="s">
        <v>174</v>
      </c>
      <c r="S157" s="16" t="str">
        <f t="shared" si="18"/>
        <v>Dena  Anderson</v>
      </c>
      <c r="T157" s="31" t="s">
        <v>1415</v>
      </c>
    </row>
    <row r="158" spans="1:20">
      <c r="A158" s="16">
        <v>2</v>
      </c>
      <c r="B158" s="16" t="s">
        <v>317</v>
      </c>
      <c r="C158" s="16">
        <v>1426</v>
      </c>
      <c r="D158" s="7" t="s">
        <v>295</v>
      </c>
      <c r="E158" s="16" t="s">
        <v>299</v>
      </c>
      <c r="F158" s="2">
        <v>37523</v>
      </c>
      <c r="H158" s="2">
        <v>39290</v>
      </c>
      <c r="I158" s="25">
        <v>41820</v>
      </c>
      <c r="L158" t="s">
        <v>297</v>
      </c>
      <c r="M158" t="s">
        <v>297</v>
      </c>
      <c r="N158" s="23" t="str">
        <f t="shared" si="17"/>
        <v>Y</v>
      </c>
      <c r="O158" s="30" t="s">
        <v>1432</v>
      </c>
      <c r="P158" s="10" t="s">
        <v>169</v>
      </c>
      <c r="Q158" s="10" t="s">
        <v>174</v>
      </c>
      <c r="S158" s="16" t="str">
        <f t="shared" si="18"/>
        <v>Dena  Anderson</v>
      </c>
      <c r="T158" s="31">
        <v>41422</v>
      </c>
    </row>
    <row r="159" spans="1:20">
      <c r="A159" s="16">
        <v>2</v>
      </c>
      <c r="B159" s="16" t="s">
        <v>155</v>
      </c>
      <c r="C159" s="16">
        <v>140</v>
      </c>
      <c r="D159" s="7" t="s">
        <v>295</v>
      </c>
      <c r="E159" s="16" t="s">
        <v>296</v>
      </c>
      <c r="F159" s="2">
        <v>28093</v>
      </c>
      <c r="G159" s="2">
        <v>29073</v>
      </c>
      <c r="H159" s="2">
        <v>38912</v>
      </c>
      <c r="I159" s="25">
        <v>41455</v>
      </c>
      <c r="K159" s="2">
        <v>38688</v>
      </c>
      <c r="L159" t="s">
        <v>297</v>
      </c>
      <c r="M159" t="s">
        <v>297</v>
      </c>
      <c r="N159" s="23" t="str">
        <f t="shared" si="17"/>
        <v>N</v>
      </c>
      <c r="O159" s="30" t="s">
        <v>1574</v>
      </c>
      <c r="P159" s="10" t="s">
        <v>169</v>
      </c>
      <c r="Q159" s="10" t="s">
        <v>175</v>
      </c>
      <c r="S159" s="16" t="str">
        <f t="shared" si="18"/>
        <v>Yvette M Kvasnicka</v>
      </c>
      <c r="T159" s="31" t="s">
        <v>1390</v>
      </c>
    </row>
    <row r="160" spans="1:20">
      <c r="A160" s="16">
        <v>2</v>
      </c>
      <c r="B160" s="16" t="s">
        <v>155</v>
      </c>
      <c r="C160" s="16">
        <v>150</v>
      </c>
      <c r="D160" t="s">
        <v>295</v>
      </c>
      <c r="E160" s="16" t="s">
        <v>296</v>
      </c>
      <c r="F160" s="2">
        <v>28213</v>
      </c>
      <c r="G160" s="2">
        <v>28640</v>
      </c>
      <c r="H160" s="2">
        <v>39181</v>
      </c>
      <c r="I160" s="25">
        <v>41820</v>
      </c>
      <c r="K160" s="2">
        <v>38778</v>
      </c>
      <c r="L160" t="s">
        <v>297</v>
      </c>
      <c r="M160" t="s">
        <v>297</v>
      </c>
      <c r="N160" s="23" t="str">
        <f t="shared" si="17"/>
        <v>Y</v>
      </c>
      <c r="O160" s="16" t="s">
        <v>1699</v>
      </c>
      <c r="P160" s="10" t="s">
        <v>169</v>
      </c>
      <c r="Q160" s="10" t="s">
        <v>175</v>
      </c>
      <c r="S160" s="16" t="str">
        <f t="shared" si="18"/>
        <v>Yvette M Kvasnicka</v>
      </c>
      <c r="T160" s="31">
        <v>11474</v>
      </c>
    </row>
    <row r="161" spans="1:33">
      <c r="A161" s="16">
        <v>2</v>
      </c>
      <c r="B161" s="16" t="s">
        <v>155</v>
      </c>
      <c r="C161" s="16">
        <v>282</v>
      </c>
      <c r="D161" s="7" t="s">
        <v>295</v>
      </c>
      <c r="E161" s="16" t="s">
        <v>296</v>
      </c>
      <c r="F161" s="2">
        <v>29586</v>
      </c>
      <c r="G161" s="2">
        <v>30856</v>
      </c>
      <c r="H161" s="2">
        <v>39511</v>
      </c>
      <c r="I161" s="25">
        <v>41455</v>
      </c>
      <c r="J161" s="2">
        <v>30497</v>
      </c>
      <c r="K161" s="2">
        <v>39511</v>
      </c>
      <c r="L161" t="s">
        <v>297</v>
      </c>
      <c r="M161" t="s">
        <v>297</v>
      </c>
      <c r="N161" s="23" t="str">
        <f t="shared" si="17"/>
        <v>N</v>
      </c>
      <c r="O161" s="16" t="s">
        <v>1700</v>
      </c>
      <c r="P161" s="10" t="s">
        <v>169</v>
      </c>
      <c r="Q161" s="10" t="s">
        <v>175</v>
      </c>
      <c r="S161" s="16" t="str">
        <f t="shared" si="18"/>
        <v>Yvette M Kvasnicka</v>
      </c>
      <c r="T161" s="31" t="s">
        <v>1390</v>
      </c>
    </row>
    <row r="162" spans="1:33" s="7" customFormat="1" hidden="1">
      <c r="A162" s="7">
        <v>2</v>
      </c>
      <c r="B162" s="7" t="s">
        <v>155</v>
      </c>
      <c r="C162" s="7">
        <v>1478</v>
      </c>
      <c r="D162" s="7" t="s">
        <v>408</v>
      </c>
      <c r="E162" s="7" t="s">
        <v>316</v>
      </c>
      <c r="F162" s="2">
        <v>38188</v>
      </c>
      <c r="G162"/>
      <c r="H162" s="2">
        <v>38210</v>
      </c>
      <c r="I162" s="8">
        <v>38564</v>
      </c>
      <c r="J162"/>
      <c r="K162"/>
      <c r="L162" t="s">
        <v>297</v>
      </c>
      <c r="M162" t="s">
        <v>322</v>
      </c>
      <c r="N162"/>
      <c r="P162" s="7" t="s">
        <v>169</v>
      </c>
      <c r="Q162" s="7" t="s">
        <v>175</v>
      </c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</row>
    <row r="163" spans="1:33" customFormat="1" hidden="1">
      <c r="A163" t="s">
        <v>169</v>
      </c>
      <c r="B163" t="s">
        <v>175</v>
      </c>
      <c r="I163" s="6"/>
    </row>
    <row r="164" spans="1:33">
      <c r="A164" s="16">
        <v>2</v>
      </c>
      <c r="B164" s="16" t="s">
        <v>155</v>
      </c>
      <c r="C164" s="16">
        <v>316</v>
      </c>
      <c r="D164" s="7" t="s">
        <v>295</v>
      </c>
      <c r="E164" s="16" t="s">
        <v>296</v>
      </c>
      <c r="F164" s="2">
        <v>29791</v>
      </c>
      <c r="G164" s="2">
        <v>33447</v>
      </c>
      <c r="H164" s="2">
        <v>39220</v>
      </c>
      <c r="I164" s="25">
        <v>41455</v>
      </c>
      <c r="K164" s="2">
        <v>38828</v>
      </c>
      <c r="L164" t="s">
        <v>297</v>
      </c>
      <c r="M164" t="s">
        <v>297</v>
      </c>
      <c r="N164" s="23" t="str">
        <f>IF((I164&gt;$W$2),"Y","N")</f>
        <v>N</v>
      </c>
      <c r="O164" s="30" t="s">
        <v>1701</v>
      </c>
      <c r="P164" s="10" t="s">
        <v>169</v>
      </c>
      <c r="Q164" s="10" t="s">
        <v>175</v>
      </c>
      <c r="S164" s="16" t="str">
        <f>MID(Q164,9,30)</f>
        <v>Yvette M Kvasnicka</v>
      </c>
      <c r="T164" s="31" t="s">
        <v>1364</v>
      </c>
    </row>
    <row r="165" spans="1:33">
      <c r="A165" s="16">
        <v>2</v>
      </c>
      <c r="B165" s="16" t="s">
        <v>155</v>
      </c>
      <c r="C165" s="16">
        <v>318</v>
      </c>
      <c r="D165" s="7" t="s">
        <v>295</v>
      </c>
      <c r="E165" s="16" t="s">
        <v>296</v>
      </c>
      <c r="F165" s="2">
        <v>29791</v>
      </c>
      <c r="G165" s="2">
        <v>30205</v>
      </c>
      <c r="H165" s="2">
        <v>39484</v>
      </c>
      <c r="I165" s="25">
        <v>41455</v>
      </c>
      <c r="K165" s="2">
        <v>38573</v>
      </c>
      <c r="L165" t="s">
        <v>297</v>
      </c>
      <c r="M165" t="s">
        <v>297</v>
      </c>
      <c r="N165" s="23" t="str">
        <f>IF((I165&gt;$W$2),"Y","N")</f>
        <v>N</v>
      </c>
      <c r="O165" s="16" t="s">
        <v>1702</v>
      </c>
      <c r="P165" s="10" t="s">
        <v>169</v>
      </c>
      <c r="Q165" s="10" t="s">
        <v>175</v>
      </c>
      <c r="S165" s="16" t="str">
        <f>MID(Q165,9,30)</f>
        <v>Yvette M Kvasnicka</v>
      </c>
      <c r="T165" s="31" t="s">
        <v>1479</v>
      </c>
    </row>
    <row r="166" spans="1:33">
      <c r="A166" s="16">
        <v>2</v>
      </c>
      <c r="B166" s="16" t="s">
        <v>155</v>
      </c>
      <c r="C166" s="16">
        <v>521</v>
      </c>
      <c r="D166" s="7" t="s">
        <v>295</v>
      </c>
      <c r="E166" s="30" t="s">
        <v>316</v>
      </c>
      <c r="F166" s="2">
        <v>31493</v>
      </c>
      <c r="H166" s="2">
        <v>38287</v>
      </c>
      <c r="I166" s="25">
        <v>37135</v>
      </c>
      <c r="K166" s="2">
        <v>36444</v>
      </c>
      <c r="L166" t="s">
        <v>297</v>
      </c>
      <c r="N166" s="23" t="str">
        <f>IF((I166&gt;$W$2),"Y","N")</f>
        <v>N</v>
      </c>
      <c r="O166" s="16" t="s">
        <v>434</v>
      </c>
      <c r="P166" s="10" t="s">
        <v>169</v>
      </c>
      <c r="Q166" s="10" t="s">
        <v>175</v>
      </c>
      <c r="S166" s="16" t="str">
        <f>MID(Q166,9,30)</f>
        <v>Yvette M Kvasnicka</v>
      </c>
    </row>
    <row r="167" spans="1:33">
      <c r="A167" s="16">
        <v>2</v>
      </c>
      <c r="B167" s="16" t="s">
        <v>155</v>
      </c>
      <c r="C167" s="16">
        <v>535</v>
      </c>
      <c r="D167" t="s">
        <v>295</v>
      </c>
      <c r="E167" s="16" t="s">
        <v>296</v>
      </c>
      <c r="F167" s="2">
        <v>31558</v>
      </c>
      <c r="G167" s="2">
        <v>34593</v>
      </c>
      <c r="H167" s="2">
        <v>39507</v>
      </c>
      <c r="I167" s="25">
        <v>41820</v>
      </c>
      <c r="K167" s="2">
        <v>39388</v>
      </c>
      <c r="L167" t="s">
        <v>297</v>
      </c>
      <c r="M167" t="s">
        <v>297</v>
      </c>
      <c r="N167" s="23" t="str">
        <f>IF((I167&gt;$W$2),"Y","N")</f>
        <v>Y</v>
      </c>
      <c r="O167" s="16" t="s">
        <v>1703</v>
      </c>
      <c r="P167" s="10" t="s">
        <v>169</v>
      </c>
      <c r="Q167" s="10" t="s">
        <v>175</v>
      </c>
      <c r="S167" s="16" t="str">
        <f>MID(Q167,9,30)</f>
        <v>Yvette M Kvasnicka</v>
      </c>
      <c r="T167" s="31">
        <v>41445</v>
      </c>
    </row>
    <row r="168" spans="1:33">
      <c r="A168" s="16">
        <v>2</v>
      </c>
      <c r="B168" s="16" t="s">
        <v>155</v>
      </c>
      <c r="C168" s="16">
        <v>740</v>
      </c>
      <c r="D168" t="s">
        <v>295</v>
      </c>
      <c r="E168" s="16" t="s">
        <v>296</v>
      </c>
      <c r="F168" s="2">
        <v>33021</v>
      </c>
      <c r="G168" s="2">
        <v>33544</v>
      </c>
      <c r="H168" s="2">
        <v>39204</v>
      </c>
      <c r="I168" s="25">
        <v>41455</v>
      </c>
      <c r="J168" s="2">
        <v>38516</v>
      </c>
      <c r="K168" s="2">
        <v>38861</v>
      </c>
      <c r="L168" t="s">
        <v>297</v>
      </c>
      <c r="M168" t="s">
        <v>297</v>
      </c>
      <c r="N168" s="23" t="str">
        <f>IF((I168&gt;$W$2),"Y","N")</f>
        <v>N</v>
      </c>
      <c r="O168" s="16" t="s">
        <v>1704</v>
      </c>
      <c r="P168" s="10" t="s">
        <v>169</v>
      </c>
      <c r="Q168" s="10" t="s">
        <v>175</v>
      </c>
      <c r="S168" s="16" t="str">
        <f>MID(Q168,9,30)</f>
        <v>Yvette M Kvasnicka</v>
      </c>
      <c r="T168" s="31" t="s">
        <v>1353</v>
      </c>
    </row>
    <row r="169" spans="1:33" customFormat="1" hidden="1">
      <c r="A169" t="s">
        <v>169</v>
      </c>
      <c r="B169" t="s">
        <v>177</v>
      </c>
      <c r="I169" s="6"/>
    </row>
    <row r="170" spans="1:33">
      <c r="A170" s="16">
        <v>2</v>
      </c>
      <c r="B170" s="16" t="s">
        <v>155</v>
      </c>
      <c r="C170" s="16">
        <v>843</v>
      </c>
      <c r="D170" s="7" t="s">
        <v>295</v>
      </c>
      <c r="E170" s="16" t="s">
        <v>296</v>
      </c>
      <c r="F170" s="2">
        <v>33799</v>
      </c>
      <c r="G170" s="2">
        <v>35573</v>
      </c>
      <c r="H170" s="2">
        <v>38794</v>
      </c>
      <c r="I170" s="25">
        <v>41820</v>
      </c>
      <c r="J170" s="2">
        <v>34639</v>
      </c>
      <c r="K170" s="2">
        <v>36424</v>
      </c>
      <c r="L170" t="s">
        <v>297</v>
      </c>
      <c r="M170" t="s">
        <v>297</v>
      </c>
      <c r="N170" s="23" t="str">
        <f t="shared" ref="N170:N178" si="19">IF((I170&gt;$W$2),"Y","N")</f>
        <v>Y</v>
      </c>
      <c r="O170" s="30" t="s">
        <v>1705</v>
      </c>
      <c r="P170" s="10" t="s">
        <v>169</v>
      </c>
      <c r="Q170" s="10" t="s">
        <v>175</v>
      </c>
      <c r="S170" s="16" t="str">
        <f>MID(Q170,9,30)</f>
        <v>Yvette M Kvasnicka</v>
      </c>
      <c r="T170" s="31">
        <v>41396</v>
      </c>
    </row>
    <row r="171" spans="1:33">
      <c r="A171" s="16">
        <v>2</v>
      </c>
      <c r="B171" s="16" t="s">
        <v>155</v>
      </c>
      <c r="C171" s="16">
        <v>995</v>
      </c>
      <c r="D171" s="7" t="s">
        <v>295</v>
      </c>
      <c r="E171" s="30" t="s">
        <v>299</v>
      </c>
      <c r="F171" s="2">
        <v>34584</v>
      </c>
      <c r="G171" s="2">
        <v>35874</v>
      </c>
      <c r="H171" s="2">
        <v>39282</v>
      </c>
      <c r="I171" s="25">
        <v>41820</v>
      </c>
      <c r="K171" s="2">
        <v>35857</v>
      </c>
      <c r="L171" t="s">
        <v>297</v>
      </c>
      <c r="N171" s="23" t="str">
        <f t="shared" si="19"/>
        <v>Y</v>
      </c>
      <c r="O171" s="16" t="s">
        <v>1706</v>
      </c>
      <c r="P171" s="10" t="s">
        <v>169</v>
      </c>
      <c r="Q171" s="10" t="s">
        <v>175</v>
      </c>
      <c r="S171" s="16" t="str">
        <f>MID(Q171,9,30)</f>
        <v>Yvette M Kvasnicka</v>
      </c>
      <c r="T171" s="31">
        <v>41428</v>
      </c>
    </row>
    <row r="172" spans="1:33">
      <c r="A172" s="16">
        <v>2</v>
      </c>
      <c r="B172" s="16" t="s">
        <v>155</v>
      </c>
      <c r="C172" s="16">
        <v>1253</v>
      </c>
      <c r="D172" s="7" t="s">
        <v>295</v>
      </c>
      <c r="E172" s="30" t="s">
        <v>316</v>
      </c>
      <c r="F172" s="2">
        <v>35956</v>
      </c>
      <c r="G172" s="2">
        <v>36777</v>
      </c>
      <c r="H172" s="2">
        <v>38022</v>
      </c>
      <c r="I172" s="25">
        <v>38565</v>
      </c>
      <c r="K172" s="2">
        <v>35956</v>
      </c>
      <c r="L172" t="s">
        <v>297</v>
      </c>
      <c r="M172" t="s">
        <v>297</v>
      </c>
      <c r="N172" s="23" t="str">
        <f t="shared" si="19"/>
        <v>N</v>
      </c>
      <c r="P172" s="10" t="s">
        <v>169</v>
      </c>
      <c r="Q172" s="10" t="s">
        <v>175</v>
      </c>
      <c r="S172" s="16" t="str">
        <f>MID(Q172,9,30)</f>
        <v>Yvette M Kvasnicka</v>
      </c>
      <c r="T172" s="43" t="s">
        <v>1167</v>
      </c>
    </row>
    <row r="173" spans="1:33">
      <c r="A173" s="16">
        <v>2</v>
      </c>
      <c r="B173" s="16" t="s">
        <v>155</v>
      </c>
      <c r="C173" s="16">
        <v>1619</v>
      </c>
      <c r="D173" s="7"/>
      <c r="E173" s="30" t="s">
        <v>299</v>
      </c>
      <c r="F173" s="2"/>
      <c r="G173" s="2"/>
      <c r="H173" s="2"/>
      <c r="I173" s="25">
        <v>41820</v>
      </c>
      <c r="K173" s="2"/>
      <c r="N173" s="23" t="str">
        <f t="shared" si="19"/>
        <v>Y</v>
      </c>
      <c r="O173" s="16" t="s">
        <v>1707</v>
      </c>
      <c r="T173" s="31">
        <v>41486</v>
      </c>
    </row>
    <row r="174" spans="1:33">
      <c r="A174" s="16">
        <v>2</v>
      </c>
      <c r="B174" s="16" t="s">
        <v>176</v>
      </c>
      <c r="C174" s="16">
        <v>27</v>
      </c>
      <c r="D174" s="7" t="s">
        <v>295</v>
      </c>
      <c r="E174" s="16" t="s">
        <v>296</v>
      </c>
      <c r="F174" s="2">
        <v>26648</v>
      </c>
      <c r="G174" s="2">
        <v>26648</v>
      </c>
      <c r="H174" s="2">
        <v>38831</v>
      </c>
      <c r="I174" s="25">
        <v>41820</v>
      </c>
      <c r="J174" s="2">
        <v>37911</v>
      </c>
      <c r="K174" s="2">
        <v>37799</v>
      </c>
      <c r="L174" t="s">
        <v>297</v>
      </c>
      <c r="M174" t="s">
        <v>297</v>
      </c>
      <c r="N174" s="23" t="str">
        <f t="shared" si="19"/>
        <v>Y</v>
      </c>
      <c r="O174" s="16" t="s">
        <v>1592</v>
      </c>
      <c r="P174" s="10" t="s">
        <v>169</v>
      </c>
      <c r="Q174" s="10" t="s">
        <v>177</v>
      </c>
      <c r="S174" s="16" t="str">
        <f>MID(Q174,9,30)</f>
        <v>Karen   Sloan</v>
      </c>
      <c r="T174" s="31">
        <v>41465</v>
      </c>
    </row>
    <row r="175" spans="1:33">
      <c r="A175" s="16">
        <v>2</v>
      </c>
      <c r="B175" s="16" t="s">
        <v>176</v>
      </c>
      <c r="C175" s="16">
        <v>35</v>
      </c>
      <c r="D175" t="s">
        <v>295</v>
      </c>
      <c r="E175" s="16" t="s">
        <v>296</v>
      </c>
      <c r="F175" s="2">
        <v>26830</v>
      </c>
      <c r="G175" s="2">
        <v>26830</v>
      </c>
      <c r="H175" s="2">
        <v>39461</v>
      </c>
      <c r="I175" s="25">
        <v>41820</v>
      </c>
      <c r="K175" s="2">
        <v>35895</v>
      </c>
      <c r="L175" t="s">
        <v>297</v>
      </c>
      <c r="M175" t="s">
        <v>297</v>
      </c>
      <c r="N175" s="23" t="str">
        <f t="shared" si="19"/>
        <v>Y</v>
      </c>
      <c r="O175" s="30" t="s">
        <v>1708</v>
      </c>
      <c r="P175" s="10" t="s">
        <v>169</v>
      </c>
      <c r="Q175" s="10" t="s">
        <v>177</v>
      </c>
      <c r="S175" s="16" t="str">
        <f>MID(Q175,9,30)</f>
        <v>Karen   Sloan</v>
      </c>
      <c r="T175" s="31">
        <v>41428</v>
      </c>
    </row>
    <row r="176" spans="1:33">
      <c r="A176" s="16">
        <v>2</v>
      </c>
      <c r="B176" s="16" t="s">
        <v>176</v>
      </c>
      <c r="C176" s="16">
        <v>64</v>
      </c>
      <c r="D176" s="7" t="s">
        <v>295</v>
      </c>
      <c r="E176" s="16" t="s">
        <v>296</v>
      </c>
      <c r="F176" s="2">
        <v>27591</v>
      </c>
      <c r="G176" s="2">
        <v>27591</v>
      </c>
      <c r="H176" s="2">
        <v>39238</v>
      </c>
      <c r="I176" s="25">
        <v>41820</v>
      </c>
      <c r="J176" s="2">
        <v>39034</v>
      </c>
      <c r="K176" s="2">
        <v>38750</v>
      </c>
      <c r="L176" t="s">
        <v>297</v>
      </c>
      <c r="M176" t="s">
        <v>297</v>
      </c>
      <c r="N176" s="23" t="str">
        <f t="shared" si="19"/>
        <v>Y</v>
      </c>
      <c r="O176" s="16" t="s">
        <v>442</v>
      </c>
      <c r="P176" s="10" t="s">
        <v>169</v>
      </c>
      <c r="Q176" s="10" t="s">
        <v>177</v>
      </c>
      <c r="S176" s="16" t="str">
        <f>MID(Q176,9,30)</f>
        <v>Karen   Sloan</v>
      </c>
      <c r="T176" s="31">
        <v>41425</v>
      </c>
    </row>
    <row r="177" spans="1:33">
      <c r="A177" s="16">
        <v>2</v>
      </c>
      <c r="B177" s="16" t="s">
        <v>176</v>
      </c>
      <c r="C177" s="16">
        <v>256</v>
      </c>
      <c r="D177" s="7" t="s">
        <v>295</v>
      </c>
      <c r="E177" s="16" t="s">
        <v>296</v>
      </c>
      <c r="F177" s="2">
        <v>29258</v>
      </c>
      <c r="G177" s="2">
        <v>29638</v>
      </c>
      <c r="H177" s="2">
        <v>39300</v>
      </c>
      <c r="I177" s="25">
        <v>41820</v>
      </c>
      <c r="J177" s="2">
        <v>38021</v>
      </c>
      <c r="K177" s="2">
        <v>35625</v>
      </c>
      <c r="L177" t="s">
        <v>297</v>
      </c>
      <c r="M177" t="s">
        <v>297</v>
      </c>
      <c r="N177" s="23" t="str">
        <f t="shared" si="19"/>
        <v>Y</v>
      </c>
      <c r="O177" s="30" t="s">
        <v>1709</v>
      </c>
      <c r="P177" s="10" t="s">
        <v>169</v>
      </c>
      <c r="Q177" s="10" t="s">
        <v>177</v>
      </c>
      <c r="S177" s="16" t="str">
        <f>MID(Q177,9,30)</f>
        <v>Karen   Sloan</v>
      </c>
      <c r="T177" s="31">
        <v>41477</v>
      </c>
    </row>
    <row r="178" spans="1:33">
      <c r="A178" s="16">
        <v>2</v>
      </c>
      <c r="B178" s="16" t="s">
        <v>176</v>
      </c>
      <c r="C178" s="16">
        <v>1076</v>
      </c>
      <c r="D178" s="7" t="s">
        <v>295</v>
      </c>
      <c r="E178" s="16" t="s">
        <v>316</v>
      </c>
      <c r="F178" s="2">
        <v>34941</v>
      </c>
      <c r="G178" s="2">
        <v>37456</v>
      </c>
      <c r="H178" s="2">
        <v>38085</v>
      </c>
      <c r="I178" s="25">
        <v>38168</v>
      </c>
      <c r="J178" s="2">
        <v>35300</v>
      </c>
      <c r="K178" s="2">
        <v>36461</v>
      </c>
      <c r="L178" t="s">
        <v>297</v>
      </c>
      <c r="M178" t="s">
        <v>297</v>
      </c>
      <c r="N178" s="23" t="str">
        <f t="shared" si="19"/>
        <v>N</v>
      </c>
      <c r="O178" s="16" t="s">
        <v>444</v>
      </c>
      <c r="P178" s="10" t="s">
        <v>169</v>
      </c>
      <c r="Q178" s="10" t="s">
        <v>177</v>
      </c>
      <c r="S178" s="16" t="str">
        <f>MID(Q178,9,30)</f>
        <v>Karen   Sloan</v>
      </c>
    </row>
    <row r="179" spans="1:33" customFormat="1" hidden="1">
      <c r="A179" t="s">
        <v>169</v>
      </c>
      <c r="B179" t="s">
        <v>178</v>
      </c>
      <c r="I179" s="6"/>
    </row>
    <row r="180" spans="1:33">
      <c r="A180" s="16">
        <v>2</v>
      </c>
      <c r="B180" s="16" t="s">
        <v>176</v>
      </c>
      <c r="C180" s="16">
        <v>1590</v>
      </c>
      <c r="E180" s="16" t="s">
        <v>299</v>
      </c>
      <c r="F180" s="2">
        <v>37747</v>
      </c>
      <c r="H180" s="2">
        <v>38524</v>
      </c>
      <c r="I180" s="25" t="s">
        <v>1266</v>
      </c>
      <c r="L180" t="s">
        <v>297</v>
      </c>
      <c r="M180" t="s">
        <v>297</v>
      </c>
      <c r="N180" s="21" t="str">
        <f>IF((I180&gt;$W$2),"Y","N")</f>
        <v>Y</v>
      </c>
      <c r="O180" s="16" t="s">
        <v>1333</v>
      </c>
      <c r="T180" s="31" t="s">
        <v>1326</v>
      </c>
    </row>
    <row r="181" spans="1:33">
      <c r="A181" s="16">
        <v>2</v>
      </c>
      <c r="B181" s="16" t="s">
        <v>176</v>
      </c>
      <c r="C181" s="16">
        <v>1594</v>
      </c>
      <c r="E181" s="16" t="s">
        <v>299</v>
      </c>
      <c r="F181" s="2">
        <v>38189</v>
      </c>
      <c r="H181" s="2">
        <v>38189</v>
      </c>
      <c r="I181" s="25">
        <v>41455</v>
      </c>
      <c r="L181" t="s">
        <v>297</v>
      </c>
      <c r="M181" t="s">
        <v>322</v>
      </c>
      <c r="N181" s="21" t="str">
        <f>IF((I181&gt;$W$2),"Y","N")</f>
        <v>N</v>
      </c>
      <c r="O181" s="16" t="s">
        <v>1340</v>
      </c>
      <c r="T181" s="31" t="s">
        <v>1422</v>
      </c>
    </row>
    <row r="182" spans="1:33">
      <c r="A182" s="16">
        <v>2</v>
      </c>
      <c r="B182" s="16" t="s">
        <v>322</v>
      </c>
      <c r="C182" s="16">
        <v>1</v>
      </c>
      <c r="D182" s="7" t="s">
        <v>295</v>
      </c>
      <c r="E182" s="16" t="s">
        <v>296</v>
      </c>
      <c r="F182" s="2">
        <v>26102</v>
      </c>
      <c r="G182" s="2">
        <v>26102</v>
      </c>
      <c r="H182" s="2">
        <v>39231</v>
      </c>
      <c r="I182" s="25">
        <v>41820</v>
      </c>
      <c r="J182" s="2">
        <v>38054</v>
      </c>
      <c r="K182" s="2">
        <v>36334</v>
      </c>
      <c r="L182" t="s">
        <v>297</v>
      </c>
      <c r="M182" t="s">
        <v>297</v>
      </c>
      <c r="N182" s="23" t="str">
        <f>IF((I182&gt;$W$2),"Y","N")</f>
        <v>Y</v>
      </c>
      <c r="O182" s="16" t="s">
        <v>1575</v>
      </c>
      <c r="P182" s="10" t="s">
        <v>169</v>
      </c>
      <c r="Q182" s="10" t="s">
        <v>178</v>
      </c>
      <c r="S182" s="16" t="str">
        <f>MID(Q182,9,30)</f>
        <v>Ken S Rhoads</v>
      </c>
      <c r="T182" s="31">
        <v>41428</v>
      </c>
    </row>
    <row r="183" spans="1:33">
      <c r="A183" s="16">
        <v>2</v>
      </c>
      <c r="B183" s="16" t="s">
        <v>322</v>
      </c>
      <c r="C183" s="16">
        <v>36</v>
      </c>
      <c r="D183" s="7" t="s">
        <v>295</v>
      </c>
      <c r="E183" s="16" t="s">
        <v>296</v>
      </c>
      <c r="F183" s="2">
        <v>26830</v>
      </c>
      <c r="G183" s="2">
        <v>26830</v>
      </c>
      <c r="H183" s="2">
        <v>39149</v>
      </c>
      <c r="I183" s="25">
        <v>41820</v>
      </c>
      <c r="J183" s="2">
        <v>38933</v>
      </c>
      <c r="K183" s="2">
        <v>37705</v>
      </c>
      <c r="L183" t="s">
        <v>297</v>
      </c>
      <c r="M183" t="s">
        <v>297</v>
      </c>
      <c r="N183" s="23" t="str">
        <f>IF((I183&gt;$W$2),"Y","N")</f>
        <v>Y</v>
      </c>
      <c r="O183" s="30" t="s">
        <v>1176</v>
      </c>
      <c r="P183" s="10" t="s">
        <v>169</v>
      </c>
      <c r="Q183" s="10" t="s">
        <v>178</v>
      </c>
      <c r="S183" s="16" t="str">
        <f>MID(Q183,9,30)</f>
        <v>Ken S Rhoads</v>
      </c>
      <c r="T183" s="31">
        <v>41422</v>
      </c>
    </row>
    <row r="184" spans="1:33" customFormat="1" hidden="1">
      <c r="A184">
        <v>2</v>
      </c>
      <c r="B184" t="s">
        <v>165</v>
      </c>
      <c r="C184">
        <v>485</v>
      </c>
      <c r="D184" t="s">
        <v>348</v>
      </c>
      <c r="E184" t="s">
        <v>316</v>
      </c>
      <c r="F184" s="2">
        <v>36600</v>
      </c>
      <c r="H184" s="2">
        <v>36600</v>
      </c>
      <c r="I184" s="6"/>
      <c r="L184" t="s">
        <v>322</v>
      </c>
      <c r="M184" t="s">
        <v>322</v>
      </c>
      <c r="O184" t="s">
        <v>369</v>
      </c>
      <c r="P184" t="s">
        <v>169</v>
      </c>
      <c r="Q184" t="s">
        <v>179</v>
      </c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s="7" customFormat="1" hidden="1">
      <c r="A185" s="7">
        <v>2</v>
      </c>
      <c r="B185" s="7" t="s">
        <v>165</v>
      </c>
      <c r="C185" s="7">
        <v>486</v>
      </c>
      <c r="D185" s="7" t="s">
        <v>348</v>
      </c>
      <c r="E185" s="7" t="s">
        <v>316</v>
      </c>
      <c r="F185" s="2">
        <v>31310</v>
      </c>
      <c r="G185" s="2">
        <v>36238</v>
      </c>
      <c r="H185" s="2">
        <v>36976</v>
      </c>
      <c r="I185" s="8">
        <v>36372</v>
      </c>
      <c r="J185"/>
      <c r="K185" s="2">
        <v>36242</v>
      </c>
      <c r="L185" t="s">
        <v>297</v>
      </c>
      <c r="M185" t="s">
        <v>322</v>
      </c>
      <c r="N185"/>
      <c r="O185" s="7" t="s">
        <v>369</v>
      </c>
      <c r="P185" s="7" t="s">
        <v>169</v>
      </c>
      <c r="Q185" s="7" t="s">
        <v>179</v>
      </c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>
      <c r="A186" s="16">
        <v>2</v>
      </c>
      <c r="B186" s="16" t="s">
        <v>322</v>
      </c>
      <c r="C186" s="16">
        <v>62</v>
      </c>
      <c r="D186" s="7" t="s">
        <v>295</v>
      </c>
      <c r="E186" s="16" t="s">
        <v>296</v>
      </c>
      <c r="F186" s="2">
        <v>27591</v>
      </c>
      <c r="G186" s="2">
        <v>27591</v>
      </c>
      <c r="H186" s="2">
        <v>39289</v>
      </c>
      <c r="I186" s="25">
        <v>41820</v>
      </c>
      <c r="J186" s="2">
        <v>39318</v>
      </c>
      <c r="K186" s="2">
        <v>35804</v>
      </c>
      <c r="L186" t="s">
        <v>297</v>
      </c>
      <c r="M186" t="s">
        <v>297</v>
      </c>
      <c r="N186" s="23" t="str">
        <f>IF((I186&gt;$W$2),"Y","N")</f>
        <v>Y</v>
      </c>
      <c r="O186" s="30" t="s">
        <v>1710</v>
      </c>
      <c r="P186" s="10" t="s">
        <v>169</v>
      </c>
      <c r="Q186" s="10" t="s">
        <v>178</v>
      </c>
      <c r="S186" s="16" t="str">
        <f>MID(Q186,9,30)</f>
        <v>Ken S Rhoads</v>
      </c>
      <c r="T186" s="31">
        <v>41428</v>
      </c>
    </row>
    <row r="187" spans="1:33">
      <c r="A187" s="16">
        <v>2</v>
      </c>
      <c r="B187" s="16" t="s">
        <v>322</v>
      </c>
      <c r="C187" s="16">
        <v>63</v>
      </c>
      <c r="D187" t="s">
        <v>295</v>
      </c>
      <c r="E187" s="16" t="s">
        <v>296</v>
      </c>
      <c r="F187" s="2">
        <v>27591</v>
      </c>
      <c r="G187" s="2">
        <v>27591</v>
      </c>
      <c r="H187" s="2">
        <v>39239</v>
      </c>
      <c r="I187" s="25">
        <v>41455</v>
      </c>
      <c r="J187" s="2">
        <v>39318</v>
      </c>
      <c r="K187" s="2">
        <v>38868</v>
      </c>
      <c r="L187" t="s">
        <v>297</v>
      </c>
      <c r="M187" t="s">
        <v>297</v>
      </c>
      <c r="N187" s="23" t="str">
        <f>IF((I187&gt;$W$2),"Y","N")</f>
        <v>N</v>
      </c>
      <c r="O187" s="30" t="s">
        <v>1711</v>
      </c>
      <c r="P187" s="10" t="s">
        <v>169</v>
      </c>
      <c r="Q187" s="10" t="s">
        <v>178</v>
      </c>
      <c r="S187" s="16" t="str">
        <f>MID(Q187,9,30)</f>
        <v>Ken S Rhoads</v>
      </c>
      <c r="T187" s="31" t="s">
        <v>1541</v>
      </c>
    </row>
    <row r="188" spans="1:33" s="7" customFormat="1" hidden="1">
      <c r="A188" s="7">
        <v>2</v>
      </c>
      <c r="B188" s="7" t="s">
        <v>165</v>
      </c>
      <c r="C188" s="7">
        <v>802</v>
      </c>
      <c r="D188" s="7" t="s">
        <v>393</v>
      </c>
      <c r="E188" s="7" t="s">
        <v>316</v>
      </c>
      <c r="F188" s="2">
        <v>33487</v>
      </c>
      <c r="G188"/>
      <c r="H188" s="2">
        <v>38194</v>
      </c>
      <c r="I188" s="8">
        <v>36160</v>
      </c>
      <c r="J188"/>
      <c r="K188" s="2">
        <v>38187</v>
      </c>
      <c r="L188" t="s">
        <v>297</v>
      </c>
      <c r="M188" t="s">
        <v>322</v>
      </c>
      <c r="N188"/>
      <c r="O188" s="7" t="s">
        <v>318</v>
      </c>
      <c r="P188" s="7" t="s">
        <v>169</v>
      </c>
      <c r="Q188" s="7" t="s">
        <v>179</v>
      </c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1:33">
      <c r="A189" s="16">
        <v>2</v>
      </c>
      <c r="B189" s="16" t="s">
        <v>322</v>
      </c>
      <c r="C189" s="16">
        <v>107</v>
      </c>
      <c r="D189" s="7" t="s">
        <v>295</v>
      </c>
      <c r="E189" s="16" t="s">
        <v>296</v>
      </c>
      <c r="F189" s="2">
        <v>27785</v>
      </c>
      <c r="G189" s="2">
        <v>28171</v>
      </c>
      <c r="H189" s="2">
        <v>38841</v>
      </c>
      <c r="I189" s="25">
        <v>41820</v>
      </c>
      <c r="J189" s="2">
        <v>39318</v>
      </c>
      <c r="K189" s="2">
        <v>35851</v>
      </c>
      <c r="L189" t="s">
        <v>297</v>
      </c>
      <c r="M189" t="s">
        <v>297</v>
      </c>
      <c r="N189" s="23" t="str">
        <f>IF((I189&gt;$W$2),"Y","N")</f>
        <v>Y</v>
      </c>
      <c r="O189" s="30" t="s">
        <v>1712</v>
      </c>
      <c r="P189" s="10" t="s">
        <v>169</v>
      </c>
      <c r="Q189" s="10" t="s">
        <v>178</v>
      </c>
      <c r="S189" s="16" t="str">
        <f>MID(Q189,9,30)</f>
        <v>Ken S Rhoads</v>
      </c>
      <c r="T189" s="31">
        <v>41428</v>
      </c>
    </row>
    <row r="190" spans="1:33">
      <c r="A190" s="16">
        <v>2</v>
      </c>
      <c r="B190" s="16" t="s">
        <v>322</v>
      </c>
      <c r="C190" s="16">
        <v>108</v>
      </c>
      <c r="D190" t="s">
        <v>295</v>
      </c>
      <c r="E190" s="16" t="s">
        <v>296</v>
      </c>
      <c r="F190" s="2">
        <v>27785</v>
      </c>
      <c r="G190" s="2">
        <v>30727</v>
      </c>
      <c r="H190" s="2">
        <v>38849</v>
      </c>
      <c r="I190" s="25">
        <v>41820</v>
      </c>
      <c r="J190" s="2">
        <v>37911</v>
      </c>
      <c r="K190" s="2">
        <v>38461</v>
      </c>
      <c r="L190" t="s">
        <v>297</v>
      </c>
      <c r="M190" t="s">
        <v>297</v>
      </c>
      <c r="N190" s="23" t="str">
        <f>IF((I190&gt;$W$2),"Y","N")</f>
        <v>Y</v>
      </c>
      <c r="O190" s="30" t="s">
        <v>1713</v>
      </c>
      <c r="P190" s="10" t="s">
        <v>169</v>
      </c>
      <c r="Q190" s="10" t="s">
        <v>178</v>
      </c>
      <c r="S190" s="16" t="str">
        <f>MID(Q190,9,30)</f>
        <v>Ken S Rhoads</v>
      </c>
      <c r="T190" s="31">
        <v>41401</v>
      </c>
    </row>
    <row r="191" spans="1:33" customFormat="1" hidden="1">
      <c r="A191">
        <v>2</v>
      </c>
      <c r="B191" t="s">
        <v>165</v>
      </c>
      <c r="C191">
        <v>952</v>
      </c>
      <c r="D191" t="s">
        <v>461</v>
      </c>
      <c r="E191" t="s">
        <v>316</v>
      </c>
      <c r="F191" s="2">
        <v>34561</v>
      </c>
      <c r="I191" s="6"/>
      <c r="L191" t="s">
        <v>322</v>
      </c>
      <c r="M191" t="s">
        <v>297</v>
      </c>
      <c r="O191" t="s">
        <v>369</v>
      </c>
      <c r="P191" t="s">
        <v>169</v>
      </c>
      <c r="Q191" t="s">
        <v>179</v>
      </c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s="7" customFormat="1" hidden="1">
      <c r="A192" s="7">
        <v>2</v>
      </c>
      <c r="B192" s="7" t="s">
        <v>165</v>
      </c>
      <c r="C192" s="7">
        <v>1002</v>
      </c>
      <c r="D192" s="7" t="s">
        <v>348</v>
      </c>
      <c r="E192" s="7" t="s">
        <v>316</v>
      </c>
      <c r="F192" s="2">
        <v>34589</v>
      </c>
      <c r="G192"/>
      <c r="H192" s="2">
        <v>36004</v>
      </c>
      <c r="I192" s="8">
        <v>34699</v>
      </c>
      <c r="J192"/>
      <c r="K192" s="2">
        <v>34613</v>
      </c>
      <c r="L192" t="s">
        <v>322</v>
      </c>
      <c r="M192" t="s">
        <v>297</v>
      </c>
      <c r="N192"/>
      <c r="P192" s="7" t="s">
        <v>169</v>
      </c>
      <c r="Q192" s="7" t="s">
        <v>179</v>
      </c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s="7" customFormat="1" hidden="1">
      <c r="A193" s="7">
        <v>2</v>
      </c>
      <c r="B193" s="7" t="s">
        <v>165</v>
      </c>
      <c r="C193" s="7">
        <v>1006</v>
      </c>
      <c r="D193" s="7" t="s">
        <v>462</v>
      </c>
      <c r="E193" s="7" t="s">
        <v>316</v>
      </c>
      <c r="F193" s="2">
        <v>34618</v>
      </c>
      <c r="G193"/>
      <c r="H193" s="2">
        <v>34618</v>
      </c>
      <c r="I193" s="8">
        <v>34618</v>
      </c>
      <c r="J193"/>
      <c r="K193"/>
      <c r="L193" t="s">
        <v>322</v>
      </c>
      <c r="M193" t="s">
        <v>297</v>
      </c>
      <c r="N193"/>
      <c r="O193" s="7" t="s">
        <v>369</v>
      </c>
      <c r="P193" s="7" t="s">
        <v>169</v>
      </c>
      <c r="Q193" s="7" t="s">
        <v>179</v>
      </c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>
      <c r="A194" s="16">
        <v>2</v>
      </c>
      <c r="B194" s="16" t="s">
        <v>322</v>
      </c>
      <c r="C194" s="16">
        <v>110</v>
      </c>
      <c r="D194" s="7" t="s">
        <v>295</v>
      </c>
      <c r="E194" s="16" t="s">
        <v>296</v>
      </c>
      <c r="F194" s="2">
        <v>27785</v>
      </c>
      <c r="G194" s="2">
        <v>28901</v>
      </c>
      <c r="H194" s="2">
        <v>39486</v>
      </c>
      <c r="I194" s="25">
        <v>41820</v>
      </c>
      <c r="J194" s="2">
        <v>39318</v>
      </c>
      <c r="K194" s="2">
        <v>36255</v>
      </c>
      <c r="L194" t="s">
        <v>297</v>
      </c>
      <c r="M194" t="s">
        <v>297</v>
      </c>
      <c r="N194" s="23" t="str">
        <f>IF((I194&gt;$W$2),"Y","N")</f>
        <v>Y</v>
      </c>
      <c r="O194" s="30" t="s">
        <v>1714</v>
      </c>
      <c r="P194" s="10" t="s">
        <v>169</v>
      </c>
      <c r="Q194" s="10" t="s">
        <v>178</v>
      </c>
      <c r="S194" s="16" t="str">
        <f>MID(Q194,9,30)</f>
        <v>Ken S Rhoads</v>
      </c>
      <c r="T194" s="31">
        <v>41466</v>
      </c>
      <c r="U194" s="10" t="s">
        <v>1162</v>
      </c>
    </row>
    <row r="195" spans="1:33" s="7" customFormat="1" hidden="1">
      <c r="A195" s="7">
        <v>2</v>
      </c>
      <c r="B195" s="7" t="s">
        <v>165</v>
      </c>
      <c r="C195" s="7">
        <v>1232</v>
      </c>
      <c r="D195" s="7" t="s">
        <v>464</v>
      </c>
      <c r="E195" s="7" t="s">
        <v>316</v>
      </c>
      <c r="F195" s="2">
        <v>35816</v>
      </c>
      <c r="G195"/>
      <c r="H195" s="2">
        <v>36630</v>
      </c>
      <c r="I195" s="8">
        <v>36892</v>
      </c>
      <c r="J195"/>
      <c r="K195"/>
      <c r="L195" t="s">
        <v>322</v>
      </c>
      <c r="M195" t="s">
        <v>297</v>
      </c>
      <c r="N195"/>
      <c r="O195" s="7" t="s">
        <v>369</v>
      </c>
      <c r="P195" s="7" t="s">
        <v>169</v>
      </c>
      <c r="Q195" s="7" t="s">
        <v>179</v>
      </c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s="7" customFormat="1" hidden="1">
      <c r="A196" s="7">
        <v>2</v>
      </c>
      <c r="B196" s="7" t="s">
        <v>165</v>
      </c>
      <c r="C196" s="7">
        <v>1348</v>
      </c>
      <c r="D196" s="7" t="s">
        <v>408</v>
      </c>
      <c r="E196" s="7" t="s">
        <v>316</v>
      </c>
      <c r="F196" s="2">
        <v>36686</v>
      </c>
      <c r="G196"/>
      <c r="H196" s="2">
        <v>37459</v>
      </c>
      <c r="I196" s="8">
        <v>37986</v>
      </c>
      <c r="J196" s="2">
        <v>37110</v>
      </c>
      <c r="K196"/>
      <c r="L196" t="s">
        <v>297</v>
      </c>
      <c r="M196" t="s">
        <v>297</v>
      </c>
      <c r="N196"/>
      <c r="P196" s="7" t="s">
        <v>169</v>
      </c>
      <c r="Q196" s="7" t="s">
        <v>179</v>
      </c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>
      <c r="A197" s="16">
        <v>2</v>
      </c>
      <c r="B197" s="16" t="s">
        <v>322</v>
      </c>
      <c r="C197" s="16">
        <v>1099</v>
      </c>
      <c r="D197" t="s">
        <v>295</v>
      </c>
      <c r="E197" s="16" t="s">
        <v>296</v>
      </c>
      <c r="F197" s="2">
        <v>35138</v>
      </c>
      <c r="G197" s="2">
        <v>35573</v>
      </c>
      <c r="H197" s="2">
        <v>39345</v>
      </c>
      <c r="I197" s="25">
        <v>41820</v>
      </c>
      <c r="J197" s="2">
        <v>39318</v>
      </c>
      <c r="K197" s="2">
        <v>39156</v>
      </c>
      <c r="L197" t="s">
        <v>297</v>
      </c>
      <c r="M197" t="s">
        <v>297</v>
      </c>
      <c r="N197" s="23" t="str">
        <f>IF((I197&gt;$W$2),"Y","N")</f>
        <v>Y</v>
      </c>
      <c r="O197" s="30" t="s">
        <v>1715</v>
      </c>
      <c r="P197" s="10" t="s">
        <v>169</v>
      </c>
      <c r="Q197" s="10" t="s">
        <v>178</v>
      </c>
      <c r="S197" s="16" t="str">
        <f>MID(Q197,9,30)</f>
        <v>Ken S Rhoads</v>
      </c>
      <c r="T197" s="31">
        <v>41425</v>
      </c>
    </row>
    <row r="198" spans="1:33" customFormat="1" hidden="1">
      <c r="A198" t="s">
        <v>169</v>
      </c>
      <c r="B198" t="s">
        <v>179</v>
      </c>
      <c r="I198" s="6"/>
    </row>
    <row r="199" spans="1:33" customFormat="1" hidden="1">
      <c r="A199" t="s">
        <v>466</v>
      </c>
      <c r="I199" s="6"/>
    </row>
    <row r="200" spans="1:33">
      <c r="A200" s="16">
        <v>2</v>
      </c>
      <c r="B200" s="16" t="s">
        <v>165</v>
      </c>
      <c r="C200" s="16">
        <v>53</v>
      </c>
      <c r="D200" s="7" t="s">
        <v>295</v>
      </c>
      <c r="E200" s="16" t="s">
        <v>296</v>
      </c>
      <c r="F200" s="2">
        <v>27275</v>
      </c>
      <c r="G200" s="2">
        <v>27275</v>
      </c>
      <c r="H200" s="2">
        <v>38754</v>
      </c>
      <c r="I200" s="25">
        <v>41455</v>
      </c>
      <c r="K200" s="2">
        <v>39065</v>
      </c>
      <c r="L200" t="s">
        <v>297</v>
      </c>
      <c r="M200" t="s">
        <v>322</v>
      </c>
      <c r="N200" s="23" t="str">
        <f t="shared" ref="N200:N208" si="20">IF((I200&gt;$W$2),"Y","N")</f>
        <v>N</v>
      </c>
      <c r="O200" s="30" t="s">
        <v>1716</v>
      </c>
      <c r="P200" s="10" t="s">
        <v>169</v>
      </c>
      <c r="Q200" s="10" t="s">
        <v>179</v>
      </c>
      <c r="S200" s="16" t="str">
        <f t="shared" ref="S200:S208" si="21">MID(Q200,9,30)</f>
        <v>Shelly   Ehrmantraut</v>
      </c>
      <c r="T200" s="31" t="s">
        <v>1386</v>
      </c>
    </row>
    <row r="201" spans="1:33">
      <c r="A201" s="16">
        <v>2</v>
      </c>
      <c r="B201" s="16" t="s">
        <v>165</v>
      </c>
      <c r="C201" s="16">
        <v>93</v>
      </c>
      <c r="D201" s="7" t="s">
        <v>295</v>
      </c>
      <c r="E201" s="16" t="s">
        <v>296</v>
      </c>
      <c r="F201" s="2">
        <v>27785</v>
      </c>
      <c r="G201" s="2">
        <v>27805</v>
      </c>
      <c r="H201" s="2">
        <v>38853</v>
      </c>
      <c r="I201" s="25">
        <v>37006</v>
      </c>
      <c r="J201" s="2">
        <v>29767</v>
      </c>
      <c r="K201" s="2">
        <v>35163</v>
      </c>
      <c r="L201" t="s">
        <v>297</v>
      </c>
      <c r="N201" s="23" t="str">
        <f t="shared" si="20"/>
        <v>N</v>
      </c>
      <c r="O201" s="30" t="s">
        <v>1717</v>
      </c>
      <c r="P201" s="10" t="s">
        <v>169</v>
      </c>
      <c r="Q201" s="10" t="s">
        <v>179</v>
      </c>
      <c r="S201" s="16" t="str">
        <f t="shared" si="21"/>
        <v>Shelly   Ehrmantraut</v>
      </c>
    </row>
    <row r="202" spans="1:33">
      <c r="A202" s="16">
        <v>2</v>
      </c>
      <c r="B202" s="16" t="s">
        <v>165</v>
      </c>
      <c r="C202" s="16">
        <v>149</v>
      </c>
      <c r="D202" s="7" t="s">
        <v>295</v>
      </c>
      <c r="E202" s="16" t="s">
        <v>296</v>
      </c>
      <c r="F202" s="2">
        <v>28748</v>
      </c>
      <c r="G202" s="2">
        <v>28734</v>
      </c>
      <c r="H202" s="2">
        <v>39337</v>
      </c>
      <c r="I202" s="25">
        <v>41820</v>
      </c>
      <c r="J202" s="2">
        <v>33785</v>
      </c>
      <c r="K202" s="2">
        <v>39336</v>
      </c>
      <c r="L202" t="s">
        <v>297</v>
      </c>
      <c r="M202" t="s">
        <v>297</v>
      </c>
      <c r="N202" s="23" t="str">
        <f t="shared" si="20"/>
        <v>Y</v>
      </c>
      <c r="O202" s="16" t="s">
        <v>1439</v>
      </c>
      <c r="P202" s="10" t="s">
        <v>169</v>
      </c>
      <c r="Q202" s="10" t="s">
        <v>179</v>
      </c>
      <c r="S202" s="16" t="str">
        <f t="shared" si="21"/>
        <v>Shelly   Ehrmantraut</v>
      </c>
      <c r="T202" s="31">
        <v>41428</v>
      </c>
    </row>
    <row r="203" spans="1:33">
      <c r="A203" s="16">
        <v>2</v>
      </c>
      <c r="B203" s="16" t="s">
        <v>165</v>
      </c>
      <c r="C203" s="16">
        <v>332</v>
      </c>
      <c r="D203" t="s">
        <v>295</v>
      </c>
      <c r="E203" s="16" t="s">
        <v>296</v>
      </c>
      <c r="F203" s="2">
        <v>29910</v>
      </c>
      <c r="G203" s="2">
        <v>30335</v>
      </c>
      <c r="H203" s="2">
        <v>39371</v>
      </c>
      <c r="I203" s="25">
        <v>41820</v>
      </c>
      <c r="K203" s="2">
        <v>39164</v>
      </c>
      <c r="L203" t="s">
        <v>297</v>
      </c>
      <c r="M203" t="s">
        <v>322</v>
      </c>
      <c r="N203" s="23" t="str">
        <f t="shared" si="20"/>
        <v>Y</v>
      </c>
      <c r="O203" s="16" t="s">
        <v>1342</v>
      </c>
      <c r="P203" s="10" t="s">
        <v>169</v>
      </c>
      <c r="Q203" s="10" t="s">
        <v>179</v>
      </c>
      <c r="S203" s="16" t="str">
        <f t="shared" si="21"/>
        <v>Shelly   Ehrmantraut</v>
      </c>
      <c r="T203" s="31">
        <v>41393</v>
      </c>
    </row>
    <row r="204" spans="1:33">
      <c r="A204" s="16">
        <v>2</v>
      </c>
      <c r="B204" s="16" t="s">
        <v>165</v>
      </c>
      <c r="C204" s="16">
        <v>525</v>
      </c>
      <c r="D204" t="s">
        <v>295</v>
      </c>
      <c r="E204" s="16" t="s">
        <v>296</v>
      </c>
      <c r="F204" s="2">
        <v>31493</v>
      </c>
      <c r="G204" s="2">
        <v>31919</v>
      </c>
      <c r="H204" s="2">
        <v>38069</v>
      </c>
      <c r="I204" s="25">
        <v>41820</v>
      </c>
      <c r="K204" s="2">
        <v>35200</v>
      </c>
      <c r="L204" t="s">
        <v>297</v>
      </c>
      <c r="M204" t="s">
        <v>322</v>
      </c>
      <c r="N204" s="23" t="str">
        <f t="shared" si="20"/>
        <v>Y</v>
      </c>
      <c r="O204" s="16" t="s">
        <v>1629</v>
      </c>
      <c r="P204" s="10" t="s">
        <v>169</v>
      </c>
      <c r="Q204" s="10" t="s">
        <v>179</v>
      </c>
      <c r="S204" s="16" t="str">
        <f t="shared" si="21"/>
        <v>Shelly   Ehrmantraut</v>
      </c>
      <c r="T204" s="31">
        <v>41411</v>
      </c>
    </row>
    <row r="205" spans="1:33">
      <c r="A205" s="16">
        <v>2</v>
      </c>
      <c r="B205" s="16" t="s">
        <v>165</v>
      </c>
      <c r="C205" s="16">
        <v>698</v>
      </c>
      <c r="D205" s="7" t="s">
        <v>295</v>
      </c>
      <c r="E205" s="16" t="s">
        <v>296</v>
      </c>
      <c r="F205" s="2">
        <v>32760</v>
      </c>
      <c r="G205" s="2">
        <v>36427</v>
      </c>
      <c r="H205" s="2">
        <v>39363</v>
      </c>
      <c r="I205" s="25">
        <v>41455</v>
      </c>
      <c r="L205" t="s">
        <v>297</v>
      </c>
      <c r="M205" t="s">
        <v>297</v>
      </c>
      <c r="N205" s="23" t="str">
        <f t="shared" si="20"/>
        <v>N</v>
      </c>
      <c r="O205" s="30" t="s">
        <v>1718</v>
      </c>
      <c r="P205" s="10" t="s">
        <v>169</v>
      </c>
      <c r="Q205" s="10" t="s">
        <v>179</v>
      </c>
      <c r="S205" s="16" t="str">
        <f t="shared" si="21"/>
        <v>Shelly   Ehrmantraut</v>
      </c>
      <c r="T205" s="31" t="s">
        <v>1361</v>
      </c>
    </row>
    <row r="206" spans="1:33">
      <c r="A206" s="16">
        <v>2</v>
      </c>
      <c r="B206" s="16" t="s">
        <v>165</v>
      </c>
      <c r="C206" s="16">
        <v>870</v>
      </c>
      <c r="D206" t="s">
        <v>295</v>
      </c>
      <c r="E206" s="16" t="s">
        <v>296</v>
      </c>
      <c r="F206" s="2">
        <v>33959</v>
      </c>
      <c r="G206" s="2">
        <v>34901</v>
      </c>
      <c r="H206" s="2">
        <v>39518</v>
      </c>
      <c r="I206" s="25">
        <v>41820</v>
      </c>
      <c r="K206" s="2">
        <v>36179</v>
      </c>
      <c r="L206" t="s">
        <v>297</v>
      </c>
      <c r="M206" t="s">
        <v>322</v>
      </c>
      <c r="N206" s="23" t="str">
        <f t="shared" si="20"/>
        <v>Y</v>
      </c>
      <c r="O206" s="30" t="s">
        <v>1593</v>
      </c>
      <c r="P206" s="10" t="s">
        <v>169</v>
      </c>
      <c r="Q206" s="10" t="s">
        <v>179</v>
      </c>
      <c r="S206" s="16" t="str">
        <f t="shared" si="21"/>
        <v>Shelly   Ehrmantraut</v>
      </c>
      <c r="T206" s="31">
        <v>41432</v>
      </c>
      <c r="U206" s="24">
        <v>39976</v>
      </c>
    </row>
    <row r="207" spans="1:33">
      <c r="A207" s="16">
        <v>2</v>
      </c>
      <c r="B207" s="16" t="s">
        <v>165</v>
      </c>
      <c r="C207" s="16">
        <v>887</v>
      </c>
      <c r="D207" t="s">
        <v>295</v>
      </c>
      <c r="E207" s="16" t="s">
        <v>296</v>
      </c>
      <c r="F207" s="2">
        <v>34099</v>
      </c>
      <c r="G207" s="2">
        <v>35140</v>
      </c>
      <c r="H207" s="2">
        <v>39171</v>
      </c>
      <c r="I207" s="25">
        <v>41820</v>
      </c>
      <c r="K207" s="2">
        <v>38817</v>
      </c>
      <c r="L207" t="s">
        <v>297</v>
      </c>
      <c r="M207" t="s">
        <v>297</v>
      </c>
      <c r="N207" s="23" t="str">
        <f t="shared" si="20"/>
        <v>Y</v>
      </c>
      <c r="O207" s="30" t="s">
        <v>1719</v>
      </c>
      <c r="P207" s="10" t="s">
        <v>169</v>
      </c>
      <c r="Q207" s="10" t="s">
        <v>179</v>
      </c>
      <c r="S207" s="16" t="str">
        <f t="shared" si="21"/>
        <v>Shelly   Ehrmantraut</v>
      </c>
      <c r="T207" s="31">
        <v>41432</v>
      </c>
    </row>
    <row r="208" spans="1:33">
      <c r="A208" s="16">
        <v>2</v>
      </c>
      <c r="B208" s="16" t="s">
        <v>165</v>
      </c>
      <c r="C208" s="16">
        <v>1167</v>
      </c>
      <c r="D208" t="s">
        <v>295</v>
      </c>
      <c r="E208" s="16" t="s">
        <v>299</v>
      </c>
      <c r="F208" s="2">
        <v>35460</v>
      </c>
      <c r="H208" s="2">
        <v>39393</v>
      </c>
      <c r="I208" s="25">
        <v>41820</v>
      </c>
      <c r="K208" s="2">
        <v>36245</v>
      </c>
      <c r="L208" t="s">
        <v>297</v>
      </c>
      <c r="M208" t="s">
        <v>297</v>
      </c>
      <c r="N208" s="23" t="str">
        <f t="shared" si="20"/>
        <v>Y</v>
      </c>
      <c r="O208" s="30" t="s">
        <v>1355</v>
      </c>
      <c r="P208" s="10" t="s">
        <v>169</v>
      </c>
      <c r="Q208" s="10" t="s">
        <v>179</v>
      </c>
      <c r="S208" s="16" t="str">
        <f t="shared" si="21"/>
        <v>Shelly   Ehrmantraut</v>
      </c>
      <c r="T208" s="31">
        <v>41465</v>
      </c>
    </row>
    <row r="209" spans="1:33" customFormat="1" hidden="1">
      <c r="A209" t="s">
        <v>180</v>
      </c>
      <c r="B209" t="s">
        <v>181</v>
      </c>
      <c r="I209" s="6"/>
    </row>
    <row r="210" spans="1:33">
      <c r="A210" s="16">
        <v>2</v>
      </c>
      <c r="B210" s="16" t="s">
        <v>165</v>
      </c>
      <c r="C210" s="16">
        <v>1449</v>
      </c>
      <c r="D210" s="7" t="s">
        <v>295</v>
      </c>
      <c r="E210" s="16" t="s">
        <v>299</v>
      </c>
      <c r="F210" s="2">
        <v>37761</v>
      </c>
      <c r="H210" s="2">
        <v>39218</v>
      </c>
      <c r="I210" s="25">
        <v>41820</v>
      </c>
      <c r="K210" s="2">
        <v>39259</v>
      </c>
      <c r="L210" t="s">
        <v>322</v>
      </c>
      <c r="M210" t="s">
        <v>322</v>
      </c>
      <c r="N210" s="23" t="str">
        <f>IF((I210&gt;$W$2),"Y","N")</f>
        <v>Y</v>
      </c>
      <c r="O210" s="30" t="s">
        <v>1720</v>
      </c>
      <c r="P210" s="10" t="s">
        <v>169</v>
      </c>
      <c r="Q210" s="10" t="s">
        <v>179</v>
      </c>
      <c r="S210" s="16" t="str">
        <f>MID(Q210,9,30)</f>
        <v>Shelly   Ehrmantraut</v>
      </c>
      <c r="T210" s="31">
        <v>41403</v>
      </c>
    </row>
    <row r="211" spans="1:33">
      <c r="A211" s="16">
        <v>2</v>
      </c>
      <c r="B211" s="16" t="s">
        <v>165</v>
      </c>
      <c r="C211" s="16">
        <v>1609</v>
      </c>
      <c r="E211" s="16" t="s">
        <v>299</v>
      </c>
      <c r="F211" s="2">
        <v>39205</v>
      </c>
      <c r="H211" s="2">
        <v>39196</v>
      </c>
      <c r="I211" s="25">
        <v>41455</v>
      </c>
      <c r="L211" t="s">
        <v>297</v>
      </c>
      <c r="M211" t="s">
        <v>322</v>
      </c>
      <c r="N211" s="23" t="str">
        <f>IF((I211&gt;$W$2),"Y","N")</f>
        <v>N</v>
      </c>
      <c r="O211" s="16" t="s">
        <v>1461</v>
      </c>
    </row>
    <row r="212" spans="1:33">
      <c r="A212" s="16">
        <v>3</v>
      </c>
      <c r="B212" s="16" t="s">
        <v>140</v>
      </c>
      <c r="C212" s="16">
        <v>266</v>
      </c>
      <c r="D212" s="7" t="s">
        <v>295</v>
      </c>
      <c r="E212" s="16" t="s">
        <v>296</v>
      </c>
      <c r="F212" s="2">
        <v>29399</v>
      </c>
      <c r="G212" s="2">
        <v>33867</v>
      </c>
      <c r="H212" s="2">
        <v>39010</v>
      </c>
      <c r="I212" s="25">
        <v>41455</v>
      </c>
      <c r="J212" s="2">
        <v>31259</v>
      </c>
      <c r="K212" s="2">
        <v>32850</v>
      </c>
      <c r="L212" t="s">
        <v>297</v>
      </c>
      <c r="M212" t="s">
        <v>297</v>
      </c>
      <c r="N212" s="23" t="str">
        <f>IF((I212&gt;$W$2),"Y","N")</f>
        <v>N</v>
      </c>
      <c r="O212" s="16" t="s">
        <v>467</v>
      </c>
      <c r="P212" s="10" t="s">
        <v>180</v>
      </c>
      <c r="Q212" s="10" t="s">
        <v>181</v>
      </c>
      <c r="S212" s="16" t="str">
        <f>MID(Q212,9,30)</f>
        <v>Dennis C Trott</v>
      </c>
      <c r="T212" s="31" t="s">
        <v>1362</v>
      </c>
    </row>
    <row r="213" spans="1:33">
      <c r="A213" s="16">
        <v>3</v>
      </c>
      <c r="B213" s="16" t="s">
        <v>140</v>
      </c>
      <c r="C213" s="16">
        <v>473</v>
      </c>
      <c r="D213" s="7" t="s">
        <v>295</v>
      </c>
      <c r="E213" s="16" t="s">
        <v>296</v>
      </c>
      <c r="F213" s="2">
        <v>31192</v>
      </c>
      <c r="G213" s="2">
        <v>31493</v>
      </c>
      <c r="H213" s="2">
        <v>39358</v>
      </c>
      <c r="I213" s="25">
        <v>41455</v>
      </c>
      <c r="K213" s="2">
        <v>34130</v>
      </c>
      <c r="L213" t="s">
        <v>297</v>
      </c>
      <c r="M213" t="s">
        <v>297</v>
      </c>
      <c r="N213" s="23" t="str">
        <f>IF((I213&gt;$W$2),"Y","N")</f>
        <v>N</v>
      </c>
      <c r="O213" s="16" t="s">
        <v>1276</v>
      </c>
      <c r="P213" s="10" t="s">
        <v>180</v>
      </c>
      <c r="Q213" s="10" t="s">
        <v>181</v>
      </c>
      <c r="S213" s="16" t="str">
        <f>MID(Q213,9,30)</f>
        <v>Dennis C Trott</v>
      </c>
      <c r="T213" s="31" t="s">
        <v>1454</v>
      </c>
    </row>
    <row r="214" spans="1:33" s="7" customFormat="1" hidden="1">
      <c r="A214" s="7">
        <v>3</v>
      </c>
      <c r="B214" s="7" t="s">
        <v>149</v>
      </c>
      <c r="C214" s="7">
        <v>903</v>
      </c>
      <c r="D214" s="7" t="s">
        <v>348</v>
      </c>
      <c r="E214" s="7" t="s">
        <v>316</v>
      </c>
      <c r="F214" s="2">
        <v>34178</v>
      </c>
      <c r="G214"/>
      <c r="H214" s="2">
        <v>35787</v>
      </c>
      <c r="I214" s="8">
        <v>34178</v>
      </c>
      <c r="J214"/>
      <c r="K214" s="2">
        <v>34178</v>
      </c>
      <c r="L214" t="s">
        <v>322</v>
      </c>
      <c r="M214" t="s">
        <v>297</v>
      </c>
      <c r="N214"/>
      <c r="O214" s="7" t="s">
        <v>318</v>
      </c>
      <c r="P214" s="7" t="s">
        <v>180</v>
      </c>
      <c r="Q214" s="7" t="s">
        <v>182</v>
      </c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</row>
    <row r="215" spans="1:33" s="7" customFormat="1" hidden="1">
      <c r="A215" s="7">
        <v>3</v>
      </c>
      <c r="B215" s="7" t="s">
        <v>149</v>
      </c>
      <c r="C215" s="7">
        <v>917</v>
      </c>
      <c r="D215" s="7" t="s">
        <v>348</v>
      </c>
      <c r="E215" s="7" t="s">
        <v>316</v>
      </c>
      <c r="F215" s="2">
        <v>34232</v>
      </c>
      <c r="G215"/>
      <c r="H215" s="2">
        <v>36664</v>
      </c>
      <c r="I215" s="8">
        <v>36707</v>
      </c>
      <c r="J215"/>
      <c r="K215" s="2">
        <v>34232</v>
      </c>
      <c r="L215" t="s">
        <v>339</v>
      </c>
      <c r="M215" t="s">
        <v>297</v>
      </c>
      <c r="N215"/>
      <c r="P215" s="7" t="s">
        <v>180</v>
      </c>
      <c r="Q215" s="7" t="s">
        <v>182</v>
      </c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</row>
    <row r="216" spans="1:33">
      <c r="A216" s="16">
        <v>3</v>
      </c>
      <c r="B216" s="16" t="s">
        <v>140</v>
      </c>
      <c r="C216" s="16">
        <v>611</v>
      </c>
      <c r="D216" s="7" t="s">
        <v>295</v>
      </c>
      <c r="E216" s="16" t="s">
        <v>296</v>
      </c>
      <c r="F216" s="2">
        <v>31939</v>
      </c>
      <c r="G216" s="2">
        <v>32944</v>
      </c>
      <c r="H216" s="2">
        <v>39051</v>
      </c>
      <c r="I216" s="25">
        <v>41455</v>
      </c>
      <c r="J216" s="2">
        <v>35667</v>
      </c>
      <c r="K216" s="2">
        <v>33489</v>
      </c>
      <c r="L216" t="s">
        <v>297</v>
      </c>
      <c r="M216" t="s">
        <v>297</v>
      </c>
      <c r="N216" s="23" t="str">
        <f>IF((I216&gt;$W$2),"Y","N")</f>
        <v>N</v>
      </c>
      <c r="O216" s="16" t="s">
        <v>469</v>
      </c>
      <c r="P216" s="10" t="s">
        <v>180</v>
      </c>
      <c r="Q216" s="10" t="s">
        <v>181</v>
      </c>
      <c r="S216" s="16" t="str">
        <f>MID(Q216,9,30)</f>
        <v>Dennis C Trott</v>
      </c>
      <c r="T216" s="31" t="s">
        <v>1454</v>
      </c>
    </row>
    <row r="217" spans="1:33" customFormat="1" hidden="1">
      <c r="A217">
        <v>3</v>
      </c>
      <c r="B217" t="s">
        <v>149</v>
      </c>
      <c r="C217">
        <v>1233</v>
      </c>
      <c r="D217" t="s">
        <v>315</v>
      </c>
      <c r="E217" t="s">
        <v>316</v>
      </c>
      <c r="F217" s="2">
        <v>35817</v>
      </c>
      <c r="H217" s="2">
        <v>37048</v>
      </c>
      <c r="I217" s="6"/>
      <c r="L217" t="s">
        <v>322</v>
      </c>
      <c r="M217" t="s">
        <v>297</v>
      </c>
      <c r="P217" t="s">
        <v>180</v>
      </c>
      <c r="Q217" t="s">
        <v>182</v>
      </c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</row>
    <row r="218" spans="1:33" ht="13.5">
      <c r="A218" s="16">
        <v>3</v>
      </c>
      <c r="B218" s="16" t="s">
        <v>140</v>
      </c>
      <c r="C218" s="16">
        <v>1089</v>
      </c>
      <c r="D218" s="7" t="s">
        <v>295</v>
      </c>
      <c r="E218" s="16" t="s">
        <v>296</v>
      </c>
      <c r="F218" s="2">
        <v>35095</v>
      </c>
      <c r="G218" s="2">
        <v>35874</v>
      </c>
      <c r="H218" s="2">
        <v>38852</v>
      </c>
      <c r="I218" s="25">
        <v>41820</v>
      </c>
      <c r="J218" s="2">
        <v>37299</v>
      </c>
      <c r="K218" s="2">
        <v>36208</v>
      </c>
      <c r="L218" t="s">
        <v>297</v>
      </c>
      <c r="M218" t="s">
        <v>297</v>
      </c>
      <c r="N218" s="23" t="str">
        <f>IF((I218&gt;$W$2),"Y","N")</f>
        <v>Y</v>
      </c>
      <c r="O218" s="16" t="s">
        <v>525</v>
      </c>
      <c r="P218" s="10" t="s">
        <v>180</v>
      </c>
      <c r="Q218" s="10" t="s">
        <v>185</v>
      </c>
      <c r="S218" s="16" t="str">
        <f>MID(Q218,9,30)</f>
        <v>Patti   Foley</v>
      </c>
      <c r="T218" s="31">
        <v>41484</v>
      </c>
      <c r="V218" s="12"/>
      <c r="W218" s="22"/>
    </row>
    <row r="219" spans="1:33" s="7" customFormat="1" hidden="1">
      <c r="A219" s="7">
        <v>3</v>
      </c>
      <c r="B219" s="7" t="s">
        <v>149</v>
      </c>
      <c r="C219" s="7">
        <v>1316</v>
      </c>
      <c r="D219" s="7" t="s">
        <v>408</v>
      </c>
      <c r="E219" s="7" t="s">
        <v>316</v>
      </c>
      <c r="F219" s="2">
        <v>36481</v>
      </c>
      <c r="G219"/>
      <c r="H219" s="2">
        <v>38076</v>
      </c>
      <c r="I219" s="8">
        <v>37437</v>
      </c>
      <c r="J219"/>
      <c r="K219"/>
      <c r="L219" t="s">
        <v>297</v>
      </c>
      <c r="M219" t="s">
        <v>297</v>
      </c>
      <c r="N219"/>
      <c r="P219" s="7" t="s">
        <v>180</v>
      </c>
      <c r="Q219" s="7" t="s">
        <v>182</v>
      </c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</row>
    <row r="220" spans="1:33" s="7" customFormat="1" hidden="1">
      <c r="A220" s="7">
        <v>3</v>
      </c>
      <c r="B220" s="7" t="s">
        <v>149</v>
      </c>
      <c r="C220" s="7">
        <v>1320</v>
      </c>
      <c r="D220" s="7" t="s">
        <v>348</v>
      </c>
      <c r="E220" s="7" t="s">
        <v>316</v>
      </c>
      <c r="F220" s="2">
        <v>36539</v>
      </c>
      <c r="G220"/>
      <c r="H220" s="2">
        <v>36577</v>
      </c>
      <c r="I220" s="8">
        <v>36834</v>
      </c>
      <c r="J220"/>
      <c r="K220"/>
      <c r="L220" t="s">
        <v>317</v>
      </c>
      <c r="M220" t="s">
        <v>297</v>
      </c>
      <c r="N220"/>
      <c r="P220" s="7" t="s">
        <v>180</v>
      </c>
      <c r="Q220" s="7" t="s">
        <v>182</v>
      </c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</row>
    <row r="221" spans="1:33" s="7" customFormat="1" hidden="1">
      <c r="A221" s="7">
        <v>3</v>
      </c>
      <c r="B221" s="7" t="s">
        <v>149</v>
      </c>
      <c r="C221" s="7">
        <v>1397</v>
      </c>
      <c r="D221" s="7" t="s">
        <v>315</v>
      </c>
      <c r="E221" s="7" t="s">
        <v>316</v>
      </c>
      <c r="F221" s="2">
        <v>37211</v>
      </c>
      <c r="G221"/>
      <c r="H221" s="2">
        <v>38124</v>
      </c>
      <c r="I221" s="8">
        <v>37576</v>
      </c>
      <c r="J221"/>
      <c r="K221"/>
      <c r="L221" t="s">
        <v>297</v>
      </c>
      <c r="M221" t="s">
        <v>297</v>
      </c>
      <c r="N221"/>
      <c r="P221" s="7" t="s">
        <v>180</v>
      </c>
      <c r="Q221" s="7" t="s">
        <v>182</v>
      </c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</row>
    <row r="222" spans="1:33">
      <c r="A222" s="16">
        <v>3</v>
      </c>
      <c r="B222" s="16" t="s">
        <v>140</v>
      </c>
      <c r="C222" s="16">
        <v>1328</v>
      </c>
      <c r="D222" s="7" t="s">
        <v>295</v>
      </c>
      <c r="E222" s="16" t="s">
        <v>296</v>
      </c>
      <c r="F222" s="2">
        <v>36577</v>
      </c>
      <c r="G222" s="2">
        <v>37733</v>
      </c>
      <c r="H222" s="2">
        <v>38964</v>
      </c>
      <c r="I222" s="25">
        <v>41455</v>
      </c>
      <c r="L222" t="s">
        <v>297</v>
      </c>
      <c r="M222" t="s">
        <v>297</v>
      </c>
      <c r="N222" s="23" t="str">
        <f>IF((I222&gt;$W$2),"Y","N")</f>
        <v>N</v>
      </c>
      <c r="O222" s="16" t="s">
        <v>1542</v>
      </c>
      <c r="P222" s="10" t="s">
        <v>180</v>
      </c>
      <c r="Q222" s="10" t="s">
        <v>181</v>
      </c>
      <c r="S222" s="16" t="str">
        <f>MID(Q222,9,30)</f>
        <v>Dennis C Trott</v>
      </c>
      <c r="T222" s="31" t="s">
        <v>1541</v>
      </c>
      <c r="U222" s="24">
        <v>39968</v>
      </c>
    </row>
    <row r="223" spans="1:33" s="7" customFormat="1" hidden="1">
      <c r="A223" s="7">
        <v>3</v>
      </c>
      <c r="B223" s="7" t="s">
        <v>149</v>
      </c>
      <c r="C223" s="7">
        <v>1439</v>
      </c>
      <c r="D223" s="7" t="s">
        <v>408</v>
      </c>
      <c r="E223" s="7" t="s">
        <v>316</v>
      </c>
      <c r="F223" s="2">
        <v>37694</v>
      </c>
      <c r="G223"/>
      <c r="H223" s="2">
        <v>37694</v>
      </c>
      <c r="I223" s="8">
        <v>38060</v>
      </c>
      <c r="J223"/>
      <c r="K223"/>
      <c r="L223" t="s">
        <v>297</v>
      </c>
      <c r="M223" t="s">
        <v>297</v>
      </c>
      <c r="N223"/>
      <c r="P223" s="7" t="s">
        <v>180</v>
      </c>
      <c r="Q223" s="7" t="s">
        <v>182</v>
      </c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</row>
    <row r="224" spans="1:33">
      <c r="A224" s="16">
        <v>3</v>
      </c>
      <c r="B224" s="16" t="s">
        <v>140</v>
      </c>
      <c r="C224" s="16">
        <v>1378</v>
      </c>
      <c r="D224" s="7" t="s">
        <v>295</v>
      </c>
      <c r="E224" s="16" t="s">
        <v>299</v>
      </c>
      <c r="F224" s="2">
        <v>36991</v>
      </c>
      <c r="H224" s="2">
        <v>38858</v>
      </c>
      <c r="I224" s="25" t="s">
        <v>1266</v>
      </c>
      <c r="L224" t="s">
        <v>322</v>
      </c>
      <c r="N224" s="23" t="str">
        <f>IF((I224&gt;$W$2),"Y","N")</f>
        <v>Y</v>
      </c>
      <c r="O224" s="16" t="s">
        <v>471</v>
      </c>
      <c r="P224" s="10" t="s">
        <v>180</v>
      </c>
      <c r="Q224" s="10" t="s">
        <v>181</v>
      </c>
      <c r="S224" s="16" t="str">
        <f>MID(Q224,9,30)</f>
        <v>Dennis C Trott</v>
      </c>
      <c r="T224" s="31" t="s">
        <v>1291</v>
      </c>
    </row>
    <row r="225" spans="1:20">
      <c r="A225" s="16">
        <v>3</v>
      </c>
      <c r="B225" s="16" t="s">
        <v>140</v>
      </c>
      <c r="C225" s="16">
        <v>1381</v>
      </c>
      <c r="D225" s="7" t="s">
        <v>295</v>
      </c>
      <c r="E225" s="16" t="s">
        <v>316</v>
      </c>
      <c r="F225" s="2">
        <v>37029</v>
      </c>
      <c r="H225" s="2">
        <v>38441</v>
      </c>
      <c r="I225" s="25">
        <v>37394</v>
      </c>
      <c r="L225" t="s">
        <v>322</v>
      </c>
      <c r="N225" s="23" t="str">
        <f>IF((I225&gt;$W$2),"Y","N")</f>
        <v>N</v>
      </c>
      <c r="O225" s="16" t="s">
        <v>472</v>
      </c>
      <c r="P225" s="10" t="s">
        <v>180</v>
      </c>
      <c r="Q225" s="10" t="s">
        <v>181</v>
      </c>
      <c r="S225" s="16" t="str">
        <f>MID(Q225,9,30)</f>
        <v>Dennis C Trott</v>
      </c>
    </row>
    <row r="226" spans="1:20">
      <c r="A226" s="16">
        <v>3</v>
      </c>
      <c r="B226" s="16" t="s">
        <v>140</v>
      </c>
      <c r="C226" s="16">
        <v>1479</v>
      </c>
      <c r="D226" t="s">
        <v>295</v>
      </c>
      <c r="E226" s="16" t="s">
        <v>316</v>
      </c>
      <c r="F226" s="2">
        <v>38184</v>
      </c>
      <c r="H226" s="2">
        <v>38944</v>
      </c>
      <c r="I226" s="25" t="s">
        <v>1266</v>
      </c>
      <c r="L226" t="s">
        <v>297</v>
      </c>
      <c r="M226" t="s">
        <v>297</v>
      </c>
      <c r="N226" s="23" t="str">
        <f>IF((I226&gt;$W$2),"Y","N")</f>
        <v>Y</v>
      </c>
      <c r="O226" s="16" t="s">
        <v>473</v>
      </c>
      <c r="P226" s="10" t="s">
        <v>180</v>
      </c>
      <c r="Q226" s="10" t="s">
        <v>181</v>
      </c>
      <c r="S226" s="16" t="str">
        <f>MID(Q226,9,30)</f>
        <v>Dennis C Trott</v>
      </c>
      <c r="T226" s="31" t="s">
        <v>1293</v>
      </c>
    </row>
    <row r="227" spans="1:20" customFormat="1" hidden="1">
      <c r="A227" t="s">
        <v>180</v>
      </c>
      <c r="B227" t="s">
        <v>182</v>
      </c>
      <c r="I227" s="6"/>
    </row>
    <row r="228" spans="1:20">
      <c r="A228" s="16">
        <v>3</v>
      </c>
      <c r="B228" s="16" t="s">
        <v>140</v>
      </c>
      <c r="C228" s="16">
        <v>1485</v>
      </c>
      <c r="D228" s="7" t="s">
        <v>295</v>
      </c>
      <c r="E228" s="16" t="s">
        <v>316</v>
      </c>
      <c r="F228" s="2">
        <v>38181</v>
      </c>
      <c r="G228" s="2">
        <v>39521</v>
      </c>
      <c r="H228" s="2">
        <v>38992</v>
      </c>
      <c r="I228" s="25" t="s">
        <v>1266</v>
      </c>
      <c r="K228" s="2">
        <v>38992</v>
      </c>
      <c r="L228" t="s">
        <v>297</v>
      </c>
      <c r="M228" t="s">
        <v>297</v>
      </c>
      <c r="N228" s="23" t="str">
        <f t="shared" ref="N228:N243" si="22">IF((I228&gt;$W$2),"Y","N")</f>
        <v>Y</v>
      </c>
      <c r="O228" s="16" t="s">
        <v>474</v>
      </c>
      <c r="P228" s="10" t="s">
        <v>180</v>
      </c>
      <c r="Q228" s="10" t="s">
        <v>181</v>
      </c>
      <c r="S228" s="16" t="str">
        <f>MID(Q228,9,30)</f>
        <v>Dennis C Trott</v>
      </c>
    </row>
    <row r="229" spans="1:20">
      <c r="A229" s="16">
        <v>3</v>
      </c>
      <c r="B229" s="16" t="s">
        <v>140</v>
      </c>
      <c r="C229" s="16">
        <v>1492</v>
      </c>
      <c r="D229" s="7" t="s">
        <v>295</v>
      </c>
      <c r="E229" s="16" t="s">
        <v>316</v>
      </c>
      <c r="F229" s="2">
        <v>38321</v>
      </c>
      <c r="G229" s="2">
        <v>39521</v>
      </c>
      <c r="H229" s="2">
        <v>38443</v>
      </c>
      <c r="I229" s="25">
        <v>38564</v>
      </c>
      <c r="L229" t="s">
        <v>297</v>
      </c>
      <c r="M229" t="s">
        <v>297</v>
      </c>
      <c r="N229" s="23" t="str">
        <f t="shared" si="22"/>
        <v>N</v>
      </c>
      <c r="O229" s="16" t="s">
        <v>475</v>
      </c>
      <c r="P229" s="10" t="s">
        <v>180</v>
      </c>
      <c r="Q229" s="10" t="s">
        <v>181</v>
      </c>
      <c r="S229" s="16" t="str">
        <f>MID(Q229,9,30)</f>
        <v>Dennis C Trott</v>
      </c>
    </row>
    <row r="230" spans="1:20">
      <c r="A230" s="16">
        <v>3</v>
      </c>
      <c r="B230" s="16" t="s">
        <v>140</v>
      </c>
      <c r="C230" s="16">
        <v>1573</v>
      </c>
      <c r="E230" s="16" t="s">
        <v>299</v>
      </c>
      <c r="F230" s="2">
        <v>39157</v>
      </c>
      <c r="H230" s="2">
        <v>39157</v>
      </c>
      <c r="I230" s="25">
        <v>40359</v>
      </c>
      <c r="L230" t="s">
        <v>297</v>
      </c>
      <c r="M230" t="s">
        <v>297</v>
      </c>
      <c r="N230" s="23" t="str">
        <f t="shared" si="22"/>
        <v>N</v>
      </c>
      <c r="O230" s="16" t="s">
        <v>1420</v>
      </c>
    </row>
    <row r="231" spans="1:20">
      <c r="A231" s="16">
        <v>3</v>
      </c>
      <c r="B231" s="16" t="s">
        <v>140</v>
      </c>
      <c r="C231" s="16">
        <v>1577</v>
      </c>
      <c r="E231" s="16" t="s">
        <v>299</v>
      </c>
      <c r="F231" s="2">
        <v>39182</v>
      </c>
      <c r="H231" s="2">
        <v>39182</v>
      </c>
      <c r="I231" s="25">
        <v>39994</v>
      </c>
      <c r="L231" t="s">
        <v>297</v>
      </c>
      <c r="M231" t="s">
        <v>322</v>
      </c>
      <c r="N231" s="23" t="str">
        <f t="shared" si="22"/>
        <v>N</v>
      </c>
      <c r="O231" s="30" t="s">
        <v>1721</v>
      </c>
    </row>
    <row r="232" spans="1:20">
      <c r="A232" s="16">
        <v>3</v>
      </c>
      <c r="B232" s="16" t="s">
        <v>140</v>
      </c>
      <c r="C232" s="16">
        <v>1600</v>
      </c>
      <c r="E232" s="16" t="s">
        <v>299</v>
      </c>
      <c r="F232" s="2">
        <v>38365</v>
      </c>
      <c r="H232" s="2">
        <v>38524</v>
      </c>
      <c r="I232" s="25">
        <v>41455</v>
      </c>
      <c r="L232" t="s">
        <v>297</v>
      </c>
      <c r="M232" t="s">
        <v>297</v>
      </c>
      <c r="N232" s="23" t="str">
        <f t="shared" si="22"/>
        <v>N</v>
      </c>
      <c r="O232" s="16" t="s">
        <v>1366</v>
      </c>
      <c r="T232" s="31" t="s">
        <v>1367</v>
      </c>
    </row>
    <row r="233" spans="1:20">
      <c r="A233" s="16">
        <v>3</v>
      </c>
      <c r="B233" s="16" t="s">
        <v>149</v>
      </c>
      <c r="C233" s="16">
        <v>79</v>
      </c>
      <c r="D233" t="s">
        <v>295</v>
      </c>
      <c r="E233" s="16" t="s">
        <v>296</v>
      </c>
      <c r="F233" s="2">
        <v>27591</v>
      </c>
      <c r="G233" s="2">
        <v>27886</v>
      </c>
      <c r="H233" s="2">
        <v>39168</v>
      </c>
      <c r="I233" s="25">
        <v>41820</v>
      </c>
      <c r="K233" s="2">
        <v>33630</v>
      </c>
      <c r="L233" t="s">
        <v>297</v>
      </c>
      <c r="M233" t="s">
        <v>297</v>
      </c>
      <c r="N233" s="23" t="str">
        <f t="shared" si="22"/>
        <v>Y</v>
      </c>
      <c r="O233" s="16" t="s">
        <v>476</v>
      </c>
      <c r="P233" s="10" t="s">
        <v>180</v>
      </c>
      <c r="Q233" s="10" t="s">
        <v>182</v>
      </c>
      <c r="S233" s="16" t="str">
        <f t="shared" ref="S233:S242" si="23">MID(Q233,9,30)</f>
        <v>Joyce M Purnell</v>
      </c>
      <c r="T233" s="31">
        <v>41460</v>
      </c>
    </row>
    <row r="234" spans="1:20">
      <c r="A234" s="16">
        <v>3</v>
      </c>
      <c r="B234" s="16" t="s">
        <v>149</v>
      </c>
      <c r="C234" s="16">
        <v>186</v>
      </c>
      <c r="D234" t="s">
        <v>295</v>
      </c>
      <c r="E234" s="16" t="s">
        <v>296</v>
      </c>
      <c r="F234" s="2">
        <v>28607</v>
      </c>
      <c r="G234" s="2">
        <v>28814</v>
      </c>
      <c r="H234" s="2">
        <v>39334</v>
      </c>
      <c r="I234" s="25">
        <v>41820</v>
      </c>
      <c r="J234" s="2">
        <v>30316</v>
      </c>
      <c r="K234" s="2">
        <v>36213</v>
      </c>
      <c r="L234" t="s">
        <v>297</v>
      </c>
      <c r="M234" t="s">
        <v>297</v>
      </c>
      <c r="N234" s="23" t="str">
        <f t="shared" si="22"/>
        <v>Y</v>
      </c>
      <c r="O234" s="30" t="s">
        <v>1722</v>
      </c>
      <c r="P234" s="10" t="s">
        <v>180</v>
      </c>
      <c r="Q234" s="10" t="s">
        <v>182</v>
      </c>
      <c r="S234" s="16" t="str">
        <f t="shared" si="23"/>
        <v>Joyce M Purnell</v>
      </c>
      <c r="T234" s="31">
        <v>41470</v>
      </c>
    </row>
    <row r="235" spans="1:20">
      <c r="A235" s="16">
        <v>3</v>
      </c>
      <c r="B235" s="16" t="s">
        <v>149</v>
      </c>
      <c r="C235" s="16">
        <v>715</v>
      </c>
      <c r="D235" s="7" t="s">
        <v>295</v>
      </c>
      <c r="E235" s="16" t="s">
        <v>296</v>
      </c>
      <c r="F235" s="2">
        <v>32892</v>
      </c>
      <c r="G235" s="2">
        <v>33264</v>
      </c>
      <c r="H235" s="2">
        <v>39362</v>
      </c>
      <c r="I235" s="25">
        <v>41820</v>
      </c>
      <c r="J235" s="2">
        <v>39213</v>
      </c>
      <c r="K235" s="2">
        <v>37784</v>
      </c>
      <c r="L235" t="s">
        <v>297</v>
      </c>
      <c r="M235" t="s">
        <v>297</v>
      </c>
      <c r="N235" s="23" t="str">
        <f t="shared" si="22"/>
        <v>Y</v>
      </c>
      <c r="O235" s="16" t="s">
        <v>1179</v>
      </c>
      <c r="P235" s="10" t="s">
        <v>180</v>
      </c>
      <c r="Q235" s="10" t="s">
        <v>182</v>
      </c>
      <c r="S235" s="16" t="str">
        <f t="shared" si="23"/>
        <v>Joyce M Purnell</v>
      </c>
      <c r="T235" s="31">
        <v>41465</v>
      </c>
    </row>
    <row r="236" spans="1:20">
      <c r="A236" s="16">
        <v>3</v>
      </c>
      <c r="B236" s="16" t="s">
        <v>149</v>
      </c>
      <c r="C236" s="16">
        <v>834</v>
      </c>
      <c r="D236" t="s">
        <v>295</v>
      </c>
      <c r="E236" s="16" t="s">
        <v>296</v>
      </c>
      <c r="F236" s="2">
        <v>33684</v>
      </c>
      <c r="G236" s="2">
        <v>34484</v>
      </c>
      <c r="H236" s="2">
        <v>39508</v>
      </c>
      <c r="I236" s="25">
        <v>41820</v>
      </c>
      <c r="J236" s="2">
        <v>39427</v>
      </c>
      <c r="K236" s="2">
        <v>34516</v>
      </c>
      <c r="L236" t="s">
        <v>297</v>
      </c>
      <c r="M236" t="s">
        <v>297</v>
      </c>
      <c r="N236" s="23" t="str">
        <f t="shared" si="22"/>
        <v>Y</v>
      </c>
      <c r="O236" s="16" t="s">
        <v>1399</v>
      </c>
      <c r="P236" s="10" t="s">
        <v>180</v>
      </c>
      <c r="Q236" s="10" t="s">
        <v>182</v>
      </c>
      <c r="S236" s="16" t="str">
        <f t="shared" si="23"/>
        <v>Joyce M Purnell</v>
      </c>
      <c r="T236" s="31">
        <v>41425</v>
      </c>
    </row>
    <row r="237" spans="1:20">
      <c r="A237" s="16">
        <v>3</v>
      </c>
      <c r="B237" s="16" t="s">
        <v>149</v>
      </c>
      <c r="C237" s="16">
        <v>1143</v>
      </c>
      <c r="D237" s="7" t="s">
        <v>295</v>
      </c>
      <c r="E237" s="16" t="s">
        <v>296</v>
      </c>
      <c r="F237" s="2">
        <v>35305</v>
      </c>
      <c r="G237" s="2">
        <v>36483</v>
      </c>
      <c r="H237" s="2">
        <v>38672</v>
      </c>
      <c r="I237" s="25">
        <v>41820</v>
      </c>
      <c r="K237" s="2">
        <v>37552</v>
      </c>
      <c r="L237" t="s">
        <v>297</v>
      </c>
      <c r="M237" t="s">
        <v>297</v>
      </c>
      <c r="N237" s="23" t="str">
        <f t="shared" si="22"/>
        <v>Y</v>
      </c>
      <c r="O237" s="16" t="s">
        <v>480</v>
      </c>
      <c r="P237" s="10" t="s">
        <v>180</v>
      </c>
      <c r="Q237" s="10" t="s">
        <v>182</v>
      </c>
      <c r="S237" s="16" t="str">
        <f t="shared" si="23"/>
        <v>Joyce M Purnell</v>
      </c>
      <c r="T237" s="31">
        <v>41435</v>
      </c>
    </row>
    <row r="238" spans="1:20">
      <c r="A238" s="16">
        <v>3</v>
      </c>
      <c r="B238" s="16" t="s">
        <v>149</v>
      </c>
      <c r="C238" s="16">
        <v>1271</v>
      </c>
      <c r="D238" s="7" t="s">
        <v>295</v>
      </c>
      <c r="E238" s="16" t="s">
        <v>316</v>
      </c>
      <c r="F238" s="2">
        <v>36042</v>
      </c>
      <c r="G238" s="2">
        <v>37764</v>
      </c>
      <c r="H238" s="2">
        <v>39116</v>
      </c>
      <c r="I238" s="25">
        <v>37256</v>
      </c>
      <c r="L238" t="s">
        <v>297</v>
      </c>
      <c r="M238" t="s">
        <v>297</v>
      </c>
      <c r="N238" s="23" t="str">
        <f t="shared" si="22"/>
        <v>N</v>
      </c>
      <c r="O238" s="16" t="s">
        <v>481</v>
      </c>
      <c r="P238" s="10" t="s">
        <v>180</v>
      </c>
      <c r="Q238" s="10" t="s">
        <v>182</v>
      </c>
      <c r="S238" s="16" t="str">
        <f t="shared" si="23"/>
        <v>Joyce M Purnell</v>
      </c>
    </row>
    <row r="239" spans="1:20">
      <c r="A239" s="16">
        <v>3</v>
      </c>
      <c r="B239" s="16" t="s">
        <v>149</v>
      </c>
      <c r="C239" s="16">
        <v>1424</v>
      </c>
      <c r="D239" s="7" t="s">
        <v>295</v>
      </c>
      <c r="E239" s="16" t="s">
        <v>316</v>
      </c>
      <c r="F239" s="2">
        <v>37526</v>
      </c>
      <c r="H239" s="2">
        <v>37495</v>
      </c>
      <c r="I239" s="25">
        <v>37864</v>
      </c>
      <c r="L239" t="s">
        <v>297</v>
      </c>
      <c r="M239" t="s">
        <v>297</v>
      </c>
      <c r="N239" s="23" t="str">
        <f t="shared" si="22"/>
        <v>N</v>
      </c>
      <c r="O239" s="16" t="s">
        <v>482</v>
      </c>
      <c r="P239" s="10" t="s">
        <v>180</v>
      </c>
      <c r="Q239" s="10" t="s">
        <v>182</v>
      </c>
      <c r="S239" s="16" t="str">
        <f t="shared" si="23"/>
        <v>Joyce M Purnell</v>
      </c>
    </row>
    <row r="240" spans="1:20">
      <c r="A240" s="16">
        <v>3</v>
      </c>
      <c r="B240" s="16" t="s">
        <v>149</v>
      </c>
      <c r="C240" s="16">
        <v>1476</v>
      </c>
      <c r="D240" t="s">
        <v>295</v>
      </c>
      <c r="E240" s="16" t="s">
        <v>296</v>
      </c>
      <c r="F240" s="2">
        <v>38167</v>
      </c>
      <c r="G240" s="2">
        <v>38776</v>
      </c>
      <c r="H240" s="2">
        <v>39117</v>
      </c>
      <c r="I240" s="25">
        <v>41820</v>
      </c>
      <c r="K240" s="2">
        <v>39419</v>
      </c>
      <c r="L240" t="s">
        <v>297</v>
      </c>
      <c r="M240" t="s">
        <v>297</v>
      </c>
      <c r="N240" s="23" t="str">
        <f t="shared" si="22"/>
        <v>Y</v>
      </c>
      <c r="O240" s="30" t="s">
        <v>1723</v>
      </c>
      <c r="P240" s="10" t="s">
        <v>180</v>
      </c>
      <c r="Q240" s="10" t="s">
        <v>182</v>
      </c>
      <c r="S240" s="16" t="str">
        <f t="shared" si="23"/>
        <v>Joyce M Purnell</v>
      </c>
      <c r="T240" s="31">
        <v>41451</v>
      </c>
    </row>
    <row r="241" spans="1:33">
      <c r="A241" s="16">
        <v>3</v>
      </c>
      <c r="B241" s="16" t="s">
        <v>149</v>
      </c>
      <c r="C241" s="16">
        <v>1541</v>
      </c>
      <c r="D241" s="7" t="s">
        <v>295</v>
      </c>
      <c r="E241" s="16" t="s">
        <v>316</v>
      </c>
      <c r="F241" s="2">
        <v>39148</v>
      </c>
      <c r="H241" s="2">
        <v>39149</v>
      </c>
      <c r="I241" s="25" t="s">
        <v>1266</v>
      </c>
      <c r="L241" t="s">
        <v>317</v>
      </c>
      <c r="M241" t="s">
        <v>297</v>
      </c>
      <c r="N241" s="23" t="str">
        <f t="shared" si="22"/>
        <v>Y</v>
      </c>
      <c r="O241" s="16" t="s">
        <v>484</v>
      </c>
      <c r="P241" s="10" t="s">
        <v>180</v>
      </c>
      <c r="Q241" s="10" t="s">
        <v>182</v>
      </c>
      <c r="S241" s="16" t="str">
        <f t="shared" si="23"/>
        <v>Joyce M Purnell</v>
      </c>
    </row>
    <row r="242" spans="1:33">
      <c r="A242" s="16">
        <v>3</v>
      </c>
      <c r="B242" s="16" t="s">
        <v>149</v>
      </c>
      <c r="C242" s="16">
        <v>1555</v>
      </c>
      <c r="D242" t="s">
        <v>295</v>
      </c>
      <c r="E242" s="16" t="s">
        <v>376</v>
      </c>
      <c r="F242" s="2">
        <v>39417</v>
      </c>
      <c r="H242" s="2">
        <v>39450</v>
      </c>
      <c r="I242" s="25">
        <v>39629</v>
      </c>
      <c r="L242" t="s">
        <v>297</v>
      </c>
      <c r="M242" t="s">
        <v>297</v>
      </c>
      <c r="N242" s="23" t="str">
        <f t="shared" si="22"/>
        <v>N</v>
      </c>
      <c r="O242" s="16" t="s">
        <v>485</v>
      </c>
      <c r="P242" s="10" t="s">
        <v>180</v>
      </c>
      <c r="Q242" s="10" t="s">
        <v>182</v>
      </c>
      <c r="S242" s="16" t="str">
        <f t="shared" si="23"/>
        <v>Joyce M Purnell</v>
      </c>
    </row>
    <row r="243" spans="1:33">
      <c r="A243" s="16">
        <v>3</v>
      </c>
      <c r="B243" s="30" t="s">
        <v>149</v>
      </c>
      <c r="C243" s="16">
        <v>1572</v>
      </c>
      <c r="E243" s="30" t="s">
        <v>376</v>
      </c>
      <c r="I243" s="25">
        <v>39994</v>
      </c>
      <c r="N243" s="23" t="str">
        <f t="shared" si="22"/>
        <v>N</v>
      </c>
      <c r="O243" s="41"/>
    </row>
    <row r="244" spans="1:33" customFormat="1" hidden="1">
      <c r="A244" t="s">
        <v>180</v>
      </c>
      <c r="B244" t="s">
        <v>183</v>
      </c>
      <c r="I244" s="6"/>
    </row>
    <row r="245" spans="1:33" customFormat="1" hidden="1">
      <c r="A245">
        <v>3</v>
      </c>
      <c r="B245" t="s">
        <v>157</v>
      </c>
      <c r="C245">
        <v>356</v>
      </c>
      <c r="D245" t="s">
        <v>380</v>
      </c>
      <c r="E245" t="s">
        <v>316</v>
      </c>
      <c r="F245" s="2">
        <v>30099</v>
      </c>
      <c r="G245" s="2">
        <v>30394</v>
      </c>
      <c r="H245" s="2">
        <v>37796</v>
      </c>
      <c r="I245" s="6"/>
      <c r="K245" s="2">
        <v>32402</v>
      </c>
      <c r="L245" t="s">
        <v>297</v>
      </c>
      <c r="M245" t="s">
        <v>297</v>
      </c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</row>
    <row r="246" spans="1:33">
      <c r="A246" s="16">
        <v>3</v>
      </c>
      <c r="B246" s="16" t="s">
        <v>317</v>
      </c>
      <c r="C246" s="16">
        <v>134</v>
      </c>
      <c r="D246" s="7" t="s">
        <v>295</v>
      </c>
      <c r="E246" s="16" t="s">
        <v>296</v>
      </c>
      <c r="F246" s="2">
        <v>28093</v>
      </c>
      <c r="G246" s="2">
        <v>28845</v>
      </c>
      <c r="H246" s="2">
        <v>39483</v>
      </c>
      <c r="I246" s="25">
        <v>41455</v>
      </c>
      <c r="J246" s="2">
        <v>35795</v>
      </c>
      <c r="L246" t="s">
        <v>297</v>
      </c>
      <c r="M246" t="s">
        <v>297</v>
      </c>
      <c r="N246" s="23" t="str">
        <f>IF((I246&gt;$W$2),"Y","N")</f>
        <v>N</v>
      </c>
      <c r="O246" s="16" t="s">
        <v>1555</v>
      </c>
      <c r="P246" s="10" t="s">
        <v>180</v>
      </c>
      <c r="Q246" s="10" t="s">
        <v>183</v>
      </c>
      <c r="S246" s="16" t="str">
        <f>MID(Q246,9,30)</f>
        <v>Stephen W Barth</v>
      </c>
      <c r="T246" s="31" t="s">
        <v>1541</v>
      </c>
    </row>
    <row r="247" spans="1:33">
      <c r="A247" s="16">
        <v>3</v>
      </c>
      <c r="B247" s="16" t="s">
        <v>317</v>
      </c>
      <c r="C247" s="16">
        <v>222</v>
      </c>
      <c r="D247" t="s">
        <v>295</v>
      </c>
      <c r="E247" s="16" t="s">
        <v>296</v>
      </c>
      <c r="F247" s="2">
        <v>28902</v>
      </c>
      <c r="G247" s="2">
        <v>29326</v>
      </c>
      <c r="H247" s="2">
        <v>39185</v>
      </c>
      <c r="I247" s="25">
        <v>41820</v>
      </c>
      <c r="K247" s="2">
        <v>35089</v>
      </c>
      <c r="L247" t="s">
        <v>297</v>
      </c>
      <c r="M247" t="s">
        <v>297</v>
      </c>
      <c r="N247" s="23" t="str">
        <f>IF((I247&gt;$W$2),"Y","N")</f>
        <v>Y</v>
      </c>
      <c r="O247" s="30" t="s">
        <v>1724</v>
      </c>
      <c r="P247" s="10" t="s">
        <v>180</v>
      </c>
      <c r="Q247" s="10" t="s">
        <v>183</v>
      </c>
      <c r="S247" s="16" t="str">
        <f>MID(Q247,9,30)</f>
        <v>Stephen W Barth</v>
      </c>
      <c r="T247" s="31">
        <v>41428</v>
      </c>
    </row>
    <row r="248" spans="1:33">
      <c r="A248" s="16">
        <v>3</v>
      </c>
      <c r="B248" s="16" t="s">
        <v>317</v>
      </c>
      <c r="C248" s="16">
        <v>327</v>
      </c>
      <c r="D248" s="7" t="s">
        <v>295</v>
      </c>
      <c r="E248" s="16" t="s">
        <v>296</v>
      </c>
      <c r="F248" s="2">
        <v>29848</v>
      </c>
      <c r="G248" s="2">
        <v>30394</v>
      </c>
      <c r="H248" s="2">
        <v>39489</v>
      </c>
      <c r="I248" s="25">
        <v>41820</v>
      </c>
      <c r="K248" s="2">
        <v>35087</v>
      </c>
      <c r="L248" t="s">
        <v>297</v>
      </c>
      <c r="M248" t="s">
        <v>297</v>
      </c>
      <c r="N248" s="23" t="str">
        <f>IF((I248&gt;$W$2),"Y","N")</f>
        <v>Y</v>
      </c>
      <c r="O248" s="16" t="s">
        <v>1556</v>
      </c>
      <c r="P248" s="10" t="s">
        <v>180</v>
      </c>
      <c r="Q248" s="10" t="s">
        <v>183</v>
      </c>
      <c r="S248" s="16" t="str">
        <f>MID(Q248,9,30)</f>
        <v>Stephen W Barth</v>
      </c>
      <c r="T248" s="31">
        <v>41424</v>
      </c>
    </row>
    <row r="249" spans="1:33">
      <c r="A249" s="16">
        <v>3</v>
      </c>
      <c r="B249" s="16" t="s">
        <v>317</v>
      </c>
      <c r="C249" s="16">
        <v>344</v>
      </c>
      <c r="D249" s="7" t="s">
        <v>295</v>
      </c>
      <c r="E249" s="16" t="s">
        <v>296</v>
      </c>
      <c r="F249" s="2">
        <v>29980</v>
      </c>
      <c r="G249" s="2">
        <v>30394</v>
      </c>
      <c r="H249" s="2">
        <v>39177</v>
      </c>
      <c r="I249" s="25">
        <v>41820</v>
      </c>
      <c r="K249" s="2">
        <v>35654</v>
      </c>
      <c r="L249" t="s">
        <v>297</v>
      </c>
      <c r="M249" t="s">
        <v>297</v>
      </c>
      <c r="N249" s="23" t="str">
        <f>IF((I249&gt;$W$2),"Y","N")</f>
        <v>Y</v>
      </c>
      <c r="O249" s="16" t="s">
        <v>489</v>
      </c>
      <c r="P249" s="10" t="s">
        <v>180</v>
      </c>
      <c r="Q249" s="10" t="s">
        <v>183</v>
      </c>
      <c r="S249" s="16" t="str">
        <f>MID(Q249,9,30)</f>
        <v>Stephen W Barth</v>
      </c>
      <c r="T249" s="31">
        <v>41432</v>
      </c>
    </row>
    <row r="250" spans="1:33">
      <c r="A250" s="16">
        <v>3</v>
      </c>
      <c r="B250" s="16" t="s">
        <v>317</v>
      </c>
      <c r="C250" s="16">
        <v>374</v>
      </c>
      <c r="D250" s="7" t="s">
        <v>295</v>
      </c>
      <c r="E250" s="16" t="s">
        <v>296</v>
      </c>
      <c r="F250" s="2">
        <v>30209</v>
      </c>
      <c r="G250" s="2">
        <v>30702</v>
      </c>
      <c r="H250" s="2">
        <v>39191</v>
      </c>
      <c r="I250" s="25">
        <v>41820</v>
      </c>
      <c r="K250" s="2">
        <v>36290</v>
      </c>
      <c r="L250" t="s">
        <v>322</v>
      </c>
      <c r="M250" t="s">
        <v>297</v>
      </c>
      <c r="N250" s="23" t="str">
        <f>IF((I250&gt;$W$2),"Y","N")</f>
        <v>Y</v>
      </c>
      <c r="O250" s="30" t="s">
        <v>1725</v>
      </c>
      <c r="P250" s="10" t="s">
        <v>180</v>
      </c>
      <c r="Q250" s="10" t="s">
        <v>183</v>
      </c>
      <c r="S250" s="16" t="str">
        <f>MID(Q250,9,30)</f>
        <v>Stephen W Barth</v>
      </c>
      <c r="T250" s="31">
        <v>41428</v>
      </c>
    </row>
    <row r="251" spans="1:33" s="7" customFormat="1" hidden="1">
      <c r="A251" s="7">
        <v>3</v>
      </c>
      <c r="B251" s="7" t="s">
        <v>157</v>
      </c>
      <c r="C251" s="7">
        <v>431</v>
      </c>
      <c r="D251" s="7" t="s">
        <v>348</v>
      </c>
      <c r="E251" s="7" t="s">
        <v>316</v>
      </c>
      <c r="F251" s="2">
        <v>30830</v>
      </c>
      <c r="G251" s="2">
        <v>32760</v>
      </c>
      <c r="H251" s="2">
        <v>35167</v>
      </c>
      <c r="I251" s="8">
        <v>35369</v>
      </c>
      <c r="J251"/>
      <c r="K251"/>
      <c r="L251" t="s">
        <v>297</v>
      </c>
      <c r="M251" t="s">
        <v>297</v>
      </c>
      <c r="N251"/>
      <c r="P251" s="7" t="s">
        <v>180</v>
      </c>
      <c r="Q251" s="7" t="s">
        <v>184</v>
      </c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</row>
    <row r="252" spans="1:33">
      <c r="A252" s="16">
        <v>3</v>
      </c>
      <c r="B252" s="16" t="s">
        <v>317</v>
      </c>
      <c r="C252" s="16">
        <v>405</v>
      </c>
      <c r="D252" t="s">
        <v>295</v>
      </c>
      <c r="E252" s="16" t="s">
        <v>296</v>
      </c>
      <c r="F252" s="2">
        <v>30540</v>
      </c>
      <c r="G252" s="2">
        <v>30702</v>
      </c>
      <c r="H252" s="2">
        <v>39513</v>
      </c>
      <c r="I252" s="25">
        <v>41820</v>
      </c>
      <c r="K252" s="2">
        <v>35109</v>
      </c>
      <c r="L252" t="s">
        <v>297</v>
      </c>
      <c r="M252" t="s">
        <v>297</v>
      </c>
      <c r="N252" s="23" t="str">
        <f t="shared" ref="N252:N258" si="24">IF((I252&gt;$W$2),"Y","N")</f>
        <v>Y</v>
      </c>
      <c r="O252" s="16" t="s">
        <v>491</v>
      </c>
      <c r="P252" s="10" t="s">
        <v>180</v>
      </c>
      <c r="Q252" s="10" t="s">
        <v>183</v>
      </c>
      <c r="S252" s="16" t="str">
        <f>MID(Q252,9,30)</f>
        <v>Stephen W Barth</v>
      </c>
      <c r="T252" s="31">
        <v>41428</v>
      </c>
    </row>
    <row r="253" spans="1:33">
      <c r="A253" s="16">
        <v>3</v>
      </c>
      <c r="B253" s="16" t="s">
        <v>317</v>
      </c>
      <c r="C253" s="16">
        <v>426</v>
      </c>
      <c r="E253" s="16" t="s">
        <v>296</v>
      </c>
      <c r="F253" s="2"/>
      <c r="G253" s="2"/>
      <c r="H253" s="2"/>
      <c r="I253" s="25">
        <v>39994</v>
      </c>
      <c r="K253" s="2"/>
      <c r="N253" s="23" t="str">
        <f t="shared" si="24"/>
        <v>N</v>
      </c>
      <c r="O253" s="16" t="s">
        <v>1163</v>
      </c>
      <c r="T253" s="31" t="s">
        <v>1164</v>
      </c>
    </row>
    <row r="254" spans="1:33">
      <c r="A254" s="16">
        <v>3</v>
      </c>
      <c r="B254" s="16" t="s">
        <v>317</v>
      </c>
      <c r="C254" s="16">
        <v>471</v>
      </c>
      <c r="D254" s="7" t="s">
        <v>295</v>
      </c>
      <c r="E254" s="16" t="s">
        <v>296</v>
      </c>
      <c r="F254" s="2">
        <v>31192</v>
      </c>
      <c r="G254" s="2">
        <v>31857</v>
      </c>
      <c r="H254" s="2">
        <v>38026</v>
      </c>
      <c r="I254" s="25">
        <v>41820</v>
      </c>
      <c r="K254" s="2">
        <v>38449</v>
      </c>
      <c r="L254" t="s">
        <v>297</v>
      </c>
      <c r="M254" t="s">
        <v>297</v>
      </c>
      <c r="N254" s="23" t="str">
        <f t="shared" si="24"/>
        <v>Y</v>
      </c>
      <c r="O254" s="30" t="s">
        <v>1726</v>
      </c>
      <c r="P254" s="10" t="s">
        <v>180</v>
      </c>
      <c r="Q254" s="10" t="s">
        <v>183</v>
      </c>
      <c r="S254" s="16" t="str">
        <f>MID(Q254,9,30)</f>
        <v>Stephen W Barth</v>
      </c>
      <c r="T254" s="31">
        <v>41428</v>
      </c>
    </row>
    <row r="255" spans="1:33">
      <c r="A255" s="16">
        <v>3</v>
      </c>
      <c r="B255" s="16" t="s">
        <v>317</v>
      </c>
      <c r="C255" s="16">
        <v>492</v>
      </c>
      <c r="D255" s="7" t="s">
        <v>295</v>
      </c>
      <c r="E255" s="16" t="s">
        <v>296</v>
      </c>
      <c r="F255" s="2">
        <v>31310</v>
      </c>
      <c r="G255" s="2">
        <v>31493</v>
      </c>
      <c r="H255" s="2">
        <v>39173</v>
      </c>
      <c r="I255" s="25">
        <v>41820</v>
      </c>
      <c r="K255" s="2">
        <v>35394</v>
      </c>
      <c r="L255" t="s">
        <v>297</v>
      </c>
      <c r="M255" t="s">
        <v>297</v>
      </c>
      <c r="N255" s="23" t="str">
        <f t="shared" si="24"/>
        <v>Y</v>
      </c>
      <c r="O255" s="16" t="s">
        <v>1433</v>
      </c>
      <c r="P255" s="10" t="s">
        <v>180</v>
      </c>
      <c r="Q255" s="10" t="s">
        <v>183</v>
      </c>
      <c r="S255" s="16" t="str">
        <f>MID(Q255,9,30)</f>
        <v>Stephen W Barth</v>
      </c>
      <c r="T255" s="31">
        <v>41453</v>
      </c>
    </row>
    <row r="256" spans="1:33">
      <c r="A256" s="16">
        <v>3</v>
      </c>
      <c r="B256" s="16" t="s">
        <v>317</v>
      </c>
      <c r="C256" s="16">
        <v>664</v>
      </c>
      <c r="D256" s="7" t="s">
        <v>295</v>
      </c>
      <c r="E256" s="16" t="s">
        <v>296</v>
      </c>
      <c r="F256" s="2">
        <v>32521</v>
      </c>
      <c r="G256" s="2">
        <v>32949</v>
      </c>
      <c r="H256" s="2">
        <v>39156</v>
      </c>
      <c r="I256" s="25">
        <v>41820</v>
      </c>
      <c r="J256" s="2">
        <v>36893</v>
      </c>
      <c r="K256" s="2">
        <v>36201</v>
      </c>
      <c r="L256" t="s">
        <v>297</v>
      </c>
      <c r="N256" s="23" t="str">
        <f t="shared" si="24"/>
        <v>Y</v>
      </c>
      <c r="O256" s="16" t="s">
        <v>494</v>
      </c>
      <c r="P256" s="10" t="s">
        <v>180</v>
      </c>
      <c r="Q256" s="10" t="s">
        <v>183</v>
      </c>
      <c r="S256" s="16" t="str">
        <f>MID(Q256,9,30)</f>
        <v>Stephen W Barth</v>
      </c>
      <c r="T256" s="31">
        <v>41432</v>
      </c>
    </row>
    <row r="257" spans="1:33">
      <c r="A257" s="16">
        <v>3</v>
      </c>
      <c r="B257" s="16" t="s">
        <v>317</v>
      </c>
      <c r="C257" s="16">
        <v>782</v>
      </c>
      <c r="D257" t="s">
        <v>295</v>
      </c>
      <c r="E257" s="16" t="s">
        <v>296</v>
      </c>
      <c r="F257" s="2">
        <v>33303</v>
      </c>
      <c r="G257" s="2">
        <v>33621</v>
      </c>
      <c r="H257" s="2">
        <v>39282</v>
      </c>
      <c r="I257" s="25">
        <v>41820</v>
      </c>
      <c r="K257" s="2">
        <v>39310</v>
      </c>
      <c r="L257" t="s">
        <v>297</v>
      </c>
      <c r="M257" t="s">
        <v>297</v>
      </c>
      <c r="N257" s="23" t="str">
        <f t="shared" si="24"/>
        <v>Y</v>
      </c>
      <c r="O257" s="16" t="s">
        <v>495</v>
      </c>
      <c r="P257" s="10" t="s">
        <v>180</v>
      </c>
      <c r="Q257" s="10" t="s">
        <v>183</v>
      </c>
      <c r="S257" s="16" t="str">
        <f>MID(Q257,9,30)</f>
        <v>Stephen W Barth</v>
      </c>
      <c r="T257" s="31">
        <v>41470</v>
      </c>
    </row>
    <row r="258" spans="1:33">
      <c r="A258" s="16">
        <v>3</v>
      </c>
      <c r="B258" s="16" t="s">
        <v>317</v>
      </c>
      <c r="C258" s="16">
        <v>792</v>
      </c>
      <c r="D258" s="7" t="s">
        <v>295</v>
      </c>
      <c r="E258" s="16" t="s">
        <v>296</v>
      </c>
      <c r="F258" s="2">
        <v>33384</v>
      </c>
      <c r="G258" s="2">
        <v>35084</v>
      </c>
      <c r="H258" s="2">
        <v>39224</v>
      </c>
      <c r="I258" s="25">
        <v>41820</v>
      </c>
      <c r="K258" s="2">
        <v>35209</v>
      </c>
      <c r="L258" t="s">
        <v>297</v>
      </c>
      <c r="N258" s="23" t="str">
        <f t="shared" si="24"/>
        <v>Y</v>
      </c>
      <c r="O258" s="30" t="s">
        <v>318</v>
      </c>
      <c r="P258" s="10" t="s">
        <v>180</v>
      </c>
      <c r="Q258" s="10" t="s">
        <v>183</v>
      </c>
      <c r="S258" s="16" t="str">
        <f>MID(Q258,9,30)</f>
        <v>Stephen W Barth</v>
      </c>
      <c r="T258" s="31">
        <v>41425</v>
      </c>
    </row>
    <row r="259" spans="1:33" s="7" customFormat="1" hidden="1">
      <c r="A259" s="7">
        <v>3</v>
      </c>
      <c r="B259" s="7" t="s">
        <v>157</v>
      </c>
      <c r="C259" s="7">
        <v>927</v>
      </c>
      <c r="D259" s="7" t="s">
        <v>393</v>
      </c>
      <c r="E259" s="7" t="s">
        <v>316</v>
      </c>
      <c r="F259" s="2">
        <v>34317</v>
      </c>
      <c r="G259" s="2">
        <v>38548</v>
      </c>
      <c r="H259" s="2">
        <v>38917</v>
      </c>
      <c r="I259" s="8">
        <v>38898</v>
      </c>
      <c r="J259" s="2">
        <v>38916</v>
      </c>
      <c r="K259" s="2">
        <v>36321</v>
      </c>
      <c r="L259" t="s">
        <v>297</v>
      </c>
      <c r="M259" t="s">
        <v>297</v>
      </c>
      <c r="N259"/>
      <c r="P259" s="7" t="s">
        <v>180</v>
      </c>
      <c r="Q259" s="7" t="s">
        <v>184</v>
      </c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</row>
    <row r="260" spans="1:33">
      <c r="A260" s="16">
        <v>3</v>
      </c>
      <c r="B260" s="16" t="s">
        <v>317</v>
      </c>
      <c r="C260" s="16">
        <v>840</v>
      </c>
      <c r="D260" s="7" t="s">
        <v>295</v>
      </c>
      <c r="E260" s="16" t="s">
        <v>296</v>
      </c>
      <c r="F260" s="2">
        <v>33799</v>
      </c>
      <c r="G260" s="2">
        <v>34712</v>
      </c>
      <c r="H260" s="2">
        <v>39090</v>
      </c>
      <c r="I260" s="25">
        <v>41820</v>
      </c>
      <c r="K260" s="2">
        <v>36237</v>
      </c>
      <c r="L260" t="s">
        <v>297</v>
      </c>
      <c r="M260" t="s">
        <v>297</v>
      </c>
      <c r="N260" s="23" t="str">
        <f t="shared" ref="N260:N265" si="25">IF((I260&gt;$W$2),"Y","N")</f>
        <v>Y</v>
      </c>
      <c r="O260" s="16" t="s">
        <v>1557</v>
      </c>
      <c r="P260" s="10" t="s">
        <v>180</v>
      </c>
      <c r="Q260" s="10" t="s">
        <v>183</v>
      </c>
      <c r="S260" s="16" t="str">
        <f>MID(Q260,9,30)</f>
        <v>Stephen W Barth</v>
      </c>
      <c r="T260" s="31">
        <v>41428</v>
      </c>
    </row>
    <row r="261" spans="1:33">
      <c r="A261" s="16">
        <v>3</v>
      </c>
      <c r="B261" s="16" t="s">
        <v>317</v>
      </c>
      <c r="C261" s="16">
        <v>918</v>
      </c>
      <c r="D261" s="7" t="s">
        <v>295</v>
      </c>
      <c r="E261" s="16" t="s">
        <v>296</v>
      </c>
      <c r="F261" s="2">
        <v>34249</v>
      </c>
      <c r="G261" s="2">
        <v>35743</v>
      </c>
      <c r="H261" s="2">
        <v>39182</v>
      </c>
      <c r="I261" s="25">
        <v>41820</v>
      </c>
      <c r="K261" s="2">
        <v>39188</v>
      </c>
      <c r="L261" t="s">
        <v>322</v>
      </c>
      <c r="M261" t="s">
        <v>297</v>
      </c>
      <c r="N261" s="23" t="str">
        <f t="shared" si="25"/>
        <v>Y</v>
      </c>
      <c r="O261" s="16" t="s">
        <v>1543</v>
      </c>
      <c r="P261" s="10" t="s">
        <v>180</v>
      </c>
      <c r="Q261" s="10" t="s">
        <v>183</v>
      </c>
      <c r="S261" s="16" t="str">
        <f>MID(Q261,9,30)</f>
        <v>Stephen W Barth</v>
      </c>
      <c r="T261" s="31">
        <v>41410</v>
      </c>
    </row>
    <row r="262" spans="1:33">
      <c r="A262" s="16">
        <v>3</v>
      </c>
      <c r="B262" s="16" t="s">
        <v>317</v>
      </c>
      <c r="C262" s="16">
        <v>1084</v>
      </c>
      <c r="D262" s="7" t="s">
        <v>295</v>
      </c>
      <c r="E262" s="16" t="s">
        <v>296</v>
      </c>
      <c r="F262" s="2">
        <v>35072</v>
      </c>
      <c r="G262" s="2">
        <v>36672</v>
      </c>
      <c r="H262" s="2">
        <v>38917</v>
      </c>
      <c r="I262" s="25">
        <v>41820</v>
      </c>
      <c r="K262" s="2">
        <v>38916</v>
      </c>
      <c r="L262" t="s">
        <v>297</v>
      </c>
      <c r="M262" t="s">
        <v>297</v>
      </c>
      <c r="N262" s="23" t="str">
        <f t="shared" si="25"/>
        <v>Y</v>
      </c>
      <c r="O262" s="16" t="s">
        <v>1184</v>
      </c>
      <c r="P262" s="10" t="s">
        <v>180</v>
      </c>
      <c r="Q262" s="10" t="s">
        <v>188</v>
      </c>
      <c r="S262" s="16" t="str">
        <f>MID(Q262,9,30)</f>
        <v>Theresa L Osborn</v>
      </c>
      <c r="T262" s="31">
        <v>41389</v>
      </c>
    </row>
    <row r="263" spans="1:33">
      <c r="A263" s="16">
        <v>3</v>
      </c>
      <c r="B263" s="16" t="s">
        <v>317</v>
      </c>
      <c r="C263" s="16">
        <v>1324</v>
      </c>
      <c r="D263" s="7" t="s">
        <v>295</v>
      </c>
      <c r="E263" s="16" t="s">
        <v>296</v>
      </c>
      <c r="F263" s="2">
        <v>36573</v>
      </c>
      <c r="H263" s="2">
        <v>39461</v>
      </c>
      <c r="I263" s="25">
        <v>41455</v>
      </c>
      <c r="K263" s="2">
        <v>39031</v>
      </c>
      <c r="L263" t="s">
        <v>322</v>
      </c>
      <c r="M263" t="s">
        <v>297</v>
      </c>
      <c r="N263" s="23" t="str">
        <f t="shared" si="25"/>
        <v>N</v>
      </c>
      <c r="O263" s="16" t="s">
        <v>1544</v>
      </c>
      <c r="P263" s="10" t="s">
        <v>180</v>
      </c>
      <c r="Q263" s="10" t="s">
        <v>183</v>
      </c>
      <c r="S263" s="16" t="str">
        <f>MID(Q263,9,30)</f>
        <v>Stephen W Barth</v>
      </c>
      <c r="T263" s="31" t="s">
        <v>1541</v>
      </c>
    </row>
    <row r="264" spans="1:33">
      <c r="A264" s="16">
        <v>3</v>
      </c>
      <c r="B264" s="16" t="s">
        <v>317</v>
      </c>
      <c r="C264" s="16">
        <v>1563</v>
      </c>
      <c r="D264" s="7"/>
      <c r="E264" s="16" t="s">
        <v>299</v>
      </c>
      <c r="F264" s="2"/>
      <c r="G264" s="2"/>
      <c r="H264" s="2"/>
      <c r="I264" s="25">
        <v>41820</v>
      </c>
      <c r="K264" s="2"/>
      <c r="N264" s="23" t="str">
        <f t="shared" si="25"/>
        <v>Y</v>
      </c>
      <c r="O264" s="30" t="s">
        <v>1727</v>
      </c>
      <c r="S264" s="16" t="s">
        <v>1156</v>
      </c>
      <c r="T264" s="31">
        <v>41418</v>
      </c>
    </row>
    <row r="265" spans="1:33">
      <c r="A265" s="16">
        <v>3</v>
      </c>
      <c r="B265" s="16" t="s">
        <v>157</v>
      </c>
      <c r="C265" s="16">
        <v>377</v>
      </c>
      <c r="D265" s="7" t="s">
        <v>295</v>
      </c>
      <c r="E265" s="16" t="s">
        <v>296</v>
      </c>
      <c r="F265" s="2">
        <v>30274</v>
      </c>
      <c r="G265" s="2">
        <v>30702</v>
      </c>
      <c r="H265" s="2">
        <v>39295</v>
      </c>
      <c r="I265" s="25">
        <v>41455</v>
      </c>
      <c r="J265" s="2">
        <v>39237</v>
      </c>
      <c r="K265" s="2">
        <v>38776</v>
      </c>
      <c r="L265" t="s">
        <v>297</v>
      </c>
      <c r="M265" t="s">
        <v>297</v>
      </c>
      <c r="N265" s="23" t="str">
        <f t="shared" si="25"/>
        <v>N</v>
      </c>
      <c r="O265" s="16" t="s">
        <v>1400</v>
      </c>
      <c r="P265" s="10" t="s">
        <v>180</v>
      </c>
      <c r="Q265" s="10" t="s">
        <v>184</v>
      </c>
      <c r="S265" s="16" t="str">
        <f>MID(Q265,9,30)</f>
        <v>Sarah M Puskarenko</v>
      </c>
      <c r="T265" s="31" t="s">
        <v>1392</v>
      </c>
    </row>
    <row r="266" spans="1:33" customFormat="1" hidden="1">
      <c r="A266">
        <v>3</v>
      </c>
      <c r="B266" t="s">
        <v>157</v>
      </c>
      <c r="C266">
        <v>1202</v>
      </c>
      <c r="D266" t="s">
        <v>315</v>
      </c>
      <c r="E266" t="s">
        <v>316</v>
      </c>
      <c r="F266" s="2">
        <v>35604</v>
      </c>
      <c r="H266" s="2">
        <v>35604</v>
      </c>
      <c r="I266" s="6"/>
      <c r="L266" t="s">
        <v>297</v>
      </c>
      <c r="M266" t="s">
        <v>322</v>
      </c>
      <c r="P266" t="s">
        <v>180</v>
      </c>
      <c r="Q266" t="s">
        <v>184</v>
      </c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</row>
    <row r="267" spans="1:33">
      <c r="A267" s="16">
        <v>3</v>
      </c>
      <c r="B267" s="16" t="s">
        <v>157</v>
      </c>
      <c r="C267" s="16">
        <v>383</v>
      </c>
      <c r="D267" s="7" t="s">
        <v>295</v>
      </c>
      <c r="E267" s="16" t="s">
        <v>296</v>
      </c>
      <c r="F267" s="2">
        <v>30393</v>
      </c>
      <c r="G267" s="2">
        <v>30830</v>
      </c>
      <c r="H267" s="2">
        <v>38861</v>
      </c>
      <c r="I267" s="25">
        <v>41820</v>
      </c>
      <c r="J267" s="2">
        <v>39042</v>
      </c>
      <c r="K267" s="2">
        <v>37949</v>
      </c>
      <c r="L267" t="s">
        <v>297</v>
      </c>
      <c r="M267" t="s">
        <v>297</v>
      </c>
      <c r="N267" s="23" t="str">
        <f>IF((I267&gt;$W$2),"Y","N")</f>
        <v>Y</v>
      </c>
      <c r="O267" s="16" t="s">
        <v>1180</v>
      </c>
      <c r="P267" s="10" t="s">
        <v>180</v>
      </c>
      <c r="Q267" s="10" t="s">
        <v>184</v>
      </c>
      <c r="S267" s="16" t="str">
        <f>MID(Q267,9,30)</f>
        <v>Sarah M Puskarenko</v>
      </c>
      <c r="T267" s="31">
        <v>41425</v>
      </c>
    </row>
    <row r="268" spans="1:33">
      <c r="A268" s="16">
        <v>3</v>
      </c>
      <c r="B268" s="16" t="s">
        <v>157</v>
      </c>
      <c r="C268" s="16">
        <v>392</v>
      </c>
      <c r="D268" s="7" t="s">
        <v>295</v>
      </c>
      <c r="E268" s="16" t="s">
        <v>296</v>
      </c>
      <c r="F268" s="2">
        <v>34918</v>
      </c>
      <c r="G268" s="2">
        <v>38397</v>
      </c>
      <c r="H268" s="2">
        <v>37762</v>
      </c>
      <c r="I268" s="25">
        <v>41455</v>
      </c>
      <c r="J268" s="2">
        <v>38400</v>
      </c>
      <c r="K268" s="2">
        <v>34904</v>
      </c>
      <c r="L268" t="s">
        <v>297</v>
      </c>
      <c r="M268" t="s">
        <v>297</v>
      </c>
      <c r="N268" s="23" t="str">
        <f>IF((I268&gt;$W$2),"Y","N")</f>
        <v>N</v>
      </c>
      <c r="O268" s="30" t="s">
        <v>318</v>
      </c>
      <c r="P268" s="10" t="s">
        <v>180</v>
      </c>
      <c r="Q268" s="10" t="s">
        <v>184</v>
      </c>
      <c r="S268" s="16" t="str">
        <f>MID(Q268,9,30)</f>
        <v>Sarah M Puskarenko</v>
      </c>
      <c r="T268" s="31" t="s">
        <v>1385</v>
      </c>
    </row>
    <row r="269" spans="1:33" s="7" customFormat="1" hidden="1">
      <c r="A269" s="7">
        <v>3</v>
      </c>
      <c r="B269" s="7" t="s">
        <v>157</v>
      </c>
      <c r="C269" s="7">
        <v>1454</v>
      </c>
      <c r="D269" s="7" t="s">
        <v>393</v>
      </c>
      <c r="E269" s="7" t="s">
        <v>376</v>
      </c>
      <c r="F269" s="2">
        <v>37788</v>
      </c>
      <c r="G269" s="2">
        <v>38275</v>
      </c>
      <c r="H269" s="2">
        <v>37841</v>
      </c>
      <c r="I269" s="8">
        <v>38168</v>
      </c>
      <c r="J269"/>
      <c r="K269"/>
      <c r="L269" t="s">
        <v>297</v>
      </c>
      <c r="M269" t="s">
        <v>297</v>
      </c>
      <c r="N269"/>
      <c r="P269" s="7" t="s">
        <v>180</v>
      </c>
      <c r="Q269" s="7" t="s">
        <v>184</v>
      </c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</row>
    <row r="270" spans="1:33">
      <c r="A270" s="16">
        <v>3</v>
      </c>
      <c r="B270" s="16" t="s">
        <v>157</v>
      </c>
      <c r="C270" s="16">
        <v>407</v>
      </c>
      <c r="D270" s="7" t="s">
        <v>295</v>
      </c>
      <c r="E270" s="16" t="s">
        <v>296</v>
      </c>
      <c r="F270" s="2">
        <v>30583</v>
      </c>
      <c r="G270" s="2">
        <v>30758</v>
      </c>
      <c r="H270" s="2">
        <v>39164</v>
      </c>
      <c r="I270" s="25">
        <v>41455</v>
      </c>
      <c r="J270" s="2">
        <v>38244</v>
      </c>
      <c r="K270" s="2">
        <v>35519</v>
      </c>
      <c r="L270" t="s">
        <v>297</v>
      </c>
      <c r="M270" t="s">
        <v>297</v>
      </c>
      <c r="N270" s="23" t="str">
        <f>IF((I270&gt;$W$2),"Y","N")</f>
        <v>N</v>
      </c>
      <c r="O270" s="30" t="s">
        <v>1728</v>
      </c>
      <c r="P270" s="10" t="s">
        <v>180</v>
      </c>
      <c r="Q270" s="10" t="s">
        <v>184</v>
      </c>
      <c r="S270" s="16" t="str">
        <f>MID(Q270,9,30)</f>
        <v>Sarah M Puskarenko</v>
      </c>
      <c r="T270" s="31" t="s">
        <v>1428</v>
      </c>
    </row>
    <row r="271" spans="1:33">
      <c r="A271" s="16">
        <v>3</v>
      </c>
      <c r="B271" s="16" t="s">
        <v>157</v>
      </c>
      <c r="C271" s="16">
        <v>429</v>
      </c>
      <c r="D271" s="7" t="s">
        <v>295</v>
      </c>
      <c r="E271" s="16" t="s">
        <v>296</v>
      </c>
      <c r="F271" s="2">
        <v>30830</v>
      </c>
      <c r="G271" s="2">
        <v>33992</v>
      </c>
      <c r="H271" s="2">
        <v>38020</v>
      </c>
      <c r="I271" s="25">
        <v>41820</v>
      </c>
      <c r="J271" s="2">
        <v>38244</v>
      </c>
      <c r="K271" s="2">
        <v>38398</v>
      </c>
      <c r="L271" t="s">
        <v>297</v>
      </c>
      <c r="M271" t="s">
        <v>297</v>
      </c>
      <c r="N271" s="23" t="str">
        <f>IF((I271&gt;$W$2),"Y","N")</f>
        <v>Y</v>
      </c>
      <c r="O271" s="30" t="s">
        <v>1729</v>
      </c>
      <c r="P271" s="10" t="s">
        <v>180</v>
      </c>
      <c r="Q271" s="10" t="s">
        <v>184</v>
      </c>
      <c r="S271" s="16" t="str">
        <f>MID(Q271,9,30)</f>
        <v>Sarah M Puskarenko</v>
      </c>
      <c r="T271" s="31">
        <v>41415</v>
      </c>
    </row>
    <row r="272" spans="1:33" customFormat="1" hidden="1">
      <c r="A272" t="s">
        <v>180</v>
      </c>
      <c r="B272" t="s">
        <v>184</v>
      </c>
      <c r="I272" s="6"/>
    </row>
    <row r="273" spans="1:33">
      <c r="A273" s="16">
        <v>3</v>
      </c>
      <c r="B273" s="16" t="s">
        <v>157</v>
      </c>
      <c r="C273" s="16">
        <v>432</v>
      </c>
      <c r="D273" t="s">
        <v>295</v>
      </c>
      <c r="E273" s="16" t="s">
        <v>296</v>
      </c>
      <c r="F273" s="2">
        <v>30830</v>
      </c>
      <c r="G273" s="2">
        <v>31493</v>
      </c>
      <c r="H273" s="2">
        <v>38050</v>
      </c>
      <c r="I273" s="25">
        <v>41455</v>
      </c>
      <c r="K273" s="2">
        <v>35536</v>
      </c>
      <c r="L273" t="s">
        <v>297</v>
      </c>
      <c r="M273" t="s">
        <v>297</v>
      </c>
      <c r="N273" s="23" t="str">
        <f t="shared" ref="N273:N279" si="26">IF((I273&gt;$W$2),"Y","N")</f>
        <v>N</v>
      </c>
      <c r="O273" s="16" t="s">
        <v>1278</v>
      </c>
      <c r="P273" s="10" t="s">
        <v>180</v>
      </c>
      <c r="Q273" s="10" t="s">
        <v>184</v>
      </c>
      <c r="S273" s="16" t="str">
        <f t="shared" ref="S273:S279" si="27">MID(Q273,9,30)</f>
        <v>Sarah M Puskarenko</v>
      </c>
      <c r="T273" s="31" t="s">
        <v>1385</v>
      </c>
    </row>
    <row r="274" spans="1:33">
      <c r="A274" s="16">
        <v>3</v>
      </c>
      <c r="B274" s="16" t="s">
        <v>157</v>
      </c>
      <c r="C274" s="16">
        <v>469</v>
      </c>
      <c r="D274" s="7" t="s">
        <v>295</v>
      </c>
      <c r="E274" s="16" t="s">
        <v>296</v>
      </c>
      <c r="F274" s="2">
        <v>31192</v>
      </c>
      <c r="G274" s="2">
        <v>32293</v>
      </c>
      <c r="H274" s="2">
        <v>38777</v>
      </c>
      <c r="I274" s="25">
        <v>41820</v>
      </c>
      <c r="J274" s="2">
        <v>38244</v>
      </c>
      <c r="K274" s="2">
        <v>38532</v>
      </c>
      <c r="L274" t="s">
        <v>297</v>
      </c>
      <c r="M274" t="s">
        <v>297</v>
      </c>
      <c r="N274" s="23" t="str">
        <f t="shared" si="26"/>
        <v>Y</v>
      </c>
      <c r="O274" s="30" t="s">
        <v>1730</v>
      </c>
      <c r="P274" s="10" t="s">
        <v>180</v>
      </c>
      <c r="Q274" s="10" t="s">
        <v>184</v>
      </c>
      <c r="S274" s="16" t="str">
        <f t="shared" si="27"/>
        <v>Sarah M Puskarenko</v>
      </c>
      <c r="T274" s="31">
        <v>41474</v>
      </c>
    </row>
    <row r="275" spans="1:33">
      <c r="A275" s="16">
        <v>3</v>
      </c>
      <c r="B275" s="16" t="s">
        <v>157</v>
      </c>
      <c r="C275" s="16">
        <v>608</v>
      </c>
      <c r="D275" t="s">
        <v>295</v>
      </c>
      <c r="E275" s="16" t="s">
        <v>296</v>
      </c>
      <c r="F275" s="2">
        <v>31969</v>
      </c>
      <c r="G275" s="2">
        <v>37211</v>
      </c>
      <c r="H275" s="2">
        <v>37503</v>
      </c>
      <c r="I275" s="25">
        <v>41455</v>
      </c>
      <c r="J275" s="2">
        <v>38320</v>
      </c>
      <c r="K275" s="2">
        <v>38967</v>
      </c>
      <c r="L275" t="s">
        <v>297</v>
      </c>
      <c r="M275" t="s">
        <v>297</v>
      </c>
      <c r="N275" s="23" t="str">
        <f t="shared" si="26"/>
        <v>N</v>
      </c>
      <c r="O275" s="16" t="s">
        <v>507</v>
      </c>
      <c r="P275" s="10" t="s">
        <v>180</v>
      </c>
      <c r="Q275" s="10" t="s">
        <v>184</v>
      </c>
      <c r="S275" s="16" t="str">
        <f t="shared" si="27"/>
        <v>Sarah M Puskarenko</v>
      </c>
      <c r="T275" s="31" t="s">
        <v>1454</v>
      </c>
    </row>
    <row r="276" spans="1:33">
      <c r="A276" s="16">
        <v>3</v>
      </c>
      <c r="B276" s="16" t="s">
        <v>157</v>
      </c>
      <c r="C276" s="16">
        <v>636</v>
      </c>
      <c r="D276" s="7" t="s">
        <v>295</v>
      </c>
      <c r="E276" s="16" t="s">
        <v>296</v>
      </c>
      <c r="F276" s="2">
        <v>32293</v>
      </c>
      <c r="G276" s="2">
        <v>32522</v>
      </c>
      <c r="H276" s="2">
        <v>37419</v>
      </c>
      <c r="I276" s="25">
        <v>41820</v>
      </c>
      <c r="K276" s="2">
        <v>38565</v>
      </c>
      <c r="L276" t="s">
        <v>297</v>
      </c>
      <c r="M276" t="s">
        <v>297</v>
      </c>
      <c r="N276" s="23" t="str">
        <f t="shared" si="26"/>
        <v>Y</v>
      </c>
      <c r="O276" s="16" t="s">
        <v>1401</v>
      </c>
      <c r="P276" s="10" t="s">
        <v>180</v>
      </c>
      <c r="Q276" s="10" t="s">
        <v>184</v>
      </c>
      <c r="S276" s="16" t="str">
        <f t="shared" si="27"/>
        <v>Sarah M Puskarenko</v>
      </c>
      <c r="T276" s="31">
        <v>41471</v>
      </c>
      <c r="U276" s="24">
        <v>39968</v>
      </c>
    </row>
    <row r="277" spans="1:33">
      <c r="A277" s="16">
        <v>3</v>
      </c>
      <c r="B277" s="16" t="s">
        <v>157</v>
      </c>
      <c r="C277" s="16">
        <v>646</v>
      </c>
      <c r="D277" s="7" t="s">
        <v>295</v>
      </c>
      <c r="E277" s="16" t="s">
        <v>296</v>
      </c>
      <c r="F277" s="2">
        <v>32347</v>
      </c>
      <c r="G277" s="2">
        <v>32648</v>
      </c>
      <c r="H277" s="2">
        <v>38978</v>
      </c>
      <c r="I277" s="25">
        <v>41455</v>
      </c>
      <c r="J277" s="2">
        <v>38637</v>
      </c>
      <c r="K277" s="2">
        <v>39399</v>
      </c>
      <c r="L277" t="s">
        <v>297</v>
      </c>
      <c r="M277" t="s">
        <v>297</v>
      </c>
      <c r="N277" s="23" t="str">
        <f t="shared" si="26"/>
        <v>N</v>
      </c>
      <c r="O277" s="30" t="s">
        <v>1235</v>
      </c>
      <c r="P277" s="10" t="s">
        <v>180</v>
      </c>
      <c r="Q277" s="10" t="s">
        <v>184</v>
      </c>
      <c r="S277" s="16" t="str">
        <f t="shared" si="27"/>
        <v>Sarah M Puskarenko</v>
      </c>
      <c r="T277" s="31" t="s">
        <v>1430</v>
      </c>
    </row>
    <row r="278" spans="1:33">
      <c r="A278" s="16">
        <v>3</v>
      </c>
      <c r="B278" s="16" t="s">
        <v>157</v>
      </c>
      <c r="C278" s="16">
        <v>658</v>
      </c>
      <c r="D278" s="7" t="s">
        <v>295</v>
      </c>
      <c r="E278" s="16" t="s">
        <v>296</v>
      </c>
      <c r="F278" s="2">
        <v>32522</v>
      </c>
      <c r="G278" s="2">
        <v>33262</v>
      </c>
      <c r="H278" s="2">
        <v>39273</v>
      </c>
      <c r="I278" s="25">
        <v>41820</v>
      </c>
      <c r="J278" s="2">
        <v>38945</v>
      </c>
      <c r="K278" s="2">
        <v>39364</v>
      </c>
      <c r="L278" t="s">
        <v>297</v>
      </c>
      <c r="M278" t="s">
        <v>297</v>
      </c>
      <c r="N278" s="23" t="str">
        <f t="shared" si="26"/>
        <v>Y</v>
      </c>
      <c r="O278" s="30" t="s">
        <v>1731</v>
      </c>
      <c r="P278" s="10" t="s">
        <v>180</v>
      </c>
      <c r="Q278" s="10" t="s">
        <v>184</v>
      </c>
      <c r="S278" s="16" t="str">
        <f t="shared" si="27"/>
        <v>Sarah M Puskarenko</v>
      </c>
      <c r="T278" s="31">
        <v>41437</v>
      </c>
    </row>
    <row r="279" spans="1:33">
      <c r="A279" s="16">
        <v>3</v>
      </c>
      <c r="B279" s="16" t="s">
        <v>157</v>
      </c>
      <c r="C279" s="16">
        <v>747</v>
      </c>
      <c r="D279" s="7" t="s">
        <v>295</v>
      </c>
      <c r="E279" s="16" t="s">
        <v>296</v>
      </c>
      <c r="F279" s="2">
        <v>33021</v>
      </c>
      <c r="G279" s="2">
        <v>36675</v>
      </c>
      <c r="H279" s="2">
        <v>39287</v>
      </c>
      <c r="I279" s="25">
        <v>41455</v>
      </c>
      <c r="J279" s="2">
        <v>39253</v>
      </c>
      <c r="K279" s="2">
        <v>39132</v>
      </c>
      <c r="L279" t="s">
        <v>297</v>
      </c>
      <c r="M279" t="s">
        <v>297</v>
      </c>
      <c r="N279" s="23" t="str">
        <f t="shared" si="26"/>
        <v>N</v>
      </c>
      <c r="O279" s="16" t="s">
        <v>510</v>
      </c>
      <c r="P279" s="10" t="s">
        <v>180</v>
      </c>
      <c r="Q279" s="10" t="s">
        <v>184</v>
      </c>
      <c r="S279" s="16" t="str">
        <f t="shared" si="27"/>
        <v>Sarah M Puskarenko</v>
      </c>
      <c r="T279" s="31" t="s">
        <v>1428</v>
      </c>
    </row>
    <row r="280" spans="1:33" customFormat="1" hidden="1">
      <c r="A280" t="s">
        <v>180</v>
      </c>
      <c r="B280" t="s">
        <v>185</v>
      </c>
      <c r="I280" s="6"/>
    </row>
    <row r="281" spans="1:33">
      <c r="A281" s="16">
        <v>3</v>
      </c>
      <c r="B281" s="16" t="s">
        <v>157</v>
      </c>
      <c r="C281" s="16">
        <v>829</v>
      </c>
      <c r="D281" s="7" t="s">
        <v>295</v>
      </c>
      <c r="E281" s="16" t="s">
        <v>296</v>
      </c>
      <c r="F281" s="2">
        <v>33684</v>
      </c>
      <c r="G281" s="2">
        <v>36675</v>
      </c>
      <c r="H281" s="2">
        <v>39421</v>
      </c>
      <c r="I281" s="25">
        <v>41820</v>
      </c>
      <c r="J281" s="2">
        <v>39253</v>
      </c>
      <c r="K281" s="2">
        <v>39314</v>
      </c>
      <c r="L281" t="s">
        <v>297</v>
      </c>
      <c r="M281" t="s">
        <v>297</v>
      </c>
      <c r="N281" s="23" t="str">
        <f>IF((I281&gt;$W$2),"Y","N")</f>
        <v>Y</v>
      </c>
      <c r="O281" s="16" t="s">
        <v>1515</v>
      </c>
      <c r="P281" s="10" t="s">
        <v>180</v>
      </c>
      <c r="Q281" s="10" t="s">
        <v>184</v>
      </c>
      <c r="S281" s="16" t="str">
        <f>MID(Q281,9,30)</f>
        <v>Sarah M Puskarenko</v>
      </c>
      <c r="T281" s="31">
        <v>41442</v>
      </c>
    </row>
    <row r="282" spans="1:33">
      <c r="A282" s="16">
        <v>3</v>
      </c>
      <c r="B282" s="16" t="s">
        <v>157</v>
      </c>
      <c r="C282" s="16">
        <v>1008</v>
      </c>
      <c r="D282" s="7" t="s">
        <v>295</v>
      </c>
      <c r="E282" s="16" t="s">
        <v>296</v>
      </c>
      <c r="F282" s="2">
        <v>34618</v>
      </c>
      <c r="G282" s="2">
        <v>35272</v>
      </c>
      <c r="H282" s="2">
        <v>39399</v>
      </c>
      <c r="I282" s="25">
        <v>41455</v>
      </c>
      <c r="J282" s="2">
        <v>38853</v>
      </c>
      <c r="K282" s="2">
        <v>39399</v>
      </c>
      <c r="L282" t="s">
        <v>297</v>
      </c>
      <c r="M282" t="s">
        <v>297</v>
      </c>
      <c r="N282" s="23" t="str">
        <f>IF((I282&gt;$W$2),"Y","N")</f>
        <v>N</v>
      </c>
      <c r="O282" s="16" t="s">
        <v>1181</v>
      </c>
      <c r="P282" s="10" t="s">
        <v>180</v>
      </c>
      <c r="Q282" s="10" t="s">
        <v>184</v>
      </c>
      <c r="S282" s="16" t="str">
        <f>MID(Q282,9,30)</f>
        <v>Sarah M Puskarenko</v>
      </c>
      <c r="T282" s="31" t="s">
        <v>1382</v>
      </c>
    </row>
    <row r="283" spans="1:33">
      <c r="A283" s="16">
        <v>3</v>
      </c>
      <c r="B283" s="16" t="s">
        <v>157</v>
      </c>
      <c r="C283" s="16">
        <v>1015</v>
      </c>
      <c r="D283" s="7" t="s">
        <v>295</v>
      </c>
      <c r="E283" s="16" t="s">
        <v>296</v>
      </c>
      <c r="F283" s="2">
        <v>34680</v>
      </c>
      <c r="G283" s="2">
        <v>36777</v>
      </c>
      <c r="H283" s="2">
        <v>38813</v>
      </c>
      <c r="I283" s="25">
        <v>41455</v>
      </c>
      <c r="J283" s="2">
        <v>38796</v>
      </c>
      <c r="K283" s="2">
        <v>38812</v>
      </c>
      <c r="L283" t="s">
        <v>297</v>
      </c>
      <c r="M283" t="s">
        <v>297</v>
      </c>
      <c r="N283" s="23" t="str">
        <f>IF((I283&gt;$W$2),"Y","N")</f>
        <v>N</v>
      </c>
      <c r="O283" s="16" t="s">
        <v>1462</v>
      </c>
      <c r="P283" s="10" t="s">
        <v>180</v>
      </c>
      <c r="Q283" s="10" t="s">
        <v>184</v>
      </c>
      <c r="S283" s="16" t="str">
        <f>MID(Q283,9,30)</f>
        <v>Sarah M Puskarenko</v>
      </c>
      <c r="T283" s="31" t="s">
        <v>1428</v>
      </c>
    </row>
    <row r="284" spans="1:33" s="7" customFormat="1" hidden="1">
      <c r="A284" s="7">
        <v>3</v>
      </c>
      <c r="B284" s="7" t="s">
        <v>186</v>
      </c>
      <c r="C284" s="7">
        <v>774</v>
      </c>
      <c r="D284" s="7" t="s">
        <v>408</v>
      </c>
      <c r="E284" s="7" t="s">
        <v>316</v>
      </c>
      <c r="F284" s="2">
        <v>33264</v>
      </c>
      <c r="G284"/>
      <c r="H284" s="2">
        <v>38162</v>
      </c>
      <c r="I284" s="8">
        <v>37802</v>
      </c>
      <c r="J284" s="2">
        <v>38009</v>
      </c>
      <c r="K284" s="2">
        <v>33479</v>
      </c>
      <c r="L284" t="s">
        <v>297</v>
      </c>
      <c r="M284" t="s">
        <v>297</v>
      </c>
      <c r="N284"/>
      <c r="O284" s="7" t="s">
        <v>318</v>
      </c>
      <c r="P284" s="7" t="s">
        <v>180</v>
      </c>
      <c r="Q284" s="7" t="s">
        <v>187</v>
      </c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</row>
    <row r="285" spans="1:33">
      <c r="A285" s="16">
        <v>3</v>
      </c>
      <c r="B285" s="16" t="s">
        <v>157</v>
      </c>
      <c r="C285" s="16">
        <v>1021</v>
      </c>
      <c r="D285" t="s">
        <v>295</v>
      </c>
      <c r="E285" s="16" t="s">
        <v>296</v>
      </c>
      <c r="F285" s="2">
        <v>34715</v>
      </c>
      <c r="G285" s="2">
        <v>37036</v>
      </c>
      <c r="H285" s="2">
        <v>39464</v>
      </c>
      <c r="I285" s="25">
        <v>41820</v>
      </c>
      <c r="J285" s="2">
        <v>38244</v>
      </c>
      <c r="K285" s="2">
        <v>39370</v>
      </c>
      <c r="L285" t="s">
        <v>297</v>
      </c>
      <c r="M285" t="s">
        <v>297</v>
      </c>
      <c r="N285" s="23" t="str">
        <f>IF((I285&gt;$W$2),"Y","N")</f>
        <v>Y</v>
      </c>
      <c r="O285" s="30" t="s">
        <v>1732</v>
      </c>
      <c r="P285" s="10" t="s">
        <v>180</v>
      </c>
      <c r="Q285" s="10" t="s">
        <v>184</v>
      </c>
      <c r="S285" s="16" t="str">
        <f>MID(Q285,9,30)</f>
        <v>Sarah M Puskarenko</v>
      </c>
      <c r="T285" s="31">
        <v>41432</v>
      </c>
    </row>
    <row r="286" spans="1:33" s="7" customFormat="1" hidden="1">
      <c r="A286" s="7">
        <v>3</v>
      </c>
      <c r="B286" s="7" t="s">
        <v>186</v>
      </c>
      <c r="C286" s="7">
        <v>1095</v>
      </c>
      <c r="D286" s="7" t="s">
        <v>348</v>
      </c>
      <c r="E286" s="7" t="s">
        <v>316</v>
      </c>
      <c r="F286" s="2">
        <v>35118</v>
      </c>
      <c r="G286" s="2">
        <v>36238</v>
      </c>
      <c r="H286" s="2">
        <v>36707</v>
      </c>
      <c r="I286" s="8">
        <v>36525</v>
      </c>
      <c r="J286"/>
      <c r="K286" s="2">
        <v>35474</v>
      </c>
      <c r="L286" t="s">
        <v>297</v>
      </c>
      <c r="M286" t="s">
        <v>297</v>
      </c>
      <c r="N286"/>
      <c r="P286" s="7" t="s">
        <v>180</v>
      </c>
      <c r="Q286" s="7" t="s">
        <v>187</v>
      </c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</row>
    <row r="287" spans="1:33">
      <c r="A287" s="16">
        <v>3</v>
      </c>
      <c r="B287" s="16" t="s">
        <v>157</v>
      </c>
      <c r="C287" s="16">
        <v>1055</v>
      </c>
      <c r="D287" s="7" t="s">
        <v>295</v>
      </c>
      <c r="E287" s="16" t="s">
        <v>316</v>
      </c>
      <c r="F287" s="2">
        <v>34820</v>
      </c>
      <c r="G287" s="2">
        <v>37330</v>
      </c>
      <c r="H287" s="2">
        <v>38631</v>
      </c>
      <c r="I287" s="25">
        <v>39994</v>
      </c>
      <c r="J287" s="2">
        <v>38573</v>
      </c>
      <c r="K287" s="2">
        <v>37811</v>
      </c>
      <c r="L287" t="s">
        <v>297</v>
      </c>
      <c r="M287" t="s">
        <v>297</v>
      </c>
      <c r="N287" s="23" t="str">
        <f t="shared" ref="N287:N293" si="28">IF((I287&gt;$W$2),"Y","N")</f>
        <v>N</v>
      </c>
      <c r="O287" s="16" t="s">
        <v>1279</v>
      </c>
      <c r="P287" s="10" t="s">
        <v>180</v>
      </c>
      <c r="Q287" s="10" t="s">
        <v>184</v>
      </c>
      <c r="S287" s="16" t="str">
        <f t="shared" ref="S287:S293" si="29">MID(Q287,9,30)</f>
        <v>Sarah M Puskarenko</v>
      </c>
      <c r="T287" s="31" t="s">
        <v>1140</v>
      </c>
    </row>
    <row r="288" spans="1:33">
      <c r="A288" s="16">
        <v>3</v>
      </c>
      <c r="B288" s="16" t="s">
        <v>157</v>
      </c>
      <c r="C288" s="16">
        <v>1101</v>
      </c>
      <c r="D288" s="7" t="s">
        <v>295</v>
      </c>
      <c r="E288" s="16" t="s">
        <v>296</v>
      </c>
      <c r="F288" s="2">
        <v>35157</v>
      </c>
      <c r="G288" s="2">
        <v>36938</v>
      </c>
      <c r="H288" s="2">
        <v>38979</v>
      </c>
      <c r="I288" s="25">
        <v>41820</v>
      </c>
      <c r="J288" s="2">
        <v>38980</v>
      </c>
      <c r="K288" s="2">
        <v>39051</v>
      </c>
      <c r="L288" t="s">
        <v>297</v>
      </c>
      <c r="M288" t="s">
        <v>297</v>
      </c>
      <c r="N288" s="23" t="str">
        <f t="shared" si="28"/>
        <v>Y</v>
      </c>
      <c r="O288" s="30" t="s">
        <v>1733</v>
      </c>
      <c r="P288" s="10" t="s">
        <v>180</v>
      </c>
      <c r="Q288" s="10" t="s">
        <v>184</v>
      </c>
      <c r="S288" s="16" t="str">
        <f t="shared" si="29"/>
        <v>Sarah M Puskarenko</v>
      </c>
      <c r="T288" s="31">
        <v>41439</v>
      </c>
    </row>
    <row r="289" spans="1:21">
      <c r="A289" s="16">
        <v>3</v>
      </c>
      <c r="B289" s="16" t="s">
        <v>157</v>
      </c>
      <c r="C289" s="16">
        <v>1156</v>
      </c>
      <c r="D289" s="7" t="s">
        <v>295</v>
      </c>
      <c r="E289" s="16" t="s">
        <v>296</v>
      </c>
      <c r="F289" s="2">
        <v>35422</v>
      </c>
      <c r="G289" s="2">
        <v>36777</v>
      </c>
      <c r="H289" s="2">
        <v>38575</v>
      </c>
      <c r="I289" s="25">
        <v>41820</v>
      </c>
      <c r="J289" s="2">
        <v>38244</v>
      </c>
      <c r="K289" s="2">
        <v>38573</v>
      </c>
      <c r="L289" t="s">
        <v>297</v>
      </c>
      <c r="M289" t="s">
        <v>297</v>
      </c>
      <c r="N289" s="23" t="str">
        <f t="shared" si="28"/>
        <v>Y</v>
      </c>
      <c r="O289" s="16" t="s">
        <v>517</v>
      </c>
      <c r="P289" s="10" t="s">
        <v>180</v>
      </c>
      <c r="Q289" s="10" t="s">
        <v>184</v>
      </c>
      <c r="S289" s="16" t="str">
        <f t="shared" si="29"/>
        <v>Sarah M Puskarenko</v>
      </c>
      <c r="T289" s="31">
        <v>41471</v>
      </c>
    </row>
    <row r="290" spans="1:21">
      <c r="A290" s="16">
        <v>3</v>
      </c>
      <c r="B290" s="16" t="s">
        <v>157</v>
      </c>
      <c r="C290" s="16">
        <v>1340</v>
      </c>
      <c r="D290" s="7" t="s">
        <v>295</v>
      </c>
      <c r="E290" s="16" t="s">
        <v>296</v>
      </c>
      <c r="F290" s="2">
        <v>36655</v>
      </c>
      <c r="G290" s="2">
        <v>38275</v>
      </c>
      <c r="H290" s="2">
        <v>39510</v>
      </c>
      <c r="I290" s="25">
        <v>41455</v>
      </c>
      <c r="J290" s="2">
        <v>38785</v>
      </c>
      <c r="K290" s="2">
        <v>38244</v>
      </c>
      <c r="L290" t="s">
        <v>322</v>
      </c>
      <c r="M290" t="s">
        <v>297</v>
      </c>
      <c r="N290" s="23" t="str">
        <f t="shared" si="28"/>
        <v>N</v>
      </c>
      <c r="O290" s="16" t="s">
        <v>518</v>
      </c>
      <c r="P290" s="10" t="s">
        <v>180</v>
      </c>
      <c r="Q290" s="10" t="s">
        <v>184</v>
      </c>
      <c r="S290" s="16" t="str">
        <f t="shared" si="29"/>
        <v>Sarah M Puskarenko</v>
      </c>
      <c r="T290" s="31" t="s">
        <v>1393</v>
      </c>
    </row>
    <row r="291" spans="1:21">
      <c r="A291" s="16">
        <v>3</v>
      </c>
      <c r="B291" s="16" t="s">
        <v>157</v>
      </c>
      <c r="C291" s="16">
        <v>1395</v>
      </c>
      <c r="D291" s="7" t="s">
        <v>295</v>
      </c>
      <c r="E291" s="16" t="s">
        <v>296</v>
      </c>
      <c r="F291" s="2">
        <v>37228</v>
      </c>
      <c r="G291" s="2">
        <v>37820</v>
      </c>
      <c r="H291" s="2">
        <v>39294</v>
      </c>
      <c r="I291" s="25">
        <v>41820</v>
      </c>
      <c r="J291" s="2">
        <v>38544</v>
      </c>
      <c r="K291" s="2">
        <v>39279</v>
      </c>
      <c r="L291" t="s">
        <v>297</v>
      </c>
      <c r="M291" t="s">
        <v>297</v>
      </c>
      <c r="N291" s="23" t="str">
        <f t="shared" si="28"/>
        <v>Y</v>
      </c>
      <c r="O291" s="16" t="s">
        <v>1402</v>
      </c>
      <c r="P291" s="10" t="s">
        <v>180</v>
      </c>
      <c r="Q291" s="10" t="s">
        <v>184</v>
      </c>
      <c r="S291" s="16" t="str">
        <f t="shared" si="29"/>
        <v>Sarah M Puskarenko</v>
      </c>
      <c r="T291" s="31">
        <v>41428</v>
      </c>
    </row>
    <row r="292" spans="1:21">
      <c r="A292" s="16">
        <v>3</v>
      </c>
      <c r="B292" s="16" t="s">
        <v>157</v>
      </c>
      <c r="C292" s="16">
        <v>1546</v>
      </c>
      <c r="D292" s="7" t="s">
        <v>295</v>
      </c>
      <c r="E292" s="16" t="s">
        <v>376</v>
      </c>
      <c r="F292" s="2">
        <v>39234</v>
      </c>
      <c r="H292" s="2">
        <v>39294</v>
      </c>
      <c r="I292" s="25">
        <v>39263</v>
      </c>
      <c r="J292" s="2">
        <v>39352</v>
      </c>
      <c r="L292" t="s">
        <v>297</v>
      </c>
      <c r="M292" t="s">
        <v>297</v>
      </c>
      <c r="N292" s="23" t="str">
        <f t="shared" si="28"/>
        <v>N</v>
      </c>
      <c r="O292" s="16" t="s">
        <v>520</v>
      </c>
      <c r="P292" s="10" t="s">
        <v>180</v>
      </c>
      <c r="Q292" s="10" t="s">
        <v>184</v>
      </c>
      <c r="S292" s="16" t="str">
        <f t="shared" si="29"/>
        <v>Sarah M Puskarenko</v>
      </c>
    </row>
    <row r="293" spans="1:21">
      <c r="A293" s="16">
        <v>3</v>
      </c>
      <c r="B293" s="16" t="s">
        <v>157</v>
      </c>
      <c r="C293" s="16">
        <v>1547</v>
      </c>
      <c r="D293" t="s">
        <v>295</v>
      </c>
      <c r="E293" s="16" t="s">
        <v>299</v>
      </c>
      <c r="F293" s="2">
        <v>39234</v>
      </c>
      <c r="H293" s="2">
        <v>39240</v>
      </c>
      <c r="I293" s="25">
        <v>41820</v>
      </c>
      <c r="J293" s="2">
        <v>39258</v>
      </c>
      <c r="L293" t="s">
        <v>297</v>
      </c>
      <c r="M293" t="s">
        <v>297</v>
      </c>
      <c r="N293" s="23" t="str">
        <f t="shared" si="28"/>
        <v>Y</v>
      </c>
      <c r="O293" s="16" t="s">
        <v>521</v>
      </c>
      <c r="P293" s="10" t="s">
        <v>180</v>
      </c>
      <c r="Q293" s="10" t="s">
        <v>184</v>
      </c>
      <c r="S293" s="16" t="str">
        <f t="shared" si="29"/>
        <v>Sarah M Puskarenko</v>
      </c>
      <c r="T293" s="31">
        <v>41480</v>
      </c>
    </row>
    <row r="294" spans="1:21" customFormat="1" hidden="1">
      <c r="A294" t="s">
        <v>180</v>
      </c>
      <c r="B294" t="s">
        <v>187</v>
      </c>
      <c r="I294" s="6"/>
    </row>
    <row r="295" spans="1:21">
      <c r="A295" s="16">
        <v>3</v>
      </c>
      <c r="B295" s="16" t="s">
        <v>176</v>
      </c>
      <c r="C295" s="16">
        <v>972</v>
      </c>
      <c r="D295" s="7" t="s">
        <v>295</v>
      </c>
      <c r="E295" s="16" t="s">
        <v>316</v>
      </c>
      <c r="F295" s="2">
        <v>36770</v>
      </c>
      <c r="H295" s="2">
        <v>36770</v>
      </c>
      <c r="I295" s="25">
        <v>37135</v>
      </c>
      <c r="L295" t="s">
        <v>322</v>
      </c>
      <c r="N295" s="23" t="str">
        <f>IF((I295&gt;$W$2),"Y","N")</f>
        <v>N</v>
      </c>
      <c r="O295" s="16" t="s">
        <v>523</v>
      </c>
      <c r="P295" s="10" t="s">
        <v>180</v>
      </c>
      <c r="Q295" s="10" t="s">
        <v>185</v>
      </c>
      <c r="S295" s="16" t="str">
        <f>MID(Q295,9,30)</f>
        <v>Patti   Foley</v>
      </c>
    </row>
    <row r="296" spans="1:21">
      <c r="A296" s="16">
        <v>3</v>
      </c>
      <c r="B296" s="16" t="s">
        <v>176</v>
      </c>
      <c r="C296" s="16">
        <v>1131</v>
      </c>
      <c r="D296" s="7" t="s">
        <v>295</v>
      </c>
      <c r="E296" s="16" t="s">
        <v>316</v>
      </c>
      <c r="F296" s="2">
        <v>35272</v>
      </c>
      <c r="H296" s="2">
        <v>37308</v>
      </c>
      <c r="I296" s="25">
        <v>35976</v>
      </c>
      <c r="K296" s="2">
        <v>37308</v>
      </c>
      <c r="L296" t="s">
        <v>322</v>
      </c>
      <c r="M296" t="s">
        <v>297</v>
      </c>
      <c r="N296" s="23" t="str">
        <f>IF((I296&gt;$W$2),"Y","N")</f>
        <v>N</v>
      </c>
      <c r="O296" s="16" t="s">
        <v>318</v>
      </c>
      <c r="P296" s="10" t="s">
        <v>180</v>
      </c>
      <c r="Q296" s="10" t="s">
        <v>185</v>
      </c>
      <c r="S296" s="16" t="str">
        <f>MID(Q296,9,30)</f>
        <v>Patti   Foley</v>
      </c>
    </row>
    <row r="297" spans="1:21">
      <c r="A297" s="16">
        <v>3</v>
      </c>
      <c r="B297" s="16" t="s">
        <v>176</v>
      </c>
      <c r="C297" s="16">
        <v>1501</v>
      </c>
      <c r="D297" t="s">
        <v>295</v>
      </c>
      <c r="E297" s="16" t="s">
        <v>316</v>
      </c>
      <c r="F297" s="2">
        <v>38245</v>
      </c>
      <c r="H297" s="2">
        <v>38484</v>
      </c>
      <c r="I297" s="25" t="s">
        <v>1635</v>
      </c>
      <c r="L297" t="s">
        <v>317</v>
      </c>
      <c r="M297" t="s">
        <v>297</v>
      </c>
      <c r="N297" s="23" t="str">
        <f>IF((I297&gt;$W$2),"Y","N")</f>
        <v>Y</v>
      </c>
      <c r="O297" s="16" t="s">
        <v>527</v>
      </c>
      <c r="P297" s="10" t="s">
        <v>180</v>
      </c>
      <c r="Q297" s="10" t="s">
        <v>185</v>
      </c>
      <c r="S297" s="16" t="str">
        <f>MID(Q297,9,30)</f>
        <v>Patti   Foley</v>
      </c>
    </row>
    <row r="298" spans="1:21">
      <c r="A298" s="16">
        <v>3</v>
      </c>
      <c r="B298" s="16" t="s">
        <v>186</v>
      </c>
      <c r="C298" s="16">
        <v>595</v>
      </c>
      <c r="D298" t="s">
        <v>295</v>
      </c>
      <c r="E298" s="16" t="s">
        <v>296</v>
      </c>
      <c r="F298" s="2">
        <v>31922</v>
      </c>
      <c r="G298" s="2">
        <v>32948</v>
      </c>
      <c r="H298" s="2">
        <v>39216</v>
      </c>
      <c r="I298" s="25">
        <v>41820</v>
      </c>
      <c r="K298" s="2">
        <v>38076</v>
      </c>
      <c r="L298" t="s">
        <v>297</v>
      </c>
      <c r="M298" t="s">
        <v>297</v>
      </c>
      <c r="N298" s="23" t="str">
        <f>IF((I298&gt;$W$2),"Y","N")</f>
        <v>Y</v>
      </c>
      <c r="O298" s="30" t="s">
        <v>1734</v>
      </c>
      <c r="P298" s="10" t="s">
        <v>180</v>
      </c>
      <c r="Q298" s="10" t="s">
        <v>187</v>
      </c>
      <c r="S298" s="16" t="str">
        <f>MID(Q298,9,30)</f>
        <v>David P Bunce</v>
      </c>
      <c r="T298" s="31">
        <v>41432</v>
      </c>
    </row>
    <row r="299" spans="1:21" customFormat="1" hidden="1">
      <c r="A299" t="s">
        <v>180</v>
      </c>
      <c r="B299" t="s">
        <v>188</v>
      </c>
      <c r="I299" s="6"/>
    </row>
    <row r="300" spans="1:21">
      <c r="A300" s="16">
        <v>3</v>
      </c>
      <c r="B300" s="16" t="s">
        <v>186</v>
      </c>
      <c r="C300" s="16">
        <v>647</v>
      </c>
      <c r="D300" s="7" t="s">
        <v>295</v>
      </c>
      <c r="E300" s="16" t="s">
        <v>296</v>
      </c>
      <c r="F300" s="2">
        <v>32424</v>
      </c>
      <c r="G300" s="2">
        <v>33264</v>
      </c>
      <c r="H300" s="2">
        <v>38658</v>
      </c>
      <c r="I300" s="25">
        <v>40724</v>
      </c>
      <c r="K300" s="2">
        <v>37960</v>
      </c>
      <c r="L300" t="s">
        <v>297</v>
      </c>
      <c r="M300" t="s">
        <v>297</v>
      </c>
      <c r="N300" s="23" t="str">
        <f t="shared" ref="N300:N313" si="30">IF((I300&gt;$W$2),"Y","N")</f>
        <v>N</v>
      </c>
      <c r="O300" s="16" t="s">
        <v>529</v>
      </c>
      <c r="P300" s="10" t="s">
        <v>180</v>
      </c>
      <c r="Q300" s="10" t="s">
        <v>187</v>
      </c>
      <c r="S300" s="16" t="str">
        <f t="shared" ref="S300:S313" si="31">MID(Q300,9,30)</f>
        <v>David P Bunce</v>
      </c>
      <c r="T300" s="31" t="s">
        <v>1350</v>
      </c>
    </row>
    <row r="301" spans="1:21">
      <c r="A301" s="16">
        <v>3</v>
      </c>
      <c r="B301" s="16" t="s">
        <v>186</v>
      </c>
      <c r="C301" s="16">
        <v>732</v>
      </c>
      <c r="D301" s="7" t="s">
        <v>295</v>
      </c>
      <c r="E301" s="30" t="s">
        <v>296</v>
      </c>
      <c r="F301" s="2">
        <v>32949</v>
      </c>
      <c r="H301" s="2">
        <v>38770</v>
      </c>
      <c r="I301" s="25">
        <v>41820</v>
      </c>
      <c r="K301" s="2">
        <v>34967</v>
      </c>
      <c r="L301" t="s">
        <v>297</v>
      </c>
      <c r="M301" t="s">
        <v>297</v>
      </c>
      <c r="N301" s="23" t="str">
        <f t="shared" si="30"/>
        <v>Y</v>
      </c>
      <c r="O301" s="16" t="s">
        <v>530</v>
      </c>
      <c r="P301" s="10" t="s">
        <v>180</v>
      </c>
      <c r="Q301" s="10" t="s">
        <v>187</v>
      </c>
      <c r="S301" s="16" t="str">
        <f t="shared" si="31"/>
        <v>David P Bunce</v>
      </c>
      <c r="T301" s="31">
        <v>41457</v>
      </c>
      <c r="U301" s="24">
        <v>39969</v>
      </c>
    </row>
    <row r="302" spans="1:21">
      <c r="A302" s="16">
        <v>3</v>
      </c>
      <c r="B302" s="16" t="s">
        <v>186</v>
      </c>
      <c r="C302" s="16">
        <v>965</v>
      </c>
      <c r="D302" s="7" t="s">
        <v>295</v>
      </c>
      <c r="E302" s="16" t="s">
        <v>296</v>
      </c>
      <c r="F302" s="2">
        <v>34526</v>
      </c>
      <c r="G302" s="2">
        <v>38996</v>
      </c>
      <c r="H302" s="2">
        <v>39140</v>
      </c>
      <c r="I302" s="25">
        <v>40724</v>
      </c>
      <c r="J302" s="2">
        <v>38009</v>
      </c>
      <c r="K302" s="2">
        <v>38811</v>
      </c>
      <c r="L302" t="s">
        <v>297</v>
      </c>
      <c r="M302" t="s">
        <v>297</v>
      </c>
      <c r="N302" s="23" t="str">
        <f t="shared" si="30"/>
        <v>N</v>
      </c>
      <c r="O302" s="30" t="s">
        <v>1735</v>
      </c>
      <c r="P302" s="10" t="s">
        <v>180</v>
      </c>
      <c r="Q302" s="10" t="s">
        <v>187</v>
      </c>
      <c r="S302" s="16" t="str">
        <f t="shared" si="31"/>
        <v>David P Bunce</v>
      </c>
      <c r="T302" s="31" t="s">
        <v>1317</v>
      </c>
    </row>
    <row r="303" spans="1:21">
      <c r="A303" s="16">
        <v>3</v>
      </c>
      <c r="B303" s="16" t="s">
        <v>186</v>
      </c>
      <c r="C303" s="16">
        <v>1104</v>
      </c>
      <c r="D303" s="7" t="s">
        <v>295</v>
      </c>
      <c r="E303" s="16" t="s">
        <v>299</v>
      </c>
      <c r="F303" s="2">
        <v>35174</v>
      </c>
      <c r="H303" s="2">
        <v>38832</v>
      </c>
      <c r="I303" s="25">
        <v>41820</v>
      </c>
      <c r="K303" s="2">
        <v>38832</v>
      </c>
      <c r="L303" t="s">
        <v>297</v>
      </c>
      <c r="M303" t="s">
        <v>297</v>
      </c>
      <c r="N303" s="23" t="str">
        <f t="shared" si="30"/>
        <v>Y</v>
      </c>
      <c r="O303" s="16" t="s">
        <v>532</v>
      </c>
      <c r="P303" s="10" t="s">
        <v>180</v>
      </c>
      <c r="Q303" s="10" t="s">
        <v>187</v>
      </c>
      <c r="S303" s="16" t="str">
        <f t="shared" si="31"/>
        <v>David P Bunce</v>
      </c>
      <c r="T303" s="31">
        <v>41474</v>
      </c>
    </row>
    <row r="304" spans="1:21">
      <c r="A304" s="16">
        <v>3</v>
      </c>
      <c r="B304" s="16" t="s">
        <v>186</v>
      </c>
      <c r="C304" s="16">
        <v>1409</v>
      </c>
      <c r="D304" s="7" t="s">
        <v>295</v>
      </c>
      <c r="E304" s="16" t="s">
        <v>316</v>
      </c>
      <c r="F304" s="2">
        <v>37337</v>
      </c>
      <c r="H304" s="2">
        <v>37337</v>
      </c>
      <c r="I304" s="25">
        <v>37702</v>
      </c>
      <c r="L304" t="s">
        <v>297</v>
      </c>
      <c r="M304" t="s">
        <v>297</v>
      </c>
      <c r="N304" s="23" t="str">
        <f t="shared" si="30"/>
        <v>N</v>
      </c>
      <c r="O304" s="16" t="s">
        <v>318</v>
      </c>
      <c r="P304" s="10" t="s">
        <v>180</v>
      </c>
      <c r="Q304" s="10" t="s">
        <v>187</v>
      </c>
      <c r="S304" s="16" t="str">
        <f t="shared" si="31"/>
        <v>David P Bunce</v>
      </c>
    </row>
    <row r="305" spans="1:33">
      <c r="A305" s="16">
        <v>3</v>
      </c>
      <c r="B305" s="16" t="s">
        <v>186</v>
      </c>
      <c r="C305" s="16">
        <v>1420</v>
      </c>
      <c r="D305" s="7" t="s">
        <v>295</v>
      </c>
      <c r="E305" s="16" t="s">
        <v>299</v>
      </c>
      <c r="F305" s="2">
        <v>37469</v>
      </c>
      <c r="H305" s="2">
        <v>38838</v>
      </c>
      <c r="I305" s="25">
        <v>40724</v>
      </c>
      <c r="L305" t="s">
        <v>297</v>
      </c>
      <c r="M305" t="s">
        <v>297</v>
      </c>
      <c r="N305" s="23" t="str">
        <f t="shared" si="30"/>
        <v>N</v>
      </c>
      <c r="O305" s="16" t="s">
        <v>526</v>
      </c>
      <c r="P305" s="10" t="s">
        <v>180</v>
      </c>
      <c r="Q305" s="10" t="s">
        <v>185</v>
      </c>
      <c r="S305" s="16" t="str">
        <f t="shared" si="31"/>
        <v>Patti   Foley</v>
      </c>
      <c r="T305" s="31" t="s">
        <v>1305</v>
      </c>
    </row>
    <row r="306" spans="1:33">
      <c r="A306" s="16">
        <v>3</v>
      </c>
      <c r="B306" s="16" t="s">
        <v>186</v>
      </c>
      <c r="C306" s="16">
        <v>1514</v>
      </c>
      <c r="D306" t="s">
        <v>295</v>
      </c>
      <c r="E306" s="16" t="s">
        <v>296</v>
      </c>
      <c r="F306" s="2">
        <v>38757</v>
      </c>
      <c r="H306" s="2">
        <v>39435</v>
      </c>
      <c r="I306" s="25">
        <v>41820</v>
      </c>
      <c r="K306" s="2">
        <v>38870</v>
      </c>
      <c r="L306" t="s">
        <v>297</v>
      </c>
      <c r="M306" t="s">
        <v>322</v>
      </c>
      <c r="N306" s="23" t="str">
        <f t="shared" si="30"/>
        <v>Y</v>
      </c>
      <c r="O306" s="30" t="s">
        <v>1736</v>
      </c>
      <c r="P306" s="10" t="s">
        <v>180</v>
      </c>
      <c r="Q306" s="10" t="s">
        <v>187</v>
      </c>
      <c r="S306" s="16" t="str">
        <f t="shared" si="31"/>
        <v>David P Bunce</v>
      </c>
      <c r="T306" s="31">
        <v>41424</v>
      </c>
    </row>
    <row r="307" spans="1:33">
      <c r="A307" s="16">
        <v>3</v>
      </c>
      <c r="B307" s="16" t="s">
        <v>186</v>
      </c>
      <c r="C307" s="16">
        <v>1517</v>
      </c>
      <c r="D307" t="s">
        <v>295</v>
      </c>
      <c r="E307" s="16" t="s">
        <v>296</v>
      </c>
      <c r="F307" s="2">
        <v>38776</v>
      </c>
      <c r="G307" s="2">
        <v>39264</v>
      </c>
      <c r="H307" s="2">
        <v>39451</v>
      </c>
      <c r="I307" s="25">
        <v>40359</v>
      </c>
      <c r="K307" s="2">
        <v>39253</v>
      </c>
      <c r="L307" t="s">
        <v>297</v>
      </c>
      <c r="M307" t="s">
        <v>297</v>
      </c>
      <c r="N307" s="23" t="str">
        <f t="shared" si="30"/>
        <v>N</v>
      </c>
      <c r="O307" s="16" t="s">
        <v>535</v>
      </c>
      <c r="P307" s="10" t="s">
        <v>180</v>
      </c>
      <c r="Q307" s="10" t="s">
        <v>187</v>
      </c>
      <c r="S307" s="16" t="str">
        <f t="shared" si="31"/>
        <v>David P Bunce</v>
      </c>
      <c r="T307" s="31" t="s">
        <v>1269</v>
      </c>
    </row>
    <row r="308" spans="1:33">
      <c r="A308" s="16">
        <v>3</v>
      </c>
      <c r="B308" s="16" t="s">
        <v>186</v>
      </c>
      <c r="C308" s="16">
        <v>1518</v>
      </c>
      <c r="D308" t="s">
        <v>295</v>
      </c>
      <c r="E308" s="30" t="s">
        <v>299</v>
      </c>
      <c r="F308" s="2">
        <v>38776</v>
      </c>
      <c r="H308" s="2">
        <v>39223</v>
      </c>
      <c r="I308" s="25">
        <v>39629</v>
      </c>
      <c r="L308" t="s">
        <v>297</v>
      </c>
      <c r="M308" t="s">
        <v>297</v>
      </c>
      <c r="N308" s="23" t="str">
        <f t="shared" si="30"/>
        <v>N</v>
      </c>
      <c r="O308" s="16" t="s">
        <v>536</v>
      </c>
      <c r="P308" s="10" t="s">
        <v>180</v>
      </c>
      <c r="Q308" s="10" t="s">
        <v>187</v>
      </c>
      <c r="S308" s="16" t="str">
        <f t="shared" si="31"/>
        <v>David P Bunce</v>
      </c>
    </row>
    <row r="309" spans="1:33">
      <c r="A309" s="16">
        <v>3</v>
      </c>
      <c r="B309" s="16" t="s">
        <v>186</v>
      </c>
      <c r="C309" s="16">
        <v>1536</v>
      </c>
      <c r="D309" t="s">
        <v>295</v>
      </c>
      <c r="E309" s="16" t="s">
        <v>296</v>
      </c>
      <c r="F309" s="2">
        <v>39099</v>
      </c>
      <c r="G309" s="2">
        <v>39521</v>
      </c>
      <c r="H309" s="2">
        <v>39505</v>
      </c>
      <c r="I309" s="25">
        <v>41820</v>
      </c>
      <c r="K309" s="2">
        <v>39505</v>
      </c>
      <c r="L309" t="s">
        <v>297</v>
      </c>
      <c r="M309" t="s">
        <v>297</v>
      </c>
      <c r="N309" s="23" t="str">
        <f t="shared" si="30"/>
        <v>Y</v>
      </c>
      <c r="O309" s="16" t="s">
        <v>1183</v>
      </c>
      <c r="P309" s="10" t="s">
        <v>180</v>
      </c>
      <c r="Q309" s="10" t="s">
        <v>187</v>
      </c>
      <c r="S309" s="16" t="str">
        <f t="shared" si="31"/>
        <v>David P Bunce</v>
      </c>
      <c r="T309" s="31">
        <v>41424</v>
      </c>
    </row>
    <row r="310" spans="1:33">
      <c r="A310" s="16">
        <v>3</v>
      </c>
      <c r="B310" s="16" t="s">
        <v>186</v>
      </c>
      <c r="C310" s="16">
        <v>1551</v>
      </c>
      <c r="D310" t="s">
        <v>295</v>
      </c>
      <c r="E310" s="16" t="s">
        <v>296</v>
      </c>
      <c r="F310" s="2">
        <v>39295</v>
      </c>
      <c r="H310" s="2">
        <v>39352</v>
      </c>
      <c r="I310" s="25">
        <v>41820</v>
      </c>
      <c r="L310" t="s">
        <v>297</v>
      </c>
      <c r="M310" t="s">
        <v>297</v>
      </c>
      <c r="N310" s="23" t="str">
        <f t="shared" si="30"/>
        <v>Y</v>
      </c>
      <c r="O310" s="30" t="s">
        <v>1737</v>
      </c>
      <c r="P310" s="10" t="s">
        <v>180</v>
      </c>
      <c r="Q310" s="10" t="s">
        <v>187</v>
      </c>
      <c r="S310" s="16" t="str">
        <f t="shared" si="31"/>
        <v>David P Bunce</v>
      </c>
      <c r="T310" s="31">
        <v>41451</v>
      </c>
    </row>
    <row r="311" spans="1:33">
      <c r="A311" s="16">
        <v>3</v>
      </c>
      <c r="B311" s="16" t="s">
        <v>322</v>
      </c>
      <c r="C311" s="16">
        <v>540</v>
      </c>
      <c r="D311" s="7" t="s">
        <v>295</v>
      </c>
      <c r="E311" s="16" t="s">
        <v>316</v>
      </c>
      <c r="F311" s="2">
        <v>31612</v>
      </c>
      <c r="G311" s="2">
        <v>38776</v>
      </c>
      <c r="H311" s="2">
        <v>38841</v>
      </c>
      <c r="I311" s="25">
        <v>38869</v>
      </c>
      <c r="J311" s="2">
        <v>34432</v>
      </c>
      <c r="K311" s="2">
        <v>38775</v>
      </c>
      <c r="L311" t="s">
        <v>297</v>
      </c>
      <c r="M311" t="s">
        <v>297</v>
      </c>
      <c r="N311" s="23" t="str">
        <f t="shared" si="30"/>
        <v>N</v>
      </c>
      <c r="O311" s="16" t="s">
        <v>1277</v>
      </c>
      <c r="P311" s="10" t="s">
        <v>180</v>
      </c>
      <c r="Q311" s="10" t="s">
        <v>188</v>
      </c>
      <c r="S311" s="16" t="str">
        <f t="shared" si="31"/>
        <v>Theresa L Osborn</v>
      </c>
    </row>
    <row r="312" spans="1:33">
      <c r="A312" s="16">
        <v>3</v>
      </c>
      <c r="B312" s="16" t="s">
        <v>322</v>
      </c>
      <c r="C312" s="16">
        <v>1473</v>
      </c>
      <c r="D312" s="7" t="s">
        <v>295</v>
      </c>
      <c r="E312" s="16" t="s">
        <v>316</v>
      </c>
      <c r="F312" s="2">
        <v>38119</v>
      </c>
      <c r="G312" s="2">
        <v>38847</v>
      </c>
      <c r="H312" s="2">
        <v>38999</v>
      </c>
      <c r="I312" s="25">
        <v>38564</v>
      </c>
      <c r="J312" s="2">
        <v>38093</v>
      </c>
      <c r="K312" s="2">
        <v>38811</v>
      </c>
      <c r="L312" t="s">
        <v>322</v>
      </c>
      <c r="M312" t="s">
        <v>322</v>
      </c>
      <c r="N312" s="23" t="str">
        <f t="shared" si="30"/>
        <v>N</v>
      </c>
      <c r="O312" s="16" t="s">
        <v>542</v>
      </c>
      <c r="P312" s="10" t="s">
        <v>180</v>
      </c>
      <c r="Q312" s="10" t="s">
        <v>188</v>
      </c>
      <c r="S312" s="16" t="str">
        <f t="shared" si="31"/>
        <v>Theresa L Osborn</v>
      </c>
    </row>
    <row r="313" spans="1:33">
      <c r="A313" s="16">
        <v>3</v>
      </c>
      <c r="B313" s="16" t="s">
        <v>189</v>
      </c>
      <c r="C313" s="16">
        <v>95</v>
      </c>
      <c r="D313" s="7" t="s">
        <v>295</v>
      </c>
      <c r="E313" s="16" t="s">
        <v>296</v>
      </c>
      <c r="F313" s="2">
        <v>27785</v>
      </c>
      <c r="G313" s="2">
        <v>28286</v>
      </c>
      <c r="H313" s="2">
        <v>39359</v>
      </c>
      <c r="I313" s="25">
        <v>41820</v>
      </c>
      <c r="K313" s="2">
        <v>35869</v>
      </c>
      <c r="L313" t="s">
        <v>339</v>
      </c>
      <c r="M313" t="s">
        <v>297</v>
      </c>
      <c r="N313" s="23" t="str">
        <f t="shared" si="30"/>
        <v>Y</v>
      </c>
      <c r="O313" s="16" t="s">
        <v>1185</v>
      </c>
      <c r="P313" s="10" t="s">
        <v>180</v>
      </c>
      <c r="Q313" s="10" t="s">
        <v>190</v>
      </c>
      <c r="S313" s="16" t="str">
        <f t="shared" si="31"/>
        <v>Daniel G Howald</v>
      </c>
      <c r="T313" s="31">
        <v>41435</v>
      </c>
    </row>
    <row r="314" spans="1:33" customFormat="1" hidden="1">
      <c r="A314">
        <v>3</v>
      </c>
      <c r="B314" t="s">
        <v>189</v>
      </c>
      <c r="C314">
        <v>1035</v>
      </c>
      <c r="D314" t="s">
        <v>295</v>
      </c>
      <c r="E314" t="s">
        <v>316</v>
      </c>
      <c r="F314" s="2">
        <v>34750</v>
      </c>
      <c r="H314" s="2">
        <v>36655</v>
      </c>
      <c r="I314" s="6"/>
      <c r="K314" s="2">
        <v>34962</v>
      </c>
      <c r="L314" t="s">
        <v>297</v>
      </c>
      <c r="M314" t="s">
        <v>297</v>
      </c>
      <c r="O314" t="s">
        <v>318</v>
      </c>
      <c r="P314" t="s">
        <v>180</v>
      </c>
      <c r="Q314" t="s">
        <v>190</v>
      </c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</row>
    <row r="315" spans="1:33" s="7" customFormat="1" hidden="1">
      <c r="A315" s="7">
        <v>3</v>
      </c>
      <c r="B315" s="7" t="s">
        <v>189</v>
      </c>
      <c r="C315" s="7">
        <v>1085</v>
      </c>
      <c r="D315" s="7" t="s">
        <v>315</v>
      </c>
      <c r="E315" s="7" t="s">
        <v>316</v>
      </c>
      <c r="F315" s="2">
        <v>35073</v>
      </c>
      <c r="G315" s="2">
        <v>36238</v>
      </c>
      <c r="H315" s="2">
        <v>37557</v>
      </c>
      <c r="I315" s="8">
        <v>36372</v>
      </c>
      <c r="J315"/>
      <c r="K315"/>
      <c r="L315" t="s">
        <v>297</v>
      </c>
      <c r="M315" t="s">
        <v>297</v>
      </c>
      <c r="N315"/>
      <c r="O315" s="7" t="s">
        <v>318</v>
      </c>
      <c r="P315" s="7" t="s">
        <v>180</v>
      </c>
      <c r="Q315" s="7" t="s">
        <v>190</v>
      </c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</row>
    <row r="316" spans="1:33">
      <c r="A316" s="16">
        <v>3</v>
      </c>
      <c r="B316" s="16" t="s">
        <v>189</v>
      </c>
      <c r="C316" s="16">
        <v>139</v>
      </c>
      <c r="D316" s="7" t="s">
        <v>295</v>
      </c>
      <c r="E316" s="16" t="s">
        <v>296</v>
      </c>
      <c r="F316" s="2">
        <v>28093</v>
      </c>
      <c r="G316" s="2">
        <v>28251</v>
      </c>
      <c r="H316" s="2">
        <v>38961</v>
      </c>
      <c r="I316" s="25">
        <v>41455</v>
      </c>
      <c r="K316" s="2">
        <v>33659</v>
      </c>
      <c r="L316" t="s">
        <v>297</v>
      </c>
      <c r="M316" t="s">
        <v>297</v>
      </c>
      <c r="N316" s="23" t="str">
        <f>IF((I316&gt;$W$2),"Y","N")</f>
        <v>N</v>
      </c>
      <c r="O316" s="30" t="s">
        <v>1738</v>
      </c>
      <c r="P316" s="10" t="s">
        <v>180</v>
      </c>
      <c r="Q316" s="10" t="s">
        <v>190</v>
      </c>
      <c r="S316" s="16" t="str">
        <f>MID(Q316,9,30)</f>
        <v>Daniel G Howald</v>
      </c>
      <c r="T316" s="31" t="s">
        <v>1476</v>
      </c>
    </row>
    <row r="317" spans="1:33">
      <c r="A317" s="16">
        <v>3</v>
      </c>
      <c r="B317" s="16" t="s">
        <v>189</v>
      </c>
      <c r="C317" s="16">
        <v>141</v>
      </c>
      <c r="D317" s="7" t="s">
        <v>295</v>
      </c>
      <c r="E317" s="16" t="s">
        <v>296</v>
      </c>
      <c r="F317" s="2">
        <v>28093</v>
      </c>
      <c r="G317" s="2">
        <v>28928</v>
      </c>
      <c r="H317" s="2">
        <v>35604</v>
      </c>
      <c r="I317" s="25">
        <v>41090</v>
      </c>
      <c r="K317" s="2">
        <v>35604</v>
      </c>
      <c r="L317" t="s">
        <v>339</v>
      </c>
      <c r="M317" t="s">
        <v>297</v>
      </c>
      <c r="N317" s="23" t="str">
        <f>IF((I317&gt;$W$2),"Y","N")</f>
        <v>N</v>
      </c>
      <c r="O317" s="16" t="s">
        <v>545</v>
      </c>
      <c r="P317" s="10" t="s">
        <v>180</v>
      </c>
      <c r="Q317" s="10" t="s">
        <v>190</v>
      </c>
      <c r="S317" s="16" t="str">
        <f>MID(Q317,9,30)</f>
        <v>Daniel G Howald</v>
      </c>
      <c r="T317" s="31" t="s">
        <v>1162</v>
      </c>
    </row>
    <row r="318" spans="1:33">
      <c r="A318" s="16">
        <v>3</v>
      </c>
      <c r="B318" s="16" t="s">
        <v>189</v>
      </c>
      <c r="C318" s="16">
        <v>199</v>
      </c>
      <c r="D318" s="7" t="s">
        <v>295</v>
      </c>
      <c r="E318" s="16" t="s">
        <v>296</v>
      </c>
      <c r="F318" s="2">
        <v>28748</v>
      </c>
      <c r="G318" s="2">
        <v>28986</v>
      </c>
      <c r="H318" s="2">
        <v>38754</v>
      </c>
      <c r="I318" s="25">
        <v>41455</v>
      </c>
      <c r="K318" s="2">
        <v>37578</v>
      </c>
      <c r="L318" t="s">
        <v>297</v>
      </c>
      <c r="M318" t="s">
        <v>297</v>
      </c>
      <c r="N318" s="23" t="str">
        <f>IF((I318&gt;$W$2),"Y","N")</f>
        <v>N</v>
      </c>
      <c r="O318" s="30" t="s">
        <v>1739</v>
      </c>
      <c r="P318" s="10" t="s">
        <v>180</v>
      </c>
      <c r="Q318" s="10" t="s">
        <v>190</v>
      </c>
      <c r="S318" s="16" t="str">
        <f>MID(Q318,9,30)</f>
        <v>Daniel G Howald</v>
      </c>
      <c r="T318" s="31" t="s">
        <v>1415</v>
      </c>
    </row>
    <row r="319" spans="1:33" customFormat="1" hidden="1">
      <c r="A319" t="s">
        <v>180</v>
      </c>
      <c r="B319" t="s">
        <v>190</v>
      </c>
      <c r="I319" s="6"/>
    </row>
    <row r="320" spans="1:33" customFormat="1" hidden="1">
      <c r="A320" t="s">
        <v>560</v>
      </c>
      <c r="I320" s="6"/>
    </row>
    <row r="321" spans="1:33">
      <c r="A321" s="16">
        <v>3</v>
      </c>
      <c r="B321" s="16" t="s">
        <v>189</v>
      </c>
      <c r="C321" s="16">
        <v>200</v>
      </c>
      <c r="D321" t="s">
        <v>295</v>
      </c>
      <c r="E321" s="16" t="s">
        <v>296</v>
      </c>
      <c r="F321" s="2">
        <v>28748</v>
      </c>
      <c r="G321" s="2">
        <v>28986</v>
      </c>
      <c r="H321" s="2">
        <v>39320</v>
      </c>
      <c r="I321" s="25">
        <v>41455</v>
      </c>
      <c r="K321" s="2">
        <v>35873</v>
      </c>
      <c r="L321" t="s">
        <v>297</v>
      </c>
      <c r="N321" s="23" t="str">
        <f>IF((I321&gt;$W$2),"Y","N")</f>
        <v>N</v>
      </c>
      <c r="O321" s="30" t="s">
        <v>1740</v>
      </c>
      <c r="P321" s="10" t="s">
        <v>180</v>
      </c>
      <c r="Q321" s="10" t="s">
        <v>190</v>
      </c>
      <c r="S321" s="16" t="str">
        <f>MID(Q321,9,30)</f>
        <v>Daniel G Howald</v>
      </c>
      <c r="T321" s="31" t="s">
        <v>1421</v>
      </c>
    </row>
    <row r="322" spans="1:33" s="7" customFormat="1" hidden="1">
      <c r="A322" s="7">
        <v>4</v>
      </c>
      <c r="B322" s="7" t="s">
        <v>140</v>
      </c>
      <c r="C322" s="7">
        <v>1019</v>
      </c>
      <c r="D322" s="7" t="s">
        <v>348</v>
      </c>
      <c r="E322" s="7" t="s">
        <v>316</v>
      </c>
      <c r="F322" s="2">
        <v>34715</v>
      </c>
      <c r="G322"/>
      <c r="H322" s="2">
        <v>36196</v>
      </c>
      <c r="I322" s="8">
        <v>35246</v>
      </c>
      <c r="J322" s="2">
        <v>34808</v>
      </c>
      <c r="K322" s="2">
        <v>36196</v>
      </c>
      <c r="L322" t="s">
        <v>297</v>
      </c>
      <c r="M322" t="s">
        <v>297</v>
      </c>
      <c r="N322"/>
      <c r="O322" s="7" t="s">
        <v>318</v>
      </c>
      <c r="P322" s="7" t="s">
        <v>191</v>
      </c>
      <c r="Q322" s="7" t="s">
        <v>192</v>
      </c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</row>
    <row r="323" spans="1:33" s="7" customFormat="1" hidden="1">
      <c r="A323" s="7">
        <v>4</v>
      </c>
      <c r="B323" s="7" t="s">
        <v>140</v>
      </c>
      <c r="C323" s="7">
        <v>1116</v>
      </c>
      <c r="D323" s="7" t="s">
        <v>377</v>
      </c>
      <c r="E323" s="7" t="s">
        <v>316</v>
      </c>
      <c r="F323" s="2">
        <v>35222</v>
      </c>
      <c r="G323" s="2">
        <v>36308</v>
      </c>
      <c r="H323" s="2">
        <v>36570</v>
      </c>
      <c r="I323" s="8">
        <v>36586</v>
      </c>
      <c r="J323"/>
      <c r="K323" s="2">
        <v>35222</v>
      </c>
      <c r="L323" t="s">
        <v>322</v>
      </c>
      <c r="M323" t="s">
        <v>297</v>
      </c>
      <c r="N323"/>
      <c r="O323" s="7" t="s">
        <v>369</v>
      </c>
      <c r="P323" s="7" t="s">
        <v>191</v>
      </c>
      <c r="Q323" s="7" t="s">
        <v>192</v>
      </c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</row>
    <row r="324" spans="1:33" customFormat="1" hidden="1">
      <c r="A324">
        <v>4</v>
      </c>
      <c r="B324" t="s">
        <v>140</v>
      </c>
      <c r="C324">
        <v>1179</v>
      </c>
      <c r="D324" t="s">
        <v>348</v>
      </c>
      <c r="E324" t="s">
        <v>316</v>
      </c>
      <c r="F324" s="2">
        <v>35493</v>
      </c>
      <c r="H324" s="2">
        <v>36930</v>
      </c>
      <c r="I324" s="6"/>
      <c r="K324" s="2">
        <v>36181</v>
      </c>
      <c r="L324" t="s">
        <v>322</v>
      </c>
      <c r="M324" t="s">
        <v>297</v>
      </c>
      <c r="P324" t="s">
        <v>191</v>
      </c>
      <c r="Q324" t="s">
        <v>192</v>
      </c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</row>
    <row r="325" spans="1:33" s="7" customFormat="1" hidden="1">
      <c r="A325" s="7">
        <v>4</v>
      </c>
      <c r="B325" s="7" t="s">
        <v>140</v>
      </c>
      <c r="C325" s="7">
        <v>1355</v>
      </c>
      <c r="D325" s="7" t="s">
        <v>380</v>
      </c>
      <c r="E325" s="7" t="s">
        <v>316</v>
      </c>
      <c r="F325" s="2">
        <v>36739</v>
      </c>
      <c r="G325" s="2">
        <v>37848</v>
      </c>
      <c r="H325" s="2">
        <v>38399</v>
      </c>
      <c r="I325" s="8">
        <v>36739</v>
      </c>
      <c r="J325"/>
      <c r="K325"/>
      <c r="L325" t="s">
        <v>322</v>
      </c>
      <c r="M325" t="s">
        <v>297</v>
      </c>
      <c r="N325"/>
      <c r="O325" s="7" t="s">
        <v>562</v>
      </c>
      <c r="P325" s="7" t="s">
        <v>191</v>
      </c>
      <c r="Q325" s="7" t="s">
        <v>192</v>
      </c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</row>
    <row r="326" spans="1:33">
      <c r="A326" s="16">
        <v>3</v>
      </c>
      <c r="B326" s="16" t="s">
        <v>189</v>
      </c>
      <c r="C326" s="16">
        <v>201</v>
      </c>
      <c r="D326" s="7" t="s">
        <v>295</v>
      </c>
      <c r="E326" s="16" t="s">
        <v>296</v>
      </c>
      <c r="F326" s="2">
        <v>28748</v>
      </c>
      <c r="G326" s="2">
        <v>28986</v>
      </c>
      <c r="H326" s="2">
        <v>39207</v>
      </c>
      <c r="I326" s="25">
        <v>41820</v>
      </c>
      <c r="K326" s="2">
        <v>35373</v>
      </c>
      <c r="L326" t="s">
        <v>297</v>
      </c>
      <c r="M326" t="s">
        <v>297</v>
      </c>
      <c r="N326" s="23" t="str">
        <f>IF((I326&gt;$W$2),"Y","N")</f>
        <v>Y</v>
      </c>
      <c r="O326" s="30" t="s">
        <v>1741</v>
      </c>
      <c r="P326" s="10" t="s">
        <v>180</v>
      </c>
      <c r="Q326" s="10" t="s">
        <v>190</v>
      </c>
      <c r="S326" s="16" t="str">
        <f>MID(Q326,9,30)</f>
        <v>Daniel G Howald</v>
      </c>
      <c r="T326" s="31">
        <v>41474</v>
      </c>
    </row>
    <row r="327" spans="1:33">
      <c r="A327" s="16">
        <v>3</v>
      </c>
      <c r="B327" s="16" t="s">
        <v>189</v>
      </c>
      <c r="C327" s="16">
        <v>202</v>
      </c>
      <c r="D327" s="7" t="s">
        <v>295</v>
      </c>
      <c r="E327" s="16" t="s">
        <v>296</v>
      </c>
      <c r="F327" s="2">
        <v>28748</v>
      </c>
      <c r="G327" s="2">
        <v>28986</v>
      </c>
      <c r="H327" s="2">
        <v>39118</v>
      </c>
      <c r="I327" s="25">
        <v>41820</v>
      </c>
      <c r="K327" s="2">
        <v>32546</v>
      </c>
      <c r="L327" t="s">
        <v>297</v>
      </c>
      <c r="N327" s="23" t="str">
        <f>IF((I327&gt;$W$2),"Y","N")</f>
        <v>Y</v>
      </c>
      <c r="O327" s="30" t="s">
        <v>1742</v>
      </c>
      <c r="P327" s="10" t="s">
        <v>180</v>
      </c>
      <c r="Q327" s="10" t="s">
        <v>190</v>
      </c>
      <c r="S327" s="16" t="str">
        <f>MID(Q327,9,30)</f>
        <v>Daniel G Howald</v>
      </c>
      <c r="T327" s="31">
        <v>41422</v>
      </c>
    </row>
    <row r="328" spans="1:33">
      <c r="A328" s="16">
        <v>3</v>
      </c>
      <c r="B328" s="16" t="s">
        <v>189</v>
      </c>
      <c r="C328" s="16">
        <v>204</v>
      </c>
      <c r="D328" s="7" t="s">
        <v>295</v>
      </c>
      <c r="E328" s="16" t="s">
        <v>296</v>
      </c>
      <c r="F328" s="2">
        <v>28748</v>
      </c>
      <c r="G328" s="2">
        <v>28986</v>
      </c>
      <c r="H328" s="2">
        <v>39326</v>
      </c>
      <c r="I328" s="25">
        <v>41455</v>
      </c>
      <c r="K328" s="2">
        <v>35873</v>
      </c>
      <c r="L328" t="s">
        <v>297</v>
      </c>
      <c r="M328" t="s">
        <v>297</v>
      </c>
      <c r="N328" s="23" t="str">
        <f>IF((I328&gt;$W$2),"Y","N")</f>
        <v>N</v>
      </c>
      <c r="O328" s="30" t="s">
        <v>1743</v>
      </c>
      <c r="P328" s="10" t="s">
        <v>180</v>
      </c>
      <c r="Q328" s="10" t="s">
        <v>190</v>
      </c>
      <c r="S328" s="16" t="str">
        <f>MID(Q328,9,30)</f>
        <v>Daniel G Howald</v>
      </c>
      <c r="T328" s="31" t="s">
        <v>1516</v>
      </c>
    </row>
    <row r="329" spans="1:33">
      <c r="A329" s="16">
        <v>3</v>
      </c>
      <c r="B329" s="16" t="s">
        <v>189</v>
      </c>
      <c r="C329" s="16">
        <v>220</v>
      </c>
      <c r="D329" s="7" t="s">
        <v>295</v>
      </c>
      <c r="E329" s="16" t="s">
        <v>296</v>
      </c>
      <c r="F329" s="2">
        <v>28902</v>
      </c>
      <c r="G329" s="2">
        <v>30630</v>
      </c>
      <c r="H329" s="2">
        <v>39353</v>
      </c>
      <c r="I329" s="25">
        <v>41820</v>
      </c>
      <c r="K329" s="2">
        <v>33600</v>
      </c>
      <c r="L329" t="s">
        <v>297</v>
      </c>
      <c r="M329" t="s">
        <v>297</v>
      </c>
      <c r="N329" s="23" t="str">
        <f>IF((I329&gt;$W$2),"Y","N")</f>
        <v>Y</v>
      </c>
      <c r="O329" s="30" t="s">
        <v>1744</v>
      </c>
      <c r="P329" s="10" t="s">
        <v>180</v>
      </c>
      <c r="Q329" s="10" t="s">
        <v>190</v>
      </c>
      <c r="S329" s="16" t="str">
        <f>MID(Q329,9,30)</f>
        <v>Daniel G Howald</v>
      </c>
      <c r="T329" s="31">
        <v>41477</v>
      </c>
    </row>
    <row r="330" spans="1:33" customFormat="1" hidden="1">
      <c r="A330" t="s">
        <v>191</v>
      </c>
      <c r="B330" t="s">
        <v>192</v>
      </c>
      <c r="I330" s="6"/>
    </row>
    <row r="331" spans="1:33">
      <c r="A331" s="16">
        <v>3</v>
      </c>
      <c r="B331" s="16" t="s">
        <v>189</v>
      </c>
      <c r="C331" s="16">
        <v>221</v>
      </c>
      <c r="D331" s="7" t="s">
        <v>295</v>
      </c>
      <c r="E331" s="16" t="s">
        <v>296</v>
      </c>
      <c r="F331" s="2">
        <v>28902</v>
      </c>
      <c r="G331" s="2">
        <v>29902</v>
      </c>
      <c r="H331" s="2">
        <v>39390</v>
      </c>
      <c r="I331" s="25">
        <v>41820</v>
      </c>
      <c r="K331" s="2">
        <v>33687</v>
      </c>
      <c r="L331" t="s">
        <v>297</v>
      </c>
      <c r="M331" t="s">
        <v>297</v>
      </c>
      <c r="N331" s="23" t="str">
        <f t="shared" ref="N331:N336" si="32">IF((I331&gt;$W$2),"Y","N")</f>
        <v>Y</v>
      </c>
      <c r="O331" s="30" t="s">
        <v>1745</v>
      </c>
      <c r="P331" s="10" t="s">
        <v>180</v>
      </c>
      <c r="Q331" s="10" t="s">
        <v>190</v>
      </c>
      <c r="S331" s="16" t="str">
        <f t="shared" ref="S331:S336" si="33">MID(Q331,9,30)</f>
        <v>Daniel G Howald</v>
      </c>
      <c r="T331" s="31">
        <v>41425</v>
      </c>
    </row>
    <row r="332" spans="1:33">
      <c r="A332" s="16">
        <v>3</v>
      </c>
      <c r="B332" s="16" t="s">
        <v>189</v>
      </c>
      <c r="C332" s="16">
        <v>240</v>
      </c>
      <c r="D332" s="7" t="s">
        <v>295</v>
      </c>
      <c r="E332" s="16" t="s">
        <v>296</v>
      </c>
      <c r="F332" s="2">
        <v>29112</v>
      </c>
      <c r="G332" s="2">
        <v>29356</v>
      </c>
      <c r="H332" s="2">
        <v>38558</v>
      </c>
      <c r="I332" s="25">
        <v>41455</v>
      </c>
      <c r="K332" s="2">
        <v>35284</v>
      </c>
      <c r="L332" t="s">
        <v>297</v>
      </c>
      <c r="M332" t="s">
        <v>297</v>
      </c>
      <c r="N332" s="23" t="str">
        <f t="shared" si="32"/>
        <v>N</v>
      </c>
      <c r="O332" s="16" t="s">
        <v>553</v>
      </c>
      <c r="P332" s="10" t="s">
        <v>180</v>
      </c>
      <c r="Q332" s="10" t="s">
        <v>190</v>
      </c>
      <c r="S332" s="16" t="str">
        <f t="shared" si="33"/>
        <v>Daniel G Howald</v>
      </c>
      <c r="T332" s="31" t="s">
        <v>1494</v>
      </c>
    </row>
    <row r="333" spans="1:33">
      <c r="A333" s="16">
        <v>3</v>
      </c>
      <c r="B333" s="16" t="s">
        <v>189</v>
      </c>
      <c r="C333" s="16">
        <v>251</v>
      </c>
      <c r="D333" s="7" t="s">
        <v>295</v>
      </c>
      <c r="E333" s="16" t="s">
        <v>296</v>
      </c>
      <c r="F333" s="2">
        <v>29248</v>
      </c>
      <c r="G333" s="2">
        <v>31110</v>
      </c>
      <c r="H333" s="2">
        <v>39475</v>
      </c>
      <c r="I333" s="25">
        <v>41820</v>
      </c>
      <c r="K333" s="2">
        <v>38819</v>
      </c>
      <c r="L333" t="s">
        <v>297</v>
      </c>
      <c r="M333" t="s">
        <v>297</v>
      </c>
      <c r="N333" s="23" t="str">
        <f t="shared" si="32"/>
        <v>Y</v>
      </c>
      <c r="O333" s="16" t="s">
        <v>1576</v>
      </c>
      <c r="P333" s="10" t="s">
        <v>180</v>
      </c>
      <c r="Q333" s="10" t="s">
        <v>190</v>
      </c>
      <c r="S333" s="16" t="str">
        <f t="shared" si="33"/>
        <v>Daniel G Howald</v>
      </c>
      <c r="T333" s="31">
        <v>41451</v>
      </c>
    </row>
    <row r="334" spans="1:33">
      <c r="A334" s="16">
        <v>3</v>
      </c>
      <c r="B334" s="16" t="s">
        <v>189</v>
      </c>
      <c r="C334" s="16">
        <v>324</v>
      </c>
      <c r="D334" s="7" t="s">
        <v>295</v>
      </c>
      <c r="E334" s="16" t="s">
        <v>296</v>
      </c>
      <c r="F334" s="2">
        <v>29791</v>
      </c>
      <c r="G334" s="2">
        <v>30086</v>
      </c>
      <c r="H334" s="2">
        <v>39318</v>
      </c>
      <c r="I334" s="25">
        <v>41820</v>
      </c>
      <c r="K334" s="2">
        <v>34309</v>
      </c>
      <c r="L334" t="s">
        <v>297</v>
      </c>
      <c r="M334" t="s">
        <v>297</v>
      </c>
      <c r="N334" s="23" t="str">
        <f t="shared" si="32"/>
        <v>Y</v>
      </c>
      <c r="O334" s="16" t="s">
        <v>1463</v>
      </c>
      <c r="P334" s="10" t="s">
        <v>180</v>
      </c>
      <c r="Q334" s="10" t="s">
        <v>190</v>
      </c>
      <c r="S334" s="16" t="str">
        <f t="shared" si="33"/>
        <v>Daniel G Howald</v>
      </c>
      <c r="T334" s="31">
        <v>41457</v>
      </c>
    </row>
    <row r="335" spans="1:33">
      <c r="A335" s="16">
        <v>3</v>
      </c>
      <c r="B335" s="16" t="s">
        <v>189</v>
      </c>
      <c r="C335" s="16">
        <v>455</v>
      </c>
      <c r="D335" t="s">
        <v>295</v>
      </c>
      <c r="E335" s="16" t="s">
        <v>296</v>
      </c>
      <c r="F335" s="2">
        <v>31052</v>
      </c>
      <c r="G335" s="2">
        <v>31493</v>
      </c>
      <c r="H335" s="2">
        <v>39520</v>
      </c>
      <c r="I335" s="25">
        <v>41820</v>
      </c>
      <c r="K335" s="2">
        <v>38708</v>
      </c>
      <c r="L335" t="s">
        <v>297</v>
      </c>
      <c r="M335" t="s">
        <v>297</v>
      </c>
      <c r="N335" s="23" t="str">
        <f t="shared" si="32"/>
        <v>Y</v>
      </c>
      <c r="O335" s="30" t="s">
        <v>1746</v>
      </c>
      <c r="P335" s="10" t="s">
        <v>180</v>
      </c>
      <c r="Q335" s="10" t="s">
        <v>190</v>
      </c>
      <c r="S335" s="16" t="str">
        <f t="shared" si="33"/>
        <v>Daniel G Howald</v>
      </c>
      <c r="T335" s="31">
        <v>41424</v>
      </c>
    </row>
    <row r="336" spans="1:33">
      <c r="A336" s="16">
        <v>3</v>
      </c>
      <c r="B336" s="16" t="s">
        <v>189</v>
      </c>
      <c r="C336" s="16">
        <v>790</v>
      </c>
      <c r="D336" s="7" t="s">
        <v>295</v>
      </c>
      <c r="E336" s="16" t="s">
        <v>296</v>
      </c>
      <c r="F336" s="2">
        <v>33384</v>
      </c>
      <c r="G336" s="2">
        <v>34120</v>
      </c>
      <c r="H336" s="2">
        <v>39203</v>
      </c>
      <c r="I336" s="25">
        <v>34171</v>
      </c>
      <c r="K336" s="2">
        <v>34983</v>
      </c>
      <c r="L336" t="s">
        <v>297</v>
      </c>
      <c r="M336" t="s">
        <v>297</v>
      </c>
      <c r="N336" s="23" t="str">
        <f t="shared" si="32"/>
        <v>N</v>
      </c>
      <c r="O336" s="30" t="s">
        <v>318</v>
      </c>
      <c r="P336" s="10" t="s">
        <v>180</v>
      </c>
      <c r="Q336" s="10" t="s">
        <v>185</v>
      </c>
      <c r="S336" s="16" t="str">
        <f t="shared" si="33"/>
        <v>Patti   Foley</v>
      </c>
    </row>
    <row r="337" spans="1:33" s="7" customFormat="1" hidden="1">
      <c r="A337" s="7">
        <v>4</v>
      </c>
      <c r="B337" s="7" t="s">
        <v>149</v>
      </c>
      <c r="C337" s="7">
        <v>833</v>
      </c>
      <c r="D337" s="7" t="s">
        <v>572</v>
      </c>
      <c r="E337" s="7" t="s">
        <v>316</v>
      </c>
      <c r="F337" s="2">
        <v>33684</v>
      </c>
      <c r="G337"/>
      <c r="H337" s="2">
        <v>35222</v>
      </c>
      <c r="I337" s="8">
        <v>34074</v>
      </c>
      <c r="J337"/>
      <c r="K337" s="2">
        <v>35222</v>
      </c>
      <c r="L337" t="s">
        <v>322</v>
      </c>
      <c r="M337" t="s">
        <v>297</v>
      </c>
      <c r="N337"/>
      <c r="P337" s="7" t="s">
        <v>191</v>
      </c>
      <c r="Q337" s="7" t="s">
        <v>193</v>
      </c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</row>
    <row r="338" spans="1:33" s="7" customFormat="1" hidden="1">
      <c r="A338" s="7">
        <v>4</v>
      </c>
      <c r="B338" s="7" t="s">
        <v>149</v>
      </c>
      <c r="C338" s="7">
        <v>896</v>
      </c>
      <c r="D338" s="7" t="s">
        <v>348</v>
      </c>
      <c r="E338" s="7" t="s">
        <v>316</v>
      </c>
      <c r="F338" s="2">
        <v>34177</v>
      </c>
      <c r="G338" s="2">
        <v>34775</v>
      </c>
      <c r="H338" s="2">
        <v>36570</v>
      </c>
      <c r="I338" s="8">
        <v>35643</v>
      </c>
      <c r="J338"/>
      <c r="K338" s="2">
        <v>35485</v>
      </c>
      <c r="L338" t="s">
        <v>322</v>
      </c>
      <c r="M338" t="s">
        <v>297</v>
      </c>
      <c r="N338"/>
      <c r="P338" s="7" t="s">
        <v>191</v>
      </c>
      <c r="Q338" s="7" t="s">
        <v>193</v>
      </c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</row>
    <row r="339" spans="1:33" customFormat="1" hidden="1">
      <c r="A339">
        <v>4</v>
      </c>
      <c r="B339" t="s">
        <v>149</v>
      </c>
      <c r="C339">
        <v>1173</v>
      </c>
      <c r="D339" t="s">
        <v>573</v>
      </c>
      <c r="E339" t="s">
        <v>316</v>
      </c>
      <c r="F339" s="2">
        <v>35472</v>
      </c>
      <c r="H339" s="2">
        <v>36748</v>
      </c>
      <c r="I339" s="6"/>
      <c r="L339" t="s">
        <v>322</v>
      </c>
      <c r="M339" t="s">
        <v>297</v>
      </c>
      <c r="P339" t="s">
        <v>191</v>
      </c>
      <c r="Q339" t="s">
        <v>193</v>
      </c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</row>
    <row r="340" spans="1:33" s="7" customFormat="1" hidden="1">
      <c r="A340" s="7">
        <v>4</v>
      </c>
      <c r="B340" s="7" t="s">
        <v>149</v>
      </c>
      <c r="C340" s="7">
        <v>1235</v>
      </c>
      <c r="D340" s="7" t="s">
        <v>574</v>
      </c>
      <c r="E340" s="7" t="s">
        <v>316</v>
      </c>
      <c r="F340" s="2">
        <v>35843</v>
      </c>
      <c r="G340"/>
      <c r="H340" s="2">
        <v>35906</v>
      </c>
      <c r="I340" s="8">
        <v>36220</v>
      </c>
      <c r="J340"/>
      <c r="K340" s="2">
        <v>35906</v>
      </c>
      <c r="L340" t="s">
        <v>322</v>
      </c>
      <c r="M340" t="s">
        <v>297</v>
      </c>
      <c r="N340"/>
      <c r="P340" s="7" t="s">
        <v>191</v>
      </c>
      <c r="Q340" s="7" t="s">
        <v>193</v>
      </c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</row>
    <row r="341" spans="1:33">
      <c r="A341" s="16">
        <v>3</v>
      </c>
      <c r="B341" s="16" t="s">
        <v>189</v>
      </c>
      <c r="C341" s="16">
        <v>1073</v>
      </c>
      <c r="D341" s="7" t="s">
        <v>295</v>
      </c>
      <c r="E341" s="16" t="s">
        <v>296</v>
      </c>
      <c r="F341" s="2">
        <v>34918</v>
      </c>
      <c r="G341" s="2">
        <v>35434</v>
      </c>
      <c r="H341" s="2">
        <v>38967</v>
      </c>
      <c r="I341" s="25">
        <v>40359</v>
      </c>
      <c r="J341" s="2">
        <v>35415</v>
      </c>
      <c r="K341" s="2">
        <v>37538</v>
      </c>
      <c r="L341" t="s">
        <v>297</v>
      </c>
      <c r="M341" t="s">
        <v>297</v>
      </c>
      <c r="N341" s="23" t="str">
        <f>IF((I341&gt;$W$2),"Y","N")</f>
        <v>N</v>
      </c>
      <c r="O341" s="16" t="s">
        <v>1182</v>
      </c>
      <c r="P341" s="10" t="s">
        <v>180</v>
      </c>
      <c r="Q341" s="10" t="s">
        <v>185</v>
      </c>
      <c r="S341" s="16" t="str">
        <f>MID(Q341,9,30)</f>
        <v>Patti   Foley</v>
      </c>
      <c r="T341" s="31" t="s">
        <v>1271</v>
      </c>
    </row>
    <row r="342" spans="1:33" customFormat="1" hidden="1">
      <c r="A342" t="s">
        <v>191</v>
      </c>
      <c r="B342" t="s">
        <v>193</v>
      </c>
      <c r="I342" s="6"/>
    </row>
    <row r="343" spans="1:33" s="7" customFormat="1" hidden="1">
      <c r="A343" s="7">
        <v>4</v>
      </c>
      <c r="B343" s="7" t="s">
        <v>296</v>
      </c>
      <c r="C343" s="7">
        <v>960</v>
      </c>
      <c r="D343" s="7" t="s">
        <v>315</v>
      </c>
      <c r="E343" s="7" t="s">
        <v>316</v>
      </c>
      <c r="F343" s="2">
        <v>36762</v>
      </c>
      <c r="G343"/>
      <c r="H343" s="2">
        <v>36762</v>
      </c>
      <c r="I343" s="8">
        <v>36708</v>
      </c>
      <c r="J343"/>
      <c r="K343"/>
      <c r="L343" t="s">
        <v>322</v>
      </c>
      <c r="M343" t="s">
        <v>297</v>
      </c>
      <c r="N343"/>
      <c r="O343" s="7" t="s">
        <v>369</v>
      </c>
      <c r="P343" s="7" t="s">
        <v>191</v>
      </c>
      <c r="Q343" s="7" t="s">
        <v>194</v>
      </c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</row>
    <row r="344" spans="1:33" s="7" customFormat="1" hidden="1">
      <c r="A344" s="7">
        <v>4</v>
      </c>
      <c r="B344" s="7" t="s">
        <v>296</v>
      </c>
      <c r="C344" s="7">
        <v>1028</v>
      </c>
      <c r="D344" s="7" t="s">
        <v>348</v>
      </c>
      <c r="E344" s="7" t="s">
        <v>376</v>
      </c>
      <c r="F344" s="2">
        <v>34736</v>
      </c>
      <c r="G344"/>
      <c r="H344" s="2">
        <v>35945</v>
      </c>
      <c r="I344" s="8">
        <v>35064</v>
      </c>
      <c r="J344"/>
      <c r="K344" s="2">
        <v>34736</v>
      </c>
      <c r="L344" t="s">
        <v>317</v>
      </c>
      <c r="M344" t="s">
        <v>297</v>
      </c>
      <c r="N344"/>
      <c r="O344" s="7" t="s">
        <v>369</v>
      </c>
      <c r="P344" s="7" t="s">
        <v>191</v>
      </c>
      <c r="Q344" s="7" t="s">
        <v>194</v>
      </c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</row>
    <row r="345" spans="1:33" s="7" customFormat="1" hidden="1">
      <c r="A345" s="7">
        <v>4</v>
      </c>
      <c r="B345" s="7" t="s">
        <v>296</v>
      </c>
      <c r="C345" s="7">
        <v>1082</v>
      </c>
      <c r="D345" s="7" t="s">
        <v>464</v>
      </c>
      <c r="E345" s="7" t="s">
        <v>316</v>
      </c>
      <c r="F345" s="2">
        <v>35039</v>
      </c>
      <c r="G345" s="2">
        <v>36483</v>
      </c>
      <c r="H345" s="2">
        <v>36752</v>
      </c>
      <c r="I345" s="8">
        <v>36890</v>
      </c>
      <c r="J345"/>
      <c r="K345" s="2">
        <v>35039</v>
      </c>
      <c r="L345" t="s">
        <v>322</v>
      </c>
      <c r="M345" t="s">
        <v>297</v>
      </c>
      <c r="N345"/>
      <c r="O345" s="7" t="s">
        <v>369</v>
      </c>
      <c r="P345" s="7" t="s">
        <v>191</v>
      </c>
      <c r="Q345" s="7" t="s">
        <v>194</v>
      </c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</row>
    <row r="346" spans="1:33" s="7" customFormat="1" hidden="1">
      <c r="A346" s="7">
        <v>4</v>
      </c>
      <c r="B346" s="7" t="s">
        <v>296</v>
      </c>
      <c r="C346" s="7">
        <v>1209</v>
      </c>
      <c r="D346" s="7" t="s">
        <v>464</v>
      </c>
      <c r="E346" s="7" t="s">
        <v>316</v>
      </c>
      <c r="F346" s="2">
        <v>35653</v>
      </c>
      <c r="G346" s="2">
        <v>36175</v>
      </c>
      <c r="H346" s="2">
        <v>36809</v>
      </c>
      <c r="I346" s="8">
        <v>36403</v>
      </c>
      <c r="J346"/>
      <c r="K346" s="2">
        <v>36194</v>
      </c>
      <c r="L346" t="s">
        <v>297</v>
      </c>
      <c r="M346" t="s">
        <v>297</v>
      </c>
      <c r="N346"/>
      <c r="P346" s="7" t="s">
        <v>191</v>
      </c>
      <c r="Q346" s="7" t="s">
        <v>194</v>
      </c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</row>
    <row r="347" spans="1:33" s="7" customFormat="1" hidden="1">
      <c r="A347" s="7">
        <v>4</v>
      </c>
      <c r="B347" s="7" t="s">
        <v>296</v>
      </c>
      <c r="C347" s="7">
        <v>1228</v>
      </c>
      <c r="D347" s="7" t="s">
        <v>380</v>
      </c>
      <c r="E347" s="7" t="s">
        <v>316</v>
      </c>
      <c r="F347" s="2">
        <v>35779</v>
      </c>
      <c r="G347" s="2">
        <v>36308</v>
      </c>
      <c r="H347" s="2">
        <v>37288</v>
      </c>
      <c r="I347" s="8">
        <v>37256</v>
      </c>
      <c r="J347"/>
      <c r="K347" s="2">
        <v>37288</v>
      </c>
      <c r="L347" t="s">
        <v>297</v>
      </c>
      <c r="M347" t="s">
        <v>297</v>
      </c>
      <c r="N347"/>
      <c r="P347" s="7" t="s">
        <v>191</v>
      </c>
      <c r="Q347" s="7" t="s">
        <v>194</v>
      </c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</row>
    <row r="348" spans="1:33" s="7" customFormat="1" hidden="1">
      <c r="A348" s="7">
        <v>4</v>
      </c>
      <c r="B348" s="7" t="s">
        <v>296</v>
      </c>
      <c r="C348" s="7">
        <v>1249</v>
      </c>
      <c r="D348" s="7" t="s">
        <v>464</v>
      </c>
      <c r="E348" s="7" t="s">
        <v>316</v>
      </c>
      <c r="F348" s="2">
        <v>35933</v>
      </c>
      <c r="G348"/>
      <c r="H348" s="2">
        <v>36222</v>
      </c>
      <c r="I348" s="8">
        <v>35933</v>
      </c>
      <c r="J348"/>
      <c r="K348"/>
      <c r="L348" t="s">
        <v>322</v>
      </c>
      <c r="M348" t="s">
        <v>297</v>
      </c>
      <c r="N348"/>
      <c r="P348" s="7" t="s">
        <v>191</v>
      </c>
      <c r="Q348" s="7" t="s">
        <v>194</v>
      </c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</row>
    <row r="349" spans="1:33" customFormat="1" hidden="1">
      <c r="A349">
        <v>4</v>
      </c>
      <c r="B349" t="s">
        <v>296</v>
      </c>
      <c r="C349">
        <v>1293</v>
      </c>
      <c r="D349" t="s">
        <v>576</v>
      </c>
      <c r="E349" t="s">
        <v>316</v>
      </c>
      <c r="F349" s="2">
        <v>36257</v>
      </c>
      <c r="I349" s="6"/>
      <c r="L349" t="s">
        <v>322</v>
      </c>
      <c r="M349" t="s">
        <v>297</v>
      </c>
      <c r="O349" t="s">
        <v>369</v>
      </c>
      <c r="P349" t="s">
        <v>191</v>
      </c>
      <c r="Q349" t="s">
        <v>194</v>
      </c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</row>
    <row r="350" spans="1:33" s="7" customFormat="1" hidden="1">
      <c r="A350" s="7">
        <v>4</v>
      </c>
      <c r="B350" s="7" t="s">
        <v>296</v>
      </c>
      <c r="C350" s="7">
        <v>1330</v>
      </c>
      <c r="D350" s="7" t="s">
        <v>348</v>
      </c>
      <c r="E350" s="7" t="s">
        <v>316</v>
      </c>
      <c r="F350" s="2">
        <v>36585</v>
      </c>
      <c r="G350"/>
      <c r="H350" s="2">
        <v>36911</v>
      </c>
      <c r="I350" s="8">
        <v>37468</v>
      </c>
      <c r="J350"/>
      <c r="K350"/>
      <c r="L350" t="s">
        <v>322</v>
      </c>
      <c r="M350" t="s">
        <v>297</v>
      </c>
      <c r="N350"/>
      <c r="P350" s="7" t="s">
        <v>191</v>
      </c>
      <c r="Q350" s="7" t="s">
        <v>194</v>
      </c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</row>
    <row r="351" spans="1:33" s="7" customFormat="1" hidden="1">
      <c r="A351" s="7">
        <v>4</v>
      </c>
      <c r="B351" s="7" t="s">
        <v>296</v>
      </c>
      <c r="C351" s="7">
        <v>1359</v>
      </c>
      <c r="D351" s="7" t="s">
        <v>380</v>
      </c>
      <c r="E351" s="7" t="s">
        <v>316</v>
      </c>
      <c r="F351" s="2">
        <v>36754</v>
      </c>
      <c r="G351"/>
      <c r="H351" s="2">
        <v>36754</v>
      </c>
      <c r="I351" s="8">
        <v>36754</v>
      </c>
      <c r="J351"/>
      <c r="K351"/>
      <c r="L351" t="s">
        <v>297</v>
      </c>
      <c r="M351" t="s">
        <v>297</v>
      </c>
      <c r="N351"/>
      <c r="P351" s="7" t="s">
        <v>191</v>
      </c>
      <c r="Q351" s="7" t="s">
        <v>194</v>
      </c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</row>
    <row r="352" spans="1:33">
      <c r="A352" s="16">
        <v>3</v>
      </c>
      <c r="B352" s="16" t="s">
        <v>189</v>
      </c>
      <c r="C352" s="16">
        <v>1141</v>
      </c>
      <c r="D352" t="s">
        <v>295</v>
      </c>
      <c r="E352" s="16" t="s">
        <v>316</v>
      </c>
      <c r="F352" s="2">
        <v>35298</v>
      </c>
      <c r="G352" s="2">
        <v>36847</v>
      </c>
      <c r="H352" s="2">
        <v>37527</v>
      </c>
      <c r="I352" s="25" t="s">
        <v>1266</v>
      </c>
      <c r="K352" s="2">
        <v>37545</v>
      </c>
      <c r="L352" t="s">
        <v>317</v>
      </c>
      <c r="M352" t="s">
        <v>297</v>
      </c>
      <c r="N352" s="23" t="str">
        <f>IF((I352&gt;$W$2),"Y","N")</f>
        <v>Y</v>
      </c>
      <c r="O352" s="16" t="s">
        <v>1186</v>
      </c>
      <c r="P352" s="10" t="s">
        <v>180</v>
      </c>
      <c r="Q352" s="10" t="s">
        <v>190</v>
      </c>
      <c r="S352" s="16" t="str">
        <f>MID(Q352,9,30)</f>
        <v>Daniel G Howald</v>
      </c>
      <c r="T352" s="31" t="s">
        <v>1265</v>
      </c>
    </row>
    <row r="353" spans="1:33" customFormat="1" hidden="1">
      <c r="A353" t="s">
        <v>191</v>
      </c>
      <c r="B353" t="s">
        <v>194</v>
      </c>
      <c r="I353" s="6"/>
    </row>
    <row r="354" spans="1:33">
      <c r="A354" s="16">
        <v>3</v>
      </c>
      <c r="B354" s="16" t="s">
        <v>189</v>
      </c>
      <c r="C354" s="16">
        <v>1261</v>
      </c>
      <c r="D354" s="7" t="s">
        <v>295</v>
      </c>
      <c r="E354" s="30" t="s">
        <v>316</v>
      </c>
      <c r="F354" s="2">
        <v>35993</v>
      </c>
      <c r="G354" s="2">
        <v>37694</v>
      </c>
      <c r="H354" s="2">
        <v>37235</v>
      </c>
      <c r="I354" s="25">
        <v>36738</v>
      </c>
      <c r="K354" s="2">
        <v>36377</v>
      </c>
      <c r="L354" t="s">
        <v>297</v>
      </c>
      <c r="M354" t="s">
        <v>297</v>
      </c>
      <c r="N354" s="23" t="str">
        <f>IF((I354&gt;$W$2),"Y","N")</f>
        <v>N</v>
      </c>
      <c r="O354" s="16" t="s">
        <v>558</v>
      </c>
      <c r="P354" s="10" t="s">
        <v>180</v>
      </c>
      <c r="Q354" s="10" t="s">
        <v>190</v>
      </c>
      <c r="S354" s="16" t="str">
        <f>MID(Q354,9,30)</f>
        <v>Daniel G Howald</v>
      </c>
    </row>
    <row r="355" spans="1:33">
      <c r="A355" s="16">
        <v>3</v>
      </c>
      <c r="B355" s="16" t="s">
        <v>189</v>
      </c>
      <c r="C355" s="16">
        <v>1554</v>
      </c>
      <c r="D355" t="s">
        <v>295</v>
      </c>
      <c r="E355" s="16" t="s">
        <v>316</v>
      </c>
      <c r="F355" s="2">
        <v>39356</v>
      </c>
      <c r="H355" s="2">
        <v>39377</v>
      </c>
      <c r="I355" s="25">
        <v>39629</v>
      </c>
      <c r="L355" t="s">
        <v>297</v>
      </c>
      <c r="M355" t="s">
        <v>297</v>
      </c>
      <c r="N355" s="23" t="str">
        <f>IF((I355&gt;$W$2),"Y","N")</f>
        <v>N</v>
      </c>
      <c r="O355" s="16" t="s">
        <v>559</v>
      </c>
      <c r="P355" s="10" t="s">
        <v>180</v>
      </c>
      <c r="Q355" s="10" t="s">
        <v>190</v>
      </c>
      <c r="S355" s="16" t="str">
        <f>MID(Q355,9,30)</f>
        <v>Daniel G Howald</v>
      </c>
    </row>
    <row r="356" spans="1:33" s="7" customFormat="1" hidden="1">
      <c r="A356" s="7">
        <v>4</v>
      </c>
      <c r="B356" s="7" t="s">
        <v>176</v>
      </c>
      <c r="C356" s="7">
        <v>877</v>
      </c>
      <c r="D356" s="7" t="s">
        <v>393</v>
      </c>
      <c r="E356" s="7" t="s">
        <v>316</v>
      </c>
      <c r="F356" s="2">
        <v>33975</v>
      </c>
      <c r="G356"/>
      <c r="H356" s="2">
        <v>38013</v>
      </c>
      <c r="I356" s="8">
        <v>34261</v>
      </c>
      <c r="J356"/>
      <c r="K356" s="2">
        <v>35872</v>
      </c>
      <c r="L356" t="s">
        <v>297</v>
      </c>
      <c r="M356" t="s">
        <v>297</v>
      </c>
      <c r="N356"/>
      <c r="O356" s="7" t="s">
        <v>580</v>
      </c>
      <c r="P356" s="7" t="s">
        <v>191</v>
      </c>
      <c r="Q356" s="7" t="s">
        <v>195</v>
      </c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</row>
    <row r="357" spans="1:33">
      <c r="A357" s="16">
        <v>4</v>
      </c>
      <c r="B357" s="16" t="s">
        <v>140</v>
      </c>
      <c r="C357" s="16">
        <v>969</v>
      </c>
      <c r="D357" t="s">
        <v>295</v>
      </c>
      <c r="E357" s="16" t="s">
        <v>296</v>
      </c>
      <c r="F357" s="2">
        <v>34526</v>
      </c>
      <c r="G357" s="2">
        <v>35140</v>
      </c>
      <c r="H357" s="2">
        <v>39322</v>
      </c>
      <c r="I357" s="25">
        <v>41820</v>
      </c>
      <c r="J357" s="2">
        <v>39380</v>
      </c>
      <c r="K357" s="2">
        <v>38938</v>
      </c>
      <c r="L357" t="s">
        <v>297</v>
      </c>
      <c r="M357" t="s">
        <v>297</v>
      </c>
      <c r="N357" s="23" t="str">
        <f>IF((I357&gt;$W$2),"Y","N")</f>
        <v>Y</v>
      </c>
      <c r="O357" s="30" t="s">
        <v>1747</v>
      </c>
      <c r="P357" s="10" t="s">
        <v>191</v>
      </c>
      <c r="Q357" s="10" t="s">
        <v>192</v>
      </c>
      <c r="S357" s="16" t="str">
        <f>MID(Q357,9,30)</f>
        <v>Brad  Edgar</v>
      </c>
      <c r="T357" s="31">
        <v>41471</v>
      </c>
    </row>
    <row r="358" spans="1:33">
      <c r="A358" s="16">
        <v>4</v>
      </c>
      <c r="B358" s="16" t="s">
        <v>140</v>
      </c>
      <c r="C358" s="16">
        <v>1415</v>
      </c>
      <c r="D358" s="7" t="s">
        <v>295</v>
      </c>
      <c r="E358" s="16" t="s">
        <v>296</v>
      </c>
      <c r="F358" s="2">
        <v>37403</v>
      </c>
      <c r="H358" s="2">
        <v>39050</v>
      </c>
      <c r="I358" s="25">
        <v>41090</v>
      </c>
      <c r="K358" s="2">
        <v>39175</v>
      </c>
      <c r="L358" t="s">
        <v>297</v>
      </c>
      <c r="M358" t="s">
        <v>297</v>
      </c>
      <c r="N358" s="23" t="str">
        <f>IF((I358&gt;$W$2),"Y","N")</f>
        <v>N</v>
      </c>
      <c r="O358" s="30" t="s">
        <v>1748</v>
      </c>
      <c r="P358" s="10" t="s">
        <v>191</v>
      </c>
      <c r="Q358" s="10" t="s">
        <v>192</v>
      </c>
      <c r="S358" s="16" t="str">
        <f>MID(Q358,9,30)</f>
        <v>Brad  Edgar</v>
      </c>
      <c r="T358" s="31" t="s">
        <v>1142</v>
      </c>
    </row>
    <row r="359" spans="1:33">
      <c r="A359" s="16">
        <v>4</v>
      </c>
      <c r="B359" s="16" t="s">
        <v>140</v>
      </c>
      <c r="C359" s="16">
        <v>1435</v>
      </c>
      <c r="D359" s="7" t="s">
        <v>295</v>
      </c>
      <c r="E359" s="16" t="s">
        <v>376</v>
      </c>
      <c r="F359" s="2">
        <v>37652</v>
      </c>
      <c r="H359" s="2">
        <v>39477</v>
      </c>
      <c r="I359" s="25">
        <v>38564</v>
      </c>
      <c r="L359" t="s">
        <v>297</v>
      </c>
      <c r="M359" t="s">
        <v>297</v>
      </c>
      <c r="N359" s="23" t="str">
        <f>IF((I359&gt;$W$2),"Y","N")</f>
        <v>N</v>
      </c>
      <c r="O359" s="16" t="s">
        <v>564</v>
      </c>
      <c r="P359" s="10" t="s">
        <v>191</v>
      </c>
      <c r="Q359" s="10" t="s">
        <v>192</v>
      </c>
      <c r="S359" s="16" t="str">
        <f>MID(Q359,9,30)</f>
        <v>Brad  Edgar</v>
      </c>
    </row>
    <row r="360" spans="1:33">
      <c r="A360" s="16">
        <v>4</v>
      </c>
      <c r="B360" s="16" t="s">
        <v>140</v>
      </c>
      <c r="C360" s="16">
        <v>1509</v>
      </c>
      <c r="D360" t="s">
        <v>295</v>
      </c>
      <c r="E360" s="16" t="s">
        <v>296</v>
      </c>
      <c r="F360" s="2">
        <v>38565</v>
      </c>
      <c r="G360" s="2">
        <v>39465</v>
      </c>
      <c r="H360" s="2">
        <v>38968</v>
      </c>
      <c r="I360" s="25">
        <v>41090</v>
      </c>
      <c r="L360" t="s">
        <v>297</v>
      </c>
      <c r="M360" t="s">
        <v>297</v>
      </c>
      <c r="N360" s="23" t="str">
        <f>IF((I360&gt;$W$2),"Y","N")</f>
        <v>N</v>
      </c>
      <c r="O360" s="30" t="s">
        <v>1749</v>
      </c>
      <c r="P360" s="10" t="s">
        <v>191</v>
      </c>
      <c r="Q360" s="10" t="s">
        <v>192</v>
      </c>
      <c r="S360" s="16" t="str">
        <f>MID(Q360,9,30)</f>
        <v>Brad  Edgar</v>
      </c>
      <c r="T360" s="31" t="s">
        <v>1313</v>
      </c>
    </row>
    <row r="361" spans="1:33" s="7" customFormat="1" hidden="1">
      <c r="A361" s="7">
        <v>4</v>
      </c>
      <c r="B361" s="7" t="s">
        <v>176</v>
      </c>
      <c r="C361" s="7">
        <v>1327</v>
      </c>
      <c r="D361" s="7" t="s">
        <v>585</v>
      </c>
      <c r="E361" s="7" t="s">
        <v>316</v>
      </c>
      <c r="F361" s="2">
        <v>36575</v>
      </c>
      <c r="G361"/>
      <c r="H361" s="2">
        <v>36794</v>
      </c>
      <c r="I361" s="8">
        <v>36575</v>
      </c>
      <c r="J361"/>
      <c r="K361"/>
      <c r="L361" t="s">
        <v>317</v>
      </c>
      <c r="M361" t="s">
        <v>297</v>
      </c>
      <c r="N361"/>
      <c r="P361" s="7" t="s">
        <v>191</v>
      </c>
      <c r="Q361" s="7" t="s">
        <v>195</v>
      </c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</row>
    <row r="362" spans="1:33">
      <c r="A362" s="16">
        <v>4</v>
      </c>
      <c r="B362" s="16" t="s">
        <v>140</v>
      </c>
      <c r="C362" s="16">
        <v>1537</v>
      </c>
      <c r="D362" s="7" t="s">
        <v>295</v>
      </c>
      <c r="E362" s="16" t="s">
        <v>299</v>
      </c>
      <c r="F362" s="2">
        <v>39087</v>
      </c>
      <c r="H362" s="2">
        <v>39350</v>
      </c>
      <c r="I362" s="25">
        <v>41820</v>
      </c>
      <c r="L362" t="s">
        <v>297</v>
      </c>
      <c r="M362" t="s">
        <v>297</v>
      </c>
      <c r="N362" s="23" t="str">
        <f>IF((I362&gt;$W$2),"Y","N")</f>
        <v>Y</v>
      </c>
      <c r="O362" s="30" t="s">
        <v>318</v>
      </c>
      <c r="P362" s="10" t="s">
        <v>191</v>
      </c>
      <c r="Q362" s="10" t="s">
        <v>192</v>
      </c>
      <c r="S362" s="16" t="str">
        <f>MID(Q362,9,30)</f>
        <v>Brad  Edgar</v>
      </c>
      <c r="T362" s="31">
        <v>41472</v>
      </c>
    </row>
    <row r="363" spans="1:33">
      <c r="A363" s="16">
        <v>4</v>
      </c>
      <c r="B363" s="30" t="s">
        <v>140</v>
      </c>
      <c r="C363" s="16">
        <v>1570</v>
      </c>
      <c r="D363" s="1"/>
      <c r="E363" s="30" t="s">
        <v>316</v>
      </c>
      <c r="I363" s="25">
        <v>39994</v>
      </c>
      <c r="N363" s="23" t="str">
        <f>IF((I363&gt;$W$2),"Y","N")</f>
        <v>N</v>
      </c>
    </row>
    <row r="364" spans="1:33">
      <c r="A364" s="16">
        <v>4</v>
      </c>
      <c r="B364" s="16" t="s">
        <v>140</v>
      </c>
      <c r="C364" s="16">
        <v>1601</v>
      </c>
      <c r="E364" s="16" t="s">
        <v>299</v>
      </c>
      <c r="F364" s="2">
        <v>39146</v>
      </c>
      <c r="H364" s="2">
        <v>39146</v>
      </c>
      <c r="I364" s="25" t="s">
        <v>1266</v>
      </c>
      <c r="L364" t="s">
        <v>297</v>
      </c>
      <c r="M364" t="s">
        <v>322</v>
      </c>
      <c r="N364" s="23" t="str">
        <f>IF((I364&gt;$W$2),"Y","N")</f>
        <v>Y</v>
      </c>
      <c r="O364" s="16" t="s">
        <v>1414</v>
      </c>
    </row>
    <row r="365" spans="1:33">
      <c r="A365" s="16">
        <v>4</v>
      </c>
      <c r="B365" s="16" t="s">
        <v>149</v>
      </c>
      <c r="C365" s="16">
        <v>668</v>
      </c>
      <c r="D365" s="7" t="s">
        <v>295</v>
      </c>
      <c r="E365" s="16" t="s">
        <v>316</v>
      </c>
      <c r="F365" s="2">
        <v>32521</v>
      </c>
      <c r="H365" s="2">
        <v>37673</v>
      </c>
      <c r="I365" s="25">
        <v>36525</v>
      </c>
      <c r="K365" s="2">
        <v>36287</v>
      </c>
      <c r="L365" t="s">
        <v>297</v>
      </c>
      <c r="M365" t="s">
        <v>297</v>
      </c>
      <c r="N365" s="23" t="str">
        <f>IF((I365&gt;$W$2),"Y","N")</f>
        <v>N</v>
      </c>
      <c r="O365" s="16" t="s">
        <v>568</v>
      </c>
      <c r="P365" s="10" t="s">
        <v>191</v>
      </c>
      <c r="Q365" s="10" t="s">
        <v>193</v>
      </c>
      <c r="S365" s="16" t="str">
        <f>MID(Q365,9,30)</f>
        <v>Dawn E Powers</v>
      </c>
    </row>
    <row r="366" spans="1:33">
      <c r="A366" s="16">
        <v>4</v>
      </c>
      <c r="B366" s="16" t="s">
        <v>296</v>
      </c>
      <c r="C366" s="16">
        <v>1552</v>
      </c>
      <c r="D366" t="s">
        <v>295</v>
      </c>
      <c r="E366" s="16" t="s">
        <v>299</v>
      </c>
      <c r="F366" s="2">
        <v>39356</v>
      </c>
      <c r="H366" s="2">
        <v>39365</v>
      </c>
      <c r="I366" s="25">
        <v>39600</v>
      </c>
      <c r="L366" t="s">
        <v>297</v>
      </c>
      <c r="M366" t="s">
        <v>297</v>
      </c>
      <c r="N366" s="23" t="str">
        <f>IF((I366&gt;$W$2),"Y","N")</f>
        <v>N</v>
      </c>
      <c r="O366" s="16" t="s">
        <v>577</v>
      </c>
      <c r="P366" s="10" t="s">
        <v>191</v>
      </c>
      <c r="Q366" s="10" t="s">
        <v>194</v>
      </c>
      <c r="S366" s="16" t="str">
        <f>MID(Q366,9,30)</f>
        <v>Refer to  SD</v>
      </c>
    </row>
    <row r="367" spans="1:33" customFormat="1" hidden="1">
      <c r="A367" t="s">
        <v>191</v>
      </c>
      <c r="B367" t="s">
        <v>195</v>
      </c>
      <c r="I367" s="6"/>
    </row>
    <row r="368" spans="1:33">
      <c r="A368" s="16">
        <v>4</v>
      </c>
      <c r="B368" s="16" t="s">
        <v>196</v>
      </c>
      <c r="C368" s="16">
        <v>334</v>
      </c>
      <c r="D368" s="7" t="s">
        <v>295</v>
      </c>
      <c r="E368" s="16" t="s">
        <v>316</v>
      </c>
      <c r="F368" s="2">
        <v>29910</v>
      </c>
      <c r="G368" s="2">
        <v>30274</v>
      </c>
      <c r="H368" s="2">
        <v>39071</v>
      </c>
      <c r="I368" s="25">
        <v>39994</v>
      </c>
      <c r="J368" s="2">
        <v>38929</v>
      </c>
      <c r="K368" s="2">
        <v>38968</v>
      </c>
      <c r="L368" t="s">
        <v>297</v>
      </c>
      <c r="M368" t="s">
        <v>297</v>
      </c>
      <c r="N368" s="23" t="str">
        <f t="shared" ref="N368:N373" si="34">IF((I368&gt;$W$2),"Y","N")</f>
        <v>N</v>
      </c>
      <c r="O368" s="16" t="s">
        <v>1190</v>
      </c>
      <c r="P368" s="10" t="s">
        <v>191</v>
      </c>
      <c r="Q368" s="10" t="s">
        <v>197</v>
      </c>
      <c r="S368" s="16" t="str">
        <f t="shared" ref="S368:S373" si="35">MID(Q368,9,30)</f>
        <v>Debra K Pearson</v>
      </c>
      <c r="T368" s="31" t="s">
        <v>1160</v>
      </c>
    </row>
    <row r="369" spans="1:33">
      <c r="A369" s="16">
        <v>4</v>
      </c>
      <c r="B369" s="16" t="s">
        <v>196</v>
      </c>
      <c r="C369" s="16">
        <v>1000</v>
      </c>
      <c r="D369" s="7" t="s">
        <v>295</v>
      </c>
      <c r="E369" s="16" t="s">
        <v>316</v>
      </c>
      <c r="F369" s="2">
        <v>34584</v>
      </c>
      <c r="G369" s="2">
        <v>37330</v>
      </c>
      <c r="H369" s="2">
        <v>39127</v>
      </c>
      <c r="I369" s="25">
        <v>40359</v>
      </c>
      <c r="J369" s="2">
        <v>37988</v>
      </c>
      <c r="K369" s="2">
        <v>35531</v>
      </c>
      <c r="L369" t="s">
        <v>297</v>
      </c>
      <c r="M369" t="s">
        <v>322</v>
      </c>
      <c r="N369" s="23" t="str">
        <f t="shared" si="34"/>
        <v>N</v>
      </c>
      <c r="O369" s="16" t="s">
        <v>592</v>
      </c>
      <c r="P369" s="10" t="s">
        <v>191</v>
      </c>
      <c r="Q369" s="10" t="s">
        <v>197</v>
      </c>
      <c r="S369" s="16" t="str">
        <f t="shared" si="35"/>
        <v>Debra K Pearson</v>
      </c>
      <c r="T369" s="31" t="s">
        <v>1288</v>
      </c>
    </row>
    <row r="370" spans="1:33">
      <c r="A370" s="16">
        <v>4</v>
      </c>
      <c r="B370" s="16" t="s">
        <v>196</v>
      </c>
      <c r="C370" s="16">
        <v>1161</v>
      </c>
      <c r="D370" s="7" t="s">
        <v>295</v>
      </c>
      <c r="E370" s="16" t="s">
        <v>296</v>
      </c>
      <c r="F370" s="2">
        <v>35443</v>
      </c>
      <c r="G370" s="2">
        <v>36238</v>
      </c>
      <c r="H370" s="2">
        <v>39512</v>
      </c>
      <c r="I370" s="25">
        <v>41820</v>
      </c>
      <c r="J370" s="2">
        <v>39441</v>
      </c>
      <c r="K370" s="2">
        <v>36377</v>
      </c>
      <c r="L370" t="s">
        <v>297</v>
      </c>
      <c r="M370" t="s">
        <v>297</v>
      </c>
      <c r="N370" s="23" t="str">
        <f t="shared" si="34"/>
        <v>Y</v>
      </c>
      <c r="O370" s="16" t="s">
        <v>1630</v>
      </c>
      <c r="P370" s="10" t="s">
        <v>191</v>
      </c>
      <c r="Q370" s="10" t="s">
        <v>197</v>
      </c>
      <c r="S370" s="16" t="str">
        <f t="shared" si="35"/>
        <v>Debra K Pearson</v>
      </c>
      <c r="T370" s="31">
        <v>41432</v>
      </c>
    </row>
    <row r="371" spans="1:33">
      <c r="A371" s="16">
        <v>4</v>
      </c>
      <c r="B371" s="16" t="s">
        <v>196</v>
      </c>
      <c r="C371" s="16">
        <v>1210</v>
      </c>
      <c r="D371" t="s">
        <v>295</v>
      </c>
      <c r="E371" s="16" t="s">
        <v>296</v>
      </c>
      <c r="F371" s="2">
        <v>35656</v>
      </c>
      <c r="H371" s="2">
        <v>38939</v>
      </c>
      <c r="I371" s="25">
        <v>40724</v>
      </c>
      <c r="K371" s="2">
        <v>38849</v>
      </c>
      <c r="L371" t="s">
        <v>297</v>
      </c>
      <c r="M371" t="s">
        <v>297</v>
      </c>
      <c r="N371" s="23" t="str">
        <f t="shared" si="34"/>
        <v>N</v>
      </c>
      <c r="O371" s="30" t="s">
        <v>318</v>
      </c>
      <c r="P371" s="10" t="s">
        <v>191</v>
      </c>
      <c r="Q371" s="10" t="s">
        <v>197</v>
      </c>
      <c r="S371" s="16" t="str">
        <f t="shared" si="35"/>
        <v>Debra K Pearson</v>
      </c>
      <c r="T371" s="31" t="s">
        <v>1309</v>
      </c>
    </row>
    <row r="372" spans="1:33">
      <c r="A372" s="16">
        <v>4</v>
      </c>
      <c r="B372" s="16" t="s">
        <v>196</v>
      </c>
      <c r="C372" s="16">
        <v>1241</v>
      </c>
      <c r="D372" s="7" t="s">
        <v>295</v>
      </c>
      <c r="E372" s="16" t="s">
        <v>316</v>
      </c>
      <c r="F372" s="2">
        <v>35891</v>
      </c>
      <c r="H372" s="2">
        <v>38772</v>
      </c>
      <c r="I372" s="25">
        <v>40359</v>
      </c>
      <c r="L372" t="s">
        <v>297</v>
      </c>
      <c r="M372" t="s">
        <v>297</v>
      </c>
      <c r="N372" s="23" t="str">
        <f t="shared" si="34"/>
        <v>N</v>
      </c>
      <c r="O372" s="16" t="s">
        <v>595</v>
      </c>
      <c r="P372" s="10" t="s">
        <v>191</v>
      </c>
      <c r="Q372" s="10" t="s">
        <v>197</v>
      </c>
      <c r="S372" s="16" t="str">
        <f t="shared" si="35"/>
        <v>Debra K Pearson</v>
      </c>
      <c r="T372" s="31" t="s">
        <v>1298</v>
      </c>
    </row>
    <row r="373" spans="1:33">
      <c r="A373" s="16">
        <v>4</v>
      </c>
      <c r="B373" s="16" t="s">
        <v>196</v>
      </c>
      <c r="C373" s="16">
        <v>1254</v>
      </c>
      <c r="D373" t="s">
        <v>295</v>
      </c>
      <c r="E373" s="16" t="s">
        <v>316</v>
      </c>
      <c r="F373" s="2">
        <v>35956</v>
      </c>
      <c r="H373" s="2">
        <v>38837</v>
      </c>
      <c r="L373" t="s">
        <v>322</v>
      </c>
      <c r="M373" t="s">
        <v>297</v>
      </c>
      <c r="N373" s="23" t="str">
        <f t="shared" si="34"/>
        <v>N</v>
      </c>
      <c r="O373" s="16" t="s">
        <v>1191</v>
      </c>
      <c r="P373" s="10" t="s">
        <v>191</v>
      </c>
      <c r="Q373" s="10" t="s">
        <v>197</v>
      </c>
      <c r="S373" s="16" t="str">
        <f t="shared" si="35"/>
        <v>Debra K Pearson</v>
      </c>
    </row>
    <row r="374" spans="1:33" s="7" customFormat="1" hidden="1">
      <c r="A374" s="7">
        <v>4</v>
      </c>
      <c r="B374" s="7" t="s">
        <v>196</v>
      </c>
      <c r="C374" s="7">
        <v>1255</v>
      </c>
      <c r="D374" s="7" t="s">
        <v>315</v>
      </c>
      <c r="E374" s="7" t="s">
        <v>316</v>
      </c>
      <c r="F374" s="2">
        <v>35958</v>
      </c>
      <c r="G374"/>
      <c r="H374" s="2">
        <v>36756</v>
      </c>
      <c r="I374" s="8">
        <v>36372</v>
      </c>
      <c r="J374"/>
      <c r="K374"/>
      <c r="L374" t="s">
        <v>297</v>
      </c>
      <c r="M374" t="s">
        <v>297</v>
      </c>
      <c r="N374"/>
      <c r="O374" s="7" t="s">
        <v>318</v>
      </c>
      <c r="P374" s="7" t="s">
        <v>191</v>
      </c>
      <c r="Q374" s="7" t="s">
        <v>197</v>
      </c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</row>
    <row r="375" spans="1:33">
      <c r="A375" s="16">
        <v>4</v>
      </c>
      <c r="B375" s="16" t="s">
        <v>196</v>
      </c>
      <c r="C375" s="16">
        <v>1263</v>
      </c>
      <c r="D375" s="7" t="s">
        <v>295</v>
      </c>
      <c r="E375" s="16" t="s">
        <v>316</v>
      </c>
      <c r="F375" s="2">
        <v>35993</v>
      </c>
      <c r="H375" s="2">
        <v>37949</v>
      </c>
      <c r="I375" s="25">
        <v>36738</v>
      </c>
      <c r="K375" s="2">
        <v>36389</v>
      </c>
      <c r="L375" t="s">
        <v>297</v>
      </c>
      <c r="M375" t="s">
        <v>297</v>
      </c>
      <c r="N375" s="23" t="str">
        <f>IF((I375&gt;$W$2),"Y","N")</f>
        <v>N</v>
      </c>
      <c r="O375" s="16" t="s">
        <v>597</v>
      </c>
      <c r="P375" s="10" t="s">
        <v>191</v>
      </c>
      <c r="Q375" s="10" t="s">
        <v>197</v>
      </c>
      <c r="S375" s="16" t="str">
        <f>MID(Q375,9,30)</f>
        <v>Debra K Pearson</v>
      </c>
    </row>
    <row r="376" spans="1:33">
      <c r="A376" s="16">
        <v>4</v>
      </c>
      <c r="B376" s="16" t="s">
        <v>196</v>
      </c>
      <c r="C376" s="16">
        <v>1264</v>
      </c>
      <c r="D376" s="7" t="s">
        <v>295</v>
      </c>
      <c r="E376" s="16" t="s">
        <v>376</v>
      </c>
      <c r="F376" s="2">
        <v>36004</v>
      </c>
      <c r="G376" s="2">
        <v>37939</v>
      </c>
      <c r="H376" s="2">
        <v>38546</v>
      </c>
      <c r="I376" s="25">
        <v>38533</v>
      </c>
      <c r="J376" s="2">
        <v>38587</v>
      </c>
      <c r="K376" s="2">
        <v>38595</v>
      </c>
      <c r="L376" t="s">
        <v>297</v>
      </c>
      <c r="M376" t="s">
        <v>297</v>
      </c>
      <c r="N376" s="23" t="str">
        <f>IF((I376&gt;$W$2),"Y","N")</f>
        <v>N</v>
      </c>
      <c r="O376" s="16" t="s">
        <v>598</v>
      </c>
      <c r="P376" s="10" t="s">
        <v>191</v>
      </c>
      <c r="Q376" s="10" t="s">
        <v>197</v>
      </c>
      <c r="S376" s="16" t="str">
        <f>MID(Q376,9,30)</f>
        <v>Debra K Pearson</v>
      </c>
    </row>
    <row r="377" spans="1:33" customFormat="1" hidden="1">
      <c r="A377">
        <v>4</v>
      </c>
      <c r="B377" t="s">
        <v>196</v>
      </c>
      <c r="C377">
        <v>1286</v>
      </c>
      <c r="D377" t="s">
        <v>348</v>
      </c>
      <c r="E377" t="s">
        <v>316</v>
      </c>
      <c r="F377" s="2">
        <v>36220</v>
      </c>
      <c r="H377" s="2">
        <v>36712</v>
      </c>
      <c r="I377" s="6"/>
      <c r="L377" t="s">
        <v>322</v>
      </c>
      <c r="M377" t="s">
        <v>297</v>
      </c>
      <c r="P377" t="s">
        <v>191</v>
      </c>
      <c r="Q377" t="s">
        <v>197</v>
      </c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</row>
    <row r="378" spans="1:33">
      <c r="A378" s="16">
        <v>4</v>
      </c>
      <c r="B378" s="16" t="s">
        <v>196</v>
      </c>
      <c r="C378" s="16">
        <v>1311</v>
      </c>
      <c r="D378" s="7" t="s">
        <v>295</v>
      </c>
      <c r="E378" s="30" t="s">
        <v>296</v>
      </c>
      <c r="F378" s="2">
        <v>36410</v>
      </c>
      <c r="H378" s="2">
        <v>39412</v>
      </c>
      <c r="I378" s="25">
        <v>41455</v>
      </c>
      <c r="K378" s="2">
        <v>39412</v>
      </c>
      <c r="L378" t="s">
        <v>297</v>
      </c>
      <c r="M378" t="s">
        <v>297</v>
      </c>
      <c r="N378" s="23" t="str">
        <f>IF((I378&gt;$W$2),"Y","N")</f>
        <v>N</v>
      </c>
      <c r="O378" s="16" t="s">
        <v>599</v>
      </c>
      <c r="P378" s="10" t="s">
        <v>191</v>
      </c>
      <c r="Q378" s="10" t="s">
        <v>197</v>
      </c>
      <c r="S378" s="16" t="str">
        <f>MID(Q378,9,30)</f>
        <v>Debra K Pearson</v>
      </c>
      <c r="T378" s="31" t="s">
        <v>1357</v>
      </c>
    </row>
    <row r="379" spans="1:33" s="7" customFormat="1" hidden="1">
      <c r="A379" s="7">
        <v>4</v>
      </c>
      <c r="B379" s="7" t="s">
        <v>196</v>
      </c>
      <c r="C379" s="7">
        <v>1333</v>
      </c>
      <c r="D379" s="7" t="s">
        <v>380</v>
      </c>
      <c r="E379" s="7" t="s">
        <v>316</v>
      </c>
      <c r="F379" s="2">
        <v>36599</v>
      </c>
      <c r="G379"/>
      <c r="H379" s="2">
        <v>37690</v>
      </c>
      <c r="I379" s="8">
        <v>36951</v>
      </c>
      <c r="J379"/>
      <c r="K379"/>
      <c r="L379" t="s">
        <v>297</v>
      </c>
      <c r="M379" t="s">
        <v>297</v>
      </c>
      <c r="N379"/>
      <c r="P379" s="7" t="s">
        <v>191</v>
      </c>
      <c r="Q379" s="7" t="s">
        <v>197</v>
      </c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</row>
    <row r="380" spans="1:33" s="7" customFormat="1" hidden="1">
      <c r="A380" s="7">
        <v>4</v>
      </c>
      <c r="B380" s="7" t="s">
        <v>196</v>
      </c>
      <c r="C380" s="7">
        <v>1342</v>
      </c>
      <c r="D380" s="7" t="s">
        <v>464</v>
      </c>
      <c r="E380" s="7" t="s">
        <v>316</v>
      </c>
      <c r="F380" s="2">
        <v>36662</v>
      </c>
      <c r="G380"/>
      <c r="H380" s="2">
        <v>36662</v>
      </c>
      <c r="I380" s="8">
        <v>37082</v>
      </c>
      <c r="J380"/>
      <c r="K380"/>
      <c r="L380" t="s">
        <v>322</v>
      </c>
      <c r="M380" t="s">
        <v>297</v>
      </c>
      <c r="N380"/>
      <c r="P380" s="7" t="s">
        <v>191</v>
      </c>
      <c r="Q380" s="7" t="s">
        <v>197</v>
      </c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</row>
    <row r="381" spans="1:33" s="7" customFormat="1" hidden="1">
      <c r="A381" s="7">
        <v>4</v>
      </c>
      <c r="B381" s="7" t="s">
        <v>196</v>
      </c>
      <c r="C381" s="7">
        <v>1399</v>
      </c>
      <c r="D381" s="7" t="s">
        <v>393</v>
      </c>
      <c r="E381" s="7" t="s">
        <v>316</v>
      </c>
      <c r="F381" s="2">
        <v>37285</v>
      </c>
      <c r="G381"/>
      <c r="H381" s="2">
        <v>37684</v>
      </c>
      <c r="I381" s="8">
        <v>37650</v>
      </c>
      <c r="J381"/>
      <c r="K381"/>
      <c r="L381" t="s">
        <v>317</v>
      </c>
      <c r="M381" t="s">
        <v>297</v>
      </c>
      <c r="N381"/>
      <c r="P381" s="7" t="s">
        <v>191</v>
      </c>
      <c r="Q381" s="7" t="s">
        <v>197</v>
      </c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</row>
    <row r="382" spans="1:33" s="7" customFormat="1" hidden="1">
      <c r="A382" s="7">
        <v>4</v>
      </c>
      <c r="B382" s="7" t="s">
        <v>196</v>
      </c>
      <c r="C382" s="7">
        <v>1401</v>
      </c>
      <c r="D382" s="7" t="s">
        <v>585</v>
      </c>
      <c r="E382" s="7" t="s">
        <v>316</v>
      </c>
      <c r="F382" s="2">
        <v>37309</v>
      </c>
      <c r="G382"/>
      <c r="H382" s="2">
        <v>37309</v>
      </c>
      <c r="I382" s="8">
        <v>37309</v>
      </c>
      <c r="J382"/>
      <c r="K382"/>
      <c r="L382" t="s">
        <v>317</v>
      </c>
      <c r="M382" t="s">
        <v>297</v>
      </c>
      <c r="N382"/>
      <c r="P382" s="7" t="s">
        <v>191</v>
      </c>
      <c r="Q382" s="7" t="s">
        <v>197</v>
      </c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</row>
    <row r="383" spans="1:33" s="7" customFormat="1" hidden="1">
      <c r="A383" s="7">
        <v>4</v>
      </c>
      <c r="B383" s="7" t="s">
        <v>196</v>
      </c>
      <c r="C383" s="7">
        <v>1402</v>
      </c>
      <c r="D383" s="7" t="s">
        <v>600</v>
      </c>
      <c r="E383" s="7" t="s">
        <v>316</v>
      </c>
      <c r="F383" s="2">
        <v>37316</v>
      </c>
      <c r="G383"/>
      <c r="H383" s="2">
        <v>37316</v>
      </c>
      <c r="I383" s="8">
        <v>37681</v>
      </c>
      <c r="J383"/>
      <c r="K383"/>
      <c r="L383" t="s">
        <v>322</v>
      </c>
      <c r="M383" t="s">
        <v>297</v>
      </c>
      <c r="N383"/>
      <c r="P383" s="7" t="s">
        <v>191</v>
      </c>
      <c r="Q383" s="7" t="s">
        <v>197</v>
      </c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</row>
    <row r="384" spans="1:33">
      <c r="A384" s="16">
        <v>4</v>
      </c>
      <c r="B384" s="16" t="s">
        <v>196</v>
      </c>
      <c r="C384" s="16">
        <v>1482</v>
      </c>
      <c r="D384" s="7" t="s">
        <v>295</v>
      </c>
      <c r="E384" s="16" t="s">
        <v>296</v>
      </c>
      <c r="F384" s="2">
        <v>38186</v>
      </c>
      <c r="H384" s="2">
        <v>38245</v>
      </c>
      <c r="I384" s="25">
        <v>41455</v>
      </c>
      <c r="L384" t="s">
        <v>297</v>
      </c>
      <c r="M384" t="s">
        <v>297</v>
      </c>
      <c r="N384" s="23" t="str">
        <f>IF((I384&gt;$W$2),"Y","N")</f>
        <v>N</v>
      </c>
      <c r="O384" s="30" t="s">
        <v>1750</v>
      </c>
      <c r="P384" s="10" t="s">
        <v>191</v>
      </c>
      <c r="Q384" s="10" t="s">
        <v>197</v>
      </c>
      <c r="S384" s="16" t="str">
        <f>MID(Q384,9,30)</f>
        <v>Debra K Pearson</v>
      </c>
      <c r="T384" s="31" t="s">
        <v>1367</v>
      </c>
    </row>
    <row r="385" spans="1:21" customFormat="1" hidden="1">
      <c r="A385" t="s">
        <v>191</v>
      </c>
      <c r="B385" t="s">
        <v>197</v>
      </c>
      <c r="I385" s="6"/>
    </row>
    <row r="386" spans="1:21">
      <c r="A386" s="16">
        <v>4</v>
      </c>
      <c r="B386" s="16" t="s">
        <v>322</v>
      </c>
      <c r="C386" s="16">
        <v>248</v>
      </c>
      <c r="D386" s="7" t="s">
        <v>295</v>
      </c>
      <c r="E386" s="16" t="s">
        <v>296</v>
      </c>
      <c r="F386" s="2">
        <v>29196</v>
      </c>
      <c r="G386" s="2">
        <v>29634</v>
      </c>
      <c r="H386" s="2">
        <v>39456</v>
      </c>
      <c r="I386" s="25">
        <v>41455</v>
      </c>
      <c r="K386" s="2">
        <v>35080</v>
      </c>
      <c r="L386" t="s">
        <v>297</v>
      </c>
      <c r="M386" t="s">
        <v>297</v>
      </c>
      <c r="N386" s="23" t="str">
        <f t="shared" ref="N386:N395" si="36">IF((I386&gt;$W$2),"Y","N")</f>
        <v>N</v>
      </c>
      <c r="O386" s="30" t="s">
        <v>1751</v>
      </c>
      <c r="P386" s="10" t="s">
        <v>191</v>
      </c>
      <c r="Q386" s="10" t="s">
        <v>198</v>
      </c>
      <c r="S386" s="16" t="str">
        <f t="shared" ref="S386:S395" si="37">MID(Q386,9,30)</f>
        <v>Melanie R Thompson</v>
      </c>
      <c r="T386" s="31" t="s">
        <v>1518</v>
      </c>
    </row>
    <row r="387" spans="1:21">
      <c r="A387" s="16">
        <v>4</v>
      </c>
      <c r="B387" s="16" t="s">
        <v>322</v>
      </c>
      <c r="C387" s="16">
        <v>412</v>
      </c>
      <c r="D387" s="7" t="s">
        <v>295</v>
      </c>
      <c r="E387" s="16" t="s">
        <v>296</v>
      </c>
      <c r="F387" s="2">
        <v>30583</v>
      </c>
      <c r="G387" s="2">
        <v>30758</v>
      </c>
      <c r="H387" s="2">
        <v>39334</v>
      </c>
      <c r="I387" s="25">
        <v>41455</v>
      </c>
      <c r="K387" s="2">
        <v>37812</v>
      </c>
      <c r="L387" t="s">
        <v>297</v>
      </c>
      <c r="M387" t="s">
        <v>297</v>
      </c>
      <c r="N387" s="23" t="str">
        <f t="shared" si="36"/>
        <v>N</v>
      </c>
      <c r="O387" s="30" t="s">
        <v>1752</v>
      </c>
      <c r="P387" s="10" t="s">
        <v>191</v>
      </c>
      <c r="Q387" s="10" t="s">
        <v>195</v>
      </c>
      <c r="S387" s="16" t="str">
        <f t="shared" si="37"/>
        <v>Brenda K Herian</v>
      </c>
      <c r="T387" s="31" t="s">
        <v>1429</v>
      </c>
    </row>
    <row r="388" spans="1:21">
      <c r="A388" s="16">
        <v>4</v>
      </c>
      <c r="B388" s="16" t="s">
        <v>322</v>
      </c>
      <c r="C388" s="16">
        <v>420</v>
      </c>
      <c r="D388" t="s">
        <v>295</v>
      </c>
      <c r="E388" s="16" t="s">
        <v>296</v>
      </c>
      <c r="F388" s="2">
        <v>30687</v>
      </c>
      <c r="G388" s="2">
        <v>31129</v>
      </c>
      <c r="H388" s="2">
        <v>39473</v>
      </c>
      <c r="I388" s="25">
        <v>41820</v>
      </c>
      <c r="K388" s="2">
        <v>39423</v>
      </c>
      <c r="L388" t="s">
        <v>297</v>
      </c>
      <c r="M388" t="s">
        <v>297</v>
      </c>
      <c r="N388" s="23" t="str">
        <f t="shared" si="36"/>
        <v>Y</v>
      </c>
      <c r="O388" s="30" t="s">
        <v>1218</v>
      </c>
      <c r="P388" s="10" t="s">
        <v>191</v>
      </c>
      <c r="Q388" s="10" t="s">
        <v>198</v>
      </c>
      <c r="S388" s="16" t="str">
        <f t="shared" si="37"/>
        <v>Melanie R Thompson</v>
      </c>
      <c r="T388" s="31">
        <v>41432</v>
      </c>
    </row>
    <row r="389" spans="1:21">
      <c r="A389" s="16">
        <v>4</v>
      </c>
      <c r="B389" s="16" t="s">
        <v>322</v>
      </c>
      <c r="C389" s="16">
        <v>457</v>
      </c>
      <c r="D389" s="7" t="s">
        <v>295</v>
      </c>
      <c r="E389" s="16" t="s">
        <v>296</v>
      </c>
      <c r="F389" s="2">
        <v>31129</v>
      </c>
      <c r="G389" s="2">
        <v>33684</v>
      </c>
      <c r="H389" s="2">
        <v>39192</v>
      </c>
      <c r="I389" s="25">
        <v>34365</v>
      </c>
      <c r="K389" s="2">
        <v>39120</v>
      </c>
      <c r="L389" t="s">
        <v>297</v>
      </c>
      <c r="M389" t="s">
        <v>297</v>
      </c>
      <c r="N389" s="23" t="str">
        <f t="shared" si="36"/>
        <v>N</v>
      </c>
      <c r="O389" s="30" t="s">
        <v>1218</v>
      </c>
      <c r="P389" s="10" t="s">
        <v>191</v>
      </c>
      <c r="Q389" s="10" t="s">
        <v>198</v>
      </c>
      <c r="S389" s="16" t="str">
        <f t="shared" si="37"/>
        <v>Melanie R Thompson</v>
      </c>
    </row>
    <row r="390" spans="1:21">
      <c r="A390" s="16">
        <v>4</v>
      </c>
      <c r="B390" s="16" t="s">
        <v>322</v>
      </c>
      <c r="C390" s="16">
        <v>629</v>
      </c>
      <c r="D390" t="s">
        <v>295</v>
      </c>
      <c r="E390" s="16" t="s">
        <v>296</v>
      </c>
      <c r="F390" s="2">
        <v>32220</v>
      </c>
      <c r="G390" s="2">
        <v>33021</v>
      </c>
      <c r="H390" s="2">
        <v>39479</v>
      </c>
      <c r="I390" s="25">
        <v>41090</v>
      </c>
      <c r="K390" s="2">
        <v>39479</v>
      </c>
      <c r="L390" t="s">
        <v>297</v>
      </c>
      <c r="M390" t="s">
        <v>297</v>
      </c>
      <c r="N390" s="23" t="str">
        <f t="shared" si="36"/>
        <v>N</v>
      </c>
      <c r="O390" s="30" t="s">
        <v>1218</v>
      </c>
      <c r="P390" s="10" t="s">
        <v>191</v>
      </c>
      <c r="Q390" s="10" t="s">
        <v>198</v>
      </c>
      <c r="S390" s="16" t="str">
        <f t="shared" si="37"/>
        <v>Melanie R Thompson</v>
      </c>
      <c r="T390" s="31" t="s">
        <v>1311</v>
      </c>
    </row>
    <row r="391" spans="1:21">
      <c r="A391" s="16">
        <v>4</v>
      </c>
      <c r="B391" s="16" t="s">
        <v>322</v>
      </c>
      <c r="C391" s="16">
        <v>875</v>
      </c>
      <c r="D391" t="s">
        <v>295</v>
      </c>
      <c r="E391" s="16" t="s">
        <v>296</v>
      </c>
      <c r="F391" s="2">
        <v>33959</v>
      </c>
      <c r="G391" s="2">
        <v>34845</v>
      </c>
      <c r="H391" s="2">
        <v>39504</v>
      </c>
      <c r="I391" s="25">
        <v>41455</v>
      </c>
      <c r="K391" s="2">
        <v>38162</v>
      </c>
      <c r="L391" t="s">
        <v>297</v>
      </c>
      <c r="M391" t="s">
        <v>297</v>
      </c>
      <c r="N391" s="23" t="str">
        <f t="shared" si="36"/>
        <v>N</v>
      </c>
      <c r="O391" s="16" t="s">
        <v>579</v>
      </c>
      <c r="P391" s="10" t="s">
        <v>191</v>
      </c>
      <c r="Q391" s="10" t="s">
        <v>195</v>
      </c>
      <c r="S391" s="16" t="str">
        <f t="shared" si="37"/>
        <v>Brenda K Herian</v>
      </c>
      <c r="T391" s="31" t="s">
        <v>1383</v>
      </c>
    </row>
    <row r="392" spans="1:21">
      <c r="A392" s="16">
        <v>4</v>
      </c>
      <c r="B392" s="16" t="s">
        <v>322</v>
      </c>
      <c r="C392" s="16">
        <v>944</v>
      </c>
      <c r="D392" s="7" t="s">
        <v>295</v>
      </c>
      <c r="E392" s="16" t="s">
        <v>296</v>
      </c>
      <c r="F392" s="2">
        <v>34408</v>
      </c>
      <c r="H392" s="2">
        <v>39349</v>
      </c>
      <c r="I392" s="25">
        <v>41820</v>
      </c>
      <c r="K392" s="2">
        <v>38587</v>
      </c>
      <c r="L392" t="s">
        <v>297</v>
      </c>
      <c r="M392" t="s">
        <v>297</v>
      </c>
      <c r="N392" s="23" t="str">
        <f t="shared" si="36"/>
        <v>Y</v>
      </c>
      <c r="O392" s="30" t="s">
        <v>1753</v>
      </c>
      <c r="P392" s="10" t="s">
        <v>191</v>
      </c>
      <c r="Q392" s="10" t="s">
        <v>195</v>
      </c>
      <c r="S392" s="16" t="str">
        <f t="shared" si="37"/>
        <v>Brenda K Herian</v>
      </c>
      <c r="T392" s="31">
        <v>41425</v>
      </c>
    </row>
    <row r="393" spans="1:21">
      <c r="A393" s="16">
        <v>4</v>
      </c>
      <c r="B393" s="16" t="s">
        <v>322</v>
      </c>
      <c r="C393" s="16">
        <v>1053</v>
      </c>
      <c r="D393" s="7" t="s">
        <v>295</v>
      </c>
      <c r="E393" s="30" t="s">
        <v>296</v>
      </c>
      <c r="F393" s="2">
        <v>34814</v>
      </c>
      <c r="H393" s="2">
        <v>39464</v>
      </c>
      <c r="I393" s="25">
        <v>41455</v>
      </c>
      <c r="K393" s="2">
        <v>37834</v>
      </c>
      <c r="L393" t="s">
        <v>297</v>
      </c>
      <c r="M393" t="s">
        <v>297</v>
      </c>
      <c r="N393" s="23" t="str">
        <f t="shared" si="36"/>
        <v>N</v>
      </c>
      <c r="O393" s="30" t="s">
        <v>1754</v>
      </c>
      <c r="P393" s="10" t="s">
        <v>191</v>
      </c>
      <c r="Q393" s="10" t="s">
        <v>198</v>
      </c>
      <c r="S393" s="16" t="str">
        <f t="shared" si="37"/>
        <v>Melanie R Thompson</v>
      </c>
      <c r="T393" s="31" t="s">
        <v>1423</v>
      </c>
      <c r="U393" s="24">
        <v>40016</v>
      </c>
    </row>
    <row r="394" spans="1:21">
      <c r="A394" s="16">
        <v>4</v>
      </c>
      <c r="B394" s="16" t="s">
        <v>322</v>
      </c>
      <c r="C394" s="16">
        <v>1123</v>
      </c>
      <c r="D394" s="7" t="s">
        <v>295</v>
      </c>
      <c r="E394" s="16" t="s">
        <v>376</v>
      </c>
      <c r="F394" s="2">
        <v>35270</v>
      </c>
      <c r="H394" s="2">
        <v>35436</v>
      </c>
      <c r="I394" s="25">
        <v>36402</v>
      </c>
      <c r="K394" s="2">
        <v>35436</v>
      </c>
      <c r="L394" t="s">
        <v>297</v>
      </c>
      <c r="N394" s="23" t="str">
        <f t="shared" si="36"/>
        <v>N</v>
      </c>
      <c r="O394" s="16" t="s">
        <v>607</v>
      </c>
      <c r="P394" s="10" t="s">
        <v>191</v>
      </c>
      <c r="Q394" s="10" t="s">
        <v>198</v>
      </c>
      <c r="S394" s="16" t="str">
        <f t="shared" si="37"/>
        <v>Melanie R Thompson</v>
      </c>
    </row>
    <row r="395" spans="1:21">
      <c r="A395" s="16">
        <v>4</v>
      </c>
      <c r="B395" s="16" t="s">
        <v>322</v>
      </c>
      <c r="C395" s="16">
        <v>1160</v>
      </c>
      <c r="D395" s="7" t="s">
        <v>295</v>
      </c>
      <c r="E395" s="16" t="s">
        <v>296</v>
      </c>
      <c r="F395" s="2">
        <v>35435</v>
      </c>
      <c r="G395" s="2">
        <v>37694</v>
      </c>
      <c r="H395" s="2">
        <v>37686</v>
      </c>
      <c r="I395" s="25">
        <v>41820</v>
      </c>
      <c r="K395" s="2">
        <v>35466</v>
      </c>
      <c r="L395" t="s">
        <v>297</v>
      </c>
      <c r="M395" t="s">
        <v>297</v>
      </c>
      <c r="N395" s="23" t="str">
        <f t="shared" si="36"/>
        <v>Y</v>
      </c>
      <c r="O395" s="30" t="s">
        <v>1755</v>
      </c>
      <c r="P395" s="10" t="s">
        <v>191</v>
      </c>
      <c r="Q395" s="10" t="s">
        <v>198</v>
      </c>
      <c r="S395" s="16" t="str">
        <f t="shared" si="37"/>
        <v>Melanie R Thompson</v>
      </c>
      <c r="T395" s="31">
        <v>41425</v>
      </c>
    </row>
    <row r="396" spans="1:21" customFormat="1" hidden="1">
      <c r="A396" t="s">
        <v>191</v>
      </c>
      <c r="B396" t="s">
        <v>198</v>
      </c>
      <c r="I396" s="6"/>
    </row>
    <row r="397" spans="1:21">
      <c r="A397" s="16">
        <v>4</v>
      </c>
      <c r="B397" s="16" t="s">
        <v>322</v>
      </c>
      <c r="C397" s="16">
        <v>1230</v>
      </c>
      <c r="D397" s="7" t="s">
        <v>295</v>
      </c>
      <c r="E397" s="16" t="s">
        <v>296</v>
      </c>
      <c r="F397" s="2">
        <v>35803</v>
      </c>
      <c r="H397" s="2">
        <v>39436</v>
      </c>
      <c r="I397" s="25">
        <v>40359</v>
      </c>
      <c r="K397" s="2">
        <v>35803</v>
      </c>
      <c r="L397" t="s">
        <v>297</v>
      </c>
      <c r="M397" t="s">
        <v>297</v>
      </c>
      <c r="N397" s="23" t="str">
        <f t="shared" ref="N397:N402" si="38">IF((I397&gt;$W$2),"Y","N")</f>
        <v>N</v>
      </c>
      <c r="O397" s="30" t="s">
        <v>1756</v>
      </c>
      <c r="P397" s="10" t="s">
        <v>191</v>
      </c>
      <c r="Q397" s="10" t="s">
        <v>198</v>
      </c>
      <c r="S397" s="16" t="str">
        <f t="shared" ref="S397:S402" si="39">MID(Q397,9,30)</f>
        <v>Melanie R Thompson</v>
      </c>
      <c r="T397" s="31" t="s">
        <v>1304</v>
      </c>
    </row>
    <row r="398" spans="1:21">
      <c r="A398" s="16">
        <v>4</v>
      </c>
      <c r="B398" s="16" t="s">
        <v>322</v>
      </c>
      <c r="C398" s="16">
        <v>1262</v>
      </c>
      <c r="D398" s="7" t="s">
        <v>295</v>
      </c>
      <c r="E398" s="16" t="s">
        <v>376</v>
      </c>
      <c r="F398" s="2">
        <v>35993</v>
      </c>
      <c r="H398" s="2">
        <v>35993</v>
      </c>
      <c r="I398" s="25">
        <v>36410</v>
      </c>
      <c r="L398" t="s">
        <v>297</v>
      </c>
      <c r="N398" s="23" t="str">
        <f t="shared" si="38"/>
        <v>N</v>
      </c>
      <c r="O398" s="16" t="s">
        <v>610</v>
      </c>
      <c r="P398" s="10" t="s">
        <v>191</v>
      </c>
      <c r="Q398" s="10" t="s">
        <v>198</v>
      </c>
      <c r="S398" s="16" t="str">
        <f t="shared" si="39"/>
        <v>Melanie R Thompson</v>
      </c>
    </row>
    <row r="399" spans="1:21">
      <c r="A399" s="16">
        <v>4</v>
      </c>
      <c r="B399" s="16" t="s">
        <v>322</v>
      </c>
      <c r="C399" s="16">
        <v>1385</v>
      </c>
      <c r="D399" s="7" t="s">
        <v>295</v>
      </c>
      <c r="E399" s="30" t="s">
        <v>296</v>
      </c>
      <c r="F399" s="2">
        <v>37067</v>
      </c>
      <c r="H399" s="2">
        <v>39071</v>
      </c>
      <c r="I399" s="25">
        <v>41090</v>
      </c>
      <c r="K399" s="2">
        <v>38763</v>
      </c>
      <c r="L399" t="s">
        <v>297</v>
      </c>
      <c r="M399" t="s">
        <v>297</v>
      </c>
      <c r="N399" s="23" t="str">
        <f t="shared" si="38"/>
        <v>N</v>
      </c>
      <c r="O399" s="30" t="s">
        <v>1218</v>
      </c>
      <c r="P399" s="10" t="s">
        <v>191</v>
      </c>
      <c r="Q399" s="10" t="s">
        <v>195</v>
      </c>
      <c r="S399" s="16" t="str">
        <f t="shared" si="39"/>
        <v>Brenda K Herian</v>
      </c>
      <c r="T399" s="31" t="s">
        <v>1335</v>
      </c>
    </row>
    <row r="400" spans="1:21">
      <c r="A400" s="16">
        <v>4</v>
      </c>
      <c r="B400" s="16" t="s">
        <v>322</v>
      </c>
      <c r="C400" s="16">
        <v>1386</v>
      </c>
      <c r="D400" s="7" t="s">
        <v>295</v>
      </c>
      <c r="E400" s="16" t="s">
        <v>299</v>
      </c>
      <c r="F400" s="2">
        <v>37088</v>
      </c>
      <c r="H400" s="2">
        <v>37088</v>
      </c>
      <c r="I400" s="25">
        <v>41090</v>
      </c>
      <c r="L400" t="s">
        <v>297</v>
      </c>
      <c r="M400" t="s">
        <v>297</v>
      </c>
      <c r="N400" s="23" t="str">
        <f t="shared" si="38"/>
        <v>N</v>
      </c>
      <c r="O400" s="30" t="s">
        <v>1218</v>
      </c>
      <c r="P400" s="10" t="s">
        <v>191</v>
      </c>
      <c r="Q400" s="10" t="s">
        <v>195</v>
      </c>
      <c r="S400" s="16" t="str">
        <f t="shared" si="39"/>
        <v>Brenda K Herian</v>
      </c>
      <c r="T400" s="31" t="s">
        <v>1289</v>
      </c>
    </row>
    <row r="401" spans="1:33">
      <c r="A401" s="16">
        <v>4</v>
      </c>
      <c r="B401" s="16" t="s">
        <v>322</v>
      </c>
      <c r="C401" s="16">
        <v>1457</v>
      </c>
      <c r="D401" s="7" t="s">
        <v>295</v>
      </c>
      <c r="E401" s="16" t="s">
        <v>376</v>
      </c>
      <c r="F401" s="2">
        <v>38017</v>
      </c>
      <c r="H401" s="2">
        <v>38665</v>
      </c>
      <c r="I401" s="25">
        <v>38199</v>
      </c>
      <c r="J401" s="2">
        <v>36922</v>
      </c>
      <c r="L401" t="s">
        <v>297</v>
      </c>
      <c r="M401" t="s">
        <v>297</v>
      </c>
      <c r="N401" s="23" t="str">
        <f t="shared" si="38"/>
        <v>N</v>
      </c>
      <c r="O401" s="16" t="s">
        <v>589</v>
      </c>
      <c r="P401" s="10" t="s">
        <v>191</v>
      </c>
      <c r="Q401" s="10" t="s">
        <v>195</v>
      </c>
      <c r="S401" s="16" t="str">
        <f t="shared" si="39"/>
        <v>Brenda K Herian</v>
      </c>
    </row>
    <row r="402" spans="1:33">
      <c r="A402" s="16">
        <v>4</v>
      </c>
      <c r="B402" s="16" t="s">
        <v>322</v>
      </c>
      <c r="C402" s="16">
        <v>1528</v>
      </c>
      <c r="D402" s="7" t="s">
        <v>295</v>
      </c>
      <c r="E402" s="30" t="s">
        <v>299</v>
      </c>
      <c r="F402" s="2">
        <v>38923</v>
      </c>
      <c r="H402" s="2">
        <v>38960</v>
      </c>
      <c r="I402" s="25">
        <v>38898</v>
      </c>
      <c r="L402" t="s">
        <v>297</v>
      </c>
      <c r="M402" t="s">
        <v>297</v>
      </c>
      <c r="N402" s="23" t="str">
        <f t="shared" si="38"/>
        <v>N</v>
      </c>
      <c r="O402" s="30" t="s">
        <v>1218</v>
      </c>
      <c r="P402" s="10" t="s">
        <v>191</v>
      </c>
      <c r="Q402" s="10" t="s">
        <v>198</v>
      </c>
      <c r="S402" s="16" t="str">
        <f t="shared" si="39"/>
        <v>Melanie R Thompson</v>
      </c>
    </row>
    <row r="403" spans="1:33" s="7" customFormat="1" hidden="1">
      <c r="A403" s="7">
        <v>4</v>
      </c>
      <c r="B403" s="7" t="s">
        <v>167</v>
      </c>
      <c r="C403" s="7">
        <v>992</v>
      </c>
      <c r="D403" s="7" t="s">
        <v>393</v>
      </c>
      <c r="E403" s="7" t="s">
        <v>316</v>
      </c>
      <c r="F403" s="2">
        <v>34562</v>
      </c>
      <c r="G403" s="2">
        <v>35272</v>
      </c>
      <c r="H403" s="2">
        <v>38560</v>
      </c>
      <c r="I403" s="8">
        <v>38929</v>
      </c>
      <c r="J403" s="2">
        <v>38341</v>
      </c>
      <c r="K403" s="2">
        <v>36413</v>
      </c>
      <c r="L403" t="s">
        <v>297</v>
      </c>
      <c r="M403" t="s">
        <v>297</v>
      </c>
      <c r="N403"/>
      <c r="O403" s="7" t="s">
        <v>318</v>
      </c>
      <c r="P403" s="7" t="s">
        <v>191</v>
      </c>
      <c r="Q403" s="7" t="s">
        <v>199</v>
      </c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</row>
    <row r="404" spans="1:33" s="7" customFormat="1" hidden="1">
      <c r="A404" s="7">
        <v>4</v>
      </c>
      <c r="B404" s="7" t="s">
        <v>167</v>
      </c>
      <c r="C404" s="7">
        <v>1349</v>
      </c>
      <c r="D404" s="7" t="s">
        <v>618</v>
      </c>
      <c r="E404" s="7" t="s">
        <v>316</v>
      </c>
      <c r="F404" s="2">
        <v>36690</v>
      </c>
      <c r="G404" s="2">
        <v>37526</v>
      </c>
      <c r="H404" s="2">
        <v>37492</v>
      </c>
      <c r="I404" s="8">
        <v>37833</v>
      </c>
      <c r="J404"/>
      <c r="K404"/>
      <c r="L404" t="s">
        <v>297</v>
      </c>
      <c r="M404" t="s">
        <v>297</v>
      </c>
      <c r="N404"/>
      <c r="P404" s="7" t="s">
        <v>191</v>
      </c>
      <c r="Q404" s="7" t="s">
        <v>199</v>
      </c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</row>
    <row r="405" spans="1:33" customFormat="1" hidden="1">
      <c r="A405" t="s">
        <v>191</v>
      </c>
      <c r="B405" t="s">
        <v>199</v>
      </c>
      <c r="I405" s="6"/>
    </row>
    <row r="406" spans="1:33" customFormat="1" hidden="1">
      <c r="A406" t="s">
        <v>619</v>
      </c>
      <c r="I406" s="6"/>
    </row>
    <row r="407" spans="1:33">
      <c r="A407" s="16">
        <v>4</v>
      </c>
      <c r="B407" s="16" t="s">
        <v>322</v>
      </c>
      <c r="C407" s="16">
        <v>1559</v>
      </c>
      <c r="E407" s="16" t="s">
        <v>299</v>
      </c>
      <c r="F407" s="2">
        <v>38397</v>
      </c>
      <c r="H407" s="2">
        <v>38524</v>
      </c>
      <c r="I407" s="25" t="s">
        <v>1266</v>
      </c>
      <c r="L407" t="s">
        <v>297</v>
      </c>
      <c r="M407" t="s">
        <v>322</v>
      </c>
      <c r="N407" s="23" t="str">
        <f t="shared" ref="N407:N422" si="40">IF((I407&gt;$W$2),"Y","N")</f>
        <v>Y</v>
      </c>
      <c r="O407" s="16" t="s">
        <v>1369</v>
      </c>
    </row>
    <row r="408" spans="1:33">
      <c r="A408" s="16">
        <v>4</v>
      </c>
      <c r="B408" s="16" t="s">
        <v>167</v>
      </c>
      <c r="C408" s="16">
        <v>49</v>
      </c>
      <c r="D408" s="7" t="s">
        <v>295</v>
      </c>
      <c r="E408" s="16" t="s">
        <v>296</v>
      </c>
      <c r="F408" s="2">
        <v>27275</v>
      </c>
      <c r="G408" s="2">
        <v>27591</v>
      </c>
      <c r="H408" s="2">
        <v>38956</v>
      </c>
      <c r="I408" s="25">
        <v>41820</v>
      </c>
      <c r="K408" s="2">
        <v>38993</v>
      </c>
      <c r="L408" t="s">
        <v>297</v>
      </c>
      <c r="M408" t="s">
        <v>297</v>
      </c>
      <c r="N408" s="23" t="str">
        <f t="shared" si="40"/>
        <v>Y</v>
      </c>
      <c r="O408" s="30" t="s">
        <v>1757</v>
      </c>
      <c r="P408" s="10" t="s">
        <v>191</v>
      </c>
      <c r="Q408" s="10" t="s">
        <v>199</v>
      </c>
      <c r="S408" s="16" t="str">
        <f t="shared" ref="S408:S422" si="41">MID(Q408,9,30)</f>
        <v>Robert E Winters</v>
      </c>
      <c r="T408" s="31" t="s">
        <v>1477</v>
      </c>
    </row>
    <row r="409" spans="1:33">
      <c r="A409" s="16">
        <v>4</v>
      </c>
      <c r="B409" s="16" t="s">
        <v>167</v>
      </c>
      <c r="C409" s="16">
        <v>105</v>
      </c>
      <c r="D409" t="s">
        <v>295</v>
      </c>
      <c r="E409" s="16" t="s">
        <v>296</v>
      </c>
      <c r="F409" s="2">
        <v>27785</v>
      </c>
      <c r="G409" s="2">
        <v>28901</v>
      </c>
      <c r="H409" s="2">
        <v>39512</v>
      </c>
      <c r="I409" s="25">
        <v>41820</v>
      </c>
      <c r="J409" s="2">
        <v>39399</v>
      </c>
      <c r="K409" s="2">
        <v>39331</v>
      </c>
      <c r="L409" t="s">
        <v>297</v>
      </c>
      <c r="M409" t="s">
        <v>297</v>
      </c>
      <c r="N409" s="23" t="str">
        <f t="shared" si="40"/>
        <v>Y</v>
      </c>
      <c r="O409" s="30" t="s">
        <v>1758</v>
      </c>
      <c r="P409" s="10" t="s">
        <v>191</v>
      </c>
      <c r="Q409" s="10" t="s">
        <v>199</v>
      </c>
      <c r="S409" s="16" t="str">
        <f t="shared" si="41"/>
        <v>Robert E Winters</v>
      </c>
      <c r="T409" s="31">
        <v>41460</v>
      </c>
    </row>
    <row r="410" spans="1:33">
      <c r="A410" s="16">
        <v>4</v>
      </c>
      <c r="B410" s="16" t="s">
        <v>167</v>
      </c>
      <c r="C410" s="16">
        <v>207</v>
      </c>
      <c r="D410" t="s">
        <v>295</v>
      </c>
      <c r="E410" s="16" t="s">
        <v>316</v>
      </c>
      <c r="F410" s="2">
        <v>28813</v>
      </c>
      <c r="G410" s="2">
        <v>28986</v>
      </c>
      <c r="H410" s="2">
        <v>39407</v>
      </c>
      <c r="I410" s="25">
        <v>39994</v>
      </c>
      <c r="J410" s="2">
        <v>39399</v>
      </c>
      <c r="K410" s="2">
        <v>39399</v>
      </c>
      <c r="L410" t="s">
        <v>297</v>
      </c>
      <c r="M410" t="s">
        <v>297</v>
      </c>
      <c r="N410" s="23" t="str">
        <f t="shared" si="40"/>
        <v>N</v>
      </c>
      <c r="O410" s="16" t="s">
        <v>1192</v>
      </c>
      <c r="P410" s="10" t="s">
        <v>191</v>
      </c>
      <c r="Q410" s="10" t="s">
        <v>199</v>
      </c>
      <c r="S410" s="16" t="str">
        <f t="shared" si="41"/>
        <v>Robert E Winters</v>
      </c>
      <c r="T410" s="31" t="s">
        <v>1138</v>
      </c>
    </row>
    <row r="411" spans="1:33">
      <c r="A411" s="16">
        <v>4</v>
      </c>
      <c r="B411" s="16" t="s">
        <v>167</v>
      </c>
      <c r="C411" s="16">
        <v>208</v>
      </c>
      <c r="D411" t="s">
        <v>295</v>
      </c>
      <c r="E411" s="16" t="s">
        <v>296</v>
      </c>
      <c r="F411" s="2">
        <v>28813</v>
      </c>
      <c r="G411" s="2">
        <v>28984</v>
      </c>
      <c r="H411" s="2">
        <v>39284</v>
      </c>
      <c r="I411" s="25">
        <v>41820</v>
      </c>
      <c r="J411" s="2">
        <v>39399</v>
      </c>
      <c r="K411" s="2">
        <v>39317</v>
      </c>
      <c r="L411" t="s">
        <v>297</v>
      </c>
      <c r="M411" t="s">
        <v>297</v>
      </c>
      <c r="N411" s="23" t="str">
        <f t="shared" si="40"/>
        <v>Y</v>
      </c>
      <c r="O411" s="30" t="s">
        <v>1759</v>
      </c>
      <c r="P411" s="10" t="s">
        <v>191</v>
      </c>
      <c r="Q411" s="10" t="s">
        <v>199</v>
      </c>
      <c r="S411" s="16" t="str">
        <f t="shared" si="41"/>
        <v>Robert E Winters</v>
      </c>
      <c r="T411" s="31">
        <v>41432</v>
      </c>
    </row>
    <row r="412" spans="1:33">
      <c r="A412" s="16">
        <v>4</v>
      </c>
      <c r="B412" s="16" t="s">
        <v>167</v>
      </c>
      <c r="C412" s="16">
        <v>253</v>
      </c>
      <c r="D412" s="7" t="s">
        <v>295</v>
      </c>
      <c r="E412" s="16" t="s">
        <v>296</v>
      </c>
      <c r="F412" s="2">
        <v>29248</v>
      </c>
      <c r="G412" s="2">
        <v>29244</v>
      </c>
      <c r="H412" s="2">
        <v>39310</v>
      </c>
      <c r="I412" s="25">
        <v>41820</v>
      </c>
      <c r="J412" s="2">
        <v>39399</v>
      </c>
      <c r="K412" s="2">
        <v>39399</v>
      </c>
      <c r="L412" t="s">
        <v>297</v>
      </c>
      <c r="M412" t="s">
        <v>297</v>
      </c>
      <c r="N412" s="23" t="str">
        <f t="shared" si="40"/>
        <v>Y</v>
      </c>
      <c r="O412" s="30" t="s">
        <v>1760</v>
      </c>
      <c r="P412" s="10" t="s">
        <v>191</v>
      </c>
      <c r="Q412" s="10" t="s">
        <v>199</v>
      </c>
      <c r="S412" s="16" t="str">
        <f t="shared" si="41"/>
        <v>Robert E Winters</v>
      </c>
      <c r="T412" s="31">
        <v>41464</v>
      </c>
    </row>
    <row r="413" spans="1:33">
      <c r="A413" s="16">
        <v>4</v>
      </c>
      <c r="B413" s="16" t="s">
        <v>167</v>
      </c>
      <c r="C413" s="16">
        <v>491</v>
      </c>
      <c r="D413" t="s">
        <v>295</v>
      </c>
      <c r="E413" s="16" t="s">
        <v>296</v>
      </c>
      <c r="F413" s="2">
        <v>31310</v>
      </c>
      <c r="G413" s="2">
        <v>35356</v>
      </c>
      <c r="H413" s="2">
        <v>39158</v>
      </c>
      <c r="I413" s="25">
        <v>41820</v>
      </c>
      <c r="J413" s="2">
        <v>39399</v>
      </c>
      <c r="K413" s="2">
        <v>39175</v>
      </c>
      <c r="L413" t="s">
        <v>297</v>
      </c>
      <c r="M413" t="s">
        <v>297</v>
      </c>
      <c r="N413" s="23" t="str">
        <f t="shared" si="40"/>
        <v>Y</v>
      </c>
      <c r="O413" s="16" t="s">
        <v>1280</v>
      </c>
      <c r="P413" s="10" t="s">
        <v>191</v>
      </c>
      <c r="Q413" s="10" t="s">
        <v>199</v>
      </c>
      <c r="S413" s="16" t="str">
        <f t="shared" si="41"/>
        <v>Robert E Winters</v>
      </c>
      <c r="T413" s="31">
        <v>41424</v>
      </c>
    </row>
    <row r="414" spans="1:33">
      <c r="A414" s="16">
        <v>4</v>
      </c>
      <c r="B414" s="16" t="s">
        <v>167</v>
      </c>
      <c r="C414" s="16">
        <v>994</v>
      </c>
      <c r="D414" s="7" t="s">
        <v>295</v>
      </c>
      <c r="E414" s="16" t="s">
        <v>296</v>
      </c>
      <c r="F414" s="2">
        <v>34584</v>
      </c>
      <c r="G414" s="2">
        <v>35209</v>
      </c>
      <c r="H414" s="2">
        <v>39502</v>
      </c>
      <c r="I414" s="25">
        <v>41820</v>
      </c>
      <c r="J414" s="2">
        <v>38581</v>
      </c>
      <c r="K414" s="2">
        <v>38658</v>
      </c>
      <c r="L414" t="s">
        <v>297</v>
      </c>
      <c r="M414" t="s">
        <v>297</v>
      </c>
      <c r="N414" s="23" t="str">
        <f t="shared" si="40"/>
        <v>Y</v>
      </c>
      <c r="O414" s="30" t="s">
        <v>1218</v>
      </c>
      <c r="P414" s="10" t="s">
        <v>191</v>
      </c>
      <c r="Q414" s="10" t="s">
        <v>195</v>
      </c>
      <c r="S414" s="16" t="str">
        <f t="shared" si="41"/>
        <v>Brenda K Herian</v>
      </c>
      <c r="T414" s="31">
        <v>41477</v>
      </c>
    </row>
    <row r="415" spans="1:33">
      <c r="A415" s="16">
        <v>4</v>
      </c>
      <c r="B415" s="16" t="s">
        <v>167</v>
      </c>
      <c r="C415" s="16">
        <v>1225</v>
      </c>
      <c r="D415" t="s">
        <v>295</v>
      </c>
      <c r="E415" s="16" t="s">
        <v>296</v>
      </c>
      <c r="F415" s="2">
        <v>35753</v>
      </c>
      <c r="G415" s="2">
        <v>37526</v>
      </c>
      <c r="H415" s="2">
        <v>39494</v>
      </c>
      <c r="I415" s="25">
        <v>41820</v>
      </c>
      <c r="J415" s="2">
        <v>38306</v>
      </c>
      <c r="K415" s="2">
        <v>39065</v>
      </c>
      <c r="L415" t="s">
        <v>297</v>
      </c>
      <c r="M415" t="s">
        <v>297</v>
      </c>
      <c r="N415" s="23" t="str">
        <f t="shared" si="40"/>
        <v>Y</v>
      </c>
      <c r="O415" s="16" t="s">
        <v>1594</v>
      </c>
      <c r="P415" s="10" t="s">
        <v>191</v>
      </c>
      <c r="Q415" s="10" t="s">
        <v>195</v>
      </c>
      <c r="S415" s="16" t="str">
        <f t="shared" si="41"/>
        <v>Brenda K Herian</v>
      </c>
      <c r="T415" s="31">
        <v>41471</v>
      </c>
    </row>
    <row r="416" spans="1:33">
      <c r="A416" s="16">
        <v>4</v>
      </c>
      <c r="B416" s="16" t="s">
        <v>167</v>
      </c>
      <c r="C416" s="16">
        <v>1275</v>
      </c>
      <c r="D416" s="7" t="s">
        <v>295</v>
      </c>
      <c r="E416" s="16" t="s">
        <v>296</v>
      </c>
      <c r="F416" s="2">
        <v>36123</v>
      </c>
      <c r="H416" s="2">
        <v>36670</v>
      </c>
      <c r="I416" s="25">
        <v>41455</v>
      </c>
      <c r="L416" t="s">
        <v>297</v>
      </c>
      <c r="M416" t="s">
        <v>297</v>
      </c>
      <c r="N416" s="23" t="str">
        <f t="shared" si="40"/>
        <v>N</v>
      </c>
      <c r="O416" s="30" t="s">
        <v>1218</v>
      </c>
      <c r="P416" s="10" t="s">
        <v>191</v>
      </c>
      <c r="Q416" s="10" t="s">
        <v>195</v>
      </c>
      <c r="S416" s="16" t="str">
        <f t="shared" si="41"/>
        <v>Brenda K Herian</v>
      </c>
      <c r="T416" s="31" t="s">
        <v>1520</v>
      </c>
    </row>
    <row r="417" spans="1:33">
      <c r="A417" s="16">
        <v>4</v>
      </c>
      <c r="B417" s="16" t="s">
        <v>167</v>
      </c>
      <c r="C417" s="16">
        <v>1365</v>
      </c>
      <c r="D417" t="s">
        <v>295</v>
      </c>
      <c r="E417" s="16" t="s">
        <v>296</v>
      </c>
      <c r="F417" s="2">
        <v>36847</v>
      </c>
      <c r="G417" s="2">
        <v>38842</v>
      </c>
      <c r="H417" s="2">
        <v>39131</v>
      </c>
      <c r="I417" s="25">
        <v>41455</v>
      </c>
      <c r="K417" s="2">
        <v>39174</v>
      </c>
      <c r="L417" t="s">
        <v>297</v>
      </c>
      <c r="M417" t="s">
        <v>297</v>
      </c>
      <c r="N417" s="23" t="str">
        <f t="shared" si="40"/>
        <v>N</v>
      </c>
      <c r="O417" s="30" t="s">
        <v>1761</v>
      </c>
      <c r="P417" s="10" t="s">
        <v>191</v>
      </c>
      <c r="Q417" s="10" t="s">
        <v>195</v>
      </c>
      <c r="S417" s="16" t="str">
        <f t="shared" si="41"/>
        <v>Brenda K Herian</v>
      </c>
      <c r="T417" s="31" t="s">
        <v>1500</v>
      </c>
    </row>
    <row r="418" spans="1:33">
      <c r="A418" s="16">
        <v>4</v>
      </c>
      <c r="B418" s="16" t="s">
        <v>167</v>
      </c>
      <c r="C418" s="16">
        <v>1553</v>
      </c>
      <c r="D418" t="s">
        <v>295</v>
      </c>
      <c r="E418" s="16" t="s">
        <v>296</v>
      </c>
      <c r="F418" s="2">
        <v>39356</v>
      </c>
      <c r="H418" s="2">
        <v>39405</v>
      </c>
      <c r="I418" s="25" t="s">
        <v>1266</v>
      </c>
      <c r="L418" t="s">
        <v>297</v>
      </c>
      <c r="M418" t="s">
        <v>297</v>
      </c>
      <c r="N418" s="23" t="str">
        <f t="shared" si="40"/>
        <v>Y</v>
      </c>
      <c r="O418" s="16" t="s">
        <v>590</v>
      </c>
      <c r="P418" s="10" t="s">
        <v>191</v>
      </c>
      <c r="Q418" s="10" t="s">
        <v>195</v>
      </c>
      <c r="S418" s="16" t="str">
        <f t="shared" si="41"/>
        <v>Brenda K Herian</v>
      </c>
    </row>
    <row r="419" spans="1:33">
      <c r="A419" s="16">
        <v>5</v>
      </c>
      <c r="B419" s="16" t="s">
        <v>149</v>
      </c>
      <c r="C419" s="16">
        <v>124</v>
      </c>
      <c r="D419" t="s">
        <v>295</v>
      </c>
      <c r="E419" s="16" t="s">
        <v>296</v>
      </c>
      <c r="F419" s="2">
        <v>28093</v>
      </c>
      <c r="G419" s="2">
        <v>28578</v>
      </c>
      <c r="H419" s="2">
        <v>39283</v>
      </c>
      <c r="I419" s="25">
        <v>41820</v>
      </c>
      <c r="J419" s="2">
        <v>39392</v>
      </c>
      <c r="K419" s="2">
        <v>34551</v>
      </c>
      <c r="L419" t="s">
        <v>297</v>
      </c>
      <c r="M419" t="s">
        <v>297</v>
      </c>
      <c r="N419" s="23" t="str">
        <f t="shared" si="40"/>
        <v>Y</v>
      </c>
      <c r="O419" s="30" t="s">
        <v>1762</v>
      </c>
      <c r="P419" s="10" t="s">
        <v>200</v>
      </c>
      <c r="Q419" s="10" t="s">
        <v>201</v>
      </c>
      <c r="S419" s="16" t="str">
        <f t="shared" si="41"/>
        <v>Michael A Mays</v>
      </c>
      <c r="T419" s="31">
        <v>41428</v>
      </c>
    </row>
    <row r="420" spans="1:33">
      <c r="A420" s="16">
        <v>5</v>
      </c>
      <c r="B420" s="16" t="s">
        <v>149</v>
      </c>
      <c r="C420" s="16">
        <v>128</v>
      </c>
      <c r="D420" s="7" t="s">
        <v>295</v>
      </c>
      <c r="E420" s="16" t="s">
        <v>296</v>
      </c>
      <c r="F420" s="2">
        <v>28093</v>
      </c>
      <c r="G420" s="2">
        <v>28286</v>
      </c>
      <c r="H420" s="2">
        <v>38791</v>
      </c>
      <c r="I420" s="25">
        <v>41455</v>
      </c>
      <c r="J420" s="2">
        <v>28600</v>
      </c>
      <c r="K420" s="2">
        <v>35737</v>
      </c>
      <c r="L420" t="s">
        <v>339</v>
      </c>
      <c r="M420" t="s">
        <v>297</v>
      </c>
      <c r="N420" s="23" t="str">
        <f t="shared" si="40"/>
        <v>N</v>
      </c>
      <c r="O420" s="30" t="s">
        <v>1763</v>
      </c>
      <c r="P420" s="10" t="s">
        <v>200</v>
      </c>
      <c r="Q420" s="10" t="s">
        <v>201</v>
      </c>
      <c r="S420" s="16" t="str">
        <f t="shared" si="41"/>
        <v>Michael A Mays</v>
      </c>
      <c r="T420" s="31" t="s">
        <v>1476</v>
      </c>
    </row>
    <row r="421" spans="1:33">
      <c r="A421" s="16">
        <v>5</v>
      </c>
      <c r="B421" s="16" t="s">
        <v>149</v>
      </c>
      <c r="C421" s="16">
        <v>263</v>
      </c>
      <c r="D421" s="7" t="s">
        <v>295</v>
      </c>
      <c r="E421" s="16" t="s">
        <v>296</v>
      </c>
      <c r="F421" s="2">
        <v>29399</v>
      </c>
      <c r="G421" s="2">
        <v>29904</v>
      </c>
      <c r="H421" s="2">
        <v>39268</v>
      </c>
      <c r="I421" s="25">
        <v>41455</v>
      </c>
      <c r="J421" s="2">
        <v>35304</v>
      </c>
      <c r="K421" s="2">
        <v>36361</v>
      </c>
      <c r="L421" t="s">
        <v>297</v>
      </c>
      <c r="M421" t="s">
        <v>297</v>
      </c>
      <c r="N421" s="23" t="str">
        <f t="shared" si="40"/>
        <v>N</v>
      </c>
      <c r="O421" s="16" t="s">
        <v>1595</v>
      </c>
      <c r="P421" s="10" t="s">
        <v>200</v>
      </c>
      <c r="Q421" s="10" t="s">
        <v>201</v>
      </c>
      <c r="S421" s="16" t="str">
        <f t="shared" si="41"/>
        <v>Michael A Mays</v>
      </c>
      <c r="T421" s="31" t="s">
        <v>1358</v>
      </c>
    </row>
    <row r="422" spans="1:33">
      <c r="A422" s="16">
        <v>5</v>
      </c>
      <c r="B422" s="16" t="s">
        <v>149</v>
      </c>
      <c r="C422" s="16">
        <v>275</v>
      </c>
      <c r="D422" t="s">
        <v>295</v>
      </c>
      <c r="E422" s="16" t="s">
        <v>296</v>
      </c>
      <c r="F422" s="2">
        <v>29462</v>
      </c>
      <c r="G422" s="2">
        <v>29907</v>
      </c>
      <c r="H422" s="2">
        <v>38674</v>
      </c>
      <c r="I422" s="25">
        <v>41455</v>
      </c>
      <c r="K422" s="2">
        <v>35422</v>
      </c>
      <c r="L422" t="s">
        <v>297</v>
      </c>
      <c r="M422" t="s">
        <v>297</v>
      </c>
      <c r="N422" s="23" t="str">
        <f t="shared" si="40"/>
        <v>N</v>
      </c>
      <c r="O422" s="30" t="s">
        <v>1764</v>
      </c>
      <c r="P422" s="10" t="s">
        <v>200</v>
      </c>
      <c r="Q422" s="10" t="s">
        <v>201</v>
      </c>
      <c r="S422" s="16" t="str">
        <f t="shared" si="41"/>
        <v>Michael A Mays</v>
      </c>
      <c r="T422" s="31" t="s">
        <v>1425</v>
      </c>
    </row>
    <row r="423" spans="1:33" customFormat="1" hidden="1">
      <c r="A423" t="s">
        <v>200</v>
      </c>
      <c r="B423" t="s">
        <v>201</v>
      </c>
      <c r="I423" s="6"/>
    </row>
    <row r="424" spans="1:33">
      <c r="A424" s="16">
        <v>5</v>
      </c>
      <c r="B424" s="16" t="s">
        <v>149</v>
      </c>
      <c r="C424" s="16">
        <v>279</v>
      </c>
      <c r="D424" t="s">
        <v>295</v>
      </c>
      <c r="E424" s="16" t="s">
        <v>296</v>
      </c>
      <c r="F424" s="2">
        <v>29511</v>
      </c>
      <c r="G424" s="2">
        <v>30702</v>
      </c>
      <c r="H424" s="2">
        <v>39465</v>
      </c>
      <c r="I424" s="25">
        <v>41820</v>
      </c>
      <c r="J424" s="2">
        <v>37872</v>
      </c>
      <c r="K424" s="2">
        <v>38971</v>
      </c>
      <c r="L424" t="s">
        <v>297</v>
      </c>
      <c r="M424" t="s">
        <v>297</v>
      </c>
      <c r="N424" s="23" t="str">
        <f>IF((I424&gt;$W$2),"Y","N")</f>
        <v>Y</v>
      </c>
      <c r="O424" s="30" t="s">
        <v>1765</v>
      </c>
      <c r="P424" s="10" t="s">
        <v>200</v>
      </c>
      <c r="Q424" s="10" t="s">
        <v>201</v>
      </c>
      <c r="S424" s="16" t="str">
        <f>MID(Q424,9,30)</f>
        <v>Michael A Mays</v>
      </c>
      <c r="T424" s="31" t="s">
        <v>1615</v>
      </c>
    </row>
    <row r="425" spans="1:33" s="7" customFormat="1" hidden="1">
      <c r="A425" s="7">
        <v>5</v>
      </c>
      <c r="B425" s="7" t="s">
        <v>296</v>
      </c>
      <c r="C425" s="7">
        <v>391</v>
      </c>
      <c r="D425" s="7" t="s">
        <v>380</v>
      </c>
      <c r="E425" s="7" t="s">
        <v>376</v>
      </c>
      <c r="F425" s="2">
        <v>30486</v>
      </c>
      <c r="G425" s="2">
        <v>33684</v>
      </c>
      <c r="H425" s="2">
        <v>36712</v>
      </c>
      <c r="I425" s="8">
        <v>36890</v>
      </c>
      <c r="J425"/>
      <c r="K425" s="2">
        <v>35564</v>
      </c>
      <c r="L425" t="s">
        <v>297</v>
      </c>
      <c r="M425" t="s">
        <v>297</v>
      </c>
      <c r="N425"/>
      <c r="P425" s="7" t="s">
        <v>200</v>
      </c>
      <c r="Q425" s="7" t="s">
        <v>202</v>
      </c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</row>
    <row r="426" spans="1:33">
      <c r="A426" s="16">
        <v>5</v>
      </c>
      <c r="B426" s="16" t="s">
        <v>149</v>
      </c>
      <c r="C426" s="16">
        <v>335</v>
      </c>
      <c r="D426" s="7" t="s">
        <v>295</v>
      </c>
      <c r="E426" s="16" t="s">
        <v>296</v>
      </c>
      <c r="F426" s="2">
        <v>29980</v>
      </c>
      <c r="G426" s="2">
        <v>29946</v>
      </c>
      <c r="H426" s="2">
        <v>39260</v>
      </c>
      <c r="I426" s="25">
        <v>41820</v>
      </c>
      <c r="K426" s="2">
        <v>39279</v>
      </c>
      <c r="L426" t="s">
        <v>297</v>
      </c>
      <c r="M426" t="s">
        <v>297</v>
      </c>
      <c r="N426" s="23" t="str">
        <f t="shared" ref="N426:N433" si="42">IF((I426&gt;$W$2),"Y","N")</f>
        <v>Y</v>
      </c>
      <c r="O426" s="30" t="s">
        <v>1766</v>
      </c>
      <c r="P426" s="10" t="s">
        <v>200</v>
      </c>
      <c r="Q426" s="10" t="s">
        <v>201</v>
      </c>
      <c r="S426" s="16" t="str">
        <f t="shared" ref="S426:S433" si="43">MID(Q426,9,30)</f>
        <v>Michael A Mays</v>
      </c>
      <c r="T426" s="31" t="s">
        <v>1618</v>
      </c>
      <c r="U426" s="24">
        <v>39976</v>
      </c>
    </row>
    <row r="427" spans="1:33">
      <c r="A427" s="16">
        <v>5</v>
      </c>
      <c r="B427" s="16" t="s">
        <v>149</v>
      </c>
      <c r="C427" s="16">
        <v>337</v>
      </c>
      <c r="D427" s="7" t="s">
        <v>295</v>
      </c>
      <c r="E427" s="16" t="s">
        <v>296</v>
      </c>
      <c r="F427" s="2">
        <v>29980</v>
      </c>
      <c r="G427" s="2">
        <v>30394</v>
      </c>
      <c r="H427" s="2">
        <v>39276</v>
      </c>
      <c r="I427" s="25">
        <v>41820</v>
      </c>
      <c r="J427" s="2">
        <v>39392</v>
      </c>
      <c r="K427" s="2">
        <v>35596</v>
      </c>
      <c r="L427" t="s">
        <v>297</v>
      </c>
      <c r="M427" t="s">
        <v>297</v>
      </c>
      <c r="N427" s="23" t="str">
        <f t="shared" si="42"/>
        <v>Y</v>
      </c>
      <c r="O427" s="30" t="s">
        <v>1767</v>
      </c>
      <c r="P427" s="10" t="s">
        <v>200</v>
      </c>
      <c r="Q427" s="10" t="s">
        <v>201</v>
      </c>
      <c r="S427" s="16" t="str">
        <f t="shared" si="43"/>
        <v>Michael A Mays</v>
      </c>
      <c r="T427" s="31">
        <v>41432</v>
      </c>
      <c r="U427" s="10" t="s">
        <v>1152</v>
      </c>
    </row>
    <row r="428" spans="1:33">
      <c r="A428" s="16">
        <v>5</v>
      </c>
      <c r="B428" s="16" t="s">
        <v>149</v>
      </c>
      <c r="C428" s="16">
        <v>440</v>
      </c>
      <c r="D428" s="7" t="s">
        <v>295</v>
      </c>
      <c r="E428" s="16" t="s">
        <v>296</v>
      </c>
      <c r="F428" s="2">
        <v>30919</v>
      </c>
      <c r="G428" s="2">
        <v>31738</v>
      </c>
      <c r="H428" s="2">
        <v>39342</v>
      </c>
      <c r="I428" s="25">
        <v>41820</v>
      </c>
      <c r="J428" s="2">
        <v>34344</v>
      </c>
      <c r="K428" s="2">
        <v>39339</v>
      </c>
      <c r="L428" t="s">
        <v>297</v>
      </c>
      <c r="M428" t="s">
        <v>297</v>
      </c>
      <c r="N428" s="23" t="str">
        <f t="shared" si="42"/>
        <v>Y</v>
      </c>
      <c r="O428" s="16" t="s">
        <v>1526</v>
      </c>
      <c r="P428" s="10" t="s">
        <v>200</v>
      </c>
      <c r="Q428" s="10" t="s">
        <v>201</v>
      </c>
      <c r="S428" s="16" t="str">
        <f t="shared" si="43"/>
        <v>Michael A Mays</v>
      </c>
      <c r="T428" s="31" t="s">
        <v>1612</v>
      </c>
      <c r="U428" s="24">
        <v>39973</v>
      </c>
    </row>
    <row r="429" spans="1:33">
      <c r="A429" s="16">
        <v>5</v>
      </c>
      <c r="B429" s="16" t="s">
        <v>149</v>
      </c>
      <c r="C429" s="16">
        <v>551</v>
      </c>
      <c r="D429" s="7" t="s">
        <v>295</v>
      </c>
      <c r="E429" s="16" t="s">
        <v>296</v>
      </c>
      <c r="F429" s="2">
        <v>31674</v>
      </c>
      <c r="G429" s="2">
        <v>32578</v>
      </c>
      <c r="H429" s="2">
        <v>38419</v>
      </c>
      <c r="I429" s="25">
        <v>41820</v>
      </c>
      <c r="K429" s="2">
        <v>34547</v>
      </c>
      <c r="L429" t="s">
        <v>297</v>
      </c>
      <c r="N429" s="23" t="str">
        <f t="shared" si="42"/>
        <v>Y</v>
      </c>
      <c r="O429" s="16" t="s">
        <v>628</v>
      </c>
      <c r="P429" s="10" t="s">
        <v>200</v>
      </c>
      <c r="Q429" s="10" t="s">
        <v>201</v>
      </c>
      <c r="S429" s="16" t="str">
        <f t="shared" si="43"/>
        <v>Michael A Mays</v>
      </c>
      <c r="T429" s="31">
        <v>41428</v>
      </c>
      <c r="U429" s="24">
        <v>39973</v>
      </c>
    </row>
    <row r="430" spans="1:33">
      <c r="A430" s="16">
        <v>5</v>
      </c>
      <c r="B430" s="16" t="s">
        <v>149</v>
      </c>
      <c r="C430" s="16">
        <v>796</v>
      </c>
      <c r="D430" s="7" t="s">
        <v>295</v>
      </c>
      <c r="E430" s="16" t="s">
        <v>296</v>
      </c>
      <c r="F430" s="2">
        <v>33452</v>
      </c>
      <c r="G430" s="2">
        <v>33452</v>
      </c>
      <c r="H430" s="2">
        <v>39461</v>
      </c>
      <c r="I430" s="25">
        <v>41820</v>
      </c>
      <c r="K430" s="2">
        <v>38800</v>
      </c>
      <c r="L430" t="s">
        <v>297</v>
      </c>
      <c r="M430" t="s">
        <v>297</v>
      </c>
      <c r="N430" s="23" t="str">
        <f t="shared" si="42"/>
        <v>Y</v>
      </c>
      <c r="O430" s="30" t="s">
        <v>1768</v>
      </c>
      <c r="P430" s="10" t="s">
        <v>200</v>
      </c>
      <c r="Q430" s="10" t="s">
        <v>201</v>
      </c>
      <c r="S430" s="16" t="str">
        <f t="shared" si="43"/>
        <v>Michael A Mays</v>
      </c>
      <c r="T430" s="31">
        <v>41411</v>
      </c>
    </row>
    <row r="431" spans="1:33">
      <c r="A431" s="16">
        <v>5</v>
      </c>
      <c r="B431" s="16" t="s">
        <v>149</v>
      </c>
      <c r="C431" s="16">
        <v>1159</v>
      </c>
      <c r="D431" s="7" t="s">
        <v>295</v>
      </c>
      <c r="E431" s="16" t="s">
        <v>296</v>
      </c>
      <c r="F431" s="2">
        <v>35433</v>
      </c>
      <c r="G431" s="2">
        <v>36427</v>
      </c>
      <c r="H431" s="2">
        <v>39509</v>
      </c>
      <c r="I431" s="25">
        <v>41820</v>
      </c>
      <c r="J431" s="2">
        <v>35481</v>
      </c>
      <c r="K431" s="2">
        <v>36375</v>
      </c>
      <c r="L431" t="s">
        <v>297</v>
      </c>
      <c r="M431" t="s">
        <v>297</v>
      </c>
      <c r="N431" s="23" t="str">
        <f t="shared" si="42"/>
        <v>Y</v>
      </c>
      <c r="O431" s="16" t="s">
        <v>630</v>
      </c>
      <c r="P431" s="10" t="s">
        <v>200</v>
      </c>
      <c r="Q431" s="10" t="s">
        <v>201</v>
      </c>
      <c r="S431" s="16" t="str">
        <f t="shared" si="43"/>
        <v>Michael A Mays</v>
      </c>
      <c r="T431" s="31">
        <v>41452</v>
      </c>
    </row>
    <row r="432" spans="1:33">
      <c r="A432" s="16">
        <v>5</v>
      </c>
      <c r="B432" s="16" t="s">
        <v>149</v>
      </c>
      <c r="C432" s="16">
        <v>1165</v>
      </c>
      <c r="D432" s="7" t="s">
        <v>295</v>
      </c>
      <c r="E432" s="16" t="s">
        <v>296</v>
      </c>
      <c r="F432" s="2">
        <v>35459</v>
      </c>
      <c r="G432" s="2">
        <v>38842</v>
      </c>
      <c r="H432" s="2">
        <v>38898</v>
      </c>
      <c r="I432" s="25">
        <v>41820</v>
      </c>
      <c r="J432" s="2">
        <v>35481</v>
      </c>
      <c r="K432" s="2">
        <v>38516</v>
      </c>
      <c r="L432" t="s">
        <v>297</v>
      </c>
      <c r="M432" t="s">
        <v>297</v>
      </c>
      <c r="N432" s="23" t="str">
        <f t="shared" si="42"/>
        <v>Y</v>
      </c>
      <c r="O432" s="16" t="s">
        <v>1527</v>
      </c>
      <c r="P432" s="10" t="s">
        <v>200</v>
      </c>
      <c r="Q432" s="10" t="s">
        <v>201</v>
      </c>
      <c r="S432" s="16" t="str">
        <f t="shared" si="43"/>
        <v>Michael A Mays</v>
      </c>
      <c r="T432" s="31">
        <v>41428</v>
      </c>
    </row>
    <row r="433" spans="1:33">
      <c r="A433" s="16">
        <v>5</v>
      </c>
      <c r="B433" s="16" t="s">
        <v>149</v>
      </c>
      <c r="C433" s="16">
        <v>1266</v>
      </c>
      <c r="D433" t="s">
        <v>295</v>
      </c>
      <c r="E433" s="16" t="s">
        <v>296</v>
      </c>
      <c r="F433" s="2">
        <v>36007</v>
      </c>
      <c r="G433" s="2">
        <v>36091</v>
      </c>
      <c r="H433" s="2">
        <v>39491</v>
      </c>
      <c r="I433" s="25">
        <v>41820</v>
      </c>
      <c r="J433" s="2">
        <v>37886</v>
      </c>
      <c r="K433" s="2">
        <v>39308</v>
      </c>
      <c r="L433" t="s">
        <v>297</v>
      </c>
      <c r="M433" t="s">
        <v>297</v>
      </c>
      <c r="N433" s="23" t="str">
        <f t="shared" si="42"/>
        <v>Y</v>
      </c>
      <c r="O433" s="16" t="s">
        <v>1434</v>
      </c>
      <c r="P433" s="10" t="s">
        <v>200</v>
      </c>
      <c r="Q433" s="10" t="s">
        <v>201</v>
      </c>
      <c r="S433" s="16" t="str">
        <f t="shared" si="43"/>
        <v>Michael A Mays</v>
      </c>
      <c r="T433" s="31">
        <v>41422</v>
      </c>
    </row>
    <row r="434" spans="1:33" customFormat="1" hidden="1">
      <c r="A434" t="s">
        <v>200</v>
      </c>
      <c r="B434" t="s">
        <v>202</v>
      </c>
      <c r="I434" s="6"/>
    </row>
    <row r="435" spans="1:33" s="7" customFormat="1" hidden="1">
      <c r="A435" s="7">
        <v>5</v>
      </c>
      <c r="B435" s="7" t="s">
        <v>153</v>
      </c>
      <c r="C435" s="7">
        <v>353</v>
      </c>
      <c r="D435" s="7" t="s">
        <v>315</v>
      </c>
      <c r="E435" s="7" t="s">
        <v>316</v>
      </c>
      <c r="F435" s="2">
        <v>30099</v>
      </c>
      <c r="G435" s="2">
        <v>30758</v>
      </c>
      <c r="H435" s="2">
        <v>37488</v>
      </c>
      <c r="I435" s="8">
        <v>31815</v>
      </c>
      <c r="J435"/>
      <c r="K435" s="2">
        <v>33288</v>
      </c>
      <c r="L435" t="s">
        <v>339</v>
      </c>
      <c r="M435" t="s">
        <v>297</v>
      </c>
      <c r="N435"/>
      <c r="P435" s="7" t="s">
        <v>200</v>
      </c>
      <c r="Q435" s="7" t="s">
        <v>203</v>
      </c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</row>
    <row r="436" spans="1:33" s="7" customFormat="1" hidden="1">
      <c r="A436" s="7">
        <v>5</v>
      </c>
      <c r="B436" s="7" t="s">
        <v>153</v>
      </c>
      <c r="C436" s="7">
        <v>858</v>
      </c>
      <c r="D436" s="7" t="s">
        <v>618</v>
      </c>
      <c r="E436" s="7" t="s">
        <v>316</v>
      </c>
      <c r="F436" s="2">
        <v>38155</v>
      </c>
      <c r="G436" s="2">
        <v>38366</v>
      </c>
      <c r="H436" s="2">
        <v>39378</v>
      </c>
      <c r="I436" s="8">
        <v>38533</v>
      </c>
      <c r="J436" s="2">
        <v>38293</v>
      </c>
      <c r="K436"/>
      <c r="L436" t="s">
        <v>297</v>
      </c>
      <c r="M436" t="s">
        <v>297</v>
      </c>
      <c r="N436"/>
      <c r="P436" s="7" t="s">
        <v>200</v>
      </c>
      <c r="Q436" s="7" t="s">
        <v>203</v>
      </c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</row>
    <row r="437" spans="1:33">
      <c r="A437" s="16">
        <v>5</v>
      </c>
      <c r="B437" s="16" t="s">
        <v>149</v>
      </c>
      <c r="C437" s="16">
        <v>1336</v>
      </c>
      <c r="D437" t="s">
        <v>295</v>
      </c>
      <c r="E437" s="16" t="s">
        <v>296</v>
      </c>
      <c r="F437" s="2">
        <v>36614</v>
      </c>
      <c r="G437" s="2">
        <v>38418</v>
      </c>
      <c r="H437" s="2">
        <v>39465</v>
      </c>
      <c r="I437" s="25">
        <v>41820</v>
      </c>
      <c r="K437" s="2">
        <v>38972</v>
      </c>
      <c r="L437" t="s">
        <v>297</v>
      </c>
      <c r="M437" t="s">
        <v>297</v>
      </c>
      <c r="N437" s="23" t="str">
        <f>IF((I437&gt;$W$2),"Y","N")</f>
        <v>Y</v>
      </c>
      <c r="O437" s="16" t="s">
        <v>633</v>
      </c>
      <c r="P437" s="10" t="s">
        <v>200</v>
      </c>
      <c r="Q437" s="10" t="s">
        <v>201</v>
      </c>
      <c r="S437" s="16" t="str">
        <f>MID(Q437,9,30)</f>
        <v>Michael A Mays</v>
      </c>
      <c r="T437" s="31">
        <v>41424</v>
      </c>
    </row>
    <row r="438" spans="1:33">
      <c r="A438" s="16">
        <v>5</v>
      </c>
      <c r="B438" s="16" t="s">
        <v>149</v>
      </c>
      <c r="C438" s="16">
        <v>1390</v>
      </c>
      <c r="D438" s="7" t="s">
        <v>295</v>
      </c>
      <c r="E438" s="16" t="s">
        <v>296</v>
      </c>
      <c r="F438" s="2">
        <v>37125</v>
      </c>
      <c r="G438" s="2">
        <v>38776</v>
      </c>
      <c r="H438" s="2">
        <v>39269</v>
      </c>
      <c r="I438" s="25">
        <v>41820</v>
      </c>
      <c r="K438" s="2">
        <v>38792</v>
      </c>
      <c r="L438" t="s">
        <v>297</v>
      </c>
      <c r="M438" t="s">
        <v>297</v>
      </c>
      <c r="N438" s="23" t="str">
        <f>IF((I438&gt;$W$2),"Y","N")</f>
        <v>Y</v>
      </c>
      <c r="O438" s="16" t="s">
        <v>634</v>
      </c>
      <c r="P438" s="10" t="s">
        <v>200</v>
      </c>
      <c r="Q438" s="10" t="s">
        <v>201</v>
      </c>
      <c r="S438" s="16" t="str">
        <f>MID(Q438,9,30)</f>
        <v>Michael A Mays</v>
      </c>
      <c r="T438" s="31">
        <v>41442</v>
      </c>
    </row>
    <row r="439" spans="1:33">
      <c r="A439" s="16">
        <v>5</v>
      </c>
      <c r="B439" s="16" t="s">
        <v>149</v>
      </c>
      <c r="C439" s="16">
        <v>1525</v>
      </c>
      <c r="D439" s="7" t="s">
        <v>295</v>
      </c>
      <c r="E439" s="16" t="s">
        <v>376</v>
      </c>
      <c r="F439" s="2">
        <v>38930</v>
      </c>
      <c r="H439" s="2">
        <v>39132</v>
      </c>
      <c r="I439" s="25">
        <v>39263</v>
      </c>
      <c r="L439" t="s">
        <v>297</v>
      </c>
      <c r="M439" t="s">
        <v>297</v>
      </c>
      <c r="N439" s="23" t="str">
        <f>IF((I439&gt;$W$2),"Y","N")</f>
        <v>N</v>
      </c>
      <c r="O439" s="16" t="s">
        <v>635</v>
      </c>
      <c r="P439" s="10" t="s">
        <v>200</v>
      </c>
      <c r="Q439" s="10" t="s">
        <v>201</v>
      </c>
      <c r="S439" s="16" t="str">
        <f>MID(Q439,9,30)</f>
        <v>Michael A Mays</v>
      </c>
    </row>
    <row r="440" spans="1:33" s="7" customFormat="1" hidden="1">
      <c r="A440" s="7">
        <v>5</v>
      </c>
      <c r="B440" s="7" t="s">
        <v>153</v>
      </c>
      <c r="C440" s="7">
        <v>1243</v>
      </c>
      <c r="D440" s="7" t="s">
        <v>393</v>
      </c>
      <c r="E440" s="7" t="s">
        <v>376</v>
      </c>
      <c r="F440" s="2">
        <v>35895</v>
      </c>
      <c r="G440" s="2">
        <v>36238</v>
      </c>
      <c r="H440" s="2">
        <v>38160</v>
      </c>
      <c r="I440" s="8">
        <v>38352</v>
      </c>
      <c r="J440" s="2">
        <v>37998</v>
      </c>
      <c r="K440" s="2">
        <v>38160</v>
      </c>
      <c r="L440" t="s">
        <v>297</v>
      </c>
      <c r="M440" t="s">
        <v>297</v>
      </c>
      <c r="N440"/>
      <c r="P440" s="7" t="s">
        <v>200</v>
      </c>
      <c r="Q440" s="7" t="s">
        <v>203</v>
      </c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</row>
    <row r="441" spans="1:33">
      <c r="A441" s="16">
        <v>5</v>
      </c>
      <c r="B441" s="30" t="s">
        <v>149</v>
      </c>
      <c r="C441" s="16">
        <v>1613</v>
      </c>
      <c r="E441" s="30" t="s">
        <v>299</v>
      </c>
      <c r="I441" s="25">
        <v>41820</v>
      </c>
      <c r="N441" s="23" t="str">
        <f>IF((I441&gt;$W$2),"Y","N")</f>
        <v>Y</v>
      </c>
      <c r="O441" s="30" t="s">
        <v>1626</v>
      </c>
    </row>
    <row r="442" spans="1:33">
      <c r="A442" s="16">
        <v>5</v>
      </c>
      <c r="B442" s="16" t="s">
        <v>296</v>
      </c>
      <c r="C442" s="16">
        <v>160</v>
      </c>
      <c r="D442" s="7" t="s">
        <v>295</v>
      </c>
      <c r="E442" s="16" t="s">
        <v>296</v>
      </c>
      <c r="F442" s="2">
        <v>28213</v>
      </c>
      <c r="G442" s="2">
        <v>29503</v>
      </c>
      <c r="H442" s="2">
        <v>39294</v>
      </c>
      <c r="I442" s="25">
        <v>41820</v>
      </c>
      <c r="K442" s="2">
        <v>38875</v>
      </c>
      <c r="L442" t="s">
        <v>297</v>
      </c>
      <c r="M442" t="s">
        <v>297</v>
      </c>
      <c r="N442" s="23" t="str">
        <f>IF((I442&gt;$W$2),"Y","N")</f>
        <v>Y</v>
      </c>
      <c r="O442" s="16" t="s">
        <v>636</v>
      </c>
      <c r="P442" s="10" t="s">
        <v>200</v>
      </c>
      <c r="Q442" s="10" t="s">
        <v>202</v>
      </c>
      <c r="S442" s="16" t="str">
        <f>MID(Q442,9,30)</f>
        <v>Roberta G Malcolm</v>
      </c>
      <c r="T442" s="31">
        <v>41438</v>
      </c>
    </row>
    <row r="443" spans="1:33">
      <c r="A443" s="16">
        <v>5</v>
      </c>
      <c r="B443" s="16" t="s">
        <v>296</v>
      </c>
      <c r="C443" s="16">
        <v>402</v>
      </c>
      <c r="D443" s="7" t="s">
        <v>295</v>
      </c>
      <c r="E443" s="16" t="s">
        <v>316</v>
      </c>
      <c r="F443" s="2">
        <v>30530</v>
      </c>
      <c r="G443" s="2">
        <v>30758</v>
      </c>
      <c r="H443" s="2">
        <v>38498</v>
      </c>
      <c r="I443" s="25">
        <v>37681</v>
      </c>
      <c r="K443" s="2">
        <v>34138</v>
      </c>
      <c r="L443" t="s">
        <v>297</v>
      </c>
      <c r="N443" s="23" t="str">
        <f>IF((I443&gt;$W$2),"Y","N")</f>
        <v>N</v>
      </c>
      <c r="O443" s="16" t="s">
        <v>637</v>
      </c>
      <c r="P443" s="10" t="s">
        <v>200</v>
      </c>
      <c r="Q443" s="10" t="s">
        <v>202</v>
      </c>
      <c r="S443" s="16" t="str">
        <f>MID(Q443,9,30)</f>
        <v>Roberta G Malcolm</v>
      </c>
    </row>
    <row r="444" spans="1:33" customFormat="1" hidden="1">
      <c r="A444" t="s">
        <v>200</v>
      </c>
      <c r="B444" t="s">
        <v>203</v>
      </c>
      <c r="I444" s="6"/>
    </row>
    <row r="445" spans="1:33">
      <c r="A445" s="16">
        <v>5</v>
      </c>
      <c r="B445" s="16" t="s">
        <v>296</v>
      </c>
      <c r="C445" s="16">
        <v>498</v>
      </c>
      <c r="D445" s="7" t="s">
        <v>295</v>
      </c>
      <c r="E445" s="16" t="s">
        <v>296</v>
      </c>
      <c r="F445" s="2">
        <v>31310</v>
      </c>
      <c r="G445" s="2">
        <v>31840</v>
      </c>
      <c r="H445" s="2">
        <v>39465</v>
      </c>
      <c r="I445" s="25">
        <v>41820</v>
      </c>
      <c r="J445" s="2">
        <v>38188</v>
      </c>
      <c r="K445" s="2">
        <v>35685</v>
      </c>
      <c r="L445" t="s">
        <v>297</v>
      </c>
      <c r="M445" t="s">
        <v>297</v>
      </c>
      <c r="N445" s="23" t="s">
        <v>322</v>
      </c>
      <c r="O445" s="16" t="s">
        <v>1483</v>
      </c>
      <c r="P445" s="10" t="s">
        <v>200</v>
      </c>
      <c r="Q445" s="10" t="s">
        <v>202</v>
      </c>
      <c r="S445" s="16" t="str">
        <f t="shared" ref="S445:S452" si="44">MID(Q445,9,30)</f>
        <v>Roberta G Malcolm</v>
      </c>
      <c r="T445" s="31">
        <v>41425</v>
      </c>
    </row>
    <row r="446" spans="1:33">
      <c r="A446" s="16">
        <v>5</v>
      </c>
      <c r="B446" s="16" t="s">
        <v>296</v>
      </c>
      <c r="C446" s="16">
        <v>557</v>
      </c>
      <c r="D446" s="7" t="s">
        <v>295</v>
      </c>
      <c r="E446" s="16" t="s">
        <v>376</v>
      </c>
      <c r="F446" s="2">
        <v>31674</v>
      </c>
      <c r="G446" s="2">
        <v>32347</v>
      </c>
      <c r="H446" s="2">
        <v>38590</v>
      </c>
      <c r="I446" s="25">
        <v>40724</v>
      </c>
      <c r="J446" s="2">
        <v>38259</v>
      </c>
      <c r="K446" s="2">
        <v>32039</v>
      </c>
      <c r="L446" t="s">
        <v>317</v>
      </c>
      <c r="M446" t="s">
        <v>297</v>
      </c>
      <c r="N446" s="23" t="str">
        <f t="shared" ref="N446:N451" si="45">IF((I446&gt;$W$2),"Y","N")</f>
        <v>N</v>
      </c>
      <c r="O446" s="16" t="s">
        <v>1193</v>
      </c>
      <c r="P446" s="10" t="s">
        <v>200</v>
      </c>
      <c r="Q446" s="10" t="s">
        <v>202</v>
      </c>
      <c r="S446" s="16" t="str">
        <f t="shared" si="44"/>
        <v>Roberta G Malcolm</v>
      </c>
      <c r="T446" s="31" t="s">
        <v>1310</v>
      </c>
    </row>
    <row r="447" spans="1:33">
      <c r="A447" s="16">
        <v>5</v>
      </c>
      <c r="B447" s="16" t="s">
        <v>296</v>
      </c>
      <c r="C447" s="16">
        <v>622</v>
      </c>
      <c r="D447" s="7" t="s">
        <v>295</v>
      </c>
      <c r="E447" s="16" t="s">
        <v>296</v>
      </c>
      <c r="F447" s="2">
        <v>32164</v>
      </c>
      <c r="G447" s="2">
        <v>32949</v>
      </c>
      <c r="H447" s="2">
        <v>38586</v>
      </c>
      <c r="I447" s="25">
        <v>41820</v>
      </c>
      <c r="K447" s="2">
        <v>35947</v>
      </c>
      <c r="L447" t="s">
        <v>297</v>
      </c>
      <c r="N447" s="23" t="str">
        <f t="shared" si="45"/>
        <v>Y</v>
      </c>
      <c r="O447" s="16" t="s">
        <v>1528</v>
      </c>
      <c r="P447" s="10" t="s">
        <v>200</v>
      </c>
      <c r="Q447" s="10" t="s">
        <v>202</v>
      </c>
      <c r="S447" s="16" t="str">
        <f t="shared" si="44"/>
        <v>Roberta G Malcolm</v>
      </c>
      <c r="T447" s="31">
        <v>41428</v>
      </c>
    </row>
    <row r="448" spans="1:33">
      <c r="A448" s="16">
        <v>5</v>
      </c>
      <c r="B448" s="16" t="s">
        <v>296</v>
      </c>
      <c r="C448" s="16">
        <v>894</v>
      </c>
      <c r="D448" s="7" t="s">
        <v>295</v>
      </c>
      <c r="E448" s="16" t="s">
        <v>296</v>
      </c>
      <c r="F448" s="2">
        <v>34117</v>
      </c>
      <c r="G448" s="2">
        <v>34775</v>
      </c>
      <c r="H448" s="2">
        <v>39003</v>
      </c>
      <c r="I448" s="25">
        <v>41820</v>
      </c>
      <c r="K448" s="2">
        <v>36402</v>
      </c>
      <c r="L448" t="s">
        <v>297</v>
      </c>
      <c r="M448" t="s">
        <v>297</v>
      </c>
      <c r="N448" s="23" t="str">
        <f t="shared" si="45"/>
        <v>Y</v>
      </c>
      <c r="O448" s="30" t="s">
        <v>1769</v>
      </c>
      <c r="P448" s="10" t="s">
        <v>200</v>
      </c>
      <c r="Q448" s="10" t="s">
        <v>202</v>
      </c>
      <c r="S448" s="16" t="str">
        <f t="shared" si="44"/>
        <v>Roberta G Malcolm</v>
      </c>
      <c r="T448" s="31">
        <v>41428</v>
      </c>
    </row>
    <row r="449" spans="1:33">
      <c r="A449" s="16">
        <v>5</v>
      </c>
      <c r="B449" s="16" t="s">
        <v>296</v>
      </c>
      <c r="C449" s="16">
        <v>914</v>
      </c>
      <c r="D449" s="7" t="s">
        <v>295</v>
      </c>
      <c r="E449" s="16" t="s">
        <v>299</v>
      </c>
      <c r="F449" s="2">
        <v>34885</v>
      </c>
      <c r="H449" s="2">
        <v>38194</v>
      </c>
      <c r="I449" s="25">
        <v>41820</v>
      </c>
      <c r="K449" s="2">
        <v>36189</v>
      </c>
      <c r="L449" t="s">
        <v>297</v>
      </c>
      <c r="M449" t="s">
        <v>297</v>
      </c>
      <c r="N449" s="23" t="str">
        <f t="shared" si="45"/>
        <v>Y</v>
      </c>
      <c r="O449" s="30" t="s">
        <v>1770</v>
      </c>
      <c r="P449" s="10" t="s">
        <v>200</v>
      </c>
      <c r="Q449" s="10" t="s">
        <v>205</v>
      </c>
      <c r="S449" s="16" t="str">
        <f t="shared" si="44"/>
        <v>David A Wood</v>
      </c>
      <c r="T449" s="31">
        <v>41453</v>
      </c>
    </row>
    <row r="450" spans="1:33">
      <c r="A450" s="16">
        <v>5</v>
      </c>
      <c r="B450" s="16" t="s">
        <v>296</v>
      </c>
      <c r="C450" s="16">
        <v>991</v>
      </c>
      <c r="D450" s="7" t="s">
        <v>295</v>
      </c>
      <c r="E450" s="16" t="s">
        <v>376</v>
      </c>
      <c r="F450" s="2">
        <v>34561</v>
      </c>
      <c r="G450" s="2">
        <v>35874</v>
      </c>
      <c r="H450" s="2">
        <v>39343</v>
      </c>
      <c r="I450" s="25">
        <v>41455</v>
      </c>
      <c r="K450" s="2">
        <v>36367</v>
      </c>
      <c r="L450" t="s">
        <v>297</v>
      </c>
      <c r="M450" t="s">
        <v>297</v>
      </c>
      <c r="N450" s="23" t="str">
        <f t="shared" si="45"/>
        <v>N</v>
      </c>
      <c r="O450" s="16" t="s">
        <v>642</v>
      </c>
      <c r="P450" s="10" t="s">
        <v>200</v>
      </c>
      <c r="Q450" s="10" t="s">
        <v>202</v>
      </c>
      <c r="S450" s="16" t="str">
        <f t="shared" si="44"/>
        <v>Roberta G Malcolm</v>
      </c>
      <c r="T450" s="31" t="s">
        <v>1354</v>
      </c>
    </row>
    <row r="451" spans="1:33">
      <c r="A451" s="16">
        <v>5</v>
      </c>
      <c r="B451" s="16" t="s">
        <v>296</v>
      </c>
      <c r="C451" s="16">
        <v>1174</v>
      </c>
      <c r="D451" s="7" t="s">
        <v>295</v>
      </c>
      <c r="E451" s="16" t="s">
        <v>296</v>
      </c>
      <c r="F451" s="2">
        <v>35485</v>
      </c>
      <c r="G451" s="2">
        <v>35511</v>
      </c>
      <c r="H451" s="2">
        <v>39482</v>
      </c>
      <c r="I451" s="25">
        <v>41820</v>
      </c>
      <c r="J451" s="2">
        <v>38217</v>
      </c>
      <c r="K451" s="2">
        <v>37348</v>
      </c>
      <c r="L451" t="s">
        <v>297</v>
      </c>
      <c r="M451" t="s">
        <v>297</v>
      </c>
      <c r="N451" s="23" t="str">
        <f t="shared" si="45"/>
        <v>Y</v>
      </c>
      <c r="O451" s="30" t="s">
        <v>1771</v>
      </c>
      <c r="P451" s="10" t="s">
        <v>200</v>
      </c>
      <c r="Q451" s="10" t="s">
        <v>202</v>
      </c>
      <c r="S451" s="16" t="str">
        <f t="shared" si="44"/>
        <v>Roberta G Malcolm</v>
      </c>
      <c r="T451" s="31" t="s">
        <v>1611</v>
      </c>
    </row>
    <row r="452" spans="1:33">
      <c r="A452" s="16">
        <v>5</v>
      </c>
      <c r="B452" s="16" t="s">
        <v>296</v>
      </c>
      <c r="C452" s="16">
        <v>1467</v>
      </c>
      <c r="D452" t="s">
        <v>295</v>
      </c>
      <c r="E452" s="16" t="s">
        <v>376</v>
      </c>
      <c r="F452" s="2">
        <v>38035</v>
      </c>
      <c r="G452" s="2">
        <v>39108</v>
      </c>
      <c r="H452" s="2">
        <v>39281</v>
      </c>
      <c r="I452" s="25">
        <v>39629</v>
      </c>
      <c r="J452" s="2">
        <v>38259</v>
      </c>
      <c r="L452" t="s">
        <v>297</v>
      </c>
      <c r="M452" t="s">
        <v>297</v>
      </c>
      <c r="N452" s="23" t="s">
        <v>322</v>
      </c>
      <c r="O452" s="16" t="s">
        <v>644</v>
      </c>
      <c r="P452" s="10" t="s">
        <v>200</v>
      </c>
      <c r="Q452" s="10" t="s">
        <v>202</v>
      </c>
      <c r="S452" s="16" t="str">
        <f t="shared" si="44"/>
        <v>Roberta G Malcolm</v>
      </c>
    </row>
    <row r="453" spans="1:33" s="7" customFormat="1" hidden="1">
      <c r="A453" s="7">
        <v>5</v>
      </c>
      <c r="B453" s="7" t="s">
        <v>317</v>
      </c>
      <c r="C453" s="7">
        <v>1158</v>
      </c>
      <c r="D453" s="7" t="s">
        <v>348</v>
      </c>
      <c r="E453" s="7" t="s">
        <v>316</v>
      </c>
      <c r="F453" s="2">
        <v>35433</v>
      </c>
      <c r="G453" s="2">
        <v>35434</v>
      </c>
      <c r="H453" s="2">
        <v>36362</v>
      </c>
      <c r="I453" s="8">
        <v>35795</v>
      </c>
      <c r="J453"/>
      <c r="K453" s="2">
        <v>36362</v>
      </c>
      <c r="L453" t="s">
        <v>297</v>
      </c>
      <c r="M453" t="s">
        <v>297</v>
      </c>
      <c r="N453"/>
      <c r="P453" s="7" t="s">
        <v>200</v>
      </c>
      <c r="Q453" s="7" t="s">
        <v>204</v>
      </c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</row>
    <row r="454" spans="1:33" customFormat="1" hidden="1">
      <c r="A454">
        <v>5</v>
      </c>
      <c r="B454" t="s">
        <v>317</v>
      </c>
      <c r="C454">
        <v>1220</v>
      </c>
      <c r="D454" t="s">
        <v>658</v>
      </c>
      <c r="E454" t="s">
        <v>316</v>
      </c>
      <c r="F454" s="2">
        <v>35726</v>
      </c>
      <c r="I454" s="6"/>
      <c r="L454" t="s">
        <v>322</v>
      </c>
      <c r="M454" t="s">
        <v>297</v>
      </c>
      <c r="P454" t="s">
        <v>200</v>
      </c>
      <c r="Q454" t="s">
        <v>204</v>
      </c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</row>
    <row r="455" spans="1:33">
      <c r="A455" s="16">
        <v>5</v>
      </c>
      <c r="B455" s="16" t="s">
        <v>153</v>
      </c>
      <c r="C455" s="16">
        <v>890</v>
      </c>
      <c r="D455" t="s">
        <v>295</v>
      </c>
      <c r="E455" s="16" t="s">
        <v>296</v>
      </c>
      <c r="F455" s="2">
        <v>34109</v>
      </c>
      <c r="G455" s="2">
        <v>34404</v>
      </c>
      <c r="H455" s="2">
        <v>39300</v>
      </c>
      <c r="I455" s="25">
        <v>41820</v>
      </c>
      <c r="K455" s="2">
        <v>36413</v>
      </c>
      <c r="L455" t="s">
        <v>297</v>
      </c>
      <c r="M455" t="s">
        <v>297</v>
      </c>
      <c r="N455" s="23" t="str">
        <f>IF((I455&gt;$W$2),"Y","N")</f>
        <v>Y</v>
      </c>
      <c r="O455" s="30" t="s">
        <v>1772</v>
      </c>
      <c r="P455" s="10" t="s">
        <v>200</v>
      </c>
      <c r="Q455" s="10" t="s">
        <v>203</v>
      </c>
      <c r="S455" s="16" t="str">
        <f>MID(Q455,9,30)</f>
        <v>Tracie  Mullins</v>
      </c>
      <c r="T455" s="31">
        <v>41444</v>
      </c>
    </row>
    <row r="456" spans="1:33" s="7" customFormat="1" hidden="1">
      <c r="A456" s="7">
        <v>5</v>
      </c>
      <c r="B456" s="7" t="s">
        <v>317</v>
      </c>
      <c r="C456" s="7">
        <v>1302</v>
      </c>
      <c r="D456" s="7" t="s">
        <v>348</v>
      </c>
      <c r="E456" s="7" t="s">
        <v>316</v>
      </c>
      <c r="F456" s="2">
        <v>36322</v>
      </c>
      <c r="G456"/>
      <c r="H456" s="2">
        <v>36322</v>
      </c>
      <c r="I456" s="8">
        <v>36322</v>
      </c>
      <c r="J456"/>
      <c r="K456"/>
      <c r="L456" t="s">
        <v>322</v>
      </c>
      <c r="M456" t="s">
        <v>297</v>
      </c>
      <c r="N456"/>
      <c r="P456" s="7" t="s">
        <v>200</v>
      </c>
      <c r="Q456" s="7" t="s">
        <v>204</v>
      </c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</row>
    <row r="457" spans="1:33">
      <c r="A457" s="16">
        <v>5</v>
      </c>
      <c r="B457" s="16" t="s">
        <v>153</v>
      </c>
      <c r="C457" s="16">
        <v>989</v>
      </c>
      <c r="D457" s="7" t="s">
        <v>295</v>
      </c>
      <c r="E457" s="16" t="s">
        <v>296</v>
      </c>
      <c r="F457" s="2">
        <v>34561</v>
      </c>
      <c r="G457" s="2">
        <v>34775</v>
      </c>
      <c r="H457" s="2">
        <v>39301</v>
      </c>
      <c r="I457" s="25">
        <v>41455</v>
      </c>
      <c r="J457" s="2">
        <v>39356</v>
      </c>
      <c r="K457" s="2">
        <v>35262</v>
      </c>
      <c r="L457" t="s">
        <v>297</v>
      </c>
      <c r="M457" t="s">
        <v>297</v>
      </c>
      <c r="N457" s="23" t="str">
        <f>IF((I457&gt;$W$2),"Y","N")</f>
        <v>N</v>
      </c>
      <c r="O457" s="30" t="s">
        <v>1773</v>
      </c>
      <c r="P457" s="10" t="s">
        <v>200</v>
      </c>
      <c r="Q457" s="10" t="s">
        <v>203</v>
      </c>
      <c r="S457" s="16" t="str">
        <f>MID(Q457,9,30)</f>
        <v>Tracie  Mullins</v>
      </c>
      <c r="T457" s="31" t="s">
        <v>1392</v>
      </c>
    </row>
    <row r="458" spans="1:33">
      <c r="A458" s="16">
        <v>5</v>
      </c>
      <c r="B458" s="16" t="s">
        <v>153</v>
      </c>
      <c r="C458" s="16">
        <v>1077</v>
      </c>
      <c r="D458" s="7" t="s">
        <v>295</v>
      </c>
      <c r="E458" s="16" t="s">
        <v>296</v>
      </c>
      <c r="F458" s="2">
        <v>34968</v>
      </c>
      <c r="G458" s="2">
        <v>35209</v>
      </c>
      <c r="H458" s="2">
        <v>39499</v>
      </c>
      <c r="I458" s="25">
        <v>41820</v>
      </c>
      <c r="J458" s="2">
        <v>38837</v>
      </c>
      <c r="K458" s="2">
        <v>38398</v>
      </c>
      <c r="L458" t="s">
        <v>297</v>
      </c>
      <c r="M458" t="s">
        <v>297</v>
      </c>
      <c r="N458" s="23" t="str">
        <f>IF((I458&gt;$W$2),"Y","N")</f>
        <v>Y</v>
      </c>
      <c r="O458" s="30" t="s">
        <v>1774</v>
      </c>
      <c r="P458" s="10" t="s">
        <v>200</v>
      </c>
      <c r="Q458" s="10" t="s">
        <v>203</v>
      </c>
      <c r="S458" s="16" t="str">
        <f>MID(Q458,9,30)</f>
        <v>Tracie  Mullins</v>
      </c>
      <c r="T458" s="31">
        <v>41432</v>
      </c>
    </row>
    <row r="459" spans="1:33" customFormat="1" hidden="1">
      <c r="A459" t="s">
        <v>200</v>
      </c>
      <c r="B459" t="s">
        <v>204</v>
      </c>
      <c r="I459" s="6"/>
    </row>
    <row r="460" spans="1:33">
      <c r="A460" s="16">
        <v>5</v>
      </c>
      <c r="B460" s="16" t="s">
        <v>153</v>
      </c>
      <c r="C460" s="16">
        <v>1371</v>
      </c>
      <c r="D460" s="7" t="s">
        <v>295</v>
      </c>
      <c r="E460" s="16" t="s">
        <v>376</v>
      </c>
      <c r="F460" s="2">
        <v>36958</v>
      </c>
      <c r="H460" s="2">
        <v>39209</v>
      </c>
      <c r="I460" s="25">
        <v>40359</v>
      </c>
      <c r="L460" t="s">
        <v>297</v>
      </c>
      <c r="M460" t="s">
        <v>297</v>
      </c>
      <c r="N460" s="23" t="str">
        <f t="shared" ref="N460:N474" si="46">IF((I460&gt;$W$2),"Y","N")</f>
        <v>N</v>
      </c>
      <c r="O460" s="16" t="s">
        <v>648</v>
      </c>
      <c r="P460" s="10" t="s">
        <v>200</v>
      </c>
      <c r="Q460" s="10" t="s">
        <v>203</v>
      </c>
      <c r="S460" s="16" t="str">
        <f t="shared" ref="S460:S473" si="47">MID(Q460,9,30)</f>
        <v>Tracie  Mullins</v>
      </c>
      <c r="T460" s="31" t="s">
        <v>1302</v>
      </c>
    </row>
    <row r="461" spans="1:33">
      <c r="A461" s="16">
        <v>5</v>
      </c>
      <c r="B461" s="16" t="s">
        <v>153</v>
      </c>
      <c r="C461" s="16">
        <v>1464</v>
      </c>
      <c r="D461" t="s">
        <v>295</v>
      </c>
      <c r="E461" s="30" t="s">
        <v>316</v>
      </c>
      <c r="F461" s="2">
        <v>37928</v>
      </c>
      <c r="G461" s="2">
        <v>38415</v>
      </c>
      <c r="H461" s="2">
        <v>39247</v>
      </c>
      <c r="I461" s="25">
        <v>39660</v>
      </c>
      <c r="K461" s="2">
        <v>38785</v>
      </c>
      <c r="L461" t="s">
        <v>297</v>
      </c>
      <c r="M461" t="s">
        <v>297</v>
      </c>
      <c r="N461" s="23" t="str">
        <f t="shared" si="46"/>
        <v>N</v>
      </c>
      <c r="O461" s="16" t="s">
        <v>318</v>
      </c>
      <c r="P461" s="10" t="s">
        <v>200</v>
      </c>
      <c r="Q461" s="10" t="s">
        <v>203</v>
      </c>
      <c r="S461" s="16" t="str">
        <f t="shared" si="47"/>
        <v>Tracie  Mullins</v>
      </c>
    </row>
    <row r="462" spans="1:33">
      <c r="A462" s="16">
        <v>5</v>
      </c>
      <c r="B462" s="16" t="s">
        <v>153</v>
      </c>
      <c r="C462" s="16">
        <v>1535</v>
      </c>
      <c r="D462" s="7" t="s">
        <v>295</v>
      </c>
      <c r="E462" s="16" t="s">
        <v>296</v>
      </c>
      <c r="F462" s="2">
        <v>39090</v>
      </c>
      <c r="G462" s="2">
        <v>39465</v>
      </c>
      <c r="H462" s="2">
        <v>39457</v>
      </c>
      <c r="I462" s="25">
        <v>41820</v>
      </c>
      <c r="L462" t="s">
        <v>297</v>
      </c>
      <c r="M462" t="s">
        <v>297</v>
      </c>
      <c r="N462" s="23" t="str">
        <f t="shared" si="46"/>
        <v>Y</v>
      </c>
      <c r="O462" s="16" t="s">
        <v>649</v>
      </c>
      <c r="P462" s="10" t="s">
        <v>200</v>
      </c>
      <c r="Q462" s="10" t="s">
        <v>203</v>
      </c>
      <c r="S462" s="16" t="str">
        <f t="shared" si="47"/>
        <v>Tracie  Mullins</v>
      </c>
      <c r="T462" s="31">
        <v>41422</v>
      </c>
    </row>
    <row r="463" spans="1:33">
      <c r="A463" s="16">
        <v>5</v>
      </c>
      <c r="B463" s="16" t="s">
        <v>317</v>
      </c>
      <c r="C463" s="16">
        <v>132</v>
      </c>
      <c r="D463" s="7" t="s">
        <v>295</v>
      </c>
      <c r="E463" s="16" t="s">
        <v>296</v>
      </c>
      <c r="F463" s="2">
        <v>28093</v>
      </c>
      <c r="G463" s="2">
        <v>28569</v>
      </c>
      <c r="H463" s="2">
        <v>39158</v>
      </c>
      <c r="I463" s="25">
        <v>41820</v>
      </c>
      <c r="J463" s="2">
        <v>33785</v>
      </c>
      <c r="K463" s="2">
        <v>35445</v>
      </c>
      <c r="L463" t="s">
        <v>297</v>
      </c>
      <c r="M463" t="s">
        <v>297</v>
      </c>
      <c r="N463" s="23" t="str">
        <f t="shared" si="46"/>
        <v>Y</v>
      </c>
      <c r="O463" s="30" t="s">
        <v>1775</v>
      </c>
      <c r="P463" s="10" t="s">
        <v>200</v>
      </c>
      <c r="Q463" s="10" t="s">
        <v>204</v>
      </c>
      <c r="S463" s="16" t="str">
        <f t="shared" si="47"/>
        <v>Donald R Wilson</v>
      </c>
      <c r="T463" s="31">
        <v>41456</v>
      </c>
    </row>
    <row r="464" spans="1:33">
      <c r="A464" s="16">
        <v>5</v>
      </c>
      <c r="B464" s="16" t="s">
        <v>317</v>
      </c>
      <c r="C464" s="16">
        <v>572</v>
      </c>
      <c r="D464" t="s">
        <v>295</v>
      </c>
      <c r="E464" s="16" t="s">
        <v>296</v>
      </c>
      <c r="F464" s="2">
        <v>31794</v>
      </c>
      <c r="G464" s="2">
        <v>32522</v>
      </c>
      <c r="H464" s="2">
        <v>39483</v>
      </c>
      <c r="I464" s="25">
        <v>41820</v>
      </c>
      <c r="J464" s="2">
        <v>34967</v>
      </c>
      <c r="K464" s="2">
        <v>36181</v>
      </c>
      <c r="L464" t="s">
        <v>297</v>
      </c>
      <c r="M464" t="s">
        <v>297</v>
      </c>
      <c r="N464" s="23" t="str">
        <f t="shared" si="46"/>
        <v>Y</v>
      </c>
      <c r="O464" s="16" t="s">
        <v>651</v>
      </c>
      <c r="P464" s="10" t="s">
        <v>200</v>
      </c>
      <c r="Q464" s="10" t="s">
        <v>204</v>
      </c>
      <c r="S464" s="16" t="str">
        <f t="shared" si="47"/>
        <v>Donald R Wilson</v>
      </c>
      <c r="T464" s="31">
        <v>41471</v>
      </c>
    </row>
    <row r="465" spans="1:33">
      <c r="A465" s="16">
        <v>5</v>
      </c>
      <c r="B465" s="16" t="s">
        <v>317</v>
      </c>
      <c r="C465" s="16">
        <v>605</v>
      </c>
      <c r="D465" s="7" t="s">
        <v>295</v>
      </c>
      <c r="E465" s="16" t="s">
        <v>296</v>
      </c>
      <c r="F465" s="2">
        <v>31969</v>
      </c>
      <c r="G465" s="2">
        <v>32648</v>
      </c>
      <c r="H465" s="2">
        <v>39233</v>
      </c>
      <c r="I465" s="25">
        <v>41455</v>
      </c>
      <c r="K465" s="2">
        <v>35898</v>
      </c>
      <c r="L465" t="s">
        <v>297</v>
      </c>
      <c r="M465" t="s">
        <v>297</v>
      </c>
      <c r="N465" s="23" t="str">
        <f t="shared" si="46"/>
        <v>N</v>
      </c>
      <c r="O465" s="16" t="s">
        <v>652</v>
      </c>
      <c r="P465" s="10" t="s">
        <v>200</v>
      </c>
      <c r="Q465" s="10" t="s">
        <v>204</v>
      </c>
      <c r="S465" s="16" t="str">
        <f t="shared" si="47"/>
        <v>Donald R Wilson</v>
      </c>
      <c r="T465" s="31" t="s">
        <v>1478</v>
      </c>
    </row>
    <row r="466" spans="1:33">
      <c r="A466" s="16">
        <v>5</v>
      </c>
      <c r="B466" s="16" t="s">
        <v>317</v>
      </c>
      <c r="C466" s="16">
        <v>722</v>
      </c>
      <c r="D466" s="7" t="s">
        <v>295</v>
      </c>
      <c r="E466" s="16" t="s">
        <v>296</v>
      </c>
      <c r="F466" s="2">
        <v>32892</v>
      </c>
      <c r="G466" s="2">
        <v>32893</v>
      </c>
      <c r="H466" s="2">
        <v>39240</v>
      </c>
      <c r="I466" s="25">
        <v>41820</v>
      </c>
      <c r="J466" s="2">
        <v>33785</v>
      </c>
      <c r="K466" s="2">
        <v>35577</v>
      </c>
      <c r="L466" t="s">
        <v>297</v>
      </c>
      <c r="M466" t="s">
        <v>297</v>
      </c>
      <c r="N466" s="23" t="str">
        <f t="shared" si="46"/>
        <v>Y</v>
      </c>
      <c r="O466" s="16" t="s">
        <v>1456</v>
      </c>
      <c r="P466" s="10" t="s">
        <v>200</v>
      </c>
      <c r="Q466" s="10" t="s">
        <v>204</v>
      </c>
      <c r="S466" s="16" t="str">
        <f t="shared" si="47"/>
        <v>Donald R Wilson</v>
      </c>
      <c r="T466" s="31">
        <v>41425</v>
      </c>
    </row>
    <row r="467" spans="1:33">
      <c r="A467" s="16">
        <v>5</v>
      </c>
      <c r="B467" s="16" t="s">
        <v>317</v>
      </c>
      <c r="C467" s="16">
        <v>723</v>
      </c>
      <c r="D467" s="7" t="s">
        <v>295</v>
      </c>
      <c r="E467" s="16" t="s">
        <v>376</v>
      </c>
      <c r="F467" s="2">
        <v>32892</v>
      </c>
      <c r="G467" s="2">
        <v>32893</v>
      </c>
      <c r="H467" s="2">
        <v>39376</v>
      </c>
      <c r="I467" s="25">
        <v>39994</v>
      </c>
      <c r="J467" s="2">
        <v>33785</v>
      </c>
      <c r="K467" s="2">
        <v>35475</v>
      </c>
      <c r="L467" t="s">
        <v>297</v>
      </c>
      <c r="M467" t="s">
        <v>297</v>
      </c>
      <c r="N467" s="23" t="str">
        <f t="shared" si="46"/>
        <v>N</v>
      </c>
      <c r="O467" s="16" t="s">
        <v>654</v>
      </c>
      <c r="P467" s="10" t="s">
        <v>200</v>
      </c>
      <c r="Q467" s="10" t="s">
        <v>204</v>
      </c>
      <c r="S467" s="16" t="str">
        <f t="shared" si="47"/>
        <v>Donald R Wilson</v>
      </c>
      <c r="T467" s="31" t="s">
        <v>1151</v>
      </c>
    </row>
    <row r="468" spans="1:33">
      <c r="A468" s="16">
        <v>5</v>
      </c>
      <c r="B468" s="16" t="s">
        <v>317</v>
      </c>
      <c r="C468" s="16">
        <v>836</v>
      </c>
      <c r="D468" s="7" t="s">
        <v>295</v>
      </c>
      <c r="E468" s="16" t="s">
        <v>376</v>
      </c>
      <c r="F468" s="2">
        <v>33684</v>
      </c>
      <c r="G468" s="2">
        <v>34051</v>
      </c>
      <c r="H468" s="2">
        <v>38258</v>
      </c>
      <c r="I468" s="25">
        <v>34390</v>
      </c>
      <c r="J468" s="2">
        <v>33785</v>
      </c>
      <c r="K468" s="2">
        <v>35278</v>
      </c>
      <c r="L468" t="s">
        <v>297</v>
      </c>
      <c r="N468" s="23" t="str">
        <f t="shared" si="46"/>
        <v>N</v>
      </c>
      <c r="O468" s="16" t="s">
        <v>655</v>
      </c>
      <c r="P468" s="10" t="s">
        <v>200</v>
      </c>
      <c r="Q468" s="10" t="s">
        <v>204</v>
      </c>
      <c r="S468" s="16" t="str">
        <f t="shared" si="47"/>
        <v>Donald R Wilson</v>
      </c>
    </row>
    <row r="469" spans="1:33">
      <c r="A469" s="16">
        <v>5</v>
      </c>
      <c r="B469" s="16" t="s">
        <v>317</v>
      </c>
      <c r="C469" s="16">
        <v>1087</v>
      </c>
      <c r="D469" s="7" t="s">
        <v>295</v>
      </c>
      <c r="E469" s="16" t="s">
        <v>316</v>
      </c>
      <c r="F469" s="2">
        <v>35080</v>
      </c>
      <c r="G469" s="2">
        <v>37176</v>
      </c>
      <c r="H469" s="2">
        <v>36927</v>
      </c>
      <c r="I469" s="25">
        <v>37437</v>
      </c>
      <c r="K469" s="2">
        <v>35312</v>
      </c>
      <c r="L469" t="s">
        <v>297</v>
      </c>
      <c r="M469" t="s">
        <v>297</v>
      </c>
      <c r="N469" s="23" t="str">
        <f t="shared" si="46"/>
        <v>N</v>
      </c>
      <c r="O469" s="16" t="s">
        <v>656</v>
      </c>
      <c r="P469" s="10" t="s">
        <v>200</v>
      </c>
      <c r="Q469" s="10" t="s">
        <v>204</v>
      </c>
      <c r="S469" s="16" t="str">
        <f t="shared" si="47"/>
        <v>Donald R Wilson</v>
      </c>
    </row>
    <row r="470" spans="1:33">
      <c r="A470" s="16">
        <v>5</v>
      </c>
      <c r="B470" s="16" t="s">
        <v>317</v>
      </c>
      <c r="C470" s="16">
        <v>1157</v>
      </c>
      <c r="D470" s="7" t="s">
        <v>295</v>
      </c>
      <c r="E470" s="16" t="s">
        <v>296</v>
      </c>
      <c r="F470" s="2">
        <v>35433</v>
      </c>
      <c r="G470" s="2">
        <v>35434</v>
      </c>
      <c r="H470" s="2">
        <v>39148</v>
      </c>
      <c r="I470" s="25">
        <v>41455</v>
      </c>
      <c r="L470" t="s">
        <v>297</v>
      </c>
      <c r="M470" t="s">
        <v>297</v>
      </c>
      <c r="N470" s="23" t="str">
        <f t="shared" si="46"/>
        <v>N</v>
      </c>
      <c r="O470" s="16" t="s">
        <v>657</v>
      </c>
      <c r="P470" s="10" t="s">
        <v>200</v>
      </c>
      <c r="Q470" s="10" t="s">
        <v>204</v>
      </c>
      <c r="S470" s="16" t="str">
        <f t="shared" si="47"/>
        <v>Donald R Wilson</v>
      </c>
      <c r="T470" s="31" t="s">
        <v>1390</v>
      </c>
    </row>
    <row r="471" spans="1:33">
      <c r="A471" s="16">
        <v>5</v>
      </c>
      <c r="B471" s="16" t="s">
        <v>317</v>
      </c>
      <c r="C471" s="16">
        <v>1229</v>
      </c>
      <c r="D471" t="s">
        <v>295</v>
      </c>
      <c r="E471" s="16" t="s">
        <v>316</v>
      </c>
      <c r="F471" s="2">
        <v>35800</v>
      </c>
      <c r="G471" s="2">
        <v>35804</v>
      </c>
      <c r="H471" s="2">
        <v>38167</v>
      </c>
      <c r="I471" s="25" t="s">
        <v>1635</v>
      </c>
      <c r="K471" s="2">
        <v>38082</v>
      </c>
      <c r="L471" t="s">
        <v>297</v>
      </c>
      <c r="M471" t="s">
        <v>297</v>
      </c>
      <c r="N471" s="23" t="str">
        <f t="shared" si="46"/>
        <v>Y</v>
      </c>
      <c r="O471" s="16" t="s">
        <v>659</v>
      </c>
      <c r="P471" s="10" t="s">
        <v>200</v>
      </c>
      <c r="Q471" s="10" t="s">
        <v>204</v>
      </c>
      <c r="S471" s="16" t="str">
        <f t="shared" si="47"/>
        <v>Donald R Wilson</v>
      </c>
    </row>
    <row r="472" spans="1:33">
      <c r="A472" s="16">
        <v>5</v>
      </c>
      <c r="B472" s="16" t="s">
        <v>317</v>
      </c>
      <c r="C472" s="16">
        <v>1477</v>
      </c>
      <c r="D472" t="s">
        <v>295</v>
      </c>
      <c r="E472" s="16" t="s">
        <v>316</v>
      </c>
      <c r="F472" s="2">
        <v>38122</v>
      </c>
      <c r="H472" s="2">
        <v>38247</v>
      </c>
      <c r="I472" s="25" t="s">
        <v>1635</v>
      </c>
      <c r="L472" t="s">
        <v>317</v>
      </c>
      <c r="M472" t="s">
        <v>322</v>
      </c>
      <c r="N472" s="23" t="str">
        <f t="shared" si="46"/>
        <v>Y</v>
      </c>
      <c r="O472" s="16" t="s">
        <v>660</v>
      </c>
      <c r="P472" s="10" t="s">
        <v>200</v>
      </c>
      <c r="Q472" s="10" t="s">
        <v>204</v>
      </c>
      <c r="S472" s="16" t="str">
        <f t="shared" si="47"/>
        <v>Donald R Wilson</v>
      </c>
      <c r="V472"/>
      <c r="W472"/>
      <c r="X472"/>
      <c r="Y472"/>
      <c r="Z472"/>
      <c r="AA472"/>
      <c r="AB472"/>
      <c r="AC472"/>
      <c r="AD472"/>
      <c r="AE472"/>
      <c r="AF472"/>
      <c r="AG472"/>
    </row>
    <row r="473" spans="1:33">
      <c r="A473" s="16">
        <v>5</v>
      </c>
      <c r="B473" s="16" t="s">
        <v>317</v>
      </c>
      <c r="C473" s="16">
        <v>1549</v>
      </c>
      <c r="D473" t="s">
        <v>295</v>
      </c>
      <c r="E473" s="16" t="s">
        <v>376</v>
      </c>
      <c r="F473" s="2">
        <v>39295</v>
      </c>
      <c r="H473" s="2">
        <v>39412</v>
      </c>
      <c r="I473" s="25">
        <v>39629</v>
      </c>
      <c r="L473" t="s">
        <v>297</v>
      </c>
      <c r="M473" t="s">
        <v>297</v>
      </c>
      <c r="N473" s="23" t="str">
        <f t="shared" si="46"/>
        <v>N</v>
      </c>
      <c r="O473" s="16" t="s">
        <v>661</v>
      </c>
      <c r="P473" s="10" t="s">
        <v>200</v>
      </c>
      <c r="Q473" s="10" t="s">
        <v>204</v>
      </c>
      <c r="S473" s="16" t="str">
        <f t="shared" si="47"/>
        <v>Donald R Wilson</v>
      </c>
    </row>
    <row r="474" spans="1:33">
      <c r="A474" s="16">
        <v>5</v>
      </c>
      <c r="B474" s="16" t="s">
        <v>317</v>
      </c>
      <c r="C474" s="16">
        <v>1588</v>
      </c>
      <c r="E474" s="16" t="s">
        <v>299</v>
      </c>
      <c r="F474" s="2">
        <v>37221</v>
      </c>
      <c r="H474" s="2">
        <v>38525</v>
      </c>
      <c r="I474" s="25">
        <v>41820</v>
      </c>
      <c r="L474" t="s">
        <v>297</v>
      </c>
      <c r="M474" t="s">
        <v>297</v>
      </c>
      <c r="N474" s="21" t="str">
        <f t="shared" si="46"/>
        <v>Y</v>
      </c>
      <c r="O474" s="16" t="s">
        <v>1329</v>
      </c>
      <c r="T474" s="31">
        <v>41425</v>
      </c>
    </row>
    <row r="475" spans="1:33" customFormat="1" hidden="1">
      <c r="A475" t="s">
        <v>200</v>
      </c>
      <c r="B475" t="s">
        <v>205</v>
      </c>
      <c r="I475" s="6"/>
    </row>
    <row r="476" spans="1:33">
      <c r="A476" s="16">
        <v>5</v>
      </c>
      <c r="B476" s="16" t="s">
        <v>155</v>
      </c>
      <c r="C476" s="16">
        <v>414</v>
      </c>
      <c r="D476" s="7" t="s">
        <v>295</v>
      </c>
      <c r="E476" s="16" t="s">
        <v>296</v>
      </c>
      <c r="F476" s="2">
        <v>30640</v>
      </c>
      <c r="G476" s="2">
        <v>31129</v>
      </c>
      <c r="H476" s="2">
        <v>39422</v>
      </c>
      <c r="I476" s="25">
        <v>41820</v>
      </c>
      <c r="K476" s="2">
        <v>36368</v>
      </c>
      <c r="L476" t="s">
        <v>297</v>
      </c>
      <c r="M476" t="s">
        <v>297</v>
      </c>
      <c r="N476" s="23" t="str">
        <f t="shared" ref="N476:N483" si="48">IF((I476&gt;$W$2),"Y","N")</f>
        <v>Y</v>
      </c>
      <c r="O476" s="16" t="s">
        <v>1529</v>
      </c>
      <c r="P476" s="10" t="s">
        <v>200</v>
      </c>
      <c r="Q476" s="10" t="s">
        <v>205</v>
      </c>
      <c r="S476" s="16" t="str">
        <f t="shared" ref="S476:S483" si="49">MID(Q476,9,30)</f>
        <v>David A Wood</v>
      </c>
      <c r="T476" s="31">
        <v>41425</v>
      </c>
    </row>
    <row r="477" spans="1:33">
      <c r="A477" s="16">
        <v>5</v>
      </c>
      <c r="B477" s="16" t="s">
        <v>155</v>
      </c>
      <c r="C477" s="16">
        <v>480</v>
      </c>
      <c r="D477" s="7" t="s">
        <v>295</v>
      </c>
      <c r="E477" s="16" t="s">
        <v>316</v>
      </c>
      <c r="F477" s="2">
        <v>31241</v>
      </c>
      <c r="G477" s="2">
        <v>31493</v>
      </c>
      <c r="H477" s="2">
        <v>36297</v>
      </c>
      <c r="I477" s="25">
        <v>31638</v>
      </c>
      <c r="K477" s="2">
        <v>36297</v>
      </c>
      <c r="L477" t="s">
        <v>297</v>
      </c>
      <c r="N477" s="23" t="str">
        <f t="shared" si="48"/>
        <v>N</v>
      </c>
      <c r="O477" s="16" t="s">
        <v>318</v>
      </c>
      <c r="P477" s="10" t="s">
        <v>200</v>
      </c>
      <c r="Q477" s="10" t="s">
        <v>205</v>
      </c>
      <c r="S477" s="16" t="str">
        <f t="shared" si="49"/>
        <v>David A Wood</v>
      </c>
    </row>
    <row r="478" spans="1:33">
      <c r="A478" s="16">
        <v>5</v>
      </c>
      <c r="B478" s="16" t="s">
        <v>155</v>
      </c>
      <c r="C478" s="16">
        <v>649</v>
      </c>
      <c r="D478" s="7" t="s">
        <v>295</v>
      </c>
      <c r="E478" s="16" t="s">
        <v>296</v>
      </c>
      <c r="F478" s="2">
        <v>32423</v>
      </c>
      <c r="G478" s="2">
        <v>32578</v>
      </c>
      <c r="H478" s="2">
        <v>36724</v>
      </c>
      <c r="I478" s="25" t="s">
        <v>1266</v>
      </c>
      <c r="K478" s="2">
        <v>36363</v>
      </c>
      <c r="L478" t="s">
        <v>297</v>
      </c>
      <c r="N478" s="23" t="str">
        <f t="shared" si="48"/>
        <v>Y</v>
      </c>
      <c r="O478" s="30" t="s">
        <v>318</v>
      </c>
      <c r="P478" s="10" t="s">
        <v>200</v>
      </c>
      <c r="Q478" s="10" t="s">
        <v>205</v>
      </c>
      <c r="S478" s="16" t="str">
        <f t="shared" si="49"/>
        <v>David A Wood</v>
      </c>
    </row>
    <row r="479" spans="1:33">
      <c r="A479" s="16">
        <v>5</v>
      </c>
      <c r="B479" s="16" t="s">
        <v>155</v>
      </c>
      <c r="C479" s="16">
        <v>773</v>
      </c>
      <c r="D479" s="7" t="s">
        <v>295</v>
      </c>
      <c r="E479" s="16" t="s">
        <v>296</v>
      </c>
      <c r="F479" s="2">
        <v>33264</v>
      </c>
      <c r="G479" s="2">
        <v>33621</v>
      </c>
      <c r="H479" s="2">
        <v>39087</v>
      </c>
      <c r="I479" s="25">
        <v>41820</v>
      </c>
      <c r="K479" s="2">
        <v>33453</v>
      </c>
      <c r="L479" t="s">
        <v>297</v>
      </c>
      <c r="N479" s="23" t="str">
        <f t="shared" si="48"/>
        <v>Y</v>
      </c>
      <c r="O479" s="16" t="s">
        <v>1577</v>
      </c>
      <c r="P479" s="10" t="s">
        <v>200</v>
      </c>
      <c r="Q479" s="10" t="s">
        <v>205</v>
      </c>
      <c r="S479" s="16" t="str">
        <f t="shared" si="49"/>
        <v>David A Wood</v>
      </c>
      <c r="T479" s="31">
        <v>41432</v>
      </c>
    </row>
    <row r="480" spans="1:33">
      <c r="A480" s="16">
        <v>5</v>
      </c>
      <c r="B480" s="16" t="s">
        <v>155</v>
      </c>
      <c r="C480" s="16">
        <v>778</v>
      </c>
      <c r="D480" t="s">
        <v>295</v>
      </c>
      <c r="E480" s="16" t="s">
        <v>296</v>
      </c>
      <c r="F480" s="2">
        <v>33749</v>
      </c>
      <c r="G480" s="2">
        <v>33313</v>
      </c>
      <c r="H480" s="2">
        <v>39503</v>
      </c>
      <c r="I480" s="25">
        <v>41820</v>
      </c>
      <c r="K480" s="2">
        <v>38922</v>
      </c>
      <c r="L480" t="s">
        <v>297</v>
      </c>
      <c r="M480" t="s">
        <v>297</v>
      </c>
      <c r="N480" s="23" t="str">
        <f t="shared" si="48"/>
        <v>Y</v>
      </c>
      <c r="O480" s="30" t="s">
        <v>1776</v>
      </c>
      <c r="P480" s="10" t="s">
        <v>200</v>
      </c>
      <c r="Q480" s="10" t="s">
        <v>205</v>
      </c>
      <c r="S480" s="16" t="str">
        <f t="shared" si="49"/>
        <v>David A Wood</v>
      </c>
      <c r="T480" s="31">
        <v>41425</v>
      </c>
    </row>
    <row r="481" spans="1:33">
      <c r="A481" s="16">
        <v>5</v>
      </c>
      <c r="B481" s="16" t="s">
        <v>155</v>
      </c>
      <c r="C481" s="16">
        <v>916</v>
      </c>
      <c r="D481" s="7" t="s">
        <v>295</v>
      </c>
      <c r="E481" s="16" t="s">
        <v>376</v>
      </c>
      <c r="F481" s="2">
        <v>34232</v>
      </c>
      <c r="G481" s="2">
        <v>35511</v>
      </c>
      <c r="H481" s="2">
        <v>39167</v>
      </c>
      <c r="I481" s="25">
        <v>40359</v>
      </c>
      <c r="K481" s="2">
        <v>36179</v>
      </c>
      <c r="L481" t="s">
        <v>297</v>
      </c>
      <c r="M481" t="s">
        <v>297</v>
      </c>
      <c r="N481" s="23" t="str">
        <f t="shared" si="48"/>
        <v>N</v>
      </c>
      <c r="O481" s="16" t="s">
        <v>1194</v>
      </c>
      <c r="P481" s="10" t="s">
        <v>200</v>
      </c>
      <c r="Q481" s="10" t="s">
        <v>205</v>
      </c>
      <c r="S481" s="16" t="str">
        <f t="shared" si="49"/>
        <v>David A Wood</v>
      </c>
      <c r="T481" s="31" t="s">
        <v>1299</v>
      </c>
    </row>
    <row r="482" spans="1:33">
      <c r="A482" s="16">
        <v>5</v>
      </c>
      <c r="B482" s="16" t="s">
        <v>155</v>
      </c>
      <c r="C482" s="16">
        <v>1011</v>
      </c>
      <c r="D482" s="7" t="s">
        <v>295</v>
      </c>
      <c r="E482" s="16" t="s">
        <v>296</v>
      </c>
      <c r="F482" s="2">
        <v>34633</v>
      </c>
      <c r="G482" s="2">
        <v>35874</v>
      </c>
      <c r="H482" s="2">
        <v>35870</v>
      </c>
      <c r="I482" s="25" t="s">
        <v>1266</v>
      </c>
      <c r="L482" t="s">
        <v>317</v>
      </c>
      <c r="M482" t="s">
        <v>297</v>
      </c>
      <c r="N482" s="23" t="str">
        <f t="shared" si="48"/>
        <v>Y</v>
      </c>
      <c r="O482" s="30" t="s">
        <v>1777</v>
      </c>
      <c r="P482" s="10" t="s">
        <v>200</v>
      </c>
      <c r="Q482" s="10" t="s">
        <v>205</v>
      </c>
      <c r="S482" s="16" t="str">
        <f t="shared" si="49"/>
        <v>David A Wood</v>
      </c>
      <c r="T482" s="31">
        <v>41457</v>
      </c>
    </row>
    <row r="483" spans="1:33">
      <c r="A483" s="16">
        <v>5</v>
      </c>
      <c r="B483" s="16" t="s">
        <v>155</v>
      </c>
      <c r="C483" s="16">
        <v>1014</v>
      </c>
      <c r="D483" s="7" t="s">
        <v>295</v>
      </c>
      <c r="E483" s="16" t="s">
        <v>316</v>
      </c>
      <c r="F483" s="2">
        <v>34667</v>
      </c>
      <c r="H483" s="2">
        <v>36132</v>
      </c>
      <c r="I483" s="25">
        <v>34667</v>
      </c>
      <c r="L483" t="s">
        <v>297</v>
      </c>
      <c r="N483" s="23" t="str">
        <f t="shared" si="48"/>
        <v>N</v>
      </c>
      <c r="O483" s="16" t="s">
        <v>669</v>
      </c>
      <c r="P483" s="10" t="s">
        <v>200</v>
      </c>
      <c r="Q483" s="10" t="s">
        <v>205</v>
      </c>
      <c r="S483" s="16" t="str">
        <f t="shared" si="49"/>
        <v>David A Wood</v>
      </c>
    </row>
    <row r="484" spans="1:33" s="7" customFormat="1" hidden="1">
      <c r="A484" s="7">
        <v>5</v>
      </c>
      <c r="B484" s="7" t="s">
        <v>157</v>
      </c>
      <c r="C484" s="7">
        <v>1423</v>
      </c>
      <c r="D484" s="7" t="s">
        <v>380</v>
      </c>
      <c r="E484" s="7" t="s">
        <v>316</v>
      </c>
      <c r="F484" s="2">
        <v>37488</v>
      </c>
      <c r="G484"/>
      <c r="H484" s="2">
        <v>37488</v>
      </c>
      <c r="I484" s="8">
        <v>37802</v>
      </c>
      <c r="J484"/>
      <c r="K484"/>
      <c r="L484" t="s">
        <v>297</v>
      </c>
      <c r="M484" t="s">
        <v>297</v>
      </c>
      <c r="N484"/>
      <c r="P484" s="7" t="s">
        <v>200</v>
      </c>
      <c r="Q484" s="7" t="s">
        <v>206</v>
      </c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</row>
    <row r="485" spans="1:33">
      <c r="A485" s="16">
        <v>5</v>
      </c>
      <c r="B485" s="16" t="s">
        <v>155</v>
      </c>
      <c r="C485" s="16">
        <v>1062</v>
      </c>
      <c r="D485" s="7" t="s">
        <v>295</v>
      </c>
      <c r="E485" s="16" t="s">
        <v>316</v>
      </c>
      <c r="F485" s="2">
        <v>34856</v>
      </c>
      <c r="H485" s="2">
        <v>39413</v>
      </c>
      <c r="I485" s="25">
        <v>40724</v>
      </c>
      <c r="K485" s="2">
        <v>38651</v>
      </c>
      <c r="L485" t="s">
        <v>297</v>
      </c>
      <c r="M485" t="s">
        <v>297</v>
      </c>
      <c r="N485" s="23" t="str">
        <f>IF((I485&gt;$W$2),"Y","N")</f>
        <v>N</v>
      </c>
      <c r="O485" s="16" t="s">
        <v>1195</v>
      </c>
      <c r="P485" s="10" t="s">
        <v>200</v>
      </c>
      <c r="Q485" s="10" t="s">
        <v>205</v>
      </c>
      <c r="S485" s="16" t="str">
        <f>MID(Q485,9,30)</f>
        <v>David A Wood</v>
      </c>
      <c r="T485" s="31" t="s">
        <v>1306</v>
      </c>
    </row>
    <row r="486" spans="1:33" customFormat="1" hidden="1">
      <c r="A486" t="s">
        <v>200</v>
      </c>
      <c r="B486" t="s">
        <v>206</v>
      </c>
      <c r="I486" s="6"/>
    </row>
    <row r="487" spans="1:33" customFormat="1">
      <c r="A487" s="16">
        <v>5</v>
      </c>
      <c r="B487" s="16" t="s">
        <v>155</v>
      </c>
      <c r="C487" s="16">
        <v>1096</v>
      </c>
      <c r="D487" s="7" t="s">
        <v>295</v>
      </c>
      <c r="E487" s="16" t="s">
        <v>296</v>
      </c>
      <c r="F487" s="2">
        <v>35123</v>
      </c>
      <c r="G487" s="2">
        <v>36175</v>
      </c>
      <c r="H487" s="2">
        <v>39505</v>
      </c>
      <c r="I487" s="25">
        <v>41820</v>
      </c>
      <c r="K487" s="2">
        <v>38175</v>
      </c>
      <c r="L487" t="s">
        <v>297</v>
      </c>
      <c r="M487" t="s">
        <v>297</v>
      </c>
      <c r="N487" s="23" t="str">
        <f>IF((I487&gt;$W$2),"Y","N")</f>
        <v>Y</v>
      </c>
      <c r="O487" s="16" t="s">
        <v>1487</v>
      </c>
      <c r="P487" s="10" t="s">
        <v>200</v>
      </c>
      <c r="Q487" s="10" t="s">
        <v>205</v>
      </c>
      <c r="R487" s="12"/>
      <c r="S487" s="16" t="str">
        <f>MID(Q487,9,30)</f>
        <v>David A Wood</v>
      </c>
      <c r="T487" s="31">
        <v>41432</v>
      </c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</row>
    <row r="488" spans="1:33">
      <c r="A488" s="16">
        <v>5</v>
      </c>
      <c r="B488" s="16" t="s">
        <v>155</v>
      </c>
      <c r="C488" s="16">
        <v>1373</v>
      </c>
      <c r="D488" s="7" t="s">
        <v>295</v>
      </c>
      <c r="E488" s="16" t="s">
        <v>299</v>
      </c>
      <c r="F488" s="2">
        <v>36978</v>
      </c>
      <c r="H488" s="2">
        <v>39055</v>
      </c>
      <c r="I488" s="25">
        <v>41820</v>
      </c>
      <c r="K488" s="2">
        <v>38749</v>
      </c>
      <c r="L488" t="s">
        <v>297</v>
      </c>
      <c r="M488" t="s">
        <v>297</v>
      </c>
      <c r="N488" s="23" t="str">
        <f>IF((I488&gt;$W$2),"Y","N")</f>
        <v>Y</v>
      </c>
      <c r="O488" s="16" t="s">
        <v>1530</v>
      </c>
      <c r="P488" s="10" t="s">
        <v>200</v>
      </c>
      <c r="Q488" s="10" t="s">
        <v>205</v>
      </c>
      <c r="S488" s="16" t="str">
        <f>MID(Q488,9,30)</f>
        <v>David A Wood</v>
      </c>
      <c r="T488" s="31">
        <v>41305</v>
      </c>
    </row>
    <row r="489" spans="1:33">
      <c r="A489" s="16">
        <v>5</v>
      </c>
      <c r="B489" s="16" t="s">
        <v>155</v>
      </c>
      <c r="C489" s="16">
        <v>1495</v>
      </c>
      <c r="D489" s="7" t="s">
        <v>295</v>
      </c>
      <c r="E489" s="16" t="s">
        <v>376</v>
      </c>
      <c r="F489" s="2">
        <v>38363</v>
      </c>
      <c r="H489" s="2">
        <v>38868</v>
      </c>
      <c r="I489" s="25">
        <v>40359</v>
      </c>
      <c r="K489" s="2">
        <v>38765</v>
      </c>
      <c r="L489" t="s">
        <v>297</v>
      </c>
      <c r="M489" t="s">
        <v>297</v>
      </c>
      <c r="N489" s="23" t="str">
        <f>IF((I489&gt;$W$2),"Y","N")</f>
        <v>N</v>
      </c>
      <c r="O489" s="16" t="s">
        <v>673</v>
      </c>
      <c r="P489" s="10" t="s">
        <v>200</v>
      </c>
      <c r="Q489" s="10" t="s">
        <v>205</v>
      </c>
      <c r="S489" s="16" t="str">
        <f>MID(Q489,9,30)</f>
        <v>David A Wood</v>
      </c>
      <c r="T489" s="31" t="s">
        <v>1291</v>
      </c>
    </row>
    <row r="490" spans="1:33" s="7" customFormat="1" hidden="1">
      <c r="A490" s="7">
        <v>5</v>
      </c>
      <c r="B490" s="7" t="s">
        <v>159</v>
      </c>
      <c r="C490" s="7">
        <v>1134</v>
      </c>
      <c r="D490" s="7" t="s">
        <v>348</v>
      </c>
      <c r="E490" s="7" t="s">
        <v>316</v>
      </c>
      <c r="F490" s="2">
        <v>35276</v>
      </c>
      <c r="G490" s="2">
        <v>36539</v>
      </c>
      <c r="H490" s="2">
        <v>36923</v>
      </c>
      <c r="I490" s="8">
        <v>36738</v>
      </c>
      <c r="J490"/>
      <c r="K490" s="2">
        <v>36027</v>
      </c>
      <c r="L490" t="s">
        <v>322</v>
      </c>
      <c r="M490" t="s">
        <v>297</v>
      </c>
      <c r="N490"/>
      <c r="P490" s="7" t="s">
        <v>200</v>
      </c>
      <c r="Q490" s="7" t="s">
        <v>207</v>
      </c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</row>
    <row r="491" spans="1:33">
      <c r="A491" s="16">
        <v>5</v>
      </c>
      <c r="B491" s="16" t="s">
        <v>155</v>
      </c>
      <c r="C491" s="16">
        <v>1513</v>
      </c>
      <c r="D491" s="7" t="s">
        <v>295</v>
      </c>
      <c r="E491" s="16" t="s">
        <v>316</v>
      </c>
      <c r="F491" s="2">
        <v>38757</v>
      </c>
      <c r="H491" s="2">
        <v>38758</v>
      </c>
      <c r="I491" s="25">
        <v>39294</v>
      </c>
      <c r="L491" t="s">
        <v>297</v>
      </c>
      <c r="M491" t="s">
        <v>322</v>
      </c>
      <c r="N491" s="23" t="str">
        <f>IF((I491&gt;$W$2),"Y","N")</f>
        <v>N</v>
      </c>
      <c r="O491" s="16" t="s">
        <v>674</v>
      </c>
      <c r="P491" s="10" t="s">
        <v>200</v>
      </c>
      <c r="Q491" s="10" t="s">
        <v>205</v>
      </c>
      <c r="S491" s="16" t="str">
        <f>MID(Q491,9,30)</f>
        <v>David A Wood</v>
      </c>
    </row>
    <row r="492" spans="1:33">
      <c r="A492" s="16">
        <v>5</v>
      </c>
      <c r="B492" s="16" t="s">
        <v>155</v>
      </c>
      <c r="C492" s="16">
        <v>1550</v>
      </c>
      <c r="D492" s="7" t="s">
        <v>295</v>
      </c>
      <c r="E492" s="16" t="s">
        <v>316</v>
      </c>
      <c r="F492" s="2">
        <v>39295</v>
      </c>
      <c r="H492" s="2">
        <v>39318</v>
      </c>
      <c r="I492" s="25">
        <v>39263</v>
      </c>
      <c r="L492" t="s">
        <v>297</v>
      </c>
      <c r="M492" t="s">
        <v>297</v>
      </c>
      <c r="N492" s="23" t="str">
        <f>IF((I492&gt;$W$2),"Y","N")</f>
        <v>N</v>
      </c>
      <c r="O492" s="16" t="s">
        <v>675</v>
      </c>
      <c r="P492" s="10" t="s">
        <v>200</v>
      </c>
      <c r="Q492" s="10" t="s">
        <v>205</v>
      </c>
      <c r="S492" s="16" t="str">
        <f>MID(Q492,9,30)</f>
        <v>David A Wood</v>
      </c>
    </row>
    <row r="493" spans="1:33">
      <c r="A493" s="16">
        <v>5</v>
      </c>
      <c r="B493" s="16" t="s">
        <v>155</v>
      </c>
      <c r="C493" s="16">
        <v>1565</v>
      </c>
      <c r="E493" s="30" t="s">
        <v>299</v>
      </c>
      <c r="F493" s="2">
        <v>38390</v>
      </c>
      <c r="H493" s="2">
        <v>38400</v>
      </c>
      <c r="I493" s="25">
        <v>39994</v>
      </c>
      <c r="L493" t="s">
        <v>297</v>
      </c>
      <c r="M493" t="s">
        <v>297</v>
      </c>
      <c r="N493" s="23" t="str">
        <f>IF((I493&gt;$W$2),"Y","N")</f>
        <v>N</v>
      </c>
      <c r="O493" s="30" t="s">
        <v>1218</v>
      </c>
    </row>
    <row r="494" spans="1:33">
      <c r="A494" s="16">
        <v>5</v>
      </c>
      <c r="B494" s="30" t="s">
        <v>155</v>
      </c>
      <c r="C494" s="16">
        <v>1578</v>
      </c>
      <c r="E494" s="30" t="s">
        <v>299</v>
      </c>
      <c r="F494" s="2">
        <v>38551</v>
      </c>
      <c r="H494" s="2">
        <v>38551</v>
      </c>
      <c r="I494" s="25">
        <v>40359</v>
      </c>
      <c r="L494" t="s">
        <v>297</v>
      </c>
      <c r="M494" t="s">
        <v>322</v>
      </c>
      <c r="N494" s="21" t="str">
        <f>IF((I494&gt;$W$2),"Y","N")</f>
        <v>N</v>
      </c>
      <c r="O494" s="16" t="s">
        <v>1371</v>
      </c>
    </row>
    <row r="495" spans="1:33">
      <c r="A495" s="16">
        <v>5</v>
      </c>
      <c r="B495" s="16" t="s">
        <v>157</v>
      </c>
      <c r="C495" s="16">
        <v>325</v>
      </c>
      <c r="D495" t="s">
        <v>295</v>
      </c>
      <c r="E495" s="16" t="s">
        <v>296</v>
      </c>
      <c r="F495" s="2">
        <v>29848</v>
      </c>
      <c r="G495" s="2">
        <v>30338</v>
      </c>
      <c r="H495" s="2">
        <v>38939</v>
      </c>
      <c r="I495" s="25">
        <v>41820</v>
      </c>
      <c r="J495" s="2">
        <v>38908</v>
      </c>
      <c r="K495" s="2">
        <v>35349</v>
      </c>
      <c r="L495" t="s">
        <v>297</v>
      </c>
      <c r="M495" t="s">
        <v>297</v>
      </c>
      <c r="N495" s="23" t="str">
        <f>IF((I495&gt;$W$2),"Y","N")</f>
        <v>Y</v>
      </c>
      <c r="O495" s="16" t="s">
        <v>1440</v>
      </c>
      <c r="P495" s="10" t="s">
        <v>200</v>
      </c>
      <c r="Q495" s="10" t="s">
        <v>206</v>
      </c>
      <c r="S495" s="16" t="str">
        <f>MID(Q495,9,30)</f>
        <v>Susan  Reed</v>
      </c>
      <c r="T495" s="31">
        <v>41432</v>
      </c>
    </row>
    <row r="496" spans="1:33" customFormat="1" hidden="1">
      <c r="A496" t="s">
        <v>200</v>
      </c>
      <c r="B496" t="s">
        <v>207</v>
      </c>
      <c r="I496" s="6"/>
    </row>
    <row r="497" spans="1:33" customFormat="1" hidden="1">
      <c r="A497" t="s">
        <v>690</v>
      </c>
      <c r="I497" s="6"/>
    </row>
    <row r="498" spans="1:33">
      <c r="A498" s="16">
        <v>5</v>
      </c>
      <c r="B498" s="16" t="s">
        <v>157</v>
      </c>
      <c r="C498" s="16">
        <v>385</v>
      </c>
      <c r="D498" t="s">
        <v>295</v>
      </c>
      <c r="E498" s="16" t="s">
        <v>296</v>
      </c>
      <c r="F498" s="2">
        <v>30393</v>
      </c>
      <c r="G498" s="2">
        <v>31129</v>
      </c>
      <c r="H498" s="2">
        <v>39508</v>
      </c>
      <c r="I498" s="25">
        <v>41820</v>
      </c>
      <c r="J498" s="2">
        <v>38621</v>
      </c>
      <c r="K498" s="2">
        <v>35352</v>
      </c>
      <c r="L498" t="s">
        <v>297</v>
      </c>
      <c r="M498" t="s">
        <v>297</v>
      </c>
      <c r="N498" s="23" t="str">
        <f>IF((I498&gt;$W$2),"Y","N")</f>
        <v>Y</v>
      </c>
      <c r="O498" s="16" t="s">
        <v>1441</v>
      </c>
      <c r="P498" s="10" t="s">
        <v>200</v>
      </c>
      <c r="Q498" s="10" t="s">
        <v>206</v>
      </c>
      <c r="S498" s="16" t="str">
        <f>MID(Q498,9,30)</f>
        <v>Susan  Reed</v>
      </c>
      <c r="T498" s="31">
        <v>41471</v>
      </c>
    </row>
    <row r="499" spans="1:33">
      <c r="A499" s="16">
        <v>5</v>
      </c>
      <c r="B499" s="16" t="s">
        <v>157</v>
      </c>
      <c r="C499" s="16">
        <v>390</v>
      </c>
      <c r="D499" s="7" t="s">
        <v>295</v>
      </c>
      <c r="E499" s="16" t="s">
        <v>296</v>
      </c>
      <c r="F499" s="2">
        <v>30432</v>
      </c>
      <c r="G499" s="2">
        <v>31194</v>
      </c>
      <c r="H499" s="2">
        <v>38870</v>
      </c>
      <c r="I499" s="25">
        <v>41820</v>
      </c>
      <c r="J499" s="2">
        <v>38933</v>
      </c>
      <c r="K499" s="2">
        <v>36362</v>
      </c>
      <c r="L499" t="s">
        <v>297</v>
      </c>
      <c r="M499" t="s">
        <v>297</v>
      </c>
      <c r="N499" s="23" t="str">
        <f>IF((I499&gt;$W$2),"Y","N")</f>
        <v>Y</v>
      </c>
      <c r="O499" s="16" t="s">
        <v>1196</v>
      </c>
      <c r="P499" s="10" t="s">
        <v>200</v>
      </c>
      <c r="Q499" s="10" t="s">
        <v>206</v>
      </c>
      <c r="S499" s="16" t="str">
        <f>MID(Q499,9,30)</f>
        <v>Susan  Reed</v>
      </c>
      <c r="T499" s="31">
        <v>41424</v>
      </c>
    </row>
    <row r="500" spans="1:33">
      <c r="A500" s="16">
        <v>5</v>
      </c>
      <c r="B500" s="16" t="s">
        <v>157</v>
      </c>
      <c r="C500" s="16">
        <v>612</v>
      </c>
      <c r="D500" s="7" t="s">
        <v>295</v>
      </c>
      <c r="E500" s="16" t="s">
        <v>296</v>
      </c>
      <c r="F500" s="2">
        <v>32039</v>
      </c>
      <c r="G500" s="2">
        <v>32039</v>
      </c>
      <c r="H500" s="2">
        <v>38664</v>
      </c>
      <c r="I500" s="25">
        <v>41455</v>
      </c>
      <c r="J500" s="2">
        <v>38621</v>
      </c>
      <c r="K500" s="2">
        <v>35543</v>
      </c>
      <c r="L500" t="s">
        <v>297</v>
      </c>
      <c r="M500" t="s">
        <v>297</v>
      </c>
      <c r="N500" s="23" t="str">
        <f>IF((I500&gt;$W$2),"Y","N")</f>
        <v>N</v>
      </c>
      <c r="O500" s="16" t="s">
        <v>679</v>
      </c>
      <c r="P500" s="10" t="s">
        <v>200</v>
      </c>
      <c r="Q500" s="10" t="s">
        <v>206</v>
      </c>
      <c r="S500" s="16" t="str">
        <f>MID(Q500,9,30)</f>
        <v>Susan  Reed</v>
      </c>
      <c r="T500" s="31" t="s">
        <v>1474</v>
      </c>
    </row>
    <row r="501" spans="1:33">
      <c r="A501" s="16">
        <v>5</v>
      </c>
      <c r="B501" s="16" t="s">
        <v>157</v>
      </c>
      <c r="C501" s="16">
        <v>727</v>
      </c>
      <c r="D501" s="7" t="s">
        <v>295</v>
      </c>
      <c r="E501" s="16" t="s">
        <v>296</v>
      </c>
      <c r="F501" s="2">
        <v>32949</v>
      </c>
      <c r="G501" s="2">
        <v>34775</v>
      </c>
      <c r="H501" s="2">
        <v>39268</v>
      </c>
      <c r="I501" s="25">
        <v>41820</v>
      </c>
      <c r="J501" s="2">
        <v>38911</v>
      </c>
      <c r="K501" s="2">
        <v>35650</v>
      </c>
      <c r="L501" t="s">
        <v>297</v>
      </c>
      <c r="M501" t="s">
        <v>297</v>
      </c>
      <c r="N501" s="23" t="str">
        <f>IF((I501&gt;$W$2),"Y","N")</f>
        <v>Y</v>
      </c>
      <c r="O501" s="16" t="s">
        <v>1197</v>
      </c>
      <c r="P501" s="10" t="s">
        <v>200</v>
      </c>
      <c r="Q501" s="10" t="s">
        <v>206</v>
      </c>
      <c r="S501" s="16" t="str">
        <f>MID(Q501,9,30)</f>
        <v>Susan  Reed</v>
      </c>
      <c r="T501" s="31">
        <v>41472</v>
      </c>
    </row>
    <row r="502" spans="1:33" s="7" customFormat="1" hidden="1">
      <c r="A502" s="7">
        <v>6</v>
      </c>
      <c r="B502" s="7" t="s">
        <v>140</v>
      </c>
      <c r="C502" s="7">
        <v>651</v>
      </c>
      <c r="D502" s="7" t="s">
        <v>315</v>
      </c>
      <c r="E502" s="7" t="s">
        <v>316</v>
      </c>
      <c r="F502" s="2">
        <v>32366</v>
      </c>
      <c r="G502" s="2">
        <v>32997</v>
      </c>
      <c r="H502" s="2">
        <v>37299</v>
      </c>
      <c r="I502" s="8">
        <v>37072</v>
      </c>
      <c r="J502" s="2">
        <v>35919</v>
      </c>
      <c r="K502" s="2">
        <v>35538</v>
      </c>
      <c r="L502" t="s">
        <v>297</v>
      </c>
      <c r="M502" t="s">
        <v>297</v>
      </c>
      <c r="N502"/>
      <c r="O502" s="7" t="s">
        <v>318</v>
      </c>
      <c r="P502" s="7" t="s">
        <v>208</v>
      </c>
      <c r="Q502" s="7" t="s">
        <v>209</v>
      </c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</row>
    <row r="503" spans="1:33">
      <c r="A503" s="16">
        <v>5</v>
      </c>
      <c r="B503" s="16" t="s">
        <v>157</v>
      </c>
      <c r="C503" s="16">
        <v>1277</v>
      </c>
      <c r="D503" s="7" t="s">
        <v>295</v>
      </c>
      <c r="E503" s="16" t="s">
        <v>296</v>
      </c>
      <c r="F503" s="2">
        <v>36136</v>
      </c>
      <c r="G503" s="2">
        <v>36777</v>
      </c>
      <c r="H503" s="2">
        <v>39164</v>
      </c>
      <c r="I503" s="25">
        <v>41455</v>
      </c>
      <c r="L503" t="s">
        <v>297</v>
      </c>
      <c r="M503" t="s">
        <v>297</v>
      </c>
      <c r="N503" s="23" t="str">
        <f>IF((I503&gt;$W$2),"Y","N")</f>
        <v>N</v>
      </c>
      <c r="O503" s="30" t="s">
        <v>1778</v>
      </c>
      <c r="P503" s="10" t="s">
        <v>200</v>
      </c>
      <c r="Q503" s="10" t="s">
        <v>206</v>
      </c>
      <c r="S503" s="16" t="str">
        <f>MID(Q503,9,30)</f>
        <v>Susan  Reed</v>
      </c>
      <c r="T503" s="31" t="s">
        <v>1419</v>
      </c>
    </row>
    <row r="504" spans="1:33" s="7" customFormat="1" hidden="1">
      <c r="A504" s="7">
        <v>6</v>
      </c>
      <c r="B504" s="7" t="s">
        <v>140</v>
      </c>
      <c r="C504" s="7">
        <v>1412</v>
      </c>
      <c r="D504" s="7" t="s">
        <v>315</v>
      </c>
      <c r="E504" s="7" t="s">
        <v>316</v>
      </c>
      <c r="F504" s="2">
        <v>37390</v>
      </c>
      <c r="G504"/>
      <c r="H504" s="2">
        <v>37390</v>
      </c>
      <c r="I504" s="8">
        <v>37711</v>
      </c>
      <c r="J504"/>
      <c r="K504"/>
      <c r="L504" t="s">
        <v>297</v>
      </c>
      <c r="M504" t="s">
        <v>297</v>
      </c>
      <c r="N504"/>
      <c r="P504" s="7" t="s">
        <v>208</v>
      </c>
      <c r="Q504" s="7" t="s">
        <v>209</v>
      </c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</row>
    <row r="505" spans="1:33">
      <c r="A505" s="16">
        <v>5</v>
      </c>
      <c r="B505" s="16" t="s">
        <v>157</v>
      </c>
      <c r="C505" s="16">
        <v>1280</v>
      </c>
      <c r="D505" s="7" t="s">
        <v>295</v>
      </c>
      <c r="E505" s="16" t="s">
        <v>296</v>
      </c>
      <c r="F505" s="2">
        <v>36165</v>
      </c>
      <c r="G505" s="2">
        <v>38275</v>
      </c>
      <c r="H505" s="2">
        <v>38666</v>
      </c>
      <c r="I505" s="25">
        <v>41455</v>
      </c>
      <c r="J505" s="2">
        <v>38685</v>
      </c>
      <c r="K505" s="2">
        <v>36165</v>
      </c>
      <c r="L505" t="s">
        <v>297</v>
      </c>
      <c r="M505" t="s">
        <v>297</v>
      </c>
      <c r="N505" s="23" t="str">
        <f>IF((I505&gt;$W$2),"Y","N")</f>
        <v>N</v>
      </c>
      <c r="O505" s="30" t="s">
        <v>1779</v>
      </c>
      <c r="P505" s="10" t="s">
        <v>200</v>
      </c>
      <c r="Q505" s="10" t="s">
        <v>206</v>
      </c>
      <c r="S505" s="16" t="str">
        <f>MID(Q505,9,30)</f>
        <v>Susan  Reed</v>
      </c>
      <c r="T505" s="31" t="s">
        <v>1513</v>
      </c>
    </row>
    <row r="506" spans="1:33" customFormat="1" hidden="1">
      <c r="A506" t="s">
        <v>208</v>
      </c>
      <c r="B506" t="s">
        <v>209</v>
      </c>
      <c r="I506" s="6"/>
    </row>
    <row r="507" spans="1:33" s="7" customFormat="1" hidden="1">
      <c r="A507" s="7">
        <v>6</v>
      </c>
      <c r="B507" s="7" t="s">
        <v>149</v>
      </c>
      <c r="C507" s="7">
        <v>650</v>
      </c>
      <c r="D507" s="7" t="s">
        <v>377</v>
      </c>
      <c r="E507" s="7" t="s">
        <v>316</v>
      </c>
      <c r="F507" s="2">
        <v>32423</v>
      </c>
      <c r="G507" s="2">
        <v>34593</v>
      </c>
      <c r="H507" s="2">
        <v>35468</v>
      </c>
      <c r="I507" s="8">
        <v>36525</v>
      </c>
      <c r="J507" s="2">
        <v>34547</v>
      </c>
      <c r="K507" s="2">
        <v>35468</v>
      </c>
      <c r="L507" t="s">
        <v>297</v>
      </c>
      <c r="M507" t="s">
        <v>297</v>
      </c>
      <c r="N507"/>
      <c r="O507" s="7" t="s">
        <v>369</v>
      </c>
      <c r="P507" s="7" t="s">
        <v>208</v>
      </c>
      <c r="Q507" s="7" t="s">
        <v>210</v>
      </c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</row>
    <row r="508" spans="1:33" s="7" customFormat="1" hidden="1">
      <c r="A508" s="7">
        <v>6</v>
      </c>
      <c r="B508" s="7" t="s">
        <v>149</v>
      </c>
      <c r="C508" s="7">
        <v>685</v>
      </c>
      <c r="D508" s="7" t="s">
        <v>348</v>
      </c>
      <c r="E508" s="7" t="s">
        <v>316</v>
      </c>
      <c r="F508" s="2">
        <v>32647</v>
      </c>
      <c r="G508" s="2">
        <v>33313</v>
      </c>
      <c r="H508" s="2">
        <v>37081</v>
      </c>
      <c r="I508" s="8">
        <v>36891</v>
      </c>
      <c r="J508" s="2">
        <v>36704</v>
      </c>
      <c r="K508" s="2">
        <v>36416</v>
      </c>
      <c r="L508" t="s">
        <v>297</v>
      </c>
      <c r="M508" t="s">
        <v>297</v>
      </c>
      <c r="N508"/>
      <c r="P508" s="7" t="s">
        <v>208</v>
      </c>
      <c r="Q508" s="7" t="s">
        <v>210</v>
      </c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</row>
    <row r="509" spans="1:33">
      <c r="A509" s="16">
        <v>5</v>
      </c>
      <c r="B509" s="16" t="s">
        <v>157</v>
      </c>
      <c r="C509" s="16">
        <v>1400</v>
      </c>
      <c r="D509" s="7" t="s">
        <v>295</v>
      </c>
      <c r="E509" s="16" t="s">
        <v>376</v>
      </c>
      <c r="F509" s="2">
        <v>37330</v>
      </c>
      <c r="G509" s="2">
        <v>38616</v>
      </c>
      <c r="H509" s="2">
        <v>39347</v>
      </c>
      <c r="I509" s="25">
        <v>40359</v>
      </c>
      <c r="J509" s="2">
        <v>38497</v>
      </c>
      <c r="K509" s="2">
        <v>38229</v>
      </c>
      <c r="L509" t="s">
        <v>297</v>
      </c>
      <c r="M509" t="s">
        <v>297</v>
      </c>
      <c r="N509" s="23" t="str">
        <f>IF((I509&gt;$W$2),"Y","N")</f>
        <v>N</v>
      </c>
      <c r="O509" s="16" t="s">
        <v>1198</v>
      </c>
      <c r="P509" s="10" t="s">
        <v>200</v>
      </c>
      <c r="Q509" s="10" t="s">
        <v>206</v>
      </c>
      <c r="S509" s="16" t="str">
        <f>MID(Q509,9,30)</f>
        <v>Susan  Reed</v>
      </c>
      <c r="T509" s="31" t="s">
        <v>1272</v>
      </c>
    </row>
    <row r="510" spans="1:33">
      <c r="A510" s="16">
        <v>5</v>
      </c>
      <c r="B510" s="16" t="s">
        <v>157</v>
      </c>
      <c r="C510" s="16">
        <v>1519</v>
      </c>
      <c r="D510" t="s">
        <v>295</v>
      </c>
      <c r="E510" s="16" t="s">
        <v>376</v>
      </c>
      <c r="F510" s="2">
        <v>38807</v>
      </c>
      <c r="H510" s="2">
        <v>39487</v>
      </c>
      <c r="I510" s="25">
        <v>39629</v>
      </c>
      <c r="J510" s="2">
        <v>38911</v>
      </c>
      <c r="L510" t="s">
        <v>297</v>
      </c>
      <c r="M510" t="s">
        <v>297</v>
      </c>
      <c r="N510" s="23" t="str">
        <f>IF((I510&gt;$W$2),"Y","N")</f>
        <v>N</v>
      </c>
      <c r="O510" s="16" t="s">
        <v>1199</v>
      </c>
      <c r="P510" s="10" t="s">
        <v>200</v>
      </c>
      <c r="Q510" s="10" t="s">
        <v>206</v>
      </c>
      <c r="S510" s="16" t="str">
        <f>MID(Q510,9,30)</f>
        <v>Susan  Reed</v>
      </c>
    </row>
    <row r="511" spans="1:33">
      <c r="A511" s="16">
        <v>5</v>
      </c>
      <c r="B511" s="16" t="s">
        <v>157</v>
      </c>
      <c r="C511" s="16">
        <v>1561</v>
      </c>
      <c r="E511" s="16" t="s">
        <v>299</v>
      </c>
      <c r="I511" s="25">
        <v>41820</v>
      </c>
      <c r="N511" s="23" t="str">
        <f>IF((I511&gt;$W$2),"Y","N")</f>
        <v>Y</v>
      </c>
      <c r="O511" s="30" t="s">
        <v>1780</v>
      </c>
      <c r="P511"/>
      <c r="Q511"/>
      <c r="R511"/>
      <c r="S511"/>
      <c r="T511" s="40">
        <v>41428</v>
      </c>
      <c r="U511"/>
    </row>
    <row r="512" spans="1:33">
      <c r="A512" s="16">
        <v>5</v>
      </c>
      <c r="B512" s="16" t="s">
        <v>157</v>
      </c>
      <c r="C512" s="16">
        <v>1615</v>
      </c>
      <c r="E512" s="16" t="s">
        <v>299</v>
      </c>
      <c r="F512" s="2">
        <v>39330</v>
      </c>
      <c r="H512" s="2">
        <v>39330</v>
      </c>
      <c r="I512" s="25">
        <v>41820</v>
      </c>
      <c r="L512" t="s">
        <v>297</v>
      </c>
      <c r="M512" t="s">
        <v>322</v>
      </c>
      <c r="N512" s="23" t="str">
        <f>IF((I512&gt;$W$2),"Y","N")</f>
        <v>Y</v>
      </c>
      <c r="O512" s="16" t="s">
        <v>1570</v>
      </c>
    </row>
    <row r="513" spans="1:33" s="7" customFormat="1" hidden="1">
      <c r="A513" s="7">
        <v>6</v>
      </c>
      <c r="B513" s="7" t="s">
        <v>149</v>
      </c>
      <c r="C513" s="7">
        <v>1042</v>
      </c>
      <c r="D513" s="7" t="s">
        <v>701</v>
      </c>
      <c r="E513" s="7" t="s">
        <v>316</v>
      </c>
      <c r="F513" s="2">
        <v>34779</v>
      </c>
      <c r="G513"/>
      <c r="H513" s="2">
        <v>36566</v>
      </c>
      <c r="I513" s="8">
        <v>37621</v>
      </c>
      <c r="J513" s="2">
        <v>34823</v>
      </c>
      <c r="K513" s="2">
        <v>35459</v>
      </c>
      <c r="L513" t="s">
        <v>297</v>
      </c>
      <c r="M513" t="s">
        <v>297</v>
      </c>
      <c r="N513"/>
      <c r="P513" s="7" t="s">
        <v>208</v>
      </c>
      <c r="Q513" s="7" t="s">
        <v>210</v>
      </c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</row>
    <row r="514" spans="1:33">
      <c r="A514" s="16">
        <v>5</v>
      </c>
      <c r="B514" s="16" t="s">
        <v>159</v>
      </c>
      <c r="C514" s="16">
        <v>297</v>
      </c>
      <c r="D514" s="7" t="s">
        <v>295</v>
      </c>
      <c r="E514" s="16" t="s">
        <v>296</v>
      </c>
      <c r="F514" s="2">
        <v>29637</v>
      </c>
      <c r="G514" s="2">
        <v>29980</v>
      </c>
      <c r="H514" s="2">
        <v>39451</v>
      </c>
      <c r="I514" s="25">
        <v>41820</v>
      </c>
      <c r="K514" s="2">
        <v>38587</v>
      </c>
      <c r="L514" t="s">
        <v>297</v>
      </c>
      <c r="M514" t="s">
        <v>297</v>
      </c>
      <c r="N514" s="23" t="str">
        <f>IF((I514&gt;$W$2),"Y","N")</f>
        <v>Y</v>
      </c>
      <c r="O514" s="30" t="s">
        <v>1781</v>
      </c>
      <c r="P514" s="10" t="s">
        <v>200</v>
      </c>
      <c r="Q514" s="10" t="s">
        <v>207</v>
      </c>
      <c r="S514" s="16" t="str">
        <f>MID(Q514,9,30)</f>
        <v>Bryan M Marchand</v>
      </c>
      <c r="T514" s="31">
        <v>41471</v>
      </c>
    </row>
    <row r="515" spans="1:33">
      <c r="A515" s="16">
        <v>5</v>
      </c>
      <c r="B515" s="16" t="s">
        <v>159</v>
      </c>
      <c r="C515" s="16">
        <v>552</v>
      </c>
      <c r="D515" s="7" t="s">
        <v>295</v>
      </c>
      <c r="E515" s="16" t="s">
        <v>296</v>
      </c>
      <c r="F515" s="2">
        <v>31674</v>
      </c>
      <c r="G515" s="2">
        <v>32691</v>
      </c>
      <c r="H515" s="2">
        <v>37658</v>
      </c>
      <c r="I515" s="25">
        <v>41820</v>
      </c>
      <c r="K515" s="2">
        <v>38589</v>
      </c>
      <c r="L515" t="s">
        <v>297</v>
      </c>
      <c r="M515" t="s">
        <v>297</v>
      </c>
      <c r="N515" s="23" t="str">
        <f>IF((I515&gt;$W$2),"Y","N")</f>
        <v>Y</v>
      </c>
      <c r="O515" s="30" t="s">
        <v>1782</v>
      </c>
      <c r="P515" s="10" t="s">
        <v>200</v>
      </c>
      <c r="Q515" s="10" t="s">
        <v>207</v>
      </c>
      <c r="S515" s="16" t="str">
        <f>MID(Q515,9,30)</f>
        <v>Bryan M Marchand</v>
      </c>
      <c r="T515" s="31">
        <v>41485</v>
      </c>
    </row>
    <row r="516" spans="1:33" customFormat="1" hidden="1">
      <c r="A516">
        <v>6</v>
      </c>
      <c r="B516" t="s">
        <v>149</v>
      </c>
      <c r="C516">
        <v>1135</v>
      </c>
      <c r="D516" t="s">
        <v>375</v>
      </c>
      <c r="E516" t="s">
        <v>316</v>
      </c>
      <c r="F516" s="2">
        <v>35276</v>
      </c>
      <c r="H516" s="2">
        <v>35276</v>
      </c>
      <c r="I516" s="6"/>
      <c r="L516" t="s">
        <v>297</v>
      </c>
      <c r="M516" t="s">
        <v>297</v>
      </c>
      <c r="O516" t="s">
        <v>369</v>
      </c>
      <c r="P516" t="s">
        <v>208</v>
      </c>
      <c r="Q516" t="s">
        <v>210</v>
      </c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</row>
    <row r="517" spans="1:33">
      <c r="A517" s="16">
        <v>5</v>
      </c>
      <c r="B517" s="16" t="s">
        <v>159</v>
      </c>
      <c r="C517" s="16">
        <v>1136</v>
      </c>
      <c r="D517" s="7" t="s">
        <v>295</v>
      </c>
      <c r="E517" s="16" t="s">
        <v>299</v>
      </c>
      <c r="F517" s="2">
        <v>35285</v>
      </c>
      <c r="H517" s="2">
        <v>39246</v>
      </c>
      <c r="I517" s="25" t="s">
        <v>1266</v>
      </c>
      <c r="L517" t="s">
        <v>317</v>
      </c>
      <c r="M517" t="s">
        <v>297</v>
      </c>
      <c r="N517" s="23" t="str">
        <f>IF((I517&gt;$W$2),"Y","N")</f>
        <v>Y</v>
      </c>
      <c r="O517" s="16" t="s">
        <v>1200</v>
      </c>
      <c r="P517" s="10" t="s">
        <v>200</v>
      </c>
      <c r="Q517" s="10" t="s">
        <v>207</v>
      </c>
      <c r="S517" s="16" t="str">
        <f>MID(Q517,9,30)</f>
        <v>Bryan M Marchand</v>
      </c>
      <c r="T517" s="31" t="s">
        <v>1455</v>
      </c>
    </row>
    <row r="518" spans="1:33" s="7" customFormat="1" hidden="1">
      <c r="A518" s="7">
        <v>6</v>
      </c>
      <c r="B518" s="7" t="s">
        <v>149</v>
      </c>
      <c r="C518" s="7">
        <v>1188</v>
      </c>
      <c r="D518" s="7" t="s">
        <v>408</v>
      </c>
      <c r="E518" s="7" t="s">
        <v>316</v>
      </c>
      <c r="F518" s="2">
        <v>35551</v>
      </c>
      <c r="G518" s="2">
        <v>36238</v>
      </c>
      <c r="H518" s="2">
        <v>37396</v>
      </c>
      <c r="I518" s="8">
        <v>37802</v>
      </c>
      <c r="J518"/>
      <c r="K518" s="2">
        <v>37396</v>
      </c>
      <c r="L518" t="s">
        <v>297</v>
      </c>
      <c r="M518" t="s">
        <v>297</v>
      </c>
      <c r="N518"/>
      <c r="P518" s="7" t="s">
        <v>208</v>
      </c>
      <c r="Q518" s="7" t="s">
        <v>210</v>
      </c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</row>
    <row r="519" spans="1:33">
      <c r="A519" s="16">
        <v>5</v>
      </c>
      <c r="B519" s="16" t="s">
        <v>159</v>
      </c>
      <c r="C519" s="16">
        <v>1382</v>
      </c>
      <c r="D519" s="7" t="s">
        <v>295</v>
      </c>
      <c r="E519" s="16" t="s">
        <v>296</v>
      </c>
      <c r="F519" s="2">
        <v>37032</v>
      </c>
      <c r="G519" s="2">
        <v>37966</v>
      </c>
      <c r="H519" s="2">
        <v>38126</v>
      </c>
      <c r="I519" s="25">
        <v>41820</v>
      </c>
      <c r="J519" s="2">
        <v>37880</v>
      </c>
      <c r="L519" t="s">
        <v>297</v>
      </c>
      <c r="M519" t="s">
        <v>297</v>
      </c>
      <c r="N519" s="23" t="str">
        <f>IF((I519&gt;$W$2),"Y","N")</f>
        <v>Y</v>
      </c>
      <c r="O519" s="16" t="s">
        <v>1596</v>
      </c>
      <c r="P519" s="10" t="s">
        <v>200</v>
      </c>
      <c r="Q519" s="10" t="s">
        <v>207</v>
      </c>
      <c r="S519" s="16" t="str">
        <f>MID(Q519,9,30)</f>
        <v>Bryan M Marchand</v>
      </c>
      <c r="T519" s="31">
        <v>41473</v>
      </c>
    </row>
    <row r="520" spans="1:33" s="7" customFormat="1" hidden="1">
      <c r="A520" s="7">
        <v>6</v>
      </c>
      <c r="B520" s="7" t="s">
        <v>149</v>
      </c>
      <c r="C520" s="7">
        <v>1234</v>
      </c>
      <c r="D520" s="7" t="s">
        <v>408</v>
      </c>
      <c r="E520" s="7" t="s">
        <v>316</v>
      </c>
      <c r="F520" s="2">
        <v>35838</v>
      </c>
      <c r="G520"/>
      <c r="H520" s="2">
        <v>37376</v>
      </c>
      <c r="I520" s="8">
        <v>37438</v>
      </c>
      <c r="J520"/>
      <c r="K520" s="2">
        <v>37376</v>
      </c>
      <c r="L520" t="s">
        <v>297</v>
      </c>
      <c r="M520" t="s">
        <v>297</v>
      </c>
      <c r="N520"/>
      <c r="O520" s="7" t="s">
        <v>318</v>
      </c>
      <c r="P520" s="7" t="s">
        <v>208</v>
      </c>
      <c r="Q520" s="7" t="s">
        <v>210</v>
      </c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</row>
    <row r="521" spans="1:33">
      <c r="A521" s="16">
        <v>5</v>
      </c>
      <c r="B521" s="16" t="s">
        <v>159</v>
      </c>
      <c r="C521" s="16">
        <v>1453</v>
      </c>
      <c r="D521" s="7" t="s">
        <v>295</v>
      </c>
      <c r="E521" s="16" t="s">
        <v>316</v>
      </c>
      <c r="F521" s="2">
        <v>37781</v>
      </c>
      <c r="H521" s="2">
        <v>39317</v>
      </c>
      <c r="I521" s="25">
        <v>38230</v>
      </c>
      <c r="L521" t="s">
        <v>297</v>
      </c>
      <c r="N521" s="23" t="str">
        <f>IF((I521&gt;$W$2),"Y","N")</f>
        <v>N</v>
      </c>
      <c r="O521" s="16" t="s">
        <v>687</v>
      </c>
      <c r="P521" s="10" t="s">
        <v>200</v>
      </c>
      <c r="Q521" s="10" t="s">
        <v>207</v>
      </c>
      <c r="S521" s="16" t="str">
        <f>MID(Q521,9,30)</f>
        <v>Bryan M Marchand</v>
      </c>
    </row>
    <row r="522" spans="1:33" s="7" customFormat="1" hidden="1">
      <c r="A522" s="7">
        <v>6</v>
      </c>
      <c r="B522" s="7" t="s">
        <v>149</v>
      </c>
      <c r="C522" s="7">
        <v>1246</v>
      </c>
      <c r="D522" s="7" t="s">
        <v>408</v>
      </c>
      <c r="E522" s="7" t="s">
        <v>316</v>
      </c>
      <c r="F522" s="2">
        <v>35906</v>
      </c>
      <c r="G522"/>
      <c r="H522" s="2">
        <v>37063</v>
      </c>
      <c r="I522" s="8">
        <v>37437</v>
      </c>
      <c r="J522"/>
      <c r="K522" s="2">
        <v>35906</v>
      </c>
      <c r="L522" t="s">
        <v>297</v>
      </c>
      <c r="M522" t="s">
        <v>297</v>
      </c>
      <c r="N522"/>
      <c r="P522" s="7" t="s">
        <v>208</v>
      </c>
      <c r="Q522" s="7" t="s">
        <v>210</v>
      </c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</row>
    <row r="523" spans="1:33">
      <c r="A523" s="16">
        <v>5</v>
      </c>
      <c r="B523" s="16" t="s">
        <v>159</v>
      </c>
      <c r="C523" s="16">
        <v>1459</v>
      </c>
      <c r="D523" s="7" t="s">
        <v>295</v>
      </c>
      <c r="E523" s="16" t="s">
        <v>296</v>
      </c>
      <c r="F523" s="2">
        <v>37852</v>
      </c>
      <c r="G523" s="2">
        <v>38548</v>
      </c>
      <c r="H523" s="2">
        <v>39476</v>
      </c>
      <c r="I523" s="25">
        <v>41820</v>
      </c>
      <c r="J523" s="2">
        <v>37852</v>
      </c>
      <c r="K523" s="2">
        <v>37826</v>
      </c>
      <c r="L523" t="s">
        <v>297</v>
      </c>
      <c r="M523" t="s">
        <v>322</v>
      </c>
      <c r="N523" s="23" t="str">
        <f t="shared" ref="N523:N530" si="50">IF((I523&gt;$W$2),"Y","N")</f>
        <v>Y</v>
      </c>
      <c r="O523" s="30" t="s">
        <v>1783</v>
      </c>
      <c r="P523" s="10" t="s">
        <v>200</v>
      </c>
      <c r="Q523" s="10" t="s">
        <v>207</v>
      </c>
      <c r="S523" s="16" t="str">
        <f>MID(Q523,9,30)</f>
        <v>Bryan M Marchand</v>
      </c>
      <c r="T523" s="31">
        <v>41428</v>
      </c>
    </row>
    <row r="524" spans="1:33">
      <c r="A524" s="16">
        <v>5</v>
      </c>
      <c r="B524" s="16" t="s">
        <v>159</v>
      </c>
      <c r="C524" s="16">
        <v>1496</v>
      </c>
      <c r="D524" s="7" t="s">
        <v>295</v>
      </c>
      <c r="E524" s="16" t="s">
        <v>316</v>
      </c>
      <c r="F524" s="2">
        <v>38366</v>
      </c>
      <c r="H524" s="2">
        <v>38384</v>
      </c>
      <c r="I524" s="25">
        <v>38717</v>
      </c>
      <c r="L524" t="s">
        <v>317</v>
      </c>
      <c r="M524" t="s">
        <v>297</v>
      </c>
      <c r="N524" s="23" t="str">
        <f t="shared" si="50"/>
        <v>N</v>
      </c>
      <c r="O524" s="16" t="s">
        <v>689</v>
      </c>
      <c r="P524" s="10" t="s">
        <v>200</v>
      </c>
      <c r="Q524" s="10" t="s">
        <v>207</v>
      </c>
      <c r="S524" s="16" t="str">
        <f>MID(Q524,9,30)</f>
        <v>Bryan M Marchand</v>
      </c>
    </row>
    <row r="525" spans="1:33">
      <c r="A525" s="16">
        <v>5</v>
      </c>
      <c r="B525" s="16" t="s">
        <v>159</v>
      </c>
      <c r="C525" s="16">
        <v>1571</v>
      </c>
      <c r="E525" s="16" t="s">
        <v>316</v>
      </c>
      <c r="F525" s="2">
        <v>39195</v>
      </c>
      <c r="H525" s="2">
        <v>39195</v>
      </c>
      <c r="I525" s="25">
        <v>39994</v>
      </c>
      <c r="L525" t="s">
        <v>297</v>
      </c>
      <c r="M525" t="s">
        <v>322</v>
      </c>
      <c r="N525" s="23" t="str">
        <f t="shared" si="50"/>
        <v>N</v>
      </c>
    </row>
    <row r="526" spans="1:33">
      <c r="A526" s="16">
        <v>5</v>
      </c>
      <c r="B526" s="16" t="s">
        <v>159</v>
      </c>
      <c r="C526" s="16">
        <v>1586</v>
      </c>
      <c r="E526" s="16" t="s">
        <v>299</v>
      </c>
      <c r="F526" s="2">
        <v>38027</v>
      </c>
      <c r="H526" s="2">
        <v>38525</v>
      </c>
      <c r="I526" s="25">
        <v>41820</v>
      </c>
      <c r="L526" t="s">
        <v>322</v>
      </c>
      <c r="M526" t="s">
        <v>297</v>
      </c>
      <c r="N526" s="21" t="str">
        <f t="shared" si="50"/>
        <v>Y</v>
      </c>
      <c r="O526" s="30" t="s">
        <v>1784</v>
      </c>
      <c r="T526" s="31">
        <v>41425</v>
      </c>
    </row>
    <row r="527" spans="1:33">
      <c r="A527" s="16">
        <v>5</v>
      </c>
      <c r="B527" s="30" t="s">
        <v>159</v>
      </c>
      <c r="C527" s="16">
        <v>1603</v>
      </c>
      <c r="E527" s="30" t="s">
        <v>299</v>
      </c>
      <c r="F527" s="2">
        <v>38280</v>
      </c>
      <c r="H527" s="2">
        <v>38524</v>
      </c>
      <c r="I527" s="25">
        <v>41455</v>
      </c>
      <c r="L527" t="s">
        <v>322</v>
      </c>
      <c r="M527" t="s">
        <v>297</v>
      </c>
      <c r="N527" s="23" t="str">
        <f t="shared" si="50"/>
        <v>N</v>
      </c>
      <c r="O527" s="30" t="s">
        <v>1363</v>
      </c>
      <c r="T527" s="31" t="s">
        <v>1362</v>
      </c>
    </row>
    <row r="528" spans="1:33">
      <c r="A528" s="16">
        <v>5</v>
      </c>
      <c r="B528" s="30" t="s">
        <v>159</v>
      </c>
      <c r="C528" s="16">
        <v>1612</v>
      </c>
      <c r="E528" s="30" t="s">
        <v>299</v>
      </c>
      <c r="I528" s="25">
        <v>41455</v>
      </c>
      <c r="N528" s="23" t="str">
        <f t="shared" si="50"/>
        <v>N</v>
      </c>
      <c r="O528" s="30" t="s">
        <v>1625</v>
      </c>
    </row>
    <row r="529" spans="1:20">
      <c r="A529" s="16">
        <v>6</v>
      </c>
      <c r="B529" s="16" t="s">
        <v>140</v>
      </c>
      <c r="C529" s="16">
        <v>163</v>
      </c>
      <c r="D529" t="s">
        <v>295</v>
      </c>
      <c r="E529" s="16" t="s">
        <v>296</v>
      </c>
      <c r="F529" s="2">
        <v>28296</v>
      </c>
      <c r="G529" s="2">
        <v>28618</v>
      </c>
      <c r="H529" s="2">
        <v>38980</v>
      </c>
      <c r="I529" s="25">
        <v>41820</v>
      </c>
      <c r="J529" s="2">
        <v>33419</v>
      </c>
      <c r="K529" s="2">
        <v>37573</v>
      </c>
      <c r="L529" t="s">
        <v>297</v>
      </c>
      <c r="M529" t="s">
        <v>297</v>
      </c>
      <c r="N529" s="23" t="str">
        <f t="shared" si="50"/>
        <v>Y</v>
      </c>
      <c r="O529" s="16" t="s">
        <v>691</v>
      </c>
      <c r="P529" s="10" t="s">
        <v>208</v>
      </c>
      <c r="Q529" s="10" t="s">
        <v>209</v>
      </c>
      <c r="S529" s="16" t="str">
        <f>MID(Q529,9,30)</f>
        <v>Theresa E Frice</v>
      </c>
      <c r="T529" s="31">
        <v>41432</v>
      </c>
    </row>
    <row r="530" spans="1:20">
      <c r="A530" s="16">
        <v>6</v>
      </c>
      <c r="B530" s="16" t="s">
        <v>140</v>
      </c>
      <c r="C530" s="16">
        <v>372</v>
      </c>
      <c r="D530" t="s">
        <v>295</v>
      </c>
      <c r="E530" s="16" t="s">
        <v>296</v>
      </c>
      <c r="F530" s="2">
        <v>30209</v>
      </c>
      <c r="G530" s="2">
        <v>30758</v>
      </c>
      <c r="H530" s="2">
        <v>39454</v>
      </c>
      <c r="I530" s="25">
        <v>41455</v>
      </c>
      <c r="J530" s="2">
        <v>38264</v>
      </c>
      <c r="K530" s="2">
        <v>37796</v>
      </c>
      <c r="L530" t="s">
        <v>297</v>
      </c>
      <c r="M530" t="s">
        <v>297</v>
      </c>
      <c r="N530" s="23" t="str">
        <f t="shared" si="50"/>
        <v>N</v>
      </c>
      <c r="O530" s="16" t="s">
        <v>1522</v>
      </c>
      <c r="P530" s="10" t="s">
        <v>208</v>
      </c>
      <c r="Q530" s="10" t="s">
        <v>209</v>
      </c>
      <c r="S530" s="16" t="str">
        <f>MID(Q530,9,30)</f>
        <v>Theresa E Frice</v>
      </c>
      <c r="T530" s="31" t="s">
        <v>1523</v>
      </c>
    </row>
    <row r="531" spans="1:20" customFormat="1" hidden="1">
      <c r="A531" t="s">
        <v>208</v>
      </c>
      <c r="B531" t="s">
        <v>210</v>
      </c>
      <c r="I531" s="6"/>
    </row>
    <row r="532" spans="1:20">
      <c r="A532" s="16">
        <v>6</v>
      </c>
      <c r="B532" s="16" t="s">
        <v>140</v>
      </c>
      <c r="C532" s="16">
        <v>396</v>
      </c>
      <c r="D532" t="s">
        <v>295</v>
      </c>
      <c r="E532" s="16" t="s">
        <v>296</v>
      </c>
      <c r="F532" s="2">
        <v>30480</v>
      </c>
      <c r="G532" s="2">
        <v>31129</v>
      </c>
      <c r="H532" s="2">
        <v>38632</v>
      </c>
      <c r="I532" s="25">
        <v>41820</v>
      </c>
      <c r="J532" s="2">
        <v>36021</v>
      </c>
      <c r="K532" s="2">
        <v>35705</v>
      </c>
      <c r="L532" t="s">
        <v>297</v>
      </c>
      <c r="M532" t="s">
        <v>297</v>
      </c>
      <c r="N532" s="23" t="str">
        <f t="shared" ref="N532:N539" si="51">IF((I532&gt;$W$2),"Y","N")</f>
        <v>Y</v>
      </c>
      <c r="O532" s="30" t="s">
        <v>1785</v>
      </c>
      <c r="P532" s="10" t="s">
        <v>208</v>
      </c>
      <c r="Q532" s="10" t="s">
        <v>209</v>
      </c>
      <c r="S532" s="16" t="str">
        <f t="shared" ref="S532:S539" si="52">MID(Q532,9,30)</f>
        <v>Theresa E Frice</v>
      </c>
      <c r="T532" s="31">
        <v>41428</v>
      </c>
    </row>
    <row r="533" spans="1:20">
      <c r="A533" s="16">
        <v>6</v>
      </c>
      <c r="B533" s="16" t="s">
        <v>140</v>
      </c>
      <c r="C533" s="16">
        <v>428</v>
      </c>
      <c r="D533" t="s">
        <v>295</v>
      </c>
      <c r="E533" s="16" t="s">
        <v>296</v>
      </c>
      <c r="F533" s="2">
        <v>30758</v>
      </c>
      <c r="G533" s="2">
        <v>31493</v>
      </c>
      <c r="H533" s="2">
        <v>39477</v>
      </c>
      <c r="I533" s="25">
        <v>41455</v>
      </c>
      <c r="J533" s="2">
        <v>39426</v>
      </c>
      <c r="K533" s="2">
        <v>35452</v>
      </c>
      <c r="L533" t="s">
        <v>297</v>
      </c>
      <c r="M533" t="s">
        <v>297</v>
      </c>
      <c r="N533" s="23" t="str">
        <f t="shared" si="51"/>
        <v>N</v>
      </c>
      <c r="O533" s="30" t="s">
        <v>1786</v>
      </c>
      <c r="P533" s="10" t="s">
        <v>208</v>
      </c>
      <c r="Q533" s="10" t="s">
        <v>209</v>
      </c>
      <c r="S533" s="16" t="str">
        <f t="shared" si="52"/>
        <v>Theresa E Frice</v>
      </c>
      <c r="T533" s="31" t="s">
        <v>1480</v>
      </c>
    </row>
    <row r="534" spans="1:20">
      <c r="A534" s="16">
        <v>6</v>
      </c>
      <c r="B534" s="16" t="s">
        <v>140</v>
      </c>
      <c r="C534" s="16">
        <v>980</v>
      </c>
      <c r="D534" t="s">
        <v>295</v>
      </c>
      <c r="E534" s="16" t="s">
        <v>296</v>
      </c>
      <c r="F534" s="2">
        <v>34541</v>
      </c>
      <c r="G534" s="2">
        <v>35573</v>
      </c>
      <c r="H534" s="2">
        <v>39342</v>
      </c>
      <c r="I534" s="25">
        <v>41820</v>
      </c>
      <c r="K534" s="2">
        <v>39339</v>
      </c>
      <c r="L534" t="s">
        <v>297</v>
      </c>
      <c r="M534" t="s">
        <v>297</v>
      </c>
      <c r="N534" s="23" t="str">
        <f t="shared" si="51"/>
        <v>Y</v>
      </c>
      <c r="O534" s="30" t="s">
        <v>1787</v>
      </c>
      <c r="P534" s="10" t="s">
        <v>208</v>
      </c>
      <c r="Q534" s="10" t="s">
        <v>209</v>
      </c>
      <c r="S534" s="16" t="str">
        <f t="shared" si="52"/>
        <v>Theresa E Frice</v>
      </c>
      <c r="T534" s="31">
        <v>41432</v>
      </c>
    </row>
    <row r="535" spans="1:20">
      <c r="A535" s="16">
        <v>6</v>
      </c>
      <c r="B535" s="16" t="s">
        <v>140</v>
      </c>
      <c r="C535" s="16">
        <v>1466</v>
      </c>
      <c r="D535" t="s">
        <v>295</v>
      </c>
      <c r="E535" s="16" t="s">
        <v>296</v>
      </c>
      <c r="F535" s="2">
        <v>38023</v>
      </c>
      <c r="G535" s="2">
        <v>38776</v>
      </c>
      <c r="H535" s="2">
        <v>39333</v>
      </c>
      <c r="I535" s="25">
        <v>41820</v>
      </c>
      <c r="L535" t="s">
        <v>297</v>
      </c>
      <c r="M535" t="s">
        <v>322</v>
      </c>
      <c r="N535" s="23" t="str">
        <f t="shared" si="51"/>
        <v>Y</v>
      </c>
      <c r="O535" s="16" t="s">
        <v>696</v>
      </c>
      <c r="P535" s="10" t="s">
        <v>208</v>
      </c>
      <c r="Q535" s="10" t="s">
        <v>209</v>
      </c>
      <c r="S535" s="16" t="str">
        <f t="shared" si="52"/>
        <v>Theresa E Frice</v>
      </c>
      <c r="T535" s="31">
        <v>41437</v>
      </c>
    </row>
    <row r="536" spans="1:20">
      <c r="A536" s="16">
        <v>6</v>
      </c>
      <c r="B536" s="16" t="s">
        <v>149</v>
      </c>
      <c r="C536" s="16">
        <v>700</v>
      </c>
      <c r="D536" s="7" t="s">
        <v>295</v>
      </c>
      <c r="E536" s="16" t="s">
        <v>316</v>
      </c>
      <c r="F536" s="2">
        <v>32760</v>
      </c>
      <c r="G536" s="2">
        <v>34484</v>
      </c>
      <c r="H536" s="2">
        <v>37846</v>
      </c>
      <c r="I536" s="25">
        <v>37255</v>
      </c>
      <c r="J536" s="2">
        <v>35205</v>
      </c>
      <c r="K536" s="2">
        <v>35157</v>
      </c>
      <c r="L536" t="s">
        <v>297</v>
      </c>
      <c r="M536" t="s">
        <v>297</v>
      </c>
      <c r="N536" s="23" t="str">
        <f t="shared" si="51"/>
        <v>N</v>
      </c>
      <c r="O536" s="16" t="s">
        <v>697</v>
      </c>
      <c r="P536" s="10" t="s">
        <v>208</v>
      </c>
      <c r="Q536" s="10" t="s">
        <v>210</v>
      </c>
      <c r="S536" s="16" t="str">
        <f t="shared" si="52"/>
        <v>Donald L Finch</v>
      </c>
    </row>
    <row r="537" spans="1:20">
      <c r="A537" s="16">
        <v>6</v>
      </c>
      <c r="B537" s="16" t="s">
        <v>149</v>
      </c>
      <c r="C537" s="16">
        <v>702</v>
      </c>
      <c r="D537" s="7" t="s">
        <v>295</v>
      </c>
      <c r="E537" s="16" t="s">
        <v>296</v>
      </c>
      <c r="F537" s="2">
        <v>32760</v>
      </c>
      <c r="G537" s="2">
        <v>35209</v>
      </c>
      <c r="H537" s="2">
        <v>39126</v>
      </c>
      <c r="I537" s="25">
        <v>41820</v>
      </c>
      <c r="K537" s="2">
        <v>36326</v>
      </c>
      <c r="L537" t="s">
        <v>297</v>
      </c>
      <c r="M537" t="s">
        <v>297</v>
      </c>
      <c r="N537" s="23" t="str">
        <f t="shared" si="51"/>
        <v>Y</v>
      </c>
      <c r="O537" s="30" t="s">
        <v>1788</v>
      </c>
      <c r="P537" s="10" t="s">
        <v>208</v>
      </c>
      <c r="Q537" s="10" t="s">
        <v>210</v>
      </c>
      <c r="S537" s="16" t="str">
        <f t="shared" si="52"/>
        <v>Donald L Finch</v>
      </c>
      <c r="T537" s="31" t="s">
        <v>1617</v>
      </c>
    </row>
    <row r="538" spans="1:20">
      <c r="A538" s="16">
        <v>6</v>
      </c>
      <c r="B538" s="16" t="s">
        <v>149</v>
      </c>
      <c r="C538" s="16">
        <v>731</v>
      </c>
      <c r="D538" s="7" t="s">
        <v>295</v>
      </c>
      <c r="E538" s="16" t="s">
        <v>296</v>
      </c>
      <c r="F538" s="2">
        <v>32949</v>
      </c>
      <c r="G538" s="2">
        <v>33686</v>
      </c>
      <c r="H538" s="2">
        <v>39461</v>
      </c>
      <c r="I538" s="25">
        <v>41820</v>
      </c>
      <c r="J538" s="2">
        <v>34022</v>
      </c>
      <c r="K538" s="2">
        <v>35859</v>
      </c>
      <c r="L538" t="s">
        <v>297</v>
      </c>
      <c r="M538" t="s">
        <v>297</v>
      </c>
      <c r="N538" s="23" t="str">
        <f t="shared" si="51"/>
        <v>Y</v>
      </c>
      <c r="O538" s="16" t="s">
        <v>699</v>
      </c>
      <c r="P538" s="10" t="s">
        <v>208</v>
      </c>
      <c r="Q538" s="10" t="s">
        <v>210</v>
      </c>
      <c r="S538" s="16" t="str">
        <f t="shared" si="52"/>
        <v>Donald L Finch</v>
      </c>
      <c r="T538" s="31">
        <v>41439</v>
      </c>
    </row>
    <row r="539" spans="1:20">
      <c r="A539" s="16">
        <v>6</v>
      </c>
      <c r="B539" s="16" t="s">
        <v>149</v>
      </c>
      <c r="C539" s="16">
        <v>1005</v>
      </c>
      <c r="D539" s="7" t="s">
        <v>295</v>
      </c>
      <c r="E539" s="16" t="s">
        <v>296</v>
      </c>
      <c r="F539" s="2">
        <v>34592</v>
      </c>
      <c r="G539" s="2">
        <v>35743</v>
      </c>
      <c r="H539" s="2">
        <v>39477</v>
      </c>
      <c r="I539" s="25" t="s">
        <v>1266</v>
      </c>
      <c r="K539" s="2">
        <v>35577</v>
      </c>
      <c r="L539" t="s">
        <v>317</v>
      </c>
      <c r="M539" t="s">
        <v>297</v>
      </c>
      <c r="N539" s="23" t="str">
        <f t="shared" si="51"/>
        <v>Y</v>
      </c>
      <c r="O539" s="30" t="s">
        <v>1789</v>
      </c>
      <c r="P539" s="10" t="s">
        <v>208</v>
      </c>
      <c r="Q539" s="10" t="s">
        <v>210</v>
      </c>
      <c r="S539" s="16" t="str">
        <f t="shared" si="52"/>
        <v>Donald L Finch</v>
      </c>
      <c r="T539" s="31" t="s">
        <v>1262</v>
      </c>
    </row>
    <row r="540" spans="1:20" customFormat="1" hidden="1">
      <c r="A540" t="s">
        <v>208</v>
      </c>
      <c r="B540" t="s">
        <v>211</v>
      </c>
      <c r="I540" s="6"/>
    </row>
    <row r="541" spans="1:20">
      <c r="A541" s="16">
        <v>6</v>
      </c>
      <c r="B541" s="16" t="s">
        <v>149</v>
      </c>
      <c r="C541" s="16">
        <v>1056</v>
      </c>
      <c r="D541" s="7" t="s">
        <v>295</v>
      </c>
      <c r="E541" s="16" t="s">
        <v>296</v>
      </c>
      <c r="F541" s="2">
        <v>34830</v>
      </c>
      <c r="G541" s="2">
        <v>36363</v>
      </c>
      <c r="H541" s="2">
        <v>39231</v>
      </c>
      <c r="I541" s="25">
        <v>41820</v>
      </c>
      <c r="K541" s="2">
        <v>38491</v>
      </c>
      <c r="L541" t="s">
        <v>297</v>
      </c>
      <c r="M541" t="s">
        <v>297</v>
      </c>
      <c r="N541" s="23" t="str">
        <f t="shared" ref="N541:N551" si="53">IF((I541&gt;$W$2),"Y","N")</f>
        <v>Y</v>
      </c>
      <c r="O541" s="30" t="s">
        <v>1790</v>
      </c>
      <c r="P541" s="10" t="s">
        <v>208</v>
      </c>
      <c r="Q541" s="10" t="s">
        <v>210</v>
      </c>
      <c r="S541" s="16" t="str">
        <f t="shared" ref="S541:S551" si="54">MID(Q541,9,30)</f>
        <v>Donald L Finch</v>
      </c>
      <c r="T541" s="31">
        <v>41471</v>
      </c>
    </row>
    <row r="542" spans="1:20">
      <c r="A542" s="16">
        <v>6</v>
      </c>
      <c r="B542" s="16" t="s">
        <v>149</v>
      </c>
      <c r="C542" s="16">
        <v>1109</v>
      </c>
      <c r="D542" s="7" t="s">
        <v>295</v>
      </c>
      <c r="E542" s="16" t="s">
        <v>296</v>
      </c>
      <c r="F542" s="2">
        <v>35191</v>
      </c>
      <c r="G542" s="2">
        <v>36238</v>
      </c>
      <c r="H542" s="2">
        <v>39496</v>
      </c>
      <c r="I542" s="25">
        <v>41455</v>
      </c>
      <c r="K542" s="2">
        <v>36185</v>
      </c>
      <c r="L542" t="s">
        <v>297</v>
      </c>
      <c r="M542" t="s">
        <v>297</v>
      </c>
      <c r="N542" s="23" t="str">
        <f t="shared" si="53"/>
        <v>N</v>
      </c>
      <c r="O542" s="30" t="s">
        <v>1791</v>
      </c>
      <c r="P542" s="10" t="s">
        <v>208</v>
      </c>
      <c r="Q542" s="10" t="s">
        <v>210</v>
      </c>
      <c r="S542" s="16" t="str">
        <f t="shared" si="54"/>
        <v>Donald L Finch</v>
      </c>
      <c r="T542" s="31" t="s">
        <v>1350</v>
      </c>
    </row>
    <row r="543" spans="1:20">
      <c r="A543" s="16">
        <v>6</v>
      </c>
      <c r="B543" s="16" t="s">
        <v>149</v>
      </c>
      <c r="C543" s="16">
        <v>1186</v>
      </c>
      <c r="D543" s="7" t="s">
        <v>295</v>
      </c>
      <c r="E543" s="16" t="s">
        <v>316</v>
      </c>
      <c r="F543" s="2">
        <v>35551</v>
      </c>
      <c r="H543" s="2">
        <v>37705</v>
      </c>
      <c r="I543" s="25">
        <v>37621</v>
      </c>
      <c r="L543" t="s">
        <v>322</v>
      </c>
      <c r="M543" t="s">
        <v>297</v>
      </c>
      <c r="N543" s="23" t="str">
        <f t="shared" si="53"/>
        <v>N</v>
      </c>
      <c r="O543" s="16" t="s">
        <v>704</v>
      </c>
      <c r="P543" s="10" t="s">
        <v>208</v>
      </c>
      <c r="Q543" s="10" t="s">
        <v>210</v>
      </c>
      <c r="S543" s="16" t="str">
        <f t="shared" si="54"/>
        <v>Donald L Finch</v>
      </c>
    </row>
    <row r="544" spans="1:20">
      <c r="A544" s="16">
        <v>6</v>
      </c>
      <c r="B544" s="16" t="s">
        <v>149</v>
      </c>
      <c r="C544" s="16">
        <v>1194</v>
      </c>
      <c r="D544" s="7" t="s">
        <v>295</v>
      </c>
      <c r="E544" s="16" t="s">
        <v>316</v>
      </c>
      <c r="F544" s="2">
        <v>35572</v>
      </c>
      <c r="G544" s="2">
        <v>36675</v>
      </c>
      <c r="H544" s="2">
        <v>38310</v>
      </c>
      <c r="I544" s="25">
        <v>38411</v>
      </c>
      <c r="J544" s="2">
        <v>38306</v>
      </c>
      <c r="K544" s="2">
        <v>36440</v>
      </c>
      <c r="L544" t="s">
        <v>322</v>
      </c>
      <c r="M544" t="s">
        <v>297</v>
      </c>
      <c r="N544" s="23" t="str">
        <f t="shared" si="53"/>
        <v>N</v>
      </c>
      <c r="O544" s="16" t="s">
        <v>705</v>
      </c>
      <c r="P544" s="10" t="s">
        <v>208</v>
      </c>
      <c r="Q544" s="10" t="s">
        <v>210</v>
      </c>
      <c r="S544" s="16" t="str">
        <f t="shared" si="54"/>
        <v>Donald L Finch</v>
      </c>
    </row>
    <row r="545" spans="1:21">
      <c r="A545" s="16">
        <v>6</v>
      </c>
      <c r="B545" s="16" t="s">
        <v>149</v>
      </c>
      <c r="C545" s="16">
        <v>1236</v>
      </c>
      <c r="D545" s="7" t="s">
        <v>295</v>
      </c>
      <c r="E545" s="30" t="s">
        <v>296</v>
      </c>
      <c r="F545" s="2">
        <v>35844</v>
      </c>
      <c r="H545" s="2">
        <v>39095</v>
      </c>
      <c r="I545" s="25">
        <v>41820</v>
      </c>
      <c r="K545" s="2">
        <v>36237</v>
      </c>
      <c r="L545" t="s">
        <v>297</v>
      </c>
      <c r="M545" t="s">
        <v>297</v>
      </c>
      <c r="N545" s="23" t="str">
        <f t="shared" si="53"/>
        <v>Y</v>
      </c>
      <c r="O545" s="30" t="s">
        <v>1792</v>
      </c>
      <c r="P545" s="10" t="s">
        <v>208</v>
      </c>
      <c r="Q545" s="10" t="s">
        <v>210</v>
      </c>
      <c r="S545" s="16" t="str">
        <f t="shared" si="54"/>
        <v>Donald L Finch</v>
      </c>
      <c r="T545" s="31">
        <v>41470</v>
      </c>
    </row>
    <row r="546" spans="1:21">
      <c r="A546" s="16">
        <v>6</v>
      </c>
      <c r="B546" s="16" t="s">
        <v>149</v>
      </c>
      <c r="C546" s="16">
        <v>1273</v>
      </c>
      <c r="D546" t="s">
        <v>295</v>
      </c>
      <c r="E546" s="16" t="s">
        <v>296</v>
      </c>
      <c r="F546" s="2">
        <v>36084</v>
      </c>
      <c r="G546" s="2">
        <v>37575</v>
      </c>
      <c r="H546" s="2">
        <v>39151</v>
      </c>
      <c r="I546" s="25">
        <v>41820</v>
      </c>
      <c r="L546" t="s">
        <v>297</v>
      </c>
      <c r="M546" t="s">
        <v>297</v>
      </c>
      <c r="N546" s="23" t="str">
        <f t="shared" si="53"/>
        <v>Y</v>
      </c>
      <c r="O546" s="30" t="s">
        <v>1793</v>
      </c>
      <c r="P546" s="10" t="s">
        <v>208</v>
      </c>
      <c r="Q546" s="10" t="s">
        <v>210</v>
      </c>
      <c r="S546" s="16" t="str">
        <f t="shared" si="54"/>
        <v>Donald L Finch</v>
      </c>
      <c r="T546" s="31">
        <v>41425</v>
      </c>
    </row>
    <row r="547" spans="1:21">
      <c r="A547" s="16">
        <v>6</v>
      </c>
      <c r="B547" s="16" t="s">
        <v>149</v>
      </c>
      <c r="C547" s="16">
        <v>1329</v>
      </c>
      <c r="D547" s="7" t="s">
        <v>295</v>
      </c>
      <c r="E547" s="16" t="s">
        <v>299</v>
      </c>
      <c r="F547" s="2">
        <v>36579</v>
      </c>
      <c r="H547" s="2">
        <v>39265</v>
      </c>
      <c r="I547" s="25">
        <v>41455</v>
      </c>
      <c r="K547" s="2">
        <v>39324</v>
      </c>
      <c r="L547" t="s">
        <v>297</v>
      </c>
      <c r="M547" t="s">
        <v>297</v>
      </c>
      <c r="N547" s="23" t="str">
        <f t="shared" si="53"/>
        <v>N</v>
      </c>
      <c r="O547" s="30" t="s">
        <v>1794</v>
      </c>
      <c r="P547" s="10" t="s">
        <v>208</v>
      </c>
      <c r="Q547" s="10" t="s">
        <v>210</v>
      </c>
      <c r="S547" s="16" t="str">
        <f t="shared" si="54"/>
        <v>Donald L Finch</v>
      </c>
      <c r="T547" s="31" t="s">
        <v>1365</v>
      </c>
    </row>
    <row r="548" spans="1:21">
      <c r="A548" s="16">
        <v>6</v>
      </c>
      <c r="B548" s="16" t="s">
        <v>149</v>
      </c>
      <c r="C548" s="16">
        <v>1367</v>
      </c>
      <c r="D548" s="7" t="s">
        <v>295</v>
      </c>
      <c r="E548" s="16" t="s">
        <v>296</v>
      </c>
      <c r="F548" s="2">
        <v>36902</v>
      </c>
      <c r="G548" s="2">
        <v>38996</v>
      </c>
      <c r="H548" s="2">
        <v>39122</v>
      </c>
      <c r="I548" s="25">
        <v>41820</v>
      </c>
      <c r="L548" t="s">
        <v>322</v>
      </c>
      <c r="M548" t="s">
        <v>297</v>
      </c>
      <c r="N548" s="23" t="str">
        <f t="shared" si="53"/>
        <v>Y</v>
      </c>
      <c r="O548" s="30" t="s">
        <v>1795</v>
      </c>
      <c r="P548" s="10" t="s">
        <v>208</v>
      </c>
      <c r="Q548" s="10" t="s">
        <v>210</v>
      </c>
      <c r="S548" s="16" t="str">
        <f t="shared" si="54"/>
        <v>Donald L Finch</v>
      </c>
      <c r="T548" s="31">
        <v>41432</v>
      </c>
    </row>
    <row r="549" spans="1:21">
      <c r="A549" s="16">
        <v>6</v>
      </c>
      <c r="B549" s="16" t="s">
        <v>149</v>
      </c>
      <c r="C549" s="16">
        <v>1437</v>
      </c>
      <c r="D549" t="s">
        <v>295</v>
      </c>
      <c r="E549" s="16" t="s">
        <v>296</v>
      </c>
      <c r="F549" s="2">
        <v>37685</v>
      </c>
      <c r="H549" s="2">
        <v>38373</v>
      </c>
      <c r="I549" s="25">
        <v>41820</v>
      </c>
      <c r="L549" t="s">
        <v>297</v>
      </c>
      <c r="N549" s="23" t="str">
        <f t="shared" si="53"/>
        <v>Y</v>
      </c>
      <c r="O549" s="30" t="s">
        <v>1796</v>
      </c>
      <c r="P549" s="10" t="s">
        <v>208</v>
      </c>
      <c r="Q549" s="10" t="s">
        <v>210</v>
      </c>
      <c r="S549" s="16" t="str">
        <f t="shared" si="54"/>
        <v>Donald L Finch</v>
      </c>
      <c r="T549" s="31">
        <v>41424</v>
      </c>
    </row>
    <row r="550" spans="1:21">
      <c r="A550" s="16">
        <v>6</v>
      </c>
      <c r="B550" s="16" t="s">
        <v>149</v>
      </c>
      <c r="C550" s="16">
        <v>1469</v>
      </c>
      <c r="D550" s="7" t="s">
        <v>295</v>
      </c>
      <c r="E550" s="30" t="s">
        <v>296</v>
      </c>
      <c r="F550" s="2">
        <v>38037</v>
      </c>
      <c r="H550" s="2">
        <v>39505</v>
      </c>
      <c r="I550" s="25">
        <v>41820</v>
      </c>
      <c r="K550" s="2">
        <v>38440</v>
      </c>
      <c r="L550" t="s">
        <v>297</v>
      </c>
      <c r="M550" t="s">
        <v>297</v>
      </c>
      <c r="N550" s="23" t="str">
        <f t="shared" si="53"/>
        <v>Y</v>
      </c>
      <c r="O550" s="16" t="s">
        <v>1558</v>
      </c>
      <c r="P550" s="10" t="s">
        <v>208</v>
      </c>
      <c r="Q550" s="10" t="s">
        <v>210</v>
      </c>
      <c r="S550" s="16" t="str">
        <f t="shared" si="54"/>
        <v>Donald L Finch</v>
      </c>
      <c r="T550" s="31">
        <v>41477</v>
      </c>
    </row>
    <row r="551" spans="1:21">
      <c r="A551" s="16">
        <v>6</v>
      </c>
      <c r="B551" s="16" t="s">
        <v>149</v>
      </c>
      <c r="C551" s="16">
        <v>1512</v>
      </c>
      <c r="D551" s="7" t="s">
        <v>295</v>
      </c>
      <c r="E551" s="16" t="s">
        <v>296</v>
      </c>
      <c r="F551" s="2">
        <v>38722</v>
      </c>
      <c r="H551" s="2">
        <v>39471</v>
      </c>
      <c r="I551" s="25">
        <v>41820</v>
      </c>
      <c r="J551" s="2">
        <v>38722</v>
      </c>
      <c r="L551" t="s">
        <v>297</v>
      </c>
      <c r="M551" t="s">
        <v>297</v>
      </c>
      <c r="N551" s="23" t="str">
        <f t="shared" si="53"/>
        <v>Y</v>
      </c>
      <c r="O551" s="30" t="s">
        <v>1797</v>
      </c>
      <c r="P551" s="10" t="s">
        <v>208</v>
      </c>
      <c r="Q551" s="10" t="s">
        <v>210</v>
      </c>
      <c r="S551" s="16" t="str">
        <f t="shared" si="54"/>
        <v>Donald L Finch</v>
      </c>
      <c r="T551" s="31">
        <v>41423</v>
      </c>
    </row>
    <row r="552" spans="1:21" customFormat="1" hidden="1">
      <c r="A552" t="s">
        <v>208</v>
      </c>
      <c r="B552" t="s">
        <v>212</v>
      </c>
      <c r="I552" s="6"/>
    </row>
    <row r="553" spans="1:21">
      <c r="A553" s="16">
        <v>6</v>
      </c>
      <c r="B553" s="16" t="s">
        <v>149</v>
      </c>
      <c r="C553" s="16">
        <v>1532</v>
      </c>
      <c r="D553" t="s">
        <v>295</v>
      </c>
      <c r="E553" s="16" t="s">
        <v>316</v>
      </c>
      <c r="F553" s="2">
        <v>39142</v>
      </c>
      <c r="H553" s="2">
        <v>39394</v>
      </c>
      <c r="I553" s="25">
        <v>39629</v>
      </c>
      <c r="L553" t="s">
        <v>297</v>
      </c>
      <c r="M553" t="s">
        <v>322</v>
      </c>
      <c r="N553" s="23" t="str">
        <f t="shared" ref="N553:N558" si="55">IF((I553&gt;$W$2),"Y","N")</f>
        <v>N</v>
      </c>
      <c r="O553" s="16" t="s">
        <v>713</v>
      </c>
      <c r="P553" s="10" t="s">
        <v>208</v>
      </c>
      <c r="Q553" s="10" t="s">
        <v>210</v>
      </c>
      <c r="S553" s="16" t="str">
        <f>MID(Q553,9,30)</f>
        <v>Donald L Finch</v>
      </c>
    </row>
    <row r="554" spans="1:21">
      <c r="A554" s="16">
        <v>6</v>
      </c>
      <c r="B554" s="16" t="s">
        <v>149</v>
      </c>
      <c r="C554" s="16">
        <v>1556</v>
      </c>
      <c r="D554" t="s">
        <v>295</v>
      </c>
      <c r="E554" s="16" t="s">
        <v>299</v>
      </c>
      <c r="F554" s="2">
        <v>39448</v>
      </c>
      <c r="H554" s="2">
        <v>39524</v>
      </c>
      <c r="I554" s="25">
        <v>41455</v>
      </c>
      <c r="L554" t="s">
        <v>297</v>
      </c>
      <c r="M554" t="s">
        <v>297</v>
      </c>
      <c r="N554" s="23" t="str">
        <f t="shared" si="55"/>
        <v>N</v>
      </c>
      <c r="O554" s="30" t="s">
        <v>1798</v>
      </c>
      <c r="P554" s="10" t="s">
        <v>208</v>
      </c>
      <c r="Q554" s="10" t="s">
        <v>210</v>
      </c>
      <c r="S554" s="16" t="str">
        <f>MID(Q554,9,30)</f>
        <v>Donald L Finch</v>
      </c>
      <c r="T554" s="31" t="s">
        <v>1379</v>
      </c>
      <c r="U554" s="24">
        <v>39965</v>
      </c>
    </row>
    <row r="555" spans="1:21">
      <c r="A555" s="16">
        <v>6</v>
      </c>
      <c r="B555" s="16" t="s">
        <v>149</v>
      </c>
      <c r="C555" s="16">
        <v>1582</v>
      </c>
      <c r="E555" s="16" t="s">
        <v>299</v>
      </c>
      <c r="F555" s="2">
        <v>38216</v>
      </c>
      <c r="H555" s="2">
        <v>38216</v>
      </c>
      <c r="I555" s="25">
        <v>40359</v>
      </c>
      <c r="L555" t="s">
        <v>297</v>
      </c>
      <c r="M555" t="s">
        <v>322</v>
      </c>
      <c r="N555" s="21" t="str">
        <f t="shared" si="55"/>
        <v>N</v>
      </c>
      <c r="O555" s="16" t="s">
        <v>1344</v>
      </c>
    </row>
    <row r="556" spans="1:21">
      <c r="A556" s="16">
        <v>6</v>
      </c>
      <c r="B556" s="16" t="s">
        <v>296</v>
      </c>
      <c r="C556" s="16">
        <v>184</v>
      </c>
      <c r="D556" t="s">
        <v>295</v>
      </c>
      <c r="E556" s="16" t="s">
        <v>296</v>
      </c>
      <c r="F556" s="2">
        <v>28607</v>
      </c>
      <c r="G556" s="2">
        <v>33320</v>
      </c>
      <c r="H556" s="2">
        <v>39463</v>
      </c>
      <c r="I556" s="25">
        <v>41820</v>
      </c>
      <c r="K556" s="2">
        <v>35717</v>
      </c>
      <c r="L556" t="s">
        <v>339</v>
      </c>
      <c r="M556" t="s">
        <v>297</v>
      </c>
      <c r="N556" s="23" t="str">
        <f t="shared" si="55"/>
        <v>Y</v>
      </c>
      <c r="O556" s="30" t="s">
        <v>1799</v>
      </c>
      <c r="P556" s="10" t="s">
        <v>208</v>
      </c>
      <c r="Q556" s="10" t="s">
        <v>211</v>
      </c>
      <c r="S556" s="16" t="str">
        <f>MID(Q556,9,30)</f>
        <v>Charles A Rufa</v>
      </c>
      <c r="T556" s="31">
        <v>41460</v>
      </c>
    </row>
    <row r="557" spans="1:21">
      <c r="A557" s="16">
        <v>6</v>
      </c>
      <c r="B557" s="16" t="s">
        <v>296</v>
      </c>
      <c r="C557" s="16">
        <v>210</v>
      </c>
      <c r="D557" s="7" t="s">
        <v>295</v>
      </c>
      <c r="E557" s="16" t="s">
        <v>296</v>
      </c>
      <c r="F557" s="2">
        <v>28832</v>
      </c>
      <c r="G557" s="2">
        <v>29112</v>
      </c>
      <c r="H557" s="2">
        <v>39240</v>
      </c>
      <c r="I557" s="25">
        <v>41820</v>
      </c>
      <c r="J557" s="2">
        <v>37769</v>
      </c>
      <c r="K557" s="2">
        <v>35768</v>
      </c>
      <c r="L557" t="s">
        <v>297</v>
      </c>
      <c r="M557" t="s">
        <v>297</v>
      </c>
      <c r="N557" s="23" t="str">
        <f t="shared" si="55"/>
        <v>Y</v>
      </c>
      <c r="O557" s="30" t="s">
        <v>1800</v>
      </c>
      <c r="P557" s="10" t="s">
        <v>208</v>
      </c>
      <c r="Q557" s="10" t="s">
        <v>211</v>
      </c>
      <c r="S557" s="16" t="str">
        <f>MID(Q557,9,30)</f>
        <v>Charles A Rufa</v>
      </c>
      <c r="T557" s="31">
        <v>41425</v>
      </c>
    </row>
    <row r="558" spans="1:21">
      <c r="A558" s="16">
        <v>6</v>
      </c>
      <c r="B558" s="16" t="s">
        <v>296</v>
      </c>
      <c r="C558" s="16">
        <v>300</v>
      </c>
      <c r="D558" s="7" t="s">
        <v>295</v>
      </c>
      <c r="E558" s="16" t="s">
        <v>296</v>
      </c>
      <c r="F558" s="2">
        <v>29637</v>
      </c>
      <c r="G558" s="2">
        <v>30394</v>
      </c>
      <c r="H558" s="2">
        <v>39443</v>
      </c>
      <c r="I558" s="25">
        <v>41820</v>
      </c>
      <c r="K558" s="2">
        <v>35460</v>
      </c>
      <c r="L558" t="s">
        <v>297</v>
      </c>
      <c r="M558" t="s">
        <v>297</v>
      </c>
      <c r="N558" s="23" t="str">
        <f t="shared" si="55"/>
        <v>Y</v>
      </c>
      <c r="O558" s="30" t="s">
        <v>1801</v>
      </c>
      <c r="P558" s="10" t="s">
        <v>208</v>
      </c>
      <c r="Q558" s="10" t="s">
        <v>211</v>
      </c>
      <c r="S558" s="16" t="str">
        <f>MID(Q558,9,30)</f>
        <v>Charles A Rufa</v>
      </c>
      <c r="T558" s="31">
        <v>41471</v>
      </c>
    </row>
    <row r="559" spans="1:21" customFormat="1" hidden="1">
      <c r="A559" t="s">
        <v>208</v>
      </c>
      <c r="B559" t="s">
        <v>213</v>
      </c>
      <c r="I559" s="6"/>
    </row>
    <row r="560" spans="1:21">
      <c r="A560" s="16">
        <v>6</v>
      </c>
      <c r="B560" s="16" t="s">
        <v>296</v>
      </c>
      <c r="C560" s="16">
        <v>367</v>
      </c>
      <c r="D560" s="7" t="s">
        <v>295</v>
      </c>
      <c r="E560" s="16" t="s">
        <v>296</v>
      </c>
      <c r="F560" s="2">
        <v>30274</v>
      </c>
      <c r="G560" s="2">
        <v>31112</v>
      </c>
      <c r="H560" s="2">
        <v>39491</v>
      </c>
      <c r="I560" s="25">
        <v>41820</v>
      </c>
      <c r="J560" s="2">
        <v>35954</v>
      </c>
      <c r="K560" s="2">
        <v>35862</v>
      </c>
      <c r="L560" t="s">
        <v>297</v>
      </c>
      <c r="M560" t="s">
        <v>297</v>
      </c>
      <c r="N560" s="23" t="str">
        <f t="shared" ref="N560:N565" si="56">IF((I560&gt;$W$2),"Y","N")</f>
        <v>Y</v>
      </c>
      <c r="O560" s="16" t="s">
        <v>1578</v>
      </c>
      <c r="P560" s="10" t="s">
        <v>208</v>
      </c>
      <c r="Q560" s="10" t="s">
        <v>211</v>
      </c>
      <c r="S560" s="16" t="str">
        <f t="shared" ref="S560:S565" si="57">MID(Q560,9,30)</f>
        <v>Charles A Rufa</v>
      </c>
      <c r="T560" s="31" t="s">
        <v>1567</v>
      </c>
    </row>
    <row r="561" spans="1:33">
      <c r="A561" s="16">
        <v>6</v>
      </c>
      <c r="B561" s="16" t="s">
        <v>296</v>
      </c>
      <c r="C561" s="16">
        <v>458</v>
      </c>
      <c r="D561" s="7" t="s">
        <v>295</v>
      </c>
      <c r="E561" s="16" t="s">
        <v>296</v>
      </c>
      <c r="F561" s="2">
        <v>31129</v>
      </c>
      <c r="G561" s="2">
        <v>31738</v>
      </c>
      <c r="H561" s="2">
        <v>39473</v>
      </c>
      <c r="I561" s="25">
        <v>41820</v>
      </c>
      <c r="J561" s="2">
        <v>34212</v>
      </c>
      <c r="K561" s="2">
        <v>35907</v>
      </c>
      <c r="L561" t="s">
        <v>297</v>
      </c>
      <c r="M561" t="s">
        <v>297</v>
      </c>
      <c r="N561" s="23" t="str">
        <f t="shared" si="56"/>
        <v>Y</v>
      </c>
      <c r="O561" s="30" t="s">
        <v>1802</v>
      </c>
      <c r="P561" s="10" t="s">
        <v>208</v>
      </c>
      <c r="Q561" s="10" t="s">
        <v>211</v>
      </c>
      <c r="S561" s="16" t="str">
        <f t="shared" si="57"/>
        <v>Charles A Rufa</v>
      </c>
      <c r="T561" s="31">
        <v>41435</v>
      </c>
    </row>
    <row r="562" spans="1:33">
      <c r="A562" s="16">
        <v>6</v>
      </c>
      <c r="B562" s="16" t="s">
        <v>296</v>
      </c>
      <c r="C562" s="16">
        <v>717</v>
      </c>
      <c r="D562" t="s">
        <v>295</v>
      </c>
      <c r="E562" s="16" t="s">
        <v>296</v>
      </c>
      <c r="F562" s="2">
        <v>32892</v>
      </c>
      <c r="G562" s="2">
        <v>32893</v>
      </c>
      <c r="H562" s="2">
        <v>38941</v>
      </c>
      <c r="I562" s="25">
        <v>41820</v>
      </c>
      <c r="K562" s="2">
        <v>35506</v>
      </c>
      <c r="L562" t="s">
        <v>297</v>
      </c>
      <c r="M562" t="s">
        <v>297</v>
      </c>
      <c r="N562" s="23" t="str">
        <f t="shared" si="56"/>
        <v>Y</v>
      </c>
      <c r="O562" s="16" t="s">
        <v>1464</v>
      </c>
      <c r="P562" s="10" t="s">
        <v>208</v>
      </c>
      <c r="Q562" s="10" t="s">
        <v>211</v>
      </c>
      <c r="S562" s="16" t="str">
        <f t="shared" si="57"/>
        <v>Charles A Rufa</v>
      </c>
      <c r="T562" s="31">
        <v>41424</v>
      </c>
    </row>
    <row r="563" spans="1:33">
      <c r="A563" s="16">
        <v>6</v>
      </c>
      <c r="B563" s="16" t="s">
        <v>296</v>
      </c>
      <c r="C563" s="16">
        <v>733</v>
      </c>
      <c r="D563" s="7" t="s">
        <v>295</v>
      </c>
      <c r="E563" s="16" t="s">
        <v>296</v>
      </c>
      <c r="F563" s="2">
        <v>32949</v>
      </c>
      <c r="G563" s="2">
        <v>33452</v>
      </c>
      <c r="H563" s="2">
        <v>38551</v>
      </c>
      <c r="I563" s="25">
        <v>41820</v>
      </c>
      <c r="J563" s="2">
        <v>38951</v>
      </c>
      <c r="K563" s="2">
        <v>35328</v>
      </c>
      <c r="L563" t="s">
        <v>297</v>
      </c>
      <c r="M563" t="s">
        <v>297</v>
      </c>
      <c r="N563" s="23" t="str">
        <f t="shared" si="56"/>
        <v>Y</v>
      </c>
      <c r="O563" s="30" t="s">
        <v>1803</v>
      </c>
      <c r="P563" s="10" t="s">
        <v>208</v>
      </c>
      <c r="Q563" s="10" t="s">
        <v>211</v>
      </c>
      <c r="S563" s="16" t="str">
        <f t="shared" si="57"/>
        <v>Charles A Rufa</v>
      </c>
      <c r="T563" s="31">
        <v>41423</v>
      </c>
    </row>
    <row r="564" spans="1:33">
      <c r="A564" s="16">
        <v>6</v>
      </c>
      <c r="B564" s="16" t="s">
        <v>296</v>
      </c>
      <c r="C564" s="16">
        <v>1204</v>
      </c>
      <c r="D564" s="7" t="s">
        <v>295</v>
      </c>
      <c r="E564" s="16" t="s">
        <v>296</v>
      </c>
      <c r="F564" s="2">
        <v>35619</v>
      </c>
      <c r="G564" s="2">
        <v>36308</v>
      </c>
      <c r="H564" s="2">
        <v>38242</v>
      </c>
      <c r="I564" s="25">
        <v>41820</v>
      </c>
      <c r="K564" s="2">
        <v>36238</v>
      </c>
      <c r="L564" t="s">
        <v>297</v>
      </c>
      <c r="M564" t="s">
        <v>297</v>
      </c>
      <c r="N564" s="23" t="str">
        <f t="shared" si="56"/>
        <v>Y</v>
      </c>
      <c r="O564" s="30" t="s">
        <v>1804</v>
      </c>
      <c r="P564" s="10" t="s">
        <v>208</v>
      </c>
      <c r="Q564" s="10" t="s">
        <v>211</v>
      </c>
      <c r="S564" s="16" t="str">
        <f t="shared" si="57"/>
        <v>Charles A Rufa</v>
      </c>
      <c r="T564" s="31">
        <v>41425</v>
      </c>
    </row>
    <row r="565" spans="1:33">
      <c r="A565" s="16">
        <v>6</v>
      </c>
      <c r="B565" s="16" t="s">
        <v>153</v>
      </c>
      <c r="C565" s="16">
        <v>183</v>
      </c>
      <c r="D565" t="s">
        <v>295</v>
      </c>
      <c r="E565" s="16" t="s">
        <v>296</v>
      </c>
      <c r="F565" s="2">
        <v>28607</v>
      </c>
      <c r="G565" s="2">
        <v>30375</v>
      </c>
      <c r="H565" s="2">
        <v>38839</v>
      </c>
      <c r="I565" s="25">
        <v>41820</v>
      </c>
      <c r="K565" s="2">
        <v>36208</v>
      </c>
      <c r="L565" t="s">
        <v>297</v>
      </c>
      <c r="M565" t="s">
        <v>297</v>
      </c>
      <c r="N565" s="23" t="str">
        <f t="shared" si="56"/>
        <v>Y</v>
      </c>
      <c r="O565" s="30" t="s">
        <v>1805</v>
      </c>
      <c r="P565" s="10" t="s">
        <v>208</v>
      </c>
      <c r="Q565" s="10" t="s">
        <v>212</v>
      </c>
      <c r="S565" s="16" t="str">
        <f t="shared" si="57"/>
        <v>Ronald   Schreiber</v>
      </c>
      <c r="T565" s="31">
        <v>41428</v>
      </c>
    </row>
    <row r="566" spans="1:33" s="7" customFormat="1" hidden="1">
      <c r="A566" s="7">
        <v>6</v>
      </c>
      <c r="B566" s="7" t="s">
        <v>155</v>
      </c>
      <c r="C566" s="7">
        <v>951</v>
      </c>
      <c r="D566" s="7" t="s">
        <v>464</v>
      </c>
      <c r="E566" s="7" t="s">
        <v>316</v>
      </c>
      <c r="F566" s="2">
        <v>34451</v>
      </c>
      <c r="G566" s="2">
        <v>34845</v>
      </c>
      <c r="H566" s="2">
        <v>36962</v>
      </c>
      <c r="I566" s="8">
        <v>37472</v>
      </c>
      <c r="J566" s="2">
        <v>35459</v>
      </c>
      <c r="K566" s="2">
        <v>35836</v>
      </c>
      <c r="L566" t="s">
        <v>297</v>
      </c>
      <c r="M566" t="s">
        <v>297</v>
      </c>
      <c r="N566"/>
      <c r="P566" s="7" t="s">
        <v>208</v>
      </c>
      <c r="Q566" s="7" t="s">
        <v>214</v>
      </c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</row>
    <row r="567" spans="1:33" s="7" customFormat="1" hidden="1">
      <c r="A567" s="7">
        <v>6</v>
      </c>
      <c r="B567" s="7" t="s">
        <v>155</v>
      </c>
      <c r="C567" s="7">
        <v>1039</v>
      </c>
      <c r="D567" s="7" t="s">
        <v>745</v>
      </c>
      <c r="E567" s="7" t="s">
        <v>316</v>
      </c>
      <c r="F567" s="2">
        <v>34771</v>
      </c>
      <c r="G567"/>
      <c r="H567" s="2">
        <v>35639</v>
      </c>
      <c r="I567" s="8">
        <v>38168</v>
      </c>
      <c r="J567" s="2">
        <v>34799</v>
      </c>
      <c r="K567" s="2">
        <v>35639</v>
      </c>
      <c r="L567" t="s">
        <v>322</v>
      </c>
      <c r="M567" t="s">
        <v>297</v>
      </c>
      <c r="N567"/>
      <c r="P567" s="7" t="s">
        <v>208</v>
      </c>
      <c r="Q567" s="7" t="s">
        <v>214</v>
      </c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</row>
    <row r="568" spans="1:33">
      <c r="A568" s="16">
        <v>6</v>
      </c>
      <c r="B568" s="16" t="s">
        <v>153</v>
      </c>
      <c r="C568" s="16">
        <v>244</v>
      </c>
      <c r="D568" s="7" t="s">
        <v>295</v>
      </c>
      <c r="E568" s="16" t="s">
        <v>296</v>
      </c>
      <c r="F568" s="2">
        <v>29196</v>
      </c>
      <c r="G568" s="2">
        <v>25070</v>
      </c>
      <c r="H568" s="2">
        <v>39514</v>
      </c>
      <c r="I568" s="25">
        <v>41455</v>
      </c>
      <c r="K568" s="2">
        <v>36270</v>
      </c>
      <c r="L568" t="s">
        <v>297</v>
      </c>
      <c r="N568" s="23" t="str">
        <f>IF((I568&gt;$W$2),"Y","N")</f>
        <v>N</v>
      </c>
      <c r="O568" s="30" t="s">
        <v>1806</v>
      </c>
      <c r="P568" s="10" t="s">
        <v>208</v>
      </c>
      <c r="Q568" s="10" t="s">
        <v>212</v>
      </c>
      <c r="S568" s="16" t="str">
        <f>MID(Q568,9,30)</f>
        <v>Ronald   Schreiber</v>
      </c>
      <c r="T568" s="31" t="s">
        <v>1474</v>
      </c>
    </row>
    <row r="569" spans="1:33">
      <c r="A569" s="16">
        <v>6</v>
      </c>
      <c r="B569" s="16" t="s">
        <v>153</v>
      </c>
      <c r="C569" s="16">
        <v>362</v>
      </c>
      <c r="D569" t="s">
        <v>295</v>
      </c>
      <c r="E569" s="16" t="s">
        <v>296</v>
      </c>
      <c r="F569" s="2">
        <v>30141</v>
      </c>
      <c r="G569" s="2">
        <v>30830</v>
      </c>
      <c r="H569" s="2">
        <v>39512</v>
      </c>
      <c r="I569" s="25">
        <v>41820</v>
      </c>
      <c r="J569" s="2">
        <v>38659</v>
      </c>
      <c r="K569" s="2">
        <v>35513</v>
      </c>
      <c r="L569" t="s">
        <v>297</v>
      </c>
      <c r="M569" t="s">
        <v>297</v>
      </c>
      <c r="N569" s="23" t="str">
        <f>IF((I569&gt;$W$2),"Y","N")</f>
        <v>Y</v>
      </c>
      <c r="O569" s="30" t="s">
        <v>1807</v>
      </c>
      <c r="P569" s="10" t="s">
        <v>208</v>
      </c>
      <c r="Q569" s="10" t="s">
        <v>212</v>
      </c>
      <c r="S569" s="16" t="str">
        <f>MID(Q569,9,30)</f>
        <v>Ronald   Schreiber</v>
      </c>
      <c r="T569" s="31">
        <v>41465</v>
      </c>
      <c r="U569" s="24">
        <v>39966</v>
      </c>
    </row>
    <row r="570" spans="1:33" s="7" customFormat="1" hidden="1">
      <c r="A570" s="7">
        <v>6</v>
      </c>
      <c r="B570" s="7" t="s">
        <v>155</v>
      </c>
      <c r="C570" s="7">
        <v>1346</v>
      </c>
      <c r="D570" s="7" t="s">
        <v>348</v>
      </c>
      <c r="E570" s="7" t="s">
        <v>316</v>
      </c>
      <c r="F570" s="2">
        <v>36676</v>
      </c>
      <c r="G570"/>
      <c r="H570" s="2">
        <v>36980</v>
      </c>
      <c r="I570" s="8">
        <v>37072</v>
      </c>
      <c r="J570"/>
      <c r="K570"/>
      <c r="L570" t="s">
        <v>297</v>
      </c>
      <c r="M570" t="s">
        <v>297</v>
      </c>
      <c r="N570"/>
      <c r="P570" s="7" t="s">
        <v>208</v>
      </c>
      <c r="Q570" s="7" t="s">
        <v>214</v>
      </c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</row>
    <row r="571" spans="1:33" s="7" customFormat="1" hidden="1">
      <c r="A571" s="7">
        <v>6</v>
      </c>
      <c r="B571" s="7" t="s">
        <v>155</v>
      </c>
      <c r="C571" s="7">
        <v>1405</v>
      </c>
      <c r="D571" s="7" t="s">
        <v>393</v>
      </c>
      <c r="E571" s="7" t="s">
        <v>316</v>
      </c>
      <c r="F571" s="2">
        <v>37330</v>
      </c>
      <c r="G571"/>
      <c r="H571" s="2">
        <v>38411</v>
      </c>
      <c r="I571" s="8">
        <v>38534</v>
      </c>
      <c r="J571" s="2">
        <v>38407</v>
      </c>
      <c r="K571" s="2">
        <v>38407</v>
      </c>
      <c r="L571" t="s">
        <v>297</v>
      </c>
      <c r="M571" t="s">
        <v>297</v>
      </c>
      <c r="N571"/>
      <c r="P571" s="7" t="s">
        <v>208</v>
      </c>
      <c r="Q571" s="7" t="s">
        <v>214</v>
      </c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</row>
    <row r="572" spans="1:33">
      <c r="A572" s="16">
        <v>6</v>
      </c>
      <c r="B572" s="16" t="s">
        <v>153</v>
      </c>
      <c r="C572" s="16">
        <v>418</v>
      </c>
      <c r="D572" s="7" t="s">
        <v>295</v>
      </c>
      <c r="E572" s="16" t="s">
        <v>296</v>
      </c>
      <c r="F572" s="2">
        <v>30663</v>
      </c>
      <c r="G572" s="2">
        <v>31129</v>
      </c>
      <c r="H572" s="2">
        <v>39035</v>
      </c>
      <c r="I572" s="25">
        <v>41820</v>
      </c>
      <c r="K572" s="2">
        <v>34967</v>
      </c>
      <c r="L572" t="s">
        <v>297</v>
      </c>
      <c r="N572" s="23" t="str">
        <f>IF((I572&gt;$W$2),"Y","N")</f>
        <v>Y</v>
      </c>
      <c r="O572" s="30" t="s">
        <v>1808</v>
      </c>
      <c r="P572" s="10" t="s">
        <v>208</v>
      </c>
      <c r="Q572" s="10" t="s">
        <v>212</v>
      </c>
      <c r="S572" s="16" t="str">
        <f>MID(Q572,9,30)</f>
        <v>Ronald   Schreiber</v>
      </c>
      <c r="T572" s="31">
        <v>41450</v>
      </c>
    </row>
    <row r="573" spans="1:33">
      <c r="A573" s="16">
        <v>6</v>
      </c>
      <c r="B573" s="16" t="s">
        <v>153</v>
      </c>
      <c r="C573" s="16">
        <v>425</v>
      </c>
      <c r="D573" s="7" t="s">
        <v>295</v>
      </c>
      <c r="E573" s="16" t="s">
        <v>296</v>
      </c>
      <c r="F573" s="2">
        <v>30758</v>
      </c>
      <c r="G573" s="2">
        <v>31129</v>
      </c>
      <c r="H573" s="2">
        <v>39325</v>
      </c>
      <c r="I573" s="25">
        <v>41820</v>
      </c>
      <c r="J573" s="2">
        <v>35122</v>
      </c>
      <c r="K573" s="2">
        <v>35825</v>
      </c>
      <c r="L573" t="s">
        <v>297</v>
      </c>
      <c r="N573" s="23" t="str">
        <f>IF((I573&gt;$W$2),"Y","N")</f>
        <v>Y</v>
      </c>
      <c r="O573" s="30" t="s">
        <v>1809</v>
      </c>
      <c r="P573" s="10" t="s">
        <v>208</v>
      </c>
      <c r="Q573" s="10" t="s">
        <v>212</v>
      </c>
      <c r="S573" s="16" t="str">
        <f>MID(Q573,9,30)</f>
        <v>Ronald   Schreiber</v>
      </c>
      <c r="T573" s="31">
        <v>41463</v>
      </c>
    </row>
    <row r="574" spans="1:33">
      <c r="A574" s="16">
        <v>6</v>
      </c>
      <c r="B574" s="16" t="s">
        <v>153</v>
      </c>
      <c r="C574" s="16">
        <v>568</v>
      </c>
      <c r="D574" t="s">
        <v>295</v>
      </c>
      <c r="E574" s="16" t="s">
        <v>296</v>
      </c>
      <c r="F574" s="2">
        <v>31738</v>
      </c>
      <c r="G574" s="2">
        <v>32689</v>
      </c>
      <c r="H574" s="2">
        <v>39275</v>
      </c>
      <c r="I574" s="25">
        <v>41820</v>
      </c>
      <c r="J574" s="2">
        <v>39318</v>
      </c>
      <c r="K574" s="2">
        <v>38891</v>
      </c>
      <c r="L574" t="s">
        <v>297</v>
      </c>
      <c r="M574" t="s">
        <v>297</v>
      </c>
      <c r="N574" s="23" t="str">
        <f>IF((I574&gt;$W$2),"Y","N")</f>
        <v>Y</v>
      </c>
      <c r="O574" s="16" t="s">
        <v>1403</v>
      </c>
      <c r="P574" s="10" t="s">
        <v>208</v>
      </c>
      <c r="Q574" s="10" t="s">
        <v>212</v>
      </c>
      <c r="S574" s="16" t="str">
        <f>MID(Q574,9,30)</f>
        <v>Ronald   Schreiber</v>
      </c>
      <c r="T574" s="31">
        <v>41424</v>
      </c>
    </row>
    <row r="575" spans="1:33">
      <c r="A575" s="16">
        <v>6</v>
      </c>
      <c r="B575" s="16" t="s">
        <v>153</v>
      </c>
      <c r="C575" s="16">
        <v>735</v>
      </c>
      <c r="D575" s="7" t="s">
        <v>295</v>
      </c>
      <c r="E575" s="16" t="s">
        <v>296</v>
      </c>
      <c r="F575" s="2">
        <v>32949</v>
      </c>
      <c r="G575" s="2">
        <v>33684</v>
      </c>
      <c r="H575" s="2">
        <v>38968</v>
      </c>
      <c r="I575" s="25">
        <v>41455</v>
      </c>
      <c r="J575" s="2">
        <v>36075</v>
      </c>
      <c r="K575" s="2">
        <v>34564</v>
      </c>
      <c r="L575" t="s">
        <v>297</v>
      </c>
      <c r="M575" t="s">
        <v>297</v>
      </c>
      <c r="N575" s="23" t="str">
        <f>IF((I575&gt;$W$2),"Y","N")</f>
        <v>N</v>
      </c>
      <c r="O575" s="30" t="s">
        <v>1218</v>
      </c>
      <c r="P575" s="10" t="s">
        <v>208</v>
      </c>
      <c r="Q575" s="10" t="s">
        <v>212</v>
      </c>
      <c r="S575" s="16" t="str">
        <f>MID(Q575,9,30)</f>
        <v>Ronald   Schreiber</v>
      </c>
      <c r="T575" s="31" t="s">
        <v>1360</v>
      </c>
    </row>
    <row r="576" spans="1:33">
      <c r="A576" s="16">
        <v>6</v>
      </c>
      <c r="B576" s="16" t="s">
        <v>153</v>
      </c>
      <c r="C576" s="16">
        <v>794</v>
      </c>
      <c r="D576" s="7" t="s">
        <v>295</v>
      </c>
      <c r="E576" s="16" t="s">
        <v>296</v>
      </c>
      <c r="F576" s="2">
        <v>33384</v>
      </c>
      <c r="G576" s="2">
        <v>33621</v>
      </c>
      <c r="H576" s="2">
        <v>39500</v>
      </c>
      <c r="I576" s="25">
        <v>40359</v>
      </c>
      <c r="K576" s="2">
        <v>35408</v>
      </c>
      <c r="L576" t="s">
        <v>297</v>
      </c>
      <c r="M576" t="s">
        <v>297</v>
      </c>
      <c r="N576" s="23" t="str">
        <f>IF((I576&gt;$W$2),"Y","N")</f>
        <v>N</v>
      </c>
      <c r="O576" s="30" t="s">
        <v>1810</v>
      </c>
      <c r="P576" s="10" t="s">
        <v>208</v>
      </c>
      <c r="Q576" s="10" t="s">
        <v>212</v>
      </c>
      <c r="S576" s="16" t="str">
        <f>MID(Q576,9,30)</f>
        <v>Ronald   Schreiber</v>
      </c>
      <c r="T576" s="31" t="s">
        <v>1263</v>
      </c>
    </row>
    <row r="577" spans="1:33" customFormat="1" hidden="1">
      <c r="A577" t="s">
        <v>208</v>
      </c>
      <c r="B577" t="s">
        <v>214</v>
      </c>
      <c r="I577" s="6"/>
    </row>
    <row r="578" spans="1:33">
      <c r="A578" s="16">
        <v>6</v>
      </c>
      <c r="B578" s="16" t="s">
        <v>153</v>
      </c>
      <c r="C578" s="16">
        <v>891</v>
      </c>
      <c r="D578" s="7" t="s">
        <v>295</v>
      </c>
      <c r="E578" s="16" t="s">
        <v>296</v>
      </c>
      <c r="F578" s="2">
        <v>34122</v>
      </c>
      <c r="G578" s="2">
        <v>34775</v>
      </c>
      <c r="H578" s="2">
        <v>39370</v>
      </c>
      <c r="I578" s="25">
        <v>41820</v>
      </c>
      <c r="J578" s="2">
        <v>35122</v>
      </c>
      <c r="K578" s="2">
        <v>35572</v>
      </c>
      <c r="L578" t="s">
        <v>297</v>
      </c>
      <c r="M578" t="s">
        <v>297</v>
      </c>
      <c r="N578" s="23" t="str">
        <f t="shared" ref="N578:N583" si="58">IF((I578&gt;$W$2),"Y","N")</f>
        <v>Y</v>
      </c>
      <c r="O578" s="30" t="s">
        <v>1517</v>
      </c>
      <c r="P578" s="10" t="s">
        <v>208</v>
      </c>
      <c r="Q578" s="10" t="s">
        <v>212</v>
      </c>
      <c r="S578" s="16" t="str">
        <f t="shared" ref="S578:S583" si="59">MID(Q578,9,30)</f>
        <v>Ronald   Schreiber</v>
      </c>
      <c r="T578" s="31">
        <v>41451</v>
      </c>
    </row>
    <row r="579" spans="1:33">
      <c r="A579" s="16">
        <v>6</v>
      </c>
      <c r="B579" s="16" t="s">
        <v>153</v>
      </c>
      <c r="C579" s="16">
        <v>1007</v>
      </c>
      <c r="D579" s="7" t="s">
        <v>295</v>
      </c>
      <c r="E579" s="16" t="s">
        <v>296</v>
      </c>
      <c r="F579" s="2">
        <v>34618</v>
      </c>
      <c r="G579" s="2">
        <v>35084</v>
      </c>
      <c r="H579" s="2">
        <v>39280</v>
      </c>
      <c r="I579" s="25">
        <v>41820</v>
      </c>
      <c r="J579" s="2">
        <v>39154</v>
      </c>
      <c r="K579" s="2">
        <v>37635</v>
      </c>
      <c r="L579" t="s">
        <v>297</v>
      </c>
      <c r="M579" t="s">
        <v>297</v>
      </c>
      <c r="N579" s="23" t="str">
        <f t="shared" si="58"/>
        <v>Y</v>
      </c>
      <c r="O579" s="30" t="s">
        <v>1811</v>
      </c>
      <c r="P579" s="10" t="s">
        <v>208</v>
      </c>
      <c r="Q579" s="10" t="s">
        <v>212</v>
      </c>
      <c r="S579" s="16" t="str">
        <f t="shared" si="59"/>
        <v>Ronald   Schreiber</v>
      </c>
      <c r="T579" s="31">
        <v>41435</v>
      </c>
    </row>
    <row r="580" spans="1:33">
      <c r="A580" s="16">
        <v>6</v>
      </c>
      <c r="B580" s="16" t="s">
        <v>153</v>
      </c>
      <c r="C580" s="16">
        <v>1206</v>
      </c>
      <c r="D580" s="7" t="s">
        <v>295</v>
      </c>
      <c r="E580" s="16" t="s">
        <v>296</v>
      </c>
      <c r="F580" s="2">
        <v>35629</v>
      </c>
      <c r="G580" s="2">
        <v>36238</v>
      </c>
      <c r="H580" s="2">
        <v>39449</v>
      </c>
      <c r="I580" s="25">
        <v>41820</v>
      </c>
      <c r="J580" s="2">
        <v>36214</v>
      </c>
      <c r="K580" s="2">
        <v>36214</v>
      </c>
      <c r="L580" t="s">
        <v>297</v>
      </c>
      <c r="M580" t="s">
        <v>297</v>
      </c>
      <c r="N580" s="23" t="str">
        <f t="shared" si="58"/>
        <v>Y</v>
      </c>
      <c r="O580" s="30" t="s">
        <v>1812</v>
      </c>
      <c r="P580" s="10" t="s">
        <v>208</v>
      </c>
      <c r="Q580" s="10" t="s">
        <v>212</v>
      </c>
      <c r="S580" s="16" t="str">
        <f t="shared" si="59"/>
        <v>Ronald   Schreiber</v>
      </c>
      <c r="T580" s="31">
        <v>41472</v>
      </c>
    </row>
    <row r="581" spans="1:33">
      <c r="A581" s="16">
        <v>6</v>
      </c>
      <c r="B581" s="16" t="s">
        <v>317</v>
      </c>
      <c r="C581" s="16">
        <v>419</v>
      </c>
      <c r="D581" s="7" t="s">
        <v>295</v>
      </c>
      <c r="E581" s="16" t="s">
        <v>296</v>
      </c>
      <c r="F581" s="2">
        <v>30663</v>
      </c>
      <c r="G581" s="2">
        <v>31129</v>
      </c>
      <c r="H581" s="2">
        <v>39420</v>
      </c>
      <c r="I581" s="25">
        <v>41820</v>
      </c>
      <c r="J581" s="2">
        <v>38936</v>
      </c>
      <c r="K581" s="2">
        <v>35823</v>
      </c>
      <c r="L581" t="s">
        <v>297</v>
      </c>
      <c r="M581" t="s">
        <v>297</v>
      </c>
      <c r="N581" s="23" t="str">
        <f t="shared" si="58"/>
        <v>Y</v>
      </c>
      <c r="O581" s="30" t="s">
        <v>1813</v>
      </c>
      <c r="P581" s="10" t="s">
        <v>208</v>
      </c>
      <c r="Q581" s="10" t="s">
        <v>213</v>
      </c>
      <c r="S581" s="16" t="str">
        <f t="shared" si="59"/>
        <v>Jeff L Ransom</v>
      </c>
      <c r="T581" s="31">
        <v>41432</v>
      </c>
    </row>
    <row r="582" spans="1:33">
      <c r="A582" s="16">
        <v>6</v>
      </c>
      <c r="B582" s="16" t="s">
        <v>317</v>
      </c>
      <c r="C582" s="16">
        <v>451</v>
      </c>
      <c r="D582" s="7" t="s">
        <v>295</v>
      </c>
      <c r="E582" s="16" t="s">
        <v>296</v>
      </c>
      <c r="F582" s="2">
        <v>31052</v>
      </c>
      <c r="G582" s="2">
        <v>31794</v>
      </c>
      <c r="H582" s="2">
        <v>39513</v>
      </c>
      <c r="I582" s="25">
        <v>41455</v>
      </c>
      <c r="K582" s="2">
        <v>35898</v>
      </c>
      <c r="L582" t="s">
        <v>297</v>
      </c>
      <c r="N582" s="23" t="str">
        <f t="shared" si="58"/>
        <v>N</v>
      </c>
      <c r="O582" s="16" t="s">
        <v>1187</v>
      </c>
      <c r="P582" s="10" t="s">
        <v>191</v>
      </c>
      <c r="Q582" s="10" t="s">
        <v>193</v>
      </c>
      <c r="S582" s="16" t="str">
        <f t="shared" si="59"/>
        <v>Dawn E Powers</v>
      </c>
      <c r="T582" s="31" t="s">
        <v>1392</v>
      </c>
    </row>
    <row r="583" spans="1:33">
      <c r="A583" s="16">
        <v>6</v>
      </c>
      <c r="B583" s="16" t="s">
        <v>317</v>
      </c>
      <c r="C583" s="16">
        <v>569</v>
      </c>
      <c r="D583" s="7" t="s">
        <v>295</v>
      </c>
      <c r="E583" s="16" t="s">
        <v>296</v>
      </c>
      <c r="F583" s="2">
        <v>31738</v>
      </c>
      <c r="G583" s="2">
        <v>32816</v>
      </c>
      <c r="H583" s="2">
        <v>39219</v>
      </c>
      <c r="I583" s="25">
        <v>41455</v>
      </c>
      <c r="J583" s="2">
        <v>37964</v>
      </c>
      <c r="K583" s="2">
        <v>38799</v>
      </c>
      <c r="L583" t="s">
        <v>297</v>
      </c>
      <c r="M583" t="s">
        <v>297</v>
      </c>
      <c r="N583" s="23" t="str">
        <f t="shared" si="58"/>
        <v>N</v>
      </c>
      <c r="O583" s="16" t="s">
        <v>1504</v>
      </c>
      <c r="P583" s="10" t="s">
        <v>191</v>
      </c>
      <c r="Q583" s="10" t="s">
        <v>193</v>
      </c>
      <c r="S583" s="16" t="str">
        <f t="shared" si="59"/>
        <v>Dawn E Powers</v>
      </c>
      <c r="T583" s="31" t="s">
        <v>1475</v>
      </c>
    </row>
    <row r="584" spans="1:33" customFormat="1" hidden="1">
      <c r="A584">
        <v>6</v>
      </c>
      <c r="B584" t="s">
        <v>157</v>
      </c>
      <c r="C584">
        <v>925</v>
      </c>
      <c r="D584" t="s">
        <v>759</v>
      </c>
      <c r="E584" t="s">
        <v>316</v>
      </c>
      <c r="H584" s="2">
        <v>34632</v>
      </c>
      <c r="I584" s="6"/>
      <c r="K584" s="2">
        <v>34593</v>
      </c>
      <c r="L584" t="s">
        <v>297</v>
      </c>
      <c r="M584" t="s">
        <v>297</v>
      </c>
      <c r="O584" t="s">
        <v>369</v>
      </c>
      <c r="P584" t="s">
        <v>208</v>
      </c>
      <c r="Q584" t="s">
        <v>215</v>
      </c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</row>
    <row r="585" spans="1:33">
      <c r="A585" s="16">
        <v>6</v>
      </c>
      <c r="B585" s="16" t="s">
        <v>317</v>
      </c>
      <c r="C585" s="16">
        <v>713</v>
      </c>
      <c r="D585" s="7" t="s">
        <v>295</v>
      </c>
      <c r="E585" s="16" t="s">
        <v>376</v>
      </c>
      <c r="F585" s="2">
        <v>32892</v>
      </c>
      <c r="G585" s="2">
        <v>34775</v>
      </c>
      <c r="H585" s="2">
        <v>37235</v>
      </c>
      <c r="I585" s="25">
        <v>36160</v>
      </c>
      <c r="K585" s="2">
        <v>35685</v>
      </c>
      <c r="L585" t="s">
        <v>297</v>
      </c>
      <c r="M585" t="s">
        <v>297</v>
      </c>
      <c r="N585" s="23" t="str">
        <f>IF((I585&gt;$W$2),"Y","N")</f>
        <v>N</v>
      </c>
      <c r="O585" s="16" t="s">
        <v>1188</v>
      </c>
      <c r="P585" s="10" t="s">
        <v>191</v>
      </c>
      <c r="Q585" s="10" t="s">
        <v>193</v>
      </c>
      <c r="S585" s="16" t="str">
        <f>MID(Q585,9,30)</f>
        <v>Dawn E Powers</v>
      </c>
    </row>
    <row r="586" spans="1:33" customFormat="1" hidden="1">
      <c r="A586" t="s">
        <v>208</v>
      </c>
      <c r="B586" t="s">
        <v>215</v>
      </c>
      <c r="I586" s="6"/>
    </row>
    <row r="587" spans="1:33">
      <c r="A587" s="16">
        <v>6</v>
      </c>
      <c r="B587" s="16" t="s">
        <v>317</v>
      </c>
      <c r="C587" s="16">
        <v>719</v>
      </c>
      <c r="D587" s="7" t="s">
        <v>295</v>
      </c>
      <c r="E587" s="16" t="s">
        <v>296</v>
      </c>
      <c r="F587" s="2">
        <v>32892</v>
      </c>
      <c r="G587" s="2">
        <v>32893</v>
      </c>
      <c r="H587" s="2">
        <v>39520</v>
      </c>
      <c r="I587" s="25">
        <v>41455</v>
      </c>
      <c r="J587" s="2">
        <v>35369</v>
      </c>
      <c r="K587" s="2">
        <v>38729</v>
      </c>
      <c r="L587" t="s">
        <v>297</v>
      </c>
      <c r="M587" t="s">
        <v>297</v>
      </c>
      <c r="N587" s="23" t="str">
        <f t="shared" ref="N587:N593" si="60">IF((I587&gt;$W$2),"Y","N")</f>
        <v>N</v>
      </c>
      <c r="O587" s="30" t="s">
        <v>1814</v>
      </c>
      <c r="P587" s="10" t="s">
        <v>208</v>
      </c>
      <c r="Q587" s="10" t="s">
        <v>213</v>
      </c>
      <c r="S587" s="16" t="str">
        <f t="shared" ref="S587:S593" si="61">MID(Q587,9,30)</f>
        <v>Jeff L Ransom</v>
      </c>
      <c r="T587" s="31" t="s">
        <v>1387</v>
      </c>
    </row>
    <row r="588" spans="1:33">
      <c r="A588" s="16">
        <v>6</v>
      </c>
      <c r="B588" s="16" t="s">
        <v>317</v>
      </c>
      <c r="C588" s="16">
        <v>750</v>
      </c>
      <c r="D588" s="7" t="s">
        <v>295</v>
      </c>
      <c r="E588" s="30" t="s">
        <v>296</v>
      </c>
      <c r="F588" s="2">
        <v>33070</v>
      </c>
      <c r="H588" s="2">
        <v>37307</v>
      </c>
      <c r="I588" s="25">
        <v>41455</v>
      </c>
      <c r="K588" s="2">
        <v>35867</v>
      </c>
      <c r="L588" t="s">
        <v>297</v>
      </c>
      <c r="N588" s="23" t="str">
        <f t="shared" si="60"/>
        <v>N</v>
      </c>
      <c r="O588" s="30" t="s">
        <v>1815</v>
      </c>
      <c r="P588" s="10" t="s">
        <v>191</v>
      </c>
      <c r="Q588" s="10" t="s">
        <v>193</v>
      </c>
      <c r="S588" s="16" t="str">
        <f t="shared" si="61"/>
        <v>Dawn E Powers</v>
      </c>
      <c r="T588" s="31" t="s">
        <v>1380</v>
      </c>
    </row>
    <row r="589" spans="1:33">
      <c r="A589" s="16">
        <v>6</v>
      </c>
      <c r="B589" s="16" t="s">
        <v>317</v>
      </c>
      <c r="C589" s="16">
        <v>819</v>
      </c>
      <c r="D589" s="7" t="s">
        <v>295</v>
      </c>
      <c r="E589" s="16" t="s">
        <v>376</v>
      </c>
      <c r="F589" s="2">
        <v>33621</v>
      </c>
      <c r="H589" s="2">
        <v>39494</v>
      </c>
      <c r="I589" s="25">
        <v>40359</v>
      </c>
      <c r="K589" s="2">
        <v>35851</v>
      </c>
      <c r="L589" t="s">
        <v>297</v>
      </c>
      <c r="M589" t="s">
        <v>297</v>
      </c>
      <c r="N589" s="23" t="str">
        <f t="shared" si="60"/>
        <v>N</v>
      </c>
      <c r="O589" s="16" t="s">
        <v>1189</v>
      </c>
      <c r="P589" s="10" t="s">
        <v>191</v>
      </c>
      <c r="Q589" s="10" t="s">
        <v>193</v>
      </c>
      <c r="S589" s="16" t="str">
        <f t="shared" si="61"/>
        <v>Dawn E Powers</v>
      </c>
      <c r="T589" s="31">
        <v>39966</v>
      </c>
      <c r="U589" s="27">
        <v>39968</v>
      </c>
    </row>
    <row r="590" spans="1:33">
      <c r="A590" s="16">
        <v>6</v>
      </c>
      <c r="B590" s="16" t="s">
        <v>317</v>
      </c>
      <c r="C590" s="16">
        <v>1103</v>
      </c>
      <c r="D590" s="7" t="s">
        <v>295</v>
      </c>
      <c r="E590" s="16" t="s">
        <v>296</v>
      </c>
      <c r="F590" s="2">
        <v>35174</v>
      </c>
      <c r="G590" s="2">
        <v>36847</v>
      </c>
      <c r="H590" s="2">
        <v>39308</v>
      </c>
      <c r="I590" s="25">
        <v>41820</v>
      </c>
      <c r="J590" s="2">
        <v>39034</v>
      </c>
      <c r="L590" t="s">
        <v>297</v>
      </c>
      <c r="M590" t="s">
        <v>297</v>
      </c>
      <c r="N590" s="23" t="str">
        <f t="shared" si="60"/>
        <v>Y</v>
      </c>
      <c r="O590" s="16" t="s">
        <v>1395</v>
      </c>
      <c r="P590" s="10" t="s">
        <v>208</v>
      </c>
      <c r="Q590" s="10" t="s">
        <v>213</v>
      </c>
      <c r="S590" s="16" t="str">
        <f t="shared" si="61"/>
        <v>Jeff L Ransom</v>
      </c>
      <c r="T590" s="31">
        <v>41432</v>
      </c>
    </row>
    <row r="591" spans="1:33">
      <c r="A591" s="16">
        <v>6</v>
      </c>
      <c r="B591" s="16" t="s">
        <v>317</v>
      </c>
      <c r="C591" s="16">
        <v>1112</v>
      </c>
      <c r="D591" s="7" t="s">
        <v>295</v>
      </c>
      <c r="E591" s="16" t="s">
        <v>296</v>
      </c>
      <c r="F591" s="2">
        <v>35209</v>
      </c>
      <c r="G591" s="2">
        <v>35874</v>
      </c>
      <c r="H591" s="2">
        <v>38888</v>
      </c>
      <c r="I591" s="25">
        <v>41820</v>
      </c>
      <c r="K591" s="2">
        <v>38946</v>
      </c>
      <c r="L591" t="s">
        <v>297</v>
      </c>
      <c r="M591" t="s">
        <v>297</v>
      </c>
      <c r="N591" s="23" t="str">
        <f t="shared" si="60"/>
        <v>Y</v>
      </c>
      <c r="O591" s="16" t="s">
        <v>1201</v>
      </c>
      <c r="P591" s="10" t="s">
        <v>208</v>
      </c>
      <c r="Q591" s="10" t="s">
        <v>213</v>
      </c>
      <c r="S591" s="16" t="str">
        <f t="shared" si="61"/>
        <v>Jeff L Ransom</v>
      </c>
      <c r="T591" s="34">
        <v>41422</v>
      </c>
      <c r="U591" s="24">
        <v>39968</v>
      </c>
    </row>
    <row r="592" spans="1:33">
      <c r="A592" s="16">
        <v>6</v>
      </c>
      <c r="B592" s="16" t="s">
        <v>317</v>
      </c>
      <c r="C592" s="16">
        <v>1446</v>
      </c>
      <c r="D592" s="7" t="s">
        <v>295</v>
      </c>
      <c r="E592" s="16" t="s">
        <v>299</v>
      </c>
      <c r="F592" s="2">
        <v>37736</v>
      </c>
      <c r="H592" s="2">
        <v>39245</v>
      </c>
      <c r="I592" s="25">
        <v>41090</v>
      </c>
      <c r="L592" t="s">
        <v>322</v>
      </c>
      <c r="M592" t="s">
        <v>322</v>
      </c>
      <c r="N592" s="23" t="str">
        <f t="shared" si="60"/>
        <v>N</v>
      </c>
      <c r="O592" s="16" t="s">
        <v>575</v>
      </c>
      <c r="P592" s="10" t="s">
        <v>191</v>
      </c>
      <c r="Q592" s="10" t="s">
        <v>193</v>
      </c>
      <c r="S592" s="16" t="str">
        <f t="shared" si="61"/>
        <v>Dawn E Powers</v>
      </c>
    </row>
    <row r="593" spans="1:33">
      <c r="A593" s="16">
        <v>6</v>
      </c>
      <c r="B593" s="16" t="s">
        <v>317</v>
      </c>
      <c r="C593" s="16">
        <v>1468</v>
      </c>
      <c r="D593" s="7" t="s">
        <v>295</v>
      </c>
      <c r="E593" s="30" t="s">
        <v>296</v>
      </c>
      <c r="F593" s="2">
        <v>38057</v>
      </c>
      <c r="H593" s="2">
        <v>38960</v>
      </c>
      <c r="I593" s="25">
        <v>41820</v>
      </c>
      <c r="L593" t="s">
        <v>297</v>
      </c>
      <c r="M593" t="s">
        <v>322</v>
      </c>
      <c r="N593" s="23" t="str">
        <f t="shared" si="60"/>
        <v>Y</v>
      </c>
      <c r="O593" s="16" t="s">
        <v>1465</v>
      </c>
      <c r="P593" s="10" t="s">
        <v>208</v>
      </c>
      <c r="Q593" s="10" t="s">
        <v>213</v>
      </c>
      <c r="S593" s="16" t="str">
        <f t="shared" si="61"/>
        <v>Jeff L Ransom</v>
      </c>
      <c r="T593" s="31">
        <v>41428</v>
      </c>
    </row>
    <row r="594" spans="1:33" s="7" customFormat="1" hidden="1">
      <c r="A594" s="7">
        <v>6</v>
      </c>
      <c r="B594" s="7" t="s">
        <v>159</v>
      </c>
      <c r="C594" s="7">
        <v>1124</v>
      </c>
      <c r="D594" s="7" t="s">
        <v>658</v>
      </c>
      <c r="E594" s="7" t="s">
        <v>316</v>
      </c>
      <c r="F594" s="2">
        <v>35270</v>
      </c>
      <c r="G594"/>
      <c r="H594" s="2">
        <v>35935</v>
      </c>
      <c r="I594" s="8">
        <v>35673</v>
      </c>
      <c r="J594"/>
      <c r="K594"/>
      <c r="L594" t="s">
        <v>317</v>
      </c>
      <c r="M594" t="s">
        <v>297</v>
      </c>
      <c r="N594"/>
      <c r="O594" s="7" t="s">
        <v>369</v>
      </c>
      <c r="P594" s="7" t="s">
        <v>208</v>
      </c>
      <c r="Q594" s="7" t="s">
        <v>216</v>
      </c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</row>
    <row r="595" spans="1:33" customFormat="1" hidden="1">
      <c r="A595">
        <v>6</v>
      </c>
      <c r="B595" t="s">
        <v>159</v>
      </c>
      <c r="C595">
        <v>1168</v>
      </c>
      <c r="D595" t="s">
        <v>404</v>
      </c>
      <c r="E595" t="s">
        <v>316</v>
      </c>
      <c r="F595" s="2">
        <v>35464</v>
      </c>
      <c r="I595" s="6"/>
      <c r="J595" s="2">
        <v>35531</v>
      </c>
      <c r="L595" t="s">
        <v>317</v>
      </c>
      <c r="M595" t="s">
        <v>297</v>
      </c>
      <c r="O595" t="s">
        <v>369</v>
      </c>
      <c r="P595" t="s">
        <v>208</v>
      </c>
      <c r="Q595" t="s">
        <v>216</v>
      </c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</row>
    <row r="596" spans="1:33">
      <c r="A596" s="16">
        <v>6</v>
      </c>
      <c r="B596" s="16" t="s">
        <v>317</v>
      </c>
      <c r="C596" s="16">
        <v>1507</v>
      </c>
      <c r="D596" s="7" t="s">
        <v>295</v>
      </c>
      <c r="E596" s="16" t="s">
        <v>316</v>
      </c>
      <c r="F596" s="2">
        <v>38489</v>
      </c>
      <c r="H596" s="2">
        <v>38523</v>
      </c>
      <c r="I596" s="25">
        <v>38929</v>
      </c>
      <c r="L596" t="s">
        <v>297</v>
      </c>
      <c r="M596" t="s">
        <v>297</v>
      </c>
      <c r="N596" s="23" t="str">
        <f>IF((I596&gt;$W$2),"Y","N")</f>
        <v>N</v>
      </c>
      <c r="O596" s="16" t="s">
        <v>738</v>
      </c>
      <c r="P596" s="10" t="s">
        <v>208</v>
      </c>
      <c r="Q596" s="10" t="s">
        <v>213</v>
      </c>
      <c r="S596" s="16" t="str">
        <f>MID(Q596,9,30)</f>
        <v>Jeff L Ransom</v>
      </c>
    </row>
    <row r="597" spans="1:33" customFormat="1" hidden="1">
      <c r="A597" t="s">
        <v>208</v>
      </c>
      <c r="B597" t="s">
        <v>216</v>
      </c>
      <c r="I597" s="6"/>
    </row>
    <row r="598" spans="1:33" customFormat="1" hidden="1">
      <c r="A598" t="s">
        <v>768</v>
      </c>
      <c r="I598" s="6"/>
    </row>
    <row r="599" spans="1:33">
      <c r="A599" s="16">
        <v>6</v>
      </c>
      <c r="B599" s="16" t="s">
        <v>155</v>
      </c>
      <c r="C599" s="16">
        <v>399</v>
      </c>
      <c r="D599" s="7" t="s">
        <v>295</v>
      </c>
      <c r="E599" s="16" t="s">
        <v>296</v>
      </c>
      <c r="F599" s="2">
        <v>30515</v>
      </c>
      <c r="G599" s="2">
        <v>31129</v>
      </c>
      <c r="H599" s="2">
        <v>39425</v>
      </c>
      <c r="I599" s="25">
        <v>41820</v>
      </c>
      <c r="J599" s="2">
        <v>38152</v>
      </c>
      <c r="K599" s="2">
        <v>35506</v>
      </c>
      <c r="L599" t="s">
        <v>297</v>
      </c>
      <c r="M599" t="s">
        <v>297</v>
      </c>
      <c r="N599" s="23" t="str">
        <f t="shared" ref="N599:N609" si="62">IF((I599&gt;$W$2),"Y","N")</f>
        <v>Y</v>
      </c>
      <c r="O599" s="16" t="s">
        <v>739</v>
      </c>
      <c r="P599" s="10" t="s">
        <v>208</v>
      </c>
      <c r="Q599" s="10" t="s">
        <v>214</v>
      </c>
      <c r="S599" s="16" t="str">
        <f t="shared" ref="S599:S609" si="63">MID(Q599,9,30)</f>
        <v>Louise  McCurry</v>
      </c>
      <c r="T599" s="31">
        <v>41409</v>
      </c>
    </row>
    <row r="600" spans="1:33">
      <c r="A600" s="16">
        <v>6</v>
      </c>
      <c r="B600" s="16" t="s">
        <v>155</v>
      </c>
      <c r="C600" s="16">
        <v>423</v>
      </c>
      <c r="D600" t="s">
        <v>295</v>
      </c>
      <c r="E600" s="16" t="s">
        <v>296</v>
      </c>
      <c r="F600" s="2">
        <v>30701</v>
      </c>
      <c r="G600" s="2">
        <v>31129</v>
      </c>
      <c r="H600" s="2">
        <v>39233</v>
      </c>
      <c r="I600" s="25">
        <v>41820</v>
      </c>
      <c r="J600" s="2">
        <v>31106</v>
      </c>
      <c r="K600" s="2">
        <v>33176</v>
      </c>
      <c r="L600" t="s">
        <v>297</v>
      </c>
      <c r="M600" t="s">
        <v>297</v>
      </c>
      <c r="N600" s="23" t="str">
        <f t="shared" si="62"/>
        <v>Y</v>
      </c>
      <c r="O600" s="16" t="s">
        <v>740</v>
      </c>
      <c r="P600" s="10" t="s">
        <v>208</v>
      </c>
      <c r="Q600" s="10" t="s">
        <v>214</v>
      </c>
      <c r="S600" s="16" t="str">
        <f t="shared" si="63"/>
        <v>Louise  McCurry</v>
      </c>
      <c r="T600" s="31">
        <v>41437</v>
      </c>
    </row>
    <row r="601" spans="1:33">
      <c r="A601" s="16">
        <v>6</v>
      </c>
      <c r="B601" s="16" t="s">
        <v>155</v>
      </c>
      <c r="C601" s="16">
        <v>587</v>
      </c>
      <c r="D601" s="7" t="s">
        <v>295</v>
      </c>
      <c r="E601" s="16" t="s">
        <v>296</v>
      </c>
      <c r="F601" s="2">
        <v>31857</v>
      </c>
      <c r="G601" s="2">
        <v>33021</v>
      </c>
      <c r="H601" s="2">
        <v>39272</v>
      </c>
      <c r="I601" s="25">
        <v>37621</v>
      </c>
      <c r="J601" s="2">
        <v>38303</v>
      </c>
      <c r="K601" s="2">
        <v>35541</v>
      </c>
      <c r="L601" t="s">
        <v>297</v>
      </c>
      <c r="M601" t="s">
        <v>297</v>
      </c>
      <c r="N601" s="23" t="str">
        <f t="shared" si="62"/>
        <v>N</v>
      </c>
      <c r="O601" s="30" t="s">
        <v>1211</v>
      </c>
      <c r="P601" s="10" t="s">
        <v>208</v>
      </c>
      <c r="Q601" s="10" t="s">
        <v>214</v>
      </c>
      <c r="S601" s="16" t="str">
        <f t="shared" si="63"/>
        <v>Louise  McCurry</v>
      </c>
    </row>
    <row r="602" spans="1:33">
      <c r="A602" s="16">
        <v>6</v>
      </c>
      <c r="B602" s="16" t="s">
        <v>155</v>
      </c>
      <c r="C602" s="16">
        <v>697</v>
      </c>
      <c r="D602" s="7" t="s">
        <v>295</v>
      </c>
      <c r="E602" s="16" t="s">
        <v>296</v>
      </c>
      <c r="F602" s="2">
        <v>32760</v>
      </c>
      <c r="G602" s="2">
        <v>36308</v>
      </c>
      <c r="H602" s="2">
        <v>39231</v>
      </c>
      <c r="I602" s="25">
        <v>41455</v>
      </c>
      <c r="J602" s="2">
        <v>38310</v>
      </c>
      <c r="K602" s="2">
        <v>35859</v>
      </c>
      <c r="L602" t="s">
        <v>297</v>
      </c>
      <c r="M602" t="s">
        <v>297</v>
      </c>
      <c r="N602" s="23" t="str">
        <f t="shared" si="62"/>
        <v>N</v>
      </c>
      <c r="O602" s="30" t="s">
        <v>1816</v>
      </c>
      <c r="P602" s="10" t="s">
        <v>208</v>
      </c>
      <c r="Q602" s="10" t="s">
        <v>214</v>
      </c>
      <c r="S602" s="16" t="str">
        <f t="shared" si="63"/>
        <v>Louise  McCurry</v>
      </c>
      <c r="T602" s="31" t="s">
        <v>1426</v>
      </c>
    </row>
    <row r="603" spans="1:33">
      <c r="A603" s="16">
        <v>6</v>
      </c>
      <c r="B603" s="16" t="s">
        <v>155</v>
      </c>
      <c r="C603" s="16">
        <v>751</v>
      </c>
      <c r="D603" s="7" t="s">
        <v>295</v>
      </c>
      <c r="E603" s="16" t="s">
        <v>296</v>
      </c>
      <c r="F603" s="2">
        <v>33070</v>
      </c>
      <c r="G603" s="2">
        <v>34593</v>
      </c>
      <c r="H603" s="2">
        <v>39517</v>
      </c>
      <c r="I603" s="25">
        <v>41820</v>
      </c>
      <c r="J603" s="2">
        <v>34547</v>
      </c>
      <c r="K603" s="2">
        <v>37777</v>
      </c>
      <c r="L603" t="s">
        <v>297</v>
      </c>
      <c r="M603" t="s">
        <v>297</v>
      </c>
      <c r="N603" s="23" t="str">
        <f t="shared" si="62"/>
        <v>Y</v>
      </c>
      <c r="O603" s="16" t="s">
        <v>743</v>
      </c>
      <c r="P603" s="10" t="s">
        <v>208</v>
      </c>
      <c r="Q603" s="10" t="s">
        <v>214</v>
      </c>
      <c r="S603" s="16" t="str">
        <f t="shared" si="63"/>
        <v>Louise  McCurry</v>
      </c>
      <c r="T603" s="31">
        <v>41424</v>
      </c>
    </row>
    <row r="604" spans="1:33">
      <c r="A604" s="16">
        <v>6</v>
      </c>
      <c r="B604" s="16" t="s">
        <v>155</v>
      </c>
      <c r="C604" s="16">
        <v>783</v>
      </c>
      <c r="D604" s="7" t="s">
        <v>295</v>
      </c>
      <c r="E604" s="16" t="s">
        <v>299</v>
      </c>
      <c r="F604" s="2">
        <v>33313</v>
      </c>
      <c r="H604" s="2">
        <v>39213</v>
      </c>
      <c r="I604" s="25">
        <v>40724</v>
      </c>
      <c r="K604" s="2">
        <v>38110</v>
      </c>
      <c r="L604" t="s">
        <v>297</v>
      </c>
      <c r="M604" t="s">
        <v>297</v>
      </c>
      <c r="N604" s="23" t="str">
        <f t="shared" si="62"/>
        <v>N</v>
      </c>
      <c r="O604" s="30" t="s">
        <v>1211</v>
      </c>
      <c r="P604" s="10" t="s">
        <v>208</v>
      </c>
      <c r="Q604" s="10" t="s">
        <v>214</v>
      </c>
      <c r="S604" s="16" t="str">
        <f t="shared" si="63"/>
        <v>Louise  McCurry</v>
      </c>
      <c r="T604" s="31" t="s">
        <v>1294</v>
      </c>
    </row>
    <row r="605" spans="1:33">
      <c r="A605" s="16">
        <v>6</v>
      </c>
      <c r="B605" s="16" t="s">
        <v>155</v>
      </c>
      <c r="C605" s="16">
        <v>1074</v>
      </c>
      <c r="D605" s="7" t="s">
        <v>295</v>
      </c>
      <c r="E605" s="16" t="s">
        <v>296</v>
      </c>
      <c r="F605" s="2">
        <v>34941</v>
      </c>
      <c r="G605" s="2">
        <v>37820</v>
      </c>
      <c r="H605" s="2">
        <v>38050</v>
      </c>
      <c r="I605" s="25">
        <v>35228</v>
      </c>
      <c r="J605" s="2">
        <v>37811</v>
      </c>
      <c r="K605" s="2">
        <v>35921</v>
      </c>
      <c r="L605" t="s">
        <v>297</v>
      </c>
      <c r="M605" t="s">
        <v>297</v>
      </c>
      <c r="N605" s="23" t="str">
        <f t="shared" si="62"/>
        <v>N</v>
      </c>
      <c r="O605" s="16" t="s">
        <v>318</v>
      </c>
      <c r="P605" s="10" t="s">
        <v>208</v>
      </c>
      <c r="Q605" s="10" t="s">
        <v>214</v>
      </c>
      <c r="S605" s="16" t="str">
        <f t="shared" si="63"/>
        <v>Louise  McCurry</v>
      </c>
    </row>
    <row r="606" spans="1:33">
      <c r="A606" s="16">
        <v>6</v>
      </c>
      <c r="B606" s="16" t="s">
        <v>155</v>
      </c>
      <c r="C606" s="16">
        <v>1303</v>
      </c>
      <c r="D606" s="7" t="s">
        <v>295</v>
      </c>
      <c r="E606" s="16" t="s">
        <v>296</v>
      </c>
      <c r="F606" s="2">
        <v>36325</v>
      </c>
      <c r="G606" s="2">
        <v>36675</v>
      </c>
      <c r="H606" s="2">
        <v>39454</v>
      </c>
      <c r="I606" s="25">
        <v>36646</v>
      </c>
      <c r="K606" s="2">
        <v>39454</v>
      </c>
      <c r="L606" t="s">
        <v>297</v>
      </c>
      <c r="M606" t="s">
        <v>297</v>
      </c>
      <c r="N606" s="23" t="str">
        <f t="shared" si="62"/>
        <v>N</v>
      </c>
      <c r="O606" s="16" t="s">
        <v>747</v>
      </c>
      <c r="P606" s="10" t="s">
        <v>208</v>
      </c>
      <c r="Q606" s="10" t="s">
        <v>214</v>
      </c>
      <c r="S606" s="16" t="str">
        <f t="shared" si="63"/>
        <v>Louise  McCurry</v>
      </c>
    </row>
    <row r="607" spans="1:33">
      <c r="A607" s="16">
        <v>6</v>
      </c>
      <c r="B607" s="16" t="s">
        <v>155</v>
      </c>
      <c r="C607" s="16">
        <v>1438</v>
      </c>
      <c r="D607" t="s">
        <v>295</v>
      </c>
      <c r="E607" s="16" t="s">
        <v>296</v>
      </c>
      <c r="F607" s="2">
        <v>37694</v>
      </c>
      <c r="G607" s="2">
        <v>38548</v>
      </c>
      <c r="H607" s="2">
        <v>38982</v>
      </c>
      <c r="I607" s="25">
        <v>41455</v>
      </c>
      <c r="J607" s="2">
        <v>38391</v>
      </c>
      <c r="K607" s="2">
        <v>38832</v>
      </c>
      <c r="L607" t="s">
        <v>297</v>
      </c>
      <c r="M607" t="s">
        <v>297</v>
      </c>
      <c r="N607" s="23" t="str">
        <f t="shared" si="62"/>
        <v>N</v>
      </c>
      <c r="O607" s="16" t="s">
        <v>1202</v>
      </c>
      <c r="P607" s="10" t="s">
        <v>208</v>
      </c>
      <c r="Q607" s="10" t="s">
        <v>214</v>
      </c>
      <c r="S607" s="16" t="str">
        <f t="shared" si="63"/>
        <v>Louise  McCurry</v>
      </c>
      <c r="T607" s="31" t="s">
        <v>1362</v>
      </c>
    </row>
    <row r="608" spans="1:33">
      <c r="A608" s="16">
        <v>6</v>
      </c>
      <c r="B608" s="16" t="s">
        <v>155</v>
      </c>
      <c r="C608" s="16">
        <v>1502</v>
      </c>
      <c r="D608" s="7" t="s">
        <v>295</v>
      </c>
      <c r="E608" s="16" t="s">
        <v>316</v>
      </c>
      <c r="F608" s="2">
        <v>38432</v>
      </c>
      <c r="H608" s="2">
        <v>38663</v>
      </c>
      <c r="I608" s="25">
        <v>38898</v>
      </c>
      <c r="K608" s="2">
        <v>38539</v>
      </c>
      <c r="L608" t="s">
        <v>297</v>
      </c>
      <c r="M608" t="s">
        <v>297</v>
      </c>
      <c r="N608" s="23" t="str">
        <f t="shared" si="62"/>
        <v>N</v>
      </c>
      <c r="O608" s="16" t="s">
        <v>749</v>
      </c>
      <c r="P608" s="10" t="s">
        <v>208</v>
      </c>
      <c r="Q608" s="10" t="s">
        <v>214</v>
      </c>
      <c r="S608" s="16" t="str">
        <f t="shared" si="63"/>
        <v>Louise  McCurry</v>
      </c>
    </row>
    <row r="609" spans="1:33">
      <c r="A609" s="16">
        <v>6</v>
      </c>
      <c r="B609" s="16" t="s">
        <v>155</v>
      </c>
      <c r="C609" s="16">
        <v>1503</v>
      </c>
      <c r="D609" s="7" t="s">
        <v>295</v>
      </c>
      <c r="E609" s="16" t="s">
        <v>316</v>
      </c>
      <c r="F609" s="2">
        <v>38432</v>
      </c>
      <c r="H609" s="2">
        <v>38846</v>
      </c>
      <c r="I609" s="25">
        <v>38807</v>
      </c>
      <c r="L609" t="s">
        <v>297</v>
      </c>
      <c r="M609" t="s">
        <v>297</v>
      </c>
      <c r="N609" s="23" t="str">
        <f t="shared" si="62"/>
        <v>N</v>
      </c>
      <c r="O609" s="16" t="s">
        <v>750</v>
      </c>
      <c r="P609" s="10" t="s">
        <v>208</v>
      </c>
      <c r="Q609" s="10" t="s">
        <v>214</v>
      </c>
      <c r="S609" s="16" t="str">
        <f t="shared" si="63"/>
        <v>Louise  McCurry</v>
      </c>
    </row>
    <row r="610" spans="1:33" s="7" customFormat="1" hidden="1">
      <c r="A610" s="7">
        <v>7</v>
      </c>
      <c r="B610" s="7" t="s">
        <v>140</v>
      </c>
      <c r="C610" s="7">
        <v>1092</v>
      </c>
      <c r="D610" s="7" t="s">
        <v>375</v>
      </c>
      <c r="E610" s="7" t="s">
        <v>376</v>
      </c>
      <c r="F610" s="2">
        <v>35117</v>
      </c>
      <c r="G610"/>
      <c r="H610"/>
      <c r="I610" s="8">
        <v>35611</v>
      </c>
      <c r="J610"/>
      <c r="K610"/>
      <c r="L610" t="s">
        <v>317</v>
      </c>
      <c r="M610"/>
      <c r="N610"/>
      <c r="O610" s="7" t="s">
        <v>369</v>
      </c>
      <c r="P610" s="7" t="s">
        <v>217</v>
      </c>
      <c r="Q610" s="7" t="s">
        <v>218</v>
      </c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</row>
    <row r="611" spans="1:33" customFormat="1" hidden="1">
      <c r="A611" t="s">
        <v>217</v>
      </c>
      <c r="B611" t="s">
        <v>218</v>
      </c>
      <c r="I611" s="6"/>
    </row>
    <row r="612" spans="1:33">
      <c r="A612" s="16">
        <v>6</v>
      </c>
      <c r="B612" s="16" t="s">
        <v>155</v>
      </c>
      <c r="C612" s="16">
        <v>1504</v>
      </c>
      <c r="D612" s="7" t="s">
        <v>295</v>
      </c>
      <c r="E612" s="30" t="s">
        <v>376</v>
      </c>
      <c r="F612" s="2">
        <v>38432</v>
      </c>
      <c r="H612" s="2">
        <v>38434</v>
      </c>
      <c r="I612" s="25">
        <v>38442</v>
      </c>
      <c r="L612" t="s">
        <v>297</v>
      </c>
      <c r="M612" t="s">
        <v>297</v>
      </c>
      <c r="N612" s="23" t="str">
        <f>IF((I612&gt;$W$2),"Y","N")</f>
        <v>N</v>
      </c>
      <c r="O612" s="16" t="s">
        <v>751</v>
      </c>
      <c r="P612" s="10" t="s">
        <v>208</v>
      </c>
      <c r="Q612" s="10" t="s">
        <v>214</v>
      </c>
      <c r="S612" s="16" t="str">
        <f>MID(Q612,9,30)</f>
        <v>Louise  McCurry</v>
      </c>
    </row>
    <row r="613" spans="1:33">
      <c r="A613" s="16">
        <v>6</v>
      </c>
      <c r="B613" s="16" t="s">
        <v>155</v>
      </c>
      <c r="C613" s="16">
        <v>1516</v>
      </c>
      <c r="D613" s="7" t="s">
        <v>295</v>
      </c>
      <c r="E613" s="16" t="s">
        <v>299</v>
      </c>
      <c r="F613" s="2">
        <v>38738</v>
      </c>
      <c r="H613" s="2">
        <v>38779</v>
      </c>
      <c r="I613" s="25">
        <v>41455</v>
      </c>
      <c r="L613" t="s">
        <v>297</v>
      </c>
      <c r="M613" t="s">
        <v>297</v>
      </c>
      <c r="N613" s="23" t="str">
        <f>IF((I613&gt;$W$2),"Y","N")</f>
        <v>N</v>
      </c>
      <c r="O613" s="16" t="s">
        <v>752</v>
      </c>
      <c r="P613" s="10" t="s">
        <v>208</v>
      </c>
      <c r="Q613" s="10" t="s">
        <v>214</v>
      </c>
      <c r="S613" s="16" t="str">
        <f>MID(Q613,9,30)</f>
        <v>Louise  McCurry</v>
      </c>
      <c r="T613" s="31" t="s">
        <v>1519</v>
      </c>
    </row>
    <row r="614" spans="1:33" s="7" customFormat="1" hidden="1">
      <c r="A614" s="7">
        <v>7</v>
      </c>
      <c r="B614" s="7" t="s">
        <v>317</v>
      </c>
      <c r="C614" s="7">
        <v>155</v>
      </c>
      <c r="D614" s="7" t="s">
        <v>461</v>
      </c>
      <c r="E614" s="7" t="s">
        <v>376</v>
      </c>
      <c r="F614"/>
      <c r="G614"/>
      <c r="H614" s="2">
        <v>32935</v>
      </c>
      <c r="I614" s="8">
        <v>33328</v>
      </c>
      <c r="J614"/>
      <c r="K614" s="2">
        <v>32941</v>
      </c>
      <c r="L614" t="s">
        <v>297</v>
      </c>
      <c r="M614"/>
      <c r="N614"/>
      <c r="O614" s="7" t="s">
        <v>318</v>
      </c>
      <c r="P614" s="7" t="s">
        <v>217</v>
      </c>
      <c r="Q614" s="7" t="s">
        <v>219</v>
      </c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</row>
    <row r="615" spans="1:33">
      <c r="A615" s="16">
        <v>6</v>
      </c>
      <c r="B615" s="30" t="s">
        <v>155</v>
      </c>
      <c r="C615" s="16">
        <v>1568</v>
      </c>
      <c r="E615" s="30" t="s">
        <v>299</v>
      </c>
      <c r="I615" s="25">
        <v>39994</v>
      </c>
      <c r="N615" s="23" t="str">
        <f t="shared" ref="N615:N620" si="64">IF((I615&gt;$W$2),"Y","N")</f>
        <v>N</v>
      </c>
      <c r="O615" s="30" t="s">
        <v>1623</v>
      </c>
    </row>
    <row r="616" spans="1:33">
      <c r="A616" s="16">
        <v>6</v>
      </c>
      <c r="B616" s="16" t="s">
        <v>157</v>
      </c>
      <c r="C616" s="16">
        <v>115</v>
      </c>
      <c r="D616" s="7" t="s">
        <v>295</v>
      </c>
      <c r="E616" s="16" t="s">
        <v>296</v>
      </c>
      <c r="F616" s="2">
        <v>28093</v>
      </c>
      <c r="G616" s="2">
        <v>28976</v>
      </c>
      <c r="H616" s="2">
        <v>39522</v>
      </c>
      <c r="I616" s="25">
        <v>41820</v>
      </c>
      <c r="J616" s="2">
        <v>38790</v>
      </c>
      <c r="K616" s="2">
        <v>35452</v>
      </c>
      <c r="L616" t="s">
        <v>297</v>
      </c>
      <c r="M616" t="s">
        <v>297</v>
      </c>
      <c r="N616" s="23" t="str">
        <f t="shared" si="64"/>
        <v>Y</v>
      </c>
      <c r="O616" s="16" t="s">
        <v>1505</v>
      </c>
      <c r="P616" s="10" t="s">
        <v>208</v>
      </c>
      <c r="Q616" s="10" t="s">
        <v>215</v>
      </c>
      <c r="S616" s="16" t="str">
        <f>MID(Q616,9,30)</f>
        <v>Daniel J Sauer</v>
      </c>
      <c r="T616" s="31">
        <v>41432</v>
      </c>
    </row>
    <row r="617" spans="1:33">
      <c r="A617" s="16">
        <v>6</v>
      </c>
      <c r="B617" s="16" t="s">
        <v>157</v>
      </c>
      <c r="C617" s="16">
        <v>314</v>
      </c>
      <c r="D617" t="s">
        <v>295</v>
      </c>
      <c r="E617" s="16" t="s">
        <v>296</v>
      </c>
      <c r="F617" s="2">
        <v>29731</v>
      </c>
      <c r="G617" s="2">
        <v>30758</v>
      </c>
      <c r="H617" s="2">
        <v>39339</v>
      </c>
      <c r="I617" s="25">
        <v>41820</v>
      </c>
      <c r="J617" s="2">
        <v>38967</v>
      </c>
      <c r="K617" s="2">
        <v>39191</v>
      </c>
      <c r="L617" t="s">
        <v>297</v>
      </c>
      <c r="M617" t="s">
        <v>297</v>
      </c>
      <c r="N617" s="23" t="str">
        <f t="shared" si="64"/>
        <v>Y</v>
      </c>
      <c r="O617" s="30" t="s">
        <v>1493</v>
      </c>
      <c r="P617" s="10" t="s">
        <v>208</v>
      </c>
      <c r="Q617" s="10" t="s">
        <v>215</v>
      </c>
      <c r="S617" s="16" t="str">
        <f>MID(Q617,9,30)</f>
        <v>Daniel J Sauer</v>
      </c>
      <c r="T617" s="31">
        <v>41487</v>
      </c>
    </row>
    <row r="618" spans="1:33">
      <c r="A618" s="16">
        <v>6</v>
      </c>
      <c r="B618" s="16" t="s">
        <v>157</v>
      </c>
      <c r="C618" s="16">
        <v>726</v>
      </c>
      <c r="D618" s="7" t="s">
        <v>295</v>
      </c>
      <c r="E618" s="16" t="s">
        <v>296</v>
      </c>
      <c r="F618" s="2">
        <v>32892</v>
      </c>
      <c r="G618" s="2">
        <v>33684</v>
      </c>
      <c r="H618" s="2">
        <v>39283</v>
      </c>
      <c r="I618" s="25">
        <v>40359</v>
      </c>
      <c r="J618" s="2">
        <v>33694</v>
      </c>
      <c r="K618" s="2">
        <v>36264</v>
      </c>
      <c r="L618" t="s">
        <v>297</v>
      </c>
      <c r="M618" t="s">
        <v>297</v>
      </c>
      <c r="N618" s="23" t="str">
        <f t="shared" si="64"/>
        <v>N</v>
      </c>
      <c r="O618" s="16" t="s">
        <v>755</v>
      </c>
      <c r="P618" s="10" t="s">
        <v>208</v>
      </c>
      <c r="Q618" s="10" t="s">
        <v>215</v>
      </c>
      <c r="S618" s="16" t="str">
        <f>MID(Q618,9,30)</f>
        <v>Daniel J Sauer</v>
      </c>
      <c r="T618" s="31" t="s">
        <v>1264</v>
      </c>
    </row>
    <row r="619" spans="1:33">
      <c r="A619" s="16">
        <v>6</v>
      </c>
      <c r="B619" s="16" t="s">
        <v>157</v>
      </c>
      <c r="C619" s="16">
        <v>786</v>
      </c>
      <c r="D619" s="7" t="s">
        <v>295</v>
      </c>
      <c r="E619" s="16" t="s">
        <v>296</v>
      </c>
      <c r="F619" s="2">
        <v>33384</v>
      </c>
      <c r="G619" s="2">
        <v>35434</v>
      </c>
      <c r="H619" s="2">
        <v>38894</v>
      </c>
      <c r="I619" s="25">
        <v>40359</v>
      </c>
      <c r="J619" s="2">
        <v>39168</v>
      </c>
      <c r="K619" s="2">
        <v>39168</v>
      </c>
      <c r="L619" t="s">
        <v>297</v>
      </c>
      <c r="M619" t="s">
        <v>297</v>
      </c>
      <c r="N619" s="23" t="str">
        <f t="shared" si="64"/>
        <v>N</v>
      </c>
      <c r="O619" s="30" t="s">
        <v>1218</v>
      </c>
      <c r="P619" s="10" t="s">
        <v>208</v>
      </c>
      <c r="Q619" s="10" t="s">
        <v>215</v>
      </c>
      <c r="S619" s="16" t="str">
        <f>MID(Q619,9,30)</f>
        <v>Daniel J Sauer</v>
      </c>
      <c r="T619" s="31">
        <v>39973</v>
      </c>
      <c r="U619" s="24">
        <v>39973</v>
      </c>
    </row>
    <row r="620" spans="1:33">
      <c r="A620" s="16">
        <v>6</v>
      </c>
      <c r="B620" s="16" t="s">
        <v>157</v>
      </c>
      <c r="C620" s="16">
        <v>803</v>
      </c>
      <c r="D620" s="7" t="s">
        <v>295</v>
      </c>
      <c r="E620" s="16" t="s">
        <v>296</v>
      </c>
      <c r="F620" s="2">
        <v>33487</v>
      </c>
      <c r="G620" s="2">
        <v>34178</v>
      </c>
      <c r="H620" s="2">
        <v>39465</v>
      </c>
      <c r="I620" s="25">
        <v>41455</v>
      </c>
      <c r="J620" s="2">
        <v>35101</v>
      </c>
      <c r="K620" s="2">
        <v>35870</v>
      </c>
      <c r="L620" t="s">
        <v>297</v>
      </c>
      <c r="M620" t="s">
        <v>297</v>
      </c>
      <c r="N620" s="23" t="str">
        <f t="shared" si="64"/>
        <v>N</v>
      </c>
      <c r="O620" s="16" t="s">
        <v>757</v>
      </c>
      <c r="P620" s="10" t="s">
        <v>208</v>
      </c>
      <c r="Q620" s="10" t="s">
        <v>215</v>
      </c>
      <c r="S620" s="16" t="str">
        <f>MID(Q620,9,30)</f>
        <v>Daniel J Sauer</v>
      </c>
      <c r="T620" s="31" t="s">
        <v>1357</v>
      </c>
    </row>
    <row r="621" spans="1:33" customFormat="1" hidden="1">
      <c r="A621" t="s">
        <v>217</v>
      </c>
      <c r="B621" t="s">
        <v>219</v>
      </c>
      <c r="I621" s="6"/>
    </row>
    <row r="622" spans="1:33">
      <c r="A622" s="16">
        <v>6</v>
      </c>
      <c r="B622" s="16" t="s">
        <v>157</v>
      </c>
      <c r="C622" s="16">
        <v>913</v>
      </c>
      <c r="D622" s="7" t="s">
        <v>295</v>
      </c>
      <c r="E622" s="16" t="s">
        <v>296</v>
      </c>
      <c r="F622" s="2">
        <v>34225</v>
      </c>
      <c r="G622" s="2">
        <v>38776</v>
      </c>
      <c r="H622" s="2">
        <v>39085</v>
      </c>
      <c r="I622" s="25">
        <v>39994</v>
      </c>
      <c r="J622" s="2">
        <v>38790</v>
      </c>
      <c r="K622" s="2">
        <v>38789</v>
      </c>
      <c r="L622" t="s">
        <v>297</v>
      </c>
      <c r="M622" t="s">
        <v>297</v>
      </c>
      <c r="N622" s="23" t="str">
        <f t="shared" ref="N622:N627" si="65">IF((I622&gt;$W$2),"Y","N")</f>
        <v>N</v>
      </c>
      <c r="O622" s="16" t="s">
        <v>758</v>
      </c>
      <c r="P622" s="10" t="s">
        <v>208</v>
      </c>
      <c r="Q622" s="10" t="s">
        <v>215</v>
      </c>
      <c r="S622" s="16" t="str">
        <f t="shared" ref="S622:S627" si="66">MID(Q622,9,30)</f>
        <v>Daniel J Sauer</v>
      </c>
      <c r="T622" s="31" t="s">
        <v>1162</v>
      </c>
    </row>
    <row r="623" spans="1:33">
      <c r="A623" s="16">
        <v>6</v>
      </c>
      <c r="B623" s="16" t="s">
        <v>157</v>
      </c>
      <c r="C623" s="16">
        <v>1013</v>
      </c>
      <c r="D623" s="7" t="s">
        <v>295</v>
      </c>
      <c r="E623" s="30" t="s">
        <v>316</v>
      </c>
      <c r="F623" s="2">
        <v>34674</v>
      </c>
      <c r="G623" s="2">
        <v>35209</v>
      </c>
      <c r="H623" s="2">
        <v>39272</v>
      </c>
      <c r="I623" s="25">
        <v>40359</v>
      </c>
      <c r="J623" s="2">
        <v>38114</v>
      </c>
      <c r="K623" s="2">
        <v>35578</v>
      </c>
      <c r="L623" t="s">
        <v>297</v>
      </c>
      <c r="M623" t="s">
        <v>297</v>
      </c>
      <c r="N623" s="23" t="str">
        <f t="shared" si="65"/>
        <v>N</v>
      </c>
      <c r="O623" s="16" t="s">
        <v>760</v>
      </c>
      <c r="P623" s="10" t="s">
        <v>208</v>
      </c>
      <c r="Q623" s="10" t="s">
        <v>215</v>
      </c>
      <c r="S623" s="16" t="str">
        <f t="shared" si="66"/>
        <v>Daniel J Sauer</v>
      </c>
      <c r="T623" s="31" t="s">
        <v>1301</v>
      </c>
    </row>
    <row r="624" spans="1:33">
      <c r="A624" s="16">
        <v>6</v>
      </c>
      <c r="B624" s="16" t="s">
        <v>159</v>
      </c>
      <c r="C624" s="16">
        <v>193</v>
      </c>
      <c r="D624" s="7" t="s">
        <v>295</v>
      </c>
      <c r="E624" s="16" t="s">
        <v>296</v>
      </c>
      <c r="F624" s="2">
        <v>28684</v>
      </c>
      <c r="G624" s="2">
        <v>33817</v>
      </c>
      <c r="H624" s="2">
        <v>39405</v>
      </c>
      <c r="I624" s="25">
        <v>41455</v>
      </c>
      <c r="K624" s="2">
        <v>35181</v>
      </c>
      <c r="L624" t="s">
        <v>297</v>
      </c>
      <c r="M624" t="s">
        <v>297</v>
      </c>
      <c r="N624" s="23" t="str">
        <f t="shared" si="65"/>
        <v>N</v>
      </c>
      <c r="O624" s="16" t="s">
        <v>761</v>
      </c>
      <c r="P624" s="10" t="s">
        <v>208</v>
      </c>
      <c r="Q624" s="10" t="s">
        <v>216</v>
      </c>
      <c r="S624" s="16" t="str">
        <f t="shared" si="66"/>
        <v>Nathan F Schwartz</v>
      </c>
      <c r="T624" s="31" t="s">
        <v>1495</v>
      </c>
    </row>
    <row r="625" spans="1:33">
      <c r="A625" s="16">
        <v>6</v>
      </c>
      <c r="B625" s="16" t="s">
        <v>159</v>
      </c>
      <c r="C625" s="16">
        <v>573</v>
      </c>
      <c r="D625" s="7" t="s">
        <v>295</v>
      </c>
      <c r="E625" s="16" t="s">
        <v>316</v>
      </c>
      <c r="F625" s="2">
        <v>31794</v>
      </c>
      <c r="G625" s="2">
        <v>32578</v>
      </c>
      <c r="H625" s="2">
        <v>38708</v>
      </c>
      <c r="I625" s="25">
        <v>39994</v>
      </c>
      <c r="K625" s="2">
        <v>31841</v>
      </c>
      <c r="L625" t="s">
        <v>297</v>
      </c>
      <c r="M625" t="s">
        <v>297</v>
      </c>
      <c r="N625" s="23" t="str">
        <f t="shared" si="65"/>
        <v>N</v>
      </c>
      <c r="O625" s="16" t="s">
        <v>762</v>
      </c>
      <c r="P625" s="10" t="s">
        <v>208</v>
      </c>
      <c r="Q625" s="10" t="s">
        <v>216</v>
      </c>
      <c r="S625" s="16" t="str">
        <f t="shared" si="66"/>
        <v>Nathan F Schwartz</v>
      </c>
      <c r="T625" s="31" t="s">
        <v>1274</v>
      </c>
    </row>
    <row r="626" spans="1:33">
      <c r="A626" s="16">
        <v>6</v>
      </c>
      <c r="B626" s="16" t="s">
        <v>159</v>
      </c>
      <c r="C626" s="16">
        <v>718</v>
      </c>
      <c r="D626" s="7" t="s">
        <v>295</v>
      </c>
      <c r="E626" s="16" t="s">
        <v>296</v>
      </c>
      <c r="F626" s="2">
        <v>32892</v>
      </c>
      <c r="G626" s="2">
        <v>32893</v>
      </c>
      <c r="H626" s="2">
        <v>39514</v>
      </c>
      <c r="I626" s="25">
        <v>41455</v>
      </c>
      <c r="J626" s="2">
        <v>35263</v>
      </c>
      <c r="K626" s="2">
        <v>37691</v>
      </c>
      <c r="L626" t="s">
        <v>297</v>
      </c>
      <c r="M626" t="s">
        <v>297</v>
      </c>
      <c r="N626" s="23" t="str">
        <f t="shared" si="65"/>
        <v>N</v>
      </c>
      <c r="O626" s="30" t="s">
        <v>1817</v>
      </c>
      <c r="P626" s="10" t="s">
        <v>208</v>
      </c>
      <c r="Q626" s="10" t="s">
        <v>216</v>
      </c>
      <c r="S626" s="16" t="str">
        <f t="shared" si="66"/>
        <v>Nathan F Schwartz</v>
      </c>
      <c r="T626" s="31" t="s">
        <v>1368</v>
      </c>
    </row>
    <row r="627" spans="1:33">
      <c r="A627" s="16">
        <v>6</v>
      </c>
      <c r="B627" s="16" t="s">
        <v>159</v>
      </c>
      <c r="C627" s="16">
        <v>863</v>
      </c>
      <c r="D627" s="7" t="s">
        <v>295</v>
      </c>
      <c r="E627" s="16" t="s">
        <v>296</v>
      </c>
      <c r="F627" s="2">
        <v>33879</v>
      </c>
      <c r="G627" s="2">
        <v>34845</v>
      </c>
      <c r="H627" s="2">
        <v>39430</v>
      </c>
      <c r="I627" s="25">
        <v>41820</v>
      </c>
      <c r="K627" s="2">
        <v>38880</v>
      </c>
      <c r="L627" t="s">
        <v>297</v>
      </c>
      <c r="M627" t="s">
        <v>297</v>
      </c>
      <c r="N627" s="23" t="str">
        <f t="shared" si="65"/>
        <v>Y</v>
      </c>
      <c r="O627" s="16" t="s">
        <v>1488</v>
      </c>
      <c r="P627" s="10" t="s">
        <v>208</v>
      </c>
      <c r="Q627" s="10" t="s">
        <v>216</v>
      </c>
      <c r="S627" s="16" t="str">
        <f t="shared" si="66"/>
        <v>Nathan F Schwartz</v>
      </c>
      <c r="T627" s="31">
        <v>41424</v>
      </c>
    </row>
    <row r="628" spans="1:33" customFormat="1" hidden="1">
      <c r="A628" t="s">
        <v>217</v>
      </c>
      <c r="B628" t="s">
        <v>221</v>
      </c>
      <c r="I628" s="6"/>
    </row>
    <row r="629" spans="1:33" customFormat="1" hidden="1">
      <c r="A629" t="s">
        <v>794</v>
      </c>
      <c r="I629" s="6"/>
    </row>
    <row r="630" spans="1:33" s="7" customFormat="1" hidden="1">
      <c r="A630" s="7">
        <v>8</v>
      </c>
      <c r="B630" s="7" t="s">
        <v>140</v>
      </c>
      <c r="C630" s="7">
        <v>694</v>
      </c>
      <c r="D630" s="7" t="s">
        <v>315</v>
      </c>
      <c r="E630" s="7" t="s">
        <v>316</v>
      </c>
      <c r="F630" s="2">
        <v>32691</v>
      </c>
      <c r="G630" s="2">
        <v>33264</v>
      </c>
      <c r="H630" s="2">
        <v>38108</v>
      </c>
      <c r="I630" s="8">
        <v>37437</v>
      </c>
      <c r="J630"/>
      <c r="K630" s="2">
        <v>35644</v>
      </c>
      <c r="L630" t="s">
        <v>297</v>
      </c>
      <c r="M630" t="s">
        <v>297</v>
      </c>
      <c r="N630"/>
      <c r="P630" s="7" t="s">
        <v>222</v>
      </c>
      <c r="Q630" s="7" t="s">
        <v>223</v>
      </c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</row>
    <row r="631" spans="1:33">
      <c r="A631" s="16">
        <v>6</v>
      </c>
      <c r="B631" s="16" t="s">
        <v>159</v>
      </c>
      <c r="C631" s="16">
        <v>1018</v>
      </c>
      <c r="D631" s="7" t="s">
        <v>295</v>
      </c>
      <c r="E631" s="16" t="s">
        <v>299</v>
      </c>
      <c r="F631" s="2">
        <v>34729</v>
      </c>
      <c r="H631" s="2">
        <v>39206</v>
      </c>
      <c r="I631" s="25" t="s">
        <v>1266</v>
      </c>
      <c r="K631" s="2">
        <v>35131</v>
      </c>
      <c r="L631" t="s">
        <v>322</v>
      </c>
      <c r="M631" t="s">
        <v>297</v>
      </c>
      <c r="N631" s="23" t="str">
        <f>IF((I631&gt;$W$2),"Y","N")</f>
        <v>Y</v>
      </c>
      <c r="O631" s="30" t="s">
        <v>1818</v>
      </c>
      <c r="P631" s="10" t="s">
        <v>208</v>
      </c>
      <c r="Q631" s="10" t="s">
        <v>216</v>
      </c>
      <c r="S631" s="16" t="str">
        <f>MID(Q631,9,30)</f>
        <v>Nathan F Schwartz</v>
      </c>
    </row>
    <row r="632" spans="1:33">
      <c r="A632" s="16">
        <v>6</v>
      </c>
      <c r="B632" s="16" t="s">
        <v>159</v>
      </c>
      <c r="C632" s="16">
        <v>1024</v>
      </c>
      <c r="D632" s="7" t="s">
        <v>295</v>
      </c>
      <c r="E632" s="30" t="s">
        <v>376</v>
      </c>
      <c r="F632" s="2">
        <v>34729</v>
      </c>
      <c r="H632" s="2">
        <v>39104</v>
      </c>
      <c r="I632" s="25">
        <v>37072</v>
      </c>
      <c r="J632" s="2">
        <v>34961</v>
      </c>
      <c r="K632" s="2">
        <v>35146</v>
      </c>
      <c r="L632" t="s">
        <v>297</v>
      </c>
      <c r="M632" t="s">
        <v>297</v>
      </c>
      <c r="N632" s="23" t="str">
        <f>IF((I632&gt;$W$2),"Y","N")</f>
        <v>N</v>
      </c>
      <c r="O632" s="16" t="s">
        <v>318</v>
      </c>
      <c r="P632" s="10" t="s">
        <v>208</v>
      </c>
      <c r="Q632" s="10" t="s">
        <v>216</v>
      </c>
      <c r="S632" s="16" t="str">
        <f>MID(Q632,9,30)</f>
        <v>Nathan F Schwartz</v>
      </c>
    </row>
    <row r="633" spans="1:33">
      <c r="A633" s="16">
        <v>6</v>
      </c>
      <c r="B633" s="16" t="s">
        <v>159</v>
      </c>
      <c r="C633" s="16">
        <v>1047</v>
      </c>
      <c r="D633" t="s">
        <v>295</v>
      </c>
      <c r="E633" s="16" t="s">
        <v>296</v>
      </c>
      <c r="F633" s="2">
        <v>34788</v>
      </c>
      <c r="G633" s="2">
        <v>35937</v>
      </c>
      <c r="H633" s="2">
        <v>39495</v>
      </c>
      <c r="I633" s="25">
        <v>41455</v>
      </c>
      <c r="K633" s="2">
        <v>35900</v>
      </c>
      <c r="L633" t="s">
        <v>297</v>
      </c>
      <c r="M633" t="s">
        <v>297</v>
      </c>
      <c r="N633" s="23" t="str">
        <f>IF((I633&gt;$W$2),"Y","N")</f>
        <v>N</v>
      </c>
      <c r="O633" s="30" t="s">
        <v>1218</v>
      </c>
      <c r="P633" s="10" t="s">
        <v>208</v>
      </c>
      <c r="Q633" s="10" t="s">
        <v>216</v>
      </c>
      <c r="S633" s="16" t="str">
        <f>MID(Q633,9,30)</f>
        <v>Nathan F Schwartz</v>
      </c>
      <c r="T633" s="31" t="s">
        <v>1346</v>
      </c>
    </row>
    <row r="634" spans="1:33">
      <c r="A634" s="16">
        <v>6</v>
      </c>
      <c r="B634" s="16" t="s">
        <v>159</v>
      </c>
      <c r="C634" s="16">
        <v>1284</v>
      </c>
      <c r="D634" s="7" t="s">
        <v>295</v>
      </c>
      <c r="E634" s="16" t="s">
        <v>296</v>
      </c>
      <c r="F634" s="2">
        <v>36208</v>
      </c>
      <c r="G634" s="2">
        <v>37036</v>
      </c>
      <c r="H634" s="2">
        <v>39288</v>
      </c>
      <c r="I634" s="25">
        <v>41820</v>
      </c>
      <c r="J634" s="2">
        <v>37029</v>
      </c>
      <c r="K634" s="2">
        <v>39127</v>
      </c>
      <c r="L634" t="s">
        <v>297</v>
      </c>
      <c r="M634" t="s">
        <v>297</v>
      </c>
      <c r="N634" s="23" t="str">
        <f>IF((I634&gt;$W$2),"Y","N")</f>
        <v>Y</v>
      </c>
      <c r="O634" s="16" t="s">
        <v>767</v>
      </c>
      <c r="P634" s="10" t="s">
        <v>208</v>
      </c>
      <c r="Q634" s="10" t="s">
        <v>216</v>
      </c>
      <c r="S634" s="16" t="str">
        <f>MID(Q634,9,30)</f>
        <v>Nathan F Schwartz</v>
      </c>
      <c r="T634" s="31">
        <v>41471</v>
      </c>
    </row>
    <row r="635" spans="1:33" s="7" customFormat="1" hidden="1">
      <c r="A635" s="7">
        <v>8</v>
      </c>
      <c r="B635" s="7" t="s">
        <v>140</v>
      </c>
      <c r="C635" s="7">
        <v>1177</v>
      </c>
      <c r="D635" s="7" t="s">
        <v>380</v>
      </c>
      <c r="E635" s="7" t="s">
        <v>316</v>
      </c>
      <c r="F635" s="2">
        <v>35487</v>
      </c>
      <c r="G635" s="2">
        <v>36175</v>
      </c>
      <c r="H635" s="2">
        <v>38093</v>
      </c>
      <c r="I635" s="8">
        <v>36372</v>
      </c>
      <c r="J635"/>
      <c r="K635" s="2">
        <v>35564</v>
      </c>
      <c r="L635" t="s">
        <v>297</v>
      </c>
      <c r="M635" t="s">
        <v>297</v>
      </c>
      <c r="N635"/>
      <c r="O635" s="7" t="s">
        <v>318</v>
      </c>
      <c r="P635" s="7" t="s">
        <v>222</v>
      </c>
      <c r="Q635" s="7" t="s">
        <v>223</v>
      </c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</row>
    <row r="636" spans="1:33">
      <c r="A636" s="16">
        <v>6</v>
      </c>
      <c r="B636" s="16" t="s">
        <v>159</v>
      </c>
      <c r="C636" s="16">
        <v>1581</v>
      </c>
      <c r="E636" s="16" t="s">
        <v>299</v>
      </c>
      <c r="F636" s="2">
        <v>37064</v>
      </c>
      <c r="G636" s="2">
        <v>37764</v>
      </c>
      <c r="H636" s="2">
        <v>39464</v>
      </c>
      <c r="I636" s="25">
        <v>41820</v>
      </c>
      <c r="L636" t="s">
        <v>317</v>
      </c>
      <c r="M636" t="s">
        <v>322</v>
      </c>
      <c r="N636" s="21" t="str">
        <f t="shared" ref="N636:N643" si="67">IF((I636&gt;$W$2),"Y","N")</f>
        <v>Y</v>
      </c>
      <c r="O636" s="16" t="s">
        <v>1324</v>
      </c>
      <c r="T636" s="31">
        <v>41331</v>
      </c>
    </row>
    <row r="637" spans="1:33">
      <c r="A637" s="16">
        <v>7</v>
      </c>
      <c r="B637" s="16" t="s">
        <v>140</v>
      </c>
      <c r="C637" s="16">
        <v>274</v>
      </c>
      <c r="D637" s="7" t="s">
        <v>295</v>
      </c>
      <c r="E637" s="16" t="s">
        <v>296</v>
      </c>
      <c r="F637" s="2">
        <v>29462</v>
      </c>
      <c r="G637" s="2">
        <v>31857</v>
      </c>
      <c r="H637" s="2">
        <v>39199</v>
      </c>
      <c r="I637" s="25">
        <v>41820</v>
      </c>
      <c r="K637" s="2">
        <v>33471</v>
      </c>
      <c r="L637" t="s">
        <v>297</v>
      </c>
      <c r="N637" s="23" t="str">
        <f t="shared" si="67"/>
        <v>Y</v>
      </c>
      <c r="O637" s="16" t="s">
        <v>769</v>
      </c>
      <c r="P637" s="10" t="s">
        <v>217</v>
      </c>
      <c r="Q637" s="10" t="s">
        <v>218</v>
      </c>
      <c r="S637" s="16" t="str">
        <f t="shared" ref="S637:S643" si="68">MID(Q637,9,30)</f>
        <v>Maurice G Miranda</v>
      </c>
      <c r="T637" s="31">
        <v>41428</v>
      </c>
    </row>
    <row r="638" spans="1:33">
      <c r="A638" s="16">
        <v>7</v>
      </c>
      <c r="B638" s="16" t="s">
        <v>140</v>
      </c>
      <c r="C638" s="16">
        <v>403</v>
      </c>
      <c r="D638" t="s">
        <v>295</v>
      </c>
      <c r="E638" s="16" t="s">
        <v>296</v>
      </c>
      <c r="F638" s="2">
        <v>30530</v>
      </c>
      <c r="G638" s="2">
        <v>32220</v>
      </c>
      <c r="H638" s="2">
        <v>39264</v>
      </c>
      <c r="I638" s="25">
        <v>40724</v>
      </c>
      <c r="K638" s="2">
        <v>38940</v>
      </c>
      <c r="L638" t="s">
        <v>297</v>
      </c>
      <c r="M638" t="s">
        <v>297</v>
      </c>
      <c r="N638" s="23" t="str">
        <f t="shared" si="67"/>
        <v>N</v>
      </c>
      <c r="O638" s="16" t="s">
        <v>1203</v>
      </c>
      <c r="P638" s="10" t="s">
        <v>217</v>
      </c>
      <c r="Q638" s="10" t="s">
        <v>218</v>
      </c>
      <c r="S638" s="16" t="str">
        <f t="shared" si="68"/>
        <v>Maurice G Miranda</v>
      </c>
      <c r="T638" s="31">
        <v>39965</v>
      </c>
      <c r="U638" s="24">
        <v>39968</v>
      </c>
    </row>
    <row r="639" spans="1:33">
      <c r="A639" s="16">
        <v>7</v>
      </c>
      <c r="B639" s="16" t="s">
        <v>140</v>
      </c>
      <c r="C639" s="16">
        <v>527</v>
      </c>
      <c r="D639" s="7" t="s">
        <v>295</v>
      </c>
      <c r="E639" s="16" t="s">
        <v>296</v>
      </c>
      <c r="F639" s="2">
        <v>31493</v>
      </c>
      <c r="G639" s="2">
        <v>32648</v>
      </c>
      <c r="H639" s="2">
        <v>39288</v>
      </c>
      <c r="I639" s="25">
        <v>41455</v>
      </c>
      <c r="K639" s="2">
        <v>36243</v>
      </c>
      <c r="L639" t="s">
        <v>297</v>
      </c>
      <c r="M639" t="s">
        <v>297</v>
      </c>
      <c r="N639" s="23" t="str">
        <f t="shared" si="67"/>
        <v>N</v>
      </c>
      <c r="O639" s="30" t="s">
        <v>1819</v>
      </c>
      <c r="P639" s="10" t="s">
        <v>217</v>
      </c>
      <c r="Q639" s="10" t="s">
        <v>218</v>
      </c>
      <c r="S639" s="16" t="str">
        <f t="shared" si="68"/>
        <v>Maurice G Miranda</v>
      </c>
      <c r="T639" s="31" t="s">
        <v>1388</v>
      </c>
    </row>
    <row r="640" spans="1:33">
      <c r="A640" s="16">
        <v>7</v>
      </c>
      <c r="B640" s="16" t="s">
        <v>140</v>
      </c>
      <c r="C640" s="16">
        <v>601</v>
      </c>
      <c r="D640" t="s">
        <v>295</v>
      </c>
      <c r="E640" s="16" t="s">
        <v>296</v>
      </c>
      <c r="F640" s="2">
        <v>31922</v>
      </c>
      <c r="G640" s="2">
        <v>31922</v>
      </c>
      <c r="H640" s="2">
        <v>38190</v>
      </c>
      <c r="I640" s="25">
        <v>41820</v>
      </c>
      <c r="J640" s="2">
        <v>32336</v>
      </c>
      <c r="K640" s="2">
        <v>38513</v>
      </c>
      <c r="L640" t="s">
        <v>297</v>
      </c>
      <c r="M640" t="s">
        <v>297</v>
      </c>
      <c r="N640" s="23" t="str">
        <f t="shared" si="67"/>
        <v>Y</v>
      </c>
      <c r="O640" s="16" t="s">
        <v>772</v>
      </c>
      <c r="P640" s="10" t="s">
        <v>217</v>
      </c>
      <c r="Q640" s="10" t="s">
        <v>218</v>
      </c>
      <c r="S640" s="16" t="str">
        <f t="shared" si="68"/>
        <v>Maurice G Miranda</v>
      </c>
      <c r="T640" s="31" t="s">
        <v>1612</v>
      </c>
    </row>
    <row r="641" spans="1:21">
      <c r="A641" s="16">
        <v>7</v>
      </c>
      <c r="B641" s="16" t="s">
        <v>140</v>
      </c>
      <c r="C641" s="16">
        <v>738</v>
      </c>
      <c r="D641" t="s">
        <v>295</v>
      </c>
      <c r="E641" s="16" t="s">
        <v>296</v>
      </c>
      <c r="F641" s="2">
        <v>32949</v>
      </c>
      <c r="G641" s="2">
        <v>32949</v>
      </c>
      <c r="H641" s="2">
        <v>38951</v>
      </c>
      <c r="I641" s="25">
        <v>41455</v>
      </c>
      <c r="K641" s="2">
        <v>34485</v>
      </c>
      <c r="L641" t="s">
        <v>297</v>
      </c>
      <c r="M641" t="s">
        <v>297</v>
      </c>
      <c r="N641" s="23" t="str">
        <f t="shared" si="67"/>
        <v>N</v>
      </c>
      <c r="O641" s="30" t="s">
        <v>1820</v>
      </c>
      <c r="P641" s="10" t="s">
        <v>217</v>
      </c>
      <c r="Q641" s="10" t="s">
        <v>218</v>
      </c>
      <c r="S641" s="16" t="str">
        <f t="shared" si="68"/>
        <v>Maurice G Miranda</v>
      </c>
      <c r="T641" s="31" t="s">
        <v>1368</v>
      </c>
    </row>
    <row r="642" spans="1:21">
      <c r="A642" s="16">
        <v>7</v>
      </c>
      <c r="B642" s="16" t="s">
        <v>140</v>
      </c>
      <c r="C642" s="16">
        <v>818</v>
      </c>
      <c r="D642" s="7" t="s">
        <v>295</v>
      </c>
      <c r="E642" s="16" t="s">
        <v>296</v>
      </c>
      <c r="F642" s="2">
        <v>33621</v>
      </c>
      <c r="G642" s="2">
        <v>33621</v>
      </c>
      <c r="H642" s="2">
        <v>39297</v>
      </c>
      <c r="I642" s="25">
        <v>41455</v>
      </c>
      <c r="K642" s="2">
        <v>38809</v>
      </c>
      <c r="L642" t="s">
        <v>297</v>
      </c>
      <c r="M642" t="s">
        <v>297</v>
      </c>
      <c r="N642" s="23" t="str">
        <f t="shared" si="67"/>
        <v>N</v>
      </c>
      <c r="O642" s="16" t="s">
        <v>774</v>
      </c>
      <c r="P642" s="10" t="s">
        <v>217</v>
      </c>
      <c r="Q642" s="10" t="s">
        <v>218</v>
      </c>
      <c r="S642" s="16" t="str">
        <f t="shared" si="68"/>
        <v>Maurice G Miranda</v>
      </c>
      <c r="T642" s="31" t="s">
        <v>1425</v>
      </c>
    </row>
    <row r="643" spans="1:21">
      <c r="A643" s="16">
        <v>7</v>
      </c>
      <c r="B643" s="16" t="s">
        <v>140</v>
      </c>
      <c r="C643" s="16">
        <v>892</v>
      </c>
      <c r="D643" s="7" t="s">
        <v>295</v>
      </c>
      <c r="E643" s="16" t="s">
        <v>296</v>
      </c>
      <c r="F643" s="2">
        <v>34117</v>
      </c>
      <c r="G643" s="2">
        <v>34775</v>
      </c>
      <c r="H643" s="2">
        <v>38890</v>
      </c>
      <c r="I643" s="25">
        <v>41820</v>
      </c>
      <c r="K643" s="2">
        <v>39314</v>
      </c>
      <c r="L643" t="s">
        <v>297</v>
      </c>
      <c r="M643" t="s">
        <v>297</v>
      </c>
      <c r="N643" s="23" t="str">
        <f t="shared" si="67"/>
        <v>Y</v>
      </c>
      <c r="O643" s="30" t="s">
        <v>1821</v>
      </c>
      <c r="P643" s="10" t="s">
        <v>217</v>
      </c>
      <c r="Q643" s="10" t="s">
        <v>218</v>
      </c>
      <c r="S643" s="16" t="str">
        <f t="shared" si="68"/>
        <v>Maurice G Miranda</v>
      </c>
      <c r="T643" s="31">
        <v>41432</v>
      </c>
    </row>
    <row r="644" spans="1:21" customFormat="1" hidden="1">
      <c r="A644" t="s">
        <v>222</v>
      </c>
      <c r="B644" t="s">
        <v>223</v>
      </c>
      <c r="I644" s="6"/>
    </row>
    <row r="645" spans="1:21">
      <c r="A645" s="16">
        <v>7</v>
      </c>
      <c r="B645" s="16" t="s">
        <v>140</v>
      </c>
      <c r="C645" s="16">
        <v>895</v>
      </c>
      <c r="D645" t="s">
        <v>295</v>
      </c>
      <c r="E645" s="16" t="s">
        <v>296</v>
      </c>
      <c r="F645" s="2">
        <v>34117</v>
      </c>
      <c r="G645" s="2">
        <v>38776</v>
      </c>
      <c r="H645" s="2">
        <v>39351</v>
      </c>
      <c r="I645" s="25">
        <v>41820</v>
      </c>
      <c r="L645" t="s">
        <v>297</v>
      </c>
      <c r="M645" t="s">
        <v>297</v>
      </c>
      <c r="N645" s="23" t="str">
        <f t="shared" ref="N645:N656" si="69">IF((I645&gt;$W$2),"Y","N")</f>
        <v>Y</v>
      </c>
      <c r="O645" s="16" t="s">
        <v>1597</v>
      </c>
      <c r="P645" s="10" t="s">
        <v>217</v>
      </c>
      <c r="Q645" s="10" t="s">
        <v>218</v>
      </c>
      <c r="S645" s="16" t="str">
        <f>MID(Q645,9,30)</f>
        <v>Maurice G Miranda</v>
      </c>
      <c r="T645" s="31">
        <v>41474</v>
      </c>
    </row>
    <row r="646" spans="1:21">
      <c r="A646" s="16">
        <v>7</v>
      </c>
      <c r="B646" s="16" t="s">
        <v>140</v>
      </c>
      <c r="C646" s="16">
        <v>940</v>
      </c>
      <c r="E646" s="16" t="s">
        <v>296</v>
      </c>
      <c r="F646" s="2">
        <v>38609</v>
      </c>
      <c r="H646" s="2">
        <v>38609</v>
      </c>
      <c r="I646" s="25">
        <v>41820</v>
      </c>
      <c r="L646" t="s">
        <v>297</v>
      </c>
      <c r="M646" t="s">
        <v>322</v>
      </c>
      <c r="N646" s="23" t="str">
        <f t="shared" si="69"/>
        <v>Y</v>
      </c>
      <c r="O646" s="16" t="s">
        <v>1204</v>
      </c>
      <c r="T646" s="31">
        <v>41477</v>
      </c>
    </row>
    <row r="647" spans="1:21">
      <c r="A647" s="16">
        <v>7</v>
      </c>
      <c r="B647" s="16" t="s">
        <v>140</v>
      </c>
      <c r="C647" s="16">
        <v>941</v>
      </c>
      <c r="D647" s="7" t="s">
        <v>295</v>
      </c>
      <c r="E647" s="16" t="s">
        <v>296</v>
      </c>
      <c r="F647" s="2">
        <v>34396</v>
      </c>
      <c r="G647" s="2">
        <v>34408</v>
      </c>
      <c r="H647" s="2">
        <v>39142</v>
      </c>
      <c r="I647" s="25">
        <v>41820</v>
      </c>
      <c r="J647" s="2">
        <v>36846</v>
      </c>
      <c r="K647" s="2">
        <v>35870</v>
      </c>
      <c r="L647" t="s">
        <v>297</v>
      </c>
      <c r="M647" t="s">
        <v>297</v>
      </c>
      <c r="N647" s="23" t="str">
        <f t="shared" si="69"/>
        <v>Y</v>
      </c>
      <c r="O647" s="30" t="s">
        <v>1822</v>
      </c>
      <c r="P647" s="10" t="s">
        <v>217</v>
      </c>
      <c r="Q647" s="10" t="s">
        <v>218</v>
      </c>
      <c r="S647" s="16" t="str">
        <f>MID(Q647,9,30)</f>
        <v>Maurice G Miranda</v>
      </c>
      <c r="T647" s="31">
        <v>41438</v>
      </c>
    </row>
    <row r="648" spans="1:21">
      <c r="A648" s="16">
        <v>7</v>
      </c>
      <c r="B648" s="16" t="s">
        <v>140</v>
      </c>
      <c r="C648" s="16">
        <v>1012</v>
      </c>
      <c r="D648" s="7" t="s">
        <v>295</v>
      </c>
      <c r="E648" s="16" t="s">
        <v>376</v>
      </c>
      <c r="F648" s="2">
        <v>38583</v>
      </c>
      <c r="H648" s="2">
        <v>39041</v>
      </c>
      <c r="I648" s="25">
        <v>39263</v>
      </c>
      <c r="L648" t="s">
        <v>297</v>
      </c>
      <c r="M648" t="s">
        <v>297</v>
      </c>
      <c r="N648" s="23" t="str">
        <f t="shared" si="69"/>
        <v>N</v>
      </c>
      <c r="O648" s="16" t="s">
        <v>779</v>
      </c>
      <c r="P648" s="10" t="s">
        <v>217</v>
      </c>
      <c r="Q648" s="10" t="s">
        <v>218</v>
      </c>
      <c r="S648" s="16" t="str">
        <f>MID(Q648,9,30)</f>
        <v>Maurice G Miranda</v>
      </c>
    </row>
    <row r="649" spans="1:21">
      <c r="A649" s="16">
        <v>7</v>
      </c>
      <c r="B649" s="16" t="s">
        <v>140</v>
      </c>
      <c r="C649" s="16">
        <v>1584</v>
      </c>
      <c r="E649" s="16" t="s">
        <v>299</v>
      </c>
      <c r="F649" s="2">
        <v>37536</v>
      </c>
      <c r="H649" s="2">
        <v>38524</v>
      </c>
      <c r="I649" s="25">
        <v>40724</v>
      </c>
      <c r="L649" t="s">
        <v>297</v>
      </c>
      <c r="M649" t="s">
        <v>297</v>
      </c>
      <c r="N649" s="21" t="str">
        <f t="shared" si="69"/>
        <v>N</v>
      </c>
      <c r="O649" s="16" t="s">
        <v>1331</v>
      </c>
      <c r="T649" s="31" t="s">
        <v>1327</v>
      </c>
    </row>
    <row r="650" spans="1:21">
      <c r="A650" s="16">
        <v>7</v>
      </c>
      <c r="B650" s="16" t="s">
        <v>317</v>
      </c>
      <c r="C650" s="16">
        <v>118</v>
      </c>
      <c r="D650" s="7" t="s">
        <v>295</v>
      </c>
      <c r="E650" s="16" t="s">
        <v>296</v>
      </c>
      <c r="F650" s="2">
        <v>28093</v>
      </c>
      <c r="G650" s="2">
        <v>28901</v>
      </c>
      <c r="H650" s="2">
        <v>39281</v>
      </c>
      <c r="I650" s="25">
        <v>41820</v>
      </c>
      <c r="J650" s="2">
        <v>37865</v>
      </c>
      <c r="K650" s="2">
        <v>35345</v>
      </c>
      <c r="L650" t="s">
        <v>297</v>
      </c>
      <c r="M650" t="s">
        <v>297</v>
      </c>
      <c r="N650" s="23" t="str">
        <f t="shared" si="69"/>
        <v>Y</v>
      </c>
      <c r="O650" s="16" t="s">
        <v>780</v>
      </c>
      <c r="P650" s="10" t="s">
        <v>217</v>
      </c>
      <c r="Q650" s="10" t="s">
        <v>219</v>
      </c>
      <c r="S650" s="16" t="str">
        <f t="shared" ref="S650:S656" si="70">MID(Q650,9,30)</f>
        <v>Conrad T Shiroma</v>
      </c>
      <c r="T650" s="31">
        <v>41432</v>
      </c>
    </row>
    <row r="651" spans="1:21">
      <c r="A651" s="16">
        <v>7</v>
      </c>
      <c r="B651" s="16" t="s">
        <v>317</v>
      </c>
      <c r="C651" s="16">
        <v>119</v>
      </c>
      <c r="D651" t="s">
        <v>295</v>
      </c>
      <c r="E651" s="16" t="s">
        <v>296</v>
      </c>
      <c r="F651" s="2">
        <v>28093</v>
      </c>
      <c r="G651" s="2">
        <v>28901</v>
      </c>
      <c r="H651" s="2">
        <v>39331</v>
      </c>
      <c r="I651" s="25">
        <v>41820</v>
      </c>
      <c r="J651" s="2">
        <v>38988</v>
      </c>
      <c r="K651" s="2">
        <v>38147</v>
      </c>
      <c r="L651" t="s">
        <v>297</v>
      </c>
      <c r="M651" t="s">
        <v>297</v>
      </c>
      <c r="N651" s="23" t="str">
        <f t="shared" si="69"/>
        <v>Y</v>
      </c>
      <c r="O651" s="30" t="s">
        <v>1823</v>
      </c>
      <c r="P651" s="10" t="s">
        <v>217</v>
      </c>
      <c r="Q651" s="10" t="s">
        <v>219</v>
      </c>
      <c r="S651" s="16" t="str">
        <f t="shared" si="70"/>
        <v>Conrad T Shiroma</v>
      </c>
      <c r="T651" s="31">
        <v>41423</v>
      </c>
    </row>
    <row r="652" spans="1:21">
      <c r="A652" s="16">
        <v>7</v>
      </c>
      <c r="B652" s="16" t="s">
        <v>317</v>
      </c>
      <c r="C652" s="16">
        <v>188</v>
      </c>
      <c r="D652" s="7" t="s">
        <v>295</v>
      </c>
      <c r="E652" s="16" t="s">
        <v>296</v>
      </c>
      <c r="F652" s="2">
        <v>28640</v>
      </c>
      <c r="G652" s="2">
        <v>28696</v>
      </c>
      <c r="H652" s="2">
        <v>39378</v>
      </c>
      <c r="I652" s="25">
        <v>41820</v>
      </c>
      <c r="J652" s="2">
        <v>38285</v>
      </c>
      <c r="K652" s="2">
        <v>39371</v>
      </c>
      <c r="L652" t="s">
        <v>297</v>
      </c>
      <c r="M652" t="s">
        <v>297</v>
      </c>
      <c r="N652" s="23" t="str">
        <f t="shared" si="69"/>
        <v>Y</v>
      </c>
      <c r="O652" s="30" t="s">
        <v>1824</v>
      </c>
      <c r="P652" s="10" t="s">
        <v>217</v>
      </c>
      <c r="Q652" s="10" t="s">
        <v>219</v>
      </c>
      <c r="S652" s="16" t="str">
        <f t="shared" si="70"/>
        <v>Conrad T Shiroma</v>
      </c>
      <c r="T652" s="31">
        <v>41428</v>
      </c>
    </row>
    <row r="653" spans="1:21">
      <c r="A653" s="16">
        <v>7</v>
      </c>
      <c r="B653" s="16" t="s">
        <v>317</v>
      </c>
      <c r="C653" s="16">
        <v>269</v>
      </c>
      <c r="D653" t="s">
        <v>295</v>
      </c>
      <c r="E653" s="16" t="s">
        <v>296</v>
      </c>
      <c r="F653" s="2">
        <v>29399</v>
      </c>
      <c r="G653" s="2">
        <v>31344</v>
      </c>
      <c r="H653" s="2">
        <v>39202</v>
      </c>
      <c r="I653" s="25">
        <v>41455</v>
      </c>
      <c r="J653" s="2">
        <v>37865</v>
      </c>
      <c r="K653" s="2">
        <v>38603</v>
      </c>
      <c r="L653" t="s">
        <v>297</v>
      </c>
      <c r="M653" t="s">
        <v>297</v>
      </c>
      <c r="N653" s="23" t="str">
        <f t="shared" si="69"/>
        <v>N</v>
      </c>
      <c r="O653" s="30" t="s">
        <v>1825</v>
      </c>
      <c r="P653" s="10" t="s">
        <v>217</v>
      </c>
      <c r="Q653" s="10" t="s">
        <v>219</v>
      </c>
      <c r="S653" s="16" t="str">
        <f t="shared" si="70"/>
        <v>Conrad T Shiroma</v>
      </c>
      <c r="T653" s="31" t="s">
        <v>1358</v>
      </c>
    </row>
    <row r="654" spans="1:21">
      <c r="A654" s="16">
        <v>7</v>
      </c>
      <c r="B654" s="16" t="s">
        <v>317</v>
      </c>
      <c r="C654" s="16">
        <v>289</v>
      </c>
      <c r="D654" s="7" t="s">
        <v>295</v>
      </c>
      <c r="E654" s="16" t="s">
        <v>296</v>
      </c>
      <c r="F654" s="2">
        <v>29630</v>
      </c>
      <c r="G654" s="2">
        <v>29884</v>
      </c>
      <c r="H654" s="2">
        <v>38868</v>
      </c>
      <c r="I654" s="25">
        <v>40724</v>
      </c>
      <c r="J654" s="2">
        <v>37865</v>
      </c>
      <c r="K654" s="2">
        <v>38688</v>
      </c>
      <c r="L654" t="s">
        <v>297</v>
      </c>
      <c r="M654" t="s">
        <v>297</v>
      </c>
      <c r="N654" s="23" t="str">
        <f t="shared" si="69"/>
        <v>N</v>
      </c>
      <c r="O654" s="16" t="s">
        <v>784</v>
      </c>
      <c r="P654" s="10" t="s">
        <v>217</v>
      </c>
      <c r="Q654" s="10" t="s">
        <v>219</v>
      </c>
      <c r="S654" s="16" t="str">
        <f t="shared" si="70"/>
        <v>Conrad T Shiroma</v>
      </c>
      <c r="T654" s="31" t="s">
        <v>1322</v>
      </c>
      <c r="U654" s="24">
        <v>39972</v>
      </c>
    </row>
    <row r="655" spans="1:21">
      <c r="A655" s="16">
        <v>7</v>
      </c>
      <c r="B655" s="16" t="s">
        <v>317</v>
      </c>
      <c r="C655" s="16">
        <v>358</v>
      </c>
      <c r="D655" s="7" t="s">
        <v>295</v>
      </c>
      <c r="E655" s="16" t="s">
        <v>296</v>
      </c>
      <c r="F655" s="2">
        <v>30099</v>
      </c>
      <c r="G655" s="2">
        <v>30394</v>
      </c>
      <c r="H655" s="2">
        <v>38622</v>
      </c>
      <c r="I655" s="25">
        <v>41455</v>
      </c>
      <c r="J655" s="2">
        <v>35431</v>
      </c>
      <c r="K655" s="2">
        <v>36287</v>
      </c>
      <c r="L655" t="s">
        <v>297</v>
      </c>
      <c r="N655" s="23" t="str">
        <f t="shared" si="69"/>
        <v>N</v>
      </c>
      <c r="O655" s="16" t="s">
        <v>785</v>
      </c>
      <c r="P655" s="10" t="s">
        <v>217</v>
      </c>
      <c r="Q655" s="10" t="s">
        <v>219</v>
      </c>
      <c r="S655" s="16" t="str">
        <f t="shared" si="70"/>
        <v>Conrad T Shiroma</v>
      </c>
      <c r="T655" s="31" t="s">
        <v>1501</v>
      </c>
    </row>
    <row r="656" spans="1:21">
      <c r="A656" s="16">
        <v>7</v>
      </c>
      <c r="B656" s="16" t="s">
        <v>317</v>
      </c>
      <c r="C656" s="16">
        <v>381</v>
      </c>
      <c r="D656" s="7" t="s">
        <v>295</v>
      </c>
      <c r="E656" s="16" t="s">
        <v>296</v>
      </c>
      <c r="F656" s="2">
        <v>30337</v>
      </c>
      <c r="G656" s="2">
        <v>26686</v>
      </c>
      <c r="H656" s="2">
        <v>38498</v>
      </c>
      <c r="I656" s="25">
        <v>40724</v>
      </c>
      <c r="J656" s="2">
        <v>34730</v>
      </c>
      <c r="K656" s="2">
        <v>35499</v>
      </c>
      <c r="L656" t="s">
        <v>297</v>
      </c>
      <c r="M656" t="s">
        <v>297</v>
      </c>
      <c r="N656" s="23" t="str">
        <f t="shared" si="69"/>
        <v>N</v>
      </c>
      <c r="O656" s="16" t="s">
        <v>786</v>
      </c>
      <c r="P656" s="10" t="s">
        <v>217</v>
      </c>
      <c r="Q656" s="10" t="s">
        <v>219</v>
      </c>
      <c r="S656" s="16" t="str">
        <f t="shared" si="70"/>
        <v>Conrad T Shiroma</v>
      </c>
      <c r="T656" s="31" t="s">
        <v>1323</v>
      </c>
    </row>
    <row r="657" spans="1:33" customFormat="1" hidden="1">
      <c r="A657" t="s">
        <v>222</v>
      </c>
      <c r="B657" t="s">
        <v>224</v>
      </c>
      <c r="I657" s="6"/>
    </row>
    <row r="658" spans="1:33">
      <c r="A658" s="16">
        <v>7</v>
      </c>
      <c r="B658" s="16" t="s">
        <v>317</v>
      </c>
      <c r="C658" s="16">
        <v>769</v>
      </c>
      <c r="D658" s="7" t="s">
        <v>295</v>
      </c>
      <c r="E658" s="16" t="s">
        <v>296</v>
      </c>
      <c r="F658" s="2">
        <v>33264</v>
      </c>
      <c r="G658" s="2">
        <v>33264</v>
      </c>
      <c r="H658" s="2">
        <v>39408</v>
      </c>
      <c r="I658" s="25">
        <v>41820</v>
      </c>
      <c r="J658" s="2">
        <v>37865</v>
      </c>
      <c r="K658" s="2">
        <v>36285</v>
      </c>
      <c r="L658" t="s">
        <v>297</v>
      </c>
      <c r="M658" t="s">
        <v>297</v>
      </c>
      <c r="N658" s="23" t="str">
        <f t="shared" ref="N658:N669" si="71">IF((I658&gt;$W$2),"Y","N")</f>
        <v>Y</v>
      </c>
      <c r="O658" s="16" t="s">
        <v>787</v>
      </c>
      <c r="P658" s="10" t="s">
        <v>217</v>
      </c>
      <c r="Q658" s="10" t="s">
        <v>219</v>
      </c>
      <c r="S658" s="16" t="str">
        <f t="shared" ref="S658:S669" si="72">MID(Q658,9,30)</f>
        <v>Conrad T Shiroma</v>
      </c>
      <c r="T658" s="31">
        <v>41425</v>
      </c>
    </row>
    <row r="659" spans="1:33">
      <c r="A659" s="16">
        <v>7</v>
      </c>
      <c r="B659" s="16" t="s">
        <v>220</v>
      </c>
      <c r="C659" s="16">
        <v>48</v>
      </c>
      <c r="D659" s="7" t="s">
        <v>295</v>
      </c>
      <c r="E659" s="16" t="s">
        <v>296</v>
      </c>
      <c r="F659" s="2">
        <v>27275</v>
      </c>
      <c r="G659" s="2">
        <v>27591</v>
      </c>
      <c r="H659" s="2">
        <v>39248</v>
      </c>
      <c r="I659" s="25">
        <v>41820</v>
      </c>
      <c r="J659" s="2">
        <v>37893</v>
      </c>
      <c r="K659" s="2">
        <v>35912</v>
      </c>
      <c r="L659" t="s">
        <v>297</v>
      </c>
      <c r="M659" t="s">
        <v>297</v>
      </c>
      <c r="N659" s="23" t="str">
        <f t="shared" si="71"/>
        <v>Y</v>
      </c>
      <c r="O659" s="30" t="s">
        <v>1826</v>
      </c>
      <c r="P659" s="10" t="s">
        <v>217</v>
      </c>
      <c r="Q659" s="10" t="s">
        <v>221</v>
      </c>
      <c r="S659" s="16" t="str">
        <f t="shared" si="72"/>
        <v>Matthew C Yim</v>
      </c>
      <c r="T659" s="31">
        <v>41477</v>
      </c>
    </row>
    <row r="660" spans="1:33">
      <c r="A660" s="16">
        <v>7</v>
      </c>
      <c r="B660" s="16" t="s">
        <v>220</v>
      </c>
      <c r="C660" s="16">
        <v>100</v>
      </c>
      <c r="D660" s="7" t="s">
        <v>295</v>
      </c>
      <c r="E660" s="16" t="s">
        <v>296</v>
      </c>
      <c r="F660" s="2">
        <v>27785</v>
      </c>
      <c r="G660" s="2">
        <v>28990</v>
      </c>
      <c r="H660" s="2">
        <v>39462</v>
      </c>
      <c r="I660" s="25">
        <v>41820</v>
      </c>
      <c r="J660" s="2">
        <v>32707</v>
      </c>
      <c r="K660" s="2">
        <v>35131</v>
      </c>
      <c r="L660" t="s">
        <v>297</v>
      </c>
      <c r="M660" t="s">
        <v>297</v>
      </c>
      <c r="N660" s="23" t="str">
        <f t="shared" si="71"/>
        <v>Y</v>
      </c>
      <c r="O660" s="16" t="s">
        <v>789</v>
      </c>
      <c r="P660" s="10" t="s">
        <v>217</v>
      </c>
      <c r="Q660" s="10" t="s">
        <v>221</v>
      </c>
      <c r="S660" s="16" t="str">
        <f t="shared" si="72"/>
        <v>Matthew C Yim</v>
      </c>
      <c r="T660" s="31">
        <v>41409</v>
      </c>
    </row>
    <row r="661" spans="1:33">
      <c r="A661" s="16">
        <v>7</v>
      </c>
      <c r="B661" s="16" t="s">
        <v>220</v>
      </c>
      <c r="C661" s="16">
        <v>113</v>
      </c>
      <c r="D661" t="s">
        <v>295</v>
      </c>
      <c r="E661" s="16" t="s">
        <v>296</v>
      </c>
      <c r="F661" s="2">
        <v>27771</v>
      </c>
      <c r="G661" s="2">
        <v>28944</v>
      </c>
      <c r="H661" s="2">
        <v>39363</v>
      </c>
      <c r="I661" s="25">
        <v>41820</v>
      </c>
      <c r="J661" s="2">
        <v>33688</v>
      </c>
      <c r="K661" s="2">
        <v>35822</v>
      </c>
      <c r="L661" t="s">
        <v>297</v>
      </c>
      <c r="M661" t="s">
        <v>297</v>
      </c>
      <c r="N661" s="23" t="str">
        <f t="shared" si="71"/>
        <v>Y</v>
      </c>
      <c r="O661" s="16" t="s">
        <v>1205</v>
      </c>
      <c r="P661" s="10" t="s">
        <v>217</v>
      </c>
      <c r="Q661" s="10" t="s">
        <v>221</v>
      </c>
      <c r="S661" s="16" t="str">
        <f t="shared" si="72"/>
        <v>Matthew C Yim</v>
      </c>
      <c r="T661" s="31">
        <v>41411</v>
      </c>
      <c r="U661" s="24">
        <v>39968</v>
      </c>
      <c r="V661"/>
      <c r="W661"/>
      <c r="X661"/>
      <c r="Y661"/>
      <c r="Z661"/>
      <c r="AA661"/>
      <c r="AB661"/>
      <c r="AC661"/>
      <c r="AD661"/>
      <c r="AE661"/>
      <c r="AF661"/>
      <c r="AG661"/>
    </row>
    <row r="662" spans="1:33">
      <c r="A662" s="16">
        <v>7</v>
      </c>
      <c r="B662" s="16" t="s">
        <v>220</v>
      </c>
      <c r="C662" s="16">
        <v>178</v>
      </c>
      <c r="D662" s="7" t="s">
        <v>295</v>
      </c>
      <c r="E662" s="16" t="s">
        <v>296</v>
      </c>
      <c r="F662" s="2">
        <v>28572</v>
      </c>
      <c r="G662" s="2">
        <v>28901</v>
      </c>
      <c r="H662" s="2">
        <v>39518</v>
      </c>
      <c r="I662" s="25">
        <v>41820</v>
      </c>
      <c r="J662" s="2">
        <v>39356</v>
      </c>
      <c r="K662" s="2">
        <v>39132</v>
      </c>
      <c r="L662" t="s">
        <v>297</v>
      </c>
      <c r="M662" t="s">
        <v>297</v>
      </c>
      <c r="N662" s="23" t="str">
        <f t="shared" si="71"/>
        <v>Y</v>
      </c>
      <c r="O662" s="16" t="s">
        <v>791</v>
      </c>
      <c r="P662" s="10" t="s">
        <v>217</v>
      </c>
      <c r="Q662" s="10" t="s">
        <v>221</v>
      </c>
      <c r="S662" s="16" t="str">
        <f t="shared" si="72"/>
        <v>Matthew C Yim</v>
      </c>
      <c r="T662" s="31">
        <v>41428</v>
      </c>
    </row>
    <row r="663" spans="1:33">
      <c r="A663" s="16">
        <v>7</v>
      </c>
      <c r="B663" s="16" t="s">
        <v>220</v>
      </c>
      <c r="C663" s="16">
        <v>985</v>
      </c>
      <c r="D663" s="7" t="s">
        <v>295</v>
      </c>
      <c r="E663" s="30" t="s">
        <v>299</v>
      </c>
      <c r="F663" s="2">
        <v>34561</v>
      </c>
      <c r="H663" s="2">
        <v>36843</v>
      </c>
      <c r="I663" s="25">
        <v>34911</v>
      </c>
      <c r="L663" t="s">
        <v>297</v>
      </c>
      <c r="N663" s="23" t="str">
        <f t="shared" si="71"/>
        <v>N</v>
      </c>
      <c r="O663" s="30" t="s">
        <v>1218</v>
      </c>
      <c r="P663" s="10" t="s">
        <v>217</v>
      </c>
      <c r="Q663" s="10" t="s">
        <v>221</v>
      </c>
      <c r="S663" s="16" t="str">
        <f t="shared" si="72"/>
        <v>Matthew C Yim</v>
      </c>
    </row>
    <row r="664" spans="1:33">
      <c r="A664" s="16">
        <v>7</v>
      </c>
      <c r="B664" s="16" t="s">
        <v>220</v>
      </c>
      <c r="C664" s="16">
        <v>1147</v>
      </c>
      <c r="D664" s="7" t="s">
        <v>295</v>
      </c>
      <c r="E664" s="16" t="s">
        <v>316</v>
      </c>
      <c r="F664" s="2">
        <v>35363</v>
      </c>
      <c r="H664" s="2">
        <v>36027</v>
      </c>
      <c r="I664" s="25">
        <v>35703</v>
      </c>
      <c r="J664" s="2">
        <v>35485</v>
      </c>
      <c r="K664" s="2">
        <v>35485</v>
      </c>
      <c r="L664" t="s">
        <v>297</v>
      </c>
      <c r="N664" s="23" t="str">
        <f t="shared" si="71"/>
        <v>N</v>
      </c>
      <c r="O664" s="16" t="s">
        <v>793</v>
      </c>
      <c r="P664" s="10" t="s">
        <v>217</v>
      </c>
      <c r="Q664" s="10" t="s">
        <v>221</v>
      </c>
      <c r="S664" s="16" t="str">
        <f t="shared" si="72"/>
        <v>Matthew C Yim</v>
      </c>
    </row>
    <row r="665" spans="1:33">
      <c r="A665" s="16">
        <v>8</v>
      </c>
      <c r="B665" s="16" t="s">
        <v>140</v>
      </c>
      <c r="C665" s="16">
        <v>872</v>
      </c>
      <c r="D665" s="7" t="s">
        <v>295</v>
      </c>
      <c r="E665" s="16" t="s">
        <v>296</v>
      </c>
      <c r="F665" s="2">
        <v>33939</v>
      </c>
      <c r="G665" s="2">
        <v>35140</v>
      </c>
      <c r="H665" s="2">
        <v>39404</v>
      </c>
      <c r="I665" s="25">
        <v>41820</v>
      </c>
      <c r="K665" s="2">
        <v>36438</v>
      </c>
      <c r="L665" t="s">
        <v>297</v>
      </c>
      <c r="N665" s="23" t="str">
        <f t="shared" si="71"/>
        <v>Y</v>
      </c>
      <c r="O665" s="16" t="s">
        <v>1827</v>
      </c>
      <c r="P665" s="10" t="s">
        <v>222</v>
      </c>
      <c r="Q665" s="10" t="s">
        <v>223</v>
      </c>
      <c r="S665" s="16" t="str">
        <f t="shared" si="72"/>
        <v>Barbara J Johnson</v>
      </c>
      <c r="T665" s="31">
        <v>41428</v>
      </c>
    </row>
    <row r="666" spans="1:33">
      <c r="A666" s="16">
        <v>8</v>
      </c>
      <c r="B666" s="16" t="s">
        <v>140</v>
      </c>
      <c r="C666" s="16">
        <v>902</v>
      </c>
      <c r="D666" s="7" t="s">
        <v>295</v>
      </c>
      <c r="E666" s="16" t="s">
        <v>296</v>
      </c>
      <c r="F666" s="2">
        <v>34178</v>
      </c>
      <c r="G666" s="2">
        <v>35434</v>
      </c>
      <c r="H666" s="2">
        <v>39264</v>
      </c>
      <c r="I666" s="25">
        <v>41820</v>
      </c>
      <c r="K666" s="2">
        <v>35675</v>
      </c>
      <c r="L666" t="s">
        <v>297</v>
      </c>
      <c r="M666" t="s">
        <v>297</v>
      </c>
      <c r="N666" s="23" t="str">
        <f t="shared" si="71"/>
        <v>Y</v>
      </c>
      <c r="O666" s="16" t="s">
        <v>1828</v>
      </c>
      <c r="P666" s="10" t="s">
        <v>222</v>
      </c>
      <c r="Q666" s="10" t="s">
        <v>223</v>
      </c>
      <c r="S666" s="16" t="str">
        <f t="shared" si="72"/>
        <v>Barbara J Johnson</v>
      </c>
      <c r="T666" s="31">
        <v>41424</v>
      </c>
    </row>
    <row r="667" spans="1:33">
      <c r="A667" s="16">
        <v>8</v>
      </c>
      <c r="B667" s="16" t="s">
        <v>140</v>
      </c>
      <c r="C667" s="16">
        <v>1051</v>
      </c>
      <c r="D667" s="7" t="s">
        <v>295</v>
      </c>
      <c r="E667" s="16" t="s">
        <v>296</v>
      </c>
      <c r="F667" s="2">
        <v>34806</v>
      </c>
      <c r="G667" s="2">
        <v>35356</v>
      </c>
      <c r="H667" s="2">
        <v>38859</v>
      </c>
      <c r="I667" s="25">
        <v>41455</v>
      </c>
      <c r="J667" s="2">
        <v>38877</v>
      </c>
      <c r="K667" s="2">
        <v>35919</v>
      </c>
      <c r="L667" t="s">
        <v>297</v>
      </c>
      <c r="M667" t="s">
        <v>297</v>
      </c>
      <c r="N667" s="23" t="str">
        <f t="shared" si="71"/>
        <v>N</v>
      </c>
      <c r="O667" s="16" t="s">
        <v>1218</v>
      </c>
      <c r="P667" s="10" t="s">
        <v>222</v>
      </c>
      <c r="Q667" s="10" t="s">
        <v>223</v>
      </c>
      <c r="S667" s="16" t="str">
        <f t="shared" si="72"/>
        <v>Barbara J Johnson</v>
      </c>
      <c r="T667" s="31" t="s">
        <v>1427</v>
      </c>
    </row>
    <row r="668" spans="1:33">
      <c r="A668" s="16">
        <v>8</v>
      </c>
      <c r="B668" s="16" t="s">
        <v>140</v>
      </c>
      <c r="C668" s="16">
        <v>1163</v>
      </c>
      <c r="D668" t="s">
        <v>295</v>
      </c>
      <c r="E668" s="16" t="s">
        <v>296</v>
      </c>
      <c r="F668" s="2">
        <v>35449</v>
      </c>
      <c r="G668" s="2">
        <v>36238</v>
      </c>
      <c r="H668" s="2">
        <v>38872</v>
      </c>
      <c r="I668" s="25">
        <v>41455</v>
      </c>
      <c r="K668" s="2">
        <v>37603</v>
      </c>
      <c r="L668" t="s">
        <v>297</v>
      </c>
      <c r="M668" t="s">
        <v>297</v>
      </c>
      <c r="N668" s="23" t="str">
        <f t="shared" si="71"/>
        <v>N</v>
      </c>
      <c r="O668" s="16" t="s">
        <v>1829</v>
      </c>
      <c r="P668" s="10" t="s">
        <v>222</v>
      </c>
      <c r="Q668" s="10" t="s">
        <v>223</v>
      </c>
      <c r="S668" s="16" t="str">
        <f t="shared" si="72"/>
        <v>Barbara J Johnson</v>
      </c>
      <c r="T668" s="31" t="s">
        <v>1362</v>
      </c>
    </row>
    <row r="669" spans="1:33">
      <c r="A669" s="16">
        <v>8</v>
      </c>
      <c r="B669" s="16" t="s">
        <v>140</v>
      </c>
      <c r="C669" s="16">
        <v>1193</v>
      </c>
      <c r="D669" s="7" t="s">
        <v>295</v>
      </c>
      <c r="E669" s="16" t="s">
        <v>316</v>
      </c>
      <c r="F669" s="2">
        <v>35563</v>
      </c>
      <c r="G669" s="2">
        <v>38499</v>
      </c>
      <c r="H669" s="2">
        <v>38568</v>
      </c>
      <c r="I669" s="25">
        <v>39202</v>
      </c>
      <c r="J669" s="2">
        <v>37831</v>
      </c>
      <c r="L669" t="s">
        <v>322</v>
      </c>
      <c r="M669" t="s">
        <v>297</v>
      </c>
      <c r="N669" s="23" t="str">
        <f t="shared" si="71"/>
        <v>N</v>
      </c>
      <c r="P669" s="10" t="s">
        <v>222</v>
      </c>
      <c r="Q669" s="10" t="s">
        <v>223</v>
      </c>
      <c r="S669" s="16" t="str">
        <f t="shared" si="72"/>
        <v>Barbara J Johnson</v>
      </c>
    </row>
    <row r="670" spans="1:33" s="7" customFormat="1" hidden="1">
      <c r="A670" s="7">
        <v>8</v>
      </c>
      <c r="B670" s="7" t="s">
        <v>296</v>
      </c>
      <c r="C670" s="7">
        <v>768</v>
      </c>
      <c r="D670" s="7" t="s">
        <v>576</v>
      </c>
      <c r="E670" s="7" t="s">
        <v>316</v>
      </c>
      <c r="F670" s="2">
        <v>33264</v>
      </c>
      <c r="G670" s="2">
        <v>34845</v>
      </c>
      <c r="H670" s="2">
        <v>35732</v>
      </c>
      <c r="I670" s="8">
        <v>36198</v>
      </c>
      <c r="J670"/>
      <c r="K670" s="2">
        <v>34428</v>
      </c>
      <c r="L670" t="s">
        <v>297</v>
      </c>
      <c r="M670" t="s">
        <v>297</v>
      </c>
      <c r="N670"/>
      <c r="O670" s="7" t="s">
        <v>369</v>
      </c>
      <c r="P670" s="7" t="s">
        <v>222</v>
      </c>
      <c r="Q670" s="7" t="s">
        <v>225</v>
      </c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</row>
    <row r="671" spans="1:33">
      <c r="A671" s="16">
        <v>8</v>
      </c>
      <c r="B671" s="16" t="s">
        <v>140</v>
      </c>
      <c r="C671" s="16">
        <v>1224</v>
      </c>
      <c r="D671" s="7" t="s">
        <v>295</v>
      </c>
      <c r="E671" s="16" t="s">
        <v>296</v>
      </c>
      <c r="F671" s="2">
        <v>35752</v>
      </c>
      <c r="G671" s="2">
        <v>36175</v>
      </c>
      <c r="H671" s="2">
        <v>39317</v>
      </c>
      <c r="I671" s="25">
        <v>41820</v>
      </c>
      <c r="L671" t="s">
        <v>297</v>
      </c>
      <c r="N671" s="23" t="str">
        <f>IF((I671&gt;$W$2),"Y","N")</f>
        <v>Y</v>
      </c>
      <c r="O671" s="16" t="s">
        <v>1235</v>
      </c>
      <c r="P671" s="10" t="s">
        <v>222</v>
      </c>
      <c r="Q671" s="10" t="s">
        <v>223</v>
      </c>
      <c r="S671" s="16" t="str">
        <f>MID(Q671,9,30)</f>
        <v>Barbara J Johnson</v>
      </c>
      <c r="T671" s="31">
        <v>41484</v>
      </c>
      <c r="U671" s="10" t="s">
        <v>1150</v>
      </c>
    </row>
    <row r="672" spans="1:33">
      <c r="A672" s="16">
        <v>8</v>
      </c>
      <c r="B672" s="16" t="s">
        <v>140</v>
      </c>
      <c r="C672" s="16">
        <v>1298</v>
      </c>
      <c r="D672" s="7" t="s">
        <v>295</v>
      </c>
      <c r="E672" s="16" t="s">
        <v>296</v>
      </c>
      <c r="F672" s="2">
        <v>36300</v>
      </c>
      <c r="G672" s="2">
        <v>37036</v>
      </c>
      <c r="H672" s="2">
        <v>39485</v>
      </c>
      <c r="I672" s="25">
        <v>41820</v>
      </c>
      <c r="J672" s="2">
        <v>38932</v>
      </c>
      <c r="K672" s="2">
        <v>38932</v>
      </c>
      <c r="L672" t="s">
        <v>297</v>
      </c>
      <c r="M672" t="s">
        <v>297</v>
      </c>
      <c r="N672" s="23" t="str">
        <f>IF((I672&gt;$W$2),"Y","N")</f>
        <v>Y</v>
      </c>
      <c r="O672" s="16" t="s">
        <v>1457</v>
      </c>
      <c r="P672" s="10" t="s">
        <v>222</v>
      </c>
      <c r="Q672" s="10" t="s">
        <v>223</v>
      </c>
      <c r="S672" s="16" t="str">
        <f>MID(Q672,9,30)</f>
        <v>Barbara J Johnson</v>
      </c>
      <c r="T672" s="31">
        <v>41477</v>
      </c>
    </row>
    <row r="673" spans="1:33">
      <c r="A673" s="16">
        <v>8</v>
      </c>
      <c r="B673" s="16" t="s">
        <v>140</v>
      </c>
      <c r="C673" s="16">
        <v>1308</v>
      </c>
      <c r="D673" s="7" t="s">
        <v>295</v>
      </c>
      <c r="E673" s="16" t="s">
        <v>296</v>
      </c>
      <c r="F673" s="2">
        <v>36375</v>
      </c>
      <c r="G673" s="2">
        <v>39108</v>
      </c>
      <c r="H673" s="2">
        <v>39496</v>
      </c>
      <c r="I673" s="25">
        <v>41820</v>
      </c>
      <c r="J673" s="2">
        <v>39433</v>
      </c>
      <c r="K673" s="2">
        <v>39496</v>
      </c>
      <c r="L673" t="s">
        <v>297</v>
      </c>
      <c r="M673" t="s">
        <v>297</v>
      </c>
      <c r="N673" s="23" t="str">
        <f>IF((I673&gt;$W$2),"Y","N")</f>
        <v>Y</v>
      </c>
      <c r="O673" s="16" t="s">
        <v>1466</v>
      </c>
      <c r="P673" s="10" t="s">
        <v>222</v>
      </c>
      <c r="Q673" s="10" t="s">
        <v>223</v>
      </c>
      <c r="S673" s="16" t="str">
        <f>MID(Q673,9,30)</f>
        <v>Barbara J Johnson</v>
      </c>
      <c r="T673" s="31">
        <v>41428</v>
      </c>
    </row>
    <row r="674" spans="1:33">
      <c r="A674" s="16">
        <v>8</v>
      </c>
      <c r="B674" s="16" t="s">
        <v>140</v>
      </c>
      <c r="C674" s="16">
        <v>1354</v>
      </c>
      <c r="D674" s="7" t="s">
        <v>295</v>
      </c>
      <c r="E674" s="16" t="s">
        <v>296</v>
      </c>
      <c r="F674" s="2">
        <v>36732</v>
      </c>
      <c r="G674" s="2">
        <v>37330</v>
      </c>
      <c r="H674" s="2">
        <v>39211</v>
      </c>
      <c r="I674" s="25">
        <v>41820</v>
      </c>
      <c r="J674" s="2">
        <v>38881</v>
      </c>
      <c r="K674" s="2">
        <v>38938</v>
      </c>
      <c r="L674" t="s">
        <v>297</v>
      </c>
      <c r="M674" t="s">
        <v>297</v>
      </c>
      <c r="N674" s="23" t="str">
        <f>IF((I674&gt;$W$2),"Y","N")</f>
        <v>Y</v>
      </c>
      <c r="O674" s="16" t="s">
        <v>1830</v>
      </c>
      <c r="P674" s="10" t="s">
        <v>222</v>
      </c>
      <c r="Q674" s="10" t="s">
        <v>223</v>
      </c>
      <c r="S674" s="16" t="str">
        <f>MID(Q674,9,30)</f>
        <v>Barbara J Johnson</v>
      </c>
      <c r="T674" s="31">
        <v>41477</v>
      </c>
    </row>
    <row r="675" spans="1:33">
      <c r="A675" s="16">
        <v>8</v>
      </c>
      <c r="B675" s="16" t="s">
        <v>140</v>
      </c>
      <c r="C675" s="16">
        <v>1471</v>
      </c>
      <c r="D675" s="7" t="s">
        <v>295</v>
      </c>
      <c r="E675" s="16" t="s">
        <v>296</v>
      </c>
      <c r="F675" s="2">
        <v>38076</v>
      </c>
      <c r="G675" s="2">
        <v>38776</v>
      </c>
      <c r="H675" s="2">
        <v>39490</v>
      </c>
      <c r="I675" s="25">
        <v>41820</v>
      </c>
      <c r="K675" s="2">
        <v>38583</v>
      </c>
      <c r="L675" t="s">
        <v>322</v>
      </c>
      <c r="M675" t="s">
        <v>322</v>
      </c>
      <c r="N675" s="23" t="str">
        <f>IF((I675&gt;$W$2),"Y","N")</f>
        <v>Y</v>
      </c>
      <c r="O675" s="16" t="s">
        <v>1598</v>
      </c>
      <c r="P675" s="10" t="s">
        <v>222</v>
      </c>
      <c r="Q675" s="10" t="s">
        <v>223</v>
      </c>
      <c r="S675" s="16" t="str">
        <f>MID(Q675,9,30)</f>
        <v>Barbara J Johnson</v>
      </c>
      <c r="T675" s="31">
        <v>41393</v>
      </c>
    </row>
    <row r="676" spans="1:33" customFormat="1" hidden="1">
      <c r="A676" t="s">
        <v>222</v>
      </c>
      <c r="B676" t="s">
        <v>225</v>
      </c>
      <c r="I676" s="6"/>
    </row>
    <row r="677" spans="1:33">
      <c r="A677" s="16">
        <v>8</v>
      </c>
      <c r="B677" s="16" t="s">
        <v>140</v>
      </c>
      <c r="C677" s="16">
        <v>1472</v>
      </c>
      <c r="D677" t="s">
        <v>295</v>
      </c>
      <c r="E677" s="16" t="s">
        <v>296</v>
      </c>
      <c r="F677" s="2">
        <v>38076</v>
      </c>
      <c r="G677" s="2">
        <v>38776</v>
      </c>
      <c r="H677" s="2">
        <v>39490</v>
      </c>
      <c r="I677" s="25">
        <v>41820</v>
      </c>
      <c r="K677" s="2">
        <v>38926</v>
      </c>
      <c r="L677" t="s">
        <v>297</v>
      </c>
      <c r="M677" t="s">
        <v>322</v>
      </c>
      <c r="N677" s="23" t="str">
        <f>IF((I677&gt;$W$2),"Y","N")</f>
        <v>Y</v>
      </c>
      <c r="O677" s="16" t="s">
        <v>1236</v>
      </c>
      <c r="P677" s="10" t="s">
        <v>222</v>
      </c>
      <c r="Q677" s="10" t="s">
        <v>223</v>
      </c>
      <c r="S677" s="16" t="str">
        <f>MID(Q677,9,30)</f>
        <v>Barbara J Johnson</v>
      </c>
      <c r="T677" s="31">
        <v>41425</v>
      </c>
    </row>
    <row r="678" spans="1:33">
      <c r="A678" s="16">
        <v>8</v>
      </c>
      <c r="B678" s="16" t="s">
        <v>140</v>
      </c>
      <c r="C678" s="16">
        <v>1523</v>
      </c>
      <c r="D678" t="s">
        <v>295</v>
      </c>
      <c r="E678" s="16" t="s">
        <v>296</v>
      </c>
      <c r="F678" s="2">
        <v>38888</v>
      </c>
      <c r="G678" s="2">
        <v>39465</v>
      </c>
      <c r="H678" s="2">
        <v>39275</v>
      </c>
      <c r="I678" s="25">
        <v>41820</v>
      </c>
      <c r="K678" s="2">
        <v>39275</v>
      </c>
      <c r="L678" t="s">
        <v>297</v>
      </c>
      <c r="M678" t="s">
        <v>297</v>
      </c>
      <c r="N678" s="23" t="str">
        <f>IF((I678&gt;$W$2),"Y","N")</f>
        <v>Y</v>
      </c>
      <c r="O678" s="16" t="s">
        <v>1237</v>
      </c>
      <c r="P678" s="10" t="s">
        <v>222</v>
      </c>
      <c r="Q678" s="10" t="s">
        <v>223</v>
      </c>
      <c r="S678" s="16" t="str">
        <f>MID(Q678,9,30)</f>
        <v>Barbara J Johnson</v>
      </c>
      <c r="T678" s="31">
        <v>41425</v>
      </c>
    </row>
    <row r="679" spans="1:33">
      <c r="A679" s="16">
        <v>8</v>
      </c>
      <c r="B679" s="16" t="s">
        <v>140</v>
      </c>
      <c r="C679" s="16">
        <v>1597</v>
      </c>
      <c r="E679" s="16" t="s">
        <v>299</v>
      </c>
      <c r="F679" s="2">
        <v>38189</v>
      </c>
      <c r="H679" s="2">
        <v>38189</v>
      </c>
      <c r="I679" s="25">
        <v>41455</v>
      </c>
      <c r="L679" t="s">
        <v>297</v>
      </c>
      <c r="M679" t="s">
        <v>322</v>
      </c>
      <c r="N679" s="21" t="str">
        <f>IF((I679&gt;$W$2),"Y","N")</f>
        <v>N</v>
      </c>
      <c r="O679" s="16" t="s">
        <v>1218</v>
      </c>
      <c r="T679" s="31">
        <v>41218</v>
      </c>
    </row>
    <row r="680" spans="1:33" s="7" customFormat="1" hidden="1">
      <c r="A680" s="7">
        <v>8</v>
      </c>
      <c r="B680" s="7" t="s">
        <v>153</v>
      </c>
      <c r="C680" s="7">
        <v>554</v>
      </c>
      <c r="D680" s="7" t="s">
        <v>348</v>
      </c>
      <c r="E680" s="7" t="s">
        <v>316</v>
      </c>
      <c r="F680" s="2">
        <v>31674</v>
      </c>
      <c r="G680" s="2">
        <v>34404</v>
      </c>
      <c r="H680" s="2">
        <v>36953</v>
      </c>
      <c r="I680" s="8">
        <v>36738</v>
      </c>
      <c r="J680"/>
      <c r="K680" s="2">
        <v>34747</v>
      </c>
      <c r="L680" t="s">
        <v>297</v>
      </c>
      <c r="M680" t="s">
        <v>297</v>
      </c>
      <c r="N680"/>
      <c r="O680" s="7" t="s">
        <v>369</v>
      </c>
      <c r="P680" s="7" t="s">
        <v>222</v>
      </c>
      <c r="Q680" s="7" t="s">
        <v>226</v>
      </c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</row>
    <row r="681" spans="1:33">
      <c r="A681" s="16">
        <v>8</v>
      </c>
      <c r="B681" s="16" t="s">
        <v>149</v>
      </c>
      <c r="C681" s="16">
        <v>211</v>
      </c>
      <c r="D681" s="7" t="s">
        <v>295</v>
      </c>
      <c r="E681" s="16" t="s">
        <v>296</v>
      </c>
      <c r="F681" s="2">
        <v>28832</v>
      </c>
      <c r="G681" s="2">
        <v>28986</v>
      </c>
      <c r="H681" s="2">
        <v>38751</v>
      </c>
      <c r="I681" s="25">
        <v>41820</v>
      </c>
      <c r="J681" s="2">
        <v>33207</v>
      </c>
      <c r="K681" s="2">
        <v>34904</v>
      </c>
      <c r="L681" t="s">
        <v>297</v>
      </c>
      <c r="M681" t="s">
        <v>297</v>
      </c>
      <c r="N681" s="23" t="str">
        <f t="shared" ref="N681:N689" si="73">IF((I681&gt;$W$2),"Y","N")</f>
        <v>Y</v>
      </c>
      <c r="O681" s="16" t="s">
        <v>1218</v>
      </c>
      <c r="P681" s="10" t="s">
        <v>222</v>
      </c>
      <c r="Q681" s="10" t="s">
        <v>224</v>
      </c>
      <c r="S681" s="16" t="str">
        <f t="shared" ref="S681:S689" si="74">MID(Q681,9,30)</f>
        <v>Charles Andy A Nicks</v>
      </c>
      <c r="T681" s="31">
        <v>41477</v>
      </c>
    </row>
    <row r="682" spans="1:33">
      <c r="A682" s="16">
        <v>8</v>
      </c>
      <c r="B682" s="16" t="s">
        <v>149</v>
      </c>
      <c r="C682" s="16">
        <v>212</v>
      </c>
      <c r="D682" s="7" t="s">
        <v>295</v>
      </c>
      <c r="E682" s="16" t="s">
        <v>296</v>
      </c>
      <c r="F682" s="2">
        <v>28832</v>
      </c>
      <c r="G682" s="2">
        <v>28986</v>
      </c>
      <c r="H682" s="2">
        <v>39219</v>
      </c>
      <c r="I682" s="25">
        <v>41820</v>
      </c>
      <c r="K682" s="2">
        <v>37160</v>
      </c>
      <c r="L682" t="s">
        <v>297</v>
      </c>
      <c r="M682" t="s">
        <v>297</v>
      </c>
      <c r="N682" s="23" t="str">
        <f t="shared" si="73"/>
        <v>Y</v>
      </c>
      <c r="O682" s="16" t="s">
        <v>1238</v>
      </c>
      <c r="P682" s="10" t="s">
        <v>222</v>
      </c>
      <c r="Q682" s="10" t="s">
        <v>224</v>
      </c>
      <c r="S682" s="16" t="str">
        <f t="shared" si="74"/>
        <v>Charles Andy A Nicks</v>
      </c>
      <c r="T682" s="31">
        <v>41477</v>
      </c>
    </row>
    <row r="683" spans="1:33">
      <c r="A683" s="16">
        <v>8</v>
      </c>
      <c r="B683" s="16" t="s">
        <v>149</v>
      </c>
      <c r="C683" s="16">
        <v>277</v>
      </c>
      <c r="D683" t="s">
        <v>295</v>
      </c>
      <c r="E683" s="16" t="s">
        <v>296</v>
      </c>
      <c r="F683" s="2">
        <v>29462</v>
      </c>
      <c r="G683" s="2">
        <v>29739</v>
      </c>
      <c r="H683" s="2">
        <v>39285</v>
      </c>
      <c r="I683" s="25">
        <v>41820</v>
      </c>
      <c r="J683" s="2">
        <v>38028</v>
      </c>
      <c r="K683" s="2">
        <v>35851</v>
      </c>
      <c r="L683" t="s">
        <v>297</v>
      </c>
      <c r="M683" t="s">
        <v>297</v>
      </c>
      <c r="N683" s="23" t="str">
        <f t="shared" si="73"/>
        <v>Y</v>
      </c>
      <c r="O683" s="16" t="s">
        <v>1831</v>
      </c>
      <c r="P683" s="10" t="s">
        <v>222</v>
      </c>
      <c r="Q683" s="10" t="s">
        <v>224</v>
      </c>
      <c r="S683" s="16" t="str">
        <f t="shared" si="74"/>
        <v>Charles Andy A Nicks</v>
      </c>
      <c r="T683" s="31">
        <v>41450</v>
      </c>
    </row>
    <row r="684" spans="1:33">
      <c r="A684" s="16">
        <v>8</v>
      </c>
      <c r="B684" s="16" t="s">
        <v>149</v>
      </c>
      <c r="C684" s="16">
        <v>333</v>
      </c>
      <c r="D684" s="7" t="s">
        <v>295</v>
      </c>
      <c r="E684" s="16" t="s">
        <v>296</v>
      </c>
      <c r="F684" s="2">
        <v>29910</v>
      </c>
      <c r="G684" s="2">
        <v>30758</v>
      </c>
      <c r="H684" s="2">
        <v>39304</v>
      </c>
      <c r="I684" s="25">
        <v>41820</v>
      </c>
      <c r="J684" s="2">
        <v>30740</v>
      </c>
      <c r="K684" s="2">
        <v>34712</v>
      </c>
      <c r="L684" t="s">
        <v>297</v>
      </c>
      <c r="N684" s="23" t="str">
        <f t="shared" si="73"/>
        <v>Y</v>
      </c>
      <c r="O684" s="16" t="s">
        <v>1239</v>
      </c>
      <c r="P684" s="10" t="s">
        <v>222</v>
      </c>
      <c r="Q684" s="10" t="s">
        <v>224</v>
      </c>
      <c r="S684" s="16" t="str">
        <f t="shared" si="74"/>
        <v>Charles Andy A Nicks</v>
      </c>
      <c r="T684" s="31">
        <v>41456</v>
      </c>
    </row>
    <row r="685" spans="1:33">
      <c r="A685" s="16">
        <v>8</v>
      </c>
      <c r="B685" s="16" t="s">
        <v>149</v>
      </c>
      <c r="C685" s="16">
        <v>575</v>
      </c>
      <c r="D685" s="7" t="s">
        <v>295</v>
      </c>
      <c r="E685" s="16" t="s">
        <v>296</v>
      </c>
      <c r="F685" s="2">
        <v>31857</v>
      </c>
      <c r="G685" s="2">
        <v>33313</v>
      </c>
      <c r="H685" s="2">
        <v>39484</v>
      </c>
      <c r="I685" s="25">
        <v>41820</v>
      </c>
      <c r="J685" s="2">
        <v>35740</v>
      </c>
      <c r="K685" s="2">
        <v>36416</v>
      </c>
      <c r="L685" t="s">
        <v>297</v>
      </c>
      <c r="M685" t="s">
        <v>297</v>
      </c>
      <c r="N685" s="23" t="str">
        <f t="shared" si="73"/>
        <v>Y</v>
      </c>
      <c r="O685" s="16" t="s">
        <v>811</v>
      </c>
      <c r="P685" s="10" t="s">
        <v>222</v>
      </c>
      <c r="Q685" s="10" t="s">
        <v>224</v>
      </c>
      <c r="S685" s="16" t="str">
        <f t="shared" si="74"/>
        <v>Charles Andy A Nicks</v>
      </c>
      <c r="T685" s="31">
        <v>41477</v>
      </c>
    </row>
    <row r="686" spans="1:33">
      <c r="A686" s="16">
        <v>8</v>
      </c>
      <c r="B686" s="16" t="s">
        <v>149</v>
      </c>
      <c r="C686" s="16">
        <v>609</v>
      </c>
      <c r="D686" s="7" t="s">
        <v>295</v>
      </c>
      <c r="E686" s="16" t="s">
        <v>296</v>
      </c>
      <c r="F686" s="2">
        <v>31969</v>
      </c>
      <c r="G686" s="2">
        <v>33679</v>
      </c>
      <c r="H686" s="2">
        <v>38621</v>
      </c>
      <c r="I686" s="25">
        <v>41820</v>
      </c>
      <c r="K686" s="2">
        <v>36213</v>
      </c>
      <c r="L686" t="s">
        <v>297</v>
      </c>
      <c r="M686" t="s">
        <v>297</v>
      </c>
      <c r="N686" s="23" t="str">
        <f t="shared" si="73"/>
        <v>Y</v>
      </c>
      <c r="O686" s="16" t="s">
        <v>1240</v>
      </c>
      <c r="P686" s="10" t="s">
        <v>222</v>
      </c>
      <c r="Q686" s="10" t="s">
        <v>224</v>
      </c>
      <c r="S686" s="16" t="str">
        <f t="shared" si="74"/>
        <v>Charles Andy A Nicks</v>
      </c>
      <c r="T686" s="31">
        <v>41425</v>
      </c>
    </row>
    <row r="687" spans="1:33">
      <c r="A687" s="16">
        <v>8</v>
      </c>
      <c r="B687" s="16" t="s">
        <v>149</v>
      </c>
      <c r="C687" s="16">
        <v>669</v>
      </c>
      <c r="D687" s="7" t="s">
        <v>295</v>
      </c>
      <c r="E687" s="16" t="s">
        <v>296</v>
      </c>
      <c r="F687" s="2">
        <v>32521</v>
      </c>
      <c r="G687" s="2">
        <v>33382</v>
      </c>
      <c r="H687" s="2">
        <v>39358</v>
      </c>
      <c r="I687" s="25">
        <v>41820</v>
      </c>
      <c r="K687" s="2">
        <v>38394</v>
      </c>
      <c r="L687" t="s">
        <v>297</v>
      </c>
      <c r="M687" t="s">
        <v>297</v>
      </c>
      <c r="N687" s="23" t="str">
        <f t="shared" si="73"/>
        <v>Y</v>
      </c>
      <c r="O687" s="16" t="s">
        <v>1458</v>
      </c>
      <c r="P687" s="10" t="s">
        <v>222</v>
      </c>
      <c r="Q687" s="10" t="s">
        <v>224</v>
      </c>
      <c r="S687" s="16" t="str">
        <f t="shared" si="74"/>
        <v>Charles Andy A Nicks</v>
      </c>
      <c r="T687" s="31">
        <v>41484</v>
      </c>
    </row>
    <row r="688" spans="1:33">
      <c r="A688" s="16">
        <v>8</v>
      </c>
      <c r="B688" s="16" t="s">
        <v>149</v>
      </c>
      <c r="C688" s="16">
        <v>1196</v>
      </c>
      <c r="D688" s="7" t="s">
        <v>295</v>
      </c>
      <c r="E688" s="16" t="s">
        <v>296</v>
      </c>
      <c r="F688" s="2">
        <v>35583</v>
      </c>
      <c r="G688" s="2">
        <v>38366</v>
      </c>
      <c r="H688" s="2">
        <v>38405</v>
      </c>
      <c r="I688" s="25">
        <v>41455</v>
      </c>
      <c r="L688" t="s">
        <v>297</v>
      </c>
      <c r="M688" t="s">
        <v>297</v>
      </c>
      <c r="N688" s="23" t="str">
        <f t="shared" si="73"/>
        <v>N</v>
      </c>
      <c r="O688" s="16" t="s">
        <v>1832</v>
      </c>
      <c r="P688" s="10" t="s">
        <v>222</v>
      </c>
      <c r="Q688" s="10" t="s">
        <v>224</v>
      </c>
      <c r="S688" s="16" t="str">
        <f t="shared" si="74"/>
        <v>Charles Andy A Nicks</v>
      </c>
      <c r="T688" s="31">
        <v>41061</v>
      </c>
    </row>
    <row r="689" spans="1:33">
      <c r="A689" s="16">
        <v>8</v>
      </c>
      <c r="B689" s="16" t="s">
        <v>149</v>
      </c>
      <c r="C689" s="16">
        <v>1245</v>
      </c>
      <c r="D689" t="s">
        <v>295</v>
      </c>
      <c r="E689" s="16" t="s">
        <v>316</v>
      </c>
      <c r="F689" s="2">
        <v>35899</v>
      </c>
      <c r="H689" s="2">
        <v>39253</v>
      </c>
      <c r="I689" s="25" t="s">
        <v>1635</v>
      </c>
      <c r="J689" s="2">
        <v>37765</v>
      </c>
      <c r="L689" t="s">
        <v>297</v>
      </c>
      <c r="M689" t="s">
        <v>297</v>
      </c>
      <c r="N689" s="23" t="str">
        <f t="shared" si="73"/>
        <v>Y</v>
      </c>
      <c r="P689" s="10" t="s">
        <v>222</v>
      </c>
      <c r="Q689" s="10" t="s">
        <v>224</v>
      </c>
      <c r="S689" s="16" t="str">
        <f t="shared" si="74"/>
        <v>Charles Andy A Nicks</v>
      </c>
    </row>
    <row r="690" spans="1:33" customFormat="1" hidden="1">
      <c r="A690" t="s">
        <v>222</v>
      </c>
      <c r="B690" t="s">
        <v>226</v>
      </c>
      <c r="I690" s="6"/>
    </row>
    <row r="691" spans="1:33">
      <c r="A691" s="16">
        <v>8</v>
      </c>
      <c r="B691" s="16" t="s">
        <v>149</v>
      </c>
      <c r="C691" s="16">
        <v>1350</v>
      </c>
      <c r="D691" t="s">
        <v>295</v>
      </c>
      <c r="E691" s="16" t="s">
        <v>296</v>
      </c>
      <c r="F691" s="2">
        <v>36691</v>
      </c>
      <c r="G691" s="2">
        <v>37764</v>
      </c>
      <c r="H691" s="2">
        <v>39062</v>
      </c>
      <c r="I691" s="25">
        <v>41820</v>
      </c>
      <c r="L691" t="s">
        <v>297</v>
      </c>
      <c r="M691" t="s">
        <v>322</v>
      </c>
      <c r="N691" s="23" t="str">
        <f t="shared" ref="N691:N697" si="75">IF((I691&gt;$W$2),"Y","N")</f>
        <v>Y</v>
      </c>
      <c r="O691" s="16" t="s">
        <v>1442</v>
      </c>
      <c r="P691" s="10" t="s">
        <v>222</v>
      </c>
      <c r="Q691" s="10" t="s">
        <v>224</v>
      </c>
      <c r="S691" s="16" t="str">
        <f t="shared" ref="S691:S697" si="76">MID(Q691,9,30)</f>
        <v>Charles Andy A Nicks</v>
      </c>
      <c r="T691" s="31">
        <v>41466</v>
      </c>
    </row>
    <row r="692" spans="1:33">
      <c r="A692" s="16">
        <v>8</v>
      </c>
      <c r="B692" s="16" t="s">
        <v>149</v>
      </c>
      <c r="C692" s="16">
        <v>1411</v>
      </c>
      <c r="D692" t="s">
        <v>295</v>
      </c>
      <c r="E692" s="16" t="s">
        <v>296</v>
      </c>
      <c r="F692" s="2">
        <v>37369</v>
      </c>
      <c r="G692" s="2">
        <v>37764</v>
      </c>
      <c r="H692" s="2">
        <v>38408</v>
      </c>
      <c r="I692" s="25">
        <v>41820</v>
      </c>
      <c r="L692" t="s">
        <v>297</v>
      </c>
      <c r="M692" t="s">
        <v>297</v>
      </c>
      <c r="N692" s="23" t="str">
        <f t="shared" si="75"/>
        <v>Y</v>
      </c>
      <c r="O692" s="16" t="s">
        <v>1459</v>
      </c>
      <c r="P692" s="10" t="s">
        <v>222</v>
      </c>
      <c r="Q692" s="10" t="s">
        <v>224</v>
      </c>
      <c r="S692" s="16" t="str">
        <f t="shared" si="76"/>
        <v>Charles Andy A Nicks</v>
      </c>
      <c r="T692" s="31">
        <v>41425</v>
      </c>
    </row>
    <row r="693" spans="1:33">
      <c r="A693" s="16">
        <v>8</v>
      </c>
      <c r="B693" s="16" t="s">
        <v>296</v>
      </c>
      <c r="C693" s="16">
        <v>52</v>
      </c>
      <c r="D693" s="7" t="s">
        <v>295</v>
      </c>
      <c r="E693" s="16" t="s">
        <v>296</v>
      </c>
      <c r="F693" s="2">
        <v>27440</v>
      </c>
      <c r="G693" s="2">
        <v>27886</v>
      </c>
      <c r="H693" s="2">
        <v>39465</v>
      </c>
      <c r="I693" s="25">
        <v>41820</v>
      </c>
      <c r="J693" s="2">
        <v>34039</v>
      </c>
      <c r="K693" s="2">
        <v>36243</v>
      </c>
      <c r="L693" t="s">
        <v>297</v>
      </c>
      <c r="M693" t="s">
        <v>297</v>
      </c>
      <c r="N693" s="23" t="str">
        <f t="shared" si="75"/>
        <v>Y</v>
      </c>
      <c r="O693" s="16" t="s">
        <v>819</v>
      </c>
      <c r="P693" s="10" t="s">
        <v>222</v>
      </c>
      <c r="Q693" s="10" t="s">
        <v>225</v>
      </c>
      <c r="S693" s="16" t="str">
        <f t="shared" si="76"/>
        <v>Michael A Ricci</v>
      </c>
      <c r="T693" s="31">
        <v>41418</v>
      </c>
    </row>
    <row r="694" spans="1:33">
      <c r="A694" s="16">
        <v>8</v>
      </c>
      <c r="B694" s="16" t="s">
        <v>296</v>
      </c>
      <c r="C694" s="16">
        <v>125</v>
      </c>
      <c r="D694" t="s">
        <v>295</v>
      </c>
      <c r="E694" s="16" t="s">
        <v>296</v>
      </c>
      <c r="F694" s="2">
        <v>28093</v>
      </c>
      <c r="G694" s="2">
        <v>28901</v>
      </c>
      <c r="H694" s="2">
        <v>39474</v>
      </c>
      <c r="I694" s="25">
        <v>41820</v>
      </c>
      <c r="J694" s="2">
        <v>39436</v>
      </c>
      <c r="K694" s="2">
        <v>36486</v>
      </c>
      <c r="L694" t="s">
        <v>297</v>
      </c>
      <c r="M694" t="s">
        <v>297</v>
      </c>
      <c r="N694" s="23" t="str">
        <f t="shared" si="75"/>
        <v>Y</v>
      </c>
      <c r="O694" s="16" t="s">
        <v>1579</v>
      </c>
      <c r="P694" s="10" t="s">
        <v>222</v>
      </c>
      <c r="Q694" s="10" t="s">
        <v>225</v>
      </c>
      <c r="S694" s="16" t="str">
        <f t="shared" si="76"/>
        <v>Michael A Ricci</v>
      </c>
      <c r="T694" s="31">
        <v>41450</v>
      </c>
    </row>
    <row r="695" spans="1:33">
      <c r="A695" s="16">
        <v>8</v>
      </c>
      <c r="B695" s="16" t="s">
        <v>296</v>
      </c>
      <c r="C695" s="16">
        <v>158</v>
      </c>
      <c r="D695" t="s">
        <v>295</v>
      </c>
      <c r="E695" s="16" t="s">
        <v>296</v>
      </c>
      <c r="F695" s="2">
        <v>28499</v>
      </c>
      <c r="G695" s="2">
        <v>28845</v>
      </c>
      <c r="H695" s="2">
        <v>39372</v>
      </c>
      <c r="I695" s="25">
        <v>41820</v>
      </c>
      <c r="J695" s="2">
        <v>34596</v>
      </c>
      <c r="K695" s="2">
        <v>35347</v>
      </c>
      <c r="L695" t="s">
        <v>297</v>
      </c>
      <c r="M695" t="s">
        <v>297</v>
      </c>
      <c r="N695" s="23" t="str">
        <f t="shared" si="75"/>
        <v>Y</v>
      </c>
      <c r="O695" s="16" t="s">
        <v>821</v>
      </c>
      <c r="P695" s="10" t="s">
        <v>222</v>
      </c>
      <c r="Q695" s="10" t="s">
        <v>225</v>
      </c>
      <c r="S695" s="16" t="str">
        <f t="shared" si="76"/>
        <v>Michael A Ricci</v>
      </c>
      <c r="T695" s="31">
        <v>41477</v>
      </c>
    </row>
    <row r="696" spans="1:33">
      <c r="A696" s="16">
        <v>8</v>
      </c>
      <c r="B696" s="16" t="s">
        <v>296</v>
      </c>
      <c r="C696" s="16">
        <v>161</v>
      </c>
      <c r="D696" s="7" t="s">
        <v>295</v>
      </c>
      <c r="E696" s="16" t="s">
        <v>296</v>
      </c>
      <c r="F696" s="2">
        <v>28296</v>
      </c>
      <c r="G696" s="2">
        <v>31113</v>
      </c>
      <c r="H696" s="2">
        <v>39268</v>
      </c>
      <c r="I696" s="25">
        <v>41820</v>
      </c>
      <c r="K696" s="2">
        <v>38601</v>
      </c>
      <c r="L696" t="s">
        <v>297</v>
      </c>
      <c r="M696" t="s">
        <v>297</v>
      </c>
      <c r="N696" s="23" t="str">
        <f t="shared" si="75"/>
        <v>Y</v>
      </c>
      <c r="O696" s="16" t="s">
        <v>822</v>
      </c>
      <c r="P696" s="10" t="s">
        <v>222</v>
      </c>
      <c r="Q696" s="10" t="s">
        <v>225</v>
      </c>
      <c r="S696" s="16" t="str">
        <f t="shared" si="76"/>
        <v>Michael A Ricci</v>
      </c>
      <c r="T696" s="31">
        <v>41452</v>
      </c>
    </row>
    <row r="697" spans="1:33">
      <c r="A697" s="16">
        <v>8</v>
      </c>
      <c r="B697" s="16" t="s">
        <v>296</v>
      </c>
      <c r="C697" s="16">
        <v>190</v>
      </c>
      <c r="D697" t="s">
        <v>295</v>
      </c>
      <c r="E697" s="16" t="s">
        <v>296</v>
      </c>
      <c r="F697" s="2">
        <v>28649</v>
      </c>
      <c r="G697" s="2">
        <v>28835</v>
      </c>
      <c r="H697" s="2">
        <v>39464</v>
      </c>
      <c r="I697" s="25">
        <v>41820</v>
      </c>
      <c r="J697" s="2">
        <v>36196</v>
      </c>
      <c r="K697" s="2">
        <v>38096</v>
      </c>
      <c r="L697" t="s">
        <v>297</v>
      </c>
      <c r="M697" t="s">
        <v>297</v>
      </c>
      <c r="N697" s="23" t="str">
        <f t="shared" si="75"/>
        <v>Y</v>
      </c>
      <c r="O697" s="16" t="s">
        <v>1833</v>
      </c>
      <c r="P697" s="10" t="s">
        <v>222</v>
      </c>
      <c r="Q697" s="10" t="s">
        <v>225</v>
      </c>
      <c r="S697" s="16" t="str">
        <f t="shared" si="76"/>
        <v>Michael A Ricci</v>
      </c>
      <c r="T697" s="31">
        <v>41428</v>
      </c>
    </row>
    <row r="698" spans="1:33" s="7" customFormat="1" hidden="1">
      <c r="A698" s="7">
        <v>8</v>
      </c>
      <c r="B698" s="7" t="s">
        <v>317</v>
      </c>
      <c r="C698" s="7">
        <v>1269</v>
      </c>
      <c r="D698" s="7" t="s">
        <v>380</v>
      </c>
      <c r="E698" s="7" t="s">
        <v>316</v>
      </c>
      <c r="F698" s="2">
        <v>36032</v>
      </c>
      <c r="G698" s="2">
        <v>37176</v>
      </c>
      <c r="H698" s="2">
        <v>37740</v>
      </c>
      <c r="I698" s="8">
        <v>38047</v>
      </c>
      <c r="J698"/>
      <c r="K698"/>
      <c r="L698" t="s">
        <v>322</v>
      </c>
      <c r="M698" t="s">
        <v>297</v>
      </c>
      <c r="N698"/>
      <c r="P698" s="7" t="s">
        <v>222</v>
      </c>
      <c r="Q698" s="7" t="s">
        <v>227</v>
      </c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</row>
    <row r="699" spans="1:33">
      <c r="A699" s="16">
        <v>8</v>
      </c>
      <c r="B699" s="16" t="s">
        <v>296</v>
      </c>
      <c r="C699" s="16">
        <v>195</v>
      </c>
      <c r="D699" s="7" t="s">
        <v>295</v>
      </c>
      <c r="E699" s="16" t="s">
        <v>296</v>
      </c>
      <c r="F699" s="2">
        <v>28684</v>
      </c>
      <c r="G699" s="2">
        <v>28986</v>
      </c>
      <c r="H699" s="2">
        <v>39454</v>
      </c>
      <c r="I699" s="25">
        <v>41820</v>
      </c>
      <c r="J699" s="2">
        <v>36047</v>
      </c>
      <c r="K699" s="2">
        <v>33878</v>
      </c>
      <c r="L699" t="s">
        <v>297</v>
      </c>
      <c r="M699" t="s">
        <v>297</v>
      </c>
      <c r="N699" s="23" t="str">
        <f>IF((I699&gt;$W$2),"Y","N")</f>
        <v>Y</v>
      </c>
      <c r="O699" s="16" t="s">
        <v>824</v>
      </c>
      <c r="P699" s="10" t="s">
        <v>222</v>
      </c>
      <c r="Q699" s="10" t="s">
        <v>225</v>
      </c>
      <c r="S699" s="16" t="str">
        <f>MID(Q699,9,30)</f>
        <v>Michael A Ricci</v>
      </c>
      <c r="T699" s="31">
        <v>41367</v>
      </c>
    </row>
    <row r="700" spans="1:33">
      <c r="A700" s="16">
        <v>8</v>
      </c>
      <c r="B700" s="16" t="s">
        <v>296</v>
      </c>
      <c r="C700" s="16">
        <v>205</v>
      </c>
      <c r="D700" s="7" t="s">
        <v>295</v>
      </c>
      <c r="E700" s="16" t="s">
        <v>296</v>
      </c>
      <c r="F700" s="2">
        <v>28832</v>
      </c>
      <c r="G700" s="2">
        <v>29185</v>
      </c>
      <c r="H700" s="2">
        <v>39255</v>
      </c>
      <c r="I700" s="25">
        <v>41455</v>
      </c>
      <c r="J700" s="2">
        <v>32233</v>
      </c>
      <c r="K700" s="2">
        <v>38792</v>
      </c>
      <c r="L700" t="s">
        <v>297</v>
      </c>
      <c r="M700" t="s">
        <v>297</v>
      </c>
      <c r="N700" s="23" t="str">
        <f>IF((I700&gt;$W$2),"Y","N")</f>
        <v>N</v>
      </c>
      <c r="O700" s="16" t="s">
        <v>1524</v>
      </c>
      <c r="P700" s="10" t="s">
        <v>222</v>
      </c>
      <c r="Q700" s="10" t="s">
        <v>225</v>
      </c>
      <c r="S700" s="16" t="str">
        <f>MID(Q700,9,30)</f>
        <v>Michael A Ricci</v>
      </c>
      <c r="T700" s="31">
        <v>41305</v>
      </c>
    </row>
    <row r="701" spans="1:33" s="7" customFormat="1" hidden="1">
      <c r="A701" s="7">
        <v>8</v>
      </c>
      <c r="B701" s="7" t="s">
        <v>317</v>
      </c>
      <c r="C701" s="7">
        <v>1442</v>
      </c>
      <c r="D701" s="7" t="s">
        <v>408</v>
      </c>
      <c r="E701" s="7" t="s">
        <v>316</v>
      </c>
      <c r="F701" s="2">
        <v>37694</v>
      </c>
      <c r="G701"/>
      <c r="H701" s="2">
        <v>38107</v>
      </c>
      <c r="I701" s="8">
        <v>38060</v>
      </c>
      <c r="J701"/>
      <c r="K701" s="2">
        <v>38107</v>
      </c>
      <c r="L701" t="s">
        <v>297</v>
      </c>
      <c r="M701" t="s">
        <v>297</v>
      </c>
      <c r="N701"/>
      <c r="P701" s="7" t="s">
        <v>222</v>
      </c>
      <c r="Q701" s="7" t="s">
        <v>227</v>
      </c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</row>
    <row r="702" spans="1:33" customFormat="1" hidden="1">
      <c r="A702" t="s">
        <v>222</v>
      </c>
      <c r="B702" t="s">
        <v>227</v>
      </c>
      <c r="I702" s="6"/>
    </row>
    <row r="703" spans="1:33">
      <c r="A703" s="16">
        <v>8</v>
      </c>
      <c r="B703" s="16" t="s">
        <v>296</v>
      </c>
      <c r="C703" s="16">
        <v>448</v>
      </c>
      <c r="D703" s="7" t="s">
        <v>295</v>
      </c>
      <c r="E703" s="16" t="s">
        <v>296</v>
      </c>
      <c r="F703" s="2">
        <v>30989</v>
      </c>
      <c r="G703" s="2">
        <v>34051</v>
      </c>
      <c r="H703" s="2">
        <v>36732</v>
      </c>
      <c r="I703" s="25">
        <v>41820</v>
      </c>
      <c r="J703" s="2">
        <v>34181</v>
      </c>
      <c r="K703" s="2">
        <v>34176</v>
      </c>
      <c r="L703" t="s">
        <v>297</v>
      </c>
      <c r="N703" s="23" t="str">
        <f t="shared" ref="N703:N709" si="77">IF((I703&gt;$W$2),"Y","N")</f>
        <v>Y</v>
      </c>
      <c r="O703" s="16" t="s">
        <v>826</v>
      </c>
      <c r="P703" s="10" t="s">
        <v>222</v>
      </c>
      <c r="Q703" s="10" t="s">
        <v>225</v>
      </c>
      <c r="S703" s="16" t="str">
        <f t="shared" ref="S703:S709" si="78">MID(Q703,9,30)</f>
        <v>Michael A Ricci</v>
      </c>
      <c r="T703" s="31">
        <v>41444</v>
      </c>
    </row>
    <row r="704" spans="1:33">
      <c r="A704" s="16">
        <v>8</v>
      </c>
      <c r="B704" s="16" t="s">
        <v>296</v>
      </c>
      <c r="C704" s="16">
        <v>459</v>
      </c>
      <c r="D704" s="7" t="s">
        <v>295</v>
      </c>
      <c r="E704" s="16" t="s">
        <v>296</v>
      </c>
      <c r="F704" s="2">
        <v>31129</v>
      </c>
      <c r="G704" s="2">
        <v>31129</v>
      </c>
      <c r="H704" s="2">
        <v>38988</v>
      </c>
      <c r="I704" s="25">
        <v>41455</v>
      </c>
      <c r="K704" s="2">
        <v>38656</v>
      </c>
      <c r="L704" t="s">
        <v>297</v>
      </c>
      <c r="M704" t="s">
        <v>297</v>
      </c>
      <c r="N704" s="23" t="str">
        <f t="shared" si="77"/>
        <v>N</v>
      </c>
      <c r="O704" s="16" t="s">
        <v>1525</v>
      </c>
      <c r="P704" s="10" t="s">
        <v>222</v>
      </c>
      <c r="Q704" s="10" t="s">
        <v>225</v>
      </c>
      <c r="S704" s="16" t="str">
        <f t="shared" si="78"/>
        <v>Michael A Ricci</v>
      </c>
      <c r="T704" s="31">
        <v>41305</v>
      </c>
    </row>
    <row r="705" spans="1:33">
      <c r="A705" s="16">
        <v>8</v>
      </c>
      <c r="B705" s="16" t="s">
        <v>296</v>
      </c>
      <c r="C705" s="16">
        <v>673</v>
      </c>
      <c r="D705" s="7" t="s">
        <v>295</v>
      </c>
      <c r="E705" s="16" t="s">
        <v>296</v>
      </c>
      <c r="F705" s="2">
        <v>32560</v>
      </c>
      <c r="G705" s="2">
        <v>33679</v>
      </c>
      <c r="H705" s="2">
        <v>39321</v>
      </c>
      <c r="I705" s="25">
        <v>40724</v>
      </c>
      <c r="K705" s="2">
        <v>36165</v>
      </c>
      <c r="L705" t="s">
        <v>297</v>
      </c>
      <c r="M705" t="s">
        <v>297</v>
      </c>
      <c r="N705" s="23" t="str">
        <f t="shared" si="77"/>
        <v>N</v>
      </c>
      <c r="O705" s="16" t="s">
        <v>828</v>
      </c>
      <c r="P705" s="10" t="s">
        <v>222</v>
      </c>
      <c r="Q705" s="10" t="s">
        <v>225</v>
      </c>
      <c r="S705" s="16" t="str">
        <f t="shared" si="78"/>
        <v>Michael A Ricci</v>
      </c>
      <c r="T705" s="31" t="s">
        <v>1628</v>
      </c>
    </row>
    <row r="706" spans="1:33">
      <c r="A706" s="16">
        <v>8</v>
      </c>
      <c r="B706" s="16" t="s">
        <v>296</v>
      </c>
      <c r="C706" s="16">
        <v>708</v>
      </c>
      <c r="D706" s="7" t="s">
        <v>295</v>
      </c>
      <c r="E706" s="16" t="s">
        <v>296</v>
      </c>
      <c r="F706" s="2">
        <v>32892</v>
      </c>
      <c r="G706" s="2">
        <v>33124</v>
      </c>
      <c r="H706" s="2">
        <v>39468</v>
      </c>
      <c r="I706" s="25">
        <v>41820</v>
      </c>
      <c r="J706" s="2">
        <v>34028</v>
      </c>
      <c r="K706" s="2">
        <v>38741</v>
      </c>
      <c r="L706" t="s">
        <v>297</v>
      </c>
      <c r="M706" t="s">
        <v>297</v>
      </c>
      <c r="N706" s="23" t="str">
        <f t="shared" si="77"/>
        <v>Y</v>
      </c>
      <c r="O706" s="16" t="s">
        <v>1834</v>
      </c>
      <c r="P706" s="10" t="s">
        <v>222</v>
      </c>
      <c r="Q706" s="10" t="s">
        <v>225</v>
      </c>
      <c r="S706" s="16" t="str">
        <f t="shared" si="78"/>
        <v>Michael A Ricci</v>
      </c>
      <c r="T706" s="31">
        <v>41425</v>
      </c>
    </row>
    <row r="707" spans="1:33">
      <c r="A707" s="16">
        <v>8</v>
      </c>
      <c r="B707" s="16" t="s">
        <v>296</v>
      </c>
      <c r="C707" s="16">
        <v>743</v>
      </c>
      <c r="D707" s="7" t="s">
        <v>295</v>
      </c>
      <c r="E707" s="16" t="s">
        <v>376</v>
      </c>
      <c r="F707" s="2">
        <v>33113</v>
      </c>
      <c r="G707" s="2">
        <v>34405</v>
      </c>
      <c r="H707" s="2">
        <v>39186</v>
      </c>
      <c r="I707" s="25">
        <v>37802</v>
      </c>
      <c r="K707" s="2">
        <v>35566</v>
      </c>
      <c r="L707" t="s">
        <v>297</v>
      </c>
      <c r="N707" s="23" t="str">
        <f t="shared" si="77"/>
        <v>N</v>
      </c>
      <c r="O707" s="16" t="s">
        <v>1241</v>
      </c>
      <c r="P707" s="10" t="s">
        <v>222</v>
      </c>
      <c r="Q707" s="10" t="s">
        <v>225</v>
      </c>
      <c r="S707" s="16" t="str">
        <f t="shared" si="78"/>
        <v>Michael A Ricci</v>
      </c>
    </row>
    <row r="708" spans="1:33">
      <c r="A708" s="16">
        <v>8</v>
      </c>
      <c r="B708" s="16" t="s">
        <v>296</v>
      </c>
      <c r="C708" s="16">
        <v>880</v>
      </c>
      <c r="D708" s="7" t="s">
        <v>295</v>
      </c>
      <c r="E708" s="16" t="s">
        <v>296</v>
      </c>
      <c r="F708" s="2">
        <v>33995</v>
      </c>
      <c r="G708" s="2">
        <v>34656</v>
      </c>
      <c r="H708" s="2">
        <v>39459</v>
      </c>
      <c r="I708" s="25">
        <v>40724</v>
      </c>
      <c r="K708" s="2">
        <v>34551</v>
      </c>
      <c r="L708" t="s">
        <v>297</v>
      </c>
      <c r="M708" t="s">
        <v>297</v>
      </c>
      <c r="N708" s="23" t="str">
        <f t="shared" si="77"/>
        <v>N</v>
      </c>
      <c r="O708" s="16" t="s">
        <v>1835</v>
      </c>
      <c r="P708" s="10" t="s">
        <v>222</v>
      </c>
      <c r="Q708" s="10" t="s">
        <v>225</v>
      </c>
      <c r="S708" s="16" t="str">
        <f t="shared" si="78"/>
        <v>Michael A Ricci</v>
      </c>
      <c r="T708" s="31">
        <v>40284</v>
      </c>
    </row>
    <row r="709" spans="1:33">
      <c r="A709" s="16">
        <v>8</v>
      </c>
      <c r="B709" s="16" t="s">
        <v>296</v>
      </c>
      <c r="C709" s="16">
        <v>919</v>
      </c>
      <c r="D709" s="7" t="s">
        <v>295</v>
      </c>
      <c r="E709" s="16" t="s">
        <v>296</v>
      </c>
      <c r="F709" s="2">
        <v>34249</v>
      </c>
      <c r="G709" s="2">
        <v>35434</v>
      </c>
      <c r="H709" s="2">
        <v>38784</v>
      </c>
      <c r="I709" s="25">
        <v>41455</v>
      </c>
      <c r="K709" s="2">
        <v>35145</v>
      </c>
      <c r="L709" t="s">
        <v>297</v>
      </c>
      <c r="M709" t="s">
        <v>297</v>
      </c>
      <c r="N709" s="23" t="str">
        <f t="shared" si="77"/>
        <v>N</v>
      </c>
      <c r="O709" s="16" t="s">
        <v>1443</v>
      </c>
      <c r="P709" s="10" t="s">
        <v>222</v>
      </c>
      <c r="Q709" s="10" t="s">
        <v>225</v>
      </c>
      <c r="S709" s="16" t="str">
        <f t="shared" si="78"/>
        <v>Michael A Ricci</v>
      </c>
      <c r="T709" s="31">
        <v>41124</v>
      </c>
    </row>
    <row r="710" spans="1:33" s="7" customFormat="1" hidden="1">
      <c r="A710" s="7">
        <v>8</v>
      </c>
      <c r="B710" s="7" t="s">
        <v>155</v>
      </c>
      <c r="C710" s="7">
        <v>1105</v>
      </c>
      <c r="D710" s="7" t="s">
        <v>380</v>
      </c>
      <c r="E710" s="7" t="s">
        <v>376</v>
      </c>
      <c r="F710" s="2">
        <v>35185</v>
      </c>
      <c r="G710" s="2">
        <v>36238</v>
      </c>
      <c r="H710" s="2">
        <v>38383</v>
      </c>
      <c r="I710" s="8">
        <v>36372</v>
      </c>
      <c r="J710"/>
      <c r="K710" s="2">
        <v>35699</v>
      </c>
      <c r="L710" t="s">
        <v>297</v>
      </c>
      <c r="M710" t="s">
        <v>297</v>
      </c>
      <c r="N710"/>
      <c r="O710" s="7" t="s">
        <v>863</v>
      </c>
      <c r="P710" s="7" t="s">
        <v>222</v>
      </c>
      <c r="Q710" s="7" t="s">
        <v>228</v>
      </c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</row>
    <row r="711" spans="1:33">
      <c r="A711" s="16">
        <v>8</v>
      </c>
      <c r="B711" s="16" t="s">
        <v>296</v>
      </c>
      <c r="C711" s="16">
        <v>955</v>
      </c>
      <c r="D711" s="7" t="s">
        <v>295</v>
      </c>
      <c r="E711" s="16" t="s">
        <v>296</v>
      </c>
      <c r="F711" s="2">
        <v>34494</v>
      </c>
      <c r="G711" s="2">
        <v>35140</v>
      </c>
      <c r="H711" s="2">
        <v>38963</v>
      </c>
      <c r="I711" s="25">
        <v>41820</v>
      </c>
      <c r="K711" s="2">
        <v>39318</v>
      </c>
      <c r="L711" t="s">
        <v>297</v>
      </c>
      <c r="M711" t="s">
        <v>297</v>
      </c>
      <c r="N711" s="23" t="str">
        <f t="shared" ref="N711:N718" si="79">IF((I711&gt;$W$2),"Y","N")</f>
        <v>Y</v>
      </c>
      <c r="O711" s="16" t="s">
        <v>1836</v>
      </c>
      <c r="P711" s="10" t="s">
        <v>222</v>
      </c>
      <c r="Q711" s="10" t="s">
        <v>225</v>
      </c>
      <c r="S711" s="16" t="str">
        <f t="shared" ref="S711:S718" si="80">MID(Q711,9,30)</f>
        <v>Michael A Ricci</v>
      </c>
      <c r="T711" s="31">
        <v>41477</v>
      </c>
    </row>
    <row r="712" spans="1:33">
      <c r="A712" s="16">
        <v>8</v>
      </c>
      <c r="B712" s="16" t="s">
        <v>296</v>
      </c>
      <c r="C712" s="16">
        <v>1278</v>
      </c>
      <c r="D712" s="7" t="s">
        <v>295</v>
      </c>
      <c r="E712" s="16" t="s">
        <v>296</v>
      </c>
      <c r="F712" s="2">
        <v>36137</v>
      </c>
      <c r="G712" s="2">
        <v>36602</v>
      </c>
      <c r="H712" s="2">
        <v>39317</v>
      </c>
      <c r="I712" s="25">
        <v>41820</v>
      </c>
      <c r="K712" s="2">
        <v>36215</v>
      </c>
      <c r="L712" t="s">
        <v>297</v>
      </c>
      <c r="M712" t="s">
        <v>297</v>
      </c>
      <c r="N712" s="23" t="str">
        <f t="shared" si="79"/>
        <v>Y</v>
      </c>
      <c r="O712" s="16" t="s">
        <v>1837</v>
      </c>
      <c r="P712" s="10" t="s">
        <v>222</v>
      </c>
      <c r="Q712" s="10" t="s">
        <v>225</v>
      </c>
      <c r="S712" s="16" t="str">
        <f t="shared" si="80"/>
        <v>Michael A Ricci</v>
      </c>
      <c r="T712" s="31">
        <v>41477</v>
      </c>
    </row>
    <row r="713" spans="1:33">
      <c r="A713" s="16">
        <v>8</v>
      </c>
      <c r="B713" s="16" t="s">
        <v>296</v>
      </c>
      <c r="C713" s="16">
        <v>1296</v>
      </c>
      <c r="D713" t="s">
        <v>295</v>
      </c>
      <c r="E713" s="16" t="s">
        <v>296</v>
      </c>
      <c r="F713" s="2">
        <v>36291</v>
      </c>
      <c r="G713" s="2">
        <v>37211</v>
      </c>
      <c r="H713" s="2">
        <v>39358</v>
      </c>
      <c r="I713" s="25">
        <v>41820</v>
      </c>
      <c r="J713" s="2">
        <v>36985</v>
      </c>
      <c r="L713" t="s">
        <v>297</v>
      </c>
      <c r="M713" t="s">
        <v>297</v>
      </c>
      <c r="N713" s="23" t="str">
        <f t="shared" si="79"/>
        <v>Y</v>
      </c>
      <c r="O713" s="16" t="s">
        <v>835</v>
      </c>
      <c r="P713" s="10" t="s">
        <v>222</v>
      </c>
      <c r="Q713" s="10" t="s">
        <v>225</v>
      </c>
      <c r="S713" s="16" t="str">
        <f t="shared" si="80"/>
        <v>Michael A Ricci</v>
      </c>
      <c r="T713" s="31">
        <v>41428</v>
      </c>
    </row>
    <row r="714" spans="1:33">
      <c r="A714" s="16">
        <v>8</v>
      </c>
      <c r="B714" s="16" t="s">
        <v>153</v>
      </c>
      <c r="C714" s="16">
        <v>176</v>
      </c>
      <c r="D714" s="7" t="s">
        <v>295</v>
      </c>
      <c r="E714" s="16" t="s">
        <v>296</v>
      </c>
      <c r="F714" s="2">
        <v>28521</v>
      </c>
      <c r="G714" s="2">
        <v>28845</v>
      </c>
      <c r="H714" s="2">
        <v>39504</v>
      </c>
      <c r="I714" s="25">
        <v>41820</v>
      </c>
      <c r="K714" s="2">
        <v>39318</v>
      </c>
      <c r="L714" t="s">
        <v>297</v>
      </c>
      <c r="M714" t="s">
        <v>297</v>
      </c>
      <c r="N714" s="23" t="str">
        <f t="shared" si="79"/>
        <v>Y</v>
      </c>
      <c r="O714" s="16" t="s">
        <v>1838</v>
      </c>
      <c r="P714" s="10" t="s">
        <v>222</v>
      </c>
      <c r="Q714" s="10" t="s">
        <v>226</v>
      </c>
      <c r="S714" s="16" t="str">
        <f t="shared" si="80"/>
        <v>Kendall B Smith</v>
      </c>
      <c r="T714" s="31">
        <v>41478</v>
      </c>
    </row>
    <row r="715" spans="1:33">
      <c r="A715" s="16">
        <v>8</v>
      </c>
      <c r="B715" s="16" t="s">
        <v>153</v>
      </c>
      <c r="C715" s="16">
        <v>346</v>
      </c>
      <c r="D715" t="s">
        <v>295</v>
      </c>
      <c r="E715" s="16" t="s">
        <v>296</v>
      </c>
      <c r="F715" s="2">
        <v>30029</v>
      </c>
      <c r="G715" s="2">
        <v>31861</v>
      </c>
      <c r="H715" s="2">
        <v>39450</v>
      </c>
      <c r="I715" s="25">
        <v>41455</v>
      </c>
      <c r="K715" s="2">
        <v>34967</v>
      </c>
      <c r="L715" t="s">
        <v>297</v>
      </c>
      <c r="M715" t="s">
        <v>297</v>
      </c>
      <c r="N715" s="23" t="str">
        <f t="shared" si="79"/>
        <v>N</v>
      </c>
      <c r="O715" s="16" t="s">
        <v>1839</v>
      </c>
      <c r="P715" s="10" t="s">
        <v>222</v>
      </c>
      <c r="Q715" s="10" t="s">
        <v>226</v>
      </c>
      <c r="S715" s="16" t="str">
        <f t="shared" si="80"/>
        <v>Kendall B Smith</v>
      </c>
      <c r="T715" s="31">
        <v>41064</v>
      </c>
    </row>
    <row r="716" spans="1:33">
      <c r="A716" s="16">
        <v>8</v>
      </c>
      <c r="B716" s="16" t="s">
        <v>153</v>
      </c>
      <c r="C716" s="16">
        <v>500</v>
      </c>
      <c r="D716" t="s">
        <v>295</v>
      </c>
      <c r="E716" s="16" t="s">
        <v>296</v>
      </c>
      <c r="F716" s="2">
        <v>31310</v>
      </c>
      <c r="G716" s="2">
        <v>33180</v>
      </c>
      <c r="H716" s="2">
        <v>39505</v>
      </c>
      <c r="I716" s="25">
        <v>41455</v>
      </c>
      <c r="K716" s="2">
        <v>38811</v>
      </c>
      <c r="L716" t="s">
        <v>297</v>
      </c>
      <c r="M716" t="s">
        <v>297</v>
      </c>
      <c r="N716" s="23" t="str">
        <f t="shared" si="79"/>
        <v>N</v>
      </c>
      <c r="O716" s="16" t="s">
        <v>1840</v>
      </c>
      <c r="P716" s="10" t="s">
        <v>222</v>
      </c>
      <c r="Q716" s="10" t="s">
        <v>226</v>
      </c>
      <c r="S716" s="16" t="str">
        <f t="shared" si="80"/>
        <v>Kendall B Smith</v>
      </c>
      <c r="T716" s="31">
        <v>41127</v>
      </c>
    </row>
    <row r="717" spans="1:33">
      <c r="A717" s="16">
        <v>8</v>
      </c>
      <c r="B717" s="16" t="s">
        <v>153</v>
      </c>
      <c r="C717" s="16">
        <v>610</v>
      </c>
      <c r="D717" s="7" t="s">
        <v>295</v>
      </c>
      <c r="E717" s="16" t="s">
        <v>296</v>
      </c>
      <c r="F717" s="2">
        <v>31969</v>
      </c>
      <c r="G717" s="2">
        <v>37036</v>
      </c>
      <c r="H717" s="2">
        <v>39465</v>
      </c>
      <c r="I717" s="25">
        <v>41455</v>
      </c>
      <c r="K717" s="2">
        <v>37592</v>
      </c>
      <c r="L717" t="s">
        <v>297</v>
      </c>
      <c r="M717" t="s">
        <v>297</v>
      </c>
      <c r="N717" s="23" t="str">
        <f t="shared" si="79"/>
        <v>N</v>
      </c>
      <c r="O717" s="16" t="s">
        <v>1242</v>
      </c>
      <c r="P717" s="10" t="s">
        <v>222</v>
      </c>
      <c r="Q717" s="10" t="s">
        <v>226</v>
      </c>
      <c r="S717" s="16" t="str">
        <f t="shared" si="80"/>
        <v>Kendall B Smith</v>
      </c>
      <c r="T717" s="31">
        <v>41128</v>
      </c>
      <c r="U717" s="10" t="s">
        <v>1157</v>
      </c>
    </row>
    <row r="718" spans="1:33">
      <c r="A718" s="16">
        <v>8</v>
      </c>
      <c r="B718" s="16" t="s">
        <v>153</v>
      </c>
      <c r="C718" s="16">
        <v>725</v>
      </c>
      <c r="D718" s="7" t="s">
        <v>295</v>
      </c>
      <c r="E718" s="16" t="s">
        <v>296</v>
      </c>
      <c r="F718" s="2">
        <v>32892</v>
      </c>
      <c r="G718" s="2">
        <v>36483</v>
      </c>
      <c r="H718" s="2">
        <v>39219</v>
      </c>
      <c r="I718" s="25">
        <v>41820</v>
      </c>
      <c r="J718" s="2">
        <v>35522</v>
      </c>
      <c r="K718" s="2">
        <v>37931</v>
      </c>
      <c r="L718" t="s">
        <v>297</v>
      </c>
      <c r="M718" t="s">
        <v>297</v>
      </c>
      <c r="N718" s="23" t="str">
        <f t="shared" si="79"/>
        <v>Y</v>
      </c>
      <c r="O718" s="16" t="s">
        <v>1841</v>
      </c>
      <c r="P718" s="10" t="s">
        <v>222</v>
      </c>
      <c r="Q718" s="10" t="s">
        <v>226</v>
      </c>
      <c r="S718" s="16" t="str">
        <f t="shared" si="80"/>
        <v>Kendall B Smith</v>
      </c>
      <c r="T718" s="31">
        <v>41457</v>
      </c>
    </row>
    <row r="719" spans="1:33" customFormat="1" hidden="1">
      <c r="A719" t="s">
        <v>222</v>
      </c>
      <c r="B719" t="s">
        <v>228</v>
      </c>
      <c r="I719" s="6"/>
    </row>
    <row r="720" spans="1:33">
      <c r="A720" s="16">
        <v>8</v>
      </c>
      <c r="B720" s="16" t="s">
        <v>153</v>
      </c>
      <c r="C720" s="16">
        <v>742</v>
      </c>
      <c r="D720" t="s">
        <v>295</v>
      </c>
      <c r="E720" s="16" t="s">
        <v>296</v>
      </c>
      <c r="F720" s="2">
        <v>33021</v>
      </c>
      <c r="G720" s="2">
        <v>37036</v>
      </c>
      <c r="H720" s="2">
        <v>39479</v>
      </c>
      <c r="I720" s="25">
        <v>41455</v>
      </c>
      <c r="J720" s="2">
        <v>38468</v>
      </c>
      <c r="K720" s="2">
        <v>39469</v>
      </c>
      <c r="L720" t="s">
        <v>297</v>
      </c>
      <c r="M720" t="s">
        <v>297</v>
      </c>
      <c r="N720" s="23" t="str">
        <f t="shared" ref="N720:N729" si="81">IF((I720&gt;$W$2),"Y","N")</f>
        <v>N</v>
      </c>
      <c r="O720" s="16" t="s">
        <v>1404</v>
      </c>
      <c r="P720" s="10" t="s">
        <v>222</v>
      </c>
      <c r="Q720" s="10" t="s">
        <v>226</v>
      </c>
      <c r="S720" s="16" t="str">
        <f t="shared" ref="S720:S729" si="82">MID(Q720,9,30)</f>
        <v>Kendall B Smith</v>
      </c>
      <c r="T720" s="31">
        <v>41102</v>
      </c>
    </row>
    <row r="721" spans="1:33">
      <c r="A721" s="16">
        <v>8</v>
      </c>
      <c r="B721" s="16" t="s">
        <v>153</v>
      </c>
      <c r="C721" s="16">
        <v>862</v>
      </c>
      <c r="D721" t="s">
        <v>295</v>
      </c>
      <c r="E721" s="16" t="s">
        <v>296</v>
      </c>
      <c r="F721" s="2">
        <v>33879</v>
      </c>
      <c r="G721" s="2">
        <v>35209</v>
      </c>
      <c r="H721" s="2">
        <v>39513</v>
      </c>
      <c r="I721" s="25">
        <v>41820</v>
      </c>
      <c r="K721" s="2">
        <v>35381</v>
      </c>
      <c r="L721" t="s">
        <v>297</v>
      </c>
      <c r="M721" t="s">
        <v>297</v>
      </c>
      <c r="N721" s="23" t="str">
        <f t="shared" si="81"/>
        <v>Y</v>
      </c>
      <c r="O721" s="16" t="s">
        <v>1506</v>
      </c>
      <c r="P721" s="10" t="s">
        <v>222</v>
      </c>
      <c r="Q721" s="10" t="s">
        <v>226</v>
      </c>
      <c r="S721" s="16" t="str">
        <f t="shared" si="82"/>
        <v>Kendall B Smith</v>
      </c>
      <c r="T721" s="31">
        <v>41478</v>
      </c>
    </row>
    <row r="722" spans="1:33">
      <c r="A722" s="16">
        <v>8</v>
      </c>
      <c r="B722" s="16" t="s">
        <v>153</v>
      </c>
      <c r="C722" s="16">
        <v>931</v>
      </c>
      <c r="D722" s="7" t="s">
        <v>295</v>
      </c>
      <c r="E722" s="16" t="s">
        <v>316</v>
      </c>
      <c r="F722" s="2">
        <v>34347</v>
      </c>
      <c r="G722" s="2">
        <v>34712</v>
      </c>
      <c r="H722" s="2">
        <v>38043</v>
      </c>
      <c r="I722" s="25">
        <v>35642</v>
      </c>
      <c r="K722" s="2">
        <v>35646</v>
      </c>
      <c r="L722" t="s">
        <v>297</v>
      </c>
      <c r="N722" s="23" t="str">
        <f t="shared" si="81"/>
        <v>N</v>
      </c>
      <c r="O722" s="16" t="s">
        <v>843</v>
      </c>
      <c r="P722" s="10" t="s">
        <v>222</v>
      </c>
      <c r="Q722" s="10" t="s">
        <v>226</v>
      </c>
      <c r="S722" s="16" t="str">
        <f t="shared" si="82"/>
        <v>Kendall B Smith</v>
      </c>
    </row>
    <row r="723" spans="1:33">
      <c r="A723" s="16">
        <v>8</v>
      </c>
      <c r="B723" s="16" t="s">
        <v>153</v>
      </c>
      <c r="C723" s="16">
        <v>1097</v>
      </c>
      <c r="D723" s="7" t="s">
        <v>295</v>
      </c>
      <c r="E723" s="16" t="s">
        <v>296</v>
      </c>
      <c r="F723" s="2">
        <v>35130</v>
      </c>
      <c r="G723" s="2">
        <v>35511</v>
      </c>
      <c r="H723" s="2">
        <v>39110</v>
      </c>
      <c r="I723" s="25">
        <v>41820</v>
      </c>
      <c r="J723" s="2">
        <v>38468</v>
      </c>
      <c r="K723" s="2">
        <v>39135</v>
      </c>
      <c r="L723" t="s">
        <v>297</v>
      </c>
      <c r="M723" t="s">
        <v>297</v>
      </c>
      <c r="N723" s="23" t="str">
        <f t="shared" si="81"/>
        <v>Y</v>
      </c>
      <c r="O723" s="16" t="s">
        <v>1631</v>
      </c>
      <c r="P723" s="10" t="s">
        <v>222</v>
      </c>
      <c r="Q723" s="10" t="s">
        <v>226</v>
      </c>
      <c r="S723" s="16" t="str">
        <f t="shared" si="82"/>
        <v>Kendall B Smith</v>
      </c>
      <c r="T723" s="31">
        <v>41432</v>
      </c>
    </row>
    <row r="724" spans="1:33">
      <c r="A724" s="16">
        <v>8</v>
      </c>
      <c r="B724" s="16" t="s">
        <v>153</v>
      </c>
      <c r="C724" s="16">
        <v>1289</v>
      </c>
      <c r="D724" t="s">
        <v>295</v>
      </c>
      <c r="E724" s="16" t="s">
        <v>296</v>
      </c>
      <c r="F724" s="2">
        <v>36224</v>
      </c>
      <c r="G724" s="2">
        <v>36602</v>
      </c>
      <c r="H724" s="2">
        <v>39302</v>
      </c>
      <c r="I724" s="25">
        <v>41820</v>
      </c>
      <c r="L724" t="s">
        <v>297</v>
      </c>
      <c r="M724" t="s">
        <v>297</v>
      </c>
      <c r="N724" s="23" t="str">
        <f t="shared" si="81"/>
        <v>Y</v>
      </c>
      <c r="O724" s="16" t="s">
        <v>1842</v>
      </c>
      <c r="P724" s="10" t="s">
        <v>222</v>
      </c>
      <c r="Q724" s="10" t="s">
        <v>226</v>
      </c>
      <c r="S724" s="16" t="str">
        <f t="shared" si="82"/>
        <v>Kendall B Smith</v>
      </c>
      <c r="T724" s="31">
        <v>41457</v>
      </c>
    </row>
    <row r="725" spans="1:33">
      <c r="A725" s="16">
        <v>8</v>
      </c>
      <c r="B725" s="16" t="s">
        <v>153</v>
      </c>
      <c r="C725" s="16">
        <v>1297</v>
      </c>
      <c r="D725" s="7" t="s">
        <v>295</v>
      </c>
      <c r="E725" s="16" t="s">
        <v>296</v>
      </c>
      <c r="F725" s="2">
        <v>36291</v>
      </c>
      <c r="G725" s="2">
        <v>37036</v>
      </c>
      <c r="H725" s="2">
        <v>38839</v>
      </c>
      <c r="I725" s="25">
        <v>41820</v>
      </c>
      <c r="J725" s="2">
        <v>38307</v>
      </c>
      <c r="K725" s="2">
        <v>38954</v>
      </c>
      <c r="L725" t="s">
        <v>297</v>
      </c>
      <c r="M725" t="s">
        <v>297</v>
      </c>
      <c r="N725" s="23" t="str">
        <f t="shared" si="81"/>
        <v>Y</v>
      </c>
      <c r="O725" s="16" t="s">
        <v>1405</v>
      </c>
      <c r="P725" s="10" t="s">
        <v>222</v>
      </c>
      <c r="Q725" s="10" t="s">
        <v>226</v>
      </c>
      <c r="S725" s="16" t="str">
        <f t="shared" si="82"/>
        <v>Kendall B Smith</v>
      </c>
      <c r="T725" s="31">
        <v>41409</v>
      </c>
    </row>
    <row r="726" spans="1:33">
      <c r="A726" s="16">
        <v>8</v>
      </c>
      <c r="B726" s="16" t="s">
        <v>153</v>
      </c>
      <c r="C726" s="16">
        <v>1356</v>
      </c>
      <c r="D726" s="7" t="s">
        <v>295</v>
      </c>
      <c r="E726" s="30" t="s">
        <v>296</v>
      </c>
      <c r="F726" s="2">
        <v>36746</v>
      </c>
      <c r="H726" s="2">
        <v>38383</v>
      </c>
      <c r="I726" s="25">
        <v>41455</v>
      </c>
      <c r="J726" s="2">
        <v>37931</v>
      </c>
      <c r="L726" t="s">
        <v>297</v>
      </c>
      <c r="M726" t="s">
        <v>297</v>
      </c>
      <c r="N726" s="23" t="str">
        <f t="shared" si="81"/>
        <v>N</v>
      </c>
      <c r="O726" s="16" t="s">
        <v>847</v>
      </c>
      <c r="P726" s="10" t="s">
        <v>222</v>
      </c>
      <c r="Q726" s="10" t="s">
        <v>226</v>
      </c>
      <c r="S726" s="16" t="str">
        <f t="shared" si="82"/>
        <v>Kendall B Smith</v>
      </c>
      <c r="T726" s="31">
        <v>41109</v>
      </c>
    </row>
    <row r="727" spans="1:33">
      <c r="A727" s="16">
        <v>8</v>
      </c>
      <c r="B727" s="16" t="s">
        <v>317</v>
      </c>
      <c r="C727" s="16">
        <v>74</v>
      </c>
      <c r="D727" s="7" t="s">
        <v>295</v>
      </c>
      <c r="E727" s="16" t="s">
        <v>296</v>
      </c>
      <c r="F727" s="2">
        <v>27591</v>
      </c>
      <c r="G727" s="2">
        <v>28991</v>
      </c>
      <c r="H727" s="2">
        <v>39348</v>
      </c>
      <c r="I727" s="25">
        <v>41820</v>
      </c>
      <c r="J727" s="2">
        <v>37868</v>
      </c>
      <c r="K727" s="2">
        <v>37680</v>
      </c>
      <c r="L727" t="s">
        <v>297</v>
      </c>
      <c r="M727" t="s">
        <v>297</v>
      </c>
      <c r="N727" s="23" t="str">
        <f t="shared" si="81"/>
        <v>Y</v>
      </c>
      <c r="O727" s="16" t="s">
        <v>848</v>
      </c>
      <c r="P727" s="10" t="s">
        <v>222</v>
      </c>
      <c r="Q727" s="10" t="s">
        <v>227</v>
      </c>
      <c r="S727" s="16" t="str">
        <f t="shared" si="82"/>
        <v>Elizabeth A Baker</v>
      </c>
      <c r="T727" s="31">
        <v>41443</v>
      </c>
    </row>
    <row r="728" spans="1:33">
      <c r="A728" s="16">
        <v>8</v>
      </c>
      <c r="B728" s="16" t="s">
        <v>317</v>
      </c>
      <c r="C728" s="16">
        <v>250</v>
      </c>
      <c r="D728" s="7" t="s">
        <v>295</v>
      </c>
      <c r="E728" s="16" t="s">
        <v>296</v>
      </c>
      <c r="F728" s="2">
        <v>29248</v>
      </c>
      <c r="G728" s="2">
        <v>30195</v>
      </c>
      <c r="H728" s="2">
        <v>39413</v>
      </c>
      <c r="I728" s="25">
        <v>41820</v>
      </c>
      <c r="J728" s="2">
        <v>38029</v>
      </c>
      <c r="K728" s="2">
        <v>36382</v>
      </c>
      <c r="L728" t="s">
        <v>297</v>
      </c>
      <c r="M728" t="s">
        <v>297</v>
      </c>
      <c r="N728" s="23" t="str">
        <f t="shared" si="81"/>
        <v>Y</v>
      </c>
      <c r="O728" s="16" t="s">
        <v>1632</v>
      </c>
      <c r="P728" s="10" t="s">
        <v>222</v>
      </c>
      <c r="Q728" s="10" t="s">
        <v>227</v>
      </c>
      <c r="S728" s="16" t="str">
        <f t="shared" si="82"/>
        <v>Elizabeth A Baker</v>
      </c>
      <c r="T728" s="31">
        <v>41442</v>
      </c>
    </row>
    <row r="729" spans="1:33">
      <c r="A729" s="16">
        <v>8</v>
      </c>
      <c r="B729" s="16" t="s">
        <v>317</v>
      </c>
      <c r="C729" s="16">
        <v>298</v>
      </c>
      <c r="D729" t="s">
        <v>295</v>
      </c>
      <c r="E729" s="16" t="s">
        <v>296</v>
      </c>
      <c r="F729" s="2">
        <v>29637</v>
      </c>
      <c r="G729" s="2">
        <v>30506</v>
      </c>
      <c r="H729" s="2">
        <v>39201</v>
      </c>
      <c r="I729" s="25">
        <v>41820</v>
      </c>
      <c r="J729" s="2">
        <v>37425</v>
      </c>
      <c r="K729" s="2">
        <v>36371</v>
      </c>
      <c r="L729" t="s">
        <v>297</v>
      </c>
      <c r="M729" t="s">
        <v>297</v>
      </c>
      <c r="N729" s="23" t="str">
        <f t="shared" si="81"/>
        <v>Y</v>
      </c>
      <c r="O729" s="16" t="s">
        <v>1843</v>
      </c>
      <c r="P729" s="10" t="s">
        <v>222</v>
      </c>
      <c r="Q729" s="10" t="s">
        <v>227</v>
      </c>
      <c r="S729" s="16" t="str">
        <f t="shared" si="82"/>
        <v>Elizabeth A Baker</v>
      </c>
      <c r="T729" s="31">
        <v>41409</v>
      </c>
      <c r="U729" s="10" t="s">
        <v>1143</v>
      </c>
    </row>
    <row r="730" spans="1:33" customFormat="1" hidden="1">
      <c r="A730" t="s">
        <v>222</v>
      </c>
      <c r="B730" t="s">
        <v>229</v>
      </c>
      <c r="I730" s="6"/>
    </row>
    <row r="731" spans="1:33">
      <c r="A731" s="16">
        <v>8</v>
      </c>
      <c r="B731" s="16" t="s">
        <v>317</v>
      </c>
      <c r="C731" s="16">
        <v>574</v>
      </c>
      <c r="D731" s="7" t="s">
        <v>295</v>
      </c>
      <c r="E731" s="16" t="s">
        <v>296</v>
      </c>
      <c r="F731" s="2">
        <v>31838</v>
      </c>
      <c r="G731" s="2">
        <v>34181</v>
      </c>
      <c r="H731" s="2">
        <v>39294</v>
      </c>
      <c r="I731" s="25">
        <v>41820</v>
      </c>
      <c r="J731" s="2">
        <v>38217</v>
      </c>
      <c r="K731" s="2">
        <v>35150</v>
      </c>
      <c r="L731" t="s">
        <v>297</v>
      </c>
      <c r="M731" t="s">
        <v>297</v>
      </c>
      <c r="N731" s="23" t="str">
        <f>IF((I731&gt;$W$2),"Y","N")</f>
        <v>Y</v>
      </c>
      <c r="O731" s="16" t="s">
        <v>1844</v>
      </c>
      <c r="P731" s="10" t="s">
        <v>222</v>
      </c>
      <c r="Q731" s="10" t="s">
        <v>227</v>
      </c>
      <c r="S731" s="16" t="str">
        <f>MID(Q731,9,30)</f>
        <v>Elizabeth A Baker</v>
      </c>
      <c r="T731" s="31">
        <v>41432</v>
      </c>
    </row>
    <row r="732" spans="1:33" s="7" customFormat="1" hidden="1">
      <c r="A732" s="7">
        <v>8</v>
      </c>
      <c r="B732" s="7" t="s">
        <v>159</v>
      </c>
      <c r="C732" s="7">
        <v>589</v>
      </c>
      <c r="D732" s="7" t="s">
        <v>408</v>
      </c>
      <c r="E732" s="7" t="s">
        <v>316</v>
      </c>
      <c r="F732" s="2">
        <v>31857</v>
      </c>
      <c r="G732" s="2">
        <v>35636</v>
      </c>
      <c r="H732" s="2">
        <v>38133</v>
      </c>
      <c r="I732" s="8">
        <v>37802</v>
      </c>
      <c r="J732"/>
      <c r="K732" s="2">
        <v>36354</v>
      </c>
      <c r="L732" t="s">
        <v>297</v>
      </c>
      <c r="M732" t="s">
        <v>297</v>
      </c>
      <c r="N732"/>
      <c r="P732" s="7" t="s">
        <v>222</v>
      </c>
      <c r="Q732" s="7" t="s">
        <v>230</v>
      </c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</row>
    <row r="733" spans="1:33">
      <c r="A733" s="16">
        <v>8</v>
      </c>
      <c r="B733" s="16" t="s">
        <v>317</v>
      </c>
      <c r="C733" s="16">
        <v>613</v>
      </c>
      <c r="D733" s="7" t="s">
        <v>295</v>
      </c>
      <c r="E733" s="16" t="s">
        <v>296</v>
      </c>
      <c r="F733" s="2">
        <v>32039</v>
      </c>
      <c r="G733" s="2">
        <v>32395</v>
      </c>
      <c r="H733" s="2">
        <v>39380</v>
      </c>
      <c r="I733" s="25">
        <v>41820</v>
      </c>
      <c r="K733" s="2">
        <v>35419</v>
      </c>
      <c r="L733" t="s">
        <v>297</v>
      </c>
      <c r="M733" t="s">
        <v>297</v>
      </c>
      <c r="N733" s="23" t="str">
        <f>IF((I733&gt;$W$2),"Y","N")</f>
        <v>Y</v>
      </c>
      <c r="O733" s="16" t="s">
        <v>1406</v>
      </c>
      <c r="P733" s="10" t="s">
        <v>222</v>
      </c>
      <c r="Q733" s="10" t="s">
        <v>227</v>
      </c>
      <c r="S733" s="16" t="str">
        <f>MID(Q733,9,30)</f>
        <v>Elizabeth A Baker</v>
      </c>
      <c r="T733" s="31">
        <v>41453</v>
      </c>
    </row>
    <row r="734" spans="1:33">
      <c r="A734" s="16">
        <v>8</v>
      </c>
      <c r="B734" s="16" t="s">
        <v>317</v>
      </c>
      <c r="C734" s="16">
        <v>933</v>
      </c>
      <c r="D734" s="7" t="s">
        <v>295</v>
      </c>
      <c r="E734" s="16" t="s">
        <v>296</v>
      </c>
      <c r="F734" s="2">
        <v>34347</v>
      </c>
      <c r="G734" s="2">
        <v>34484</v>
      </c>
      <c r="H734" s="2">
        <v>39364</v>
      </c>
      <c r="I734" s="25">
        <v>41820</v>
      </c>
      <c r="J734" s="2">
        <v>38029</v>
      </c>
      <c r="K734" s="2">
        <v>36222</v>
      </c>
      <c r="L734" t="s">
        <v>297</v>
      </c>
      <c r="M734" t="s">
        <v>297</v>
      </c>
      <c r="N734" s="23" t="str">
        <f>IF((I734&gt;$W$2),"Y","N")</f>
        <v>Y</v>
      </c>
      <c r="O734" s="16" t="s">
        <v>1243</v>
      </c>
      <c r="P734" s="10" t="s">
        <v>222</v>
      </c>
      <c r="Q734" s="10" t="s">
        <v>227</v>
      </c>
      <c r="S734" s="16" t="str">
        <f>MID(Q734,9,30)</f>
        <v>Elizabeth A Baker</v>
      </c>
      <c r="T734" s="31">
        <v>41456</v>
      </c>
    </row>
    <row r="735" spans="1:33">
      <c r="A735" s="16">
        <v>8</v>
      </c>
      <c r="B735" s="16" t="s">
        <v>317</v>
      </c>
      <c r="C735" s="16">
        <v>1197</v>
      </c>
      <c r="D735" s="7" t="s">
        <v>295</v>
      </c>
      <c r="E735" s="16" t="s">
        <v>296</v>
      </c>
      <c r="F735" s="2">
        <v>35587</v>
      </c>
      <c r="G735" s="2">
        <v>36238</v>
      </c>
      <c r="H735" s="2">
        <v>39520</v>
      </c>
      <c r="I735" s="25">
        <v>41820</v>
      </c>
      <c r="J735" s="2">
        <v>38029</v>
      </c>
      <c r="K735" s="2">
        <v>37872</v>
      </c>
      <c r="L735" t="s">
        <v>297</v>
      </c>
      <c r="M735" t="s">
        <v>297</v>
      </c>
      <c r="N735" s="23" t="str">
        <f>IF((I735&gt;$W$2),"Y","N")</f>
        <v>Y</v>
      </c>
      <c r="O735" s="16" t="s">
        <v>1845</v>
      </c>
      <c r="P735" s="10" t="s">
        <v>222</v>
      </c>
      <c r="Q735" s="10" t="s">
        <v>227</v>
      </c>
      <c r="S735" s="16" t="str">
        <f>MID(Q735,9,30)</f>
        <v>Elizabeth A Baker</v>
      </c>
      <c r="T735" s="31">
        <v>41428</v>
      </c>
    </row>
    <row r="736" spans="1:33">
      <c r="A736" s="16">
        <v>8</v>
      </c>
      <c r="B736" s="16" t="s">
        <v>317</v>
      </c>
      <c r="C736" s="16">
        <v>1294</v>
      </c>
      <c r="D736" s="7" t="s">
        <v>295</v>
      </c>
      <c r="E736" s="16" t="s">
        <v>296</v>
      </c>
      <c r="F736" s="2">
        <v>36265</v>
      </c>
      <c r="G736" s="2">
        <v>37036</v>
      </c>
      <c r="H736" s="2">
        <v>39343</v>
      </c>
      <c r="I736" s="25">
        <v>41820</v>
      </c>
      <c r="J736" s="2">
        <v>38029</v>
      </c>
      <c r="K736" s="2">
        <v>38111</v>
      </c>
      <c r="L736" t="s">
        <v>297</v>
      </c>
      <c r="M736" t="s">
        <v>297</v>
      </c>
      <c r="N736" s="23" t="str">
        <f>IF((I736&gt;$W$2),"Y","N")</f>
        <v>Y</v>
      </c>
      <c r="O736" s="16" t="s">
        <v>1244</v>
      </c>
      <c r="P736" s="10" t="s">
        <v>222</v>
      </c>
      <c r="Q736" s="10" t="s">
        <v>227</v>
      </c>
      <c r="S736" s="16" t="str">
        <f>MID(Q736,9,30)</f>
        <v>Elizabeth A Baker</v>
      </c>
      <c r="T736" s="31">
        <v>41452</v>
      </c>
    </row>
    <row r="737" spans="1:33" s="7" customFormat="1" hidden="1">
      <c r="A737" s="7">
        <v>8</v>
      </c>
      <c r="B737" s="7" t="s">
        <v>159</v>
      </c>
      <c r="C737" s="7">
        <v>868</v>
      </c>
      <c r="D737" s="7" t="s">
        <v>315</v>
      </c>
      <c r="E737" s="7" t="s">
        <v>316</v>
      </c>
      <c r="F737" s="2">
        <v>33941</v>
      </c>
      <c r="G737" s="2">
        <v>34985</v>
      </c>
      <c r="H737" s="2">
        <v>36921</v>
      </c>
      <c r="I737" s="8">
        <v>37468</v>
      </c>
      <c r="J737"/>
      <c r="K737" s="2">
        <v>35471</v>
      </c>
      <c r="L737" t="s">
        <v>297</v>
      </c>
      <c r="M737" t="s">
        <v>297</v>
      </c>
      <c r="N737"/>
      <c r="P737" s="7" t="s">
        <v>222</v>
      </c>
      <c r="Q737" s="7" t="s">
        <v>230</v>
      </c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</row>
    <row r="738" spans="1:33">
      <c r="A738" s="16">
        <v>8</v>
      </c>
      <c r="B738" s="16" t="s">
        <v>317</v>
      </c>
      <c r="C738" s="16">
        <v>1436</v>
      </c>
      <c r="D738" t="s">
        <v>295</v>
      </c>
      <c r="E738" s="16" t="s">
        <v>316</v>
      </c>
      <c r="F738" s="2">
        <v>37670</v>
      </c>
      <c r="G738" s="2">
        <v>39137</v>
      </c>
      <c r="H738" s="2">
        <v>39469</v>
      </c>
      <c r="I738" s="25">
        <v>40359</v>
      </c>
      <c r="J738" s="2">
        <v>39142</v>
      </c>
      <c r="K738" s="2">
        <v>39469</v>
      </c>
      <c r="L738" t="s">
        <v>297</v>
      </c>
      <c r="M738" t="s">
        <v>297</v>
      </c>
      <c r="N738" s="23" t="str">
        <f>IF((I738&gt;$W$2),"Y","N")</f>
        <v>N</v>
      </c>
      <c r="O738" s="16" t="s">
        <v>856</v>
      </c>
      <c r="P738" s="10" t="s">
        <v>222</v>
      </c>
      <c r="Q738" s="10" t="s">
        <v>227</v>
      </c>
      <c r="S738" s="16" t="str">
        <f>MID(Q738,9,30)</f>
        <v>Elizabeth A Baker</v>
      </c>
      <c r="T738" s="31">
        <v>39993</v>
      </c>
    </row>
    <row r="739" spans="1:33" s="7" customFormat="1" hidden="1">
      <c r="A739" s="7">
        <v>8</v>
      </c>
      <c r="B739" s="7" t="s">
        <v>159</v>
      </c>
      <c r="C739" s="7">
        <v>924</v>
      </c>
      <c r="D739" s="7" t="s">
        <v>393</v>
      </c>
      <c r="E739" s="7" t="s">
        <v>316</v>
      </c>
      <c r="F739" s="2">
        <v>34633</v>
      </c>
      <c r="G739"/>
      <c r="H739" s="2">
        <v>38833</v>
      </c>
      <c r="I739" s="8">
        <v>38929</v>
      </c>
      <c r="J739"/>
      <c r="K739" s="2">
        <v>38658</v>
      </c>
      <c r="L739" t="s">
        <v>297</v>
      </c>
      <c r="M739" t="s">
        <v>297</v>
      </c>
      <c r="N739"/>
      <c r="P739" s="7" t="s">
        <v>222</v>
      </c>
      <c r="Q739" s="7" t="s">
        <v>230</v>
      </c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</row>
    <row r="740" spans="1:33">
      <c r="A740" s="16">
        <v>8</v>
      </c>
      <c r="B740" s="16" t="s">
        <v>155</v>
      </c>
      <c r="C740" s="16">
        <v>476</v>
      </c>
      <c r="D740" t="s">
        <v>295</v>
      </c>
      <c r="E740" s="16" t="s">
        <v>296</v>
      </c>
      <c r="F740" s="2">
        <v>31241</v>
      </c>
      <c r="G740" s="2">
        <v>31979</v>
      </c>
      <c r="H740" s="2">
        <v>39371</v>
      </c>
      <c r="I740" s="25">
        <v>41820</v>
      </c>
      <c r="J740" s="2">
        <v>39386</v>
      </c>
      <c r="K740" s="2">
        <v>36265</v>
      </c>
      <c r="L740" t="s">
        <v>297</v>
      </c>
      <c r="M740" t="s">
        <v>297</v>
      </c>
      <c r="N740" s="23" t="str">
        <f>IF((I740&gt;$W$2),"Y","N")</f>
        <v>Y</v>
      </c>
      <c r="O740" s="16" t="s">
        <v>1599</v>
      </c>
      <c r="P740" s="10" t="s">
        <v>222</v>
      </c>
      <c r="Q740" s="10" t="s">
        <v>228</v>
      </c>
      <c r="S740" s="16" t="str">
        <f>MID(Q740,9,30)</f>
        <v>Carolyn M Taylor</v>
      </c>
      <c r="T740" s="31">
        <v>41425</v>
      </c>
    </row>
    <row r="741" spans="1:33">
      <c r="A741" s="16">
        <v>8</v>
      </c>
      <c r="B741" s="16" t="s">
        <v>155</v>
      </c>
      <c r="C741" s="16">
        <v>721</v>
      </c>
      <c r="D741" t="s">
        <v>295</v>
      </c>
      <c r="E741" s="16" t="s">
        <v>296</v>
      </c>
      <c r="F741" s="2">
        <v>32892</v>
      </c>
      <c r="G741" s="2">
        <v>33258</v>
      </c>
      <c r="H741" s="2">
        <v>39479</v>
      </c>
      <c r="I741" s="25">
        <v>41455</v>
      </c>
      <c r="J741" s="2">
        <v>37783</v>
      </c>
      <c r="K741" s="2">
        <v>39471</v>
      </c>
      <c r="L741" t="s">
        <v>297</v>
      </c>
      <c r="M741" t="s">
        <v>297</v>
      </c>
      <c r="N741" s="23" t="str">
        <f>IF((I741&gt;$W$2),"Y","N")</f>
        <v>N</v>
      </c>
      <c r="O741" s="16" t="s">
        <v>1846</v>
      </c>
      <c r="P741" s="10" t="s">
        <v>222</v>
      </c>
      <c r="Q741" s="10" t="s">
        <v>228</v>
      </c>
      <c r="S741" s="16" t="str">
        <f>MID(Q741,9,30)</f>
        <v>Carolyn M Taylor</v>
      </c>
      <c r="T741" s="31">
        <v>41064</v>
      </c>
    </row>
    <row r="742" spans="1:33" s="7" customFormat="1" hidden="1">
      <c r="A742" s="7">
        <v>8</v>
      </c>
      <c r="B742" s="7" t="s">
        <v>159</v>
      </c>
      <c r="C742" s="7">
        <v>1027</v>
      </c>
      <c r="D742" s="7" t="s">
        <v>618</v>
      </c>
      <c r="E742" s="7" t="s">
        <v>316</v>
      </c>
      <c r="F742" s="2">
        <v>34729</v>
      </c>
      <c r="G742" s="2">
        <v>37764</v>
      </c>
      <c r="H742" s="2">
        <v>37524</v>
      </c>
      <c r="I742" s="8">
        <v>37834</v>
      </c>
      <c r="J742"/>
      <c r="K742" s="2">
        <v>37524</v>
      </c>
      <c r="L742" t="s">
        <v>297</v>
      </c>
      <c r="M742" t="s">
        <v>322</v>
      </c>
      <c r="N742"/>
      <c r="P742" s="7" t="s">
        <v>222</v>
      </c>
      <c r="Q742" s="7" t="s">
        <v>230</v>
      </c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</row>
    <row r="743" spans="1:33">
      <c r="A743" s="16">
        <v>8</v>
      </c>
      <c r="B743" s="16" t="s">
        <v>155</v>
      </c>
      <c r="C743" s="16">
        <v>753</v>
      </c>
      <c r="D743" s="7" t="s">
        <v>295</v>
      </c>
      <c r="E743" s="16" t="s">
        <v>296</v>
      </c>
      <c r="F743" s="2">
        <v>33124</v>
      </c>
      <c r="G743" s="2">
        <v>34120</v>
      </c>
      <c r="H743" s="2">
        <v>36566</v>
      </c>
      <c r="I743" s="25">
        <v>41455</v>
      </c>
      <c r="K743" s="2">
        <v>36285</v>
      </c>
      <c r="L743" t="s">
        <v>297</v>
      </c>
      <c r="M743" t="s">
        <v>297</v>
      </c>
      <c r="N743" s="23" t="str">
        <f>IF((I743&gt;$W$2),"Y","N")</f>
        <v>N</v>
      </c>
      <c r="O743" s="16" t="s">
        <v>1218</v>
      </c>
      <c r="P743" s="10" t="s">
        <v>222</v>
      </c>
      <c r="Q743" s="10" t="s">
        <v>228</v>
      </c>
      <c r="S743" s="16" t="str">
        <f>MID(Q743,9,30)</f>
        <v>Carolyn M Taylor</v>
      </c>
      <c r="T743" s="31">
        <v>41215</v>
      </c>
    </row>
    <row r="744" spans="1:33">
      <c r="A744" s="16">
        <v>8</v>
      </c>
      <c r="B744" s="16" t="s">
        <v>155</v>
      </c>
      <c r="C744" s="16">
        <v>771</v>
      </c>
      <c r="D744" t="s">
        <v>295</v>
      </c>
      <c r="E744" s="16" t="s">
        <v>296</v>
      </c>
      <c r="F744" s="2">
        <v>33264</v>
      </c>
      <c r="G744" s="2">
        <v>33264</v>
      </c>
      <c r="H744" s="2">
        <v>39413</v>
      </c>
      <c r="I744" s="25">
        <v>41820</v>
      </c>
      <c r="J744" s="2">
        <v>34681</v>
      </c>
      <c r="K744" s="2">
        <v>38861</v>
      </c>
      <c r="L744" t="s">
        <v>297</v>
      </c>
      <c r="M744" t="s">
        <v>297</v>
      </c>
      <c r="N744" s="23" t="str">
        <f>IF((I744&gt;$W$2),"Y","N")</f>
        <v>Y</v>
      </c>
      <c r="O744" s="16" t="s">
        <v>1507</v>
      </c>
      <c r="P744" s="10" t="s">
        <v>222</v>
      </c>
      <c r="Q744" s="10" t="s">
        <v>228</v>
      </c>
      <c r="S744" s="16" t="str">
        <f>MID(Q744,9,30)</f>
        <v>Carolyn M Taylor</v>
      </c>
      <c r="T744" s="31">
        <v>41477</v>
      </c>
    </row>
    <row r="745" spans="1:33" s="7" customFormat="1" hidden="1">
      <c r="A745" s="7">
        <v>8</v>
      </c>
      <c r="B745" s="7" t="s">
        <v>159</v>
      </c>
      <c r="C745" s="7">
        <v>1221</v>
      </c>
      <c r="D745" s="7" t="s">
        <v>618</v>
      </c>
      <c r="E745" s="7" t="s">
        <v>316</v>
      </c>
      <c r="F745" s="2">
        <v>35734</v>
      </c>
      <c r="G745" s="2">
        <v>36483</v>
      </c>
      <c r="H745" s="2">
        <v>38744</v>
      </c>
      <c r="I745" s="8">
        <v>38898</v>
      </c>
      <c r="J745"/>
      <c r="K745" s="2">
        <v>38580</v>
      </c>
      <c r="L745" t="s">
        <v>297</v>
      </c>
      <c r="M745" t="s">
        <v>297</v>
      </c>
      <c r="N745"/>
      <c r="O745" s="7" t="s">
        <v>318</v>
      </c>
      <c r="P745" s="7" t="s">
        <v>222</v>
      </c>
      <c r="Q745" s="7" t="s">
        <v>230</v>
      </c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</row>
    <row r="746" spans="1:33" s="7" customFormat="1" hidden="1">
      <c r="A746" s="7">
        <v>8</v>
      </c>
      <c r="B746" s="7" t="s">
        <v>159</v>
      </c>
      <c r="C746" s="7">
        <v>1407</v>
      </c>
      <c r="D746" s="7" t="s">
        <v>408</v>
      </c>
      <c r="E746" s="7" t="s">
        <v>316</v>
      </c>
      <c r="F746" s="2">
        <v>37347</v>
      </c>
      <c r="G746"/>
      <c r="H746" s="2">
        <v>38121</v>
      </c>
      <c r="I746" s="8">
        <v>38412</v>
      </c>
      <c r="J746"/>
      <c r="K746" s="2">
        <v>38121</v>
      </c>
      <c r="L746" t="s">
        <v>297</v>
      </c>
      <c r="M746" t="s">
        <v>297</v>
      </c>
      <c r="N746"/>
      <c r="P746" s="7" t="s">
        <v>222</v>
      </c>
      <c r="Q746" s="7" t="s">
        <v>230</v>
      </c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</row>
    <row r="747" spans="1:33">
      <c r="A747" s="16">
        <v>8</v>
      </c>
      <c r="B747" s="16" t="s">
        <v>155</v>
      </c>
      <c r="C747" s="16">
        <v>812</v>
      </c>
      <c r="D747" s="7" t="s">
        <v>295</v>
      </c>
      <c r="E747" s="16" t="s">
        <v>316</v>
      </c>
      <c r="F747" s="2">
        <v>33544</v>
      </c>
      <c r="G747" s="2">
        <v>35743</v>
      </c>
      <c r="H747" s="2">
        <v>39024</v>
      </c>
      <c r="I747" s="25">
        <v>39994</v>
      </c>
      <c r="J747" s="2">
        <v>39154</v>
      </c>
      <c r="K747" s="2">
        <v>38595</v>
      </c>
      <c r="L747" t="s">
        <v>297</v>
      </c>
      <c r="M747" t="s">
        <v>297</v>
      </c>
      <c r="N747" s="23" t="str">
        <f>IF((I747&gt;$W$2),"Y","N")</f>
        <v>N</v>
      </c>
      <c r="O747" s="16" t="s">
        <v>860</v>
      </c>
      <c r="P747" s="10" t="s">
        <v>222</v>
      </c>
      <c r="Q747" s="10" t="s">
        <v>228</v>
      </c>
      <c r="S747" s="16" t="str">
        <f>MID(Q747,9,30)</f>
        <v>Carolyn M Taylor</v>
      </c>
      <c r="T747" s="31">
        <v>39708</v>
      </c>
    </row>
    <row r="748" spans="1:33" customFormat="1" hidden="1">
      <c r="A748" t="s">
        <v>222</v>
      </c>
      <c r="B748" t="s">
        <v>230</v>
      </c>
      <c r="I748" s="6"/>
    </row>
    <row r="749" spans="1:33" s="7" customFormat="1" hidden="1">
      <c r="A749" s="7">
        <v>8</v>
      </c>
      <c r="B749" s="7" t="s">
        <v>176</v>
      </c>
      <c r="C749" s="7">
        <v>542</v>
      </c>
      <c r="D749" s="7" t="s">
        <v>380</v>
      </c>
      <c r="E749" s="7" t="s">
        <v>316</v>
      </c>
      <c r="F749" s="2">
        <v>31612</v>
      </c>
      <c r="G749" s="2">
        <v>32086</v>
      </c>
      <c r="H749" s="2">
        <v>38160</v>
      </c>
      <c r="I749" s="8">
        <v>35247</v>
      </c>
      <c r="J749"/>
      <c r="K749" s="2">
        <v>34983</v>
      </c>
      <c r="L749" t="s">
        <v>297</v>
      </c>
      <c r="M749" t="s">
        <v>297</v>
      </c>
      <c r="N749"/>
      <c r="P749" s="7" t="s">
        <v>222</v>
      </c>
      <c r="Q749" s="7" t="s">
        <v>231</v>
      </c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</row>
    <row r="750" spans="1:33">
      <c r="A750" s="16">
        <v>8</v>
      </c>
      <c r="B750" s="16" t="s">
        <v>155</v>
      </c>
      <c r="C750" s="16">
        <v>817</v>
      </c>
      <c r="D750" s="7" t="s">
        <v>295</v>
      </c>
      <c r="E750" s="16" t="s">
        <v>296</v>
      </c>
      <c r="F750" s="2">
        <v>33621</v>
      </c>
      <c r="G750" s="2">
        <v>34712</v>
      </c>
      <c r="H750" s="2">
        <v>39280</v>
      </c>
      <c r="I750" s="25">
        <v>41455</v>
      </c>
      <c r="J750" s="2">
        <v>34702</v>
      </c>
      <c r="K750" s="2">
        <v>39065</v>
      </c>
      <c r="L750" t="s">
        <v>297</v>
      </c>
      <c r="M750" t="s">
        <v>297</v>
      </c>
      <c r="N750" s="23" t="str">
        <f t="shared" ref="N750:N756" si="83">IF((I750&gt;$W$2),"Y","N")</f>
        <v>N</v>
      </c>
      <c r="O750" s="16" t="s">
        <v>1407</v>
      </c>
      <c r="P750" s="10" t="s">
        <v>222</v>
      </c>
      <c r="Q750" s="10" t="s">
        <v>228</v>
      </c>
      <c r="S750" s="16" t="str">
        <f t="shared" ref="S750:S756" si="84">MID(Q750,9,30)</f>
        <v>Carolyn M Taylor</v>
      </c>
      <c r="T750" s="31">
        <v>41061</v>
      </c>
    </row>
    <row r="751" spans="1:33">
      <c r="A751" s="16">
        <v>8</v>
      </c>
      <c r="B751" s="16" t="s">
        <v>155</v>
      </c>
      <c r="C751" s="16">
        <v>851</v>
      </c>
      <c r="D751" s="7" t="s">
        <v>295</v>
      </c>
      <c r="E751" s="16" t="s">
        <v>296</v>
      </c>
      <c r="F751" s="2">
        <v>33822</v>
      </c>
      <c r="G751" s="2">
        <v>35084</v>
      </c>
      <c r="H751" s="2">
        <v>39315</v>
      </c>
      <c r="I751" s="25">
        <v>41820</v>
      </c>
      <c r="J751" s="2">
        <v>39288</v>
      </c>
      <c r="K751" s="2">
        <v>39371</v>
      </c>
      <c r="L751" t="s">
        <v>297</v>
      </c>
      <c r="M751" t="s">
        <v>297</v>
      </c>
      <c r="N751" s="23" t="str">
        <f t="shared" si="83"/>
        <v>Y</v>
      </c>
      <c r="O751" s="16" t="s">
        <v>1847</v>
      </c>
      <c r="P751" s="10" t="s">
        <v>222</v>
      </c>
      <c r="Q751" s="10" t="s">
        <v>228</v>
      </c>
      <c r="S751" s="16" t="str">
        <f t="shared" si="84"/>
        <v>Carolyn M Taylor</v>
      </c>
      <c r="T751" s="31">
        <v>41428</v>
      </c>
      <c r="U751" s="10" t="s">
        <v>1155</v>
      </c>
    </row>
    <row r="752" spans="1:33">
      <c r="A752" s="16">
        <v>8</v>
      </c>
      <c r="B752" s="16" t="s">
        <v>155</v>
      </c>
      <c r="C752" s="16">
        <v>1106</v>
      </c>
      <c r="D752" t="s">
        <v>295</v>
      </c>
      <c r="E752" s="16" t="s">
        <v>296</v>
      </c>
      <c r="F752" s="2">
        <v>35185</v>
      </c>
      <c r="G752" s="2">
        <v>37176</v>
      </c>
      <c r="H752" s="2">
        <v>39412</v>
      </c>
      <c r="I752" s="25">
        <v>41455</v>
      </c>
      <c r="J752" s="2">
        <v>39412</v>
      </c>
      <c r="K752" s="2">
        <v>39412</v>
      </c>
      <c r="L752" t="s">
        <v>297</v>
      </c>
      <c r="M752" t="s">
        <v>297</v>
      </c>
      <c r="N752" s="23" t="str">
        <f t="shared" si="83"/>
        <v>N</v>
      </c>
      <c r="O752" s="16" t="s">
        <v>864</v>
      </c>
      <c r="P752" s="10" t="s">
        <v>222</v>
      </c>
      <c r="Q752" s="10" t="s">
        <v>228</v>
      </c>
      <c r="S752" s="16" t="str">
        <f t="shared" si="84"/>
        <v>Carolyn M Taylor</v>
      </c>
      <c r="T752" s="31">
        <v>41163</v>
      </c>
      <c r="U752" s="10" t="s">
        <v>1154</v>
      </c>
    </row>
    <row r="753" spans="1:33">
      <c r="A753" s="16">
        <v>8</v>
      </c>
      <c r="B753" s="16" t="s">
        <v>155</v>
      </c>
      <c r="C753" s="16">
        <v>1162</v>
      </c>
      <c r="D753" s="7" t="s">
        <v>295</v>
      </c>
      <c r="E753" s="16" t="s">
        <v>296</v>
      </c>
      <c r="F753" s="2">
        <v>35446</v>
      </c>
      <c r="G753" s="2">
        <v>36483</v>
      </c>
      <c r="H753" s="2">
        <v>38808</v>
      </c>
      <c r="I753" s="25">
        <v>41820</v>
      </c>
      <c r="J753" s="2">
        <v>38797</v>
      </c>
      <c r="K753" s="2">
        <v>37545</v>
      </c>
      <c r="L753" t="s">
        <v>297</v>
      </c>
      <c r="M753" t="s">
        <v>297</v>
      </c>
      <c r="N753" s="23" t="str">
        <f t="shared" si="83"/>
        <v>Y</v>
      </c>
      <c r="O753" s="16" t="s">
        <v>1848</v>
      </c>
      <c r="P753" s="10" t="s">
        <v>222</v>
      </c>
      <c r="Q753" s="10" t="s">
        <v>228</v>
      </c>
      <c r="S753" s="16" t="str">
        <f t="shared" si="84"/>
        <v>Carolyn M Taylor</v>
      </c>
      <c r="T753" s="31">
        <v>41465</v>
      </c>
    </row>
    <row r="754" spans="1:33">
      <c r="A754" s="16">
        <v>8</v>
      </c>
      <c r="B754" s="16" t="s">
        <v>155</v>
      </c>
      <c r="C754" s="16">
        <v>1215</v>
      </c>
      <c r="D754" t="s">
        <v>295</v>
      </c>
      <c r="E754" s="16" t="s">
        <v>296</v>
      </c>
      <c r="F754" s="2">
        <v>35691</v>
      </c>
      <c r="G754" s="2">
        <v>36238</v>
      </c>
      <c r="H754" s="2">
        <v>39520</v>
      </c>
      <c r="I754" s="25">
        <v>41455</v>
      </c>
      <c r="J754" s="2">
        <v>39435</v>
      </c>
      <c r="L754" t="s">
        <v>297</v>
      </c>
      <c r="M754" t="s">
        <v>297</v>
      </c>
      <c r="N754" s="23" t="str">
        <f t="shared" si="83"/>
        <v>N</v>
      </c>
      <c r="O754" s="16" t="s">
        <v>1218</v>
      </c>
      <c r="P754" s="10" t="s">
        <v>222</v>
      </c>
      <c r="Q754" s="10" t="s">
        <v>228</v>
      </c>
      <c r="S754" s="16" t="str">
        <f t="shared" si="84"/>
        <v>Carolyn M Taylor</v>
      </c>
      <c r="T754" s="31">
        <v>41061</v>
      </c>
    </row>
    <row r="755" spans="1:33">
      <c r="A755" s="16">
        <v>8</v>
      </c>
      <c r="B755" s="16" t="s">
        <v>155</v>
      </c>
      <c r="C755" s="16">
        <v>1216</v>
      </c>
      <c r="D755" t="s">
        <v>295</v>
      </c>
      <c r="E755" s="16" t="s">
        <v>296</v>
      </c>
      <c r="F755" s="2">
        <v>35691</v>
      </c>
      <c r="G755" s="2">
        <v>36238</v>
      </c>
      <c r="H755" s="2">
        <v>39323</v>
      </c>
      <c r="I755" s="25">
        <v>41820</v>
      </c>
      <c r="K755" s="2">
        <v>37936</v>
      </c>
      <c r="L755" t="s">
        <v>297</v>
      </c>
      <c r="M755" t="s">
        <v>297</v>
      </c>
      <c r="N755" s="23" t="str">
        <f t="shared" si="83"/>
        <v>Y</v>
      </c>
      <c r="O755" s="16" t="s">
        <v>1508</v>
      </c>
      <c r="P755" s="10" t="s">
        <v>222</v>
      </c>
      <c r="Q755" s="10" t="s">
        <v>228</v>
      </c>
      <c r="S755" s="16" t="str">
        <f t="shared" si="84"/>
        <v>Carolyn M Taylor</v>
      </c>
      <c r="T755" s="31">
        <v>41424</v>
      </c>
    </row>
    <row r="756" spans="1:33">
      <c r="A756" s="16">
        <v>8</v>
      </c>
      <c r="B756" s="16" t="s">
        <v>155</v>
      </c>
      <c r="C756" s="16">
        <v>1256</v>
      </c>
      <c r="D756" t="s">
        <v>295</v>
      </c>
      <c r="E756" s="16" t="s">
        <v>296</v>
      </c>
      <c r="F756" s="2">
        <v>34396</v>
      </c>
      <c r="G756" s="2">
        <v>34408</v>
      </c>
      <c r="H756" s="2">
        <v>39186</v>
      </c>
      <c r="I756" s="25">
        <v>41820</v>
      </c>
      <c r="K756" s="2">
        <v>35110</v>
      </c>
      <c r="L756" t="s">
        <v>297</v>
      </c>
      <c r="M756" t="s">
        <v>297</v>
      </c>
      <c r="N756" s="23" t="str">
        <f t="shared" si="83"/>
        <v>Y</v>
      </c>
      <c r="O756" s="16" t="s">
        <v>1372</v>
      </c>
      <c r="P756" s="10" t="s">
        <v>217</v>
      </c>
      <c r="Q756" s="10" t="s">
        <v>218</v>
      </c>
      <c r="S756" s="16" t="str">
        <f t="shared" si="84"/>
        <v>Maurice G Miranda</v>
      </c>
      <c r="T756" s="31">
        <v>41453</v>
      </c>
    </row>
    <row r="757" spans="1:33" s="7" customFormat="1" hidden="1">
      <c r="A757" s="7">
        <v>8</v>
      </c>
      <c r="B757" s="7" t="s">
        <v>176</v>
      </c>
      <c r="C757" s="7">
        <v>883</v>
      </c>
      <c r="D757" s="7" t="s">
        <v>380</v>
      </c>
      <c r="E757" s="7" t="s">
        <v>316</v>
      </c>
      <c r="F757" s="2">
        <v>34044</v>
      </c>
      <c r="G757" s="2">
        <v>35140</v>
      </c>
      <c r="H757" s="2">
        <v>37601</v>
      </c>
      <c r="I757" s="8">
        <v>36341</v>
      </c>
      <c r="J757" s="2">
        <v>35075</v>
      </c>
      <c r="K757"/>
      <c r="L757" t="s">
        <v>317</v>
      </c>
      <c r="M757" t="s">
        <v>297</v>
      </c>
      <c r="N757"/>
      <c r="P757" s="7" t="s">
        <v>222</v>
      </c>
      <c r="Q757" s="7" t="s">
        <v>231</v>
      </c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</row>
    <row r="758" spans="1:33">
      <c r="A758" s="16">
        <v>8</v>
      </c>
      <c r="B758" s="16" t="s">
        <v>155</v>
      </c>
      <c r="C758" s="16">
        <v>1285</v>
      </c>
      <c r="D758" t="s">
        <v>295</v>
      </c>
      <c r="E758" s="16" t="s">
        <v>296</v>
      </c>
      <c r="F758" s="2">
        <v>36216</v>
      </c>
      <c r="G758" s="2">
        <v>36847</v>
      </c>
      <c r="H758" s="2">
        <v>39248</v>
      </c>
      <c r="I758" s="25">
        <v>41455</v>
      </c>
      <c r="K758" s="2">
        <v>39248</v>
      </c>
      <c r="L758" t="s">
        <v>297</v>
      </c>
      <c r="M758" t="s">
        <v>297</v>
      </c>
      <c r="N758" s="23" t="str">
        <f>IF((I758&gt;$W$2),"Y","N")</f>
        <v>N</v>
      </c>
      <c r="O758" s="16" t="s">
        <v>1218</v>
      </c>
      <c r="P758" s="10" t="s">
        <v>222</v>
      </c>
      <c r="Q758" s="10" t="s">
        <v>228</v>
      </c>
      <c r="S758" s="16" t="str">
        <f>MID(Q758,9,30)</f>
        <v>Carolyn M Taylor</v>
      </c>
      <c r="T758" s="31">
        <v>41061</v>
      </c>
    </row>
    <row r="759" spans="1:33">
      <c r="A759" s="16">
        <v>8</v>
      </c>
      <c r="B759" s="16" t="s">
        <v>155</v>
      </c>
      <c r="C759" s="16">
        <v>1337</v>
      </c>
      <c r="D759" t="s">
        <v>295</v>
      </c>
      <c r="E759" s="16" t="s">
        <v>296</v>
      </c>
      <c r="F759" s="2">
        <v>36629</v>
      </c>
      <c r="G759" s="2">
        <v>39051</v>
      </c>
      <c r="H759" s="2">
        <v>39125</v>
      </c>
      <c r="I759" s="25">
        <v>41820</v>
      </c>
      <c r="J759" s="2">
        <v>39304</v>
      </c>
      <c r="K759" s="2">
        <v>38615</v>
      </c>
      <c r="L759" t="s">
        <v>297</v>
      </c>
      <c r="M759" t="s">
        <v>297</v>
      </c>
      <c r="N759" s="23" t="str">
        <f>IF((I759&gt;$W$2),"Y","N")</f>
        <v>Y</v>
      </c>
      <c r="O759" s="16" t="s">
        <v>1849</v>
      </c>
      <c r="P759" s="10" t="s">
        <v>222</v>
      </c>
      <c r="Q759" s="10" t="s">
        <v>228</v>
      </c>
      <c r="S759" s="16" t="str">
        <f>MID(Q759,9,30)</f>
        <v>Carolyn M Taylor</v>
      </c>
      <c r="T759" s="31">
        <v>41415</v>
      </c>
    </row>
    <row r="760" spans="1:33" customFormat="1" hidden="1">
      <c r="A760" t="s">
        <v>222</v>
      </c>
      <c r="B760" t="s">
        <v>231</v>
      </c>
      <c r="I760" s="6"/>
    </row>
    <row r="761" spans="1:33" customFormat="1" hidden="1">
      <c r="A761" t="s">
        <v>903</v>
      </c>
      <c r="I761" s="6"/>
    </row>
    <row r="762" spans="1:33">
      <c r="A762" s="16">
        <v>8</v>
      </c>
      <c r="B762" s="16" t="s">
        <v>155</v>
      </c>
      <c r="C762" s="16">
        <v>1364</v>
      </c>
      <c r="D762" s="7" t="s">
        <v>295</v>
      </c>
      <c r="E762" s="16" t="s">
        <v>296</v>
      </c>
      <c r="F762" s="2">
        <v>36829</v>
      </c>
      <c r="G762" s="2">
        <v>39108</v>
      </c>
      <c r="H762" s="2">
        <v>39392</v>
      </c>
      <c r="I762" s="25">
        <v>41455</v>
      </c>
      <c r="J762" s="2">
        <v>39412</v>
      </c>
      <c r="K762" s="2">
        <v>38972</v>
      </c>
      <c r="L762" t="s">
        <v>297</v>
      </c>
      <c r="M762" t="s">
        <v>297</v>
      </c>
      <c r="N762" s="23" t="str">
        <f>IF((I762&gt;$W$2),"Y","N")</f>
        <v>N</v>
      </c>
      <c r="O762" s="16" t="s">
        <v>1218</v>
      </c>
      <c r="P762" s="10" t="s">
        <v>222</v>
      </c>
      <c r="Q762" s="10" t="s">
        <v>228</v>
      </c>
      <c r="S762" s="16" t="str">
        <f>MID(Q762,9,30)</f>
        <v>Carolyn M Taylor</v>
      </c>
      <c r="T762" s="31">
        <v>41061</v>
      </c>
    </row>
    <row r="763" spans="1:33">
      <c r="A763" s="16">
        <v>8</v>
      </c>
      <c r="B763" s="16" t="s">
        <v>157</v>
      </c>
      <c r="C763" s="16">
        <v>169</v>
      </c>
      <c r="D763" t="s">
        <v>295</v>
      </c>
      <c r="E763" s="16" t="s">
        <v>296</v>
      </c>
      <c r="F763" s="2">
        <v>28296</v>
      </c>
      <c r="G763" s="2">
        <v>30123</v>
      </c>
      <c r="H763" s="2">
        <v>39515</v>
      </c>
      <c r="I763" s="25">
        <v>41820</v>
      </c>
      <c r="J763" s="2">
        <v>39412</v>
      </c>
      <c r="K763" s="2">
        <v>38861</v>
      </c>
      <c r="L763" t="s">
        <v>297</v>
      </c>
      <c r="M763" t="s">
        <v>297</v>
      </c>
      <c r="N763" s="23" t="str">
        <f>IF((I763&gt;$W$2),"Y","N")</f>
        <v>Y</v>
      </c>
      <c r="O763" s="16" t="s">
        <v>1559</v>
      </c>
      <c r="P763" s="10" t="s">
        <v>222</v>
      </c>
      <c r="Q763" s="10" t="s">
        <v>229</v>
      </c>
      <c r="S763" s="16" t="str">
        <f>MID(Q763,9,30)</f>
        <v>David  Witter</v>
      </c>
      <c r="T763" s="31">
        <v>41471</v>
      </c>
    </row>
    <row r="764" spans="1:33">
      <c r="A764" s="16">
        <v>8</v>
      </c>
      <c r="B764" s="16" t="s">
        <v>157</v>
      </c>
      <c r="C764" s="16">
        <v>283</v>
      </c>
      <c r="D764" s="7" t="s">
        <v>295</v>
      </c>
      <c r="E764" s="16" t="s">
        <v>296</v>
      </c>
      <c r="F764" s="2">
        <v>29568</v>
      </c>
      <c r="G764" s="2">
        <v>30856</v>
      </c>
      <c r="H764" s="2">
        <v>39206</v>
      </c>
      <c r="I764" s="25">
        <v>41820</v>
      </c>
      <c r="J764" s="2">
        <v>39414</v>
      </c>
      <c r="K764" s="2">
        <v>38750</v>
      </c>
      <c r="L764" t="s">
        <v>297</v>
      </c>
      <c r="M764" t="s">
        <v>297</v>
      </c>
      <c r="N764" s="23" t="str">
        <f>IF((I764&gt;$W$2),"Y","N")</f>
        <v>Y</v>
      </c>
      <c r="O764" s="16" t="s">
        <v>1850</v>
      </c>
      <c r="P764" s="10" t="s">
        <v>222</v>
      </c>
      <c r="Q764" s="10" t="s">
        <v>229</v>
      </c>
      <c r="S764" s="16" t="str">
        <f>MID(Q764,9,30)</f>
        <v>David  Witter</v>
      </c>
      <c r="T764" s="31">
        <v>41471</v>
      </c>
    </row>
    <row r="765" spans="1:33">
      <c r="A765" s="16">
        <v>8</v>
      </c>
      <c r="B765" s="16" t="s">
        <v>157</v>
      </c>
      <c r="C765" s="16">
        <v>417</v>
      </c>
      <c r="D765" s="7" t="s">
        <v>295</v>
      </c>
      <c r="E765" s="30" t="s">
        <v>296</v>
      </c>
      <c r="F765" s="2">
        <v>38482</v>
      </c>
      <c r="H765" s="2">
        <v>39428</v>
      </c>
      <c r="I765" s="25">
        <v>41820</v>
      </c>
      <c r="L765" t="s">
        <v>297</v>
      </c>
      <c r="M765" t="s">
        <v>297</v>
      </c>
      <c r="N765" s="23" t="str">
        <f>IF((I765&gt;$W$2),"Y","N")</f>
        <v>Y</v>
      </c>
      <c r="O765" s="16" t="s">
        <v>1460</v>
      </c>
      <c r="P765" s="10" t="s">
        <v>222</v>
      </c>
      <c r="Q765" s="10" t="s">
        <v>224</v>
      </c>
      <c r="S765" s="16" t="str">
        <f>MID(Q765,9,30)</f>
        <v>Charles Andy A Nicks</v>
      </c>
      <c r="T765" s="31">
        <v>41422</v>
      </c>
    </row>
    <row r="766" spans="1:33" s="7" customFormat="1" hidden="1">
      <c r="A766" s="7">
        <v>9</v>
      </c>
      <c r="B766" s="7" t="s">
        <v>149</v>
      </c>
      <c r="C766" s="7">
        <v>904</v>
      </c>
      <c r="D766" s="7" t="s">
        <v>464</v>
      </c>
      <c r="E766" s="7" t="s">
        <v>316</v>
      </c>
      <c r="F766" s="2">
        <v>34178</v>
      </c>
      <c r="G766"/>
      <c r="H766" s="2">
        <v>34178</v>
      </c>
      <c r="I766" s="8">
        <v>34178</v>
      </c>
      <c r="J766"/>
      <c r="K766"/>
      <c r="L766" t="s">
        <v>297</v>
      </c>
      <c r="M766" t="s">
        <v>297</v>
      </c>
      <c r="N766"/>
      <c r="P766" s="7" t="s">
        <v>232</v>
      </c>
      <c r="Q766" s="7" t="s">
        <v>233</v>
      </c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</row>
    <row r="767" spans="1:33">
      <c r="A767" s="16">
        <v>8</v>
      </c>
      <c r="B767" s="16" t="s">
        <v>157</v>
      </c>
      <c r="C767" s="16">
        <v>512</v>
      </c>
      <c r="D767" t="s">
        <v>295</v>
      </c>
      <c r="E767" s="16" t="s">
        <v>296</v>
      </c>
      <c r="F767" s="2">
        <v>31437</v>
      </c>
      <c r="G767" s="2">
        <v>31437</v>
      </c>
      <c r="H767" s="2">
        <v>39470</v>
      </c>
      <c r="I767" s="25">
        <v>41820</v>
      </c>
      <c r="J767" s="2">
        <v>39385</v>
      </c>
      <c r="K767" s="2">
        <v>38601</v>
      </c>
      <c r="L767" t="s">
        <v>297</v>
      </c>
      <c r="M767" t="s">
        <v>297</v>
      </c>
      <c r="N767" s="23" t="str">
        <f>IF((I767&gt;$W$2),"Y","N")</f>
        <v>Y</v>
      </c>
      <c r="O767" s="16" t="s">
        <v>1851</v>
      </c>
      <c r="P767" s="10" t="s">
        <v>222</v>
      </c>
      <c r="Q767" s="10" t="s">
        <v>229</v>
      </c>
      <c r="S767" s="16" t="str">
        <f>MID(Q767,9,30)</f>
        <v>David  Witter</v>
      </c>
      <c r="T767" s="31">
        <v>41471</v>
      </c>
    </row>
    <row r="768" spans="1:33" s="7" customFormat="1" hidden="1">
      <c r="A768" s="7">
        <v>9</v>
      </c>
      <c r="B768" s="7" t="s">
        <v>149</v>
      </c>
      <c r="C768" s="7">
        <v>1145</v>
      </c>
      <c r="D768" s="7" t="s">
        <v>348</v>
      </c>
      <c r="E768" s="7" t="s">
        <v>376</v>
      </c>
      <c r="F768" s="2">
        <v>35312</v>
      </c>
      <c r="G768" s="2">
        <v>35356</v>
      </c>
      <c r="H768" s="2">
        <v>36389</v>
      </c>
      <c r="I768" s="8">
        <v>37103</v>
      </c>
      <c r="J768"/>
      <c r="K768" s="2">
        <v>36389</v>
      </c>
      <c r="L768" t="s">
        <v>297</v>
      </c>
      <c r="M768"/>
      <c r="N768"/>
      <c r="O768" s="7" t="s">
        <v>369</v>
      </c>
      <c r="P768" s="7" t="s">
        <v>232</v>
      </c>
      <c r="Q768" s="7" t="s">
        <v>233</v>
      </c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</row>
    <row r="769" spans="1:33">
      <c r="A769" s="16">
        <v>8</v>
      </c>
      <c r="B769" s="16" t="s">
        <v>157</v>
      </c>
      <c r="C769" s="16">
        <v>766</v>
      </c>
      <c r="D769" t="s">
        <v>295</v>
      </c>
      <c r="E769" s="16" t="s">
        <v>296</v>
      </c>
      <c r="F769" s="2">
        <v>33264</v>
      </c>
      <c r="G769" s="2">
        <v>33675</v>
      </c>
      <c r="H769" s="2">
        <v>39160</v>
      </c>
      <c r="I769" s="25">
        <v>41820</v>
      </c>
      <c r="J769" s="2">
        <v>38721</v>
      </c>
      <c r="K769" s="2">
        <v>39385</v>
      </c>
      <c r="L769" t="s">
        <v>297</v>
      </c>
      <c r="M769" t="s">
        <v>297</v>
      </c>
      <c r="N769" s="23" t="str">
        <f>IF((I769&gt;$W$2),"Y","N")</f>
        <v>Y</v>
      </c>
      <c r="O769" s="16" t="s">
        <v>1852</v>
      </c>
      <c r="P769" s="10" t="s">
        <v>222</v>
      </c>
      <c r="Q769" s="10" t="s">
        <v>229</v>
      </c>
      <c r="S769" s="16" t="str">
        <f>MID(Q769,9,30)</f>
        <v>David  Witter</v>
      </c>
      <c r="T769" s="31">
        <v>41471</v>
      </c>
    </row>
    <row r="770" spans="1:33">
      <c r="A770" s="16">
        <v>8</v>
      </c>
      <c r="B770" s="16" t="s">
        <v>157</v>
      </c>
      <c r="C770" s="16">
        <v>814</v>
      </c>
      <c r="D770" t="s">
        <v>295</v>
      </c>
      <c r="E770" s="16" t="s">
        <v>296</v>
      </c>
      <c r="F770" s="2">
        <v>33544</v>
      </c>
      <c r="G770" s="2">
        <v>33992</v>
      </c>
      <c r="H770" s="2">
        <v>39245</v>
      </c>
      <c r="I770" s="25">
        <v>41820</v>
      </c>
      <c r="J770" s="2">
        <v>39385</v>
      </c>
      <c r="K770" s="2">
        <v>38903</v>
      </c>
      <c r="L770" t="s">
        <v>297</v>
      </c>
      <c r="M770" t="s">
        <v>297</v>
      </c>
      <c r="N770" s="23" t="str">
        <f>IF((I770&gt;$W$2),"Y","N")</f>
        <v>Y</v>
      </c>
      <c r="O770" s="16" t="s">
        <v>1467</v>
      </c>
      <c r="P770" s="10" t="s">
        <v>222</v>
      </c>
      <c r="Q770" s="10" t="s">
        <v>229</v>
      </c>
      <c r="S770" s="16" t="str">
        <f>MID(Q770,9,30)</f>
        <v>David  Witter</v>
      </c>
      <c r="T770" s="31">
        <v>41471</v>
      </c>
    </row>
    <row r="771" spans="1:33">
      <c r="A771" s="16">
        <v>8</v>
      </c>
      <c r="B771" s="16" t="s">
        <v>157</v>
      </c>
      <c r="C771" s="16">
        <v>821</v>
      </c>
      <c r="D771" t="s">
        <v>295</v>
      </c>
      <c r="E771" s="16" t="s">
        <v>296</v>
      </c>
      <c r="F771" s="2">
        <v>33621</v>
      </c>
      <c r="G771" s="2">
        <v>34404</v>
      </c>
      <c r="H771" s="2">
        <v>39409</v>
      </c>
      <c r="I771" s="25">
        <v>41820</v>
      </c>
      <c r="J771" s="2">
        <v>39385</v>
      </c>
      <c r="K771" s="2">
        <v>36206</v>
      </c>
      <c r="L771" t="s">
        <v>297</v>
      </c>
      <c r="M771" t="s">
        <v>297</v>
      </c>
      <c r="N771" s="23" t="str">
        <f>IF((I771&gt;$W$2),"Y","N")</f>
        <v>Y</v>
      </c>
      <c r="O771" s="16" t="s">
        <v>1853</v>
      </c>
      <c r="P771" s="10" t="s">
        <v>222</v>
      </c>
      <c r="Q771" s="10" t="s">
        <v>229</v>
      </c>
      <c r="S771" s="16" t="str">
        <f>MID(Q771,9,30)</f>
        <v>David  Witter</v>
      </c>
      <c r="T771" s="31">
        <v>41424</v>
      </c>
    </row>
    <row r="772" spans="1:33">
      <c r="A772" s="16">
        <v>8</v>
      </c>
      <c r="B772" s="16" t="s">
        <v>157</v>
      </c>
      <c r="C772" s="16">
        <v>823</v>
      </c>
      <c r="D772" t="s">
        <v>295</v>
      </c>
      <c r="E772" s="16" t="s">
        <v>296</v>
      </c>
      <c r="F772" s="2">
        <v>33684</v>
      </c>
      <c r="G772" s="2">
        <v>34985</v>
      </c>
      <c r="H772" s="2">
        <v>39088</v>
      </c>
      <c r="I772" s="25">
        <v>41820</v>
      </c>
      <c r="J772" s="2">
        <v>39385</v>
      </c>
      <c r="K772" s="2">
        <v>37513</v>
      </c>
      <c r="L772" t="s">
        <v>297</v>
      </c>
      <c r="M772" t="s">
        <v>297</v>
      </c>
      <c r="N772" s="23" t="str">
        <f>IF((I772&gt;$W$2),"Y","N")</f>
        <v>Y</v>
      </c>
      <c r="O772" s="16" t="s">
        <v>1854</v>
      </c>
      <c r="P772" s="10" t="s">
        <v>222</v>
      </c>
      <c r="Q772" s="10" t="s">
        <v>229</v>
      </c>
      <c r="S772" s="16" t="str">
        <f>MID(Q772,9,30)</f>
        <v>David  Witter</v>
      </c>
      <c r="T772" s="31">
        <v>41453</v>
      </c>
    </row>
    <row r="773" spans="1:33" customFormat="1" hidden="1">
      <c r="A773" t="s">
        <v>232</v>
      </c>
      <c r="B773" t="s">
        <v>233</v>
      </c>
      <c r="I773" s="6"/>
    </row>
    <row r="774" spans="1:33">
      <c r="A774" s="16">
        <v>8</v>
      </c>
      <c r="B774" s="16" t="s">
        <v>157</v>
      </c>
      <c r="C774" s="16">
        <v>1155</v>
      </c>
      <c r="D774" t="s">
        <v>295</v>
      </c>
      <c r="E774" s="16" t="s">
        <v>296</v>
      </c>
      <c r="F774" s="2">
        <v>35419</v>
      </c>
      <c r="G774" s="2">
        <v>36238</v>
      </c>
      <c r="H774" s="2">
        <v>39378</v>
      </c>
      <c r="I774" s="25">
        <v>41820</v>
      </c>
      <c r="J774" s="2">
        <v>39385</v>
      </c>
      <c r="L774" t="s">
        <v>297</v>
      </c>
      <c r="M774" t="s">
        <v>297</v>
      </c>
      <c r="N774" s="23" t="str">
        <f>IF((I774&gt;$W$2),"Y","N")</f>
        <v>Y</v>
      </c>
      <c r="O774" s="30" t="s">
        <v>1855</v>
      </c>
      <c r="P774" s="10" t="s">
        <v>222</v>
      </c>
      <c r="Q774" s="10" t="s">
        <v>229</v>
      </c>
      <c r="S774" s="16" t="str">
        <f>MID(Q774,9,30)</f>
        <v>David  Witter</v>
      </c>
      <c r="T774" s="31">
        <v>41450</v>
      </c>
    </row>
    <row r="775" spans="1:33">
      <c r="A775" s="16">
        <v>8</v>
      </c>
      <c r="B775" s="16" t="s">
        <v>157</v>
      </c>
      <c r="C775" s="16">
        <v>1481</v>
      </c>
      <c r="D775" t="s">
        <v>295</v>
      </c>
      <c r="E775" s="16" t="s">
        <v>296</v>
      </c>
      <c r="F775" s="2">
        <v>38274</v>
      </c>
      <c r="G775" s="2">
        <v>38776</v>
      </c>
      <c r="H775" s="2">
        <v>39398</v>
      </c>
      <c r="I775" s="25">
        <v>41820</v>
      </c>
      <c r="J775" s="2">
        <v>39385</v>
      </c>
      <c r="K775" s="2">
        <v>39192</v>
      </c>
      <c r="L775" t="s">
        <v>297</v>
      </c>
      <c r="M775" t="s">
        <v>322</v>
      </c>
      <c r="N775" s="23" t="str">
        <f>IF((I775&gt;$W$2),"Y","N")</f>
        <v>Y</v>
      </c>
      <c r="O775" s="16" t="s">
        <v>1408</v>
      </c>
      <c r="P775" s="10" t="s">
        <v>222</v>
      </c>
      <c r="Q775" s="10" t="s">
        <v>229</v>
      </c>
      <c r="S775" s="16" t="str">
        <f>MID(Q775,9,30)</f>
        <v>David  Witter</v>
      </c>
      <c r="T775" s="31">
        <v>41471</v>
      </c>
    </row>
    <row r="776" spans="1:33">
      <c r="A776" s="16">
        <v>8</v>
      </c>
      <c r="B776" s="16" t="s">
        <v>159</v>
      </c>
      <c r="C776" s="16">
        <v>584</v>
      </c>
      <c r="D776" t="s">
        <v>295</v>
      </c>
      <c r="E776" s="16" t="s">
        <v>296</v>
      </c>
      <c r="F776" s="2">
        <v>31857</v>
      </c>
      <c r="G776" s="2">
        <v>32816</v>
      </c>
      <c r="H776" s="2">
        <v>39406</v>
      </c>
      <c r="I776" s="25">
        <v>41820</v>
      </c>
      <c r="K776" s="2">
        <v>36402</v>
      </c>
      <c r="L776" t="s">
        <v>297</v>
      </c>
      <c r="M776" t="s">
        <v>297</v>
      </c>
      <c r="N776" s="23" t="str">
        <f>IF((I776&gt;$W$2),"Y","N")</f>
        <v>Y</v>
      </c>
      <c r="O776" s="30" t="s">
        <v>1856</v>
      </c>
      <c r="P776" s="10" t="s">
        <v>222</v>
      </c>
      <c r="Q776" s="10" t="s">
        <v>230</v>
      </c>
      <c r="S776" s="16" t="str">
        <f>MID(Q776,9,30)</f>
        <v>Carrie   Edgerle</v>
      </c>
      <c r="T776" s="31">
        <v>41425</v>
      </c>
    </row>
    <row r="777" spans="1:33" s="7" customFormat="1" hidden="1">
      <c r="A777" s="7">
        <v>9</v>
      </c>
      <c r="B777" s="7" t="s">
        <v>376</v>
      </c>
      <c r="C777" s="7">
        <v>550</v>
      </c>
      <c r="D777" s="7" t="s">
        <v>380</v>
      </c>
      <c r="E777" s="7" t="s">
        <v>376</v>
      </c>
      <c r="F777" s="2">
        <v>31674</v>
      </c>
      <c r="G777"/>
      <c r="H777" s="2">
        <v>35974</v>
      </c>
      <c r="I777" s="8">
        <v>33155</v>
      </c>
      <c r="J777"/>
      <c r="K777" s="2">
        <v>34631</v>
      </c>
      <c r="L777" t="s">
        <v>297</v>
      </c>
      <c r="M777" t="s">
        <v>297</v>
      </c>
      <c r="N777"/>
      <c r="P777" s="7" t="s">
        <v>232</v>
      </c>
      <c r="Q777" s="7" t="s">
        <v>234</v>
      </c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</row>
    <row r="778" spans="1:33">
      <c r="A778" s="16">
        <v>8</v>
      </c>
      <c r="B778" s="16" t="s">
        <v>159</v>
      </c>
      <c r="C778" s="16">
        <v>672</v>
      </c>
      <c r="D778" t="s">
        <v>295</v>
      </c>
      <c r="E778" s="16" t="s">
        <v>316</v>
      </c>
      <c r="F778" s="2">
        <v>32577</v>
      </c>
      <c r="G778" s="2">
        <v>34051</v>
      </c>
      <c r="H778" s="2">
        <v>39310</v>
      </c>
      <c r="I778" s="25">
        <v>39994</v>
      </c>
      <c r="K778" s="2">
        <v>38810</v>
      </c>
      <c r="L778" t="s">
        <v>297</v>
      </c>
      <c r="M778" t="s">
        <v>297</v>
      </c>
      <c r="N778" s="23" t="str">
        <f>IF((I778&gt;$W$2),"Y","N")</f>
        <v>N</v>
      </c>
      <c r="O778" s="16" t="s">
        <v>883</v>
      </c>
      <c r="P778" s="10" t="s">
        <v>222</v>
      </c>
      <c r="Q778" s="10" t="s">
        <v>230</v>
      </c>
      <c r="S778" s="16" t="str">
        <f>MID(Q778,9,30)</f>
        <v>Carrie   Edgerle</v>
      </c>
      <c r="T778" s="31">
        <v>39675</v>
      </c>
    </row>
    <row r="779" spans="1:33" s="7" customFormat="1" hidden="1">
      <c r="A779" s="7">
        <v>9</v>
      </c>
      <c r="B779" s="7" t="s">
        <v>376</v>
      </c>
      <c r="C779" s="7">
        <v>923</v>
      </c>
      <c r="D779" s="7" t="s">
        <v>315</v>
      </c>
      <c r="E779" s="7" t="s">
        <v>376</v>
      </c>
      <c r="F779" s="2">
        <v>34317</v>
      </c>
      <c r="G779" s="2">
        <v>36427</v>
      </c>
      <c r="H779" s="2">
        <v>37321</v>
      </c>
      <c r="I779" s="8">
        <v>37103</v>
      </c>
      <c r="J779"/>
      <c r="K779" s="2">
        <v>36362</v>
      </c>
      <c r="L779" t="s">
        <v>297</v>
      </c>
      <c r="M779" t="s">
        <v>297</v>
      </c>
      <c r="N779"/>
      <c r="P779" s="7" t="s">
        <v>232</v>
      </c>
      <c r="Q779" s="7" t="s">
        <v>234</v>
      </c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</row>
    <row r="780" spans="1:33" customFormat="1" hidden="1">
      <c r="A780" t="s">
        <v>232</v>
      </c>
      <c r="B780" t="s">
        <v>234</v>
      </c>
      <c r="I780" s="6"/>
    </row>
    <row r="781" spans="1:33" s="7" customFormat="1" hidden="1">
      <c r="A781" s="7">
        <v>9</v>
      </c>
      <c r="B781" s="7" t="s">
        <v>235</v>
      </c>
      <c r="C781" s="7">
        <v>395</v>
      </c>
      <c r="D781" s="7" t="s">
        <v>618</v>
      </c>
      <c r="E781" s="7" t="s">
        <v>316</v>
      </c>
      <c r="F781" s="2">
        <v>37019</v>
      </c>
      <c r="G781" s="2">
        <v>38536</v>
      </c>
      <c r="H781" s="2">
        <v>38722</v>
      </c>
      <c r="I781" s="8">
        <v>38898</v>
      </c>
      <c r="J781"/>
      <c r="K781" s="2">
        <v>38546</v>
      </c>
      <c r="L781" t="s">
        <v>297</v>
      </c>
      <c r="M781" t="s">
        <v>297</v>
      </c>
      <c r="N781"/>
      <c r="O781" s="7" t="s">
        <v>318</v>
      </c>
      <c r="P781" s="7" t="s">
        <v>232</v>
      </c>
      <c r="Q781" s="7" t="s">
        <v>236</v>
      </c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</row>
    <row r="782" spans="1:33">
      <c r="A782" s="16">
        <v>8</v>
      </c>
      <c r="B782" s="16" t="s">
        <v>159</v>
      </c>
      <c r="C782" s="16">
        <v>689</v>
      </c>
      <c r="D782" s="7" t="s">
        <v>295</v>
      </c>
      <c r="E782" s="16" t="s">
        <v>296</v>
      </c>
      <c r="F782" s="2">
        <v>32647</v>
      </c>
      <c r="G782" s="2">
        <v>33180</v>
      </c>
      <c r="H782" s="2">
        <v>39361</v>
      </c>
      <c r="I782" s="25">
        <v>41090</v>
      </c>
      <c r="J782" s="2">
        <v>38854</v>
      </c>
      <c r="K782" s="2">
        <v>35816</v>
      </c>
      <c r="L782" t="s">
        <v>297</v>
      </c>
      <c r="M782" t="s">
        <v>297</v>
      </c>
      <c r="N782" s="23" t="str">
        <f>IF((I782&gt;$W$2),"Y","N")</f>
        <v>N</v>
      </c>
      <c r="O782" s="16" t="s">
        <v>884</v>
      </c>
      <c r="P782" s="10" t="s">
        <v>222</v>
      </c>
      <c r="Q782" s="10" t="s">
        <v>230</v>
      </c>
      <c r="S782" s="16" t="str">
        <f>MID(Q782,9,30)</f>
        <v>Carrie   Edgerle</v>
      </c>
      <c r="T782" s="31">
        <v>40297</v>
      </c>
    </row>
    <row r="783" spans="1:33">
      <c r="A783" s="16">
        <v>8</v>
      </c>
      <c r="B783" s="16" t="s">
        <v>159</v>
      </c>
      <c r="C783" s="16">
        <v>825</v>
      </c>
      <c r="D783" s="7" t="s">
        <v>295</v>
      </c>
      <c r="E783" s="16" t="s">
        <v>296</v>
      </c>
      <c r="F783" s="2">
        <v>33684</v>
      </c>
      <c r="G783" s="2">
        <v>35573</v>
      </c>
      <c r="H783" s="2">
        <v>39183</v>
      </c>
      <c r="I783" s="25">
        <v>41820</v>
      </c>
      <c r="J783" s="2">
        <v>35541</v>
      </c>
      <c r="K783" s="2">
        <v>38772</v>
      </c>
      <c r="L783" t="s">
        <v>297</v>
      </c>
      <c r="M783" t="s">
        <v>297</v>
      </c>
      <c r="N783" s="23" t="str">
        <f>IF((I783&gt;$W$2),"Y","N")</f>
        <v>Y</v>
      </c>
      <c r="O783" s="16" t="s">
        <v>1245</v>
      </c>
      <c r="P783" s="10" t="s">
        <v>222</v>
      </c>
      <c r="Q783" s="10" t="s">
        <v>230</v>
      </c>
      <c r="S783" s="16" t="str">
        <f>MID(Q783,9,30)</f>
        <v>Carrie   Edgerle</v>
      </c>
      <c r="T783" s="31">
        <v>41428</v>
      </c>
    </row>
    <row r="784" spans="1:33">
      <c r="A784" s="16">
        <v>8</v>
      </c>
      <c r="B784" s="16" t="s">
        <v>159</v>
      </c>
      <c r="C784" s="16">
        <v>847</v>
      </c>
      <c r="D784" s="7" t="s">
        <v>295</v>
      </c>
      <c r="E784" s="16" t="s">
        <v>296</v>
      </c>
      <c r="F784" s="2">
        <v>33879</v>
      </c>
      <c r="G784" s="2">
        <v>35084</v>
      </c>
      <c r="H784" s="2">
        <v>39371</v>
      </c>
      <c r="I784" s="25">
        <v>39994</v>
      </c>
      <c r="J784" s="2">
        <v>38952</v>
      </c>
      <c r="K784" s="2">
        <v>35374</v>
      </c>
      <c r="L784" t="s">
        <v>297</v>
      </c>
      <c r="M784" t="s">
        <v>297</v>
      </c>
      <c r="N784" s="23" t="str">
        <f>IF((I784&gt;$W$2),"Y","N")</f>
        <v>N</v>
      </c>
      <c r="O784" s="30" t="s">
        <v>1218</v>
      </c>
      <c r="P784" s="10" t="s">
        <v>222</v>
      </c>
      <c r="Q784" s="10" t="s">
        <v>230</v>
      </c>
      <c r="S784" s="16" t="str">
        <f>MID(Q784,9,30)</f>
        <v>Carrie   Edgerle</v>
      </c>
      <c r="T784" s="31">
        <v>39617</v>
      </c>
    </row>
    <row r="785" spans="1:33" s="7" customFormat="1" hidden="1">
      <c r="A785" s="7">
        <v>9</v>
      </c>
      <c r="B785" s="7" t="s">
        <v>235</v>
      </c>
      <c r="C785" s="7">
        <v>970</v>
      </c>
      <c r="D785" s="7" t="s">
        <v>315</v>
      </c>
      <c r="E785" s="7" t="s">
        <v>316</v>
      </c>
      <c r="F785" s="2">
        <v>34548</v>
      </c>
      <c r="G785"/>
      <c r="H785" s="2">
        <v>36994</v>
      </c>
      <c r="I785" s="8">
        <v>37406</v>
      </c>
      <c r="J785"/>
      <c r="K785" s="2">
        <v>34656</v>
      </c>
      <c r="L785" t="s">
        <v>297</v>
      </c>
      <c r="M785" t="s">
        <v>297</v>
      </c>
      <c r="N785"/>
      <c r="P785" s="7" t="s">
        <v>232</v>
      </c>
      <c r="Q785" s="7" t="s">
        <v>236</v>
      </c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</row>
    <row r="786" spans="1:33">
      <c r="A786" s="16">
        <v>8</v>
      </c>
      <c r="B786" s="16" t="s">
        <v>159</v>
      </c>
      <c r="C786" s="16">
        <v>881</v>
      </c>
      <c r="D786" t="s">
        <v>295</v>
      </c>
      <c r="E786" s="16" t="s">
        <v>296</v>
      </c>
      <c r="F786" s="2">
        <v>34022</v>
      </c>
      <c r="G786" s="2">
        <v>35209</v>
      </c>
      <c r="H786" s="2">
        <v>39520</v>
      </c>
      <c r="I786" s="25">
        <v>41455</v>
      </c>
      <c r="J786" s="2">
        <v>38952</v>
      </c>
      <c r="K786" s="2">
        <v>36213</v>
      </c>
      <c r="L786" t="s">
        <v>297</v>
      </c>
      <c r="M786" t="s">
        <v>297</v>
      </c>
      <c r="N786" s="23" t="str">
        <f t="shared" ref="N786:N794" si="85">IF((I786&gt;$W$2),"Y","N")</f>
        <v>N</v>
      </c>
      <c r="O786" s="30" t="s">
        <v>1857</v>
      </c>
      <c r="P786" s="10" t="s">
        <v>222</v>
      </c>
      <c r="Q786" s="10" t="s">
        <v>230</v>
      </c>
      <c r="S786" s="16" t="str">
        <f t="shared" ref="S786:S792" si="86">MID(Q786,9,30)</f>
        <v>Carrie   Edgerle</v>
      </c>
      <c r="T786" s="31">
        <v>41086</v>
      </c>
    </row>
    <row r="787" spans="1:33">
      <c r="A787" s="16">
        <v>8</v>
      </c>
      <c r="B787" s="16" t="s">
        <v>159</v>
      </c>
      <c r="C787" s="16">
        <v>910</v>
      </c>
      <c r="D787" s="7" t="s">
        <v>295</v>
      </c>
      <c r="E787" s="16" t="s">
        <v>376</v>
      </c>
      <c r="F787" s="2">
        <v>34208</v>
      </c>
      <c r="G787" s="2">
        <v>37631</v>
      </c>
      <c r="H787" s="2">
        <v>38873</v>
      </c>
      <c r="I787" s="25">
        <v>40359</v>
      </c>
      <c r="K787" s="2">
        <v>38490</v>
      </c>
      <c r="L787" t="s">
        <v>297</v>
      </c>
      <c r="M787" t="s">
        <v>297</v>
      </c>
      <c r="N787" s="23" t="str">
        <f t="shared" si="85"/>
        <v>N</v>
      </c>
      <c r="O787" s="16" t="s">
        <v>1246</v>
      </c>
      <c r="P787" s="10" t="s">
        <v>222</v>
      </c>
      <c r="Q787" s="10" t="s">
        <v>230</v>
      </c>
      <c r="S787" s="16" t="str">
        <f t="shared" si="86"/>
        <v>Carrie   Edgerle</v>
      </c>
      <c r="T787" s="31">
        <v>40064</v>
      </c>
    </row>
    <row r="788" spans="1:33">
      <c r="A788" s="16">
        <v>8</v>
      </c>
      <c r="B788" s="16" t="s">
        <v>159</v>
      </c>
      <c r="C788" s="16">
        <v>942</v>
      </c>
      <c r="D788" s="7" t="s">
        <v>295</v>
      </c>
      <c r="E788" s="16" t="s">
        <v>296</v>
      </c>
      <c r="F788" s="2">
        <v>34396</v>
      </c>
      <c r="G788" s="2">
        <v>34775</v>
      </c>
      <c r="H788" s="2">
        <v>38827</v>
      </c>
      <c r="I788" s="25">
        <v>41090</v>
      </c>
      <c r="K788" s="2">
        <v>36243</v>
      </c>
      <c r="L788" t="s">
        <v>297</v>
      </c>
      <c r="M788" t="s">
        <v>297</v>
      </c>
      <c r="N788" s="23" t="str">
        <f t="shared" si="85"/>
        <v>N</v>
      </c>
      <c r="O788" s="30" t="s">
        <v>1858</v>
      </c>
      <c r="P788" s="10" t="s">
        <v>222</v>
      </c>
      <c r="Q788" s="10" t="s">
        <v>230</v>
      </c>
      <c r="S788" s="16" t="str">
        <f t="shared" si="86"/>
        <v>Carrie   Edgerle</v>
      </c>
      <c r="T788" s="31">
        <v>39553</v>
      </c>
    </row>
    <row r="789" spans="1:33">
      <c r="A789" s="16">
        <v>8</v>
      </c>
      <c r="B789" s="16" t="s">
        <v>159</v>
      </c>
      <c r="C789" s="16">
        <v>957</v>
      </c>
      <c r="D789" t="s">
        <v>295</v>
      </c>
      <c r="E789" s="16" t="s">
        <v>296</v>
      </c>
      <c r="F789" s="2">
        <v>34494</v>
      </c>
      <c r="G789" s="2">
        <v>35356</v>
      </c>
      <c r="H789" s="2">
        <v>38922</v>
      </c>
      <c r="I789" s="25">
        <v>41455</v>
      </c>
      <c r="J789" s="2">
        <v>37999</v>
      </c>
      <c r="K789" s="2">
        <v>39322</v>
      </c>
      <c r="L789" t="s">
        <v>297</v>
      </c>
      <c r="M789" t="s">
        <v>297</v>
      </c>
      <c r="N789" s="23" t="str">
        <f t="shared" si="85"/>
        <v>N</v>
      </c>
      <c r="O789" s="30" t="s">
        <v>1859</v>
      </c>
      <c r="P789" s="10" t="s">
        <v>222</v>
      </c>
      <c r="Q789" s="10" t="s">
        <v>230</v>
      </c>
      <c r="S789" s="16" t="str">
        <f t="shared" si="86"/>
        <v>Carrie   Edgerle</v>
      </c>
      <c r="T789" s="31">
        <v>41116</v>
      </c>
    </row>
    <row r="790" spans="1:33">
      <c r="A790" s="16">
        <v>8</v>
      </c>
      <c r="B790" s="16" t="s">
        <v>159</v>
      </c>
      <c r="C790" s="16">
        <v>1049</v>
      </c>
      <c r="D790" s="7" t="s">
        <v>295</v>
      </c>
      <c r="E790" s="16" t="s">
        <v>296</v>
      </c>
      <c r="F790" s="2">
        <v>34806</v>
      </c>
      <c r="G790" s="2">
        <v>39108</v>
      </c>
      <c r="H790" s="2">
        <v>39091</v>
      </c>
      <c r="I790" s="25">
        <v>41820</v>
      </c>
      <c r="K790" s="2">
        <v>36389</v>
      </c>
      <c r="L790" t="s">
        <v>297</v>
      </c>
      <c r="M790" t="s">
        <v>297</v>
      </c>
      <c r="N790" s="23" t="str">
        <f t="shared" si="85"/>
        <v>Y</v>
      </c>
      <c r="O790" s="30" t="s">
        <v>1860</v>
      </c>
      <c r="P790" s="10" t="s">
        <v>222</v>
      </c>
      <c r="Q790" s="10" t="s">
        <v>230</v>
      </c>
      <c r="S790" s="16" t="str">
        <f t="shared" si="86"/>
        <v>Carrie   Edgerle</v>
      </c>
      <c r="T790" s="31">
        <v>41432</v>
      </c>
    </row>
    <row r="791" spans="1:33">
      <c r="A791" s="16">
        <v>8</v>
      </c>
      <c r="B791" s="16" t="s">
        <v>159</v>
      </c>
      <c r="C791" s="16">
        <v>1198</v>
      </c>
      <c r="D791" s="7" t="s">
        <v>295</v>
      </c>
      <c r="E791" s="16" t="s">
        <v>316</v>
      </c>
      <c r="F791" s="2">
        <v>35593</v>
      </c>
      <c r="G791" s="2">
        <v>38460</v>
      </c>
      <c r="H791" s="2">
        <v>39400</v>
      </c>
      <c r="I791" s="25">
        <v>38898</v>
      </c>
      <c r="L791" t="s">
        <v>297</v>
      </c>
      <c r="M791" t="s">
        <v>297</v>
      </c>
      <c r="N791" s="23" t="str">
        <f t="shared" si="85"/>
        <v>N</v>
      </c>
      <c r="O791" s="16" t="s">
        <v>892</v>
      </c>
      <c r="P791" s="10" t="s">
        <v>222</v>
      </c>
      <c r="Q791" s="10" t="s">
        <v>230</v>
      </c>
      <c r="S791" s="16" t="str">
        <f t="shared" si="86"/>
        <v>Carrie   Edgerle</v>
      </c>
    </row>
    <row r="792" spans="1:33">
      <c r="A792" s="16">
        <v>8</v>
      </c>
      <c r="B792" s="16" t="s">
        <v>159</v>
      </c>
      <c r="C792" s="16">
        <v>1448</v>
      </c>
      <c r="D792" t="s">
        <v>295</v>
      </c>
      <c r="E792" s="16" t="s">
        <v>296</v>
      </c>
      <c r="F792" s="2">
        <v>37756</v>
      </c>
      <c r="G792" s="2">
        <v>39138</v>
      </c>
      <c r="H792" s="2">
        <v>39523</v>
      </c>
      <c r="I792" s="25">
        <v>41455</v>
      </c>
      <c r="J792" s="2">
        <v>38805</v>
      </c>
      <c r="K792" s="2">
        <v>38554</v>
      </c>
      <c r="L792" t="s">
        <v>297</v>
      </c>
      <c r="M792" t="s">
        <v>322</v>
      </c>
      <c r="N792" s="23" t="str">
        <f t="shared" si="85"/>
        <v>N</v>
      </c>
      <c r="O792" s="30" t="s">
        <v>1861</v>
      </c>
      <c r="P792" s="10" t="s">
        <v>222</v>
      </c>
      <c r="Q792" s="10" t="s">
        <v>230</v>
      </c>
      <c r="S792" s="16" t="str">
        <f t="shared" si="86"/>
        <v>Carrie   Edgerle</v>
      </c>
      <c r="T792" s="31">
        <v>41348</v>
      </c>
    </row>
    <row r="793" spans="1:33">
      <c r="A793" s="16">
        <v>8</v>
      </c>
      <c r="B793" s="16" t="s">
        <v>159</v>
      </c>
      <c r="C793" s="16">
        <v>1587</v>
      </c>
      <c r="E793" s="16" t="s">
        <v>299</v>
      </c>
      <c r="F793" s="2">
        <v>37333</v>
      </c>
      <c r="H793" s="2">
        <v>38525</v>
      </c>
      <c r="I793" s="25">
        <v>40724</v>
      </c>
      <c r="L793" t="s">
        <v>297</v>
      </c>
      <c r="M793" t="s">
        <v>297</v>
      </c>
      <c r="N793" s="21" t="str">
        <f t="shared" si="85"/>
        <v>N</v>
      </c>
      <c r="O793" s="16" t="s">
        <v>1330</v>
      </c>
      <c r="T793" s="31">
        <v>40624</v>
      </c>
    </row>
    <row r="794" spans="1:33">
      <c r="A794" s="16">
        <v>8</v>
      </c>
      <c r="B794" s="16" t="s">
        <v>176</v>
      </c>
      <c r="C794" s="16">
        <v>571</v>
      </c>
      <c r="D794" t="s">
        <v>295</v>
      </c>
      <c r="E794" s="16" t="s">
        <v>296</v>
      </c>
      <c r="F794" s="2">
        <v>31794</v>
      </c>
      <c r="G794" s="2">
        <v>32949</v>
      </c>
      <c r="H794" s="2">
        <v>39300</v>
      </c>
      <c r="I794" s="25">
        <v>41820</v>
      </c>
      <c r="K794" s="2">
        <v>36217</v>
      </c>
      <c r="L794" t="s">
        <v>297</v>
      </c>
      <c r="M794" t="s">
        <v>297</v>
      </c>
      <c r="N794" s="23" t="str">
        <f t="shared" si="85"/>
        <v>Y</v>
      </c>
      <c r="O794" s="16" t="s">
        <v>1633</v>
      </c>
      <c r="P794" s="10" t="s">
        <v>222</v>
      </c>
      <c r="Q794" s="10" t="s">
        <v>231</v>
      </c>
      <c r="S794" s="16" t="str">
        <f>MID(Q794,9,30)</f>
        <v>Gwynne L De Longpre</v>
      </c>
      <c r="T794" s="31">
        <v>41438</v>
      </c>
      <c r="U794" s="24">
        <v>39969</v>
      </c>
    </row>
    <row r="795" spans="1:33" customFormat="1" hidden="1">
      <c r="A795" t="s">
        <v>232</v>
      </c>
      <c r="B795" t="s">
        <v>236</v>
      </c>
      <c r="I795" s="6"/>
    </row>
    <row r="796" spans="1:33">
      <c r="A796" s="16">
        <v>8</v>
      </c>
      <c r="B796" s="16" t="s">
        <v>176</v>
      </c>
      <c r="C796" s="16">
        <v>675</v>
      </c>
      <c r="D796" s="7" t="s">
        <v>295</v>
      </c>
      <c r="E796" s="16" t="s">
        <v>296</v>
      </c>
      <c r="F796" s="2">
        <v>32577</v>
      </c>
      <c r="G796" s="2">
        <v>33264</v>
      </c>
      <c r="H796" s="2">
        <v>39308</v>
      </c>
      <c r="I796" s="25">
        <v>41820</v>
      </c>
      <c r="J796" s="2">
        <v>38777</v>
      </c>
      <c r="K796" s="2">
        <v>38946</v>
      </c>
      <c r="L796" t="s">
        <v>297</v>
      </c>
      <c r="M796" t="s">
        <v>297</v>
      </c>
      <c r="N796" s="23" t="str">
        <f t="shared" ref="N796:N806" si="87">IF((I796&gt;$W$2),"Y","N")</f>
        <v>Y</v>
      </c>
      <c r="O796" s="16" t="s">
        <v>1502</v>
      </c>
      <c r="P796" s="10" t="s">
        <v>222</v>
      </c>
      <c r="Q796" s="10" t="s">
        <v>231</v>
      </c>
      <c r="S796" s="16" t="str">
        <f t="shared" ref="S796:S806" si="88">MID(Q796,9,30)</f>
        <v>Gwynne L De Longpre</v>
      </c>
      <c r="T796" s="31">
        <v>41477</v>
      </c>
    </row>
    <row r="797" spans="1:33">
      <c r="A797" s="16">
        <v>8</v>
      </c>
      <c r="B797" s="16" t="s">
        <v>176</v>
      </c>
      <c r="C797" s="16">
        <v>676</v>
      </c>
      <c r="D797" t="s">
        <v>295</v>
      </c>
      <c r="E797" s="16" t="s">
        <v>296</v>
      </c>
      <c r="F797" s="2">
        <v>33313</v>
      </c>
      <c r="G797" s="2">
        <v>33313</v>
      </c>
      <c r="H797" s="2">
        <v>39264</v>
      </c>
      <c r="I797" s="25">
        <v>41820</v>
      </c>
      <c r="J797" s="2">
        <v>35741</v>
      </c>
      <c r="K797" s="2">
        <v>34852</v>
      </c>
      <c r="L797" t="s">
        <v>297</v>
      </c>
      <c r="M797" t="s">
        <v>297</v>
      </c>
      <c r="N797" s="23" t="str">
        <f t="shared" si="87"/>
        <v>Y</v>
      </c>
      <c r="O797" s="16" t="s">
        <v>1489</v>
      </c>
      <c r="P797" s="10" t="s">
        <v>222</v>
      </c>
      <c r="Q797" s="10" t="s">
        <v>231</v>
      </c>
      <c r="S797" s="16" t="str">
        <f t="shared" si="88"/>
        <v>Gwynne L De Longpre</v>
      </c>
      <c r="T797" s="31">
        <v>41428</v>
      </c>
      <c r="U797" s="24">
        <v>39969</v>
      </c>
    </row>
    <row r="798" spans="1:33">
      <c r="A798" s="16">
        <v>8</v>
      </c>
      <c r="B798" s="16" t="s">
        <v>176</v>
      </c>
      <c r="C798" s="16">
        <v>746</v>
      </c>
      <c r="D798" t="s">
        <v>295</v>
      </c>
      <c r="E798" s="16" t="s">
        <v>296</v>
      </c>
      <c r="F798" s="2">
        <v>33021</v>
      </c>
      <c r="G798" s="2">
        <v>33684</v>
      </c>
      <c r="H798" s="2">
        <v>39451</v>
      </c>
      <c r="I798" s="25">
        <v>41820</v>
      </c>
      <c r="K798" s="2">
        <v>35685</v>
      </c>
      <c r="L798" t="s">
        <v>297</v>
      </c>
      <c r="M798" t="s">
        <v>297</v>
      </c>
      <c r="N798" s="23" t="str">
        <f t="shared" si="87"/>
        <v>Y</v>
      </c>
      <c r="O798" s="16" t="s">
        <v>1247</v>
      </c>
      <c r="P798" s="10" t="s">
        <v>222</v>
      </c>
      <c r="Q798" s="10" t="s">
        <v>231</v>
      </c>
      <c r="S798" s="16" t="str">
        <f t="shared" si="88"/>
        <v>Gwynne L De Longpre</v>
      </c>
      <c r="T798" s="31">
        <v>41477</v>
      </c>
    </row>
    <row r="799" spans="1:33">
      <c r="A799" s="16">
        <v>8</v>
      </c>
      <c r="B799" s="16" t="s">
        <v>176</v>
      </c>
      <c r="C799" s="16">
        <v>767</v>
      </c>
      <c r="D799" t="s">
        <v>295</v>
      </c>
      <c r="E799" s="16" t="s">
        <v>296</v>
      </c>
      <c r="F799" s="2">
        <v>33264</v>
      </c>
      <c r="G799" s="2">
        <v>33992</v>
      </c>
      <c r="H799" s="2">
        <v>39429</v>
      </c>
      <c r="I799" s="25">
        <v>41820</v>
      </c>
      <c r="J799" s="2">
        <v>34799</v>
      </c>
      <c r="K799" s="2">
        <v>35633</v>
      </c>
      <c r="L799" t="s">
        <v>297</v>
      </c>
      <c r="M799" t="s">
        <v>297</v>
      </c>
      <c r="N799" s="23" t="str">
        <f t="shared" si="87"/>
        <v>Y</v>
      </c>
      <c r="O799" s="30" t="s">
        <v>1862</v>
      </c>
      <c r="P799" s="10" t="s">
        <v>222</v>
      </c>
      <c r="Q799" s="10" t="s">
        <v>231</v>
      </c>
      <c r="S799" s="16" t="str">
        <f t="shared" si="88"/>
        <v>Gwynne L De Longpre</v>
      </c>
      <c r="T799" s="31">
        <v>41409</v>
      </c>
    </row>
    <row r="800" spans="1:33">
      <c r="A800" s="16">
        <v>8</v>
      </c>
      <c r="B800" s="16" t="s">
        <v>176</v>
      </c>
      <c r="C800" s="16">
        <v>815</v>
      </c>
      <c r="D800" s="7" t="s">
        <v>295</v>
      </c>
      <c r="E800" s="16" t="s">
        <v>296</v>
      </c>
      <c r="F800" s="2">
        <v>33544</v>
      </c>
      <c r="G800" s="2">
        <v>36238</v>
      </c>
      <c r="H800" s="2">
        <v>39315</v>
      </c>
      <c r="I800" s="25">
        <v>41820</v>
      </c>
      <c r="K800" s="2">
        <v>38881</v>
      </c>
      <c r="L800" t="s">
        <v>297</v>
      </c>
      <c r="M800" t="s">
        <v>297</v>
      </c>
      <c r="N800" s="23" t="str">
        <f t="shared" si="87"/>
        <v>Y</v>
      </c>
      <c r="O800" s="30" t="s">
        <v>1863</v>
      </c>
      <c r="P800" s="10" t="s">
        <v>222</v>
      </c>
      <c r="Q800" s="10" t="s">
        <v>231</v>
      </c>
      <c r="S800" s="16" t="str">
        <f t="shared" si="88"/>
        <v>Gwynne L De Longpre</v>
      </c>
      <c r="T800" s="31">
        <v>41428</v>
      </c>
    </row>
    <row r="801" spans="1:33">
      <c r="A801" s="16">
        <v>8</v>
      </c>
      <c r="B801" s="16" t="s">
        <v>176</v>
      </c>
      <c r="C801" s="16">
        <v>826</v>
      </c>
      <c r="D801" t="s">
        <v>295</v>
      </c>
      <c r="E801" s="16" t="s">
        <v>296</v>
      </c>
      <c r="F801" s="2">
        <v>33684</v>
      </c>
      <c r="G801" s="2">
        <v>33992</v>
      </c>
      <c r="H801" s="2">
        <v>39224</v>
      </c>
      <c r="I801" s="25">
        <v>41820</v>
      </c>
      <c r="J801" s="2">
        <v>35317</v>
      </c>
      <c r="K801" s="2">
        <v>35869</v>
      </c>
      <c r="L801" t="s">
        <v>297</v>
      </c>
      <c r="M801" t="s">
        <v>297</v>
      </c>
      <c r="N801" s="23" t="str">
        <f t="shared" si="87"/>
        <v>Y</v>
      </c>
      <c r="O801" s="16" t="s">
        <v>1444</v>
      </c>
      <c r="P801" s="10" t="s">
        <v>222</v>
      </c>
      <c r="Q801" s="10" t="s">
        <v>231</v>
      </c>
      <c r="S801" s="16" t="str">
        <f t="shared" si="88"/>
        <v>Gwynne L De Longpre</v>
      </c>
      <c r="T801" s="31">
        <v>41477</v>
      </c>
    </row>
    <row r="802" spans="1:33">
      <c r="A802" s="16">
        <v>8</v>
      </c>
      <c r="B802" s="16" t="s">
        <v>176</v>
      </c>
      <c r="C802" s="16">
        <v>1391</v>
      </c>
      <c r="D802" t="s">
        <v>295</v>
      </c>
      <c r="E802" s="16" t="s">
        <v>296</v>
      </c>
      <c r="F802" s="2">
        <v>37120</v>
      </c>
      <c r="G802" s="2">
        <v>37694</v>
      </c>
      <c r="H802" s="2">
        <v>39463</v>
      </c>
      <c r="I802" s="25">
        <v>41820</v>
      </c>
      <c r="L802" t="s">
        <v>297</v>
      </c>
      <c r="M802" t="s">
        <v>297</v>
      </c>
      <c r="N802" s="23" t="str">
        <f t="shared" si="87"/>
        <v>Y</v>
      </c>
      <c r="O802" s="16" t="s">
        <v>901</v>
      </c>
      <c r="P802" s="10" t="s">
        <v>222</v>
      </c>
      <c r="Q802" s="10" t="s">
        <v>231</v>
      </c>
      <c r="S802" s="16" t="str">
        <f t="shared" si="88"/>
        <v>Gwynne L De Longpre</v>
      </c>
      <c r="T802" s="31">
        <v>41442</v>
      </c>
    </row>
    <row r="803" spans="1:33">
      <c r="A803" s="16">
        <v>8</v>
      </c>
      <c r="B803" s="16" t="s">
        <v>176</v>
      </c>
      <c r="C803" s="16">
        <v>1418</v>
      </c>
      <c r="D803" s="7" t="s">
        <v>295</v>
      </c>
      <c r="E803" s="16" t="s">
        <v>316</v>
      </c>
      <c r="F803" s="2">
        <v>37523</v>
      </c>
      <c r="H803" s="2">
        <v>39223</v>
      </c>
      <c r="I803" s="25">
        <v>38503</v>
      </c>
      <c r="K803" s="2">
        <v>38441</v>
      </c>
      <c r="L803" t="s">
        <v>297</v>
      </c>
      <c r="M803" t="s">
        <v>297</v>
      </c>
      <c r="N803" s="23" t="str">
        <f t="shared" si="87"/>
        <v>N</v>
      </c>
      <c r="O803" s="16" t="s">
        <v>902</v>
      </c>
      <c r="P803" s="10" t="s">
        <v>222</v>
      </c>
      <c r="Q803" s="10" t="s">
        <v>231</v>
      </c>
      <c r="S803" s="16" t="str">
        <f t="shared" si="88"/>
        <v>Gwynne L De Longpre</v>
      </c>
      <c r="T803" s="31" t="s">
        <v>1315</v>
      </c>
    </row>
    <row r="804" spans="1:33">
      <c r="A804" s="16">
        <v>9</v>
      </c>
      <c r="B804" s="16" t="s">
        <v>149</v>
      </c>
      <c r="C804" s="16">
        <v>126</v>
      </c>
      <c r="D804" t="s">
        <v>295</v>
      </c>
      <c r="E804" s="16" t="s">
        <v>296</v>
      </c>
      <c r="F804" s="2">
        <v>28093</v>
      </c>
      <c r="G804" s="2">
        <v>29074</v>
      </c>
      <c r="H804" s="2">
        <v>39324</v>
      </c>
      <c r="I804" s="25">
        <v>41820</v>
      </c>
      <c r="J804" s="2">
        <v>34212</v>
      </c>
      <c r="K804" s="2">
        <v>37573</v>
      </c>
      <c r="L804" t="s">
        <v>297</v>
      </c>
      <c r="M804" t="s">
        <v>297</v>
      </c>
      <c r="N804" s="23" t="str">
        <f t="shared" si="87"/>
        <v>Y</v>
      </c>
      <c r="O804" s="30" t="s">
        <v>1864</v>
      </c>
      <c r="P804" s="10" t="s">
        <v>232</v>
      </c>
      <c r="Q804" s="10" t="s">
        <v>233</v>
      </c>
      <c r="S804" s="16" t="str">
        <f t="shared" si="88"/>
        <v>Eileen   Tabert</v>
      </c>
      <c r="T804" s="31">
        <v>41443</v>
      </c>
      <c r="U804" s="24">
        <v>39968</v>
      </c>
    </row>
    <row r="805" spans="1:33">
      <c r="A805" s="16">
        <v>9</v>
      </c>
      <c r="B805" s="16" t="s">
        <v>149</v>
      </c>
      <c r="C805" s="16">
        <v>354</v>
      </c>
      <c r="D805" s="7" t="s">
        <v>295</v>
      </c>
      <c r="E805" s="16" t="s">
        <v>296</v>
      </c>
      <c r="F805" s="2">
        <v>30191</v>
      </c>
      <c r="G805" s="2">
        <v>30394</v>
      </c>
      <c r="H805" s="2">
        <v>39311</v>
      </c>
      <c r="I805" s="25">
        <v>41820</v>
      </c>
      <c r="K805" s="2">
        <v>32196</v>
      </c>
      <c r="L805" t="s">
        <v>297</v>
      </c>
      <c r="M805" t="s">
        <v>297</v>
      </c>
      <c r="N805" s="23" t="str">
        <f t="shared" si="87"/>
        <v>Y</v>
      </c>
      <c r="O805" s="30" t="s">
        <v>1865</v>
      </c>
      <c r="P805" s="10" t="s">
        <v>232</v>
      </c>
      <c r="Q805" s="10" t="s">
        <v>233</v>
      </c>
      <c r="S805" s="16" t="str">
        <f t="shared" si="88"/>
        <v>Eileen   Tabert</v>
      </c>
      <c r="T805" s="31">
        <v>41425</v>
      </c>
    </row>
    <row r="806" spans="1:33">
      <c r="A806" s="16">
        <v>9</v>
      </c>
      <c r="B806" s="16" t="s">
        <v>149</v>
      </c>
      <c r="C806" s="16">
        <v>384</v>
      </c>
      <c r="D806" s="7" t="s">
        <v>295</v>
      </c>
      <c r="E806" s="16" t="s">
        <v>296</v>
      </c>
      <c r="F806" s="2">
        <v>30393</v>
      </c>
      <c r="G806" s="2">
        <v>31101</v>
      </c>
      <c r="H806" s="2">
        <v>39316</v>
      </c>
      <c r="I806" s="25">
        <v>41820</v>
      </c>
      <c r="J806" s="2">
        <v>31106</v>
      </c>
      <c r="K806" s="2">
        <v>36431</v>
      </c>
      <c r="L806" t="s">
        <v>297</v>
      </c>
      <c r="N806" s="23" t="str">
        <f t="shared" si="87"/>
        <v>Y</v>
      </c>
      <c r="O806" s="30" t="s">
        <v>1866</v>
      </c>
      <c r="P806" s="10" t="s">
        <v>232</v>
      </c>
      <c r="Q806" s="10" t="s">
        <v>233</v>
      </c>
      <c r="S806" s="16" t="str">
        <f t="shared" si="88"/>
        <v>Eileen   Tabert</v>
      </c>
      <c r="T806" s="31">
        <v>41474</v>
      </c>
    </row>
    <row r="807" spans="1:33" s="7" customFormat="1" hidden="1">
      <c r="A807" s="7">
        <v>9</v>
      </c>
      <c r="B807" s="7" t="s">
        <v>163</v>
      </c>
      <c r="C807" s="7">
        <v>494</v>
      </c>
      <c r="D807" s="7" t="s">
        <v>576</v>
      </c>
      <c r="E807" s="7" t="s">
        <v>316</v>
      </c>
      <c r="F807" s="2">
        <v>31310</v>
      </c>
      <c r="G807" s="2">
        <v>33021</v>
      </c>
      <c r="H807" s="2">
        <v>36315</v>
      </c>
      <c r="I807" s="8">
        <v>35858</v>
      </c>
      <c r="J807"/>
      <c r="K807" s="2">
        <v>36315</v>
      </c>
      <c r="L807" t="s">
        <v>297</v>
      </c>
      <c r="M807" t="s">
        <v>297</v>
      </c>
      <c r="N807"/>
      <c r="O807" s="7" t="s">
        <v>369</v>
      </c>
      <c r="P807" s="7" t="s">
        <v>232</v>
      </c>
      <c r="Q807" s="7" t="s">
        <v>237</v>
      </c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</row>
    <row r="808" spans="1:33">
      <c r="A808" s="16">
        <v>9</v>
      </c>
      <c r="B808" s="16" t="s">
        <v>149</v>
      </c>
      <c r="C808" s="16">
        <v>483</v>
      </c>
      <c r="D808" s="7" t="s">
        <v>295</v>
      </c>
      <c r="E808" s="16" t="s">
        <v>296</v>
      </c>
      <c r="F808" s="2">
        <v>31241</v>
      </c>
      <c r="G808" s="2">
        <v>31674</v>
      </c>
      <c r="H808" s="2">
        <v>38833</v>
      </c>
      <c r="I808" s="25">
        <v>41820</v>
      </c>
      <c r="K808" s="2">
        <v>38832</v>
      </c>
      <c r="L808" t="s">
        <v>297</v>
      </c>
      <c r="M808" t="s">
        <v>297</v>
      </c>
      <c r="N808" s="23" t="str">
        <f>IF((I808&gt;$W$2),"Y","N")</f>
        <v>Y</v>
      </c>
      <c r="O808" s="16" t="s">
        <v>907</v>
      </c>
      <c r="P808" s="10" t="s">
        <v>232</v>
      </c>
      <c r="Q808" s="10" t="s">
        <v>233</v>
      </c>
      <c r="S808" s="16" t="str">
        <f>MID(Q808,9,30)</f>
        <v>Eileen   Tabert</v>
      </c>
      <c r="T808" s="31">
        <v>41414</v>
      </c>
    </row>
    <row r="809" spans="1:33">
      <c r="A809" s="16">
        <v>9</v>
      </c>
      <c r="B809" s="16" t="s">
        <v>149</v>
      </c>
      <c r="C809" s="16">
        <v>873</v>
      </c>
      <c r="D809" s="7" t="s">
        <v>295</v>
      </c>
      <c r="E809" s="16" t="s">
        <v>296</v>
      </c>
      <c r="F809" s="2">
        <v>33939</v>
      </c>
      <c r="G809" s="2">
        <v>35084</v>
      </c>
      <c r="H809" s="2">
        <v>39240</v>
      </c>
      <c r="I809" s="25">
        <v>41820</v>
      </c>
      <c r="K809" s="2">
        <v>34911</v>
      </c>
      <c r="L809" t="s">
        <v>297</v>
      </c>
      <c r="N809" s="23" t="str">
        <f>IF((I809&gt;$W$2),"Y","N")</f>
        <v>Y</v>
      </c>
      <c r="O809" s="30" t="s">
        <v>1867</v>
      </c>
      <c r="P809" s="10" t="s">
        <v>232</v>
      </c>
      <c r="Q809" s="10" t="s">
        <v>233</v>
      </c>
      <c r="S809" s="16" t="str">
        <f>MID(Q809,9,30)</f>
        <v>Eileen   Tabert</v>
      </c>
      <c r="T809" s="31">
        <v>41425</v>
      </c>
    </row>
    <row r="810" spans="1:33">
      <c r="A810" s="16">
        <v>9</v>
      </c>
      <c r="B810" s="16" t="s">
        <v>149</v>
      </c>
      <c r="C810" s="16">
        <v>981</v>
      </c>
      <c r="D810" t="s">
        <v>295</v>
      </c>
      <c r="E810" s="16" t="s">
        <v>376</v>
      </c>
      <c r="F810" s="2">
        <v>34541</v>
      </c>
      <c r="G810" s="2">
        <v>37092</v>
      </c>
      <c r="H810" s="2">
        <v>39047</v>
      </c>
      <c r="I810" s="25">
        <v>39994</v>
      </c>
      <c r="K810" s="2">
        <v>36264</v>
      </c>
      <c r="L810" t="s">
        <v>297</v>
      </c>
      <c r="M810" t="s">
        <v>297</v>
      </c>
      <c r="N810" s="23" t="str">
        <f>IF((I810&gt;$W$2),"Y","N")</f>
        <v>N</v>
      </c>
      <c r="O810" s="16" t="s">
        <v>1248</v>
      </c>
      <c r="P810" s="10" t="s">
        <v>232</v>
      </c>
      <c r="Q810" s="10" t="s">
        <v>233</v>
      </c>
      <c r="S810" s="16" t="str">
        <f>MID(Q810,9,30)</f>
        <v>Eileen   Tabert</v>
      </c>
      <c r="T810" s="31">
        <v>38689</v>
      </c>
    </row>
    <row r="811" spans="1:33">
      <c r="A811" s="16">
        <v>9</v>
      </c>
      <c r="B811" s="16" t="s">
        <v>149</v>
      </c>
      <c r="C811" s="16">
        <v>1343</v>
      </c>
      <c r="D811" t="s">
        <v>295</v>
      </c>
      <c r="E811" s="16" t="s">
        <v>296</v>
      </c>
      <c r="F811" s="2">
        <v>36662</v>
      </c>
      <c r="G811" s="2">
        <v>37092</v>
      </c>
      <c r="H811" s="2">
        <v>39233</v>
      </c>
      <c r="I811" s="25">
        <v>41820</v>
      </c>
      <c r="L811" t="s">
        <v>297</v>
      </c>
      <c r="M811" t="s">
        <v>297</v>
      </c>
      <c r="N811" s="23" t="str">
        <f>IF((I811&gt;$W$2),"Y","N")</f>
        <v>Y</v>
      </c>
      <c r="O811" s="30" t="s">
        <v>1218</v>
      </c>
      <c r="P811" s="10" t="s">
        <v>232</v>
      </c>
      <c r="Q811" s="10" t="s">
        <v>233</v>
      </c>
      <c r="S811" s="16" t="str">
        <f>MID(Q811,9,30)</f>
        <v>Eileen   Tabert</v>
      </c>
      <c r="T811" s="31">
        <v>41437</v>
      </c>
      <c r="U811" s="24">
        <v>39968</v>
      </c>
    </row>
    <row r="812" spans="1:33">
      <c r="A812" s="16">
        <v>9</v>
      </c>
      <c r="B812" s="16" t="s">
        <v>149</v>
      </c>
      <c r="C812" s="16">
        <v>1380</v>
      </c>
      <c r="D812" s="7" t="s">
        <v>295</v>
      </c>
      <c r="E812" s="16" t="s">
        <v>296</v>
      </c>
      <c r="F812" s="2">
        <v>37019</v>
      </c>
      <c r="H812" s="2">
        <v>38939</v>
      </c>
      <c r="I812" s="25">
        <v>41820</v>
      </c>
      <c r="L812" t="s">
        <v>297</v>
      </c>
      <c r="M812" t="s">
        <v>297</v>
      </c>
      <c r="N812" s="23" t="str">
        <f>IF((I812&gt;$W$2),"Y","N")</f>
        <v>Y</v>
      </c>
      <c r="O812" s="30" t="s">
        <v>1868</v>
      </c>
      <c r="P812" s="10" t="s">
        <v>232</v>
      </c>
      <c r="Q812" s="10" t="s">
        <v>233</v>
      </c>
      <c r="S812" s="16" t="str">
        <f>MID(Q812,9,30)</f>
        <v>Eileen   Tabert</v>
      </c>
      <c r="T812" s="31">
        <v>41395</v>
      </c>
    </row>
    <row r="813" spans="1:33" customFormat="1" hidden="1">
      <c r="A813" t="s">
        <v>232</v>
      </c>
      <c r="B813" t="s">
        <v>237</v>
      </c>
      <c r="I813" s="6"/>
      <c r="P813" t="s">
        <v>232</v>
      </c>
      <c r="Q813" t="s">
        <v>237</v>
      </c>
    </row>
    <row r="814" spans="1:33" customFormat="1" hidden="1">
      <c r="A814" t="s">
        <v>946</v>
      </c>
      <c r="I814" s="6"/>
    </row>
    <row r="815" spans="1:33">
      <c r="A815" s="16">
        <v>9</v>
      </c>
      <c r="B815" s="16" t="s">
        <v>149</v>
      </c>
      <c r="C815" s="16">
        <v>1425</v>
      </c>
      <c r="D815" s="7" t="s">
        <v>295</v>
      </c>
      <c r="E815" s="16" t="s">
        <v>316</v>
      </c>
      <c r="F815" s="2">
        <v>37524</v>
      </c>
      <c r="G815" s="2">
        <v>38734</v>
      </c>
      <c r="H815" s="2">
        <v>38937</v>
      </c>
      <c r="I815" s="25">
        <v>40359</v>
      </c>
      <c r="L815" t="s">
        <v>297</v>
      </c>
      <c r="M815" t="s">
        <v>297</v>
      </c>
      <c r="N815" s="23" t="str">
        <f>IF((I815&gt;$W$2),"Y","N")</f>
        <v>N</v>
      </c>
      <c r="O815" s="16" t="s">
        <v>1249</v>
      </c>
      <c r="P815" s="10" t="s">
        <v>232</v>
      </c>
      <c r="Q815" s="10" t="s">
        <v>233</v>
      </c>
      <c r="S815" s="16" t="str">
        <f>MID(Q815,9,30)</f>
        <v>Eileen   Tabert</v>
      </c>
      <c r="T815" s="31">
        <v>40084</v>
      </c>
    </row>
    <row r="816" spans="1:33">
      <c r="A816" s="16">
        <v>9</v>
      </c>
      <c r="B816" s="16" t="s">
        <v>149</v>
      </c>
      <c r="C816" s="16">
        <v>1520</v>
      </c>
      <c r="D816" s="7" t="s">
        <v>295</v>
      </c>
      <c r="E816" s="16" t="s">
        <v>296</v>
      </c>
      <c r="F816" s="2">
        <v>38876</v>
      </c>
      <c r="G816" s="2">
        <v>39108</v>
      </c>
      <c r="H816" s="2">
        <v>38898</v>
      </c>
      <c r="I816" s="25">
        <v>41820</v>
      </c>
      <c r="K816" s="2">
        <v>38950</v>
      </c>
      <c r="L816" t="s">
        <v>297</v>
      </c>
      <c r="M816" t="s">
        <v>297</v>
      </c>
      <c r="N816" s="23" t="str">
        <f>IF((I816&gt;$W$2),"Y","N")</f>
        <v>Y</v>
      </c>
      <c r="O816" s="16" t="s">
        <v>1484</v>
      </c>
      <c r="P816" s="10" t="s">
        <v>232</v>
      </c>
      <c r="Q816" s="10" t="s">
        <v>233</v>
      </c>
      <c r="S816" s="16" t="str">
        <f>MID(Q816,9,30)</f>
        <v>Eileen   Tabert</v>
      </c>
      <c r="T816" s="31">
        <v>41463</v>
      </c>
    </row>
    <row r="817" spans="1:33" s="7" customFormat="1" hidden="1">
      <c r="A817" s="7">
        <v>10</v>
      </c>
      <c r="B817" s="7" t="s">
        <v>140</v>
      </c>
      <c r="C817" s="7">
        <v>262</v>
      </c>
      <c r="D817" s="7" t="s">
        <v>462</v>
      </c>
      <c r="E817" s="7" t="s">
        <v>316</v>
      </c>
      <c r="F817" s="2">
        <v>29355</v>
      </c>
      <c r="G817" s="2">
        <v>29364</v>
      </c>
      <c r="H817" s="2">
        <v>33362</v>
      </c>
      <c r="I817" s="8">
        <v>30851</v>
      </c>
      <c r="J817"/>
      <c r="K817" s="2">
        <v>33362</v>
      </c>
      <c r="L817" t="s">
        <v>297</v>
      </c>
      <c r="M817" t="s">
        <v>297</v>
      </c>
      <c r="N817"/>
      <c r="O817" s="7" t="s">
        <v>369</v>
      </c>
      <c r="P817" s="7" t="s">
        <v>238</v>
      </c>
      <c r="Q817" s="7" t="s">
        <v>239</v>
      </c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</row>
    <row r="818" spans="1:33">
      <c r="A818" s="16">
        <v>9</v>
      </c>
      <c r="B818" s="16" t="s">
        <v>376</v>
      </c>
      <c r="C818" s="16">
        <v>102</v>
      </c>
      <c r="D818" s="7" t="s">
        <v>295</v>
      </c>
      <c r="E818" s="16" t="s">
        <v>296</v>
      </c>
      <c r="F818" s="2">
        <v>27785</v>
      </c>
      <c r="G818" s="2">
        <v>29074</v>
      </c>
      <c r="H818" s="2">
        <v>39504</v>
      </c>
      <c r="I818" s="25">
        <v>41455</v>
      </c>
      <c r="J818" s="2">
        <v>34310</v>
      </c>
      <c r="K818" s="2">
        <v>34387</v>
      </c>
      <c r="L818" t="s">
        <v>297</v>
      </c>
      <c r="M818" t="s">
        <v>297</v>
      </c>
      <c r="N818" s="23" t="str">
        <f>IF((I818&gt;$W$2),"Y","N")</f>
        <v>N</v>
      </c>
      <c r="O818" s="16" t="s">
        <v>914</v>
      </c>
      <c r="P818" s="10" t="s">
        <v>232</v>
      </c>
      <c r="Q818" s="10" t="s">
        <v>234</v>
      </c>
      <c r="S818" s="16" t="str">
        <f>MID(Q818,9,30)</f>
        <v>Daryn   Brasher</v>
      </c>
      <c r="T818" s="31">
        <v>41327</v>
      </c>
    </row>
    <row r="819" spans="1:33">
      <c r="A819" s="16">
        <v>9</v>
      </c>
      <c r="B819" s="16" t="s">
        <v>376</v>
      </c>
      <c r="C819" s="16">
        <v>373</v>
      </c>
      <c r="D819" s="7" t="s">
        <v>295</v>
      </c>
      <c r="E819" s="16" t="s">
        <v>296</v>
      </c>
      <c r="F819" s="2">
        <v>30209</v>
      </c>
      <c r="G819" s="2">
        <v>30205</v>
      </c>
      <c r="H819" s="2">
        <v>38790</v>
      </c>
      <c r="I819" s="25">
        <v>41455</v>
      </c>
      <c r="K819" s="2">
        <v>34078</v>
      </c>
      <c r="L819" t="s">
        <v>297</v>
      </c>
      <c r="N819" s="23" t="str">
        <f>IF((I819&gt;$W$2),"Y","N")</f>
        <v>N</v>
      </c>
      <c r="O819" s="30" t="s">
        <v>1218</v>
      </c>
      <c r="P819" s="10" t="s">
        <v>232</v>
      </c>
      <c r="Q819" s="10" t="s">
        <v>234</v>
      </c>
      <c r="S819" s="16" t="str">
        <f>MID(Q819,9,30)</f>
        <v>Daryn   Brasher</v>
      </c>
      <c r="T819" s="31">
        <v>41240</v>
      </c>
    </row>
    <row r="820" spans="1:33">
      <c r="A820" s="16">
        <v>9</v>
      </c>
      <c r="B820" s="16" t="s">
        <v>376</v>
      </c>
      <c r="C820" s="16">
        <v>434</v>
      </c>
      <c r="D820" s="7" t="s">
        <v>295</v>
      </c>
      <c r="E820" s="16" t="s">
        <v>296</v>
      </c>
      <c r="F820" s="2">
        <v>30856</v>
      </c>
      <c r="G820" s="2">
        <v>31493</v>
      </c>
      <c r="H820" s="2">
        <v>38772</v>
      </c>
      <c r="I820" s="25">
        <v>41820</v>
      </c>
      <c r="J820" s="2">
        <v>31593</v>
      </c>
      <c r="K820" s="2">
        <v>36287</v>
      </c>
      <c r="L820" t="s">
        <v>297</v>
      </c>
      <c r="M820" t="s">
        <v>297</v>
      </c>
      <c r="N820" s="23" t="str">
        <f>IF((I820&gt;$W$2),"Y","N")</f>
        <v>Y</v>
      </c>
      <c r="O820" s="30" t="s">
        <v>1869</v>
      </c>
      <c r="P820" s="10" t="s">
        <v>232</v>
      </c>
      <c r="Q820" s="10" t="s">
        <v>234</v>
      </c>
      <c r="S820" s="16" t="str">
        <f>MID(Q820,9,30)</f>
        <v>Daryn   Brasher</v>
      </c>
      <c r="T820" s="31">
        <v>41425</v>
      </c>
    </row>
    <row r="821" spans="1:33">
      <c r="A821" s="16">
        <v>9</v>
      </c>
      <c r="B821" s="16" t="s">
        <v>376</v>
      </c>
      <c r="C821" s="16">
        <v>791</v>
      </c>
      <c r="D821" s="7" t="s">
        <v>295</v>
      </c>
      <c r="E821" s="16" t="s">
        <v>296</v>
      </c>
      <c r="F821" s="2">
        <v>33384</v>
      </c>
      <c r="G821" s="2">
        <v>34656</v>
      </c>
      <c r="H821" s="2">
        <v>38684</v>
      </c>
      <c r="I821" s="25">
        <v>39629</v>
      </c>
      <c r="J821" s="2">
        <v>34638</v>
      </c>
      <c r="K821" s="2">
        <v>34638</v>
      </c>
      <c r="L821" t="s">
        <v>297</v>
      </c>
      <c r="M821" t="s">
        <v>297</v>
      </c>
      <c r="N821" s="23" t="str">
        <f>IF((I821&gt;$W$2),"Y","N")</f>
        <v>N</v>
      </c>
      <c r="O821" s="30" t="s">
        <v>1211</v>
      </c>
      <c r="P821" s="10" t="s">
        <v>232</v>
      </c>
      <c r="Q821" s="10" t="s">
        <v>234</v>
      </c>
      <c r="S821" s="16" t="str">
        <f>MID(Q821,9,30)</f>
        <v>Daryn   Brasher</v>
      </c>
      <c r="T821" s="31">
        <v>39570</v>
      </c>
    </row>
    <row r="822" spans="1:33" s="7" customFormat="1" hidden="1">
      <c r="A822" s="7">
        <v>10</v>
      </c>
      <c r="B822" s="7" t="s">
        <v>140</v>
      </c>
      <c r="C822" s="7">
        <v>582</v>
      </c>
      <c r="D822" s="7" t="s">
        <v>464</v>
      </c>
      <c r="E822" s="7" t="s">
        <v>316</v>
      </c>
      <c r="F822" s="2">
        <v>31857</v>
      </c>
      <c r="G822"/>
      <c r="H822" s="2">
        <v>36636</v>
      </c>
      <c r="I822" s="8">
        <v>32675</v>
      </c>
      <c r="J822"/>
      <c r="K822" s="2">
        <v>36361</v>
      </c>
      <c r="L822" t="s">
        <v>322</v>
      </c>
      <c r="M822" t="s">
        <v>297</v>
      </c>
      <c r="N822"/>
      <c r="O822" s="7" t="s">
        <v>369</v>
      </c>
      <c r="P822" s="7" t="s">
        <v>238</v>
      </c>
      <c r="Q822" s="7" t="s">
        <v>239</v>
      </c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</row>
    <row r="823" spans="1:33">
      <c r="A823" s="16">
        <v>9</v>
      </c>
      <c r="B823" s="16" t="s">
        <v>376</v>
      </c>
      <c r="C823" s="16">
        <v>1602</v>
      </c>
      <c r="E823" s="16" t="s">
        <v>296</v>
      </c>
      <c r="F823" s="2">
        <v>38216</v>
      </c>
      <c r="H823" s="2">
        <v>38216</v>
      </c>
      <c r="I823" s="25">
        <v>41820</v>
      </c>
      <c r="L823" t="s">
        <v>297</v>
      </c>
      <c r="M823" t="s">
        <v>322</v>
      </c>
      <c r="N823" s="21" t="str">
        <f>IF((I823&gt;$W$2),"Y","N")</f>
        <v>Y</v>
      </c>
      <c r="O823" s="16" t="s">
        <v>1445</v>
      </c>
      <c r="T823" s="31">
        <v>41428</v>
      </c>
    </row>
    <row r="824" spans="1:33">
      <c r="A824" s="16">
        <v>9</v>
      </c>
      <c r="B824" s="16" t="s">
        <v>235</v>
      </c>
      <c r="C824" s="16">
        <v>536</v>
      </c>
      <c r="D824" s="7" t="s">
        <v>295</v>
      </c>
      <c r="E824" s="16" t="s">
        <v>296</v>
      </c>
      <c r="F824" s="2">
        <v>31612</v>
      </c>
      <c r="G824" s="2">
        <v>32901</v>
      </c>
      <c r="H824" s="2">
        <v>38506</v>
      </c>
      <c r="I824" s="25">
        <v>41455</v>
      </c>
      <c r="K824" s="2">
        <v>34492</v>
      </c>
      <c r="L824" t="s">
        <v>297</v>
      </c>
      <c r="M824" t="s">
        <v>297</v>
      </c>
      <c r="N824" s="23" t="str">
        <f>IF((I824&gt;$W$2),"Y","N")</f>
        <v>N</v>
      </c>
      <c r="O824" s="16" t="s">
        <v>918</v>
      </c>
      <c r="P824" s="10" t="s">
        <v>232</v>
      </c>
      <c r="Q824" s="10" t="s">
        <v>236</v>
      </c>
      <c r="S824" s="16" t="str">
        <f>MID(Q824,9,30)</f>
        <v>Gene A Aubrey</v>
      </c>
      <c r="T824" s="31">
        <v>41114</v>
      </c>
    </row>
    <row r="825" spans="1:33">
      <c r="A825" s="16">
        <v>9</v>
      </c>
      <c r="B825" s="16" t="s">
        <v>235</v>
      </c>
      <c r="C825" s="16">
        <v>640</v>
      </c>
      <c r="D825" t="s">
        <v>295</v>
      </c>
      <c r="E825" s="16" t="s">
        <v>316</v>
      </c>
      <c r="F825" s="2">
        <v>32293</v>
      </c>
      <c r="H825" s="2">
        <v>39413</v>
      </c>
      <c r="I825" s="25">
        <v>41820</v>
      </c>
      <c r="K825" s="2">
        <v>34757</v>
      </c>
      <c r="L825" t="s">
        <v>297</v>
      </c>
      <c r="M825" t="s">
        <v>297</v>
      </c>
      <c r="N825" s="23" t="str">
        <f>IF((I825&gt;$W$2),"Y","N")</f>
        <v>Y</v>
      </c>
      <c r="O825" s="16" t="s">
        <v>1218</v>
      </c>
      <c r="P825" s="10" t="s">
        <v>232</v>
      </c>
      <c r="Q825" s="10" t="s">
        <v>236</v>
      </c>
      <c r="S825" s="16" t="str">
        <f>MID(Q825,9,30)</f>
        <v>Gene A Aubrey</v>
      </c>
      <c r="T825" s="31">
        <v>41304</v>
      </c>
      <c r="U825" s="24">
        <v>39972</v>
      </c>
    </row>
    <row r="826" spans="1:33" customFormat="1" hidden="1">
      <c r="A826">
        <v>10</v>
      </c>
      <c r="B826" t="s">
        <v>140</v>
      </c>
      <c r="C826">
        <v>1510</v>
      </c>
      <c r="D826" t="s">
        <v>393</v>
      </c>
      <c r="E826" t="s">
        <v>376</v>
      </c>
      <c r="F826" s="2">
        <v>38582</v>
      </c>
      <c r="H826" s="2">
        <v>38610</v>
      </c>
      <c r="I826" s="6"/>
      <c r="L826" t="s">
        <v>317</v>
      </c>
      <c r="M826" t="s">
        <v>297</v>
      </c>
      <c r="O826" t="s">
        <v>956</v>
      </c>
      <c r="P826" t="s">
        <v>238</v>
      </c>
      <c r="Q826" t="s">
        <v>239</v>
      </c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</row>
    <row r="827" spans="1:33" customFormat="1" hidden="1">
      <c r="A827">
        <v>10</v>
      </c>
      <c r="B827" t="s">
        <v>140</v>
      </c>
      <c r="C827">
        <v>1526</v>
      </c>
      <c r="D827" t="s">
        <v>618</v>
      </c>
      <c r="E827" t="s">
        <v>376</v>
      </c>
      <c r="F827" s="2">
        <v>38889</v>
      </c>
      <c r="H827" s="2">
        <v>39299</v>
      </c>
      <c r="I827" s="5">
        <v>39629</v>
      </c>
      <c r="J827" s="2">
        <v>39418</v>
      </c>
      <c r="L827" t="s">
        <v>297</v>
      </c>
      <c r="M827" t="s">
        <v>297</v>
      </c>
      <c r="O827" t="s">
        <v>957</v>
      </c>
      <c r="P827" t="s">
        <v>238</v>
      </c>
      <c r="Q827" t="s">
        <v>239</v>
      </c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</row>
    <row r="828" spans="1:33" customFormat="1" hidden="1">
      <c r="A828" t="s">
        <v>238</v>
      </c>
      <c r="B828" t="s">
        <v>239</v>
      </c>
      <c r="I828" s="6"/>
    </row>
    <row r="829" spans="1:33">
      <c r="A829" s="16">
        <v>9</v>
      </c>
      <c r="B829" s="16" t="s">
        <v>235</v>
      </c>
      <c r="C829" s="16">
        <v>674</v>
      </c>
      <c r="D829" s="7" t="s">
        <v>295</v>
      </c>
      <c r="E829" s="16" t="s">
        <v>296</v>
      </c>
      <c r="F829" s="2">
        <v>32577</v>
      </c>
      <c r="G829" s="2">
        <v>36175</v>
      </c>
      <c r="H829" s="2">
        <v>39461</v>
      </c>
      <c r="I829" s="25">
        <v>41455</v>
      </c>
      <c r="J829" s="2">
        <v>36214</v>
      </c>
      <c r="K829" s="2">
        <v>36208</v>
      </c>
      <c r="L829" t="s">
        <v>297</v>
      </c>
      <c r="M829" t="s">
        <v>297</v>
      </c>
      <c r="N829" s="23" t="str">
        <f t="shared" ref="N829:N837" si="89">IF((I829&gt;$W$2),"Y","N")</f>
        <v>N</v>
      </c>
      <c r="O829" s="16" t="s">
        <v>1250</v>
      </c>
      <c r="P829" s="10" t="s">
        <v>232</v>
      </c>
      <c r="Q829" s="10" t="s">
        <v>236</v>
      </c>
      <c r="S829" s="16" t="str">
        <f t="shared" ref="S829:S837" si="90">MID(Q829,9,30)</f>
        <v>Gene A Aubrey</v>
      </c>
      <c r="T829" s="31">
        <v>41165</v>
      </c>
    </row>
    <row r="830" spans="1:33">
      <c r="A830" s="16">
        <v>9</v>
      </c>
      <c r="B830" s="16" t="s">
        <v>235</v>
      </c>
      <c r="C830" s="16">
        <v>1120</v>
      </c>
      <c r="D830" s="7" t="s">
        <v>295</v>
      </c>
      <c r="E830" s="30" t="s">
        <v>296</v>
      </c>
      <c r="F830" s="2">
        <v>35254</v>
      </c>
      <c r="H830" s="2">
        <v>38741</v>
      </c>
      <c r="I830" s="25">
        <v>41455</v>
      </c>
      <c r="K830" s="2">
        <v>35249</v>
      </c>
      <c r="L830" t="s">
        <v>297</v>
      </c>
      <c r="M830" t="s">
        <v>297</v>
      </c>
      <c r="N830" s="23" t="str">
        <f t="shared" si="89"/>
        <v>N</v>
      </c>
      <c r="O830" s="30" t="s">
        <v>1870</v>
      </c>
      <c r="P830" s="10" t="s">
        <v>232</v>
      </c>
      <c r="Q830" s="10" t="s">
        <v>236</v>
      </c>
      <c r="S830" s="16" t="str">
        <f t="shared" si="90"/>
        <v>Gene A Aubrey</v>
      </c>
      <c r="T830" s="31">
        <v>41059</v>
      </c>
    </row>
    <row r="831" spans="1:33">
      <c r="A831" s="16">
        <v>9</v>
      </c>
      <c r="B831" s="16" t="s">
        <v>235</v>
      </c>
      <c r="C831" s="16">
        <v>1201</v>
      </c>
      <c r="D831" s="7" t="s">
        <v>295</v>
      </c>
      <c r="E831" s="16" t="s">
        <v>296</v>
      </c>
      <c r="F831" s="2">
        <v>35597</v>
      </c>
      <c r="G831" s="2">
        <v>36308</v>
      </c>
      <c r="H831" s="2">
        <v>38813</v>
      </c>
      <c r="I831" s="25">
        <v>41820</v>
      </c>
      <c r="K831" s="2">
        <v>38812</v>
      </c>
      <c r="L831" t="s">
        <v>297</v>
      </c>
      <c r="M831" t="s">
        <v>297</v>
      </c>
      <c r="N831" s="23" t="str">
        <f t="shared" si="89"/>
        <v>Y</v>
      </c>
      <c r="O831" s="16" t="s">
        <v>1251</v>
      </c>
      <c r="P831" s="10" t="s">
        <v>232</v>
      </c>
      <c r="Q831" s="10" t="s">
        <v>236</v>
      </c>
      <c r="S831" s="16" t="str">
        <f t="shared" si="90"/>
        <v>Gene A Aubrey</v>
      </c>
      <c r="T831" s="31">
        <v>41439</v>
      </c>
    </row>
    <row r="832" spans="1:33">
      <c r="A832" s="16">
        <v>9</v>
      </c>
      <c r="B832" s="16" t="s">
        <v>235</v>
      </c>
      <c r="C832" s="16">
        <v>1265</v>
      </c>
      <c r="D832" s="7" t="s">
        <v>295</v>
      </c>
      <c r="E832" s="16" t="s">
        <v>296</v>
      </c>
      <c r="F832" s="2">
        <v>36007</v>
      </c>
      <c r="G832" s="2">
        <v>39521</v>
      </c>
      <c r="H832" s="2">
        <v>39345</v>
      </c>
      <c r="I832" s="25">
        <v>38929</v>
      </c>
      <c r="K832" s="2">
        <v>38434</v>
      </c>
      <c r="L832" t="s">
        <v>322</v>
      </c>
      <c r="M832" t="s">
        <v>297</v>
      </c>
      <c r="N832" s="23" t="str">
        <f t="shared" si="89"/>
        <v>N</v>
      </c>
      <c r="O832" s="16" t="s">
        <v>1600</v>
      </c>
      <c r="P832" s="10" t="s">
        <v>232</v>
      </c>
      <c r="Q832" s="10" t="s">
        <v>236</v>
      </c>
      <c r="S832" s="16" t="str">
        <f t="shared" si="90"/>
        <v>Gene A Aubrey</v>
      </c>
    </row>
    <row r="833" spans="1:33">
      <c r="A833" s="16">
        <v>9</v>
      </c>
      <c r="B833" s="16" t="s">
        <v>235</v>
      </c>
      <c r="C833" s="16">
        <v>1300</v>
      </c>
      <c r="D833" s="7" t="s">
        <v>295</v>
      </c>
      <c r="E833" s="16" t="s">
        <v>296</v>
      </c>
      <c r="F833" s="2">
        <v>36304</v>
      </c>
      <c r="G833" s="2">
        <v>37330</v>
      </c>
      <c r="H833" s="2">
        <v>38952</v>
      </c>
      <c r="I833" s="25">
        <v>39263</v>
      </c>
      <c r="K833" s="2">
        <v>38547</v>
      </c>
      <c r="L833" t="s">
        <v>297</v>
      </c>
      <c r="M833" t="s">
        <v>297</v>
      </c>
      <c r="N833" s="23" t="str">
        <f t="shared" si="89"/>
        <v>N</v>
      </c>
      <c r="O833" s="16" t="s">
        <v>924</v>
      </c>
      <c r="P833" s="10" t="s">
        <v>232</v>
      </c>
      <c r="Q833" s="10" t="s">
        <v>236</v>
      </c>
      <c r="S833" s="16" t="str">
        <f t="shared" si="90"/>
        <v>Gene A Aubrey</v>
      </c>
    </row>
    <row r="834" spans="1:33">
      <c r="A834" s="16">
        <v>9</v>
      </c>
      <c r="B834" s="16" t="s">
        <v>235</v>
      </c>
      <c r="C834" s="16">
        <v>1403</v>
      </c>
      <c r="D834" s="7" t="s">
        <v>295</v>
      </c>
      <c r="E834" s="16" t="s">
        <v>299</v>
      </c>
      <c r="F834" s="2">
        <v>37316</v>
      </c>
      <c r="H834" s="2">
        <v>37316</v>
      </c>
      <c r="I834" s="25">
        <v>41820</v>
      </c>
      <c r="L834" t="s">
        <v>297</v>
      </c>
      <c r="M834" t="s">
        <v>297</v>
      </c>
      <c r="N834" s="23" t="str">
        <f t="shared" si="89"/>
        <v>Y</v>
      </c>
      <c r="O834" s="30" t="s">
        <v>1218</v>
      </c>
      <c r="P834" s="10" t="s">
        <v>232</v>
      </c>
      <c r="Q834" s="10" t="s">
        <v>236</v>
      </c>
      <c r="S834" s="16" t="str">
        <f t="shared" si="90"/>
        <v>Gene A Aubrey</v>
      </c>
      <c r="T834" s="31">
        <v>41477</v>
      </c>
    </row>
    <row r="835" spans="1:33">
      <c r="A835" s="16">
        <v>9</v>
      </c>
      <c r="B835" s="16" t="s">
        <v>235</v>
      </c>
      <c r="C835" s="16">
        <v>1406</v>
      </c>
      <c r="D835" s="7" t="s">
        <v>295</v>
      </c>
      <c r="E835" s="30" t="s">
        <v>376</v>
      </c>
      <c r="F835" s="2">
        <v>37323</v>
      </c>
      <c r="H835" s="2">
        <v>38989</v>
      </c>
      <c r="I835" s="25">
        <v>40359</v>
      </c>
      <c r="K835" s="2">
        <v>37869</v>
      </c>
      <c r="L835" t="s">
        <v>297</v>
      </c>
      <c r="M835" t="s">
        <v>297</v>
      </c>
      <c r="N835" s="23" t="str">
        <f t="shared" si="89"/>
        <v>N</v>
      </c>
      <c r="O835" s="16" t="s">
        <v>926</v>
      </c>
      <c r="P835" s="10" t="s">
        <v>232</v>
      </c>
      <c r="Q835" s="10" t="s">
        <v>236</v>
      </c>
      <c r="S835" s="16" t="str">
        <f t="shared" si="90"/>
        <v>Gene A Aubrey</v>
      </c>
      <c r="T835" s="31" t="s">
        <v>1273</v>
      </c>
    </row>
    <row r="836" spans="1:33">
      <c r="A836" s="16">
        <v>9</v>
      </c>
      <c r="B836" s="16" t="s">
        <v>235</v>
      </c>
      <c r="C836" s="16">
        <v>1480</v>
      </c>
      <c r="D836" s="7" t="s">
        <v>295</v>
      </c>
      <c r="E836" s="16" t="s">
        <v>316</v>
      </c>
      <c r="F836" s="2">
        <v>38163</v>
      </c>
      <c r="H836" s="2">
        <v>38215</v>
      </c>
      <c r="I836" s="25">
        <v>38533</v>
      </c>
      <c r="L836" t="s">
        <v>297</v>
      </c>
      <c r="M836" t="s">
        <v>297</v>
      </c>
      <c r="N836" s="23" t="str">
        <f t="shared" si="89"/>
        <v>N</v>
      </c>
      <c r="O836" s="16" t="s">
        <v>927</v>
      </c>
      <c r="P836" s="10" t="s">
        <v>232</v>
      </c>
      <c r="Q836" s="10" t="s">
        <v>236</v>
      </c>
      <c r="S836" s="16" t="str">
        <f t="shared" si="90"/>
        <v>Gene A Aubrey</v>
      </c>
    </row>
    <row r="837" spans="1:33">
      <c r="A837" s="16">
        <v>9</v>
      </c>
      <c r="B837" s="16" t="s">
        <v>235</v>
      </c>
      <c r="C837" s="16">
        <v>1538</v>
      </c>
      <c r="D837" s="7" t="s">
        <v>295</v>
      </c>
      <c r="E837" s="16" t="s">
        <v>299</v>
      </c>
      <c r="F837" s="2">
        <v>39114</v>
      </c>
      <c r="H837" s="2">
        <v>39149</v>
      </c>
      <c r="I837" s="25">
        <v>41820</v>
      </c>
      <c r="L837" t="s">
        <v>297</v>
      </c>
      <c r="M837" t="s">
        <v>297</v>
      </c>
      <c r="N837" s="23" t="str">
        <f t="shared" si="89"/>
        <v>Y</v>
      </c>
      <c r="O837" s="16" t="s">
        <v>1252</v>
      </c>
      <c r="P837" s="10" t="s">
        <v>232</v>
      </c>
      <c r="Q837" s="10" t="s">
        <v>236</v>
      </c>
      <c r="S837" s="16" t="str">
        <f t="shared" si="90"/>
        <v>Gene A Aubrey</v>
      </c>
      <c r="T837" s="31">
        <v>41471</v>
      </c>
    </row>
    <row r="838" spans="1:33" s="7" customFormat="1" hidden="1">
      <c r="A838" s="7">
        <v>10</v>
      </c>
      <c r="B838" s="7" t="s">
        <v>153</v>
      </c>
      <c r="C838" s="7">
        <v>869</v>
      </c>
      <c r="D838" s="7" t="s">
        <v>408</v>
      </c>
      <c r="E838" s="7" t="s">
        <v>316</v>
      </c>
      <c r="F838" s="2">
        <v>33927</v>
      </c>
      <c r="G838" s="2">
        <v>34404</v>
      </c>
      <c r="H838" s="2">
        <v>39070</v>
      </c>
      <c r="I838" s="8">
        <v>36433</v>
      </c>
      <c r="J838"/>
      <c r="K838" s="2">
        <v>36412</v>
      </c>
      <c r="L838" t="s">
        <v>297</v>
      </c>
      <c r="M838" t="s">
        <v>297</v>
      </c>
      <c r="N838"/>
      <c r="O838" s="7" t="s">
        <v>318</v>
      </c>
      <c r="P838" s="7" t="s">
        <v>238</v>
      </c>
      <c r="Q838" s="7" t="s">
        <v>240</v>
      </c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</row>
    <row r="839" spans="1:33">
      <c r="A839" s="16">
        <v>9</v>
      </c>
      <c r="B839" s="16" t="s">
        <v>235</v>
      </c>
      <c r="C839" s="16">
        <v>1544</v>
      </c>
      <c r="D839" t="s">
        <v>295</v>
      </c>
      <c r="E839" s="16" t="s">
        <v>316</v>
      </c>
      <c r="F839" s="2">
        <v>39212</v>
      </c>
      <c r="H839" s="2">
        <v>39273</v>
      </c>
      <c r="I839" s="25">
        <v>39629</v>
      </c>
      <c r="L839" t="s">
        <v>297</v>
      </c>
      <c r="M839" t="s">
        <v>297</v>
      </c>
      <c r="N839" s="23" t="str">
        <f>IF((I839&gt;$W$2),"Y","N")</f>
        <v>N</v>
      </c>
      <c r="O839" s="16" t="s">
        <v>929</v>
      </c>
      <c r="P839" s="10" t="s">
        <v>232</v>
      </c>
      <c r="Q839" s="10" t="s">
        <v>236</v>
      </c>
      <c r="S839" s="16" t="str">
        <f>MID(Q839,9,30)</f>
        <v>Gene A Aubrey</v>
      </c>
    </row>
    <row r="840" spans="1:33">
      <c r="A840" s="16">
        <v>9</v>
      </c>
      <c r="B840" s="16" t="s">
        <v>235</v>
      </c>
      <c r="C840" s="16">
        <v>1589</v>
      </c>
      <c r="E840" s="16" t="s">
        <v>299</v>
      </c>
      <c r="F840" s="2">
        <v>37267</v>
      </c>
      <c r="H840" s="2">
        <v>37581</v>
      </c>
      <c r="I840" s="25">
        <v>40724</v>
      </c>
      <c r="L840" t="s">
        <v>297</v>
      </c>
      <c r="M840" t="s">
        <v>297</v>
      </c>
      <c r="N840" s="23" t="str">
        <f>IF((I840&gt;$W$2),"Y","N")</f>
        <v>N</v>
      </c>
      <c r="O840" s="16" t="s">
        <v>1328</v>
      </c>
      <c r="T840" s="31" t="s">
        <v>1327</v>
      </c>
    </row>
    <row r="841" spans="1:33" customFormat="1" hidden="1">
      <c r="A841" t="s">
        <v>238</v>
      </c>
      <c r="B841" t="s">
        <v>240</v>
      </c>
      <c r="I841" s="6"/>
    </row>
    <row r="842" spans="1:33">
      <c r="A842" s="16">
        <v>9</v>
      </c>
      <c r="B842" s="16" t="s">
        <v>235</v>
      </c>
      <c r="C842" s="16">
        <v>1607</v>
      </c>
      <c r="E842" s="16" t="s">
        <v>299</v>
      </c>
      <c r="F842" s="2">
        <v>39195</v>
      </c>
      <c r="H842" s="2">
        <v>39195</v>
      </c>
      <c r="I842" s="25">
        <v>41820</v>
      </c>
      <c r="L842" t="s">
        <v>297</v>
      </c>
      <c r="M842" t="s">
        <v>322</v>
      </c>
      <c r="N842" s="23" t="str">
        <f t="shared" ref="N842:N848" si="91">IF((I842&gt;$W$2),"Y","N")</f>
        <v>Y</v>
      </c>
      <c r="O842" s="16" t="s">
        <v>1446</v>
      </c>
      <c r="T842" s="31">
        <v>41471</v>
      </c>
    </row>
    <row r="843" spans="1:33">
      <c r="A843" s="16">
        <v>9</v>
      </c>
      <c r="B843" s="16" t="s">
        <v>235</v>
      </c>
      <c r="C843" s="16">
        <v>1622</v>
      </c>
      <c r="E843" s="30" t="s">
        <v>299</v>
      </c>
      <c r="F843" s="2"/>
      <c r="H843" s="2"/>
      <c r="I843" s="25">
        <v>41820</v>
      </c>
      <c r="N843" s="23" t="str">
        <f t="shared" si="91"/>
        <v>Y</v>
      </c>
    </row>
    <row r="844" spans="1:33">
      <c r="A844" s="16">
        <v>9</v>
      </c>
      <c r="B844" s="16" t="s">
        <v>163</v>
      </c>
      <c r="C844" s="16">
        <v>51</v>
      </c>
      <c r="D844" s="7" t="s">
        <v>295</v>
      </c>
      <c r="E844" s="16" t="s">
        <v>296</v>
      </c>
      <c r="F844" s="2">
        <v>27440</v>
      </c>
      <c r="G844" s="2">
        <v>27886</v>
      </c>
      <c r="H844" s="2">
        <v>39358</v>
      </c>
      <c r="I844" s="25">
        <v>41455</v>
      </c>
      <c r="K844" s="2">
        <v>35685</v>
      </c>
      <c r="L844" t="s">
        <v>297</v>
      </c>
      <c r="M844" t="s">
        <v>297</v>
      </c>
      <c r="N844" s="23" t="str">
        <f t="shared" si="91"/>
        <v>N</v>
      </c>
      <c r="O844" s="30" t="s">
        <v>1871</v>
      </c>
      <c r="P844" s="10" t="s">
        <v>232</v>
      </c>
      <c r="Q844" s="10" t="s">
        <v>237</v>
      </c>
      <c r="S844" s="16" t="str">
        <f>MID(Q844,9,30)</f>
        <v>David  Soelberg</v>
      </c>
      <c r="T844" s="31" t="s">
        <v>1422</v>
      </c>
    </row>
    <row r="845" spans="1:33">
      <c r="A845" s="16">
        <v>9</v>
      </c>
      <c r="B845" s="16" t="s">
        <v>163</v>
      </c>
      <c r="C845" s="16">
        <v>138</v>
      </c>
      <c r="D845" t="s">
        <v>295</v>
      </c>
      <c r="E845" s="16" t="s">
        <v>296</v>
      </c>
      <c r="F845" s="2">
        <v>28093</v>
      </c>
      <c r="G845" s="2">
        <v>29074</v>
      </c>
      <c r="H845" s="2">
        <v>39485</v>
      </c>
      <c r="I845" s="25">
        <v>41820</v>
      </c>
      <c r="J845" s="2">
        <v>37911</v>
      </c>
      <c r="K845" s="2">
        <v>37862</v>
      </c>
      <c r="L845" t="s">
        <v>297</v>
      </c>
      <c r="M845" t="s">
        <v>297</v>
      </c>
      <c r="N845" s="23" t="str">
        <f t="shared" si="91"/>
        <v>Y</v>
      </c>
      <c r="O845" s="16" t="s">
        <v>1303</v>
      </c>
      <c r="P845" s="10" t="s">
        <v>232</v>
      </c>
      <c r="Q845" s="10" t="s">
        <v>237</v>
      </c>
      <c r="S845" s="16" t="str">
        <f>MID(Q845,9,30)</f>
        <v>David  Soelberg</v>
      </c>
      <c r="T845" s="31">
        <v>41425</v>
      </c>
    </row>
    <row r="846" spans="1:33">
      <c r="A846" s="16">
        <v>9</v>
      </c>
      <c r="B846" s="16" t="s">
        <v>163</v>
      </c>
      <c r="C846" s="16">
        <v>151</v>
      </c>
      <c r="D846" t="s">
        <v>295</v>
      </c>
      <c r="E846" s="16" t="s">
        <v>296</v>
      </c>
      <c r="F846" s="2">
        <v>28213</v>
      </c>
      <c r="G846" s="2">
        <v>29074</v>
      </c>
      <c r="H846" s="2">
        <v>39059</v>
      </c>
      <c r="I846" s="25">
        <v>41820</v>
      </c>
      <c r="J846" s="2">
        <v>37886</v>
      </c>
      <c r="K846" s="2">
        <v>35495</v>
      </c>
      <c r="L846" t="s">
        <v>297</v>
      </c>
      <c r="M846" t="s">
        <v>297</v>
      </c>
      <c r="N846" s="23" t="str">
        <f t="shared" si="91"/>
        <v>Y</v>
      </c>
      <c r="O846" s="16" t="s">
        <v>1253</v>
      </c>
      <c r="P846" s="10" t="s">
        <v>232</v>
      </c>
      <c r="Q846" s="10" t="s">
        <v>237</v>
      </c>
      <c r="S846" s="16" t="str">
        <f>MID(Q846,9,30)</f>
        <v>David  Soelberg</v>
      </c>
      <c r="T846" s="31">
        <v>41423</v>
      </c>
    </row>
    <row r="847" spans="1:33">
      <c r="A847" s="16">
        <v>9</v>
      </c>
      <c r="B847" s="16" t="s">
        <v>163</v>
      </c>
      <c r="C847" s="16">
        <v>198</v>
      </c>
      <c r="D847" s="7" t="s">
        <v>295</v>
      </c>
      <c r="E847" s="16" t="s">
        <v>296</v>
      </c>
      <c r="F847" s="2">
        <v>28748</v>
      </c>
      <c r="G847" s="2">
        <v>28986</v>
      </c>
      <c r="H847" s="2">
        <v>39487</v>
      </c>
      <c r="I847" s="25">
        <v>41820</v>
      </c>
      <c r="K847" s="2">
        <v>33653</v>
      </c>
      <c r="L847" t="s">
        <v>297</v>
      </c>
      <c r="M847" t="s">
        <v>297</v>
      </c>
      <c r="N847" s="23" t="str">
        <f t="shared" si="91"/>
        <v>Y</v>
      </c>
      <c r="O847" s="16" t="s">
        <v>1254</v>
      </c>
      <c r="P847" s="10" t="s">
        <v>232</v>
      </c>
      <c r="Q847" s="10" t="s">
        <v>237</v>
      </c>
      <c r="S847" s="16" t="str">
        <f>MID(Q847,9,30)</f>
        <v>David  Soelberg</v>
      </c>
      <c r="T847" s="31">
        <v>41428</v>
      </c>
      <c r="U847" s="24">
        <v>39968</v>
      </c>
    </row>
    <row r="848" spans="1:33">
      <c r="A848" s="16">
        <v>9</v>
      </c>
      <c r="B848" s="16" t="s">
        <v>163</v>
      </c>
      <c r="C848" s="16">
        <v>239</v>
      </c>
      <c r="D848" t="s">
        <v>295</v>
      </c>
      <c r="E848" s="16" t="s">
        <v>296</v>
      </c>
      <c r="F848" s="2">
        <v>29112</v>
      </c>
      <c r="G848" s="2">
        <v>29694</v>
      </c>
      <c r="H848" s="2">
        <v>39357</v>
      </c>
      <c r="I848" s="25">
        <v>41455</v>
      </c>
      <c r="K848" s="2">
        <v>39356</v>
      </c>
      <c r="L848" t="s">
        <v>297</v>
      </c>
      <c r="M848" t="s">
        <v>297</v>
      </c>
      <c r="N848" s="23" t="str">
        <f t="shared" si="91"/>
        <v>N</v>
      </c>
      <c r="O848" s="30" t="s">
        <v>1872</v>
      </c>
      <c r="P848" s="10" t="s">
        <v>232</v>
      </c>
      <c r="Q848" s="10" t="s">
        <v>237</v>
      </c>
      <c r="S848" s="16" t="str">
        <f>MID(Q848,9,30)</f>
        <v>David  Soelberg</v>
      </c>
      <c r="T848" s="31" t="s">
        <v>1424</v>
      </c>
    </row>
    <row r="849" spans="1:33" customFormat="1" hidden="1">
      <c r="A849" t="s">
        <v>238</v>
      </c>
      <c r="B849" t="s">
        <v>241</v>
      </c>
      <c r="I849" s="6"/>
    </row>
    <row r="850" spans="1:33">
      <c r="A850" s="16">
        <v>9</v>
      </c>
      <c r="B850" s="16" t="s">
        <v>163</v>
      </c>
      <c r="C850" s="16">
        <v>286</v>
      </c>
      <c r="D850" t="s">
        <v>295</v>
      </c>
      <c r="E850" s="16" t="s">
        <v>296</v>
      </c>
      <c r="F850" s="2">
        <v>29568</v>
      </c>
      <c r="G850" s="2">
        <v>30405</v>
      </c>
      <c r="H850" s="2">
        <v>39114</v>
      </c>
      <c r="I850" s="25">
        <v>41820</v>
      </c>
      <c r="J850" s="2">
        <v>37911</v>
      </c>
      <c r="K850" s="2">
        <v>36314</v>
      </c>
      <c r="L850" t="s">
        <v>297</v>
      </c>
      <c r="M850" t="s">
        <v>297</v>
      </c>
      <c r="N850" s="23" t="str">
        <f>IF((I850&gt;$W$2),"Y","N")</f>
        <v>Y</v>
      </c>
      <c r="O850" s="30" t="s">
        <v>1873</v>
      </c>
      <c r="P850" s="10" t="s">
        <v>232</v>
      </c>
      <c r="Q850" s="10" t="s">
        <v>237</v>
      </c>
      <c r="S850" s="16" t="str">
        <f>MID(Q850,9,30)</f>
        <v>David  Soelberg</v>
      </c>
      <c r="T850" s="31">
        <v>41484</v>
      </c>
    </row>
    <row r="851" spans="1:33">
      <c r="A851" s="16">
        <v>9</v>
      </c>
      <c r="B851" s="16" t="s">
        <v>163</v>
      </c>
      <c r="C851" s="16">
        <v>287</v>
      </c>
      <c r="D851" s="7" t="s">
        <v>295</v>
      </c>
      <c r="E851" s="16" t="s">
        <v>296</v>
      </c>
      <c r="F851" s="2">
        <v>29264</v>
      </c>
      <c r="G851" s="2">
        <v>30023</v>
      </c>
      <c r="H851" s="2">
        <v>38785</v>
      </c>
      <c r="I851" s="25">
        <v>41820</v>
      </c>
      <c r="J851" s="2">
        <v>34747</v>
      </c>
      <c r="K851" s="2">
        <v>36341</v>
      </c>
      <c r="L851" t="s">
        <v>297</v>
      </c>
      <c r="M851" t="s">
        <v>297</v>
      </c>
      <c r="N851" s="23" t="str">
        <f>IF((I851&gt;$W$2),"Y","N")</f>
        <v>Y</v>
      </c>
      <c r="O851" s="16" t="s">
        <v>936</v>
      </c>
      <c r="P851" s="10" t="s">
        <v>232</v>
      </c>
      <c r="Q851" s="10" t="s">
        <v>237</v>
      </c>
      <c r="S851" s="16" t="str">
        <f>MID(Q851,9,30)</f>
        <v>David  Soelberg</v>
      </c>
      <c r="T851" s="31" t="s">
        <v>1609</v>
      </c>
    </row>
    <row r="852" spans="1:33">
      <c r="A852" s="16">
        <v>9</v>
      </c>
      <c r="B852" s="16" t="s">
        <v>163</v>
      </c>
      <c r="C852" s="16">
        <v>288</v>
      </c>
      <c r="D852" t="s">
        <v>295</v>
      </c>
      <c r="E852" s="16" t="s">
        <v>296</v>
      </c>
      <c r="F852" s="2">
        <v>29568</v>
      </c>
      <c r="G852" s="2">
        <v>30466</v>
      </c>
      <c r="H852" s="2">
        <v>39520</v>
      </c>
      <c r="I852" s="25">
        <v>41820</v>
      </c>
      <c r="K852" s="2">
        <v>34814</v>
      </c>
      <c r="L852" t="s">
        <v>297</v>
      </c>
      <c r="M852" t="s">
        <v>297</v>
      </c>
      <c r="N852" s="23" t="str">
        <f>IF((I852&gt;$W$2),"Y","N")</f>
        <v>Y</v>
      </c>
      <c r="O852" s="30" t="s">
        <v>1874</v>
      </c>
      <c r="P852" s="10" t="s">
        <v>232</v>
      </c>
      <c r="Q852" s="10" t="s">
        <v>237</v>
      </c>
      <c r="S852" s="16" t="str">
        <f>MID(Q852,9,30)</f>
        <v>David  Soelberg</v>
      </c>
      <c r="T852" s="31">
        <v>41424</v>
      </c>
    </row>
    <row r="853" spans="1:33" customFormat="1" hidden="1">
      <c r="A853">
        <v>10</v>
      </c>
      <c r="B853" t="s">
        <v>220</v>
      </c>
      <c r="C853">
        <v>400</v>
      </c>
      <c r="D853" t="s">
        <v>348</v>
      </c>
      <c r="E853" t="s">
        <v>376</v>
      </c>
      <c r="F853" s="2">
        <v>30516</v>
      </c>
      <c r="G853" s="2">
        <v>30758</v>
      </c>
      <c r="H853" s="2">
        <v>33221</v>
      </c>
      <c r="I853" s="6"/>
      <c r="K853" s="2">
        <v>31742</v>
      </c>
      <c r="L853" t="s">
        <v>297</v>
      </c>
      <c r="M853" t="s">
        <v>297</v>
      </c>
      <c r="O853" t="s">
        <v>978</v>
      </c>
      <c r="P853" t="s">
        <v>238</v>
      </c>
      <c r="Q853" t="s">
        <v>242</v>
      </c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</row>
    <row r="854" spans="1:33" s="7" customFormat="1" hidden="1">
      <c r="A854" s="7">
        <v>10</v>
      </c>
      <c r="B854" s="7" t="s">
        <v>220</v>
      </c>
      <c r="C854" s="7">
        <v>493</v>
      </c>
      <c r="D854" s="7" t="s">
        <v>618</v>
      </c>
      <c r="E854" s="7" t="s">
        <v>376</v>
      </c>
      <c r="F854" s="2">
        <v>31310</v>
      </c>
      <c r="G854" s="2">
        <v>31738</v>
      </c>
      <c r="H854" s="2">
        <v>35963</v>
      </c>
      <c r="I854" s="8">
        <v>35611</v>
      </c>
      <c r="J854"/>
      <c r="K854" s="2">
        <v>35593</v>
      </c>
      <c r="L854" t="s">
        <v>297</v>
      </c>
      <c r="M854" t="s">
        <v>297</v>
      </c>
      <c r="N854"/>
      <c r="O854" s="7" t="s">
        <v>979</v>
      </c>
      <c r="P854" s="7" t="s">
        <v>238</v>
      </c>
      <c r="Q854" s="7" t="s">
        <v>242</v>
      </c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</row>
    <row r="855" spans="1:33" s="7" customFormat="1">
      <c r="A855" s="16">
        <v>9</v>
      </c>
      <c r="B855" s="16" t="s">
        <v>163</v>
      </c>
      <c r="C855" s="16">
        <v>343</v>
      </c>
      <c r="D855" s="7" t="s">
        <v>295</v>
      </c>
      <c r="E855" s="16" t="s">
        <v>296</v>
      </c>
      <c r="F855" s="2">
        <v>29980</v>
      </c>
      <c r="G855" s="2">
        <v>30830</v>
      </c>
      <c r="H855" s="2">
        <v>39378</v>
      </c>
      <c r="I855" s="25">
        <v>41820</v>
      </c>
      <c r="J855" s="2">
        <v>37911</v>
      </c>
      <c r="K855" s="2">
        <v>35829</v>
      </c>
      <c r="L855" t="s">
        <v>297</v>
      </c>
      <c r="M855" t="s">
        <v>297</v>
      </c>
      <c r="N855" s="23" t="str">
        <f>IF((I855&gt;$W$2),"Y","N")</f>
        <v>Y</v>
      </c>
      <c r="O855" s="30" t="s">
        <v>1875</v>
      </c>
      <c r="P855" s="10" t="s">
        <v>232</v>
      </c>
      <c r="Q855" s="10" t="s">
        <v>237</v>
      </c>
      <c r="R855" s="12"/>
      <c r="S855" s="16" t="str">
        <f>MID(Q855,9,30)</f>
        <v>David  Soelberg</v>
      </c>
      <c r="T855" s="31">
        <v>41478</v>
      </c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</row>
    <row r="856" spans="1:33">
      <c r="A856" s="16">
        <v>9</v>
      </c>
      <c r="B856" s="16" t="s">
        <v>163</v>
      </c>
      <c r="C856" s="16">
        <v>351</v>
      </c>
      <c r="D856" t="s">
        <v>295</v>
      </c>
      <c r="E856" s="16" t="s">
        <v>296</v>
      </c>
      <c r="F856" s="2">
        <v>30029</v>
      </c>
      <c r="G856" s="2">
        <v>30394</v>
      </c>
      <c r="H856" s="2">
        <v>39252</v>
      </c>
      <c r="I856" s="25">
        <v>41455</v>
      </c>
      <c r="J856" s="2">
        <v>36678</v>
      </c>
      <c r="K856" s="2">
        <v>36454</v>
      </c>
      <c r="L856" t="s">
        <v>322</v>
      </c>
      <c r="M856" t="s">
        <v>297</v>
      </c>
      <c r="N856" s="23" t="str">
        <f>IF((I856&gt;$W$2),"Y","N")</f>
        <v>N</v>
      </c>
      <c r="O856" s="30" t="s">
        <v>1876</v>
      </c>
      <c r="P856" s="10" t="s">
        <v>232</v>
      </c>
      <c r="Q856" s="10" t="s">
        <v>237</v>
      </c>
      <c r="S856" s="16" t="str">
        <f>MID(Q856,9,30)</f>
        <v>David  Soelberg</v>
      </c>
      <c r="T856" s="31" t="s">
        <v>1362</v>
      </c>
    </row>
    <row r="857" spans="1:33">
      <c r="A857" s="16">
        <v>9</v>
      </c>
      <c r="B857" s="16" t="s">
        <v>163</v>
      </c>
      <c r="C857" s="16">
        <v>422</v>
      </c>
      <c r="D857" s="7" t="s">
        <v>295</v>
      </c>
      <c r="E857" s="16" t="s">
        <v>296</v>
      </c>
      <c r="F857" s="2">
        <v>30701</v>
      </c>
      <c r="G857" s="2">
        <v>30758</v>
      </c>
      <c r="H857" s="2">
        <v>39248</v>
      </c>
      <c r="I857" s="25">
        <v>41090</v>
      </c>
      <c r="J857" s="2">
        <v>30746</v>
      </c>
      <c r="K857" s="2">
        <v>36392</v>
      </c>
      <c r="L857" t="s">
        <v>297</v>
      </c>
      <c r="M857" t="s">
        <v>297</v>
      </c>
      <c r="N857" s="23" t="str">
        <f>IF((I857&gt;$W$2),"Y","N")</f>
        <v>N</v>
      </c>
      <c r="O857" s="16" t="s">
        <v>1255</v>
      </c>
      <c r="P857" s="10" t="s">
        <v>232</v>
      </c>
      <c r="Q857" s="10" t="s">
        <v>237</v>
      </c>
      <c r="S857" s="16" t="str">
        <f>MID(Q857,9,30)</f>
        <v>David  Soelberg</v>
      </c>
      <c r="T857" s="31" t="s">
        <v>1158</v>
      </c>
    </row>
    <row r="858" spans="1:33">
      <c r="A858" s="16">
        <v>9</v>
      </c>
      <c r="B858" s="16" t="s">
        <v>163</v>
      </c>
      <c r="C858" s="16">
        <v>835</v>
      </c>
      <c r="D858" t="s">
        <v>295</v>
      </c>
      <c r="E858" s="16" t="s">
        <v>296</v>
      </c>
      <c r="F858" s="2">
        <v>33684</v>
      </c>
      <c r="G858" s="2">
        <v>34178</v>
      </c>
      <c r="H858" s="2">
        <v>38104</v>
      </c>
      <c r="I858" s="25">
        <v>41455</v>
      </c>
      <c r="K858" s="2">
        <v>38104</v>
      </c>
      <c r="L858" t="s">
        <v>297</v>
      </c>
      <c r="M858" t="s">
        <v>297</v>
      </c>
      <c r="N858" s="23" t="str">
        <f>IF((I858&gt;$W$2),"Y","N")</f>
        <v>N</v>
      </c>
      <c r="O858" s="30" t="s">
        <v>1877</v>
      </c>
      <c r="P858" s="10" t="s">
        <v>232</v>
      </c>
      <c r="Q858" s="10" t="s">
        <v>237</v>
      </c>
      <c r="S858" s="16" t="str">
        <f>MID(Q858,9,30)</f>
        <v>David  Soelberg</v>
      </c>
      <c r="T858" s="31" t="s">
        <v>1345</v>
      </c>
    </row>
    <row r="859" spans="1:33">
      <c r="A859" s="16">
        <v>9</v>
      </c>
      <c r="B859" s="16" t="s">
        <v>163</v>
      </c>
      <c r="C859" s="16">
        <v>1368</v>
      </c>
      <c r="D859" s="7" t="s">
        <v>295</v>
      </c>
      <c r="E859" s="16" t="s">
        <v>296</v>
      </c>
      <c r="F859" s="2">
        <v>36902</v>
      </c>
      <c r="G859" s="2">
        <v>37330</v>
      </c>
      <c r="H859" s="2">
        <v>39013</v>
      </c>
      <c r="I859" s="25">
        <v>41820</v>
      </c>
      <c r="L859" t="s">
        <v>322</v>
      </c>
      <c r="M859" t="s">
        <v>297</v>
      </c>
      <c r="N859" s="23" t="str">
        <f>IF((I859&gt;$W$2),"Y","N")</f>
        <v>Y</v>
      </c>
      <c r="O859" s="30" t="s">
        <v>1878</v>
      </c>
      <c r="P859" s="10" t="s">
        <v>232</v>
      </c>
      <c r="Q859" s="10" t="s">
        <v>237</v>
      </c>
      <c r="S859" s="16" t="str">
        <f>MID(Q859,9,30)</f>
        <v>David  Soelberg</v>
      </c>
      <c r="T859" s="31">
        <v>41432</v>
      </c>
    </row>
    <row r="860" spans="1:33" s="7" customFormat="1" hidden="1">
      <c r="A860" s="7">
        <v>10</v>
      </c>
      <c r="B860" s="7" t="s">
        <v>220</v>
      </c>
      <c r="C860" s="7">
        <v>1428</v>
      </c>
      <c r="D860" s="7" t="s">
        <v>315</v>
      </c>
      <c r="E860" s="7" t="s">
        <v>316</v>
      </c>
      <c r="F860" s="2">
        <v>37524</v>
      </c>
      <c r="G860"/>
      <c r="H860" s="2">
        <v>37524</v>
      </c>
      <c r="I860" s="8">
        <v>37855</v>
      </c>
      <c r="J860"/>
      <c r="K860"/>
      <c r="L860" t="s">
        <v>297</v>
      </c>
      <c r="M860" t="s">
        <v>297</v>
      </c>
      <c r="N860"/>
      <c r="P860" s="7" t="s">
        <v>238</v>
      </c>
      <c r="Q860" s="7" t="s">
        <v>242</v>
      </c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</row>
    <row r="861" spans="1:33">
      <c r="A861" s="16">
        <v>9</v>
      </c>
      <c r="B861" s="16" t="s">
        <v>163</v>
      </c>
      <c r="C861" s="16">
        <v>1456</v>
      </c>
      <c r="D861" s="7" t="s">
        <v>295</v>
      </c>
      <c r="E861" s="30" t="s">
        <v>316</v>
      </c>
      <c r="F861" s="2">
        <v>37820</v>
      </c>
      <c r="H861" s="2">
        <v>38638</v>
      </c>
      <c r="I861" s="25">
        <v>38869</v>
      </c>
      <c r="K861" s="2">
        <v>38631</v>
      </c>
      <c r="L861" t="s">
        <v>297</v>
      </c>
      <c r="M861" t="s">
        <v>297</v>
      </c>
      <c r="N861" s="23" t="str">
        <f>IF((I861&gt;$W$2),"Y","N")</f>
        <v>N</v>
      </c>
      <c r="O861" s="16" t="s">
        <v>943</v>
      </c>
      <c r="P861" s="10" t="s">
        <v>232</v>
      </c>
      <c r="Q861" s="10" t="s">
        <v>237</v>
      </c>
      <c r="S861" s="16" t="str">
        <f>MID(Q861,9,30)</f>
        <v>David  Soelberg</v>
      </c>
    </row>
    <row r="862" spans="1:33" customFormat="1" hidden="1">
      <c r="A862" t="s">
        <v>238</v>
      </c>
      <c r="B862" t="s">
        <v>242</v>
      </c>
      <c r="I862" s="6"/>
    </row>
    <row r="863" spans="1:33">
      <c r="A863" s="16">
        <v>9</v>
      </c>
      <c r="B863" s="16" t="s">
        <v>163</v>
      </c>
      <c r="C863" s="16">
        <v>1486</v>
      </c>
      <c r="D863" s="7" t="s">
        <v>295</v>
      </c>
      <c r="E863" s="16" t="s">
        <v>316</v>
      </c>
      <c r="F863" s="2">
        <v>38223</v>
      </c>
      <c r="H863" s="2">
        <v>38309</v>
      </c>
      <c r="I863" s="25">
        <v>38564</v>
      </c>
      <c r="L863" t="s">
        <v>297</v>
      </c>
      <c r="M863" t="s">
        <v>297</v>
      </c>
      <c r="N863" s="23" t="str">
        <f t="shared" ref="N863:N869" si="92">IF((I863&gt;$W$2),"Y","N")</f>
        <v>N</v>
      </c>
      <c r="O863" s="16" t="s">
        <v>944</v>
      </c>
      <c r="P863" s="10" t="s">
        <v>232</v>
      </c>
      <c r="Q863" s="10" t="s">
        <v>237</v>
      </c>
      <c r="S863" s="16" t="str">
        <f>MID(Q863,9,30)</f>
        <v>David  Soelberg</v>
      </c>
    </row>
    <row r="864" spans="1:33">
      <c r="A864" s="16">
        <v>9</v>
      </c>
      <c r="B864" s="16" t="s">
        <v>163</v>
      </c>
      <c r="C864" s="16">
        <v>1533</v>
      </c>
      <c r="D864" s="7" t="s">
        <v>295</v>
      </c>
      <c r="E864" s="16" t="s">
        <v>296</v>
      </c>
      <c r="F864" s="2">
        <v>39086</v>
      </c>
      <c r="H864" s="2">
        <v>39353</v>
      </c>
      <c r="I864" s="25">
        <v>41820</v>
      </c>
      <c r="L864" t="s">
        <v>297</v>
      </c>
      <c r="M864" t="s">
        <v>297</v>
      </c>
      <c r="N864" s="23" t="str">
        <f t="shared" si="92"/>
        <v>Y</v>
      </c>
      <c r="O864" s="16" t="s">
        <v>1435</v>
      </c>
      <c r="P864" s="10" t="s">
        <v>232</v>
      </c>
      <c r="Q864" s="10" t="s">
        <v>237</v>
      </c>
      <c r="S864" s="16" t="str">
        <f>MID(Q864,9,30)</f>
        <v>David  Soelberg</v>
      </c>
      <c r="T864" s="31">
        <v>41793</v>
      </c>
    </row>
    <row r="865" spans="1:20">
      <c r="A865" s="16">
        <v>9</v>
      </c>
      <c r="B865" s="30" t="s">
        <v>163</v>
      </c>
      <c r="C865" s="16">
        <v>1564</v>
      </c>
      <c r="E865" s="30" t="s">
        <v>296</v>
      </c>
      <c r="F865" s="2">
        <v>38531</v>
      </c>
      <c r="H865" s="2">
        <v>38531</v>
      </c>
      <c r="I865" s="25">
        <v>41455</v>
      </c>
      <c r="L865" t="s">
        <v>297</v>
      </c>
      <c r="M865" t="s">
        <v>322</v>
      </c>
      <c r="N865" s="23" t="str">
        <f t="shared" si="92"/>
        <v>N</v>
      </c>
      <c r="O865" s="30" t="s">
        <v>1879</v>
      </c>
      <c r="T865" s="31" t="s">
        <v>1362</v>
      </c>
    </row>
    <row r="866" spans="1:20">
      <c r="A866" s="16">
        <v>9</v>
      </c>
      <c r="B866" s="30" t="s">
        <v>163</v>
      </c>
      <c r="C866" s="16">
        <v>1620</v>
      </c>
      <c r="E866" s="30" t="s">
        <v>299</v>
      </c>
      <c r="F866" s="2"/>
      <c r="H866" s="2"/>
      <c r="I866" s="25">
        <v>41820</v>
      </c>
      <c r="N866" s="23" t="str">
        <f t="shared" si="92"/>
        <v>Y</v>
      </c>
      <c r="O866" s="30" t="s">
        <v>1880</v>
      </c>
      <c r="T866" s="31">
        <v>41487</v>
      </c>
    </row>
    <row r="867" spans="1:20">
      <c r="A867" s="16">
        <v>10</v>
      </c>
      <c r="B867" s="16" t="s">
        <v>140</v>
      </c>
      <c r="C867" s="16">
        <v>73</v>
      </c>
      <c r="D867" t="s">
        <v>295</v>
      </c>
      <c r="E867" s="16" t="s">
        <v>296</v>
      </c>
      <c r="F867" s="2">
        <v>27591</v>
      </c>
      <c r="G867" s="2">
        <v>27886</v>
      </c>
      <c r="H867" s="2">
        <v>39467</v>
      </c>
      <c r="I867" s="25">
        <v>41820</v>
      </c>
      <c r="J867" s="2">
        <v>39357</v>
      </c>
      <c r="K867" s="2">
        <v>35263</v>
      </c>
      <c r="L867" t="s">
        <v>297</v>
      </c>
      <c r="M867" t="s">
        <v>297</v>
      </c>
      <c r="N867" s="23" t="str">
        <f t="shared" si="92"/>
        <v>Y</v>
      </c>
      <c r="O867" s="16" t="s">
        <v>947</v>
      </c>
      <c r="P867" s="10" t="s">
        <v>238</v>
      </c>
      <c r="Q867" s="10" t="s">
        <v>239</v>
      </c>
      <c r="S867" s="16" t="str">
        <f>MID(Q867,9,30)</f>
        <v>Donna D Nelson</v>
      </c>
      <c r="T867" s="31">
        <v>41478</v>
      </c>
    </row>
    <row r="868" spans="1:20">
      <c r="A868" s="16">
        <v>10</v>
      </c>
      <c r="B868" s="16" t="s">
        <v>140</v>
      </c>
      <c r="C868" s="16">
        <v>181</v>
      </c>
      <c r="D868" t="s">
        <v>295</v>
      </c>
      <c r="E868" s="16" t="s">
        <v>296</v>
      </c>
      <c r="F868" s="2">
        <v>28572</v>
      </c>
      <c r="G868" s="2">
        <v>28901</v>
      </c>
      <c r="H868" s="2">
        <v>39451</v>
      </c>
      <c r="I868" s="25">
        <v>41455</v>
      </c>
      <c r="J868" s="2">
        <v>39418</v>
      </c>
      <c r="K868" s="2">
        <v>39451</v>
      </c>
      <c r="L868" t="s">
        <v>297</v>
      </c>
      <c r="M868" t="s">
        <v>297</v>
      </c>
      <c r="N868" s="23" t="str">
        <f t="shared" si="92"/>
        <v>N</v>
      </c>
      <c r="O868" s="30" t="s">
        <v>1881</v>
      </c>
      <c r="P868" s="10" t="s">
        <v>238</v>
      </c>
      <c r="Q868" s="10" t="s">
        <v>239</v>
      </c>
      <c r="S868" s="16" t="str">
        <f>MID(Q868,9,30)</f>
        <v>Donna D Nelson</v>
      </c>
      <c r="T868" s="31" t="s">
        <v>1422</v>
      </c>
    </row>
    <row r="869" spans="1:20">
      <c r="A869" s="16">
        <v>10</v>
      </c>
      <c r="B869" s="16" t="s">
        <v>140</v>
      </c>
      <c r="C869" s="16">
        <v>294</v>
      </c>
      <c r="D869" t="s">
        <v>295</v>
      </c>
      <c r="E869" s="16" t="s">
        <v>296</v>
      </c>
      <c r="F869" s="2">
        <v>29637</v>
      </c>
      <c r="G869" s="2">
        <v>29638</v>
      </c>
      <c r="H869" s="2">
        <v>39451</v>
      </c>
      <c r="I869" s="25">
        <v>41820</v>
      </c>
      <c r="J869" s="2">
        <v>39356</v>
      </c>
      <c r="K869" s="2">
        <v>39451</v>
      </c>
      <c r="L869" t="s">
        <v>297</v>
      </c>
      <c r="M869" t="s">
        <v>297</v>
      </c>
      <c r="N869" s="23" t="str">
        <f t="shared" si="92"/>
        <v>Y</v>
      </c>
      <c r="O869" s="30" t="s">
        <v>1882</v>
      </c>
      <c r="P869" s="10" t="s">
        <v>238</v>
      </c>
      <c r="Q869" s="10" t="s">
        <v>239</v>
      </c>
      <c r="S869" s="16" t="str">
        <f>MID(Q869,9,30)</f>
        <v>Donna D Nelson</v>
      </c>
      <c r="T869" s="31">
        <v>41480</v>
      </c>
    </row>
    <row r="870" spans="1:20" customFormat="1" hidden="1">
      <c r="A870" t="s">
        <v>238</v>
      </c>
      <c r="B870" t="s">
        <v>243</v>
      </c>
      <c r="I870" s="6"/>
    </row>
    <row r="871" spans="1:20">
      <c r="A871" s="16">
        <v>10</v>
      </c>
      <c r="B871" s="16" t="s">
        <v>140</v>
      </c>
      <c r="C871" s="16">
        <v>359</v>
      </c>
      <c r="D871" t="s">
        <v>295</v>
      </c>
      <c r="E871" s="16" t="s">
        <v>296</v>
      </c>
      <c r="F871" s="2">
        <v>30099</v>
      </c>
      <c r="G871" s="2">
        <v>30087</v>
      </c>
      <c r="H871" s="2">
        <v>39451</v>
      </c>
      <c r="I871" s="25">
        <v>41455</v>
      </c>
      <c r="J871" s="2">
        <v>39418</v>
      </c>
      <c r="K871" s="2">
        <v>35816</v>
      </c>
      <c r="L871" t="s">
        <v>297</v>
      </c>
      <c r="M871" t="s">
        <v>297</v>
      </c>
      <c r="N871" s="23" t="str">
        <f>IF((I871&gt;$W$2),"Y","N")</f>
        <v>N</v>
      </c>
      <c r="O871" s="30" t="s">
        <v>1883</v>
      </c>
      <c r="P871" s="10" t="s">
        <v>238</v>
      </c>
      <c r="Q871" s="10" t="s">
        <v>239</v>
      </c>
      <c r="S871" s="16" t="str">
        <f>MID(Q871,9,30)</f>
        <v>Donna D Nelson</v>
      </c>
      <c r="T871" s="31" t="s">
        <v>1349</v>
      </c>
    </row>
    <row r="872" spans="1:20">
      <c r="A872" s="16">
        <v>10</v>
      </c>
      <c r="B872" s="16" t="s">
        <v>140</v>
      </c>
      <c r="C872" s="16">
        <v>382</v>
      </c>
      <c r="D872" t="s">
        <v>295</v>
      </c>
      <c r="E872" s="16" t="s">
        <v>296</v>
      </c>
      <c r="F872" s="2">
        <v>30393</v>
      </c>
      <c r="G872" s="2">
        <v>31374</v>
      </c>
      <c r="H872" s="2">
        <v>39451</v>
      </c>
      <c r="I872" s="25">
        <v>41820</v>
      </c>
      <c r="K872" s="2">
        <v>39451</v>
      </c>
      <c r="L872" t="s">
        <v>297</v>
      </c>
      <c r="M872" t="s">
        <v>297</v>
      </c>
      <c r="N872" s="23" t="str">
        <f>IF((I872&gt;$W$2),"Y","N")</f>
        <v>Y</v>
      </c>
      <c r="O872" s="30" t="s">
        <v>1884</v>
      </c>
      <c r="P872" s="10" t="s">
        <v>238</v>
      </c>
      <c r="Q872" s="10" t="s">
        <v>239</v>
      </c>
      <c r="S872" s="16" t="str">
        <f>MID(Q872,9,30)</f>
        <v>Donna D Nelson</v>
      </c>
      <c r="T872" s="31">
        <v>41478</v>
      </c>
    </row>
    <row r="873" spans="1:20">
      <c r="A873" s="16">
        <v>10</v>
      </c>
      <c r="B873" s="16" t="s">
        <v>140</v>
      </c>
      <c r="C873" s="16">
        <v>479</v>
      </c>
      <c r="D873" t="s">
        <v>295</v>
      </c>
      <c r="E873" s="16" t="s">
        <v>296</v>
      </c>
      <c r="F873" s="2">
        <v>31241</v>
      </c>
      <c r="G873" s="2">
        <v>31922</v>
      </c>
      <c r="H873" s="2">
        <v>39451</v>
      </c>
      <c r="I873" s="25">
        <v>41820</v>
      </c>
      <c r="J873" s="2">
        <v>39357</v>
      </c>
      <c r="K873" s="2">
        <v>39451</v>
      </c>
      <c r="L873" t="s">
        <v>297</v>
      </c>
      <c r="M873" t="s">
        <v>297</v>
      </c>
      <c r="N873" s="23" t="str">
        <f>IF((I873&gt;$W$2),"Y","N")</f>
        <v>Y</v>
      </c>
      <c r="O873" s="30" t="s">
        <v>1885</v>
      </c>
      <c r="P873" s="10" t="s">
        <v>238</v>
      </c>
      <c r="Q873" s="10" t="s">
        <v>239</v>
      </c>
      <c r="S873" s="16" t="str">
        <f>MID(Q873,9,30)</f>
        <v>Donna D Nelson</v>
      </c>
      <c r="T873" s="31">
        <v>41486</v>
      </c>
    </row>
    <row r="874" spans="1:20">
      <c r="A874" s="16">
        <v>10</v>
      </c>
      <c r="B874" s="16" t="s">
        <v>140</v>
      </c>
      <c r="C874" s="16">
        <v>657</v>
      </c>
      <c r="D874" t="s">
        <v>295</v>
      </c>
      <c r="E874" s="16" t="s">
        <v>296</v>
      </c>
      <c r="F874" s="2">
        <v>32522</v>
      </c>
      <c r="G874" s="2">
        <v>33684</v>
      </c>
      <c r="H874" s="2">
        <v>39455</v>
      </c>
      <c r="I874" s="25">
        <v>41820</v>
      </c>
      <c r="J874" s="2">
        <v>39357</v>
      </c>
      <c r="K874" s="2">
        <v>39451</v>
      </c>
      <c r="L874" t="s">
        <v>297</v>
      </c>
      <c r="M874" t="s">
        <v>297</v>
      </c>
      <c r="N874" s="23" t="str">
        <f>IF((I874&gt;$W$2),"Y","N")</f>
        <v>Y</v>
      </c>
      <c r="O874" s="16" t="s">
        <v>953</v>
      </c>
      <c r="P874" s="10" t="s">
        <v>238</v>
      </c>
      <c r="Q874" s="10" t="s">
        <v>239</v>
      </c>
      <c r="S874" s="16" t="str">
        <f>MID(Q874,9,30)</f>
        <v>Donna D Nelson</v>
      </c>
      <c r="T874" s="31" t="s">
        <v>1617</v>
      </c>
    </row>
    <row r="875" spans="1:20" customFormat="1" hidden="1">
      <c r="A875" t="s">
        <v>238</v>
      </c>
      <c r="B875" t="s">
        <v>244</v>
      </c>
      <c r="I875" s="6"/>
    </row>
    <row r="876" spans="1:20">
      <c r="A876" s="16">
        <v>10</v>
      </c>
      <c r="B876" s="16" t="s">
        <v>140</v>
      </c>
      <c r="C876" s="16">
        <v>842</v>
      </c>
      <c r="D876" s="7" t="s">
        <v>295</v>
      </c>
      <c r="E876" s="16" t="s">
        <v>376</v>
      </c>
      <c r="F876" s="2">
        <v>33799</v>
      </c>
      <c r="G876" s="2">
        <v>37330</v>
      </c>
      <c r="H876" s="2">
        <v>39451</v>
      </c>
      <c r="I876" s="25">
        <v>40724</v>
      </c>
      <c r="J876" s="2">
        <v>39356</v>
      </c>
      <c r="K876" s="2">
        <v>38778</v>
      </c>
      <c r="L876" t="s">
        <v>297</v>
      </c>
      <c r="M876" t="s">
        <v>297</v>
      </c>
      <c r="N876" s="23" t="str">
        <f t="shared" ref="N876:N883" si="93">IF((I876&gt;$W$2),"Y","N")</f>
        <v>N</v>
      </c>
      <c r="O876" s="16" t="s">
        <v>954</v>
      </c>
      <c r="P876" s="10" t="s">
        <v>238</v>
      </c>
      <c r="Q876" s="10" t="s">
        <v>239</v>
      </c>
      <c r="S876" s="16" t="str">
        <f>MID(Q876,9,30)</f>
        <v>Donna D Nelson</v>
      </c>
      <c r="T876" s="31" t="s">
        <v>1318</v>
      </c>
    </row>
    <row r="877" spans="1:20">
      <c r="A877" s="16">
        <v>10</v>
      </c>
      <c r="B877" s="16" t="s">
        <v>140</v>
      </c>
      <c r="C877" s="16">
        <v>1416</v>
      </c>
      <c r="D877" t="s">
        <v>295</v>
      </c>
      <c r="E877" s="16" t="s">
        <v>296</v>
      </c>
      <c r="F877" s="2">
        <v>37425</v>
      </c>
      <c r="G877" s="2">
        <v>37694</v>
      </c>
      <c r="H877" s="2">
        <v>39451</v>
      </c>
      <c r="I877" s="25">
        <v>41820</v>
      </c>
      <c r="J877" s="2">
        <v>39357</v>
      </c>
      <c r="K877" s="2">
        <v>39451</v>
      </c>
      <c r="L877" t="s">
        <v>297</v>
      </c>
      <c r="M877" t="s">
        <v>297</v>
      </c>
      <c r="N877" s="23" t="str">
        <f t="shared" si="93"/>
        <v>Y</v>
      </c>
      <c r="O877" s="16" t="s">
        <v>1256</v>
      </c>
      <c r="P877" s="10" t="s">
        <v>238</v>
      </c>
      <c r="Q877" s="10" t="s">
        <v>239</v>
      </c>
      <c r="S877" s="16" t="str">
        <f>MID(Q877,9,30)</f>
        <v>Donna D Nelson</v>
      </c>
      <c r="T877" s="31" t="s">
        <v>1536</v>
      </c>
    </row>
    <row r="878" spans="1:20">
      <c r="A878" s="16">
        <v>10</v>
      </c>
      <c r="B878" s="16" t="s">
        <v>140</v>
      </c>
      <c r="C878" s="16">
        <v>1569</v>
      </c>
      <c r="E878" s="16" t="s">
        <v>316</v>
      </c>
      <c r="F878" s="2"/>
      <c r="G878" s="2"/>
      <c r="H878" s="2"/>
      <c r="I878" s="25" t="s">
        <v>1266</v>
      </c>
      <c r="J878" s="2"/>
      <c r="K878" s="2"/>
      <c r="N878" s="23" t="str">
        <f t="shared" si="93"/>
        <v>Y</v>
      </c>
      <c r="O878" s="16" t="s">
        <v>1296</v>
      </c>
    </row>
    <row r="879" spans="1:20">
      <c r="A879" s="16">
        <v>10</v>
      </c>
      <c r="B879" s="16" t="s">
        <v>153</v>
      </c>
      <c r="C879" s="16">
        <v>91</v>
      </c>
      <c r="D879" t="s">
        <v>295</v>
      </c>
      <c r="E879" s="16" t="s">
        <v>296</v>
      </c>
      <c r="F879" s="2">
        <v>27591</v>
      </c>
      <c r="G879" s="2">
        <v>28901</v>
      </c>
      <c r="H879" s="2">
        <v>39516</v>
      </c>
      <c r="I879" s="25">
        <v>41820</v>
      </c>
      <c r="J879" s="2">
        <v>39418</v>
      </c>
      <c r="K879" s="2">
        <v>39451</v>
      </c>
      <c r="L879" t="s">
        <v>297</v>
      </c>
      <c r="M879" t="s">
        <v>297</v>
      </c>
      <c r="N879" s="23" t="str">
        <f t="shared" si="93"/>
        <v>Y</v>
      </c>
      <c r="O879" s="16" t="s">
        <v>1580</v>
      </c>
      <c r="P879" s="10" t="s">
        <v>238</v>
      </c>
      <c r="Q879" s="10" t="s">
        <v>240</v>
      </c>
      <c r="S879" s="16" t="str">
        <f>MID(Q879,9,30)</f>
        <v>Charles N Johnson</v>
      </c>
      <c r="T879" s="31">
        <v>41452</v>
      </c>
    </row>
    <row r="880" spans="1:20">
      <c r="A880" s="16">
        <v>10</v>
      </c>
      <c r="B880" s="16" t="s">
        <v>153</v>
      </c>
      <c r="C880" s="16">
        <v>393</v>
      </c>
      <c r="D880" t="s">
        <v>295</v>
      </c>
      <c r="E880" s="16" t="s">
        <v>296</v>
      </c>
      <c r="F880" s="2">
        <v>30466</v>
      </c>
      <c r="G880" s="2">
        <v>30466</v>
      </c>
      <c r="H880" s="2">
        <v>39454</v>
      </c>
      <c r="I880" s="25">
        <v>41820</v>
      </c>
      <c r="J880" s="2">
        <v>39418</v>
      </c>
      <c r="K880" s="2">
        <v>36304</v>
      </c>
      <c r="L880" t="s">
        <v>297</v>
      </c>
      <c r="M880" t="s">
        <v>297</v>
      </c>
      <c r="N880" s="23" t="str">
        <f t="shared" si="93"/>
        <v>Y</v>
      </c>
      <c r="O880" s="16" t="s">
        <v>1257</v>
      </c>
      <c r="P880" s="10" t="s">
        <v>238</v>
      </c>
      <c r="Q880" s="10" t="s">
        <v>240</v>
      </c>
      <c r="S880" s="16" t="str">
        <f>MID(Q880,9,30)</f>
        <v>Charles N Johnson</v>
      </c>
      <c r="T880" s="31" t="s">
        <v>1566</v>
      </c>
    </row>
    <row r="881" spans="1:33">
      <c r="A881" s="16">
        <v>10</v>
      </c>
      <c r="B881" s="16" t="s">
        <v>153</v>
      </c>
      <c r="C881" s="16">
        <v>538</v>
      </c>
      <c r="D881" t="s">
        <v>295</v>
      </c>
      <c r="E881" s="16" t="s">
        <v>296</v>
      </c>
      <c r="F881" s="2">
        <v>31612</v>
      </c>
      <c r="G881" s="2">
        <v>32293</v>
      </c>
      <c r="H881" s="2">
        <v>39451</v>
      </c>
      <c r="I881" s="25">
        <v>41820</v>
      </c>
      <c r="J881" s="2">
        <v>39418</v>
      </c>
      <c r="K881" s="2">
        <v>39451</v>
      </c>
      <c r="L881" t="s">
        <v>297</v>
      </c>
      <c r="M881" t="s">
        <v>297</v>
      </c>
      <c r="N881" s="23" t="str">
        <f t="shared" si="93"/>
        <v>Y</v>
      </c>
      <c r="O881" s="16" t="s">
        <v>1485</v>
      </c>
      <c r="P881" s="10" t="s">
        <v>238</v>
      </c>
      <c r="Q881" s="10" t="s">
        <v>240</v>
      </c>
      <c r="S881" s="16" t="str">
        <f>MID(Q881,9,30)</f>
        <v>Charles N Johnson</v>
      </c>
      <c r="T881" s="31" t="s">
        <v>1610</v>
      </c>
    </row>
    <row r="882" spans="1:33">
      <c r="A882" s="16">
        <v>10</v>
      </c>
      <c r="B882" s="16" t="s">
        <v>153</v>
      </c>
      <c r="C882" s="16">
        <v>631</v>
      </c>
      <c r="D882" s="7" t="s">
        <v>295</v>
      </c>
      <c r="E882" s="16" t="s">
        <v>296</v>
      </c>
      <c r="F882" s="2">
        <v>32220</v>
      </c>
      <c r="G882" s="2">
        <v>33180</v>
      </c>
      <c r="H882" s="2">
        <v>39070</v>
      </c>
      <c r="I882" s="25" t="s">
        <v>1266</v>
      </c>
      <c r="J882" s="2">
        <v>35965</v>
      </c>
      <c r="K882" s="2">
        <v>31747</v>
      </c>
      <c r="L882" t="s">
        <v>317</v>
      </c>
      <c r="M882" t="s">
        <v>297</v>
      </c>
      <c r="N882" s="23" t="str">
        <f t="shared" si="93"/>
        <v>Y</v>
      </c>
      <c r="O882" s="16" t="s">
        <v>961</v>
      </c>
      <c r="P882" s="10" t="s">
        <v>238</v>
      </c>
      <c r="Q882" s="10" t="s">
        <v>240</v>
      </c>
      <c r="S882" s="16" t="str">
        <f>MID(Q882,9,30)</f>
        <v>Charles N Johnson</v>
      </c>
      <c r="T882" s="31" t="s">
        <v>1267</v>
      </c>
    </row>
    <row r="883" spans="1:33">
      <c r="A883" s="16">
        <v>10</v>
      </c>
      <c r="B883" s="16" t="s">
        <v>153</v>
      </c>
      <c r="C883" s="16">
        <v>638</v>
      </c>
      <c r="D883" t="s">
        <v>295</v>
      </c>
      <c r="E883" s="16" t="s">
        <v>296</v>
      </c>
      <c r="F883" s="2">
        <v>32293</v>
      </c>
      <c r="G883" s="2">
        <v>33018</v>
      </c>
      <c r="H883" s="2">
        <v>39497</v>
      </c>
      <c r="I883" s="25">
        <v>41820</v>
      </c>
      <c r="J883" s="2">
        <v>39418</v>
      </c>
      <c r="K883" s="2">
        <v>36210</v>
      </c>
      <c r="L883" t="s">
        <v>297</v>
      </c>
      <c r="M883" t="s">
        <v>297</v>
      </c>
      <c r="N883" s="23" t="str">
        <f t="shared" si="93"/>
        <v>Y</v>
      </c>
      <c r="O883" s="30" t="s">
        <v>1886</v>
      </c>
      <c r="P883" s="10" t="s">
        <v>238</v>
      </c>
      <c r="Q883" s="10" t="s">
        <v>240</v>
      </c>
      <c r="S883" s="16" t="str">
        <f>MID(Q883,9,30)</f>
        <v>Charles N Johnson</v>
      </c>
      <c r="T883" s="31">
        <v>41479</v>
      </c>
    </row>
    <row r="884" spans="1:33" s="7" customFormat="1" hidden="1">
      <c r="A884" s="7">
        <v>10</v>
      </c>
      <c r="B884" s="7" t="s">
        <v>245</v>
      </c>
      <c r="C884" s="7">
        <v>1430</v>
      </c>
      <c r="D884" s="7" t="s">
        <v>393</v>
      </c>
      <c r="E884" s="7" t="s">
        <v>376</v>
      </c>
      <c r="F884" s="2">
        <v>37540</v>
      </c>
      <c r="G884"/>
      <c r="H884" s="2">
        <v>37540</v>
      </c>
      <c r="I884" s="8">
        <v>37833</v>
      </c>
      <c r="J884"/>
      <c r="K884"/>
      <c r="L884" t="s">
        <v>297</v>
      </c>
      <c r="M884" t="s">
        <v>297</v>
      </c>
      <c r="N884"/>
      <c r="O884" s="7" t="s">
        <v>1002</v>
      </c>
      <c r="P884" s="7" t="s">
        <v>238</v>
      </c>
      <c r="Q884" s="7" t="s">
        <v>246</v>
      </c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</row>
    <row r="885" spans="1:33" customFormat="1" hidden="1">
      <c r="A885" t="s">
        <v>238</v>
      </c>
      <c r="B885" t="s">
        <v>246</v>
      </c>
      <c r="I885" s="6"/>
    </row>
    <row r="886" spans="1:33">
      <c r="A886" s="16">
        <v>10</v>
      </c>
      <c r="B886" s="16" t="s">
        <v>153</v>
      </c>
      <c r="C886" s="16">
        <v>665</v>
      </c>
      <c r="D886" t="s">
        <v>295</v>
      </c>
      <c r="E886" s="16" t="s">
        <v>296</v>
      </c>
      <c r="F886" s="2">
        <v>32521</v>
      </c>
      <c r="G886" s="2">
        <v>33067</v>
      </c>
      <c r="H886" s="2">
        <v>39451</v>
      </c>
      <c r="I886" s="25">
        <v>41820</v>
      </c>
      <c r="J886" s="2">
        <v>39418</v>
      </c>
      <c r="K886" s="2">
        <v>39451</v>
      </c>
      <c r="L886" t="s">
        <v>297</v>
      </c>
      <c r="M886" t="s">
        <v>297</v>
      </c>
      <c r="N886" s="23" t="str">
        <f t="shared" ref="N886:N895" si="94">IF((I886&gt;$W$2),"Y","N")</f>
        <v>Y</v>
      </c>
      <c r="O886" s="16" t="s">
        <v>963</v>
      </c>
      <c r="P886" s="10" t="s">
        <v>238</v>
      </c>
      <c r="Q886" s="10" t="s">
        <v>240</v>
      </c>
      <c r="S886" s="16" t="str">
        <f t="shared" ref="S886:S891" si="95">MID(Q886,9,30)</f>
        <v>Charles N Johnson</v>
      </c>
      <c r="T886" s="31">
        <v>41432</v>
      </c>
    </row>
    <row r="887" spans="1:33">
      <c r="A887" s="16">
        <v>10</v>
      </c>
      <c r="B887" s="16" t="s">
        <v>153</v>
      </c>
      <c r="C887" s="16">
        <v>789</v>
      </c>
      <c r="D887" t="s">
        <v>295</v>
      </c>
      <c r="E887" s="16" t="s">
        <v>296</v>
      </c>
      <c r="F887" s="2">
        <v>33384</v>
      </c>
      <c r="G887" s="2">
        <v>33992</v>
      </c>
      <c r="H887" s="2">
        <v>39451</v>
      </c>
      <c r="I887" s="25">
        <v>41820</v>
      </c>
      <c r="J887" s="2">
        <v>39418</v>
      </c>
      <c r="K887" s="2">
        <v>39451</v>
      </c>
      <c r="L887" t="s">
        <v>297</v>
      </c>
      <c r="M887" t="s">
        <v>297</v>
      </c>
      <c r="N887" s="23" t="str">
        <f t="shared" si="94"/>
        <v>Y</v>
      </c>
      <c r="O887" s="30" t="s">
        <v>1887</v>
      </c>
      <c r="P887" s="10" t="s">
        <v>238</v>
      </c>
      <c r="Q887" s="10" t="s">
        <v>240</v>
      </c>
      <c r="S887" s="16" t="str">
        <f t="shared" si="95"/>
        <v>Charles N Johnson</v>
      </c>
      <c r="T887" s="31">
        <v>41442</v>
      </c>
    </row>
    <row r="888" spans="1:33">
      <c r="A888" s="16">
        <v>10</v>
      </c>
      <c r="B888" s="16" t="s">
        <v>153</v>
      </c>
      <c r="C888" s="16">
        <v>827</v>
      </c>
      <c r="D888" s="7" t="s">
        <v>295</v>
      </c>
      <c r="E888" s="16" t="s">
        <v>296</v>
      </c>
      <c r="F888" s="2">
        <v>33684</v>
      </c>
      <c r="G888" s="2">
        <v>33992</v>
      </c>
      <c r="H888" s="2">
        <v>39455</v>
      </c>
      <c r="I888" s="25">
        <v>41820</v>
      </c>
      <c r="J888" s="2">
        <v>39418</v>
      </c>
      <c r="K888" s="2">
        <v>38933</v>
      </c>
      <c r="L888" t="s">
        <v>297</v>
      </c>
      <c r="M888" t="s">
        <v>297</v>
      </c>
      <c r="N888" s="23" t="str">
        <f t="shared" si="94"/>
        <v>Y</v>
      </c>
      <c r="O888" s="16" t="s">
        <v>965</v>
      </c>
      <c r="P888" s="10" t="s">
        <v>238</v>
      </c>
      <c r="Q888" s="10" t="s">
        <v>240</v>
      </c>
      <c r="S888" s="16" t="str">
        <f t="shared" si="95"/>
        <v>Charles N Johnson</v>
      </c>
      <c r="T888" s="31">
        <v>41460</v>
      </c>
    </row>
    <row r="889" spans="1:33">
      <c r="A889" s="16">
        <v>10</v>
      </c>
      <c r="B889" s="16" t="s">
        <v>153</v>
      </c>
      <c r="C889" s="16">
        <v>867</v>
      </c>
      <c r="D889" t="s">
        <v>295</v>
      </c>
      <c r="E889" s="16" t="s">
        <v>296</v>
      </c>
      <c r="F889" s="2">
        <v>33941</v>
      </c>
      <c r="G889" s="2">
        <v>36461</v>
      </c>
      <c r="H889" s="2">
        <v>39337</v>
      </c>
      <c r="I889" s="25">
        <v>41455</v>
      </c>
      <c r="K889" s="2">
        <v>38853</v>
      </c>
      <c r="L889" t="s">
        <v>297</v>
      </c>
      <c r="M889" t="s">
        <v>297</v>
      </c>
      <c r="N889" s="23" t="str">
        <f t="shared" si="94"/>
        <v>N</v>
      </c>
      <c r="O889" s="16" t="s">
        <v>1601</v>
      </c>
      <c r="P889" s="10" t="s">
        <v>238</v>
      </c>
      <c r="Q889" s="10" t="s">
        <v>240</v>
      </c>
      <c r="S889" s="16" t="str">
        <f t="shared" si="95"/>
        <v>Charles N Johnson</v>
      </c>
      <c r="T889" s="31" t="s">
        <v>1377</v>
      </c>
    </row>
    <row r="890" spans="1:33">
      <c r="A890" s="16">
        <v>10</v>
      </c>
      <c r="B890" s="16" t="s">
        <v>153</v>
      </c>
      <c r="C890" s="16">
        <v>878</v>
      </c>
      <c r="D890" t="s">
        <v>295</v>
      </c>
      <c r="E890" s="16" t="s">
        <v>296</v>
      </c>
      <c r="F890" s="2">
        <v>33995</v>
      </c>
      <c r="G890" s="2">
        <v>35857</v>
      </c>
      <c r="H890" s="2">
        <v>39451</v>
      </c>
      <c r="I890" s="25">
        <v>41820</v>
      </c>
      <c r="J890" s="2">
        <v>39418</v>
      </c>
      <c r="K890" s="2">
        <v>39451</v>
      </c>
      <c r="L890" t="s">
        <v>297</v>
      </c>
      <c r="M890" t="s">
        <v>297</v>
      </c>
      <c r="N890" s="23" t="str">
        <f t="shared" si="94"/>
        <v>Y</v>
      </c>
      <c r="O890" s="30" t="s">
        <v>1888</v>
      </c>
      <c r="P890" s="10" t="s">
        <v>238</v>
      </c>
      <c r="Q890" s="10" t="s">
        <v>240</v>
      </c>
      <c r="S890" s="16" t="str">
        <f t="shared" si="95"/>
        <v>Charles N Johnson</v>
      </c>
      <c r="T890" s="31">
        <v>41451</v>
      </c>
    </row>
    <row r="891" spans="1:33">
      <c r="A891" s="16">
        <v>10</v>
      </c>
      <c r="B891" s="16" t="s">
        <v>153</v>
      </c>
      <c r="C891" s="16">
        <v>1421</v>
      </c>
      <c r="D891" t="s">
        <v>295</v>
      </c>
      <c r="E891" s="30" t="s">
        <v>299</v>
      </c>
      <c r="F891" s="2">
        <v>38127</v>
      </c>
      <c r="H891" s="2">
        <v>39274</v>
      </c>
      <c r="I891" s="25">
        <v>41455</v>
      </c>
      <c r="J891" s="2">
        <v>39418</v>
      </c>
      <c r="L891" t="s">
        <v>297</v>
      </c>
      <c r="M891" t="s">
        <v>322</v>
      </c>
      <c r="N891" s="23" t="str">
        <f t="shared" si="94"/>
        <v>N</v>
      </c>
      <c r="O891" s="30" t="s">
        <v>1889</v>
      </c>
      <c r="P891" s="10" t="s">
        <v>238</v>
      </c>
      <c r="Q891" s="10" t="s">
        <v>240</v>
      </c>
      <c r="S891" s="16" t="str">
        <f t="shared" si="95"/>
        <v>Charles N Johnson</v>
      </c>
      <c r="T891" s="31" t="s">
        <v>1418</v>
      </c>
    </row>
    <row r="892" spans="1:33">
      <c r="A892" s="16">
        <v>10</v>
      </c>
      <c r="B892" s="16" t="s">
        <v>153</v>
      </c>
      <c r="C892" s="16">
        <v>1621</v>
      </c>
      <c r="E892" s="30" t="s">
        <v>299</v>
      </c>
      <c r="F892" s="2"/>
      <c r="H892" s="2"/>
      <c r="I892" s="25">
        <v>41820</v>
      </c>
      <c r="J892" s="2"/>
      <c r="N892" s="23" t="str">
        <f t="shared" si="94"/>
        <v>Y</v>
      </c>
      <c r="O892" s="30" t="s">
        <v>1890</v>
      </c>
      <c r="T892" s="31">
        <v>41487</v>
      </c>
    </row>
    <row r="893" spans="1:33">
      <c r="A893" s="16">
        <v>10</v>
      </c>
      <c r="B893" s="16" t="s">
        <v>317</v>
      </c>
      <c r="C893" s="16">
        <v>4</v>
      </c>
      <c r="D893" t="s">
        <v>295</v>
      </c>
      <c r="E893" s="16" t="s">
        <v>296</v>
      </c>
      <c r="F893" s="2">
        <v>26102</v>
      </c>
      <c r="G893" s="2">
        <v>26102</v>
      </c>
      <c r="H893" s="2">
        <v>39451</v>
      </c>
      <c r="I893" s="25">
        <v>41820</v>
      </c>
      <c r="J893" s="2">
        <v>39418</v>
      </c>
      <c r="K893" s="2">
        <v>38548</v>
      </c>
      <c r="L893" t="s">
        <v>297</v>
      </c>
      <c r="M893" t="s">
        <v>297</v>
      </c>
      <c r="N893" s="23" t="str">
        <f t="shared" si="94"/>
        <v>Y</v>
      </c>
      <c r="O893" s="16" t="s">
        <v>1258</v>
      </c>
      <c r="P893" s="10" t="s">
        <v>238</v>
      </c>
      <c r="Q893" s="10" t="s">
        <v>241</v>
      </c>
      <c r="S893" s="16" t="str">
        <f>MID(Q893,9,30)</f>
        <v>Richard  Pagliarli</v>
      </c>
      <c r="T893" s="31">
        <v>41479</v>
      </c>
    </row>
    <row r="894" spans="1:33">
      <c r="A894" s="16">
        <v>10</v>
      </c>
      <c r="B894" s="16" t="s">
        <v>317</v>
      </c>
      <c r="C894" s="16">
        <v>9</v>
      </c>
      <c r="D894" s="7" t="s">
        <v>295</v>
      </c>
      <c r="E894" s="16" t="s">
        <v>296</v>
      </c>
      <c r="F894" s="2">
        <v>26102</v>
      </c>
      <c r="G894" s="2">
        <v>26102</v>
      </c>
      <c r="H894" s="2">
        <v>39451</v>
      </c>
      <c r="I894" s="25">
        <v>41820</v>
      </c>
      <c r="J894" s="2">
        <v>39418</v>
      </c>
      <c r="K894" s="2">
        <v>36201</v>
      </c>
      <c r="L894" t="s">
        <v>297</v>
      </c>
      <c r="M894" t="s">
        <v>297</v>
      </c>
      <c r="N894" s="23" t="str">
        <f t="shared" si="94"/>
        <v>Y</v>
      </c>
      <c r="O894" s="30" t="s">
        <v>1891</v>
      </c>
      <c r="P894" s="10" t="s">
        <v>238</v>
      </c>
      <c r="Q894" s="10" t="s">
        <v>241</v>
      </c>
      <c r="S894" s="16" t="str">
        <f>MID(Q894,9,30)</f>
        <v>Richard  Pagliarli</v>
      </c>
      <c r="T894" s="31">
        <v>41480</v>
      </c>
    </row>
    <row r="895" spans="1:33">
      <c r="A895" s="16">
        <v>10</v>
      </c>
      <c r="B895" s="16" t="s">
        <v>317</v>
      </c>
      <c r="C895" s="16">
        <v>42</v>
      </c>
      <c r="D895" t="s">
        <v>295</v>
      </c>
      <c r="E895" s="16" t="s">
        <v>296</v>
      </c>
      <c r="F895" s="2">
        <v>26830</v>
      </c>
      <c r="G895" s="2">
        <v>26830</v>
      </c>
      <c r="H895" s="2">
        <v>39451</v>
      </c>
      <c r="I895" s="25">
        <v>41820</v>
      </c>
      <c r="K895" s="2">
        <v>38443</v>
      </c>
      <c r="L895" t="s">
        <v>297</v>
      </c>
      <c r="M895" t="s">
        <v>297</v>
      </c>
      <c r="N895" s="23" t="str">
        <f t="shared" si="94"/>
        <v>Y</v>
      </c>
      <c r="O895" s="30" t="s">
        <v>1892</v>
      </c>
      <c r="P895" s="10" t="s">
        <v>238</v>
      </c>
      <c r="Q895" s="10" t="s">
        <v>241</v>
      </c>
      <c r="S895" s="16" t="str">
        <f>MID(Q895,9,30)</f>
        <v>Richard  Pagliarli</v>
      </c>
      <c r="T895" s="31">
        <v>41428</v>
      </c>
    </row>
    <row r="896" spans="1:33" customFormat="1" hidden="1">
      <c r="A896" t="s">
        <v>238</v>
      </c>
      <c r="B896" t="s">
        <v>248</v>
      </c>
      <c r="I896" s="6"/>
    </row>
    <row r="897" spans="1:33" customFormat="1" hidden="1">
      <c r="A897" t="s">
        <v>1012</v>
      </c>
      <c r="I897" s="6"/>
    </row>
    <row r="898" spans="1:33">
      <c r="A898" s="16">
        <v>10</v>
      </c>
      <c r="B898" s="16" t="s">
        <v>317</v>
      </c>
      <c r="C898" s="16">
        <v>121</v>
      </c>
      <c r="D898" t="s">
        <v>295</v>
      </c>
      <c r="E898" s="16" t="s">
        <v>296</v>
      </c>
      <c r="F898" s="2">
        <v>27922</v>
      </c>
      <c r="G898" s="2">
        <v>28136</v>
      </c>
      <c r="H898" s="2">
        <v>39451</v>
      </c>
      <c r="I898" s="25">
        <v>41820</v>
      </c>
      <c r="J898" s="2">
        <v>39418</v>
      </c>
      <c r="K898" s="2">
        <v>37813</v>
      </c>
      <c r="L898" t="s">
        <v>297</v>
      </c>
      <c r="M898" t="s">
        <v>297</v>
      </c>
      <c r="N898" s="23" t="str">
        <f t="shared" ref="N898:N905" si="96">IF((I898&gt;$W$2),"Y","N")</f>
        <v>Y</v>
      </c>
      <c r="O898" s="30" t="s">
        <v>1218</v>
      </c>
      <c r="P898" s="10" t="s">
        <v>238</v>
      </c>
      <c r="Q898" s="10" t="s">
        <v>241</v>
      </c>
      <c r="S898" s="16" t="str">
        <f t="shared" ref="S898:S903" si="97">MID(Q898,9,30)</f>
        <v>Richard  Pagliarli</v>
      </c>
      <c r="T898" s="31">
        <v>41428</v>
      </c>
    </row>
    <row r="899" spans="1:33">
      <c r="A899" s="16">
        <v>10</v>
      </c>
      <c r="B899" s="16" t="s">
        <v>317</v>
      </c>
      <c r="C899" s="16">
        <v>363</v>
      </c>
      <c r="D899" t="s">
        <v>295</v>
      </c>
      <c r="E899" s="16" t="s">
        <v>296</v>
      </c>
      <c r="F899" s="2">
        <v>30141</v>
      </c>
      <c r="G899" s="2">
        <v>30141</v>
      </c>
      <c r="H899" s="2">
        <v>39455</v>
      </c>
      <c r="I899" s="25">
        <v>41820</v>
      </c>
      <c r="J899" s="2">
        <v>39418</v>
      </c>
      <c r="K899" s="2">
        <v>35931</v>
      </c>
      <c r="L899" t="s">
        <v>297</v>
      </c>
      <c r="M899" t="s">
        <v>297</v>
      </c>
      <c r="N899" s="23" t="str">
        <f t="shared" si="96"/>
        <v>Y</v>
      </c>
      <c r="O899" s="16" t="s">
        <v>1545</v>
      </c>
      <c r="P899" s="10" t="s">
        <v>238</v>
      </c>
      <c r="Q899" s="10" t="s">
        <v>241</v>
      </c>
      <c r="S899" s="16" t="str">
        <f t="shared" si="97"/>
        <v>Richard  Pagliarli</v>
      </c>
      <c r="T899" s="31">
        <v>41425</v>
      </c>
    </row>
    <row r="900" spans="1:33">
      <c r="A900" s="16">
        <v>10</v>
      </c>
      <c r="B900" s="16" t="s">
        <v>317</v>
      </c>
      <c r="C900" s="16">
        <v>759</v>
      </c>
      <c r="D900" t="s">
        <v>295</v>
      </c>
      <c r="E900" s="16" t="s">
        <v>296</v>
      </c>
      <c r="F900" s="2">
        <v>33181</v>
      </c>
      <c r="G900" s="2">
        <v>33382</v>
      </c>
      <c r="H900" s="2">
        <v>39451</v>
      </c>
      <c r="I900" s="25">
        <v>41820</v>
      </c>
      <c r="J900" s="2">
        <v>39418</v>
      </c>
      <c r="K900" s="2">
        <v>38817</v>
      </c>
      <c r="L900" t="s">
        <v>297</v>
      </c>
      <c r="M900" t="s">
        <v>297</v>
      </c>
      <c r="N900" s="23" t="str">
        <f t="shared" si="96"/>
        <v>Y</v>
      </c>
      <c r="O900" s="30" t="s">
        <v>1893</v>
      </c>
      <c r="P900" s="10" t="s">
        <v>238</v>
      </c>
      <c r="Q900" s="10" t="s">
        <v>241</v>
      </c>
      <c r="S900" s="16" t="str">
        <f t="shared" si="97"/>
        <v>Richard  Pagliarli</v>
      </c>
      <c r="T900" s="31">
        <v>41478</v>
      </c>
    </row>
    <row r="901" spans="1:33">
      <c r="A901" s="16">
        <v>10</v>
      </c>
      <c r="B901" s="16" t="s">
        <v>220</v>
      </c>
      <c r="C901" s="16">
        <v>129</v>
      </c>
      <c r="D901" s="7" t="s">
        <v>295</v>
      </c>
      <c r="E901" s="16" t="s">
        <v>296</v>
      </c>
      <c r="F901" s="2">
        <v>28093</v>
      </c>
      <c r="G901" s="2">
        <v>28666</v>
      </c>
      <c r="H901" s="2">
        <v>39225</v>
      </c>
      <c r="I901" s="25">
        <v>41820</v>
      </c>
      <c r="K901" s="2">
        <v>39225</v>
      </c>
      <c r="L901" t="s">
        <v>297</v>
      </c>
      <c r="M901" t="s">
        <v>297</v>
      </c>
      <c r="N901" s="23" t="str">
        <f t="shared" si="96"/>
        <v>Y</v>
      </c>
      <c r="O901" s="30" t="s">
        <v>1894</v>
      </c>
      <c r="P901" s="10" t="s">
        <v>238</v>
      </c>
      <c r="Q901" s="10" t="s">
        <v>242</v>
      </c>
      <c r="S901" s="16" t="str">
        <f t="shared" si="97"/>
        <v>Refer to  SD</v>
      </c>
      <c r="T901" s="31">
        <v>41450</v>
      </c>
    </row>
    <row r="902" spans="1:33">
      <c r="A902" s="16">
        <v>10</v>
      </c>
      <c r="B902" s="16" t="s">
        <v>220</v>
      </c>
      <c r="C902" s="16">
        <v>255</v>
      </c>
      <c r="D902" s="7" t="s">
        <v>295</v>
      </c>
      <c r="E902" s="16" t="s">
        <v>296</v>
      </c>
      <c r="F902" s="2">
        <v>29257</v>
      </c>
      <c r="G902" s="2">
        <v>29483</v>
      </c>
      <c r="H902" s="2">
        <v>39001</v>
      </c>
      <c r="I902" s="25">
        <v>41820</v>
      </c>
      <c r="K902" s="2">
        <v>35373</v>
      </c>
      <c r="L902" t="s">
        <v>297</v>
      </c>
      <c r="M902" t="s">
        <v>297</v>
      </c>
      <c r="N902" s="23" t="str">
        <f t="shared" si="96"/>
        <v>Y</v>
      </c>
      <c r="O902" s="30" t="s">
        <v>1895</v>
      </c>
      <c r="P902" s="10" t="s">
        <v>238</v>
      </c>
      <c r="Q902" s="10" t="s">
        <v>242</v>
      </c>
      <c r="S902" s="16" t="str">
        <f t="shared" si="97"/>
        <v>Refer to  SD</v>
      </c>
      <c r="T902" s="31">
        <v>41479</v>
      </c>
    </row>
    <row r="903" spans="1:33">
      <c r="A903" s="16">
        <v>10</v>
      </c>
      <c r="B903" s="16" t="s">
        <v>220</v>
      </c>
      <c r="C903" s="16">
        <v>315</v>
      </c>
      <c r="D903" s="7" t="s">
        <v>295</v>
      </c>
      <c r="E903" s="16" t="s">
        <v>296</v>
      </c>
      <c r="F903" s="2">
        <v>29791</v>
      </c>
      <c r="G903" s="2">
        <v>29906</v>
      </c>
      <c r="H903" s="2">
        <v>39464</v>
      </c>
      <c r="I903" s="25">
        <v>41455</v>
      </c>
      <c r="J903" s="2">
        <v>29767</v>
      </c>
      <c r="K903" s="2">
        <v>35009</v>
      </c>
      <c r="L903" t="s">
        <v>297</v>
      </c>
      <c r="N903" s="23" t="str">
        <f t="shared" si="96"/>
        <v>N</v>
      </c>
      <c r="O903" s="30" t="s">
        <v>1896</v>
      </c>
      <c r="P903" s="10" t="s">
        <v>238</v>
      </c>
      <c r="Q903" s="10" t="s">
        <v>242</v>
      </c>
      <c r="S903" s="16" t="str">
        <f t="shared" si="97"/>
        <v>Refer to  SD</v>
      </c>
      <c r="T903" s="31" t="s">
        <v>1453</v>
      </c>
    </row>
    <row r="904" spans="1:33">
      <c r="A904" s="16">
        <v>10</v>
      </c>
      <c r="B904" s="16" t="s">
        <v>220</v>
      </c>
      <c r="C904" s="16">
        <v>493</v>
      </c>
      <c r="D904" s="7"/>
      <c r="E904" s="16" t="s">
        <v>296</v>
      </c>
      <c r="F904" s="2"/>
      <c r="G904" s="2"/>
      <c r="H904" s="2"/>
      <c r="I904" s="25">
        <v>41455</v>
      </c>
      <c r="K904" s="2"/>
      <c r="N904" s="23" t="str">
        <f t="shared" si="96"/>
        <v>N</v>
      </c>
      <c r="O904" s="16" t="s">
        <v>1146</v>
      </c>
      <c r="P904" s="7"/>
      <c r="Q904" s="7"/>
      <c r="R904" s="10"/>
      <c r="S904" s="10" t="s">
        <v>1147</v>
      </c>
      <c r="T904" s="44" t="s">
        <v>1453</v>
      </c>
    </row>
    <row r="905" spans="1:33">
      <c r="A905" s="16">
        <v>10</v>
      </c>
      <c r="B905" s="16" t="s">
        <v>220</v>
      </c>
      <c r="C905" s="16">
        <v>956</v>
      </c>
      <c r="D905" s="7" t="s">
        <v>295</v>
      </c>
      <c r="E905" s="16" t="s">
        <v>296</v>
      </c>
      <c r="F905" s="2">
        <v>34494</v>
      </c>
      <c r="G905" s="2">
        <v>37330</v>
      </c>
      <c r="H905" s="2">
        <v>39365</v>
      </c>
      <c r="I905" s="25">
        <v>41820</v>
      </c>
      <c r="K905" s="2">
        <v>35611</v>
      </c>
      <c r="L905" t="s">
        <v>297</v>
      </c>
      <c r="M905" t="s">
        <v>297</v>
      </c>
      <c r="N905" s="23" t="str">
        <f t="shared" si="96"/>
        <v>Y</v>
      </c>
      <c r="O905" s="16" t="s">
        <v>1281</v>
      </c>
      <c r="P905" s="10" t="s">
        <v>238</v>
      </c>
      <c r="Q905" s="10" t="s">
        <v>242</v>
      </c>
      <c r="S905" s="16" t="str">
        <f>MID(Q905,9,30)</f>
        <v>Refer to  SD</v>
      </c>
      <c r="T905" s="31">
        <v>41428</v>
      </c>
    </row>
    <row r="906" spans="1:33" s="7" customFormat="1" hidden="1">
      <c r="A906" s="7">
        <v>11</v>
      </c>
      <c r="B906" s="7" t="s">
        <v>317</v>
      </c>
      <c r="C906" s="7">
        <v>1083</v>
      </c>
      <c r="D906" s="7" t="s">
        <v>462</v>
      </c>
      <c r="E906" s="7" t="s">
        <v>316</v>
      </c>
      <c r="F906" s="2">
        <v>35072</v>
      </c>
      <c r="G906"/>
      <c r="H906"/>
      <c r="I906" s="8">
        <v>35430</v>
      </c>
      <c r="J906"/>
      <c r="K906"/>
      <c r="L906" t="s">
        <v>322</v>
      </c>
      <c r="M906" t="s">
        <v>297</v>
      </c>
      <c r="N906"/>
      <c r="O906" s="7" t="s">
        <v>369</v>
      </c>
      <c r="P906" s="7" t="s">
        <v>249</v>
      </c>
      <c r="Q906" s="7" t="s">
        <v>250</v>
      </c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</row>
    <row r="907" spans="1:33" customFormat="1" hidden="1">
      <c r="A907" t="s">
        <v>249</v>
      </c>
      <c r="B907" t="s">
        <v>250</v>
      </c>
      <c r="I907" s="6"/>
    </row>
    <row r="908" spans="1:33">
      <c r="A908" s="16">
        <v>10</v>
      </c>
      <c r="B908" s="16" t="s">
        <v>220</v>
      </c>
      <c r="C908" s="16">
        <v>1034</v>
      </c>
      <c r="D908" s="7" t="s">
        <v>295</v>
      </c>
      <c r="E908" s="16" t="s">
        <v>296</v>
      </c>
      <c r="F908" s="2">
        <v>34750</v>
      </c>
      <c r="G908" s="2">
        <v>37330</v>
      </c>
      <c r="H908" s="2">
        <v>37858</v>
      </c>
      <c r="I908" s="25">
        <v>41455</v>
      </c>
      <c r="K908" s="2">
        <v>36037</v>
      </c>
      <c r="L908" t="s">
        <v>297</v>
      </c>
      <c r="M908" t="s">
        <v>297</v>
      </c>
      <c r="N908" s="23" t="str">
        <f t="shared" ref="N908:N915" si="98">IF((I908&gt;$W$2),"Y","N")</f>
        <v>N</v>
      </c>
      <c r="O908" s="30" t="s">
        <v>1897</v>
      </c>
      <c r="P908" s="10" t="s">
        <v>238</v>
      </c>
      <c r="Q908" s="10" t="s">
        <v>242</v>
      </c>
      <c r="S908" s="16" t="str">
        <f>MID(Q908,9,30)</f>
        <v>Refer to  SD</v>
      </c>
      <c r="T908" s="31" t="s">
        <v>1357</v>
      </c>
    </row>
    <row r="909" spans="1:33">
      <c r="A909" s="16">
        <v>10</v>
      </c>
      <c r="B909" s="16" t="s">
        <v>220</v>
      </c>
      <c r="C909" s="16">
        <v>1306</v>
      </c>
      <c r="D909" t="s">
        <v>295</v>
      </c>
      <c r="E909" s="16" t="s">
        <v>316</v>
      </c>
      <c r="F909" s="2">
        <v>36364</v>
      </c>
      <c r="G909" s="2">
        <v>37330</v>
      </c>
      <c r="I909" s="25" t="s">
        <v>1635</v>
      </c>
      <c r="L909" t="s">
        <v>322</v>
      </c>
      <c r="M909" t="s">
        <v>297</v>
      </c>
      <c r="N909" s="23" t="str">
        <f t="shared" si="98"/>
        <v>Y</v>
      </c>
      <c r="O909" s="16" t="s">
        <v>318</v>
      </c>
      <c r="P909" s="10" t="s">
        <v>238</v>
      </c>
      <c r="Q909" s="10" t="s">
        <v>242</v>
      </c>
      <c r="S909" s="16" t="str">
        <f>MID(Q909,9,30)</f>
        <v>Refer to  SD</v>
      </c>
    </row>
    <row r="910" spans="1:33">
      <c r="A910" s="16">
        <v>10</v>
      </c>
      <c r="B910" s="16" t="s">
        <v>220</v>
      </c>
      <c r="C910" s="16">
        <v>1309</v>
      </c>
      <c r="D910" t="s">
        <v>295</v>
      </c>
      <c r="E910" s="16" t="s">
        <v>316</v>
      </c>
      <c r="F910" s="2">
        <v>36375</v>
      </c>
      <c r="G910" s="2">
        <v>37330</v>
      </c>
      <c r="H910" s="2">
        <v>38118</v>
      </c>
      <c r="I910" s="25">
        <v>40724</v>
      </c>
      <c r="L910" t="s">
        <v>297</v>
      </c>
      <c r="N910" s="23" t="str">
        <f t="shared" si="98"/>
        <v>N</v>
      </c>
      <c r="O910" s="16" t="s">
        <v>982</v>
      </c>
      <c r="P910" s="10" t="s">
        <v>238</v>
      </c>
      <c r="Q910" s="10" t="s">
        <v>242</v>
      </c>
      <c r="S910" s="16" t="str">
        <f>MID(Q910,9,30)</f>
        <v>Refer to  SD</v>
      </c>
      <c r="T910" s="31" t="s">
        <v>1310</v>
      </c>
    </row>
    <row r="911" spans="1:33">
      <c r="A911" s="16">
        <v>10</v>
      </c>
      <c r="B911" s="16" t="s">
        <v>220</v>
      </c>
      <c r="C911" s="16">
        <v>1429</v>
      </c>
      <c r="D911" s="7" t="s">
        <v>295</v>
      </c>
      <c r="E911" s="16" t="s">
        <v>296</v>
      </c>
      <c r="F911" s="2">
        <v>37524</v>
      </c>
      <c r="G911" s="2">
        <v>38391</v>
      </c>
      <c r="H911" s="2">
        <v>38708</v>
      </c>
      <c r="I911" s="25">
        <v>41455</v>
      </c>
      <c r="L911" t="s">
        <v>297</v>
      </c>
      <c r="M911" t="s">
        <v>297</v>
      </c>
      <c r="N911" s="23" t="str">
        <f t="shared" si="98"/>
        <v>N</v>
      </c>
      <c r="O911" s="16" t="s">
        <v>983</v>
      </c>
      <c r="P911" s="10" t="s">
        <v>238</v>
      </c>
      <c r="Q911" s="10" t="s">
        <v>242</v>
      </c>
      <c r="S911" s="16" t="str">
        <f>MID(Q911,9,30)</f>
        <v>Refer to  SD</v>
      </c>
      <c r="T911" s="31" t="s">
        <v>1499</v>
      </c>
    </row>
    <row r="912" spans="1:33">
      <c r="A912" s="16">
        <v>10</v>
      </c>
      <c r="B912" s="16" t="s">
        <v>220</v>
      </c>
      <c r="C912" s="16">
        <v>1591</v>
      </c>
      <c r="E912" s="16" t="s">
        <v>299</v>
      </c>
      <c r="F912" s="2">
        <v>38077</v>
      </c>
      <c r="H912" s="2">
        <v>38524</v>
      </c>
      <c r="I912" s="25">
        <v>41090</v>
      </c>
      <c r="L912" t="s">
        <v>297</v>
      </c>
      <c r="M912" t="s">
        <v>322</v>
      </c>
      <c r="N912" s="21" t="str">
        <f t="shared" si="98"/>
        <v>N</v>
      </c>
      <c r="O912" s="16" t="s">
        <v>1339</v>
      </c>
      <c r="T912" s="31" t="s">
        <v>1338</v>
      </c>
    </row>
    <row r="913" spans="1:21">
      <c r="A913" s="16">
        <v>10</v>
      </c>
      <c r="B913" s="16" t="s">
        <v>339</v>
      </c>
      <c r="C913" s="16">
        <v>77</v>
      </c>
      <c r="D913" t="s">
        <v>295</v>
      </c>
      <c r="E913" s="16" t="s">
        <v>296</v>
      </c>
      <c r="F913" s="2">
        <v>27591</v>
      </c>
      <c r="G913" s="2">
        <v>27863</v>
      </c>
      <c r="H913" s="2">
        <v>39186</v>
      </c>
      <c r="I913" s="25">
        <v>41820</v>
      </c>
      <c r="J913" s="2">
        <v>39327</v>
      </c>
      <c r="K913" s="2">
        <v>39315</v>
      </c>
      <c r="L913" t="s">
        <v>297</v>
      </c>
      <c r="M913" t="s">
        <v>297</v>
      </c>
      <c r="N913" s="23" t="str">
        <f t="shared" si="98"/>
        <v>Y</v>
      </c>
      <c r="O913" s="30" t="s">
        <v>1898</v>
      </c>
      <c r="P913" s="10" t="s">
        <v>238</v>
      </c>
      <c r="Q913" s="10" t="s">
        <v>243</v>
      </c>
      <c r="S913" s="16" t="str">
        <f>MID(Q913,9,30)</f>
        <v>Thomas F Lebens</v>
      </c>
      <c r="T913" s="31">
        <v>41425</v>
      </c>
    </row>
    <row r="914" spans="1:21">
      <c r="A914" s="16">
        <v>10</v>
      </c>
      <c r="B914" s="16" t="s">
        <v>339</v>
      </c>
      <c r="C914" s="16">
        <v>83</v>
      </c>
      <c r="D914" s="7" t="s">
        <v>295</v>
      </c>
      <c r="E914" s="16" t="s">
        <v>296</v>
      </c>
      <c r="F914" s="2">
        <v>27591</v>
      </c>
      <c r="G914" s="2">
        <v>28696</v>
      </c>
      <c r="H914" s="2">
        <v>39451</v>
      </c>
      <c r="I914" s="25">
        <v>41820</v>
      </c>
      <c r="J914" s="2">
        <v>39168</v>
      </c>
      <c r="K914" s="2">
        <v>39451</v>
      </c>
      <c r="L914" t="s">
        <v>297</v>
      </c>
      <c r="M914" t="s">
        <v>297</v>
      </c>
      <c r="N914" s="23" t="str">
        <f t="shared" si="98"/>
        <v>Y</v>
      </c>
      <c r="O914" s="16" t="s">
        <v>985</v>
      </c>
      <c r="P914" s="10" t="s">
        <v>238</v>
      </c>
      <c r="Q914" s="10" t="s">
        <v>243</v>
      </c>
      <c r="S914" s="16" t="str">
        <f>MID(Q914,9,30)</f>
        <v>Thomas F Lebens</v>
      </c>
      <c r="T914" s="31">
        <v>41479</v>
      </c>
    </row>
    <row r="915" spans="1:21">
      <c r="A915" s="16">
        <v>10</v>
      </c>
      <c r="B915" s="16" t="s">
        <v>339</v>
      </c>
      <c r="C915" s="16">
        <v>180</v>
      </c>
      <c r="D915" t="s">
        <v>295</v>
      </c>
      <c r="E915" s="16" t="s">
        <v>296</v>
      </c>
      <c r="F915" s="2">
        <v>28572</v>
      </c>
      <c r="G915" s="2">
        <v>29471</v>
      </c>
      <c r="H915" s="2">
        <v>39413</v>
      </c>
      <c r="I915" s="25">
        <v>41820</v>
      </c>
      <c r="K915" s="2">
        <v>35214</v>
      </c>
      <c r="L915" t="s">
        <v>297</v>
      </c>
      <c r="M915" t="s">
        <v>297</v>
      </c>
      <c r="N915" s="23" t="str">
        <f t="shared" si="98"/>
        <v>Y</v>
      </c>
      <c r="O915" s="16" t="s">
        <v>1531</v>
      </c>
      <c r="P915" s="10" t="s">
        <v>238</v>
      </c>
      <c r="Q915" s="10" t="s">
        <v>243</v>
      </c>
      <c r="S915" s="16" t="str">
        <f>MID(Q915,9,30)</f>
        <v>Thomas F Lebens</v>
      </c>
      <c r="T915" s="31">
        <v>41479</v>
      </c>
    </row>
    <row r="916" spans="1:21" customFormat="1" hidden="1">
      <c r="A916" t="s">
        <v>249</v>
      </c>
      <c r="B916" t="s">
        <v>251</v>
      </c>
      <c r="I916" s="6"/>
    </row>
    <row r="917" spans="1:21">
      <c r="A917" s="16">
        <v>10</v>
      </c>
      <c r="B917" s="16" t="s">
        <v>339</v>
      </c>
      <c r="C917" s="16">
        <v>599</v>
      </c>
      <c r="D917" t="s">
        <v>295</v>
      </c>
      <c r="E917" s="16" t="s">
        <v>296</v>
      </c>
      <c r="F917" s="2">
        <v>31922</v>
      </c>
      <c r="G917" s="2">
        <v>33749</v>
      </c>
      <c r="H917" s="2">
        <v>39210</v>
      </c>
      <c r="I917" s="25">
        <v>41820</v>
      </c>
      <c r="J917" s="2">
        <v>39327</v>
      </c>
      <c r="K917" s="2">
        <v>39269</v>
      </c>
      <c r="L917" t="s">
        <v>297</v>
      </c>
      <c r="M917" t="s">
        <v>297</v>
      </c>
      <c r="N917" s="23" t="str">
        <f t="shared" ref="N917:N926" si="99">IF((I917&gt;$W$2),"Y","N")</f>
        <v>Y</v>
      </c>
      <c r="O917" s="30" t="s">
        <v>1899</v>
      </c>
      <c r="P917" s="10" t="s">
        <v>238</v>
      </c>
      <c r="Q917" s="10" t="s">
        <v>243</v>
      </c>
      <c r="S917" s="16" t="str">
        <f>MID(Q917,9,30)</f>
        <v>Thomas F Lebens</v>
      </c>
      <c r="T917" s="31">
        <v>41478</v>
      </c>
    </row>
    <row r="918" spans="1:21">
      <c r="A918" s="16">
        <v>10</v>
      </c>
      <c r="B918" s="16" t="s">
        <v>339</v>
      </c>
      <c r="C918" s="16">
        <v>716</v>
      </c>
      <c r="D918" t="s">
        <v>295</v>
      </c>
      <c r="E918" s="16" t="s">
        <v>296</v>
      </c>
      <c r="F918" s="2">
        <v>32892</v>
      </c>
      <c r="G918" s="2">
        <v>32903</v>
      </c>
      <c r="H918" s="2">
        <v>39384</v>
      </c>
      <c r="I918" s="25">
        <v>41820</v>
      </c>
      <c r="J918" s="2">
        <v>39360</v>
      </c>
      <c r="K918" s="2">
        <v>39203</v>
      </c>
      <c r="L918" t="s">
        <v>297</v>
      </c>
      <c r="M918" t="s">
        <v>297</v>
      </c>
      <c r="N918" s="23" t="str">
        <f t="shared" si="99"/>
        <v>Y</v>
      </c>
      <c r="O918" s="16" t="s">
        <v>988</v>
      </c>
      <c r="P918" s="10" t="s">
        <v>238</v>
      </c>
      <c r="Q918" s="10" t="s">
        <v>243</v>
      </c>
      <c r="S918" s="16" t="str">
        <f>MID(Q918,9,30)</f>
        <v>Thomas F Lebens</v>
      </c>
      <c r="T918" s="31">
        <v>41479</v>
      </c>
    </row>
    <row r="919" spans="1:21">
      <c r="A919" s="16">
        <v>10</v>
      </c>
      <c r="B919" s="16" t="s">
        <v>339</v>
      </c>
      <c r="C919" s="16">
        <v>741</v>
      </c>
      <c r="D919" t="s">
        <v>295</v>
      </c>
      <c r="E919" s="16" t="s">
        <v>296</v>
      </c>
      <c r="F919" s="2">
        <v>33021</v>
      </c>
      <c r="G919" s="2">
        <v>33264</v>
      </c>
      <c r="H919" s="2">
        <v>39370</v>
      </c>
      <c r="I919" s="25">
        <v>41820</v>
      </c>
      <c r="J919" s="2">
        <v>38930</v>
      </c>
      <c r="K919" s="2">
        <v>34773</v>
      </c>
      <c r="L919" t="s">
        <v>297</v>
      </c>
      <c r="M919" t="s">
        <v>297</v>
      </c>
      <c r="N919" s="23" t="str">
        <f t="shared" si="99"/>
        <v>Y</v>
      </c>
      <c r="O919" s="30" t="s">
        <v>1900</v>
      </c>
      <c r="P919" s="10" t="s">
        <v>238</v>
      </c>
      <c r="Q919" s="10" t="s">
        <v>243</v>
      </c>
      <c r="S919" s="16" t="str">
        <f>MID(Q919,9,30)</f>
        <v>Thomas F Lebens</v>
      </c>
      <c r="T919" s="31" t="s">
        <v>1618</v>
      </c>
    </row>
    <row r="920" spans="1:21">
      <c r="A920" s="16">
        <v>10</v>
      </c>
      <c r="B920" s="30" t="s">
        <v>339</v>
      </c>
      <c r="C920" s="16">
        <v>1610</v>
      </c>
      <c r="E920" s="30" t="s">
        <v>299</v>
      </c>
      <c r="I920" s="25">
        <v>41820</v>
      </c>
      <c r="N920" s="23" t="str">
        <f t="shared" si="99"/>
        <v>Y</v>
      </c>
      <c r="O920" s="30" t="s">
        <v>1624</v>
      </c>
      <c r="T920" s="31">
        <v>41479</v>
      </c>
    </row>
    <row r="921" spans="1:21">
      <c r="A921" s="16">
        <v>10</v>
      </c>
      <c r="B921" s="16" t="s">
        <v>165</v>
      </c>
      <c r="C921" s="16">
        <v>46</v>
      </c>
      <c r="D921" t="s">
        <v>295</v>
      </c>
      <c r="E921" s="16" t="s">
        <v>296</v>
      </c>
      <c r="F921" s="2">
        <v>27275</v>
      </c>
      <c r="G921" s="2">
        <v>27275</v>
      </c>
      <c r="H921" s="2">
        <v>39511</v>
      </c>
      <c r="I921" s="25">
        <v>41455</v>
      </c>
      <c r="J921" s="2">
        <v>33054</v>
      </c>
      <c r="K921" s="2">
        <v>37348</v>
      </c>
      <c r="L921" t="s">
        <v>297</v>
      </c>
      <c r="M921" t="s">
        <v>297</v>
      </c>
      <c r="N921" s="23" t="str">
        <f t="shared" si="99"/>
        <v>N</v>
      </c>
      <c r="O921" s="30" t="s">
        <v>1901</v>
      </c>
      <c r="P921" s="10" t="s">
        <v>238</v>
      </c>
      <c r="Q921" s="10" t="s">
        <v>244</v>
      </c>
      <c r="S921" s="16" t="str">
        <f t="shared" ref="S921:S926" si="100">MID(Q921,9,30)</f>
        <v>Mark  Hovis</v>
      </c>
      <c r="T921" s="31" t="s">
        <v>1393</v>
      </c>
    </row>
    <row r="922" spans="1:21">
      <c r="A922" s="16">
        <v>10</v>
      </c>
      <c r="B922" s="16" t="s">
        <v>165</v>
      </c>
      <c r="C922" s="16">
        <v>677</v>
      </c>
      <c r="D922" t="s">
        <v>295</v>
      </c>
      <c r="E922" s="16" t="s">
        <v>296</v>
      </c>
      <c r="F922" s="2">
        <v>32578</v>
      </c>
      <c r="G922" s="2">
        <v>32578</v>
      </c>
      <c r="H922" s="2">
        <v>39510</v>
      </c>
      <c r="I922" s="25">
        <v>41820</v>
      </c>
      <c r="J922" s="2">
        <v>39465</v>
      </c>
      <c r="K922" s="2">
        <v>35230</v>
      </c>
      <c r="L922" t="s">
        <v>297</v>
      </c>
      <c r="M922" t="s">
        <v>297</v>
      </c>
      <c r="N922" s="23" t="str">
        <f t="shared" si="99"/>
        <v>Y</v>
      </c>
      <c r="O922" s="30" t="s">
        <v>1902</v>
      </c>
      <c r="P922" s="10" t="s">
        <v>238</v>
      </c>
      <c r="Q922" s="10" t="s">
        <v>244</v>
      </c>
      <c r="S922" s="16" t="str">
        <f t="shared" si="100"/>
        <v>Mark  Hovis</v>
      </c>
      <c r="T922" s="31">
        <v>41450</v>
      </c>
    </row>
    <row r="923" spans="1:21">
      <c r="A923" s="16">
        <v>10</v>
      </c>
      <c r="B923" s="16" t="s">
        <v>165</v>
      </c>
      <c r="C923" s="16">
        <v>678</v>
      </c>
      <c r="D923" t="s">
        <v>295</v>
      </c>
      <c r="E923" s="16" t="s">
        <v>296</v>
      </c>
      <c r="F923" s="2">
        <v>32577</v>
      </c>
      <c r="G923" s="2">
        <v>32578</v>
      </c>
      <c r="H923" s="2">
        <v>39455</v>
      </c>
      <c r="I923" s="25">
        <v>41820</v>
      </c>
      <c r="J923" s="2">
        <v>39418</v>
      </c>
      <c r="K923" s="2">
        <v>39451</v>
      </c>
      <c r="L923" t="s">
        <v>297</v>
      </c>
      <c r="M923" t="s">
        <v>297</v>
      </c>
      <c r="N923" s="23" t="str">
        <f t="shared" si="99"/>
        <v>Y</v>
      </c>
      <c r="O923" s="16" t="s">
        <v>1602</v>
      </c>
      <c r="P923" s="10" t="s">
        <v>238</v>
      </c>
      <c r="Q923" s="10" t="s">
        <v>244</v>
      </c>
      <c r="S923" s="16" t="str">
        <f t="shared" si="100"/>
        <v>Mark  Hovis</v>
      </c>
      <c r="T923" s="31">
        <v>41432</v>
      </c>
    </row>
    <row r="924" spans="1:21">
      <c r="A924" s="16">
        <v>10</v>
      </c>
      <c r="B924" s="16" t="s">
        <v>165</v>
      </c>
      <c r="C924" s="16">
        <v>1441</v>
      </c>
      <c r="D924" t="s">
        <v>295</v>
      </c>
      <c r="E924" s="16" t="s">
        <v>296</v>
      </c>
      <c r="F924" s="2">
        <v>37694</v>
      </c>
      <c r="G924" s="2">
        <v>37944</v>
      </c>
      <c r="H924" s="2">
        <v>39451</v>
      </c>
      <c r="I924" s="25">
        <v>41820</v>
      </c>
      <c r="J924" s="2">
        <v>39465</v>
      </c>
      <c r="K924" s="2">
        <v>39451</v>
      </c>
      <c r="L924" t="s">
        <v>297</v>
      </c>
      <c r="M924" t="s">
        <v>297</v>
      </c>
      <c r="N924" s="23" t="str">
        <f t="shared" si="99"/>
        <v>Y</v>
      </c>
      <c r="O924" s="30" t="s">
        <v>1903</v>
      </c>
      <c r="P924" s="10" t="s">
        <v>238</v>
      </c>
      <c r="Q924" s="10" t="s">
        <v>244</v>
      </c>
      <c r="S924" s="16" t="str">
        <f t="shared" si="100"/>
        <v>Mark  Hovis</v>
      </c>
      <c r="T924" s="31">
        <v>41424</v>
      </c>
    </row>
    <row r="925" spans="1:21">
      <c r="A925" s="16">
        <v>10</v>
      </c>
      <c r="B925" s="16" t="s">
        <v>245</v>
      </c>
      <c r="C925" s="16">
        <v>8</v>
      </c>
      <c r="D925" s="7" t="s">
        <v>295</v>
      </c>
      <c r="E925" s="16" t="s">
        <v>296</v>
      </c>
      <c r="F925" s="2">
        <v>26102</v>
      </c>
      <c r="G925" s="2">
        <v>26102</v>
      </c>
      <c r="H925" s="2">
        <v>39086</v>
      </c>
      <c r="I925" s="25">
        <v>41820</v>
      </c>
      <c r="J925" s="2">
        <v>39418</v>
      </c>
      <c r="K925" s="2">
        <v>38867</v>
      </c>
      <c r="L925" t="s">
        <v>297</v>
      </c>
      <c r="M925" t="s">
        <v>297</v>
      </c>
      <c r="N925" s="23" t="str">
        <f t="shared" si="99"/>
        <v>Y</v>
      </c>
      <c r="O925" s="16" t="s">
        <v>994</v>
      </c>
      <c r="P925" s="10" t="s">
        <v>238</v>
      </c>
      <c r="Q925" s="10" t="s">
        <v>246</v>
      </c>
      <c r="S925" s="16" t="str">
        <f t="shared" si="100"/>
        <v>Steve E Singer</v>
      </c>
      <c r="T925" s="31">
        <v>41485</v>
      </c>
      <c r="U925" s="10" t="s">
        <v>1143</v>
      </c>
    </row>
    <row r="926" spans="1:21">
      <c r="A926" s="16">
        <v>10</v>
      </c>
      <c r="B926" s="16" t="s">
        <v>245</v>
      </c>
      <c r="C926" s="16">
        <v>29</v>
      </c>
      <c r="D926" s="7" t="s">
        <v>295</v>
      </c>
      <c r="E926" s="16" t="s">
        <v>296</v>
      </c>
      <c r="F926" s="2">
        <v>26830</v>
      </c>
      <c r="G926" s="2">
        <v>26830</v>
      </c>
      <c r="H926" s="2">
        <v>39184</v>
      </c>
      <c r="I926" s="25">
        <v>41090</v>
      </c>
      <c r="J926" s="2">
        <v>37914</v>
      </c>
      <c r="K926" s="2">
        <v>37914</v>
      </c>
      <c r="L926" t="s">
        <v>297</v>
      </c>
      <c r="M926" t="s">
        <v>297</v>
      </c>
      <c r="N926" s="23" t="str">
        <f t="shared" si="99"/>
        <v>N</v>
      </c>
      <c r="O926" s="16" t="s">
        <v>995</v>
      </c>
      <c r="P926" s="10" t="s">
        <v>238</v>
      </c>
      <c r="Q926" s="10" t="s">
        <v>246</v>
      </c>
      <c r="S926" s="16" t="str">
        <f t="shared" si="100"/>
        <v>Steve E Singer</v>
      </c>
      <c r="T926" s="31" t="s">
        <v>1318</v>
      </c>
      <c r="U926" s="24">
        <v>39661</v>
      </c>
    </row>
    <row r="927" spans="1:21" customFormat="1" hidden="1">
      <c r="A927" t="s">
        <v>249</v>
      </c>
      <c r="B927" t="s">
        <v>252</v>
      </c>
      <c r="I927" s="6"/>
    </row>
    <row r="928" spans="1:21">
      <c r="A928" s="16">
        <v>10</v>
      </c>
      <c r="B928" s="16" t="s">
        <v>245</v>
      </c>
      <c r="C928" s="16">
        <v>33</v>
      </c>
      <c r="D928" t="s">
        <v>295</v>
      </c>
      <c r="E928" s="16" t="s">
        <v>296</v>
      </c>
      <c r="F928" s="2">
        <v>26830</v>
      </c>
      <c r="G928" s="2">
        <v>26830</v>
      </c>
      <c r="H928" s="2">
        <v>39426</v>
      </c>
      <c r="I928" s="25">
        <v>41455</v>
      </c>
      <c r="J928" s="2">
        <v>39418</v>
      </c>
      <c r="K928" s="2">
        <v>36362</v>
      </c>
      <c r="L928" t="s">
        <v>297</v>
      </c>
      <c r="M928" t="s">
        <v>297</v>
      </c>
      <c r="N928" s="23" t="str">
        <f t="shared" ref="N928:N934" si="101">IF((I928&gt;$W$2),"Y","N")</f>
        <v>N</v>
      </c>
      <c r="O928" s="16" t="s">
        <v>1603</v>
      </c>
      <c r="P928" s="10" t="s">
        <v>238</v>
      </c>
      <c r="Q928" s="10" t="s">
        <v>246</v>
      </c>
      <c r="S928" s="16" t="str">
        <f t="shared" ref="S928:S934" si="102">MID(Q928,9,30)</f>
        <v>Steve E Singer</v>
      </c>
      <c r="T928" s="31" t="s">
        <v>1566</v>
      </c>
      <c r="U928" s="10" t="s">
        <v>1149</v>
      </c>
    </row>
    <row r="929" spans="1:21">
      <c r="A929" s="16">
        <v>10</v>
      </c>
      <c r="B929" s="16" t="s">
        <v>245</v>
      </c>
      <c r="C929" s="16">
        <v>58</v>
      </c>
      <c r="D929" t="s">
        <v>295</v>
      </c>
      <c r="E929" s="16" t="s">
        <v>296</v>
      </c>
      <c r="F929" s="2">
        <v>27591</v>
      </c>
      <c r="G929" s="2">
        <v>28901</v>
      </c>
      <c r="H929" s="2">
        <v>39349</v>
      </c>
      <c r="I929" s="25">
        <v>41820</v>
      </c>
      <c r="J929" s="2">
        <v>39295</v>
      </c>
      <c r="K929" s="2">
        <v>36454</v>
      </c>
      <c r="L929" t="s">
        <v>297</v>
      </c>
      <c r="M929" t="s">
        <v>297</v>
      </c>
      <c r="N929" s="23" t="str">
        <f t="shared" si="101"/>
        <v>Y</v>
      </c>
      <c r="O929" s="16" t="s">
        <v>1259</v>
      </c>
      <c r="P929" s="10" t="s">
        <v>238</v>
      </c>
      <c r="Q929" s="10" t="s">
        <v>246</v>
      </c>
      <c r="S929" s="16" t="str">
        <f t="shared" si="102"/>
        <v>Steve E Singer</v>
      </c>
      <c r="T929" s="31" t="s">
        <v>1613</v>
      </c>
    </row>
    <row r="930" spans="1:21">
      <c r="A930" s="16">
        <v>10</v>
      </c>
      <c r="B930" s="16" t="s">
        <v>245</v>
      </c>
      <c r="C930" s="16">
        <v>71</v>
      </c>
      <c r="D930" t="s">
        <v>295</v>
      </c>
      <c r="E930" s="16" t="s">
        <v>296</v>
      </c>
      <c r="F930" s="2">
        <v>27591</v>
      </c>
      <c r="G930" s="2">
        <v>27591</v>
      </c>
      <c r="H930" s="2">
        <v>39206</v>
      </c>
      <c r="I930" s="25">
        <v>41820</v>
      </c>
      <c r="J930" s="2">
        <v>39418</v>
      </c>
      <c r="K930" s="2">
        <v>37914</v>
      </c>
      <c r="L930" t="s">
        <v>297</v>
      </c>
      <c r="M930" t="s">
        <v>297</v>
      </c>
      <c r="N930" s="23" t="str">
        <f t="shared" si="101"/>
        <v>Y</v>
      </c>
      <c r="O930" s="30" t="s">
        <v>1904</v>
      </c>
      <c r="P930" s="10" t="s">
        <v>238</v>
      </c>
      <c r="Q930" s="10" t="s">
        <v>246</v>
      </c>
      <c r="S930" s="16" t="str">
        <f t="shared" si="102"/>
        <v>Steve E Singer</v>
      </c>
      <c r="T930" s="31">
        <v>41428</v>
      </c>
    </row>
    <row r="931" spans="1:21">
      <c r="A931" s="16">
        <v>10</v>
      </c>
      <c r="B931" s="16" t="s">
        <v>245</v>
      </c>
      <c r="C931" s="16">
        <v>174</v>
      </c>
      <c r="D931" s="7" t="s">
        <v>295</v>
      </c>
      <c r="E931" s="16" t="s">
        <v>296</v>
      </c>
      <c r="F931" s="2">
        <v>28521</v>
      </c>
      <c r="G931" s="2">
        <v>28640</v>
      </c>
      <c r="H931" s="2">
        <v>39511</v>
      </c>
      <c r="I931" s="25">
        <v>41455</v>
      </c>
      <c r="J931" s="2">
        <v>39418</v>
      </c>
      <c r="K931" s="2">
        <v>39451</v>
      </c>
      <c r="L931" t="s">
        <v>297</v>
      </c>
      <c r="M931" t="s">
        <v>297</v>
      </c>
      <c r="N931" s="23" t="str">
        <f t="shared" si="101"/>
        <v>N</v>
      </c>
      <c r="O931" s="30" t="s">
        <v>1905</v>
      </c>
      <c r="P931" s="10" t="s">
        <v>238</v>
      </c>
      <c r="Q931" s="10" t="s">
        <v>246</v>
      </c>
      <c r="S931" s="16" t="str">
        <f t="shared" si="102"/>
        <v>Steve E Singer</v>
      </c>
      <c r="T931" s="31" t="s">
        <v>1356</v>
      </c>
    </row>
    <row r="932" spans="1:21">
      <c r="A932" s="16">
        <v>10</v>
      </c>
      <c r="B932" s="16" t="s">
        <v>245</v>
      </c>
      <c r="C932" s="16">
        <v>254</v>
      </c>
      <c r="D932" t="s">
        <v>295</v>
      </c>
      <c r="E932" s="16" t="s">
        <v>296</v>
      </c>
      <c r="F932" s="2">
        <v>29256</v>
      </c>
      <c r="G932" s="2">
        <v>29909</v>
      </c>
      <c r="H932" s="2">
        <v>39310</v>
      </c>
      <c r="I932" s="25">
        <v>41455</v>
      </c>
      <c r="J932" s="2">
        <v>37819</v>
      </c>
      <c r="K932" s="2">
        <v>36270</v>
      </c>
      <c r="L932" t="s">
        <v>297</v>
      </c>
      <c r="M932" t="s">
        <v>297</v>
      </c>
      <c r="N932" s="23" t="str">
        <f t="shared" si="101"/>
        <v>N</v>
      </c>
      <c r="O932" s="30" t="s">
        <v>1906</v>
      </c>
      <c r="P932" s="10" t="s">
        <v>238</v>
      </c>
      <c r="Q932" s="10" t="s">
        <v>246</v>
      </c>
      <c r="S932" s="16" t="str">
        <f t="shared" si="102"/>
        <v>Steve E Singer</v>
      </c>
      <c r="T932" s="31" t="s">
        <v>1394</v>
      </c>
    </row>
    <row r="933" spans="1:21">
      <c r="A933" s="16">
        <v>10</v>
      </c>
      <c r="B933" s="16" t="s">
        <v>245</v>
      </c>
      <c r="C933" s="16">
        <v>795</v>
      </c>
      <c r="D933" s="7" t="s">
        <v>295</v>
      </c>
      <c r="E933" s="16" t="s">
        <v>296</v>
      </c>
      <c r="F933" s="2">
        <v>33384</v>
      </c>
      <c r="G933" s="2">
        <v>33621</v>
      </c>
      <c r="H933" s="2">
        <v>39336</v>
      </c>
      <c r="I933" s="25">
        <v>41455</v>
      </c>
      <c r="J933" s="2">
        <v>39418</v>
      </c>
      <c r="K933" s="2">
        <v>38181</v>
      </c>
      <c r="L933" t="s">
        <v>297</v>
      </c>
      <c r="M933" t="s">
        <v>297</v>
      </c>
      <c r="N933" s="23" t="str">
        <f t="shared" si="101"/>
        <v>N</v>
      </c>
      <c r="O933" s="16" t="s">
        <v>1546</v>
      </c>
      <c r="P933" s="10" t="s">
        <v>238</v>
      </c>
      <c r="Q933" s="10" t="s">
        <v>246</v>
      </c>
      <c r="S933" s="16" t="str">
        <f t="shared" si="102"/>
        <v>Steve E Singer</v>
      </c>
      <c r="T933" s="31" t="s">
        <v>1541</v>
      </c>
    </row>
    <row r="934" spans="1:21">
      <c r="A934" s="16">
        <v>10</v>
      </c>
      <c r="B934" s="16" t="s">
        <v>247</v>
      </c>
      <c r="C934" s="16">
        <v>39</v>
      </c>
      <c r="D934" t="s">
        <v>295</v>
      </c>
      <c r="E934" s="16" t="s">
        <v>296</v>
      </c>
      <c r="F934" s="2">
        <v>26830</v>
      </c>
      <c r="G934" s="2">
        <v>26830</v>
      </c>
      <c r="H934" s="2">
        <v>39225</v>
      </c>
      <c r="I934" s="25">
        <v>41820</v>
      </c>
      <c r="J934" s="2">
        <v>39327</v>
      </c>
      <c r="K934" s="2">
        <v>36413</v>
      </c>
      <c r="L934" t="s">
        <v>297</v>
      </c>
      <c r="M934" t="s">
        <v>297</v>
      </c>
      <c r="N934" s="23" t="str">
        <f t="shared" si="101"/>
        <v>Y</v>
      </c>
      <c r="O934" s="30" t="s">
        <v>1907</v>
      </c>
      <c r="P934" s="10" t="s">
        <v>238</v>
      </c>
      <c r="Q934" s="10" t="s">
        <v>248</v>
      </c>
      <c r="S934" s="16" t="str">
        <f t="shared" si="102"/>
        <v>Archie C Shum</v>
      </c>
      <c r="T934" s="31" t="s">
        <v>1615</v>
      </c>
    </row>
    <row r="935" spans="1:21" customFormat="1" hidden="1">
      <c r="A935" t="s">
        <v>249</v>
      </c>
      <c r="B935" t="s">
        <v>253</v>
      </c>
      <c r="I935" s="6"/>
    </row>
    <row r="936" spans="1:21">
      <c r="A936" s="16">
        <v>10</v>
      </c>
      <c r="B936" s="16" t="s">
        <v>247</v>
      </c>
      <c r="C936" s="16">
        <v>68</v>
      </c>
      <c r="D936" t="s">
        <v>295</v>
      </c>
      <c r="E936" s="16" t="s">
        <v>296</v>
      </c>
      <c r="F936" s="2">
        <v>27591</v>
      </c>
      <c r="G936" s="2">
        <v>27591</v>
      </c>
      <c r="H936" s="2">
        <v>39385</v>
      </c>
      <c r="I936" s="25">
        <v>41820</v>
      </c>
      <c r="J936" s="2">
        <v>39327</v>
      </c>
      <c r="K936" s="2">
        <v>36413</v>
      </c>
      <c r="L936" t="s">
        <v>297</v>
      </c>
      <c r="M936" t="s">
        <v>297</v>
      </c>
      <c r="N936" s="23" t="str">
        <f t="shared" ref="N936:N943" si="103">IF((I936&gt;$W$2),"Y","N")</f>
        <v>Y</v>
      </c>
      <c r="O936" s="30" t="s">
        <v>1908</v>
      </c>
      <c r="P936" s="10" t="s">
        <v>238</v>
      </c>
      <c r="Q936" s="10" t="s">
        <v>248</v>
      </c>
      <c r="S936" s="16" t="str">
        <f t="shared" ref="S936:S943" si="104">MID(Q936,9,30)</f>
        <v>Archie C Shum</v>
      </c>
      <c r="T936" s="31">
        <v>41425</v>
      </c>
    </row>
    <row r="937" spans="1:21">
      <c r="A937" s="16">
        <v>10</v>
      </c>
      <c r="B937" s="16" t="s">
        <v>247</v>
      </c>
      <c r="C937" s="16">
        <v>82</v>
      </c>
      <c r="D937" s="7" t="s">
        <v>295</v>
      </c>
      <c r="E937" s="16" t="s">
        <v>296</v>
      </c>
      <c r="F937" s="2">
        <v>28628</v>
      </c>
      <c r="G937" s="2">
        <v>28901</v>
      </c>
      <c r="H937" s="2">
        <v>39451</v>
      </c>
      <c r="I937" s="25">
        <v>41455</v>
      </c>
      <c r="K937" s="2">
        <v>35317</v>
      </c>
      <c r="L937" t="s">
        <v>297</v>
      </c>
      <c r="M937" t="s">
        <v>297</v>
      </c>
      <c r="N937" s="23" t="str">
        <f t="shared" si="103"/>
        <v>N</v>
      </c>
      <c r="O937" s="16" t="s">
        <v>1560</v>
      </c>
      <c r="P937" s="10" t="s">
        <v>238</v>
      </c>
      <c r="Q937" s="10" t="s">
        <v>248</v>
      </c>
      <c r="S937" s="16" t="str">
        <f t="shared" si="104"/>
        <v>Archie C Shum</v>
      </c>
      <c r="T937" s="31" t="s">
        <v>1541</v>
      </c>
    </row>
    <row r="938" spans="1:21">
      <c r="A938" s="16">
        <v>10</v>
      </c>
      <c r="B938" s="16" t="s">
        <v>247</v>
      </c>
      <c r="C938" s="16">
        <v>122</v>
      </c>
      <c r="D938" s="7" t="s">
        <v>295</v>
      </c>
      <c r="E938" s="16" t="s">
        <v>296</v>
      </c>
      <c r="F938" s="2">
        <v>28093</v>
      </c>
      <c r="G938" s="2">
        <v>28640</v>
      </c>
      <c r="H938" s="2">
        <v>39497</v>
      </c>
      <c r="I938" s="25">
        <v>41455</v>
      </c>
      <c r="J938" s="2">
        <v>35703</v>
      </c>
      <c r="K938" s="2">
        <v>36362</v>
      </c>
      <c r="L938" t="s">
        <v>297</v>
      </c>
      <c r="M938" t="s">
        <v>297</v>
      </c>
      <c r="N938" s="23" t="str">
        <f t="shared" si="103"/>
        <v>N</v>
      </c>
      <c r="O938" s="16" t="s">
        <v>1006</v>
      </c>
      <c r="P938" s="10" t="s">
        <v>238</v>
      </c>
      <c r="Q938" s="10" t="s">
        <v>248</v>
      </c>
      <c r="S938" s="16" t="str">
        <f t="shared" si="104"/>
        <v>Archie C Shum</v>
      </c>
      <c r="T938" s="31" t="s">
        <v>1417</v>
      </c>
    </row>
    <row r="939" spans="1:21">
      <c r="A939" s="16">
        <v>10</v>
      </c>
      <c r="B939" s="16" t="s">
        <v>247</v>
      </c>
      <c r="C939" s="16">
        <v>147</v>
      </c>
      <c r="D939" t="s">
        <v>295</v>
      </c>
      <c r="E939" s="16" t="s">
        <v>296</v>
      </c>
      <c r="F939" s="2">
        <v>28213</v>
      </c>
      <c r="G939" s="2">
        <v>28901</v>
      </c>
      <c r="H939" s="2">
        <v>39185</v>
      </c>
      <c r="I939" s="25">
        <v>41820</v>
      </c>
      <c r="J939" s="2">
        <v>39327</v>
      </c>
      <c r="K939" s="2">
        <v>35836</v>
      </c>
      <c r="L939" t="s">
        <v>297</v>
      </c>
      <c r="M939" t="s">
        <v>322</v>
      </c>
      <c r="N939" s="23" t="str">
        <f t="shared" si="103"/>
        <v>Y</v>
      </c>
      <c r="O939" s="30" t="s">
        <v>1909</v>
      </c>
      <c r="P939" s="10" t="s">
        <v>238</v>
      </c>
      <c r="Q939" s="10" t="s">
        <v>248</v>
      </c>
      <c r="S939" s="16" t="str">
        <f t="shared" si="104"/>
        <v>Archie C Shum</v>
      </c>
      <c r="T939" s="31">
        <v>41480</v>
      </c>
    </row>
    <row r="940" spans="1:21">
      <c r="A940" s="16">
        <v>10</v>
      </c>
      <c r="B940" s="16" t="s">
        <v>247</v>
      </c>
      <c r="C940" s="16">
        <v>148</v>
      </c>
      <c r="D940" s="7" t="s">
        <v>295</v>
      </c>
      <c r="E940" s="16" t="s">
        <v>296</v>
      </c>
      <c r="F940" s="2">
        <v>28213</v>
      </c>
      <c r="G940" s="2">
        <v>28901</v>
      </c>
      <c r="H940" s="2">
        <v>38503</v>
      </c>
      <c r="I940" s="25">
        <v>41820</v>
      </c>
      <c r="K940" s="2">
        <v>35878</v>
      </c>
      <c r="L940" t="s">
        <v>297</v>
      </c>
      <c r="N940" s="23" t="str">
        <f t="shared" si="103"/>
        <v>Y</v>
      </c>
      <c r="O940" s="16" t="s">
        <v>1008</v>
      </c>
      <c r="P940" s="10" t="s">
        <v>238</v>
      </c>
      <c r="Q940" s="10" t="s">
        <v>248</v>
      </c>
      <c r="S940" s="16" t="str">
        <f t="shared" si="104"/>
        <v>Archie C Shum</v>
      </c>
      <c r="T940" s="31" t="s">
        <v>1616</v>
      </c>
    </row>
    <row r="941" spans="1:21">
      <c r="A941" s="16">
        <v>10</v>
      </c>
      <c r="B941" s="16" t="s">
        <v>247</v>
      </c>
      <c r="C941" s="16">
        <v>242</v>
      </c>
      <c r="D941" t="s">
        <v>295</v>
      </c>
      <c r="E941" s="16" t="s">
        <v>296</v>
      </c>
      <c r="F941" s="2">
        <v>29149</v>
      </c>
      <c r="G941" s="2">
        <v>29721</v>
      </c>
      <c r="H941" s="2">
        <v>36341</v>
      </c>
      <c r="I941" s="25">
        <v>41820</v>
      </c>
      <c r="J941" s="2">
        <v>39327</v>
      </c>
      <c r="K941" s="2">
        <v>36341</v>
      </c>
      <c r="L941" t="s">
        <v>297</v>
      </c>
      <c r="M941" t="s">
        <v>322</v>
      </c>
      <c r="N941" s="23" t="str">
        <f t="shared" si="103"/>
        <v>Y</v>
      </c>
      <c r="O941" s="30" t="s">
        <v>1910</v>
      </c>
      <c r="P941" s="10" t="s">
        <v>238</v>
      </c>
      <c r="Q941" s="10" t="s">
        <v>248</v>
      </c>
      <c r="S941" s="16" t="str">
        <f t="shared" si="104"/>
        <v>Archie C Shum</v>
      </c>
      <c r="T941" s="31">
        <v>41435</v>
      </c>
      <c r="U941" s="24">
        <v>39973</v>
      </c>
    </row>
    <row r="942" spans="1:21">
      <c r="A942" s="16">
        <v>10</v>
      </c>
      <c r="B942" s="16" t="s">
        <v>247</v>
      </c>
      <c r="C942" s="16">
        <v>304</v>
      </c>
      <c r="D942" t="s">
        <v>295</v>
      </c>
      <c r="E942" s="16" t="s">
        <v>296</v>
      </c>
      <c r="F942" s="2">
        <v>29687</v>
      </c>
      <c r="G942" s="2">
        <v>29816</v>
      </c>
      <c r="H942" s="2">
        <v>39259</v>
      </c>
      <c r="I942" s="25">
        <v>41455</v>
      </c>
      <c r="J942" s="2">
        <v>39327</v>
      </c>
      <c r="K942" s="2">
        <v>38478</v>
      </c>
      <c r="L942" t="s">
        <v>297</v>
      </c>
      <c r="M942" t="s">
        <v>322</v>
      </c>
      <c r="N942" s="23" t="str">
        <f t="shared" si="103"/>
        <v>N</v>
      </c>
      <c r="O942" s="16" t="s">
        <v>1561</v>
      </c>
      <c r="P942" s="10" t="s">
        <v>238</v>
      </c>
      <c r="Q942" s="10" t="s">
        <v>248</v>
      </c>
      <c r="S942" s="16" t="str">
        <f t="shared" si="104"/>
        <v>Archie C Shum</v>
      </c>
      <c r="T942" s="31" t="s">
        <v>1541</v>
      </c>
    </row>
    <row r="943" spans="1:21">
      <c r="A943" s="16">
        <v>10</v>
      </c>
      <c r="B943" s="16" t="s">
        <v>247</v>
      </c>
      <c r="C943" s="16">
        <v>683</v>
      </c>
      <c r="D943" s="7" t="s">
        <v>295</v>
      </c>
      <c r="E943" s="16" t="s">
        <v>296</v>
      </c>
      <c r="F943" s="2">
        <v>32647</v>
      </c>
      <c r="G943" s="2">
        <v>35272</v>
      </c>
      <c r="H943" s="2">
        <v>39358</v>
      </c>
      <c r="I943" s="25">
        <v>41820</v>
      </c>
      <c r="K943" s="2">
        <v>38726</v>
      </c>
      <c r="L943" t="s">
        <v>297</v>
      </c>
      <c r="M943" t="s">
        <v>322</v>
      </c>
      <c r="N943" s="23" t="str">
        <f t="shared" si="103"/>
        <v>Y</v>
      </c>
      <c r="O943" s="16" t="s">
        <v>1376</v>
      </c>
      <c r="P943" s="10" t="s">
        <v>238</v>
      </c>
      <c r="Q943" s="10" t="s">
        <v>248</v>
      </c>
      <c r="S943" s="16" t="str">
        <f t="shared" si="104"/>
        <v>Archie C Shum</v>
      </c>
      <c r="T943" s="31" t="s">
        <v>1614</v>
      </c>
    </row>
    <row r="944" spans="1:21" customFormat="1" hidden="1">
      <c r="A944" t="s">
        <v>249</v>
      </c>
      <c r="B944" t="s">
        <v>254</v>
      </c>
      <c r="I944" s="6"/>
    </row>
    <row r="945" spans="1:33" customFormat="1">
      <c r="A945" s="16">
        <v>11</v>
      </c>
      <c r="B945" s="16" t="s">
        <v>317</v>
      </c>
      <c r="C945" s="16">
        <v>22</v>
      </c>
      <c r="D945" s="7" t="s">
        <v>295</v>
      </c>
      <c r="E945" s="16" t="s">
        <v>316</v>
      </c>
      <c r="F945" s="2">
        <v>26648</v>
      </c>
      <c r="G945" s="2">
        <v>26648</v>
      </c>
      <c r="H945" s="2">
        <v>39514</v>
      </c>
      <c r="I945" s="25">
        <v>39994</v>
      </c>
      <c r="J945" s="2">
        <v>39263</v>
      </c>
      <c r="K945" s="2">
        <v>34771</v>
      </c>
      <c r="L945" t="s">
        <v>297</v>
      </c>
      <c r="M945" t="s">
        <v>297</v>
      </c>
      <c r="N945" s="23" t="str">
        <f>IF((I945&gt;$W$2),"Y","N")</f>
        <v>N</v>
      </c>
      <c r="O945" s="16"/>
      <c r="P945" s="10" t="s">
        <v>249</v>
      </c>
      <c r="Q945" s="10" t="s">
        <v>250</v>
      </c>
      <c r="R945" s="12"/>
      <c r="S945" s="16" t="str">
        <f>MID(Q945,9,30)</f>
        <v>Robert W Beale</v>
      </c>
      <c r="T945" s="31" t="s">
        <v>1139</v>
      </c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</row>
    <row r="946" spans="1:33">
      <c r="A946" s="16">
        <v>11</v>
      </c>
      <c r="B946" s="16" t="s">
        <v>317</v>
      </c>
      <c r="C946" s="16">
        <v>54</v>
      </c>
      <c r="D946" s="7" t="s">
        <v>295</v>
      </c>
      <c r="E946" s="16" t="s">
        <v>296</v>
      </c>
      <c r="F946" s="2">
        <v>27591</v>
      </c>
      <c r="G946" s="2">
        <v>27591</v>
      </c>
      <c r="H946" s="2">
        <v>39359</v>
      </c>
      <c r="I946" s="25">
        <v>41820</v>
      </c>
      <c r="J946" s="2">
        <v>39156</v>
      </c>
      <c r="K946" s="2">
        <v>35855</v>
      </c>
      <c r="L946" t="s">
        <v>297</v>
      </c>
      <c r="M946" t="s">
        <v>297</v>
      </c>
      <c r="N946" s="23" t="str">
        <f>IF((I946&gt;$W$2),"Y","N")</f>
        <v>Y</v>
      </c>
      <c r="O946" s="16" t="s">
        <v>1231</v>
      </c>
      <c r="P946" s="10" t="s">
        <v>249</v>
      </c>
      <c r="Q946" s="10" t="s">
        <v>250</v>
      </c>
      <c r="S946" s="16" t="str">
        <f>MID(Q946,9,30)</f>
        <v>Robert W Beale</v>
      </c>
      <c r="T946" s="31">
        <v>41479</v>
      </c>
    </row>
    <row r="947" spans="1:33">
      <c r="A947" s="16">
        <v>11</v>
      </c>
      <c r="B947" s="16" t="s">
        <v>317</v>
      </c>
      <c r="C947" s="16">
        <v>59</v>
      </c>
      <c r="D947" s="7" t="s">
        <v>295</v>
      </c>
      <c r="E947" s="16" t="s">
        <v>296</v>
      </c>
      <c r="F947" s="2">
        <v>27591</v>
      </c>
      <c r="G947" s="2">
        <v>27591</v>
      </c>
      <c r="H947" s="2">
        <v>39481</v>
      </c>
      <c r="I947" s="25">
        <v>41820</v>
      </c>
      <c r="J947" s="2">
        <v>39156</v>
      </c>
      <c r="K947" s="2">
        <v>39352</v>
      </c>
      <c r="L947" t="s">
        <v>297</v>
      </c>
      <c r="M947" t="s">
        <v>297</v>
      </c>
      <c r="N947" s="23" t="str">
        <f>IF((I947&gt;$W$2),"Y","N")</f>
        <v>Y</v>
      </c>
      <c r="O947" s="30" t="s">
        <v>1911</v>
      </c>
      <c r="P947" s="10" t="s">
        <v>249</v>
      </c>
      <c r="Q947" s="10" t="s">
        <v>250</v>
      </c>
      <c r="S947" s="16" t="str">
        <f>MID(Q947,9,30)</f>
        <v>Robert W Beale</v>
      </c>
      <c r="T947" s="31">
        <v>41423</v>
      </c>
    </row>
    <row r="948" spans="1:33">
      <c r="A948" s="16">
        <v>11</v>
      </c>
      <c r="B948" s="16" t="s">
        <v>317</v>
      </c>
      <c r="C948" s="16">
        <v>94</v>
      </c>
      <c r="D948" s="7" t="s">
        <v>295</v>
      </c>
      <c r="E948" s="16" t="s">
        <v>296</v>
      </c>
      <c r="F948" s="2">
        <v>27785</v>
      </c>
      <c r="G948" s="2">
        <v>28901</v>
      </c>
      <c r="H948" s="2">
        <v>39225</v>
      </c>
      <c r="I948" s="25">
        <v>41820</v>
      </c>
      <c r="J948" s="2">
        <v>39156</v>
      </c>
      <c r="K948" s="2">
        <v>36291</v>
      </c>
      <c r="L948" t="s">
        <v>297</v>
      </c>
      <c r="M948" t="s">
        <v>297</v>
      </c>
      <c r="N948" s="23" t="str">
        <f>IF((I948&gt;$W$2),"Y","N")</f>
        <v>Y</v>
      </c>
      <c r="O948" s="30" t="s">
        <v>1912</v>
      </c>
      <c r="P948" s="10" t="s">
        <v>249</v>
      </c>
      <c r="Q948" s="10" t="s">
        <v>250</v>
      </c>
      <c r="S948" s="16" t="str">
        <f>MID(Q948,9,30)</f>
        <v>Robert W Beale</v>
      </c>
      <c r="T948" s="31">
        <v>41423</v>
      </c>
    </row>
    <row r="949" spans="1:33">
      <c r="A949" s="16">
        <v>11</v>
      </c>
      <c r="B949" s="16" t="s">
        <v>317</v>
      </c>
      <c r="C949" s="16">
        <v>154</v>
      </c>
      <c r="D949" t="s">
        <v>295</v>
      </c>
      <c r="E949" s="16" t="s">
        <v>296</v>
      </c>
      <c r="F949" s="2">
        <v>28213</v>
      </c>
      <c r="G949" s="2">
        <v>28901</v>
      </c>
      <c r="H949" s="2">
        <v>39507</v>
      </c>
      <c r="I949" s="25">
        <v>41820</v>
      </c>
      <c r="J949" s="2">
        <v>39156</v>
      </c>
      <c r="K949" s="2">
        <v>35570</v>
      </c>
      <c r="L949" t="s">
        <v>297</v>
      </c>
      <c r="M949" t="s">
        <v>297</v>
      </c>
      <c r="N949" s="23" t="str">
        <f>IF((I949&gt;$W$2),"Y","N")</f>
        <v>Y</v>
      </c>
      <c r="O949" s="30" t="s">
        <v>1913</v>
      </c>
      <c r="P949" s="10" t="s">
        <v>249</v>
      </c>
      <c r="Q949" s="10" t="s">
        <v>250</v>
      </c>
      <c r="S949" s="16" t="str">
        <f>MID(Q949,9,30)</f>
        <v>Robert W Beale</v>
      </c>
      <c r="T949" s="31">
        <v>41410</v>
      </c>
    </row>
    <row r="950" spans="1:33" customFormat="1" hidden="1">
      <c r="A950" t="s">
        <v>249</v>
      </c>
      <c r="B950" t="s">
        <v>255</v>
      </c>
      <c r="I950" s="6"/>
    </row>
    <row r="951" spans="1:33">
      <c r="A951" s="16">
        <v>11</v>
      </c>
      <c r="B951" s="16" t="s">
        <v>317</v>
      </c>
      <c r="C951" s="16">
        <v>159</v>
      </c>
      <c r="D951" t="s">
        <v>295</v>
      </c>
      <c r="E951" s="16" t="s">
        <v>296</v>
      </c>
      <c r="F951" s="2">
        <v>28578</v>
      </c>
      <c r="G951" s="2">
        <v>28901</v>
      </c>
      <c r="H951" s="2">
        <v>39472</v>
      </c>
      <c r="I951" s="25">
        <v>41820</v>
      </c>
      <c r="J951" s="2">
        <v>39156</v>
      </c>
      <c r="K951" s="2">
        <v>35601</v>
      </c>
      <c r="L951" t="s">
        <v>297</v>
      </c>
      <c r="M951" t="s">
        <v>297</v>
      </c>
      <c r="N951" s="23" t="str">
        <f t="shared" ref="N951:N960" si="105">IF((I951&gt;$W$2),"Y","N")</f>
        <v>Y</v>
      </c>
      <c r="O951" s="16" t="s">
        <v>1581</v>
      </c>
      <c r="P951" s="10" t="s">
        <v>249</v>
      </c>
      <c r="Q951" s="10" t="s">
        <v>250</v>
      </c>
      <c r="S951" s="16" t="str">
        <f>MID(Q951,9,30)</f>
        <v>Robert W Beale</v>
      </c>
      <c r="T951" s="31">
        <v>41484</v>
      </c>
    </row>
    <row r="952" spans="1:33">
      <c r="A952" s="16">
        <v>11</v>
      </c>
      <c r="B952" s="30" t="s">
        <v>317</v>
      </c>
      <c r="C952" s="16">
        <v>177</v>
      </c>
      <c r="D952" t="s">
        <v>295</v>
      </c>
      <c r="E952" s="16" t="s">
        <v>296</v>
      </c>
      <c r="F952" s="2">
        <v>28572</v>
      </c>
      <c r="G952" s="2">
        <v>28901</v>
      </c>
      <c r="H952" s="2">
        <v>39485</v>
      </c>
      <c r="I952" s="25">
        <v>41820</v>
      </c>
      <c r="J952" s="2">
        <v>38296</v>
      </c>
      <c r="K952" s="2">
        <v>38881</v>
      </c>
      <c r="L952" t="s">
        <v>297</v>
      </c>
      <c r="M952" t="s">
        <v>297</v>
      </c>
      <c r="N952" s="23" t="str">
        <f t="shared" si="105"/>
        <v>Y</v>
      </c>
      <c r="O952" s="30" t="s">
        <v>1917</v>
      </c>
      <c r="P952" s="10" t="s">
        <v>249</v>
      </c>
      <c r="Q952" s="10" t="s">
        <v>251</v>
      </c>
      <c r="S952" s="16" t="str">
        <f>MID(Q952,9,30)</f>
        <v>Anthony  De Giglio</v>
      </c>
      <c r="T952" s="31">
        <v>41423</v>
      </c>
    </row>
    <row r="953" spans="1:33">
      <c r="A953" s="16">
        <v>11</v>
      </c>
      <c r="B953" s="16" t="s">
        <v>317</v>
      </c>
      <c r="C953" s="16">
        <v>1398</v>
      </c>
      <c r="D953" s="7" t="s">
        <v>295</v>
      </c>
      <c r="E953" s="16" t="s">
        <v>296</v>
      </c>
      <c r="F953" s="2">
        <v>37230</v>
      </c>
      <c r="G953" s="2">
        <v>38452</v>
      </c>
      <c r="H953" s="2">
        <v>39120</v>
      </c>
      <c r="I953" s="25">
        <v>41820</v>
      </c>
      <c r="L953" t="s">
        <v>297</v>
      </c>
      <c r="M953" t="s">
        <v>297</v>
      </c>
      <c r="N953" s="23" t="str">
        <f t="shared" si="105"/>
        <v>Y</v>
      </c>
      <c r="O953" s="16" t="s">
        <v>1045</v>
      </c>
      <c r="P953" s="10" t="s">
        <v>249</v>
      </c>
      <c r="Q953" s="10" t="s">
        <v>253</v>
      </c>
      <c r="S953" s="16" t="str">
        <f>MID(Q953,9,30)</f>
        <v>Jack   McManus</v>
      </c>
      <c r="T953" s="31">
        <v>41425</v>
      </c>
    </row>
    <row r="954" spans="1:33">
      <c r="A954" s="16">
        <v>11</v>
      </c>
      <c r="B954" s="16" t="s">
        <v>196</v>
      </c>
      <c r="C954" s="16">
        <v>5</v>
      </c>
      <c r="D954" s="7" t="s">
        <v>295</v>
      </c>
      <c r="E954" s="16" t="s">
        <v>296</v>
      </c>
      <c r="F954" s="2">
        <v>26102</v>
      </c>
      <c r="G954" s="2">
        <v>26102</v>
      </c>
      <c r="H954" s="2">
        <v>39487</v>
      </c>
      <c r="I954" s="25">
        <v>41820</v>
      </c>
      <c r="J954" s="2">
        <v>34988</v>
      </c>
      <c r="K954" s="2">
        <v>39127</v>
      </c>
      <c r="L954" t="s">
        <v>297</v>
      </c>
      <c r="M954" t="s">
        <v>297</v>
      </c>
      <c r="N954" s="23" t="str">
        <f t="shared" si="105"/>
        <v>Y</v>
      </c>
      <c r="O954" s="30" t="s">
        <v>1914</v>
      </c>
      <c r="P954" s="10" t="s">
        <v>249</v>
      </c>
      <c r="Q954" s="10" t="s">
        <v>251</v>
      </c>
      <c r="S954" s="16" t="str">
        <f>MID(Q954,9,30)</f>
        <v>Anthony  De Giglio</v>
      </c>
      <c r="T954" s="31">
        <v>41428</v>
      </c>
      <c r="U954" s="10" t="s">
        <v>1148</v>
      </c>
    </row>
    <row r="955" spans="1:33">
      <c r="A955" s="16">
        <v>11</v>
      </c>
      <c r="B955" s="16" t="s">
        <v>196</v>
      </c>
      <c r="C955" s="16">
        <v>28</v>
      </c>
      <c r="D955" s="7"/>
      <c r="E955" s="16" t="s">
        <v>296</v>
      </c>
      <c r="F955" s="2"/>
      <c r="G955" s="2"/>
      <c r="H955" s="2"/>
      <c r="I955" s="25">
        <v>41820</v>
      </c>
      <c r="J955" s="2"/>
      <c r="K955" s="2"/>
      <c r="N955" s="23" t="str">
        <f t="shared" si="105"/>
        <v>Y</v>
      </c>
      <c r="O955" s="16" t="s">
        <v>1636</v>
      </c>
      <c r="T955" s="31">
        <v>41479</v>
      </c>
    </row>
    <row r="956" spans="1:33">
      <c r="A956" s="16">
        <v>11</v>
      </c>
      <c r="B956" s="16" t="s">
        <v>196</v>
      </c>
      <c r="C956" s="16">
        <v>55</v>
      </c>
      <c r="D956" s="7" t="s">
        <v>295</v>
      </c>
      <c r="E956" s="16" t="s">
        <v>296</v>
      </c>
      <c r="F956" s="2">
        <v>27591</v>
      </c>
      <c r="G956" s="2">
        <v>27591</v>
      </c>
      <c r="H956" s="2">
        <v>39210</v>
      </c>
      <c r="I956" s="25">
        <v>41820</v>
      </c>
      <c r="J956" s="2">
        <v>37208</v>
      </c>
      <c r="K956" s="2">
        <v>35538</v>
      </c>
      <c r="L956" t="s">
        <v>297</v>
      </c>
      <c r="N956" s="23" t="str">
        <f t="shared" si="105"/>
        <v>Y</v>
      </c>
      <c r="O956" s="30" t="s">
        <v>1915</v>
      </c>
      <c r="P956" s="10" t="s">
        <v>249</v>
      </c>
      <c r="Q956" s="10" t="s">
        <v>251</v>
      </c>
      <c r="S956" s="16" t="str">
        <f>MID(Q956,9,30)</f>
        <v>Anthony  De Giglio</v>
      </c>
      <c r="T956" s="31">
        <v>41463</v>
      </c>
    </row>
    <row r="957" spans="1:33">
      <c r="A957" s="16">
        <v>11</v>
      </c>
      <c r="B957" s="16" t="s">
        <v>196</v>
      </c>
      <c r="C957" s="16">
        <v>56</v>
      </c>
      <c r="D957" s="7" t="s">
        <v>295</v>
      </c>
      <c r="E957" s="16" t="s">
        <v>296</v>
      </c>
      <c r="F957" s="2">
        <v>27591</v>
      </c>
      <c r="G957" s="2">
        <v>27591</v>
      </c>
      <c r="H957" s="2">
        <v>39157</v>
      </c>
      <c r="I957" s="25">
        <v>41820</v>
      </c>
      <c r="J957" s="2">
        <v>34988</v>
      </c>
      <c r="K957" s="2">
        <v>38355</v>
      </c>
      <c r="L957" t="s">
        <v>297</v>
      </c>
      <c r="M957" t="s">
        <v>297</v>
      </c>
      <c r="N957" s="23" t="str">
        <f t="shared" si="105"/>
        <v>Y</v>
      </c>
      <c r="O957" s="16" t="s">
        <v>1547</v>
      </c>
      <c r="P957" s="10" t="s">
        <v>249</v>
      </c>
      <c r="Q957" s="10" t="s">
        <v>251</v>
      </c>
      <c r="S957" s="16" t="str">
        <f>MID(Q957,9,30)</f>
        <v>Anthony  De Giglio</v>
      </c>
      <c r="T957" s="31">
        <v>41425</v>
      </c>
    </row>
    <row r="958" spans="1:33">
      <c r="A958" s="16">
        <v>11</v>
      </c>
      <c r="B958" s="16" t="s">
        <v>196</v>
      </c>
      <c r="C958" s="16">
        <v>117</v>
      </c>
      <c r="D958" s="7" t="s">
        <v>295</v>
      </c>
      <c r="E958" s="16" t="s">
        <v>296</v>
      </c>
      <c r="F958" s="2">
        <v>28093</v>
      </c>
      <c r="G958" s="2">
        <v>28901</v>
      </c>
      <c r="H958" s="2">
        <v>39521</v>
      </c>
      <c r="I958" s="25">
        <v>41820</v>
      </c>
      <c r="J958" s="2">
        <v>34988</v>
      </c>
      <c r="K958" s="2">
        <v>35955</v>
      </c>
      <c r="L958" t="s">
        <v>297</v>
      </c>
      <c r="M958" t="s">
        <v>297</v>
      </c>
      <c r="N958" s="23" t="str">
        <f t="shared" si="105"/>
        <v>Y</v>
      </c>
      <c r="O958" s="30" t="s">
        <v>1916</v>
      </c>
      <c r="P958" s="10" t="s">
        <v>249</v>
      </c>
      <c r="Q958" s="10" t="s">
        <v>251</v>
      </c>
      <c r="S958" s="16" t="str">
        <f>MID(Q958,9,30)</f>
        <v>Anthony  De Giglio</v>
      </c>
      <c r="T958" s="31">
        <v>41428</v>
      </c>
    </row>
    <row r="959" spans="1:33">
      <c r="A959" s="16">
        <v>11</v>
      </c>
      <c r="B959" s="16" t="s">
        <v>196</v>
      </c>
      <c r="C959" s="16">
        <v>143</v>
      </c>
      <c r="D959" t="s">
        <v>295</v>
      </c>
      <c r="E959" s="16" t="s">
        <v>296</v>
      </c>
      <c r="F959" s="2">
        <v>28213</v>
      </c>
      <c r="G959" s="2">
        <v>28901</v>
      </c>
      <c r="H959" s="2">
        <v>39509</v>
      </c>
      <c r="I959" s="25">
        <v>41820</v>
      </c>
      <c r="J959" s="2">
        <v>38296</v>
      </c>
      <c r="K959" s="2">
        <v>39157</v>
      </c>
      <c r="L959" t="s">
        <v>297</v>
      </c>
      <c r="M959" t="s">
        <v>297</v>
      </c>
      <c r="N959" s="23" t="str">
        <f t="shared" si="105"/>
        <v>Y</v>
      </c>
      <c r="O959" s="16" t="s">
        <v>1282</v>
      </c>
      <c r="P959" s="10" t="s">
        <v>249</v>
      </c>
      <c r="Q959" s="10" t="s">
        <v>251</v>
      </c>
      <c r="S959" s="16" t="str">
        <f>MID(Q959,9,30)</f>
        <v>Anthony  De Giglio</v>
      </c>
      <c r="T959" s="31">
        <v>41432</v>
      </c>
    </row>
    <row r="960" spans="1:33">
      <c r="A960" s="16">
        <v>11</v>
      </c>
      <c r="B960" s="16" t="s">
        <v>196</v>
      </c>
      <c r="C960" s="16">
        <v>517</v>
      </c>
      <c r="D960" s="7" t="s">
        <v>295</v>
      </c>
      <c r="E960" s="16" t="s">
        <v>296</v>
      </c>
      <c r="F960" s="2">
        <v>31390</v>
      </c>
      <c r="G960" s="2">
        <v>31926</v>
      </c>
      <c r="H960" s="2">
        <v>39308</v>
      </c>
      <c r="I960" s="25">
        <v>41820</v>
      </c>
      <c r="J960" s="2">
        <v>38460</v>
      </c>
      <c r="K960" s="2">
        <v>38460</v>
      </c>
      <c r="L960" t="s">
        <v>297</v>
      </c>
      <c r="M960" t="s">
        <v>297</v>
      </c>
      <c r="N960" s="23" t="str">
        <f t="shared" si="105"/>
        <v>Y</v>
      </c>
      <c r="O960" s="16" t="s">
        <v>1351</v>
      </c>
      <c r="P960" s="10" t="s">
        <v>249</v>
      </c>
      <c r="Q960" s="10" t="s">
        <v>251</v>
      </c>
      <c r="S960" s="16" t="str">
        <f>MID(Q960,9,30)</f>
        <v>Anthony  De Giglio</v>
      </c>
      <c r="T960" s="31">
        <v>41471</v>
      </c>
    </row>
    <row r="961" spans="1:21" customFormat="1" hidden="1">
      <c r="A961" t="s">
        <v>249</v>
      </c>
      <c r="B961" t="s">
        <v>256</v>
      </c>
      <c r="I961" s="6"/>
    </row>
    <row r="962" spans="1:21">
      <c r="A962" s="16">
        <v>11</v>
      </c>
      <c r="B962" s="16" t="s">
        <v>196</v>
      </c>
      <c r="C962" s="16">
        <v>1335</v>
      </c>
      <c r="D962" s="7" t="s">
        <v>295</v>
      </c>
      <c r="E962" s="16" t="s">
        <v>296</v>
      </c>
      <c r="F962" s="2">
        <v>36717</v>
      </c>
      <c r="G962" s="2">
        <v>37330</v>
      </c>
      <c r="H962" s="2">
        <v>39477</v>
      </c>
      <c r="I962" s="25">
        <v>41820</v>
      </c>
      <c r="K962" s="2">
        <v>38656</v>
      </c>
      <c r="L962" t="s">
        <v>297</v>
      </c>
      <c r="M962" t="s">
        <v>297</v>
      </c>
      <c r="N962" s="23" t="str">
        <f t="shared" ref="N962:N973" si="106">IF((I962&gt;$W$2),"Y","N")</f>
        <v>Y</v>
      </c>
      <c r="O962" s="30" t="s">
        <v>1918</v>
      </c>
      <c r="P962" s="10" t="s">
        <v>249</v>
      </c>
      <c r="Q962" s="10" t="s">
        <v>251</v>
      </c>
      <c r="S962" s="16" t="str">
        <f t="shared" ref="S962:S973" si="107">MID(Q962,9,30)</f>
        <v>Anthony  De Giglio</v>
      </c>
      <c r="T962" s="31">
        <v>41470</v>
      </c>
    </row>
    <row r="963" spans="1:21">
      <c r="A963" s="16">
        <v>11</v>
      </c>
      <c r="B963" s="16" t="s">
        <v>186</v>
      </c>
      <c r="C963" s="16">
        <v>41</v>
      </c>
      <c r="D963" s="7" t="s">
        <v>295</v>
      </c>
      <c r="E963" s="16" t="s">
        <v>296</v>
      </c>
      <c r="F963" s="2">
        <v>26824</v>
      </c>
      <c r="G963" s="2">
        <v>26824</v>
      </c>
      <c r="H963" s="2">
        <v>39513</v>
      </c>
      <c r="I963" s="25">
        <v>41820</v>
      </c>
      <c r="J963" s="2">
        <v>39321</v>
      </c>
      <c r="K963" s="2">
        <v>35522</v>
      </c>
      <c r="L963" t="s">
        <v>297</v>
      </c>
      <c r="M963" t="s">
        <v>297</v>
      </c>
      <c r="N963" s="23" t="str">
        <f t="shared" si="106"/>
        <v>Y</v>
      </c>
      <c r="O963" s="30" t="s">
        <v>1919</v>
      </c>
      <c r="P963" s="10" t="s">
        <v>249</v>
      </c>
      <c r="Q963" s="10" t="s">
        <v>252</v>
      </c>
      <c r="S963" s="16" t="str">
        <f t="shared" si="107"/>
        <v>James R Rosenberg</v>
      </c>
      <c r="T963" s="31">
        <v>41425</v>
      </c>
    </row>
    <row r="964" spans="1:21">
      <c r="A964" s="16">
        <v>11</v>
      </c>
      <c r="B964" s="16" t="s">
        <v>186</v>
      </c>
      <c r="C964" s="16">
        <v>84</v>
      </c>
      <c r="D964" s="7" t="s">
        <v>295</v>
      </c>
      <c r="E964" s="16" t="s">
        <v>296</v>
      </c>
      <c r="F964" s="2">
        <v>27591</v>
      </c>
      <c r="G964" s="2">
        <v>27591</v>
      </c>
      <c r="H964" s="2">
        <v>39310</v>
      </c>
      <c r="I964" s="25">
        <v>41820</v>
      </c>
      <c r="J964" s="2">
        <v>39321</v>
      </c>
      <c r="K964" s="2">
        <v>38202</v>
      </c>
      <c r="L964" t="s">
        <v>297</v>
      </c>
      <c r="M964" t="s">
        <v>297</v>
      </c>
      <c r="N964" s="23" t="str">
        <f t="shared" si="106"/>
        <v>Y</v>
      </c>
      <c r="O964" s="16" t="s">
        <v>1582</v>
      </c>
      <c r="P964" s="10" t="s">
        <v>249</v>
      </c>
      <c r="Q964" s="10" t="s">
        <v>252</v>
      </c>
      <c r="S964" s="16" t="str">
        <f t="shared" si="107"/>
        <v>James R Rosenberg</v>
      </c>
      <c r="T964" s="31">
        <v>41450</v>
      </c>
    </row>
    <row r="965" spans="1:21">
      <c r="A965" s="16">
        <v>11</v>
      </c>
      <c r="B965" s="16" t="s">
        <v>186</v>
      </c>
      <c r="C965" s="16">
        <v>85</v>
      </c>
      <c r="D965" s="7" t="s">
        <v>295</v>
      </c>
      <c r="E965" s="16" t="s">
        <v>296</v>
      </c>
      <c r="F965" s="2">
        <v>27591</v>
      </c>
      <c r="G965" s="2">
        <v>27591</v>
      </c>
      <c r="H965" s="2">
        <v>39330</v>
      </c>
      <c r="I965" s="25">
        <v>41820</v>
      </c>
      <c r="J965" s="2">
        <v>39321</v>
      </c>
      <c r="K965" s="2">
        <v>38117</v>
      </c>
      <c r="L965" t="s">
        <v>297</v>
      </c>
      <c r="M965" t="s">
        <v>297</v>
      </c>
      <c r="N965" s="23" t="str">
        <f t="shared" si="106"/>
        <v>Y</v>
      </c>
      <c r="O965" s="16" t="s">
        <v>1031</v>
      </c>
      <c r="P965" s="10" t="s">
        <v>249</v>
      </c>
      <c r="Q965" s="10" t="s">
        <v>252</v>
      </c>
      <c r="S965" s="16" t="str">
        <f t="shared" si="107"/>
        <v>James R Rosenberg</v>
      </c>
      <c r="T965" s="31">
        <v>41348</v>
      </c>
    </row>
    <row r="966" spans="1:21">
      <c r="A966" s="16">
        <v>11</v>
      </c>
      <c r="B966" s="16" t="s">
        <v>186</v>
      </c>
      <c r="C966" s="16">
        <v>86</v>
      </c>
      <c r="D966" s="7" t="s">
        <v>295</v>
      </c>
      <c r="E966" s="16" t="s">
        <v>296</v>
      </c>
      <c r="F966" s="2">
        <v>27591</v>
      </c>
      <c r="G966" s="2">
        <v>27591</v>
      </c>
      <c r="H966" s="2">
        <v>39476</v>
      </c>
      <c r="I966" s="25">
        <v>41820</v>
      </c>
      <c r="J966" s="2">
        <v>39321</v>
      </c>
      <c r="K966" s="2">
        <v>34236</v>
      </c>
      <c r="L966" t="s">
        <v>297</v>
      </c>
      <c r="M966" t="s">
        <v>297</v>
      </c>
      <c r="N966" s="23" t="str">
        <f t="shared" si="106"/>
        <v>Y</v>
      </c>
      <c r="O966" s="16" t="s">
        <v>1032</v>
      </c>
      <c r="P966" s="10" t="s">
        <v>249</v>
      </c>
      <c r="Q966" s="10" t="s">
        <v>252</v>
      </c>
      <c r="S966" s="16" t="str">
        <f t="shared" si="107"/>
        <v>James R Rosenberg</v>
      </c>
      <c r="T966" s="31">
        <v>41484</v>
      </c>
    </row>
    <row r="967" spans="1:21">
      <c r="A967" s="16">
        <v>11</v>
      </c>
      <c r="B967" s="16" t="s">
        <v>186</v>
      </c>
      <c r="C967" s="16">
        <v>87</v>
      </c>
      <c r="D967" s="7" t="s">
        <v>295</v>
      </c>
      <c r="E967" s="16" t="s">
        <v>296</v>
      </c>
      <c r="F967" s="2">
        <v>27591</v>
      </c>
      <c r="G967" s="2">
        <v>27591</v>
      </c>
      <c r="H967" s="2">
        <v>39293</v>
      </c>
      <c r="I967" s="25">
        <v>41820</v>
      </c>
      <c r="J967" s="2">
        <v>39321</v>
      </c>
      <c r="K967" s="2">
        <v>35508</v>
      </c>
      <c r="L967" t="s">
        <v>297</v>
      </c>
      <c r="M967" t="s">
        <v>297</v>
      </c>
      <c r="N967" s="23" t="str">
        <f t="shared" si="106"/>
        <v>Y</v>
      </c>
      <c r="O967" s="30" t="s">
        <v>1920</v>
      </c>
      <c r="P967" s="10" t="s">
        <v>249</v>
      </c>
      <c r="Q967" s="10" t="s">
        <v>252</v>
      </c>
      <c r="S967" s="16" t="str">
        <f t="shared" si="107"/>
        <v>James R Rosenberg</v>
      </c>
      <c r="T967" s="31">
        <v>41425</v>
      </c>
    </row>
    <row r="968" spans="1:21">
      <c r="A968" s="16">
        <v>11</v>
      </c>
      <c r="B968" s="16" t="s">
        <v>186</v>
      </c>
      <c r="C968" s="16">
        <v>111</v>
      </c>
      <c r="D968" s="7" t="s">
        <v>295</v>
      </c>
      <c r="E968" s="16" t="s">
        <v>296</v>
      </c>
      <c r="F968" s="2">
        <v>28628</v>
      </c>
      <c r="G968" s="2">
        <v>28901</v>
      </c>
      <c r="H968" s="2">
        <v>39122</v>
      </c>
      <c r="I968" s="25">
        <v>41820</v>
      </c>
      <c r="J968" s="2">
        <v>39321</v>
      </c>
      <c r="K968" s="2">
        <v>39259</v>
      </c>
      <c r="L968" t="s">
        <v>297</v>
      </c>
      <c r="M968" t="s">
        <v>297</v>
      </c>
      <c r="N968" s="23" t="str">
        <f t="shared" si="106"/>
        <v>Y</v>
      </c>
      <c r="O968" s="30" t="s">
        <v>1921</v>
      </c>
      <c r="P968" s="10" t="s">
        <v>249</v>
      </c>
      <c r="Q968" s="10" t="s">
        <v>252</v>
      </c>
      <c r="S968" s="16" t="str">
        <f t="shared" si="107"/>
        <v>James R Rosenberg</v>
      </c>
      <c r="T968" s="31">
        <v>41428</v>
      </c>
    </row>
    <row r="969" spans="1:21">
      <c r="A969" s="16">
        <v>11</v>
      </c>
      <c r="B969" s="16" t="s">
        <v>186</v>
      </c>
      <c r="C969" s="16">
        <v>630</v>
      </c>
      <c r="D969" s="7" t="s">
        <v>295</v>
      </c>
      <c r="E969" s="16" t="s">
        <v>296</v>
      </c>
      <c r="F969" s="2">
        <v>32220</v>
      </c>
      <c r="G969" s="2">
        <v>33264</v>
      </c>
      <c r="H969" s="2">
        <v>39322</v>
      </c>
      <c r="I969" s="25">
        <v>41820</v>
      </c>
      <c r="J969" s="2">
        <v>39321</v>
      </c>
      <c r="K969" s="2">
        <v>36245</v>
      </c>
      <c r="L969" t="s">
        <v>297</v>
      </c>
      <c r="M969" t="s">
        <v>297</v>
      </c>
      <c r="N969" s="23" t="str">
        <f t="shared" si="106"/>
        <v>Y</v>
      </c>
      <c r="O969" s="30" t="s">
        <v>1922</v>
      </c>
      <c r="P969" s="10" t="s">
        <v>249</v>
      </c>
      <c r="Q969" s="10" t="s">
        <v>252</v>
      </c>
      <c r="S969" s="16" t="str">
        <f t="shared" si="107"/>
        <v>James R Rosenberg</v>
      </c>
      <c r="T969" s="31">
        <v>41479</v>
      </c>
    </row>
    <row r="970" spans="1:21">
      <c r="A970" s="16">
        <v>11</v>
      </c>
      <c r="B970" s="16" t="s">
        <v>186</v>
      </c>
      <c r="C970" s="16">
        <v>889</v>
      </c>
      <c r="D970" s="7" t="s">
        <v>295</v>
      </c>
      <c r="E970" s="16" t="s">
        <v>296</v>
      </c>
      <c r="F970" s="2">
        <v>34109</v>
      </c>
      <c r="G970" s="2">
        <v>34845</v>
      </c>
      <c r="H970" s="2">
        <v>39310</v>
      </c>
      <c r="I970" s="25">
        <v>41820</v>
      </c>
      <c r="J970" s="2">
        <v>39321</v>
      </c>
      <c r="K970" s="2">
        <v>38881</v>
      </c>
      <c r="L970" t="s">
        <v>297</v>
      </c>
      <c r="M970" t="s">
        <v>297</v>
      </c>
      <c r="N970" s="23" t="str">
        <f t="shared" si="106"/>
        <v>Y</v>
      </c>
      <c r="O970" s="16" t="s">
        <v>1396</v>
      </c>
      <c r="P970" s="10" t="s">
        <v>249</v>
      </c>
      <c r="Q970" s="10" t="s">
        <v>252</v>
      </c>
      <c r="S970" s="16" t="str">
        <f t="shared" si="107"/>
        <v>James R Rosenberg</v>
      </c>
      <c r="T970" s="31">
        <v>41428</v>
      </c>
    </row>
    <row r="971" spans="1:21">
      <c r="A971" s="16">
        <v>11</v>
      </c>
      <c r="B971" s="16" t="s">
        <v>186</v>
      </c>
      <c r="C971" s="16">
        <v>1422</v>
      </c>
      <c r="D971" t="s">
        <v>295</v>
      </c>
      <c r="E971" s="16" t="s">
        <v>296</v>
      </c>
      <c r="F971" s="2">
        <v>37526</v>
      </c>
      <c r="G971" s="2">
        <v>39108</v>
      </c>
      <c r="H971" s="2">
        <v>39460</v>
      </c>
      <c r="I971" s="25">
        <v>41820</v>
      </c>
      <c r="J971" s="2">
        <v>39321</v>
      </c>
      <c r="K971" s="2">
        <v>39279</v>
      </c>
      <c r="L971" t="s">
        <v>297</v>
      </c>
      <c r="M971" t="s">
        <v>297</v>
      </c>
      <c r="N971" s="23" t="str">
        <f t="shared" si="106"/>
        <v>Y</v>
      </c>
      <c r="O971" s="30" t="s">
        <v>1923</v>
      </c>
      <c r="P971" s="10" t="s">
        <v>249</v>
      </c>
      <c r="Q971" s="10" t="s">
        <v>252</v>
      </c>
      <c r="S971" s="16" t="str">
        <f t="shared" si="107"/>
        <v>James R Rosenberg</v>
      </c>
      <c r="T971" s="31">
        <v>41373</v>
      </c>
    </row>
    <row r="972" spans="1:21">
      <c r="A972" s="16">
        <v>11</v>
      </c>
      <c r="B972" s="16" t="s">
        <v>186</v>
      </c>
      <c r="C972" s="16">
        <v>1455</v>
      </c>
      <c r="D972" s="7" t="s">
        <v>295</v>
      </c>
      <c r="E972" s="16" t="s">
        <v>299</v>
      </c>
      <c r="F972" s="2">
        <v>37860</v>
      </c>
      <c r="H972" s="2">
        <v>39296</v>
      </c>
      <c r="I972" s="25">
        <v>41820</v>
      </c>
      <c r="J972" s="2">
        <v>39321</v>
      </c>
      <c r="L972" t="s">
        <v>297</v>
      </c>
      <c r="M972" t="s">
        <v>297</v>
      </c>
      <c r="N972" s="23" t="str">
        <f t="shared" si="106"/>
        <v>Y</v>
      </c>
      <c r="O972" s="30" t="s">
        <v>1924</v>
      </c>
      <c r="P972" s="10" t="s">
        <v>249</v>
      </c>
      <c r="Q972" s="10" t="s">
        <v>252</v>
      </c>
      <c r="S972" s="16" t="str">
        <f t="shared" si="107"/>
        <v>James R Rosenberg</v>
      </c>
      <c r="T972" s="31">
        <v>41428</v>
      </c>
    </row>
    <row r="973" spans="1:21">
      <c r="A973" s="16">
        <v>11</v>
      </c>
      <c r="B973" s="16" t="s">
        <v>339</v>
      </c>
      <c r="C973" s="16">
        <v>57</v>
      </c>
      <c r="D973" s="7" t="s">
        <v>295</v>
      </c>
      <c r="E973" s="16" t="s">
        <v>296</v>
      </c>
      <c r="F973" s="2">
        <v>27591</v>
      </c>
      <c r="G973" s="2">
        <v>27591</v>
      </c>
      <c r="H973" s="2">
        <v>39223</v>
      </c>
      <c r="I973" s="25">
        <v>41820</v>
      </c>
      <c r="K973" s="2">
        <v>34820</v>
      </c>
      <c r="L973" t="s">
        <v>297</v>
      </c>
      <c r="M973" t="s">
        <v>297</v>
      </c>
      <c r="N973" s="23" t="str">
        <f t="shared" si="106"/>
        <v>Y</v>
      </c>
      <c r="O973" s="16" t="s">
        <v>1397</v>
      </c>
      <c r="P973" s="10" t="s">
        <v>249</v>
      </c>
      <c r="Q973" s="10" t="s">
        <v>253</v>
      </c>
      <c r="S973" s="16" t="str">
        <f t="shared" si="107"/>
        <v>Jack   McManus</v>
      </c>
      <c r="T973" s="31">
        <v>41425</v>
      </c>
      <c r="U973" s="24">
        <v>39968</v>
      </c>
    </row>
    <row r="974" spans="1:21" customFormat="1" hidden="1">
      <c r="A974" t="s">
        <v>249</v>
      </c>
      <c r="B974" t="s">
        <v>258</v>
      </c>
      <c r="I974" s="6"/>
    </row>
    <row r="975" spans="1:21" customFormat="1" hidden="1">
      <c r="A975" t="s">
        <v>1080</v>
      </c>
      <c r="I975" s="6"/>
    </row>
    <row r="976" spans="1:21">
      <c r="A976" s="16">
        <v>11</v>
      </c>
      <c r="B976" s="16" t="s">
        <v>339</v>
      </c>
      <c r="C976" s="16">
        <v>96</v>
      </c>
      <c r="D976" s="7" t="s">
        <v>295</v>
      </c>
      <c r="E976" s="16" t="s">
        <v>296</v>
      </c>
      <c r="F976" s="2">
        <v>27785</v>
      </c>
      <c r="G976" s="2">
        <v>28901</v>
      </c>
      <c r="H976" s="2">
        <v>38819</v>
      </c>
      <c r="I976" s="25">
        <v>41820</v>
      </c>
      <c r="J976" s="2">
        <v>34150</v>
      </c>
      <c r="K976" s="2">
        <v>38534</v>
      </c>
      <c r="L976" t="s">
        <v>297</v>
      </c>
      <c r="M976" t="s">
        <v>297</v>
      </c>
      <c r="N976" s="23" t="str">
        <f t="shared" ref="N976:N990" si="108">IF((I976&gt;$W$2),"Y","N")</f>
        <v>Y</v>
      </c>
      <c r="O976" s="16" t="s">
        <v>1232</v>
      </c>
      <c r="P976" s="10" t="s">
        <v>249</v>
      </c>
      <c r="Q976" s="10" t="s">
        <v>253</v>
      </c>
      <c r="S976" s="16" t="str">
        <f t="shared" ref="S976:S988" si="109">MID(Q976,9,30)</f>
        <v>Jack   McManus</v>
      </c>
      <c r="T976" s="31">
        <v>41428</v>
      </c>
      <c r="U976" s="24">
        <v>39969</v>
      </c>
    </row>
    <row r="977" spans="1:33">
      <c r="A977" s="16">
        <v>11</v>
      </c>
      <c r="B977" s="16" t="s">
        <v>339</v>
      </c>
      <c r="C977" s="16">
        <v>97</v>
      </c>
      <c r="D977" s="7" t="s">
        <v>295</v>
      </c>
      <c r="E977" s="16" t="s">
        <v>296</v>
      </c>
      <c r="F977" s="2">
        <v>28902</v>
      </c>
      <c r="G977" s="2">
        <v>29185</v>
      </c>
      <c r="H977" s="2">
        <v>39524</v>
      </c>
      <c r="I977" s="25">
        <v>41820</v>
      </c>
      <c r="J977" s="2">
        <v>33054</v>
      </c>
      <c r="K977" s="2">
        <v>37810</v>
      </c>
      <c r="L977" t="s">
        <v>297</v>
      </c>
      <c r="M977" t="s">
        <v>297</v>
      </c>
      <c r="N977" s="23" t="str">
        <f t="shared" si="108"/>
        <v>Y</v>
      </c>
      <c r="O977" s="30" t="s">
        <v>1925</v>
      </c>
      <c r="P977" s="10" t="s">
        <v>249</v>
      </c>
      <c r="Q977" s="10" t="s">
        <v>253</v>
      </c>
      <c r="S977" s="16" t="str">
        <f t="shared" si="109"/>
        <v>Jack   McManus</v>
      </c>
      <c r="T977" s="31">
        <v>41428</v>
      </c>
      <c r="U977" s="24">
        <v>39968</v>
      </c>
    </row>
    <row r="978" spans="1:33">
      <c r="A978" s="16">
        <v>11</v>
      </c>
      <c r="B978" s="16" t="s">
        <v>339</v>
      </c>
      <c r="C978" s="16">
        <v>120</v>
      </c>
      <c r="D978" s="7" t="s">
        <v>295</v>
      </c>
      <c r="E978" s="16" t="s">
        <v>296</v>
      </c>
      <c r="F978" s="2">
        <v>28093</v>
      </c>
      <c r="G978" s="2">
        <v>28901</v>
      </c>
      <c r="H978" s="2">
        <v>39489</v>
      </c>
      <c r="I978" s="25">
        <v>41455</v>
      </c>
      <c r="J978" s="2">
        <v>31228</v>
      </c>
      <c r="K978" s="2">
        <v>36335</v>
      </c>
      <c r="L978" t="s">
        <v>297</v>
      </c>
      <c r="M978" t="s">
        <v>297</v>
      </c>
      <c r="N978" s="23" t="str">
        <f t="shared" si="108"/>
        <v>N</v>
      </c>
      <c r="O978" s="16" t="s">
        <v>1042</v>
      </c>
      <c r="P978" s="10" t="s">
        <v>249</v>
      </c>
      <c r="Q978" s="10" t="s">
        <v>253</v>
      </c>
      <c r="S978" s="16" t="str">
        <f t="shared" si="109"/>
        <v>Jack   McManus</v>
      </c>
      <c r="T978" s="31">
        <v>41066</v>
      </c>
    </row>
    <row r="979" spans="1:33">
      <c r="A979" s="16">
        <v>11</v>
      </c>
      <c r="B979" s="16" t="s">
        <v>339</v>
      </c>
      <c r="C979" s="16">
        <v>144</v>
      </c>
      <c r="D979" s="7" t="s">
        <v>295</v>
      </c>
      <c r="E979" s="16" t="s">
        <v>296</v>
      </c>
      <c r="F979" s="2">
        <v>28213</v>
      </c>
      <c r="G979" s="2">
        <v>28901</v>
      </c>
      <c r="H979" s="2">
        <v>39337</v>
      </c>
      <c r="I979" s="25">
        <v>41820</v>
      </c>
      <c r="K979" s="2">
        <v>35129</v>
      </c>
      <c r="L979" t="s">
        <v>297</v>
      </c>
      <c r="N979" s="23" t="str">
        <f t="shared" si="108"/>
        <v>Y</v>
      </c>
      <c r="O979" s="16" t="s">
        <v>1468</v>
      </c>
      <c r="P979" s="10" t="s">
        <v>249</v>
      </c>
      <c r="Q979" s="10" t="s">
        <v>253</v>
      </c>
      <c r="S979" s="16" t="str">
        <f t="shared" si="109"/>
        <v>Jack   McManus</v>
      </c>
      <c r="T979" s="31">
        <v>41424</v>
      </c>
      <c r="U979" s="24">
        <v>39964</v>
      </c>
    </row>
    <row r="980" spans="1:33">
      <c r="A980" s="16">
        <v>11</v>
      </c>
      <c r="B980" s="16" t="s">
        <v>339</v>
      </c>
      <c r="C980" s="16">
        <v>213</v>
      </c>
      <c r="D980" t="s">
        <v>295</v>
      </c>
      <c r="E980" s="16" t="s">
        <v>296</v>
      </c>
      <c r="F980" s="2">
        <v>28928</v>
      </c>
      <c r="G980" s="2">
        <v>29056</v>
      </c>
      <c r="H980" s="2">
        <v>39267</v>
      </c>
      <c r="I980" s="25">
        <v>41820</v>
      </c>
      <c r="K980" s="2">
        <v>39356</v>
      </c>
      <c r="L980" t="s">
        <v>297</v>
      </c>
      <c r="M980" t="s">
        <v>297</v>
      </c>
      <c r="N980" s="23" t="str">
        <f t="shared" si="108"/>
        <v>Y</v>
      </c>
      <c r="O980" s="30" t="s">
        <v>1926</v>
      </c>
      <c r="P980" s="10" t="s">
        <v>249</v>
      </c>
      <c r="Q980" s="10" t="s">
        <v>253</v>
      </c>
      <c r="S980" s="16" t="str">
        <f t="shared" si="109"/>
        <v>Jack   McManus</v>
      </c>
      <c r="T980" s="31">
        <v>41428</v>
      </c>
    </row>
    <row r="981" spans="1:33">
      <c r="A981" s="16">
        <v>11</v>
      </c>
      <c r="B981" s="16" t="s">
        <v>163</v>
      </c>
      <c r="C981" s="16">
        <v>127</v>
      </c>
      <c r="D981" s="7" t="s">
        <v>295</v>
      </c>
      <c r="E981" s="16" t="s">
        <v>296</v>
      </c>
      <c r="F981" s="2">
        <v>28093</v>
      </c>
      <c r="G981" s="2">
        <v>28845</v>
      </c>
      <c r="H981" s="2">
        <v>39470</v>
      </c>
      <c r="I981" s="25">
        <v>41820</v>
      </c>
      <c r="J981" s="2">
        <v>35613</v>
      </c>
      <c r="K981" s="2">
        <v>36193</v>
      </c>
      <c r="L981" t="s">
        <v>297</v>
      </c>
      <c r="M981" t="s">
        <v>297</v>
      </c>
      <c r="N981" s="23" t="str">
        <f t="shared" si="108"/>
        <v>Y</v>
      </c>
      <c r="O981" s="30" t="s">
        <v>1927</v>
      </c>
      <c r="P981" s="10" t="s">
        <v>249</v>
      </c>
      <c r="Q981" s="10" t="s">
        <v>254</v>
      </c>
      <c r="S981" s="16" t="str">
        <f t="shared" si="109"/>
        <v>Mark L Bol</v>
      </c>
      <c r="T981" s="31">
        <v>41418</v>
      </c>
    </row>
    <row r="982" spans="1:33">
      <c r="A982" s="16">
        <v>11</v>
      </c>
      <c r="B982" s="16" t="s">
        <v>163</v>
      </c>
      <c r="C982" s="16">
        <v>152</v>
      </c>
      <c r="D982" t="s">
        <v>295</v>
      </c>
      <c r="E982" s="16" t="s">
        <v>296</v>
      </c>
      <c r="F982" s="2">
        <v>28213</v>
      </c>
      <c r="G982" s="2">
        <v>33935</v>
      </c>
      <c r="H982" s="2">
        <v>37932</v>
      </c>
      <c r="I982" s="25">
        <v>41455</v>
      </c>
      <c r="K982" s="2">
        <v>36202</v>
      </c>
      <c r="L982" t="s">
        <v>297</v>
      </c>
      <c r="M982" t="s">
        <v>297</v>
      </c>
      <c r="N982" s="23" t="str">
        <f t="shared" si="108"/>
        <v>N</v>
      </c>
      <c r="O982" s="16" t="s">
        <v>1047</v>
      </c>
      <c r="P982" s="10" t="s">
        <v>249</v>
      </c>
      <c r="Q982" s="10" t="s">
        <v>254</v>
      </c>
      <c r="S982" s="16" t="str">
        <f t="shared" si="109"/>
        <v>Mark L Bol</v>
      </c>
      <c r="T982" s="31">
        <v>41106</v>
      </c>
    </row>
    <row r="983" spans="1:33">
      <c r="A983" s="16">
        <v>11</v>
      </c>
      <c r="B983" s="16" t="s">
        <v>163</v>
      </c>
      <c r="C983" s="16">
        <v>285</v>
      </c>
      <c r="D983" s="7" t="s">
        <v>295</v>
      </c>
      <c r="E983" s="16" t="s">
        <v>296</v>
      </c>
      <c r="F983" s="2">
        <v>29637</v>
      </c>
      <c r="G983" s="2">
        <v>29857</v>
      </c>
      <c r="H983" s="2">
        <v>38886</v>
      </c>
      <c r="I983" s="25">
        <v>41820</v>
      </c>
      <c r="K983" s="2">
        <v>35878</v>
      </c>
      <c r="L983" t="s">
        <v>297</v>
      </c>
      <c r="N983" s="23" t="str">
        <f t="shared" si="108"/>
        <v>Y</v>
      </c>
      <c r="O983" s="16" t="s">
        <v>1562</v>
      </c>
      <c r="P983" s="10" t="s">
        <v>249</v>
      </c>
      <c r="Q983" s="10" t="s">
        <v>254</v>
      </c>
      <c r="S983" s="16" t="str">
        <f t="shared" si="109"/>
        <v>Mark L Bol</v>
      </c>
      <c r="T983" s="31">
        <v>41450</v>
      </c>
    </row>
    <row r="984" spans="1:33">
      <c r="A984" s="16">
        <v>11</v>
      </c>
      <c r="B984" s="16" t="s">
        <v>163</v>
      </c>
      <c r="C984" s="16">
        <v>780</v>
      </c>
      <c r="D984" s="7" t="s">
        <v>295</v>
      </c>
      <c r="E984" s="16" t="s">
        <v>296</v>
      </c>
      <c r="F984" s="2">
        <v>33313</v>
      </c>
      <c r="G984" s="2">
        <v>33563</v>
      </c>
      <c r="H984" s="2">
        <v>38923</v>
      </c>
      <c r="I984" s="25">
        <v>41820</v>
      </c>
      <c r="K984" s="2">
        <v>35606</v>
      </c>
      <c r="L984" t="s">
        <v>297</v>
      </c>
      <c r="M984" t="s">
        <v>297</v>
      </c>
      <c r="N984" s="23" t="str">
        <f t="shared" si="108"/>
        <v>Y</v>
      </c>
      <c r="O984" s="16" t="s">
        <v>1604</v>
      </c>
      <c r="P984" s="10" t="s">
        <v>249</v>
      </c>
      <c r="Q984" s="10" t="s">
        <v>254</v>
      </c>
      <c r="S984" s="16" t="str">
        <f t="shared" si="109"/>
        <v>Mark L Bol</v>
      </c>
      <c r="T984" s="31">
        <v>41422</v>
      </c>
    </row>
    <row r="985" spans="1:33">
      <c r="A985" s="16">
        <v>11</v>
      </c>
      <c r="B985" s="16" t="s">
        <v>163</v>
      </c>
      <c r="C985" s="16">
        <v>785</v>
      </c>
      <c r="D985" s="7" t="s">
        <v>295</v>
      </c>
      <c r="E985" s="16" t="s">
        <v>296</v>
      </c>
      <c r="F985" s="2">
        <v>33384</v>
      </c>
      <c r="G985" s="2">
        <v>34656</v>
      </c>
      <c r="H985" s="2">
        <v>37397</v>
      </c>
      <c r="I985" s="25">
        <v>41820</v>
      </c>
      <c r="K985" s="2">
        <v>35528</v>
      </c>
      <c r="L985" t="s">
        <v>297</v>
      </c>
      <c r="N985" s="23" t="str">
        <f t="shared" si="108"/>
        <v>Y</v>
      </c>
      <c r="O985" s="30" t="s">
        <v>1928</v>
      </c>
      <c r="P985" s="10" t="s">
        <v>249</v>
      </c>
      <c r="Q985" s="10" t="s">
        <v>254</v>
      </c>
      <c r="S985" s="16" t="str">
        <f t="shared" si="109"/>
        <v>Mark L Bol</v>
      </c>
      <c r="T985" s="31">
        <v>41452</v>
      </c>
      <c r="U985" s="24">
        <v>39968</v>
      </c>
    </row>
    <row r="986" spans="1:33">
      <c r="A986" s="16">
        <v>11</v>
      </c>
      <c r="B986" s="16" t="s">
        <v>163</v>
      </c>
      <c r="C986" s="16">
        <v>1282</v>
      </c>
      <c r="D986" s="7" t="s">
        <v>295</v>
      </c>
      <c r="E986" s="16" t="s">
        <v>296</v>
      </c>
      <c r="F986" s="2">
        <v>36185</v>
      </c>
      <c r="G986" s="2">
        <v>36483</v>
      </c>
      <c r="H986" s="2">
        <v>39464</v>
      </c>
      <c r="I986" s="25">
        <v>41820</v>
      </c>
      <c r="K986" s="2">
        <v>36362</v>
      </c>
      <c r="L986" t="s">
        <v>297</v>
      </c>
      <c r="M986" t="s">
        <v>297</v>
      </c>
      <c r="N986" s="23" t="str">
        <f t="shared" si="108"/>
        <v>Y</v>
      </c>
      <c r="O986" s="30" t="s">
        <v>1929</v>
      </c>
      <c r="P986" s="10" t="s">
        <v>249</v>
      </c>
      <c r="Q986" s="10" t="s">
        <v>254</v>
      </c>
      <c r="S986" s="16" t="str">
        <f t="shared" si="109"/>
        <v>Mark L Bol</v>
      </c>
      <c r="T986" s="31">
        <v>41450</v>
      </c>
    </row>
    <row r="987" spans="1:33">
      <c r="A987" s="16">
        <v>11</v>
      </c>
      <c r="B987" s="16" t="s">
        <v>163</v>
      </c>
      <c r="C987" s="16">
        <v>1319</v>
      </c>
      <c r="D987" s="7" t="s">
        <v>295</v>
      </c>
      <c r="E987" s="16" t="s">
        <v>376</v>
      </c>
      <c r="F987" s="2">
        <v>36509</v>
      </c>
      <c r="H987" s="2">
        <v>38177</v>
      </c>
      <c r="I987" s="25">
        <v>37533</v>
      </c>
      <c r="L987" t="s">
        <v>297</v>
      </c>
      <c r="N987" s="23" t="str">
        <f t="shared" si="108"/>
        <v>N</v>
      </c>
      <c r="O987" s="16" t="s">
        <v>318</v>
      </c>
      <c r="P987" s="10" t="s">
        <v>249</v>
      </c>
      <c r="Q987" s="10" t="s">
        <v>254</v>
      </c>
      <c r="S987" s="16" t="str">
        <f t="shared" si="109"/>
        <v>Mark L Bol</v>
      </c>
    </row>
    <row r="988" spans="1:33">
      <c r="A988" s="16">
        <v>11</v>
      </c>
      <c r="B988" s="16" t="s">
        <v>163</v>
      </c>
      <c r="C988" s="16">
        <v>1505</v>
      </c>
      <c r="D988" t="s">
        <v>295</v>
      </c>
      <c r="E988" s="16" t="s">
        <v>296</v>
      </c>
      <c r="F988" s="2">
        <v>38481</v>
      </c>
      <c r="G988" s="2">
        <v>39521</v>
      </c>
      <c r="H988" s="2">
        <v>39510</v>
      </c>
      <c r="I988" s="25">
        <v>41820</v>
      </c>
      <c r="L988" t="s">
        <v>297</v>
      </c>
      <c r="M988" t="s">
        <v>297</v>
      </c>
      <c r="N988" s="23" t="str">
        <f t="shared" si="108"/>
        <v>Y</v>
      </c>
      <c r="O988" s="16" t="s">
        <v>1053</v>
      </c>
      <c r="P988" s="10" t="s">
        <v>249</v>
      </c>
      <c r="Q988" s="10" t="s">
        <v>254</v>
      </c>
      <c r="S988" s="16" t="str">
        <f t="shared" si="109"/>
        <v>Mark L Bol</v>
      </c>
      <c r="T988" s="31">
        <v>41484</v>
      </c>
    </row>
    <row r="989" spans="1:33">
      <c r="A989" s="16">
        <v>11</v>
      </c>
      <c r="B989" s="16" t="s">
        <v>163</v>
      </c>
      <c r="C989" s="16">
        <v>1576</v>
      </c>
      <c r="E989" s="16" t="s">
        <v>316</v>
      </c>
      <c r="I989" s="25">
        <v>40359</v>
      </c>
      <c r="N989" s="23" t="str">
        <f t="shared" si="108"/>
        <v>N</v>
      </c>
      <c r="O989" t="s">
        <v>1287</v>
      </c>
      <c r="P989"/>
      <c r="Q989"/>
      <c r="R989"/>
      <c r="S989"/>
      <c r="T989" s="34">
        <v>40024</v>
      </c>
      <c r="U989"/>
    </row>
    <row r="990" spans="1:33">
      <c r="A990" s="16">
        <v>11</v>
      </c>
      <c r="B990" s="16" t="s">
        <v>165</v>
      </c>
      <c r="C990" s="16">
        <v>116</v>
      </c>
      <c r="D990" t="s">
        <v>295</v>
      </c>
      <c r="E990" s="16" t="s">
        <v>296</v>
      </c>
      <c r="F990" s="2">
        <v>28093</v>
      </c>
      <c r="G990" s="2">
        <v>28901</v>
      </c>
      <c r="H990" s="2">
        <v>39231</v>
      </c>
      <c r="I990" s="25">
        <v>41820</v>
      </c>
      <c r="J990" s="2">
        <v>39004</v>
      </c>
      <c r="K990" s="2">
        <v>35895</v>
      </c>
      <c r="L990" t="s">
        <v>297</v>
      </c>
      <c r="M990" t="s">
        <v>297</v>
      </c>
      <c r="N990" s="23" t="str">
        <f t="shared" si="108"/>
        <v>Y</v>
      </c>
      <c r="O990" s="30" t="s">
        <v>1930</v>
      </c>
      <c r="P990" s="10" t="s">
        <v>249</v>
      </c>
      <c r="Q990" s="10" t="s">
        <v>255</v>
      </c>
      <c r="R990" s="12" t="s">
        <v>1137</v>
      </c>
      <c r="S990" s="16" t="str">
        <f>MID(Q990,9,30)</f>
        <v>Stephen R Minton</v>
      </c>
      <c r="T990" s="31">
        <v>41365</v>
      </c>
    </row>
    <row r="991" spans="1:33" s="7" customFormat="1" hidden="1">
      <c r="A991" s="7">
        <v>12</v>
      </c>
      <c r="B991" s="7" t="s">
        <v>140</v>
      </c>
      <c r="C991" s="7">
        <v>1511</v>
      </c>
      <c r="D991" s="7" t="s">
        <v>618</v>
      </c>
      <c r="E991" s="7" t="s">
        <v>376</v>
      </c>
      <c r="F991" s="2">
        <v>38722</v>
      </c>
      <c r="G991"/>
      <c r="H991" s="2">
        <v>38727</v>
      </c>
      <c r="I991" s="8">
        <v>39082</v>
      </c>
      <c r="J991"/>
      <c r="K991"/>
      <c r="L991" t="s">
        <v>297</v>
      </c>
      <c r="M991" t="s">
        <v>297</v>
      </c>
      <c r="N991"/>
      <c r="P991" s="7" t="s">
        <v>259</v>
      </c>
      <c r="Q991" s="7" t="s">
        <v>260</v>
      </c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</row>
    <row r="992" spans="1:33" customFormat="1" hidden="1">
      <c r="A992" t="s">
        <v>259</v>
      </c>
      <c r="B992" t="s">
        <v>260</v>
      </c>
      <c r="I992" s="6"/>
    </row>
    <row r="993" spans="1:33">
      <c r="A993" s="16">
        <v>11</v>
      </c>
      <c r="B993" s="16" t="s">
        <v>165</v>
      </c>
      <c r="C993" s="16">
        <v>258</v>
      </c>
      <c r="D993" s="7" t="s">
        <v>295</v>
      </c>
      <c r="E993" s="16" t="s">
        <v>296</v>
      </c>
      <c r="F993" s="2">
        <v>29285</v>
      </c>
      <c r="G993" s="2">
        <v>29544</v>
      </c>
      <c r="H993" s="2">
        <v>39222</v>
      </c>
      <c r="I993" s="25">
        <v>41820</v>
      </c>
      <c r="J993" s="2">
        <v>34639</v>
      </c>
      <c r="K993" s="2">
        <v>36207</v>
      </c>
      <c r="L993" t="s">
        <v>297</v>
      </c>
      <c r="M993" t="s">
        <v>297</v>
      </c>
      <c r="N993" s="23" t="str">
        <f t="shared" ref="N993:N1001" si="110">IF((I993&gt;$W$2),"Y","N")</f>
        <v>Y</v>
      </c>
      <c r="O993" s="30" t="s">
        <v>1931</v>
      </c>
      <c r="P993" s="10" t="s">
        <v>249</v>
      </c>
      <c r="Q993" s="10" t="s">
        <v>255</v>
      </c>
      <c r="S993" s="16" t="str">
        <f t="shared" ref="S993:S1001" si="111">MID(Q993,9,30)</f>
        <v>Stephen R Minton</v>
      </c>
      <c r="T993" s="31">
        <v>41365</v>
      </c>
    </row>
    <row r="994" spans="1:33">
      <c r="A994" s="16">
        <v>11</v>
      </c>
      <c r="B994" s="16" t="s">
        <v>165</v>
      </c>
      <c r="C994" s="16">
        <v>290</v>
      </c>
      <c r="D994" s="7" t="s">
        <v>295</v>
      </c>
      <c r="E994" s="16" t="s">
        <v>296</v>
      </c>
      <c r="F994" s="2">
        <v>29637</v>
      </c>
      <c r="G994" s="2">
        <v>29857</v>
      </c>
      <c r="H994" s="2">
        <v>39458</v>
      </c>
      <c r="I994" s="25">
        <v>41820</v>
      </c>
      <c r="J994" s="2">
        <v>35318</v>
      </c>
      <c r="K994" s="2">
        <v>35275</v>
      </c>
      <c r="L994" t="s">
        <v>297</v>
      </c>
      <c r="M994" t="s">
        <v>297</v>
      </c>
      <c r="N994" s="23" t="str">
        <f t="shared" si="110"/>
        <v>Y</v>
      </c>
      <c r="O994" s="30" t="s">
        <v>1932</v>
      </c>
      <c r="P994" s="10" t="s">
        <v>249</v>
      </c>
      <c r="Q994" s="10" t="s">
        <v>255</v>
      </c>
      <c r="S994" s="16" t="str">
        <f t="shared" si="111"/>
        <v>Stephen R Minton</v>
      </c>
      <c r="T994" s="31">
        <v>41428</v>
      </c>
    </row>
    <row r="995" spans="1:33">
      <c r="A995" s="16">
        <v>11</v>
      </c>
      <c r="B995" s="16" t="s">
        <v>165</v>
      </c>
      <c r="C995" s="16">
        <v>581</v>
      </c>
      <c r="D995" s="7" t="s">
        <v>295</v>
      </c>
      <c r="E995" s="16" t="s">
        <v>296</v>
      </c>
      <c r="F995" s="2">
        <v>31857</v>
      </c>
      <c r="G995" s="2">
        <v>31857</v>
      </c>
      <c r="H995" s="2">
        <v>39385</v>
      </c>
      <c r="I995" s="25">
        <v>41455</v>
      </c>
      <c r="J995" s="2">
        <v>36398</v>
      </c>
      <c r="K995" s="2">
        <v>36403</v>
      </c>
      <c r="L995" t="s">
        <v>297</v>
      </c>
      <c r="M995" t="s">
        <v>297</v>
      </c>
      <c r="N995" s="23" t="str">
        <f t="shared" si="110"/>
        <v>N</v>
      </c>
      <c r="O995" s="16" t="s">
        <v>1431</v>
      </c>
      <c r="P995" s="10" t="s">
        <v>249</v>
      </c>
      <c r="Q995" s="10" t="s">
        <v>255</v>
      </c>
      <c r="S995" s="16" t="str">
        <f t="shared" si="111"/>
        <v>Stephen R Minton</v>
      </c>
      <c r="T995" s="31">
        <v>41145</v>
      </c>
    </row>
    <row r="996" spans="1:33">
      <c r="A996" s="16">
        <v>11</v>
      </c>
      <c r="B996" s="16" t="s">
        <v>165</v>
      </c>
      <c r="C996" s="16">
        <v>712</v>
      </c>
      <c r="D996" s="7" t="s">
        <v>295</v>
      </c>
      <c r="E996" s="16" t="s">
        <v>296</v>
      </c>
      <c r="F996" s="2">
        <v>32892</v>
      </c>
      <c r="G996" s="2">
        <v>32893</v>
      </c>
      <c r="H996" s="2">
        <v>39215</v>
      </c>
      <c r="I996" s="25">
        <v>41455</v>
      </c>
      <c r="J996" s="2">
        <v>38953</v>
      </c>
      <c r="K996" s="2">
        <v>36306</v>
      </c>
      <c r="L996" t="s">
        <v>297</v>
      </c>
      <c r="M996" t="s">
        <v>297</v>
      </c>
      <c r="N996" s="23" t="str">
        <f t="shared" si="110"/>
        <v>N</v>
      </c>
      <c r="O996" s="16" t="s">
        <v>1233</v>
      </c>
      <c r="P996" s="10" t="s">
        <v>249</v>
      </c>
      <c r="Q996" s="10" t="s">
        <v>255</v>
      </c>
      <c r="S996" s="16" t="str">
        <f t="shared" si="111"/>
        <v>Stephen R Minton</v>
      </c>
      <c r="T996" s="31">
        <v>41239</v>
      </c>
    </row>
    <row r="997" spans="1:33">
      <c r="A997" s="16">
        <v>11</v>
      </c>
      <c r="B997" s="16" t="s">
        <v>245</v>
      </c>
      <c r="C997" s="16">
        <v>89</v>
      </c>
      <c r="D997" s="7" t="s">
        <v>295</v>
      </c>
      <c r="E997" s="16" t="s">
        <v>296</v>
      </c>
      <c r="F997" s="2">
        <v>27420</v>
      </c>
      <c r="G997" s="2">
        <v>27871</v>
      </c>
      <c r="H997" s="2">
        <v>38824</v>
      </c>
      <c r="I997" s="25">
        <v>41820</v>
      </c>
      <c r="J997" s="2">
        <v>35624</v>
      </c>
      <c r="K997" s="2">
        <v>34771</v>
      </c>
      <c r="L997" t="s">
        <v>297</v>
      </c>
      <c r="M997" t="s">
        <v>297</v>
      </c>
      <c r="N997" s="23" t="str">
        <f t="shared" si="110"/>
        <v>Y</v>
      </c>
      <c r="O997" s="30" t="s">
        <v>1933</v>
      </c>
      <c r="P997" s="10" t="s">
        <v>249</v>
      </c>
      <c r="Q997" s="10" t="s">
        <v>256</v>
      </c>
      <c r="S997" s="16" t="str">
        <f t="shared" si="111"/>
        <v>Sallie M Goodrow</v>
      </c>
      <c r="T997" s="31">
        <v>41428</v>
      </c>
      <c r="U997" s="24">
        <v>39972</v>
      </c>
    </row>
    <row r="998" spans="1:33">
      <c r="A998" s="16">
        <v>11</v>
      </c>
      <c r="B998" s="16" t="s">
        <v>245</v>
      </c>
      <c r="C998" s="16">
        <v>168</v>
      </c>
      <c r="D998" s="7" t="s">
        <v>295</v>
      </c>
      <c r="E998" s="16" t="s">
        <v>296</v>
      </c>
      <c r="F998" s="2">
        <v>28278</v>
      </c>
      <c r="G998" s="2">
        <v>28278</v>
      </c>
      <c r="H998" s="2">
        <v>38890</v>
      </c>
      <c r="I998" s="25">
        <v>41820</v>
      </c>
      <c r="J998" s="2">
        <v>34887</v>
      </c>
      <c r="K998" s="2">
        <v>38876</v>
      </c>
      <c r="L998" t="s">
        <v>297</v>
      </c>
      <c r="M998" t="s">
        <v>297</v>
      </c>
      <c r="N998" s="23" t="str">
        <f t="shared" si="110"/>
        <v>Y</v>
      </c>
      <c r="O998" s="16" t="s">
        <v>1509</v>
      </c>
      <c r="P998" s="10" t="s">
        <v>249</v>
      </c>
      <c r="Q998" s="10" t="s">
        <v>256</v>
      </c>
      <c r="S998" s="16" t="str">
        <f t="shared" si="111"/>
        <v>Sallie M Goodrow</v>
      </c>
      <c r="T998" s="31">
        <v>41394</v>
      </c>
      <c r="U998" s="24">
        <v>39968</v>
      </c>
    </row>
    <row r="999" spans="1:33">
      <c r="A999" s="16">
        <v>11</v>
      </c>
      <c r="B999" s="16" t="s">
        <v>245</v>
      </c>
      <c r="C999" s="16">
        <v>234</v>
      </c>
      <c r="D999" s="7" t="s">
        <v>295</v>
      </c>
      <c r="E999" s="16" t="s">
        <v>296</v>
      </c>
      <c r="F999" s="2">
        <v>29056</v>
      </c>
      <c r="G999" s="2">
        <v>29306</v>
      </c>
      <c r="H999" s="2">
        <v>39183</v>
      </c>
      <c r="I999" s="25">
        <v>41820</v>
      </c>
      <c r="K999" s="2">
        <v>34094</v>
      </c>
      <c r="L999" t="s">
        <v>297</v>
      </c>
      <c r="N999" s="23" t="str">
        <f t="shared" si="110"/>
        <v>Y</v>
      </c>
      <c r="O999" s="30" t="s">
        <v>1934</v>
      </c>
      <c r="P999" s="10" t="s">
        <v>249</v>
      </c>
      <c r="Q999" s="10" t="s">
        <v>256</v>
      </c>
      <c r="S999" s="16" t="str">
        <f t="shared" si="111"/>
        <v>Sallie M Goodrow</v>
      </c>
      <c r="T999" s="31">
        <v>41486</v>
      </c>
      <c r="U999" s="24">
        <v>39968</v>
      </c>
    </row>
    <row r="1000" spans="1:33">
      <c r="A1000" s="16">
        <v>11</v>
      </c>
      <c r="B1000" s="16" t="s">
        <v>245</v>
      </c>
      <c r="C1000" s="16">
        <v>295</v>
      </c>
      <c r="D1000" t="s">
        <v>295</v>
      </c>
      <c r="E1000" s="16" t="s">
        <v>296</v>
      </c>
      <c r="F1000" s="2">
        <v>29637</v>
      </c>
      <c r="G1000" s="2">
        <v>29857</v>
      </c>
      <c r="H1000" s="2">
        <v>39369</v>
      </c>
      <c r="I1000" s="25">
        <v>41820</v>
      </c>
      <c r="J1000" s="2">
        <v>33419</v>
      </c>
      <c r="K1000" s="2">
        <v>38875</v>
      </c>
      <c r="L1000" t="s">
        <v>297</v>
      </c>
      <c r="M1000" t="s">
        <v>297</v>
      </c>
      <c r="N1000" s="23" t="str">
        <f t="shared" si="110"/>
        <v>Y</v>
      </c>
      <c r="O1000" s="30" t="s">
        <v>1935</v>
      </c>
      <c r="P1000" s="10" t="s">
        <v>249</v>
      </c>
      <c r="Q1000" s="10" t="s">
        <v>256</v>
      </c>
      <c r="S1000" s="16" t="str">
        <f t="shared" si="111"/>
        <v>Sallie M Goodrow</v>
      </c>
      <c r="T1000" s="31">
        <v>41470</v>
      </c>
    </row>
    <row r="1001" spans="1:33">
      <c r="A1001" s="16">
        <v>11</v>
      </c>
      <c r="B1001" s="16" t="s">
        <v>245</v>
      </c>
      <c r="C1001" s="16">
        <v>341</v>
      </c>
      <c r="D1001" s="7" t="s">
        <v>295</v>
      </c>
      <c r="E1001" s="16" t="s">
        <v>296</v>
      </c>
      <c r="F1001" s="2">
        <v>29980</v>
      </c>
      <c r="G1001" s="2">
        <v>29970</v>
      </c>
      <c r="H1001" s="2">
        <v>39159</v>
      </c>
      <c r="I1001" s="25">
        <v>41820</v>
      </c>
      <c r="J1001" s="2">
        <v>38616</v>
      </c>
      <c r="K1001" s="2">
        <v>36307</v>
      </c>
      <c r="L1001" t="s">
        <v>297</v>
      </c>
      <c r="M1001" t="s">
        <v>297</v>
      </c>
      <c r="N1001" s="23" t="str">
        <f t="shared" si="110"/>
        <v>Y</v>
      </c>
      <c r="O1001" s="30" t="s">
        <v>1936</v>
      </c>
      <c r="P1001" s="10" t="s">
        <v>249</v>
      </c>
      <c r="Q1001" s="10" t="s">
        <v>256</v>
      </c>
      <c r="S1001" s="16" t="str">
        <f t="shared" si="111"/>
        <v>Sallie M Goodrow</v>
      </c>
      <c r="T1001" s="31">
        <v>41473</v>
      </c>
    </row>
    <row r="1002" spans="1:33" customFormat="1" hidden="1">
      <c r="A1002">
        <v>12</v>
      </c>
      <c r="B1002" t="s">
        <v>149</v>
      </c>
      <c r="C1002">
        <v>1363</v>
      </c>
      <c r="D1002" t="s">
        <v>348</v>
      </c>
      <c r="E1002" t="s">
        <v>376</v>
      </c>
      <c r="F1002" s="2">
        <v>37019</v>
      </c>
      <c r="I1002" s="6"/>
      <c r="L1002" t="s">
        <v>297</v>
      </c>
      <c r="M1002" t="s">
        <v>297</v>
      </c>
      <c r="P1002" t="s">
        <v>259</v>
      </c>
      <c r="Q1002" t="s">
        <v>261</v>
      </c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</row>
    <row r="1003" spans="1:33">
      <c r="A1003" s="16">
        <v>11</v>
      </c>
      <c r="B1003" s="16" t="s">
        <v>245</v>
      </c>
      <c r="C1003" s="16">
        <v>511</v>
      </c>
      <c r="D1003" s="7" t="s">
        <v>295</v>
      </c>
      <c r="E1003" s="16" t="s">
        <v>296</v>
      </c>
      <c r="F1003" s="2">
        <v>31437</v>
      </c>
      <c r="G1003" s="2">
        <v>31437</v>
      </c>
      <c r="H1003" s="2">
        <v>39213</v>
      </c>
      <c r="I1003" s="25">
        <v>41820</v>
      </c>
      <c r="J1003" s="2">
        <v>33206</v>
      </c>
      <c r="K1003" s="2">
        <v>37841</v>
      </c>
      <c r="L1003" t="s">
        <v>297</v>
      </c>
      <c r="M1003" t="s">
        <v>297</v>
      </c>
      <c r="N1003" s="23" t="str">
        <f>IF((I1003&gt;$W$2),"Y","N")</f>
        <v>Y</v>
      </c>
      <c r="O1003" s="16" t="s">
        <v>1532</v>
      </c>
      <c r="P1003" s="10" t="s">
        <v>249</v>
      </c>
      <c r="Q1003" s="10" t="s">
        <v>256</v>
      </c>
      <c r="S1003" s="16" t="str">
        <f>MID(Q1003,9,30)</f>
        <v>Sallie M Goodrow</v>
      </c>
      <c r="T1003" s="31">
        <v>41435</v>
      </c>
    </row>
    <row r="1004" spans="1:33">
      <c r="A1004" s="16">
        <v>11</v>
      </c>
      <c r="B1004" s="16" t="s">
        <v>245</v>
      </c>
      <c r="C1004" s="16">
        <v>839</v>
      </c>
      <c r="E1004" s="16" t="s">
        <v>296</v>
      </c>
      <c r="F1004" s="2">
        <v>37774</v>
      </c>
      <c r="H1004" s="2">
        <v>38524</v>
      </c>
      <c r="I1004" s="25">
        <v>41820</v>
      </c>
      <c r="K1004" s="2">
        <v>37774</v>
      </c>
      <c r="L1004" t="s">
        <v>297</v>
      </c>
      <c r="M1004" t="s">
        <v>297</v>
      </c>
      <c r="N1004" s="23" t="str">
        <f>IF((I1004&gt;$W$2),"Y","N")</f>
        <v>Y</v>
      </c>
      <c r="O1004" s="16" t="s">
        <v>1337</v>
      </c>
      <c r="T1004" s="31">
        <v>41428</v>
      </c>
    </row>
    <row r="1005" spans="1:33">
      <c r="A1005" s="16">
        <v>11</v>
      </c>
      <c r="B1005" s="16" t="s">
        <v>245</v>
      </c>
      <c r="C1005" s="16">
        <v>930</v>
      </c>
      <c r="D1005" s="7" t="s">
        <v>295</v>
      </c>
      <c r="E1005" s="16" t="s">
        <v>296</v>
      </c>
      <c r="F1005" s="2">
        <v>34317</v>
      </c>
      <c r="G1005" s="2">
        <v>35356</v>
      </c>
      <c r="H1005" s="2">
        <v>39223</v>
      </c>
      <c r="I1005" s="25">
        <v>41820</v>
      </c>
      <c r="J1005" s="2">
        <v>34564</v>
      </c>
      <c r="K1005" s="2">
        <v>36392</v>
      </c>
      <c r="L1005" t="s">
        <v>297</v>
      </c>
      <c r="M1005" t="s">
        <v>297</v>
      </c>
      <c r="N1005" s="23" t="str">
        <f>IF((I1005&gt;$W$2),"Y","N")</f>
        <v>Y</v>
      </c>
      <c r="O1005" s="16" t="s">
        <v>1409</v>
      </c>
      <c r="P1005" s="10" t="s">
        <v>249</v>
      </c>
      <c r="Q1005" s="10" t="s">
        <v>256</v>
      </c>
      <c r="S1005" s="16" t="str">
        <f>MID(Q1005,9,30)</f>
        <v>Sallie M Goodrow</v>
      </c>
      <c r="T1005" s="31">
        <v>41428</v>
      </c>
    </row>
    <row r="1006" spans="1:33" s="7" customFormat="1" hidden="1">
      <c r="A1006" s="7">
        <v>12</v>
      </c>
      <c r="B1006" s="7" t="s">
        <v>149</v>
      </c>
      <c r="C1006" s="7">
        <v>1498</v>
      </c>
      <c r="D1006" s="7" t="s">
        <v>393</v>
      </c>
      <c r="E1006" s="7" t="s">
        <v>316</v>
      </c>
      <c r="F1006" s="2">
        <v>38363</v>
      </c>
      <c r="G1006"/>
      <c r="H1006" s="2">
        <v>38467</v>
      </c>
      <c r="I1006" s="8">
        <v>38929</v>
      </c>
      <c r="J1006"/>
      <c r="K1006"/>
      <c r="L1006" t="s">
        <v>297</v>
      </c>
      <c r="M1006" t="s">
        <v>297</v>
      </c>
      <c r="N1006"/>
      <c r="O1006" s="7" t="s">
        <v>1107</v>
      </c>
      <c r="P1006" s="7" t="s">
        <v>259</v>
      </c>
      <c r="Q1006" s="7" t="s">
        <v>261</v>
      </c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</row>
    <row r="1007" spans="1:33" customFormat="1" hidden="1">
      <c r="A1007" t="s">
        <v>259</v>
      </c>
      <c r="B1007" t="s">
        <v>261</v>
      </c>
      <c r="I1007" s="6"/>
    </row>
    <row r="1008" spans="1:33">
      <c r="A1008" s="16">
        <v>11</v>
      </c>
      <c r="B1008" s="16" t="s">
        <v>245</v>
      </c>
      <c r="C1008" s="16">
        <v>1529</v>
      </c>
      <c r="D1008" s="7" t="s">
        <v>295</v>
      </c>
      <c r="E1008" s="16" t="s">
        <v>316</v>
      </c>
      <c r="F1008" s="2">
        <v>38943</v>
      </c>
      <c r="G1008" s="2">
        <v>39146</v>
      </c>
      <c r="H1008" s="2">
        <v>39340</v>
      </c>
      <c r="I1008" s="25">
        <v>40724</v>
      </c>
      <c r="L1008" t="s">
        <v>297</v>
      </c>
      <c r="M1008" t="s">
        <v>297</v>
      </c>
      <c r="N1008" s="23" t="str">
        <f>IF((I1008&gt;$W$2),"Y","N")</f>
        <v>N</v>
      </c>
      <c r="O1008" s="16" t="s">
        <v>1067</v>
      </c>
      <c r="P1008" s="10" t="s">
        <v>249</v>
      </c>
      <c r="Q1008" s="10" t="s">
        <v>256</v>
      </c>
      <c r="S1008" s="16" t="str">
        <f>MID(Q1008,9,30)</f>
        <v>Sallie M Goodrow</v>
      </c>
      <c r="T1008" s="31">
        <v>41195</v>
      </c>
    </row>
    <row r="1009" spans="1:33">
      <c r="A1009" s="16">
        <v>11</v>
      </c>
      <c r="B1009" s="16" t="s">
        <v>245</v>
      </c>
      <c r="C1009" s="16">
        <v>1596</v>
      </c>
      <c r="E1009" s="16" t="s">
        <v>299</v>
      </c>
      <c r="F1009" s="2">
        <v>38077</v>
      </c>
      <c r="H1009" s="2">
        <v>38524</v>
      </c>
      <c r="I1009" s="25">
        <v>41820</v>
      </c>
      <c r="L1009" t="s">
        <v>297</v>
      </c>
      <c r="M1009" t="s">
        <v>322</v>
      </c>
      <c r="N1009" s="21" t="str">
        <f>IF((I1009&gt;$W$2),"Y","N")</f>
        <v>Y</v>
      </c>
      <c r="O1009" s="16" t="s">
        <v>1410</v>
      </c>
      <c r="T1009" s="31">
        <v>41428</v>
      </c>
    </row>
    <row r="1010" spans="1:33">
      <c r="A1010" s="16">
        <v>11</v>
      </c>
      <c r="B1010" s="16" t="s">
        <v>257</v>
      </c>
      <c r="C1010" s="16">
        <v>24</v>
      </c>
      <c r="D1010" s="7" t="s">
        <v>295</v>
      </c>
      <c r="E1010" s="16" t="s">
        <v>296</v>
      </c>
      <c r="F1010" s="2">
        <v>26648</v>
      </c>
      <c r="G1010" s="2">
        <v>29204</v>
      </c>
      <c r="H1010" s="2">
        <v>39470</v>
      </c>
      <c r="I1010" s="25">
        <v>41820</v>
      </c>
      <c r="J1010" s="2">
        <v>35256</v>
      </c>
      <c r="K1010" s="2">
        <v>38208</v>
      </c>
      <c r="L1010" t="s">
        <v>297</v>
      </c>
      <c r="M1010" t="s">
        <v>297</v>
      </c>
      <c r="N1010" s="23" t="str">
        <f>IF((I1010&gt;$W$2),"Y","N")</f>
        <v>Y</v>
      </c>
      <c r="O1010" s="16" t="s">
        <v>1490</v>
      </c>
      <c r="P1010" s="10" t="s">
        <v>249</v>
      </c>
      <c r="Q1010" s="10" t="s">
        <v>258</v>
      </c>
      <c r="S1010" s="16" t="str">
        <f>MID(Q1010,9,30)</f>
        <v>Gerardo  Gutierrez</v>
      </c>
      <c r="T1010" s="31">
        <v>41424</v>
      </c>
    </row>
    <row r="1011" spans="1:33">
      <c r="A1011" s="16">
        <v>11</v>
      </c>
      <c r="B1011" s="30" t="s">
        <v>257</v>
      </c>
      <c r="C1011" s="16">
        <v>75</v>
      </c>
      <c r="D1011" s="7" t="s">
        <v>295</v>
      </c>
      <c r="E1011" s="16" t="s">
        <v>296</v>
      </c>
      <c r="F1011" s="2">
        <v>27591</v>
      </c>
      <c r="G1011" s="2">
        <v>27591</v>
      </c>
      <c r="H1011" s="2">
        <v>39463</v>
      </c>
      <c r="I1011" s="25">
        <v>41455</v>
      </c>
      <c r="J1011" s="2">
        <v>38944</v>
      </c>
      <c r="K1011" s="2">
        <v>34785</v>
      </c>
      <c r="L1011" t="s">
        <v>297</v>
      </c>
      <c r="M1011" t="s">
        <v>297</v>
      </c>
      <c r="N1011" s="23" t="str">
        <f>IF((I1011&gt;$W$2),"Y","N")</f>
        <v>N</v>
      </c>
      <c r="O1011" s="30" t="s">
        <v>1937</v>
      </c>
      <c r="P1011" s="10" t="s">
        <v>249</v>
      </c>
      <c r="Q1011" s="10" t="s">
        <v>250</v>
      </c>
      <c r="S1011" s="16" t="str">
        <f>MID(Q1011,9,30)</f>
        <v>Robert W Beale</v>
      </c>
      <c r="T1011" s="31" t="s">
        <v>1362</v>
      </c>
    </row>
    <row r="1012" spans="1:33">
      <c r="A1012" s="16">
        <v>11</v>
      </c>
      <c r="B1012" s="16" t="s">
        <v>257</v>
      </c>
      <c r="C1012" s="16">
        <v>106</v>
      </c>
      <c r="D1012" s="7" t="s">
        <v>295</v>
      </c>
      <c r="E1012" s="16" t="s">
        <v>296</v>
      </c>
      <c r="F1012" s="2">
        <v>27785</v>
      </c>
      <c r="G1012" s="2">
        <v>28901</v>
      </c>
      <c r="H1012" s="2">
        <v>39174</v>
      </c>
      <c r="I1012" s="25">
        <v>41455</v>
      </c>
      <c r="J1012" s="2">
        <v>35660</v>
      </c>
      <c r="K1012" s="2">
        <v>36347</v>
      </c>
      <c r="L1012" t="s">
        <v>297</v>
      </c>
      <c r="N1012" s="23" t="str">
        <f>IF((I1012&gt;$W$2),"Y","N")</f>
        <v>N</v>
      </c>
      <c r="O1012" s="30" t="s">
        <v>1938</v>
      </c>
      <c r="P1012" s="10" t="s">
        <v>249</v>
      </c>
      <c r="Q1012" s="10" t="s">
        <v>258</v>
      </c>
      <c r="S1012" s="16" t="str">
        <f>MID(Q1012,9,30)</f>
        <v>Gerardo  Gutierrez</v>
      </c>
      <c r="T1012" s="31">
        <v>40998</v>
      </c>
    </row>
    <row r="1013" spans="1:33" s="7" customFormat="1" hidden="1">
      <c r="A1013" s="7">
        <v>12</v>
      </c>
      <c r="B1013" s="7" t="s">
        <v>296</v>
      </c>
      <c r="C1013" s="7">
        <v>617</v>
      </c>
      <c r="D1013" s="7" t="s">
        <v>393</v>
      </c>
      <c r="E1013" s="7" t="s">
        <v>316</v>
      </c>
      <c r="F1013" s="2">
        <v>32039</v>
      </c>
      <c r="G1013" s="2">
        <v>32893</v>
      </c>
      <c r="H1013" s="2">
        <v>38506</v>
      </c>
      <c r="I1013" s="8">
        <v>36525</v>
      </c>
      <c r="J1013" s="2">
        <v>34150</v>
      </c>
      <c r="K1013"/>
      <c r="L1013" t="s">
        <v>297</v>
      </c>
      <c r="M1013" t="s">
        <v>297</v>
      </c>
      <c r="N1013"/>
      <c r="O1013" s="7" t="s">
        <v>318</v>
      </c>
      <c r="P1013" s="7" t="s">
        <v>259</v>
      </c>
      <c r="Q1013" s="7" t="s">
        <v>262</v>
      </c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</row>
    <row r="1014" spans="1:33">
      <c r="A1014" s="16">
        <v>11</v>
      </c>
      <c r="B1014" s="16" t="s">
        <v>257</v>
      </c>
      <c r="C1014" s="16">
        <v>114</v>
      </c>
      <c r="D1014" t="s">
        <v>295</v>
      </c>
      <c r="E1014" s="16" t="s">
        <v>296</v>
      </c>
      <c r="F1014" s="2">
        <v>27922</v>
      </c>
      <c r="G1014" s="2">
        <v>28901</v>
      </c>
      <c r="H1014" s="2">
        <v>39289</v>
      </c>
      <c r="I1014" s="25">
        <v>41455</v>
      </c>
      <c r="K1014" s="2">
        <v>39286</v>
      </c>
      <c r="L1014" t="s">
        <v>297</v>
      </c>
      <c r="M1014" t="s">
        <v>297</v>
      </c>
      <c r="N1014" s="23" t="str">
        <f t="shared" ref="N1014:N1022" si="112">IF((I1014&gt;$W$2),"Y","N")</f>
        <v>N</v>
      </c>
      <c r="O1014" s="30" t="s">
        <v>1939</v>
      </c>
      <c r="P1014" s="10" t="s">
        <v>249</v>
      </c>
      <c r="Q1014" s="10" t="s">
        <v>258</v>
      </c>
      <c r="S1014" s="16" t="str">
        <f t="shared" ref="S1014:S1022" si="113">MID(Q1014,9,30)</f>
        <v>Gerardo  Gutierrez</v>
      </c>
      <c r="T1014" s="31">
        <v>333316</v>
      </c>
    </row>
    <row r="1015" spans="1:33">
      <c r="A1015" s="16">
        <v>11</v>
      </c>
      <c r="B1015" s="16" t="s">
        <v>257</v>
      </c>
      <c r="C1015" s="16">
        <v>526</v>
      </c>
      <c r="D1015" s="7" t="s">
        <v>295</v>
      </c>
      <c r="E1015" s="16" t="s">
        <v>296</v>
      </c>
      <c r="F1015" s="2">
        <v>31493</v>
      </c>
      <c r="G1015" s="2">
        <v>35573</v>
      </c>
      <c r="H1015" s="2">
        <v>38749</v>
      </c>
      <c r="I1015" s="25">
        <v>41820</v>
      </c>
      <c r="K1015" s="2">
        <v>38546</v>
      </c>
      <c r="L1015" t="s">
        <v>297</v>
      </c>
      <c r="M1015" t="s">
        <v>297</v>
      </c>
      <c r="N1015" s="23" t="str">
        <f t="shared" si="112"/>
        <v>Y</v>
      </c>
      <c r="O1015" s="16" t="s">
        <v>1071</v>
      </c>
      <c r="P1015" s="10" t="s">
        <v>249</v>
      </c>
      <c r="Q1015" s="10" t="s">
        <v>258</v>
      </c>
      <c r="S1015" s="16" t="str">
        <f t="shared" si="113"/>
        <v>Gerardo  Gutierrez</v>
      </c>
      <c r="T1015" s="31">
        <v>41470</v>
      </c>
    </row>
    <row r="1016" spans="1:33">
      <c r="A1016" s="16">
        <v>11</v>
      </c>
      <c r="B1016" s="16" t="s">
        <v>257</v>
      </c>
      <c r="C1016" s="16">
        <v>603</v>
      </c>
      <c r="D1016" s="7" t="s">
        <v>295</v>
      </c>
      <c r="E1016" s="16" t="s">
        <v>296</v>
      </c>
      <c r="F1016" s="2">
        <v>31922</v>
      </c>
      <c r="G1016" s="2">
        <v>33072</v>
      </c>
      <c r="H1016" s="2">
        <v>39524</v>
      </c>
      <c r="I1016" s="25">
        <v>41455</v>
      </c>
      <c r="J1016" s="2">
        <v>35328</v>
      </c>
      <c r="K1016" s="2">
        <v>35902</v>
      </c>
      <c r="L1016" t="s">
        <v>297</v>
      </c>
      <c r="M1016" t="s">
        <v>297</v>
      </c>
      <c r="N1016" s="23" t="str">
        <f t="shared" si="112"/>
        <v>N</v>
      </c>
      <c r="O1016" s="30" t="s">
        <v>1940</v>
      </c>
      <c r="P1016" s="10" t="s">
        <v>249</v>
      </c>
      <c r="Q1016" s="10" t="s">
        <v>258</v>
      </c>
      <c r="S1016" s="16" t="str">
        <f t="shared" si="113"/>
        <v>Gerardo  Gutierrez</v>
      </c>
      <c r="T1016" s="31" t="s">
        <v>1451</v>
      </c>
    </row>
    <row r="1017" spans="1:33">
      <c r="A1017" s="16">
        <v>11</v>
      </c>
      <c r="B1017" s="16" t="s">
        <v>257</v>
      </c>
      <c r="C1017" s="16">
        <v>652</v>
      </c>
      <c r="D1017" t="s">
        <v>295</v>
      </c>
      <c r="E1017" s="16" t="s">
        <v>296</v>
      </c>
      <c r="F1017" s="2">
        <v>32423</v>
      </c>
      <c r="G1017" s="2">
        <v>34656</v>
      </c>
      <c r="H1017" s="2">
        <v>39118</v>
      </c>
      <c r="I1017" s="25">
        <v>41820</v>
      </c>
      <c r="K1017" s="2">
        <v>39168</v>
      </c>
      <c r="L1017" t="s">
        <v>297</v>
      </c>
      <c r="M1017" t="s">
        <v>297</v>
      </c>
      <c r="N1017" s="23" t="str">
        <f t="shared" si="112"/>
        <v>Y</v>
      </c>
      <c r="O1017" s="16" t="s">
        <v>1073</v>
      </c>
      <c r="P1017" s="10" t="s">
        <v>249</v>
      </c>
      <c r="Q1017" s="10" t="s">
        <v>258</v>
      </c>
      <c r="S1017" s="16" t="str">
        <f t="shared" si="113"/>
        <v>Gerardo  Gutierrez</v>
      </c>
      <c r="T1017" s="31">
        <v>41424</v>
      </c>
      <c r="U1017" s="24">
        <v>39968</v>
      </c>
    </row>
    <row r="1018" spans="1:33">
      <c r="A1018" s="16">
        <v>11</v>
      </c>
      <c r="B1018" s="16" t="s">
        <v>257</v>
      </c>
      <c r="C1018" s="16">
        <v>846</v>
      </c>
      <c r="D1018" t="s">
        <v>295</v>
      </c>
      <c r="E1018" s="16" t="s">
        <v>296</v>
      </c>
      <c r="F1018" s="2">
        <v>33799</v>
      </c>
      <c r="G1018" s="2">
        <v>38776</v>
      </c>
      <c r="H1018" s="2">
        <v>38939</v>
      </c>
      <c r="I1018" s="25">
        <v>40724</v>
      </c>
      <c r="K1018" s="2">
        <v>38933</v>
      </c>
      <c r="L1018" t="s">
        <v>297</v>
      </c>
      <c r="M1018" t="s">
        <v>297</v>
      </c>
      <c r="N1018" s="23" t="str">
        <f t="shared" si="112"/>
        <v>N</v>
      </c>
      <c r="O1018" s="30" t="s">
        <v>1941</v>
      </c>
      <c r="P1018" s="10" t="s">
        <v>249</v>
      </c>
      <c r="Q1018" s="10" t="s">
        <v>258</v>
      </c>
      <c r="S1018" s="16" t="str">
        <f t="shared" si="113"/>
        <v>Gerardo  Gutierrez</v>
      </c>
      <c r="T1018" s="31" t="s">
        <v>1311</v>
      </c>
    </row>
    <row r="1019" spans="1:33">
      <c r="A1019" s="16">
        <v>11</v>
      </c>
      <c r="B1019" s="16" t="s">
        <v>257</v>
      </c>
      <c r="C1019" s="16">
        <v>1065</v>
      </c>
      <c r="D1019" t="s">
        <v>295</v>
      </c>
      <c r="E1019" s="16" t="s">
        <v>296</v>
      </c>
      <c r="F1019" s="2">
        <v>34863</v>
      </c>
      <c r="G1019" s="2">
        <v>37176</v>
      </c>
      <c r="H1019" s="2">
        <v>39175</v>
      </c>
      <c r="I1019" s="25">
        <v>41820</v>
      </c>
      <c r="K1019" s="2">
        <v>38875</v>
      </c>
      <c r="L1019" t="s">
        <v>297</v>
      </c>
      <c r="M1019" t="s">
        <v>297</v>
      </c>
      <c r="N1019" s="23" t="str">
        <f t="shared" si="112"/>
        <v>Y</v>
      </c>
      <c r="O1019" s="30" t="s">
        <v>1942</v>
      </c>
      <c r="P1019" s="10" t="s">
        <v>249</v>
      </c>
      <c r="Q1019" s="10" t="s">
        <v>258</v>
      </c>
      <c r="S1019" s="16" t="str">
        <f t="shared" si="113"/>
        <v>Gerardo  Gutierrez</v>
      </c>
      <c r="T1019" s="31">
        <v>41478</v>
      </c>
    </row>
    <row r="1020" spans="1:33">
      <c r="A1020" s="16">
        <v>11</v>
      </c>
      <c r="B1020" s="16" t="s">
        <v>257</v>
      </c>
      <c r="C1020" s="16">
        <v>1288</v>
      </c>
      <c r="D1020" s="7" t="s">
        <v>295</v>
      </c>
      <c r="E1020" s="16" t="s">
        <v>296</v>
      </c>
      <c r="F1020" s="2">
        <v>36222</v>
      </c>
      <c r="G1020" s="2">
        <v>38776</v>
      </c>
      <c r="H1020" s="2">
        <v>39372</v>
      </c>
      <c r="I1020" s="25">
        <v>41455</v>
      </c>
      <c r="J1020" s="2">
        <v>38426</v>
      </c>
      <c r="K1020" s="2">
        <v>38450</v>
      </c>
      <c r="L1020" t="s">
        <v>317</v>
      </c>
      <c r="M1020" t="s">
        <v>297</v>
      </c>
      <c r="N1020" s="23" t="str">
        <f t="shared" si="112"/>
        <v>N</v>
      </c>
      <c r="O1020" s="30" t="s">
        <v>1943</v>
      </c>
      <c r="P1020" s="10" t="s">
        <v>249</v>
      </c>
      <c r="Q1020" s="10" t="s">
        <v>258</v>
      </c>
      <c r="S1020" s="16" t="str">
        <f t="shared" si="113"/>
        <v>Gerardo  Gutierrez</v>
      </c>
      <c r="T1020" s="31" t="s">
        <v>1452</v>
      </c>
    </row>
    <row r="1021" spans="1:33">
      <c r="A1021" s="16">
        <v>11</v>
      </c>
      <c r="B1021" s="16" t="s">
        <v>257</v>
      </c>
      <c r="C1021" s="16">
        <v>1347</v>
      </c>
      <c r="D1021" s="7" t="s">
        <v>295</v>
      </c>
      <c r="E1021" s="16" t="s">
        <v>296</v>
      </c>
      <c r="F1021" s="2">
        <v>36685</v>
      </c>
      <c r="G1021" s="2">
        <v>38776</v>
      </c>
      <c r="H1021" s="2">
        <v>39031</v>
      </c>
      <c r="I1021" s="25">
        <v>41820</v>
      </c>
      <c r="K1021" s="2">
        <v>38896</v>
      </c>
      <c r="L1021" t="s">
        <v>297</v>
      </c>
      <c r="M1021" t="s">
        <v>297</v>
      </c>
      <c r="N1021" s="23" t="str">
        <f t="shared" si="112"/>
        <v>Y</v>
      </c>
      <c r="O1021" s="30" t="s">
        <v>1944</v>
      </c>
      <c r="P1021" s="10" t="s">
        <v>249</v>
      </c>
      <c r="Q1021" s="10" t="s">
        <v>258</v>
      </c>
      <c r="S1021" s="16" t="str">
        <f t="shared" si="113"/>
        <v>Gerardo  Gutierrez</v>
      </c>
      <c r="T1021" s="31">
        <v>41485</v>
      </c>
    </row>
    <row r="1022" spans="1:33">
      <c r="A1022" s="16">
        <v>11</v>
      </c>
      <c r="B1022" s="16" t="s">
        <v>257</v>
      </c>
      <c r="C1022" s="16">
        <v>1431</v>
      </c>
      <c r="D1022" s="7" t="s">
        <v>295</v>
      </c>
      <c r="E1022" s="30" t="s">
        <v>316</v>
      </c>
      <c r="F1022" s="2">
        <v>37543</v>
      </c>
      <c r="H1022" s="2">
        <v>37546</v>
      </c>
      <c r="I1022" s="25">
        <v>37468</v>
      </c>
      <c r="L1022" t="s">
        <v>297</v>
      </c>
      <c r="N1022" s="23" t="str">
        <f t="shared" si="112"/>
        <v>N</v>
      </c>
      <c r="O1022" s="16" t="s">
        <v>1234</v>
      </c>
      <c r="P1022" s="10" t="s">
        <v>249</v>
      </c>
      <c r="Q1022" s="10" t="s">
        <v>258</v>
      </c>
      <c r="S1022" s="16" t="str">
        <f t="shared" si="113"/>
        <v>Gerardo  Gutierrez</v>
      </c>
    </row>
    <row r="1023" spans="1:33" customFormat="1" hidden="1">
      <c r="A1023" t="s">
        <v>259</v>
      </c>
      <c r="B1023" t="s">
        <v>262</v>
      </c>
      <c r="I1023" s="6"/>
    </row>
    <row r="1024" spans="1:33" s="7" customFormat="1" hidden="1">
      <c r="A1024" s="7">
        <v>12</v>
      </c>
      <c r="B1024" s="7" t="s">
        <v>153</v>
      </c>
      <c r="C1024" s="7">
        <v>72</v>
      </c>
      <c r="D1024" s="7" t="s">
        <v>380</v>
      </c>
      <c r="E1024" s="7" t="s">
        <v>316</v>
      </c>
      <c r="F1024" s="2">
        <v>27591</v>
      </c>
      <c r="G1024" s="2">
        <v>27886</v>
      </c>
      <c r="H1024" s="2">
        <v>38030</v>
      </c>
      <c r="I1024" s="8">
        <v>36738</v>
      </c>
      <c r="J1024"/>
      <c r="K1024" s="2">
        <v>36438</v>
      </c>
      <c r="L1024" t="s">
        <v>297</v>
      </c>
      <c r="M1024" t="s">
        <v>297</v>
      </c>
      <c r="N1024"/>
      <c r="P1024" s="7" t="s">
        <v>259</v>
      </c>
      <c r="Q1024" s="7" t="s">
        <v>263</v>
      </c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</row>
    <row r="1025" spans="1:33">
      <c r="A1025" s="16">
        <v>11</v>
      </c>
      <c r="B1025" s="16" t="s">
        <v>257</v>
      </c>
      <c r="C1025" s="16">
        <v>1527</v>
      </c>
      <c r="D1025" s="7" t="s">
        <v>295</v>
      </c>
      <c r="E1025" s="16" t="s">
        <v>299</v>
      </c>
      <c r="F1025" s="2">
        <v>38917</v>
      </c>
      <c r="H1025" s="2">
        <v>39239</v>
      </c>
      <c r="I1025" s="25">
        <v>41455</v>
      </c>
      <c r="L1025" t="s">
        <v>297</v>
      </c>
      <c r="M1025" t="s">
        <v>297</v>
      </c>
      <c r="N1025" s="23" t="str">
        <f>IF((I1025&gt;$W$2),"Y","N")</f>
        <v>N</v>
      </c>
      <c r="O1025" s="16" t="s">
        <v>1605</v>
      </c>
      <c r="P1025" s="10" t="s">
        <v>249</v>
      </c>
      <c r="Q1025" s="10" t="s">
        <v>258</v>
      </c>
      <c r="S1025" s="16" t="str">
        <f>MID(Q1025,9,30)</f>
        <v>Gerardo  Gutierrez</v>
      </c>
      <c r="T1025" s="31" t="s">
        <v>1377</v>
      </c>
    </row>
    <row r="1026" spans="1:33">
      <c r="A1026" s="16">
        <v>12</v>
      </c>
      <c r="B1026" s="16" t="s">
        <v>140</v>
      </c>
      <c r="C1026" s="16">
        <v>153</v>
      </c>
      <c r="D1026" s="7" t="s">
        <v>295</v>
      </c>
      <c r="E1026" s="16" t="s">
        <v>296</v>
      </c>
      <c r="F1026" s="2">
        <v>28213</v>
      </c>
      <c r="G1026" s="2">
        <v>28640</v>
      </c>
      <c r="H1026" s="2">
        <v>39258</v>
      </c>
      <c r="I1026" s="25">
        <v>41455</v>
      </c>
      <c r="J1026" s="2">
        <v>35263</v>
      </c>
      <c r="K1026" s="2">
        <v>37455</v>
      </c>
      <c r="L1026" t="s">
        <v>297</v>
      </c>
      <c r="M1026" t="s">
        <v>297</v>
      </c>
      <c r="N1026" s="23" t="str">
        <f>IF((I1026&gt;$W$2),"Y","N")</f>
        <v>N</v>
      </c>
      <c r="O1026" s="30" t="s">
        <v>1945</v>
      </c>
      <c r="P1026" s="10" t="s">
        <v>259</v>
      </c>
      <c r="Q1026" s="10" t="s">
        <v>260</v>
      </c>
      <c r="S1026" s="16" t="str">
        <f>MID(Q1026,9,30)</f>
        <v>Frank  Duarte</v>
      </c>
      <c r="T1026" s="31" t="s">
        <v>1416</v>
      </c>
    </row>
    <row r="1027" spans="1:33">
      <c r="A1027" s="16">
        <v>12</v>
      </c>
      <c r="B1027" s="16" t="s">
        <v>140</v>
      </c>
      <c r="C1027" s="16">
        <v>206</v>
      </c>
      <c r="D1027" s="7" t="s">
        <v>295</v>
      </c>
      <c r="E1027" s="16" t="s">
        <v>296</v>
      </c>
      <c r="F1027" s="2">
        <v>28832</v>
      </c>
      <c r="G1027" s="2">
        <v>29018</v>
      </c>
      <c r="H1027" s="2">
        <v>39464</v>
      </c>
      <c r="I1027" s="25">
        <v>41820</v>
      </c>
      <c r="J1027" s="2">
        <v>37926</v>
      </c>
      <c r="K1027" s="2">
        <v>34366</v>
      </c>
      <c r="L1027" t="s">
        <v>297</v>
      </c>
      <c r="M1027" t="s">
        <v>297</v>
      </c>
      <c r="N1027" s="23" t="str">
        <f>IF((I1027&gt;$W$2),"Y","N")</f>
        <v>Y</v>
      </c>
      <c r="O1027" s="16" t="s">
        <v>1606</v>
      </c>
      <c r="P1027" s="10" t="s">
        <v>259</v>
      </c>
      <c r="Q1027" s="10" t="s">
        <v>260</v>
      </c>
      <c r="S1027" s="16" t="str">
        <f>MID(Q1027,9,30)</f>
        <v>Frank  Duarte</v>
      </c>
      <c r="T1027" s="31">
        <v>41428</v>
      </c>
      <c r="U1027" s="24">
        <v>39968</v>
      </c>
    </row>
    <row r="1028" spans="1:33">
      <c r="A1028" s="16">
        <v>12</v>
      </c>
      <c r="B1028" s="16" t="s">
        <v>140</v>
      </c>
      <c r="C1028" s="16">
        <v>216</v>
      </c>
      <c r="D1028" t="s">
        <v>295</v>
      </c>
      <c r="E1028" s="16" t="s">
        <v>296</v>
      </c>
      <c r="F1028" s="2">
        <v>28902</v>
      </c>
      <c r="G1028" s="2">
        <v>30003</v>
      </c>
      <c r="H1028" s="2">
        <v>38453</v>
      </c>
      <c r="I1028" s="25">
        <v>41820</v>
      </c>
      <c r="K1028" s="2">
        <v>37417</v>
      </c>
      <c r="L1028" t="s">
        <v>297</v>
      </c>
      <c r="M1028" t="s">
        <v>297</v>
      </c>
      <c r="N1028" s="23" t="str">
        <f>IF((I1028&gt;$W$2),"Y","N")</f>
        <v>Y</v>
      </c>
      <c r="O1028" s="16" t="s">
        <v>1469</v>
      </c>
      <c r="P1028" s="10" t="s">
        <v>259</v>
      </c>
      <c r="Q1028" s="10" t="s">
        <v>260</v>
      </c>
      <c r="S1028" s="16" t="str">
        <f>MID(Q1028,9,30)</f>
        <v>Frank  Duarte</v>
      </c>
      <c r="T1028" s="31">
        <v>41404</v>
      </c>
    </row>
    <row r="1029" spans="1:33" s="7" customFormat="1" hidden="1">
      <c r="A1029" s="7">
        <v>12</v>
      </c>
      <c r="B1029" s="7" t="s">
        <v>153</v>
      </c>
      <c r="C1029" s="7">
        <v>534</v>
      </c>
      <c r="D1029" s="7" t="s">
        <v>618</v>
      </c>
      <c r="E1029" s="7" t="s">
        <v>316</v>
      </c>
      <c r="F1029" s="2">
        <v>31558</v>
      </c>
      <c r="G1029" s="2">
        <v>32220</v>
      </c>
      <c r="H1029" s="2">
        <v>38180</v>
      </c>
      <c r="I1029" s="8">
        <v>36707</v>
      </c>
      <c r="J1029"/>
      <c r="K1029" s="2">
        <v>36333</v>
      </c>
      <c r="L1029" t="s">
        <v>297</v>
      </c>
      <c r="M1029" t="s">
        <v>297</v>
      </c>
      <c r="N1029"/>
      <c r="O1029" s="7" t="s">
        <v>1126</v>
      </c>
      <c r="P1029" s="7" t="s">
        <v>259</v>
      </c>
      <c r="Q1029" s="7" t="s">
        <v>263</v>
      </c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0"/>
    </row>
    <row r="1030" spans="1:33">
      <c r="A1030" s="16">
        <v>12</v>
      </c>
      <c r="B1030" s="16" t="s">
        <v>140</v>
      </c>
      <c r="C1030" s="16">
        <v>217</v>
      </c>
      <c r="D1030" t="s">
        <v>295</v>
      </c>
      <c r="E1030" s="16" t="s">
        <v>296</v>
      </c>
      <c r="F1030" s="2">
        <v>28902</v>
      </c>
      <c r="G1030" s="2">
        <v>29279</v>
      </c>
      <c r="H1030" s="2">
        <v>38988</v>
      </c>
      <c r="I1030" s="25">
        <v>41820</v>
      </c>
      <c r="K1030" s="2">
        <v>38110</v>
      </c>
      <c r="L1030" t="s">
        <v>297</v>
      </c>
      <c r="M1030" t="s">
        <v>297</v>
      </c>
      <c r="N1030" s="23" t="str">
        <f>IF((I1030&gt;$W$2),"Y","N")</f>
        <v>Y</v>
      </c>
      <c r="O1030" s="16" t="s">
        <v>1084</v>
      </c>
      <c r="P1030" s="10" t="s">
        <v>259</v>
      </c>
      <c r="Q1030" s="10" t="s">
        <v>260</v>
      </c>
      <c r="S1030" s="16" t="str">
        <f>MID(Q1030,9,30)</f>
        <v>Frank  Duarte</v>
      </c>
      <c r="T1030" s="31">
        <v>41432</v>
      </c>
    </row>
    <row r="1031" spans="1:33">
      <c r="A1031" s="16">
        <v>12</v>
      </c>
      <c r="B1031" s="16" t="s">
        <v>140</v>
      </c>
      <c r="C1031" s="16">
        <v>224</v>
      </c>
      <c r="D1031" s="7" t="s">
        <v>295</v>
      </c>
      <c r="E1031" s="16" t="s">
        <v>296</v>
      </c>
      <c r="F1031" s="2">
        <v>28944</v>
      </c>
      <c r="G1031" s="2">
        <v>30385</v>
      </c>
      <c r="H1031" s="2">
        <v>39337</v>
      </c>
      <c r="I1031" s="25">
        <v>41820</v>
      </c>
      <c r="K1031" s="2">
        <v>39332</v>
      </c>
      <c r="L1031" t="s">
        <v>297</v>
      </c>
      <c r="M1031" t="s">
        <v>297</v>
      </c>
      <c r="N1031" s="23" t="str">
        <f>IF((I1031&gt;$W$2),"Y","N")</f>
        <v>Y</v>
      </c>
      <c r="O1031" s="16" t="s">
        <v>1470</v>
      </c>
      <c r="P1031" s="10" t="s">
        <v>259</v>
      </c>
      <c r="Q1031" s="10" t="s">
        <v>260</v>
      </c>
      <c r="S1031" s="16" t="str">
        <f>MID(Q1031,9,30)</f>
        <v>Frank  Duarte</v>
      </c>
      <c r="T1031" s="31">
        <v>41428</v>
      </c>
    </row>
    <row r="1032" spans="1:33">
      <c r="A1032" s="16">
        <v>12</v>
      </c>
      <c r="B1032" s="16" t="s">
        <v>140</v>
      </c>
      <c r="C1032" s="16">
        <v>329</v>
      </c>
      <c r="D1032" t="s">
        <v>295</v>
      </c>
      <c r="E1032" s="16" t="s">
        <v>296</v>
      </c>
      <c r="F1032" s="2">
        <v>29910</v>
      </c>
      <c r="G1032" s="2">
        <v>35636</v>
      </c>
      <c r="H1032" s="2">
        <v>39332</v>
      </c>
      <c r="I1032" s="25">
        <v>41455</v>
      </c>
      <c r="K1032" s="2">
        <v>35355</v>
      </c>
      <c r="L1032" t="s">
        <v>297</v>
      </c>
      <c r="N1032" s="23" t="str">
        <f>IF((I1032&gt;$W$2),"Y","N")</f>
        <v>N</v>
      </c>
      <c r="O1032" s="16" t="s">
        <v>1224</v>
      </c>
      <c r="P1032" s="10" t="s">
        <v>259</v>
      </c>
      <c r="Q1032" s="10" t="s">
        <v>260</v>
      </c>
      <c r="S1032" s="16" t="str">
        <f>MID(Q1032,9,30)</f>
        <v>Frank  Duarte</v>
      </c>
      <c r="T1032" s="31" t="s">
        <v>1454</v>
      </c>
    </row>
    <row r="1033" spans="1:33">
      <c r="A1033" s="16">
        <v>12</v>
      </c>
      <c r="B1033" s="16" t="s">
        <v>140</v>
      </c>
      <c r="C1033" s="16">
        <v>350</v>
      </c>
      <c r="D1033" s="7" t="s">
        <v>295</v>
      </c>
      <c r="E1033" s="16" t="s">
        <v>296</v>
      </c>
      <c r="F1033" s="2">
        <v>30029</v>
      </c>
      <c r="G1033" s="2">
        <v>30394</v>
      </c>
      <c r="H1033" s="2">
        <v>39470</v>
      </c>
      <c r="I1033" s="25">
        <v>41820</v>
      </c>
      <c r="J1033" s="2">
        <v>34669</v>
      </c>
      <c r="K1033" s="2">
        <v>38000</v>
      </c>
      <c r="L1033" t="s">
        <v>297</v>
      </c>
      <c r="M1033" t="s">
        <v>297</v>
      </c>
      <c r="N1033" s="23" t="str">
        <f>IF((I1033&gt;$W$2),"Y","N")</f>
        <v>Y</v>
      </c>
      <c r="O1033" s="30" t="s">
        <v>1946</v>
      </c>
      <c r="P1033" s="10" t="s">
        <v>259</v>
      </c>
      <c r="Q1033" s="10" t="s">
        <v>260</v>
      </c>
      <c r="S1033" s="16" t="str">
        <f>MID(Q1033,9,30)</f>
        <v>Frank  Duarte</v>
      </c>
      <c r="T1033" s="31">
        <v>41432</v>
      </c>
    </row>
    <row r="1034" spans="1:33" customFormat="1" hidden="1">
      <c r="A1034" t="s">
        <v>259</v>
      </c>
      <c r="B1034" t="s">
        <v>263</v>
      </c>
      <c r="I1034" s="6"/>
    </row>
    <row r="1035" spans="1:33">
      <c r="A1035" s="16">
        <v>12</v>
      </c>
      <c r="B1035" s="16" t="s">
        <v>140</v>
      </c>
      <c r="C1035" s="16">
        <v>376</v>
      </c>
      <c r="D1035" s="7" t="s">
        <v>295</v>
      </c>
      <c r="E1035" s="30" t="s">
        <v>376</v>
      </c>
      <c r="F1035" s="2">
        <v>30274</v>
      </c>
      <c r="G1035" s="2">
        <v>30274</v>
      </c>
      <c r="H1035" s="2">
        <v>37945</v>
      </c>
      <c r="I1035" s="25">
        <v>32461</v>
      </c>
      <c r="K1035" s="2">
        <v>33479</v>
      </c>
      <c r="L1035" t="s">
        <v>297</v>
      </c>
      <c r="M1035" t="s">
        <v>297</v>
      </c>
      <c r="N1035" s="23" t="str">
        <f>IF((I1035&gt;$W$2),"Y","N")</f>
        <v>N</v>
      </c>
      <c r="O1035" s="16" t="s">
        <v>318</v>
      </c>
      <c r="P1035" s="10" t="s">
        <v>259</v>
      </c>
      <c r="Q1035" s="10" t="s">
        <v>260</v>
      </c>
      <c r="S1035" s="16" t="str">
        <f>MID(Q1035,9,30)</f>
        <v>Frank  Duarte</v>
      </c>
    </row>
    <row r="1036" spans="1:33">
      <c r="A1036" s="16">
        <v>12</v>
      </c>
      <c r="B1036" s="16" t="s">
        <v>140</v>
      </c>
      <c r="C1036" s="16">
        <v>404</v>
      </c>
      <c r="D1036" s="7" t="s">
        <v>295</v>
      </c>
      <c r="E1036" s="30" t="s">
        <v>376</v>
      </c>
      <c r="F1036" s="2">
        <v>30536</v>
      </c>
      <c r="G1036" s="2">
        <v>31493</v>
      </c>
      <c r="H1036" s="2">
        <v>38342</v>
      </c>
      <c r="I1036" s="25">
        <v>38139</v>
      </c>
      <c r="K1036" s="2">
        <v>33293</v>
      </c>
      <c r="L1036" t="s">
        <v>297</v>
      </c>
      <c r="M1036" t="s">
        <v>297</v>
      </c>
      <c r="N1036" s="23" t="str">
        <f>IF((I1036&gt;$W$2),"Y","N")</f>
        <v>N</v>
      </c>
      <c r="O1036" s="16" t="s">
        <v>1087</v>
      </c>
      <c r="P1036" s="10" t="s">
        <v>259</v>
      </c>
      <c r="Q1036" s="10" t="s">
        <v>260</v>
      </c>
      <c r="S1036" s="16" t="str">
        <f>MID(Q1036,9,30)</f>
        <v>Frank  Duarte</v>
      </c>
    </row>
    <row r="1037" spans="1:33" s="7" customFormat="1" hidden="1">
      <c r="A1037" s="7">
        <v>12</v>
      </c>
      <c r="B1037" s="7" t="s">
        <v>317</v>
      </c>
      <c r="C1037" s="7">
        <v>369</v>
      </c>
      <c r="D1037" s="7" t="s">
        <v>408</v>
      </c>
      <c r="E1037" s="7" t="s">
        <v>316</v>
      </c>
      <c r="F1037" s="2">
        <v>30209</v>
      </c>
      <c r="G1037" s="2">
        <v>30919</v>
      </c>
      <c r="H1037" s="2">
        <v>38245</v>
      </c>
      <c r="I1037" s="8">
        <v>34153</v>
      </c>
      <c r="J1037"/>
      <c r="K1037" s="2">
        <v>35689</v>
      </c>
      <c r="L1037" t="s">
        <v>297</v>
      </c>
      <c r="M1037" t="s">
        <v>297</v>
      </c>
      <c r="N1037"/>
      <c r="O1037" s="7" t="s">
        <v>318</v>
      </c>
      <c r="P1037" s="7" t="s">
        <v>259</v>
      </c>
      <c r="Q1037" s="7" t="s">
        <v>264</v>
      </c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</row>
    <row r="1038" spans="1:33">
      <c r="A1038" s="16">
        <v>12</v>
      </c>
      <c r="B1038" s="16" t="s">
        <v>140</v>
      </c>
      <c r="C1038" s="16">
        <v>580</v>
      </c>
      <c r="D1038" s="7" t="s">
        <v>295</v>
      </c>
      <c r="E1038" s="16" t="s">
        <v>316</v>
      </c>
      <c r="F1038" s="2">
        <v>31857</v>
      </c>
      <c r="G1038" s="2">
        <v>32347</v>
      </c>
      <c r="H1038" s="2">
        <v>39293</v>
      </c>
      <c r="I1038" s="25">
        <v>36707</v>
      </c>
      <c r="J1038" s="2">
        <v>36201</v>
      </c>
      <c r="K1038" s="2">
        <v>36348</v>
      </c>
      <c r="L1038" t="s">
        <v>297</v>
      </c>
      <c r="M1038" t="s">
        <v>297</v>
      </c>
      <c r="N1038" s="23" t="str">
        <f>IF((I1038&gt;$W$2),"Y","N")</f>
        <v>N</v>
      </c>
      <c r="O1038" s="16" t="s">
        <v>1283</v>
      </c>
      <c r="P1038" s="10" t="s">
        <v>259</v>
      </c>
      <c r="Q1038" s="10" t="s">
        <v>260</v>
      </c>
      <c r="S1038" s="16" t="str">
        <f>MID(Q1038,9,30)</f>
        <v>Frank  Duarte</v>
      </c>
    </row>
    <row r="1039" spans="1:33" s="7" customFormat="1" hidden="1">
      <c r="A1039" s="7">
        <v>12</v>
      </c>
      <c r="B1039" s="7" t="s">
        <v>317</v>
      </c>
      <c r="C1039" s="7">
        <v>654</v>
      </c>
      <c r="D1039" s="7" t="s">
        <v>380</v>
      </c>
      <c r="E1039" s="7" t="s">
        <v>376</v>
      </c>
      <c r="F1039" s="2">
        <v>32423</v>
      </c>
      <c r="G1039" s="2">
        <v>36091</v>
      </c>
      <c r="H1039" s="2">
        <v>37358</v>
      </c>
      <c r="I1039" s="8">
        <v>36707</v>
      </c>
      <c r="J1039"/>
      <c r="K1039" s="2">
        <v>36243</v>
      </c>
      <c r="L1039" t="s">
        <v>297</v>
      </c>
      <c r="M1039" t="s">
        <v>297</v>
      </c>
      <c r="N1039"/>
      <c r="P1039" s="7" t="s">
        <v>259</v>
      </c>
      <c r="Q1039" s="7" t="s">
        <v>264</v>
      </c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10"/>
      <c r="AF1039" s="10"/>
      <c r="AG1039" s="10"/>
    </row>
    <row r="1040" spans="1:33">
      <c r="A1040" s="16">
        <v>12</v>
      </c>
      <c r="B1040" s="16" t="s">
        <v>140</v>
      </c>
      <c r="C1040" s="16">
        <v>809</v>
      </c>
      <c r="D1040" s="7" t="s">
        <v>295</v>
      </c>
      <c r="E1040" s="16" t="s">
        <v>296</v>
      </c>
      <c r="F1040" s="2">
        <v>33487</v>
      </c>
      <c r="G1040" s="2">
        <v>34593</v>
      </c>
      <c r="H1040" s="2">
        <v>38309</v>
      </c>
      <c r="I1040" s="25">
        <v>41455</v>
      </c>
      <c r="L1040" t="s">
        <v>297</v>
      </c>
      <c r="N1040" s="23" t="str">
        <f>IF((I1040&gt;$W$2),"Y","N")</f>
        <v>N</v>
      </c>
      <c r="O1040" s="30" t="s">
        <v>1947</v>
      </c>
      <c r="P1040" s="10" t="s">
        <v>259</v>
      </c>
      <c r="Q1040" s="10" t="s">
        <v>260</v>
      </c>
      <c r="S1040" s="16" t="str">
        <f>MID(Q1040,9,30)</f>
        <v>Frank  Duarte</v>
      </c>
      <c r="T1040" s="31" t="s">
        <v>1388</v>
      </c>
    </row>
    <row r="1041" spans="1:33">
      <c r="A1041" s="16">
        <v>12</v>
      </c>
      <c r="B1041" s="16" t="s">
        <v>140</v>
      </c>
      <c r="C1041" s="16">
        <v>837</v>
      </c>
      <c r="D1041" s="7" t="s">
        <v>295</v>
      </c>
      <c r="E1041" s="16" t="s">
        <v>296</v>
      </c>
      <c r="F1041" s="2">
        <v>33684</v>
      </c>
      <c r="G1041" s="2">
        <v>34656</v>
      </c>
      <c r="H1041" s="2">
        <v>39358</v>
      </c>
      <c r="I1041" s="25">
        <v>41820</v>
      </c>
      <c r="J1041" s="2">
        <v>36201</v>
      </c>
      <c r="K1041" s="2">
        <v>36175</v>
      </c>
      <c r="L1041" t="s">
        <v>297</v>
      </c>
      <c r="M1041" t="s">
        <v>297</v>
      </c>
      <c r="N1041" s="23" t="str">
        <f>IF((I1041&gt;$W$2),"Y","N")</f>
        <v>Y</v>
      </c>
      <c r="O1041" s="16" t="s">
        <v>1607</v>
      </c>
      <c r="P1041" s="10" t="s">
        <v>259</v>
      </c>
      <c r="Q1041" s="10" t="s">
        <v>260</v>
      </c>
      <c r="S1041" s="16" t="str">
        <f>MID(Q1041,9,30)</f>
        <v>Frank  Duarte</v>
      </c>
      <c r="T1041" s="31">
        <v>41432</v>
      </c>
    </row>
    <row r="1042" spans="1:33" s="7" customFormat="1" hidden="1">
      <c r="A1042" s="7">
        <v>12</v>
      </c>
      <c r="B1042" s="7" t="s">
        <v>317</v>
      </c>
      <c r="C1042" s="7">
        <v>1372</v>
      </c>
      <c r="D1042" s="7" t="s">
        <v>408</v>
      </c>
      <c r="E1042" s="7" t="s">
        <v>316</v>
      </c>
      <c r="F1042" s="2">
        <v>36957</v>
      </c>
      <c r="G1042"/>
      <c r="H1042" s="2">
        <v>37341</v>
      </c>
      <c r="I1042" s="8">
        <v>37833</v>
      </c>
      <c r="J1042"/>
      <c r="K1042"/>
      <c r="L1042" t="s">
        <v>297</v>
      </c>
      <c r="M1042" t="s">
        <v>297</v>
      </c>
      <c r="N1042"/>
      <c r="O1042" s="7" t="s">
        <v>1</v>
      </c>
      <c r="P1042" s="7" t="s">
        <v>259</v>
      </c>
      <c r="Q1042" s="7" t="s">
        <v>264</v>
      </c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  <c r="AE1042" s="10"/>
      <c r="AF1042" s="10"/>
      <c r="AG1042" s="10"/>
    </row>
    <row r="1043" spans="1:33" s="7" customFormat="1" hidden="1">
      <c r="A1043" s="7">
        <v>12</v>
      </c>
      <c r="B1043" s="7" t="s">
        <v>317</v>
      </c>
      <c r="C1043" s="7">
        <v>1393</v>
      </c>
      <c r="D1043" s="7" t="s">
        <v>348</v>
      </c>
      <c r="E1043" s="7" t="s">
        <v>376</v>
      </c>
      <c r="F1043" s="2">
        <v>37144</v>
      </c>
      <c r="G1043"/>
      <c r="H1043" s="2">
        <v>37155</v>
      </c>
      <c r="I1043" s="8">
        <v>37509</v>
      </c>
      <c r="J1043"/>
      <c r="K1043"/>
      <c r="L1043" t="s">
        <v>297</v>
      </c>
      <c r="M1043" t="s">
        <v>297</v>
      </c>
      <c r="N1043"/>
      <c r="P1043" s="7" t="s">
        <v>259</v>
      </c>
      <c r="Q1043" s="7" t="s">
        <v>264</v>
      </c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10"/>
      <c r="AF1043" s="10"/>
      <c r="AG1043" s="10"/>
    </row>
    <row r="1044" spans="1:33" s="7" customFormat="1" hidden="1">
      <c r="A1044" s="7">
        <v>12</v>
      </c>
      <c r="B1044" s="7" t="s">
        <v>317</v>
      </c>
      <c r="C1044" s="7">
        <v>1404</v>
      </c>
      <c r="D1044" s="7" t="s">
        <v>315</v>
      </c>
      <c r="E1044" s="7" t="s">
        <v>316</v>
      </c>
      <c r="F1044" s="2">
        <v>37390</v>
      </c>
      <c r="G1044"/>
      <c r="H1044" s="2">
        <v>37390</v>
      </c>
      <c r="I1044" s="8">
        <v>37681</v>
      </c>
      <c r="J1044"/>
      <c r="K1044"/>
      <c r="L1044" t="s">
        <v>297</v>
      </c>
      <c r="M1044" t="s">
        <v>297</v>
      </c>
      <c r="N1044"/>
      <c r="P1044" s="7" t="s">
        <v>259</v>
      </c>
      <c r="Q1044" s="7" t="s">
        <v>264</v>
      </c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10"/>
      <c r="AF1044" s="10"/>
      <c r="AG1044" s="10"/>
    </row>
    <row r="1045" spans="1:33">
      <c r="A1045" s="16">
        <v>12</v>
      </c>
      <c r="B1045" s="16" t="s">
        <v>140</v>
      </c>
      <c r="C1045" s="16">
        <v>855</v>
      </c>
      <c r="D1045" s="7" t="s">
        <v>295</v>
      </c>
      <c r="E1045" s="30" t="s">
        <v>376</v>
      </c>
      <c r="F1045" s="2">
        <v>33879</v>
      </c>
      <c r="H1045" s="2">
        <v>37147</v>
      </c>
      <c r="I1045" s="25">
        <v>37103</v>
      </c>
      <c r="K1045" s="2">
        <v>34988</v>
      </c>
      <c r="L1045" t="s">
        <v>297</v>
      </c>
      <c r="N1045" s="23" t="str">
        <f>IF((I1045&gt;$W$2),"Y","N")</f>
        <v>N</v>
      </c>
      <c r="O1045" s="16" t="s">
        <v>1091</v>
      </c>
      <c r="P1045" s="10" t="s">
        <v>259</v>
      </c>
      <c r="Q1045" s="10" t="s">
        <v>260</v>
      </c>
      <c r="S1045" s="16" t="str">
        <f>MID(Q1045,9,30)</f>
        <v>Frank  Duarte</v>
      </c>
    </row>
    <row r="1046" spans="1:33" s="7" customFormat="1" hidden="1">
      <c r="A1046" s="7">
        <v>12</v>
      </c>
      <c r="B1046" s="7" t="s">
        <v>317</v>
      </c>
      <c r="C1046" s="7">
        <v>1443</v>
      </c>
      <c r="D1046" s="7" t="s">
        <v>408</v>
      </c>
      <c r="E1046" s="7" t="s">
        <v>376</v>
      </c>
      <c r="F1046" s="2">
        <v>37694</v>
      </c>
      <c r="G1046"/>
      <c r="H1046" s="2">
        <v>37694</v>
      </c>
      <c r="I1046" s="8">
        <v>38060</v>
      </c>
      <c r="J1046"/>
      <c r="K1046"/>
      <c r="L1046" t="s">
        <v>297</v>
      </c>
      <c r="M1046" t="s">
        <v>297</v>
      </c>
      <c r="N1046"/>
      <c r="P1046" s="7" t="s">
        <v>259</v>
      </c>
      <c r="Q1046" s="7" t="s">
        <v>264</v>
      </c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  <c r="AE1046" s="10"/>
      <c r="AF1046" s="10"/>
      <c r="AG1046" s="10"/>
    </row>
    <row r="1047" spans="1:33" s="7" customFormat="1" hidden="1">
      <c r="A1047" s="7">
        <v>12</v>
      </c>
      <c r="B1047" s="7" t="s">
        <v>317</v>
      </c>
      <c r="C1047" s="7">
        <v>1494</v>
      </c>
      <c r="D1047" s="7" t="s">
        <v>393</v>
      </c>
      <c r="E1047" s="7" t="s">
        <v>376</v>
      </c>
      <c r="F1047" s="2">
        <v>38364</v>
      </c>
      <c r="G1047"/>
      <c r="H1047" s="2">
        <v>38364</v>
      </c>
      <c r="I1047" s="8">
        <v>38717</v>
      </c>
      <c r="J1047"/>
      <c r="K1047"/>
      <c r="L1047" t="s">
        <v>297</v>
      </c>
      <c r="M1047" t="s">
        <v>297</v>
      </c>
      <c r="N1047"/>
      <c r="P1047" s="7" t="s">
        <v>259</v>
      </c>
      <c r="Q1047" s="7" t="s">
        <v>264</v>
      </c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0"/>
      <c r="AF1047" s="10"/>
      <c r="AG1047" s="10"/>
    </row>
    <row r="1048" spans="1:33" s="7" customFormat="1" hidden="1">
      <c r="A1048" s="7">
        <v>12</v>
      </c>
      <c r="B1048" s="7" t="s">
        <v>317</v>
      </c>
      <c r="C1048" s="7">
        <v>1524</v>
      </c>
      <c r="D1048" s="7" t="s">
        <v>618</v>
      </c>
      <c r="E1048" s="7" t="s">
        <v>316</v>
      </c>
      <c r="F1048" s="2">
        <v>38888</v>
      </c>
      <c r="G1048"/>
      <c r="H1048" s="2">
        <v>39162</v>
      </c>
      <c r="I1048" s="8">
        <v>38898</v>
      </c>
      <c r="J1048"/>
      <c r="K1048"/>
      <c r="L1048" t="s">
        <v>297</v>
      </c>
      <c r="M1048" t="s">
        <v>297</v>
      </c>
      <c r="N1048"/>
      <c r="O1048" s="7" t="s">
        <v>3</v>
      </c>
      <c r="P1048" s="7" t="s">
        <v>259</v>
      </c>
      <c r="Q1048" s="7" t="s">
        <v>264</v>
      </c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  <c r="AE1048" s="10"/>
      <c r="AF1048" s="10"/>
      <c r="AG1048" s="10"/>
    </row>
    <row r="1049" spans="1:33">
      <c r="A1049" s="16">
        <v>12</v>
      </c>
      <c r="B1049" s="16" t="s">
        <v>140</v>
      </c>
      <c r="C1049" s="16">
        <v>922</v>
      </c>
      <c r="D1049" t="s">
        <v>295</v>
      </c>
      <c r="E1049" s="16" t="s">
        <v>296</v>
      </c>
      <c r="F1049" s="2">
        <v>34317</v>
      </c>
      <c r="G1049" s="2">
        <v>34408</v>
      </c>
      <c r="H1049" s="2">
        <v>39305</v>
      </c>
      <c r="I1049" s="25">
        <v>41820</v>
      </c>
      <c r="J1049" s="2">
        <v>36201</v>
      </c>
      <c r="K1049" s="2">
        <v>35803</v>
      </c>
      <c r="L1049" t="s">
        <v>297</v>
      </c>
      <c r="M1049" t="s">
        <v>297</v>
      </c>
      <c r="N1049" s="23" t="str">
        <f>IF((I1049&gt;$W$2),"Y","N")</f>
        <v>Y</v>
      </c>
      <c r="O1049" s="30" t="s">
        <v>1948</v>
      </c>
      <c r="P1049" s="10" t="s">
        <v>259</v>
      </c>
      <c r="Q1049" s="10" t="s">
        <v>260</v>
      </c>
      <c r="S1049" s="16" t="str">
        <f>MID(Q1049,9,30)</f>
        <v>Frank  Duarte</v>
      </c>
      <c r="T1049" s="31">
        <v>41428</v>
      </c>
    </row>
    <row r="1050" spans="1:33">
      <c r="A1050" s="16">
        <v>12</v>
      </c>
      <c r="B1050" s="16" t="s">
        <v>140</v>
      </c>
      <c r="C1050" s="16">
        <v>1132</v>
      </c>
      <c r="D1050" s="7" t="s">
        <v>295</v>
      </c>
      <c r="E1050" s="16" t="s">
        <v>296</v>
      </c>
      <c r="F1050" s="2">
        <v>35270</v>
      </c>
      <c r="G1050" s="2">
        <v>37910</v>
      </c>
      <c r="H1050" s="2">
        <v>38964</v>
      </c>
      <c r="I1050" s="25">
        <v>41455</v>
      </c>
      <c r="J1050" s="2">
        <v>37946</v>
      </c>
      <c r="K1050" s="2">
        <v>37946</v>
      </c>
      <c r="L1050" t="s">
        <v>297</v>
      </c>
      <c r="M1050" t="s">
        <v>297</v>
      </c>
      <c r="N1050" s="23" t="str">
        <f>IF((I1050&gt;$W$2),"Y","N")</f>
        <v>N</v>
      </c>
      <c r="O1050" s="30" t="s">
        <v>1949</v>
      </c>
      <c r="P1050" s="10" t="s">
        <v>259</v>
      </c>
      <c r="Q1050" s="10" t="s">
        <v>260</v>
      </c>
      <c r="S1050" s="16" t="str">
        <f>MID(Q1050,9,30)</f>
        <v>Frank  Duarte</v>
      </c>
      <c r="T1050" s="31" t="s">
        <v>1370</v>
      </c>
    </row>
    <row r="1051" spans="1:33">
      <c r="A1051" s="16">
        <v>12</v>
      </c>
      <c r="B1051" s="16" t="s">
        <v>140</v>
      </c>
      <c r="C1051" s="16">
        <v>1231</v>
      </c>
      <c r="D1051" s="7" t="s">
        <v>295</v>
      </c>
      <c r="E1051" s="16" t="s">
        <v>296</v>
      </c>
      <c r="F1051" s="2">
        <v>35811</v>
      </c>
      <c r="G1051" s="2">
        <v>38366</v>
      </c>
      <c r="H1051" s="2">
        <v>38859</v>
      </c>
      <c r="I1051" s="25">
        <v>41455</v>
      </c>
      <c r="K1051" s="2">
        <v>38457</v>
      </c>
      <c r="L1051" t="s">
        <v>297</v>
      </c>
      <c r="M1051" t="s">
        <v>297</v>
      </c>
      <c r="N1051" s="23" t="str">
        <f>IF((I1051&gt;$W$2),"Y","N")</f>
        <v>N</v>
      </c>
      <c r="O1051" s="16" t="s">
        <v>1471</v>
      </c>
      <c r="P1051" s="10" t="s">
        <v>259</v>
      </c>
      <c r="Q1051" s="10" t="s">
        <v>260</v>
      </c>
      <c r="S1051" s="16" t="str">
        <f>MID(Q1051,9,30)</f>
        <v>Frank  Duarte</v>
      </c>
      <c r="T1051" s="31" t="s">
        <v>1394</v>
      </c>
    </row>
    <row r="1052" spans="1:33" customFormat="1" hidden="1">
      <c r="A1052" t="s">
        <v>259</v>
      </c>
      <c r="B1052" t="s">
        <v>264</v>
      </c>
      <c r="I1052" s="6"/>
    </row>
    <row r="1053" spans="1:33" s="7" customFormat="1" hidden="1">
      <c r="A1053" s="7">
        <v>12</v>
      </c>
      <c r="B1053" s="7" t="s">
        <v>155</v>
      </c>
      <c r="C1053" s="7">
        <v>1010</v>
      </c>
      <c r="D1053" s="7" t="s">
        <v>393</v>
      </c>
      <c r="E1053" s="7" t="s">
        <v>316</v>
      </c>
      <c r="F1053" s="2">
        <v>34835</v>
      </c>
      <c r="G1053"/>
      <c r="H1053" s="2">
        <v>38420</v>
      </c>
      <c r="I1053" s="8">
        <v>34633</v>
      </c>
      <c r="J1053"/>
      <c r="K1053"/>
      <c r="L1053" t="s">
        <v>297</v>
      </c>
      <c r="M1053" t="s">
        <v>297</v>
      </c>
      <c r="N1053"/>
      <c r="O1053" s="7" t="s">
        <v>7</v>
      </c>
      <c r="P1053" s="7" t="s">
        <v>259</v>
      </c>
      <c r="Q1053" s="7" t="s">
        <v>265</v>
      </c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  <c r="AE1053" s="10"/>
      <c r="AF1053" s="10"/>
      <c r="AG1053" s="10"/>
    </row>
    <row r="1054" spans="1:33" customFormat="1" hidden="1">
      <c r="A1054" t="s">
        <v>259</v>
      </c>
      <c r="B1054" t="s">
        <v>265</v>
      </c>
      <c r="I1054" s="6"/>
    </row>
    <row r="1055" spans="1:33" customFormat="1" hidden="1">
      <c r="A1055" t="s">
        <v>8</v>
      </c>
      <c r="I1055" s="6"/>
    </row>
    <row r="1056" spans="1:33">
      <c r="A1056" s="16">
        <v>12</v>
      </c>
      <c r="B1056" s="16" t="s">
        <v>149</v>
      </c>
      <c r="C1056" s="16">
        <v>172</v>
      </c>
      <c r="D1056" s="7" t="s">
        <v>295</v>
      </c>
      <c r="E1056" s="16" t="s">
        <v>296</v>
      </c>
      <c r="F1056" s="2">
        <v>28296</v>
      </c>
      <c r="G1056" s="2">
        <v>28486</v>
      </c>
      <c r="H1056" s="2">
        <v>39499</v>
      </c>
      <c r="I1056" s="25">
        <v>41820</v>
      </c>
      <c r="K1056" s="2">
        <v>38044</v>
      </c>
      <c r="L1056" t="s">
        <v>297</v>
      </c>
      <c r="M1056" t="s">
        <v>297</v>
      </c>
      <c r="N1056" s="23" t="str">
        <f t="shared" ref="N1056:N1071" si="114">IF((I1056&gt;$W$2),"Y","N")</f>
        <v>Y</v>
      </c>
      <c r="O1056" s="16" t="s">
        <v>1491</v>
      </c>
      <c r="P1056" s="10" t="s">
        <v>259</v>
      </c>
      <c r="Q1056" s="10" t="s">
        <v>261</v>
      </c>
      <c r="S1056" s="16" t="str">
        <f t="shared" ref="S1056:S1067" si="115">MID(Q1056,9,30)</f>
        <v>Janelle  Riedl</v>
      </c>
      <c r="T1056" s="32" t="s">
        <v>1568</v>
      </c>
      <c r="U1056" s="24">
        <v>39968</v>
      </c>
    </row>
    <row r="1057" spans="1:21">
      <c r="A1057" s="16">
        <v>12</v>
      </c>
      <c r="B1057" s="16" t="s">
        <v>149</v>
      </c>
      <c r="C1057" s="16">
        <v>232</v>
      </c>
      <c r="D1057" t="s">
        <v>295</v>
      </c>
      <c r="E1057" s="16" t="s">
        <v>296</v>
      </c>
      <c r="F1057" s="2">
        <v>28986</v>
      </c>
      <c r="G1057" s="2">
        <v>29633</v>
      </c>
      <c r="H1057" s="2">
        <v>39386</v>
      </c>
      <c r="I1057" s="25">
        <v>41820</v>
      </c>
      <c r="J1057" s="2">
        <v>36191</v>
      </c>
      <c r="K1057" s="2">
        <v>38104</v>
      </c>
      <c r="L1057" t="s">
        <v>297</v>
      </c>
      <c r="M1057" t="s">
        <v>297</v>
      </c>
      <c r="N1057" s="23" t="str">
        <f t="shared" si="114"/>
        <v>Y</v>
      </c>
      <c r="O1057" s="16" t="s">
        <v>1533</v>
      </c>
      <c r="P1057" s="10" t="s">
        <v>259</v>
      </c>
      <c r="Q1057" s="10" t="s">
        <v>261</v>
      </c>
      <c r="S1057" s="16" t="str">
        <f t="shared" si="115"/>
        <v>Janelle  Riedl</v>
      </c>
      <c r="T1057" s="31" t="s">
        <v>1539</v>
      </c>
    </row>
    <row r="1058" spans="1:21">
      <c r="A1058" s="16">
        <v>12</v>
      </c>
      <c r="B1058" s="16" t="s">
        <v>149</v>
      </c>
      <c r="C1058" s="16">
        <v>257</v>
      </c>
      <c r="D1058" t="s">
        <v>295</v>
      </c>
      <c r="E1058" s="16" t="s">
        <v>296</v>
      </c>
      <c r="F1058" s="2">
        <v>29276</v>
      </c>
      <c r="G1058" s="2">
        <v>30077</v>
      </c>
      <c r="H1058" s="2">
        <v>39386</v>
      </c>
      <c r="I1058" s="25">
        <v>41455</v>
      </c>
      <c r="K1058" s="2">
        <v>38568</v>
      </c>
      <c r="L1058" t="s">
        <v>297</v>
      </c>
      <c r="M1058" t="s">
        <v>297</v>
      </c>
      <c r="N1058" s="23" t="str">
        <f t="shared" si="114"/>
        <v>N</v>
      </c>
      <c r="O1058" s="30" t="s">
        <v>1950</v>
      </c>
      <c r="P1058" s="10" t="s">
        <v>259</v>
      </c>
      <c r="Q1058" s="10" t="s">
        <v>261</v>
      </c>
      <c r="S1058" s="16" t="str">
        <f t="shared" si="115"/>
        <v>Janelle  Riedl</v>
      </c>
      <c r="T1058" s="31" t="s">
        <v>1496</v>
      </c>
    </row>
    <row r="1059" spans="1:21">
      <c r="A1059" s="16">
        <v>12</v>
      </c>
      <c r="B1059" s="16" t="s">
        <v>149</v>
      </c>
      <c r="C1059" s="16">
        <v>273</v>
      </c>
      <c r="D1059" s="7" t="s">
        <v>295</v>
      </c>
      <c r="E1059" s="16" t="s">
        <v>296</v>
      </c>
      <c r="F1059" s="2">
        <v>29462</v>
      </c>
      <c r="G1059" s="2">
        <v>30028</v>
      </c>
      <c r="H1059" s="2">
        <v>39316</v>
      </c>
      <c r="I1059" s="25">
        <v>41820</v>
      </c>
      <c r="K1059" s="2">
        <v>36298</v>
      </c>
      <c r="L1059" t="s">
        <v>297</v>
      </c>
      <c r="N1059" s="23" t="str">
        <f t="shared" si="114"/>
        <v>Y</v>
      </c>
      <c r="O1059" s="30" t="s">
        <v>1951</v>
      </c>
      <c r="P1059" s="10" t="s">
        <v>259</v>
      </c>
      <c r="Q1059" s="10" t="s">
        <v>261</v>
      </c>
      <c r="S1059" s="16" t="str">
        <f t="shared" si="115"/>
        <v>Janelle  Riedl</v>
      </c>
      <c r="T1059" s="31" t="s">
        <v>1569</v>
      </c>
      <c r="U1059" s="24">
        <v>39968</v>
      </c>
    </row>
    <row r="1060" spans="1:21">
      <c r="A1060" s="16">
        <v>12</v>
      </c>
      <c r="B1060" s="16" t="s">
        <v>149</v>
      </c>
      <c r="C1060" s="16">
        <v>427</v>
      </c>
      <c r="D1060" s="7" t="s">
        <v>295</v>
      </c>
      <c r="E1060" s="16" t="s">
        <v>296</v>
      </c>
      <c r="F1060" s="2">
        <v>30758</v>
      </c>
      <c r="G1060" s="2">
        <v>31129</v>
      </c>
      <c r="H1060" s="2">
        <v>36086</v>
      </c>
      <c r="I1060" s="25">
        <v>41820</v>
      </c>
      <c r="K1060" s="2">
        <v>34248</v>
      </c>
      <c r="L1060" t="s">
        <v>322</v>
      </c>
      <c r="M1060" t="s">
        <v>297</v>
      </c>
      <c r="N1060" s="23" t="str">
        <f t="shared" si="114"/>
        <v>Y</v>
      </c>
      <c r="O1060" s="30" t="s">
        <v>1952</v>
      </c>
      <c r="P1060" s="10" t="s">
        <v>259</v>
      </c>
      <c r="Q1060" s="10" t="s">
        <v>261</v>
      </c>
      <c r="S1060" s="16" t="str">
        <f t="shared" si="115"/>
        <v>Janelle  Riedl</v>
      </c>
      <c r="T1060" s="31">
        <v>41435</v>
      </c>
    </row>
    <row r="1061" spans="1:21">
      <c r="A1061" s="16">
        <v>12</v>
      </c>
      <c r="B1061" s="16" t="s">
        <v>149</v>
      </c>
      <c r="C1061" s="16">
        <v>446</v>
      </c>
      <c r="D1061" s="7" t="s">
        <v>295</v>
      </c>
      <c r="E1061" s="30" t="s">
        <v>296</v>
      </c>
      <c r="F1061" s="2">
        <v>34918</v>
      </c>
      <c r="H1061" s="2">
        <v>38960</v>
      </c>
      <c r="I1061" s="25">
        <v>41820</v>
      </c>
      <c r="K1061" s="2">
        <v>34927</v>
      </c>
      <c r="L1061" t="s">
        <v>297</v>
      </c>
      <c r="N1061" s="23" t="str">
        <f t="shared" si="114"/>
        <v>Y</v>
      </c>
      <c r="O1061" s="16" t="s">
        <v>1284</v>
      </c>
      <c r="P1061" s="10" t="s">
        <v>259</v>
      </c>
      <c r="Q1061" s="10" t="s">
        <v>261</v>
      </c>
      <c r="S1061" s="16" t="str">
        <f t="shared" si="115"/>
        <v>Janelle  Riedl</v>
      </c>
      <c r="T1061" s="31">
        <v>41450</v>
      </c>
    </row>
    <row r="1062" spans="1:21">
      <c r="A1062" s="16">
        <v>12</v>
      </c>
      <c r="B1062" s="16" t="s">
        <v>149</v>
      </c>
      <c r="C1062" s="16">
        <v>470</v>
      </c>
      <c r="D1062" t="s">
        <v>295</v>
      </c>
      <c r="E1062" s="16" t="s">
        <v>296</v>
      </c>
      <c r="F1062" s="2">
        <v>31192</v>
      </c>
      <c r="G1062" s="2">
        <v>32424</v>
      </c>
      <c r="H1062" s="2">
        <v>39238</v>
      </c>
      <c r="I1062" s="25">
        <v>41820</v>
      </c>
      <c r="K1062" s="2">
        <v>39259</v>
      </c>
      <c r="L1062" t="s">
        <v>297</v>
      </c>
      <c r="M1062" t="s">
        <v>297</v>
      </c>
      <c r="N1062" s="23" t="str">
        <f t="shared" si="114"/>
        <v>Y</v>
      </c>
      <c r="O1062" s="16" t="s">
        <v>1583</v>
      </c>
      <c r="P1062" s="10" t="s">
        <v>259</v>
      </c>
      <c r="Q1062" s="10" t="s">
        <v>261</v>
      </c>
      <c r="S1062" s="16" t="str">
        <f t="shared" si="115"/>
        <v>Janelle  Riedl</v>
      </c>
      <c r="T1062" s="31" t="s">
        <v>1538</v>
      </c>
      <c r="U1062" s="24">
        <v>39972</v>
      </c>
    </row>
    <row r="1063" spans="1:21">
      <c r="A1063" s="16">
        <v>12</v>
      </c>
      <c r="B1063" s="16" t="s">
        <v>149</v>
      </c>
      <c r="C1063" s="16">
        <v>547</v>
      </c>
      <c r="D1063" s="7" t="s">
        <v>295</v>
      </c>
      <c r="E1063" s="30" t="s">
        <v>296</v>
      </c>
      <c r="F1063" s="2">
        <v>31674</v>
      </c>
      <c r="H1063" s="2">
        <v>39193</v>
      </c>
      <c r="I1063" s="25">
        <v>41820</v>
      </c>
      <c r="K1063" s="2">
        <v>35297</v>
      </c>
      <c r="L1063" t="s">
        <v>297</v>
      </c>
      <c r="N1063" s="23" t="str">
        <f t="shared" si="114"/>
        <v>Y</v>
      </c>
      <c r="O1063" s="30" t="s">
        <v>1953</v>
      </c>
      <c r="P1063" s="10" t="s">
        <v>259</v>
      </c>
      <c r="Q1063" s="10" t="s">
        <v>261</v>
      </c>
      <c r="S1063" s="16" t="str">
        <f t="shared" si="115"/>
        <v>Janelle  Riedl</v>
      </c>
      <c r="T1063" s="31">
        <v>41484</v>
      </c>
    </row>
    <row r="1064" spans="1:21">
      <c r="A1064" s="16">
        <v>12</v>
      </c>
      <c r="B1064" s="16" t="s">
        <v>149</v>
      </c>
      <c r="C1064" s="16">
        <v>1020</v>
      </c>
      <c r="D1064" t="s">
        <v>295</v>
      </c>
      <c r="E1064" s="16" t="s">
        <v>296</v>
      </c>
      <c r="F1064" s="2">
        <v>34715</v>
      </c>
      <c r="G1064" s="2">
        <v>35272</v>
      </c>
      <c r="H1064" s="2">
        <v>39372</v>
      </c>
      <c r="I1064" s="25">
        <v>41820</v>
      </c>
      <c r="J1064" s="2">
        <v>35583</v>
      </c>
      <c r="K1064" s="2">
        <v>39227</v>
      </c>
      <c r="L1064" t="s">
        <v>297</v>
      </c>
      <c r="M1064" t="s">
        <v>297</v>
      </c>
      <c r="N1064" s="23" t="str">
        <f t="shared" si="114"/>
        <v>Y</v>
      </c>
      <c r="O1064" s="30" t="s">
        <v>1954</v>
      </c>
      <c r="P1064" s="10" t="s">
        <v>259</v>
      </c>
      <c r="Q1064" s="10" t="s">
        <v>261</v>
      </c>
      <c r="S1064" s="16" t="str">
        <f t="shared" si="115"/>
        <v>Janelle  Riedl</v>
      </c>
      <c r="T1064" s="31" t="s">
        <v>1616</v>
      </c>
    </row>
    <row r="1065" spans="1:21">
      <c r="A1065" s="16">
        <v>12</v>
      </c>
      <c r="B1065" s="16" t="s">
        <v>149</v>
      </c>
      <c r="C1065" s="16">
        <v>1410</v>
      </c>
      <c r="D1065" s="7" t="s">
        <v>295</v>
      </c>
      <c r="E1065" s="16" t="s">
        <v>296</v>
      </c>
      <c r="F1065" s="2">
        <v>37350</v>
      </c>
      <c r="G1065" s="2">
        <v>38734</v>
      </c>
      <c r="H1065" s="2">
        <v>39351</v>
      </c>
      <c r="I1065" s="25">
        <v>41820</v>
      </c>
      <c r="K1065" s="2">
        <v>39385</v>
      </c>
      <c r="L1065" t="s">
        <v>297</v>
      </c>
      <c r="M1065" t="s">
        <v>297</v>
      </c>
      <c r="N1065" s="23" t="str">
        <f t="shared" si="114"/>
        <v>Y</v>
      </c>
      <c r="O1065" s="16" t="s">
        <v>1563</v>
      </c>
      <c r="P1065" s="10" t="s">
        <v>259</v>
      </c>
      <c r="Q1065" s="10" t="s">
        <v>261</v>
      </c>
      <c r="S1065" s="16" t="str">
        <f t="shared" si="115"/>
        <v>Janelle  Riedl</v>
      </c>
      <c r="T1065" s="31" t="s">
        <v>1541</v>
      </c>
    </row>
    <row r="1066" spans="1:21">
      <c r="A1066" s="16">
        <v>12</v>
      </c>
      <c r="B1066" s="16" t="s">
        <v>149</v>
      </c>
      <c r="C1066" s="16">
        <v>1440</v>
      </c>
      <c r="D1066" t="s">
        <v>295</v>
      </c>
      <c r="E1066" s="16" t="s">
        <v>296</v>
      </c>
      <c r="F1066" s="2">
        <v>37694</v>
      </c>
      <c r="G1066" s="2">
        <v>38548</v>
      </c>
      <c r="H1066" s="2">
        <v>39391</v>
      </c>
      <c r="I1066" s="25">
        <v>41820</v>
      </c>
      <c r="K1066" s="2">
        <v>39391</v>
      </c>
      <c r="L1066" t="s">
        <v>297</v>
      </c>
      <c r="M1066" t="s">
        <v>297</v>
      </c>
      <c r="N1066" s="23" t="str">
        <f t="shared" si="114"/>
        <v>Y</v>
      </c>
      <c r="O1066" s="16" t="s">
        <v>1105</v>
      </c>
      <c r="P1066" s="10" t="s">
        <v>259</v>
      </c>
      <c r="Q1066" s="10" t="s">
        <v>261</v>
      </c>
      <c r="S1066" s="16" t="str">
        <f t="shared" si="115"/>
        <v>Janelle  Riedl</v>
      </c>
      <c r="T1066" s="31">
        <v>41484</v>
      </c>
    </row>
    <row r="1067" spans="1:21">
      <c r="A1067" s="16">
        <v>12</v>
      </c>
      <c r="B1067" s="16" t="s">
        <v>149</v>
      </c>
      <c r="C1067" s="16">
        <v>1474</v>
      </c>
      <c r="D1067" s="7" t="s">
        <v>295</v>
      </c>
      <c r="E1067" s="16" t="s">
        <v>316</v>
      </c>
      <c r="F1067" s="2">
        <v>38142</v>
      </c>
      <c r="H1067" s="2">
        <v>38935</v>
      </c>
      <c r="I1067" s="25">
        <v>39994</v>
      </c>
      <c r="J1067" s="2">
        <v>38142</v>
      </c>
      <c r="L1067" t="s">
        <v>297</v>
      </c>
      <c r="M1067" t="s">
        <v>322</v>
      </c>
      <c r="N1067" s="23" t="str">
        <f t="shared" si="114"/>
        <v>N</v>
      </c>
      <c r="O1067" s="16" t="s">
        <v>1106</v>
      </c>
      <c r="P1067" s="10" t="s">
        <v>259</v>
      </c>
      <c r="Q1067" s="10" t="s">
        <v>261</v>
      </c>
      <c r="S1067" s="16" t="str">
        <f t="shared" si="115"/>
        <v>Janelle  Riedl</v>
      </c>
      <c r="T1067" s="31" t="s">
        <v>1260</v>
      </c>
    </row>
    <row r="1068" spans="1:21">
      <c r="A1068" s="16">
        <v>12</v>
      </c>
      <c r="B1068" s="16" t="s">
        <v>149</v>
      </c>
      <c r="C1068" s="16">
        <v>1599</v>
      </c>
      <c r="E1068" s="16" t="s">
        <v>376</v>
      </c>
      <c r="F1068" s="2">
        <v>38652</v>
      </c>
      <c r="H1068" s="2">
        <v>38652</v>
      </c>
      <c r="I1068" s="25">
        <v>41061</v>
      </c>
      <c r="L1068" t="s">
        <v>297</v>
      </c>
      <c r="M1068" t="s">
        <v>322</v>
      </c>
      <c r="N1068" s="23" t="str">
        <f t="shared" si="114"/>
        <v>N</v>
      </c>
      <c r="O1068" s="16" t="s">
        <v>1373</v>
      </c>
    </row>
    <row r="1069" spans="1:21">
      <c r="A1069" s="16">
        <v>12</v>
      </c>
      <c r="B1069" s="16" t="s">
        <v>296</v>
      </c>
      <c r="C1069" s="16">
        <v>104</v>
      </c>
      <c r="D1069" s="7" t="s">
        <v>295</v>
      </c>
      <c r="E1069" s="16" t="s">
        <v>296</v>
      </c>
      <c r="F1069" s="2">
        <v>27785</v>
      </c>
      <c r="G1069" s="2">
        <v>28990</v>
      </c>
      <c r="H1069" s="2">
        <v>39342</v>
      </c>
      <c r="I1069" s="25">
        <v>41820</v>
      </c>
      <c r="J1069" s="2">
        <v>37559</v>
      </c>
      <c r="K1069" s="2">
        <v>38686</v>
      </c>
      <c r="L1069" t="s">
        <v>297</v>
      </c>
      <c r="M1069" t="s">
        <v>297</v>
      </c>
      <c r="N1069" s="23" t="str">
        <f t="shared" si="114"/>
        <v>Y</v>
      </c>
      <c r="O1069" s="30" t="s">
        <v>1955</v>
      </c>
      <c r="P1069" s="10" t="s">
        <v>259</v>
      </c>
      <c r="Q1069" s="10" t="s">
        <v>262</v>
      </c>
      <c r="S1069" s="16" t="str">
        <f>MID(Q1069,9,30)</f>
        <v>Robert C Daniel</v>
      </c>
      <c r="T1069" s="31">
        <v>41428</v>
      </c>
    </row>
    <row r="1070" spans="1:21">
      <c r="A1070" s="16">
        <v>12</v>
      </c>
      <c r="B1070" s="16" t="s">
        <v>296</v>
      </c>
      <c r="C1070" s="16">
        <v>309</v>
      </c>
      <c r="D1070" s="7" t="s">
        <v>295</v>
      </c>
      <c r="E1070" s="16" t="s">
        <v>296</v>
      </c>
      <c r="F1070" s="2">
        <v>29687</v>
      </c>
      <c r="G1070" s="2">
        <v>30691</v>
      </c>
      <c r="H1070" s="2">
        <v>39509</v>
      </c>
      <c r="I1070" s="25">
        <v>41820</v>
      </c>
      <c r="K1070" s="2">
        <v>34737</v>
      </c>
      <c r="L1070" t="s">
        <v>297</v>
      </c>
      <c r="N1070" s="23" t="str">
        <f t="shared" si="114"/>
        <v>Y</v>
      </c>
      <c r="O1070" s="16" t="s">
        <v>1225</v>
      </c>
      <c r="P1070" s="10" t="s">
        <v>259</v>
      </c>
      <c r="Q1070" s="10" t="s">
        <v>262</v>
      </c>
      <c r="S1070" s="16" t="str">
        <f>MID(Q1070,9,30)</f>
        <v>Robert C Daniel</v>
      </c>
      <c r="T1070" s="31">
        <v>41428</v>
      </c>
    </row>
    <row r="1071" spans="1:21">
      <c r="A1071" s="16">
        <v>12</v>
      </c>
      <c r="B1071" s="16" t="s">
        <v>296</v>
      </c>
      <c r="C1071" s="16">
        <v>319</v>
      </c>
      <c r="D1071" s="7" t="s">
        <v>295</v>
      </c>
      <c r="E1071" s="16" t="s">
        <v>296</v>
      </c>
      <c r="F1071" s="2">
        <v>29791</v>
      </c>
      <c r="G1071" s="2">
        <v>30830</v>
      </c>
      <c r="H1071" s="2">
        <v>39353</v>
      </c>
      <c r="I1071" s="25">
        <v>41820</v>
      </c>
      <c r="J1071" s="2">
        <v>36301</v>
      </c>
      <c r="K1071" s="2">
        <v>39352</v>
      </c>
      <c r="L1071" t="s">
        <v>297</v>
      </c>
      <c r="M1071" t="s">
        <v>297</v>
      </c>
      <c r="N1071" s="23" t="str">
        <f t="shared" si="114"/>
        <v>Y</v>
      </c>
      <c r="O1071" s="16" t="s">
        <v>1447</v>
      </c>
      <c r="P1071" s="10" t="s">
        <v>259</v>
      </c>
      <c r="Q1071" s="10" t="s">
        <v>262</v>
      </c>
      <c r="S1071" s="16" t="str">
        <f>MID(Q1071,9,30)</f>
        <v>Robert C Daniel</v>
      </c>
      <c r="T1071" s="31">
        <v>41438</v>
      </c>
    </row>
    <row r="1072" spans="1:21" customFormat="1" hidden="1">
      <c r="A1072" t="s">
        <v>266</v>
      </c>
      <c r="B1072" t="s">
        <v>267</v>
      </c>
      <c r="I1072" s="6"/>
    </row>
    <row r="1073" spans="1:33">
      <c r="A1073" s="16">
        <v>12</v>
      </c>
      <c r="B1073" s="16" t="s">
        <v>296</v>
      </c>
      <c r="C1073" s="16">
        <v>364</v>
      </c>
      <c r="D1073" s="7" t="s">
        <v>295</v>
      </c>
      <c r="E1073" s="16" t="s">
        <v>296</v>
      </c>
      <c r="F1073" s="2">
        <v>30141</v>
      </c>
      <c r="G1073" s="2">
        <v>30758</v>
      </c>
      <c r="H1073" s="2">
        <v>39330</v>
      </c>
      <c r="I1073" s="25">
        <v>41820</v>
      </c>
      <c r="J1073" s="2">
        <v>30743</v>
      </c>
      <c r="K1073" s="2">
        <v>36402</v>
      </c>
      <c r="L1073" t="s">
        <v>297</v>
      </c>
      <c r="M1073" t="s">
        <v>297</v>
      </c>
      <c r="N1073" s="23" t="str">
        <f t="shared" ref="N1073:N1081" si="116">IF((I1073&gt;$W$2),"Y","N")</f>
        <v>Y</v>
      </c>
      <c r="O1073" s="30" t="s">
        <v>1956</v>
      </c>
      <c r="P1073" s="10" t="s">
        <v>259</v>
      </c>
      <c r="Q1073" s="10" t="s">
        <v>262</v>
      </c>
      <c r="S1073" s="16" t="str">
        <f t="shared" ref="S1073:S1081" si="117">MID(Q1073,9,30)</f>
        <v>Robert C Daniel</v>
      </c>
      <c r="T1073" s="31">
        <v>41428</v>
      </c>
    </row>
    <row r="1074" spans="1:33">
      <c r="A1074" s="16">
        <v>12</v>
      </c>
      <c r="B1074" s="16" t="s">
        <v>296</v>
      </c>
      <c r="C1074" s="16">
        <v>515</v>
      </c>
      <c r="D1074" s="7" t="s">
        <v>295</v>
      </c>
      <c r="E1074" s="16" t="s">
        <v>296</v>
      </c>
      <c r="F1074" s="2">
        <v>31437</v>
      </c>
      <c r="G1074" s="2">
        <v>31857</v>
      </c>
      <c r="H1074" s="2">
        <v>39245</v>
      </c>
      <c r="I1074" s="25">
        <v>41820</v>
      </c>
      <c r="J1074" s="2">
        <v>31867</v>
      </c>
      <c r="K1074" s="2">
        <v>39344</v>
      </c>
      <c r="L1074" t="s">
        <v>297</v>
      </c>
      <c r="M1074" t="s">
        <v>297</v>
      </c>
      <c r="N1074" s="23" t="str">
        <f t="shared" si="116"/>
        <v>Y</v>
      </c>
      <c r="O1074" s="30" t="s">
        <v>1957</v>
      </c>
      <c r="P1074" s="10" t="s">
        <v>259</v>
      </c>
      <c r="Q1074" s="10" t="s">
        <v>262</v>
      </c>
      <c r="S1074" s="16" t="str">
        <f t="shared" si="117"/>
        <v>Robert C Daniel</v>
      </c>
      <c r="T1074" s="31">
        <v>41428</v>
      </c>
    </row>
    <row r="1075" spans="1:33">
      <c r="A1075" s="16">
        <v>12</v>
      </c>
      <c r="B1075" s="16" t="s">
        <v>296</v>
      </c>
      <c r="C1075" s="16">
        <v>671</v>
      </c>
      <c r="D1075" s="7" t="s">
        <v>295</v>
      </c>
      <c r="E1075" s="16" t="s">
        <v>296</v>
      </c>
      <c r="F1075" s="2">
        <v>32521</v>
      </c>
      <c r="G1075" s="2">
        <v>32944</v>
      </c>
      <c r="H1075" s="2">
        <v>39337</v>
      </c>
      <c r="I1075" s="25">
        <v>41820</v>
      </c>
      <c r="J1075" s="2">
        <v>33694</v>
      </c>
      <c r="K1075" s="2">
        <v>36389</v>
      </c>
      <c r="L1075" t="s">
        <v>297</v>
      </c>
      <c r="M1075" t="s">
        <v>297</v>
      </c>
      <c r="N1075" s="23" t="str">
        <f t="shared" si="116"/>
        <v>Y</v>
      </c>
      <c r="O1075" s="30" t="s">
        <v>1958</v>
      </c>
      <c r="P1075" s="10" t="s">
        <v>259</v>
      </c>
      <c r="Q1075" s="10" t="s">
        <v>262</v>
      </c>
      <c r="S1075" s="16" t="str">
        <f t="shared" si="117"/>
        <v>Robert C Daniel</v>
      </c>
      <c r="T1075" s="31">
        <v>41428</v>
      </c>
    </row>
    <row r="1076" spans="1:33">
      <c r="A1076" s="16">
        <v>12</v>
      </c>
      <c r="B1076" s="16" t="s">
        <v>296</v>
      </c>
      <c r="C1076" s="16">
        <v>757</v>
      </c>
      <c r="D1076" s="7" t="s">
        <v>295</v>
      </c>
      <c r="E1076" s="16" t="s">
        <v>296</v>
      </c>
      <c r="F1076" s="2">
        <v>33181</v>
      </c>
      <c r="G1076" s="2">
        <v>34593</v>
      </c>
      <c r="H1076" s="2">
        <v>39141</v>
      </c>
      <c r="I1076" s="25">
        <v>41820</v>
      </c>
      <c r="K1076" s="2">
        <v>35879</v>
      </c>
      <c r="L1076" t="s">
        <v>297</v>
      </c>
      <c r="M1076" t="s">
        <v>297</v>
      </c>
      <c r="N1076" s="23" t="str">
        <f t="shared" si="116"/>
        <v>Y</v>
      </c>
      <c r="O1076" s="30" t="s">
        <v>1959</v>
      </c>
      <c r="P1076" s="10" t="s">
        <v>259</v>
      </c>
      <c r="Q1076" s="10" t="s">
        <v>262</v>
      </c>
      <c r="S1076" s="16" t="str">
        <f t="shared" si="117"/>
        <v>Robert C Daniel</v>
      </c>
      <c r="T1076" s="31">
        <v>41438</v>
      </c>
    </row>
    <row r="1077" spans="1:33">
      <c r="A1077" s="16">
        <v>12</v>
      </c>
      <c r="B1077" s="16" t="s">
        <v>296</v>
      </c>
      <c r="C1077" s="16">
        <v>800</v>
      </c>
      <c r="D1077" s="7" t="s">
        <v>295</v>
      </c>
      <c r="E1077" s="16" t="s">
        <v>296</v>
      </c>
      <c r="F1077" s="2">
        <v>33452</v>
      </c>
      <c r="G1077" s="2">
        <v>35511</v>
      </c>
      <c r="H1077" s="2">
        <v>38729</v>
      </c>
      <c r="I1077" s="25">
        <v>41820</v>
      </c>
      <c r="K1077" s="2">
        <v>35634</v>
      </c>
      <c r="L1077" t="s">
        <v>297</v>
      </c>
      <c r="M1077" t="s">
        <v>297</v>
      </c>
      <c r="N1077" s="23" t="str">
        <f t="shared" si="116"/>
        <v>Y</v>
      </c>
      <c r="O1077" s="30" t="s">
        <v>1960</v>
      </c>
      <c r="P1077" s="10" t="s">
        <v>259</v>
      </c>
      <c r="Q1077" s="10" t="s">
        <v>262</v>
      </c>
      <c r="S1077" s="16" t="str">
        <f t="shared" si="117"/>
        <v>Robert C Daniel</v>
      </c>
      <c r="T1077" s="31">
        <v>41438</v>
      </c>
    </row>
    <row r="1078" spans="1:33">
      <c r="A1078" s="16">
        <v>12</v>
      </c>
      <c r="B1078" s="16" t="s">
        <v>296</v>
      </c>
      <c r="C1078" s="16">
        <v>874</v>
      </c>
      <c r="D1078" s="7"/>
      <c r="E1078" s="16" t="s">
        <v>316</v>
      </c>
      <c r="F1078" s="2">
        <v>33959</v>
      </c>
      <c r="G1078" s="2">
        <v>35573</v>
      </c>
      <c r="H1078" s="2">
        <v>37373</v>
      </c>
      <c r="I1078" s="25">
        <v>37621</v>
      </c>
      <c r="K1078" s="2">
        <v>35499</v>
      </c>
      <c r="L1078" t="s">
        <v>297</v>
      </c>
      <c r="N1078" s="23" t="str">
        <f t="shared" si="116"/>
        <v>N</v>
      </c>
      <c r="O1078" s="16" t="s">
        <v>1116</v>
      </c>
      <c r="P1078" s="10" t="s">
        <v>259</v>
      </c>
      <c r="Q1078" s="10" t="s">
        <v>262</v>
      </c>
      <c r="S1078" s="16" t="str">
        <f t="shared" si="117"/>
        <v>Robert C Daniel</v>
      </c>
    </row>
    <row r="1079" spans="1:33">
      <c r="A1079" s="16">
        <v>12</v>
      </c>
      <c r="B1079" s="16" t="s">
        <v>296</v>
      </c>
      <c r="C1079" s="16">
        <v>928</v>
      </c>
      <c r="D1079" s="7" t="s">
        <v>295</v>
      </c>
      <c r="E1079" s="16" t="s">
        <v>296</v>
      </c>
      <c r="F1079" s="2">
        <v>34317</v>
      </c>
      <c r="G1079" s="2">
        <v>35140</v>
      </c>
      <c r="H1079" s="2">
        <v>39296</v>
      </c>
      <c r="I1079" s="25">
        <v>41820</v>
      </c>
      <c r="J1079" s="2">
        <v>34624</v>
      </c>
      <c r="K1079" s="2">
        <v>36209</v>
      </c>
      <c r="L1079" t="s">
        <v>297</v>
      </c>
      <c r="N1079" s="23" t="str">
        <f t="shared" si="116"/>
        <v>Y</v>
      </c>
      <c r="O1079" s="30" t="s">
        <v>1961</v>
      </c>
      <c r="P1079" s="10" t="s">
        <v>259</v>
      </c>
      <c r="Q1079" s="10" t="s">
        <v>262</v>
      </c>
      <c r="S1079" s="16" t="str">
        <f t="shared" si="117"/>
        <v>Robert C Daniel</v>
      </c>
      <c r="T1079" s="31">
        <v>41428</v>
      </c>
    </row>
    <row r="1080" spans="1:33">
      <c r="A1080" s="16">
        <v>12</v>
      </c>
      <c r="B1080" s="16" t="s">
        <v>296</v>
      </c>
      <c r="C1080" s="16">
        <v>1075</v>
      </c>
      <c r="D1080" s="7" t="s">
        <v>295</v>
      </c>
      <c r="E1080" s="16" t="s">
        <v>376</v>
      </c>
      <c r="F1080" s="2">
        <v>34941</v>
      </c>
      <c r="G1080" s="2">
        <v>35874</v>
      </c>
      <c r="H1080" s="2">
        <v>39120</v>
      </c>
      <c r="I1080" s="25">
        <v>39263</v>
      </c>
      <c r="K1080" s="2">
        <v>38755</v>
      </c>
      <c r="L1080" t="s">
        <v>297</v>
      </c>
      <c r="M1080" t="s">
        <v>297</v>
      </c>
      <c r="N1080" s="23" t="str">
        <f t="shared" si="116"/>
        <v>N</v>
      </c>
      <c r="O1080" s="16" t="s">
        <v>1226</v>
      </c>
      <c r="P1080" s="10" t="s">
        <v>259</v>
      </c>
      <c r="Q1080" s="10" t="s">
        <v>262</v>
      </c>
      <c r="S1080" s="16" t="str">
        <f t="shared" si="117"/>
        <v>Robert C Daniel</v>
      </c>
    </row>
    <row r="1081" spans="1:33">
      <c r="A1081" s="16">
        <v>12</v>
      </c>
      <c r="B1081" s="16" t="s">
        <v>296</v>
      </c>
      <c r="C1081" s="16">
        <v>1341</v>
      </c>
      <c r="D1081" s="7" t="s">
        <v>295</v>
      </c>
      <c r="E1081" s="16" t="s">
        <v>296</v>
      </c>
      <c r="F1081" s="2">
        <v>36656</v>
      </c>
      <c r="G1081" s="2">
        <v>36847</v>
      </c>
      <c r="H1081" s="2">
        <v>39525</v>
      </c>
      <c r="I1081" s="25">
        <v>41820</v>
      </c>
      <c r="K1081" s="2">
        <v>37679</v>
      </c>
      <c r="L1081" t="s">
        <v>297</v>
      </c>
      <c r="M1081" t="s">
        <v>297</v>
      </c>
      <c r="N1081" s="23" t="str">
        <f t="shared" si="116"/>
        <v>Y</v>
      </c>
      <c r="O1081" s="30" t="s">
        <v>1962</v>
      </c>
      <c r="P1081" s="10" t="s">
        <v>259</v>
      </c>
      <c r="Q1081" s="10" t="s">
        <v>262</v>
      </c>
      <c r="S1081" s="16" t="str">
        <f t="shared" si="117"/>
        <v>Robert C Daniel</v>
      </c>
      <c r="T1081" s="31">
        <v>41428</v>
      </c>
    </row>
    <row r="1082" spans="1:33" customFormat="1" hidden="1">
      <c r="A1082">
        <v>13</v>
      </c>
      <c r="B1082" t="s">
        <v>149</v>
      </c>
      <c r="C1082">
        <v>1247</v>
      </c>
      <c r="D1082" t="s">
        <v>658</v>
      </c>
      <c r="E1082" t="s">
        <v>376</v>
      </c>
      <c r="F1082" s="2">
        <v>35913</v>
      </c>
      <c r="I1082" s="6"/>
      <c r="L1082" t="s">
        <v>297</v>
      </c>
      <c r="O1082" t="s">
        <v>369</v>
      </c>
      <c r="P1082" t="s">
        <v>266</v>
      </c>
      <c r="Q1082" t="s">
        <v>268</v>
      </c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  <c r="AC1082" s="10"/>
      <c r="AD1082" s="10"/>
      <c r="AE1082" s="10"/>
      <c r="AF1082" s="10"/>
      <c r="AG1082" s="10"/>
    </row>
    <row r="1083" spans="1:33" customFormat="1" hidden="1">
      <c r="A1083" t="s">
        <v>266</v>
      </c>
      <c r="B1083" t="s">
        <v>268</v>
      </c>
      <c r="I1083" s="6"/>
    </row>
    <row r="1084" spans="1:33">
      <c r="A1084" s="16">
        <v>12</v>
      </c>
      <c r="B1084" s="16" t="s">
        <v>296</v>
      </c>
      <c r="C1084" s="16">
        <v>1447</v>
      </c>
      <c r="D1084" s="7" t="s">
        <v>295</v>
      </c>
      <c r="E1084" s="16" t="s">
        <v>296</v>
      </c>
      <c r="F1084" s="2">
        <v>37736</v>
      </c>
      <c r="G1084" s="2">
        <v>38776</v>
      </c>
      <c r="H1084" s="2">
        <v>39337</v>
      </c>
      <c r="I1084" s="25">
        <v>41820</v>
      </c>
      <c r="K1084" s="2">
        <v>38785</v>
      </c>
      <c r="L1084" t="s">
        <v>297</v>
      </c>
      <c r="M1084" t="s">
        <v>322</v>
      </c>
      <c r="N1084" s="23" t="str">
        <f>IF((I1084&gt;$W$2),"Y","N")</f>
        <v>Y</v>
      </c>
      <c r="O1084" s="16" t="s">
        <v>1411</v>
      </c>
      <c r="P1084" s="10" t="s">
        <v>259</v>
      </c>
      <c r="Q1084" s="10" t="s">
        <v>262</v>
      </c>
      <c r="S1084" s="16" t="str">
        <f>MID(Q1084,9,30)</f>
        <v>Robert C Daniel</v>
      </c>
      <c r="T1084" s="31">
        <v>41428</v>
      </c>
    </row>
    <row r="1085" spans="1:33">
      <c r="A1085" s="16">
        <v>12</v>
      </c>
      <c r="B1085" s="16" t="s">
        <v>296</v>
      </c>
      <c r="C1085" s="16">
        <v>1522</v>
      </c>
      <c r="D1085" s="7" t="s">
        <v>295</v>
      </c>
      <c r="E1085" s="16" t="s">
        <v>376</v>
      </c>
      <c r="F1085" s="2">
        <v>38890</v>
      </c>
      <c r="H1085" s="2">
        <v>38912</v>
      </c>
      <c r="I1085" s="25">
        <v>39263</v>
      </c>
      <c r="L1085" t="s">
        <v>297</v>
      </c>
      <c r="M1085" t="s">
        <v>297</v>
      </c>
      <c r="N1085" s="23" t="str">
        <f>IF((I1085&gt;$W$2),"Y","N")</f>
        <v>N</v>
      </c>
      <c r="O1085" s="16" t="s">
        <v>1121</v>
      </c>
      <c r="P1085" s="10" t="s">
        <v>259</v>
      </c>
      <c r="Q1085" s="10" t="s">
        <v>262</v>
      </c>
      <c r="S1085" s="16" t="str">
        <f>MID(Q1085,9,30)</f>
        <v>Robert C Daniel</v>
      </c>
    </row>
    <row r="1086" spans="1:33">
      <c r="A1086" s="16">
        <v>12</v>
      </c>
      <c r="B1086" s="16" t="s">
        <v>296</v>
      </c>
      <c r="C1086" s="16">
        <v>1608</v>
      </c>
      <c r="E1086" s="16" t="s">
        <v>299</v>
      </c>
      <c r="F1086" s="2">
        <v>39322</v>
      </c>
      <c r="H1086" s="2">
        <v>39322</v>
      </c>
      <c r="I1086" s="25">
        <v>41820</v>
      </c>
      <c r="J1086" s="2">
        <v>39322</v>
      </c>
      <c r="L1086" t="s">
        <v>297</v>
      </c>
      <c r="M1086" t="s">
        <v>322</v>
      </c>
      <c r="N1086" s="23" t="s">
        <v>322</v>
      </c>
      <c r="O1086" s="16" t="s">
        <v>1565</v>
      </c>
      <c r="T1086" s="31">
        <v>41428</v>
      </c>
    </row>
    <row r="1087" spans="1:33">
      <c r="A1087" s="16">
        <v>12</v>
      </c>
      <c r="B1087" s="16" t="s">
        <v>153</v>
      </c>
      <c r="C1087" s="16">
        <v>225</v>
      </c>
      <c r="D1087" s="7" t="s">
        <v>295</v>
      </c>
      <c r="E1087" s="16" t="s">
        <v>296</v>
      </c>
      <c r="F1087" s="2">
        <v>29005</v>
      </c>
      <c r="G1087" s="2">
        <v>28937</v>
      </c>
      <c r="H1087" s="2">
        <v>39508</v>
      </c>
      <c r="I1087" s="25">
        <v>41820</v>
      </c>
      <c r="K1087" s="2">
        <v>39008</v>
      </c>
      <c r="L1087" t="s">
        <v>297</v>
      </c>
      <c r="M1087" t="s">
        <v>297</v>
      </c>
      <c r="N1087" s="23" t="str">
        <f>IF((I1087&gt;$W$2),"Y","N")</f>
        <v>Y</v>
      </c>
      <c r="O1087" s="16" t="s">
        <v>1564</v>
      </c>
      <c r="P1087" s="10" t="s">
        <v>259</v>
      </c>
      <c r="Q1087" s="10" t="s">
        <v>263</v>
      </c>
      <c r="S1087" s="16" t="str">
        <f>MID(Q1087,9,30)</f>
        <v>Gary R Blanton</v>
      </c>
      <c r="T1087" s="31" t="s">
        <v>1541</v>
      </c>
    </row>
    <row r="1088" spans="1:33" customFormat="1" hidden="1">
      <c r="A1088">
        <v>13</v>
      </c>
      <c r="B1088" t="s">
        <v>296</v>
      </c>
      <c r="C1088">
        <v>967</v>
      </c>
      <c r="D1088" t="s">
        <v>464</v>
      </c>
      <c r="E1088" t="s">
        <v>316</v>
      </c>
      <c r="F1088" s="2">
        <v>34526</v>
      </c>
      <c r="G1088" s="2">
        <v>35743</v>
      </c>
      <c r="H1088" s="2">
        <v>35643</v>
      </c>
      <c r="I1088" s="6"/>
      <c r="K1088" s="2">
        <v>34526</v>
      </c>
      <c r="L1088" t="s">
        <v>317</v>
      </c>
      <c r="M1088" t="s">
        <v>297</v>
      </c>
      <c r="P1088" t="s">
        <v>266</v>
      </c>
      <c r="Q1088" t="s">
        <v>269</v>
      </c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  <c r="AC1088" s="10"/>
      <c r="AD1088" s="10"/>
      <c r="AE1088" s="10"/>
      <c r="AF1088" s="10"/>
      <c r="AG1088" s="10"/>
    </row>
    <row r="1089" spans="1:33">
      <c r="A1089" s="16">
        <v>12</v>
      </c>
      <c r="B1089" s="16" t="s">
        <v>153</v>
      </c>
      <c r="C1089" s="16">
        <v>310</v>
      </c>
      <c r="D1089" s="7" t="s">
        <v>295</v>
      </c>
      <c r="E1089" s="16" t="s">
        <v>296</v>
      </c>
      <c r="F1089" s="2">
        <v>29687</v>
      </c>
      <c r="G1089" s="2">
        <v>30077</v>
      </c>
      <c r="H1089" s="2">
        <v>39200</v>
      </c>
      <c r="I1089" s="25">
        <v>41820</v>
      </c>
      <c r="J1089" s="2">
        <v>37176</v>
      </c>
      <c r="K1089" s="2">
        <v>35843</v>
      </c>
      <c r="L1089" t="s">
        <v>297</v>
      </c>
      <c r="M1089" t="s">
        <v>297</v>
      </c>
      <c r="N1089" s="23" t="str">
        <f>IF((I1089&gt;$W$2),"Y","N")</f>
        <v>Y</v>
      </c>
      <c r="O1089" s="16" t="s">
        <v>1227</v>
      </c>
      <c r="P1089" s="10" t="s">
        <v>259</v>
      </c>
      <c r="Q1089" s="10" t="s">
        <v>263</v>
      </c>
      <c r="S1089" s="16" t="str">
        <f>MID(Q1089,9,30)</f>
        <v>Gary R Blanton</v>
      </c>
      <c r="T1089" s="31" t="s">
        <v>1617</v>
      </c>
    </row>
    <row r="1090" spans="1:33">
      <c r="A1090" s="16">
        <v>12</v>
      </c>
      <c r="B1090" s="16" t="s">
        <v>153</v>
      </c>
      <c r="C1090" s="16">
        <v>503</v>
      </c>
      <c r="D1090" t="s">
        <v>295</v>
      </c>
      <c r="E1090" s="16" t="s">
        <v>296</v>
      </c>
      <c r="F1090" s="2">
        <v>31310</v>
      </c>
      <c r="G1090" s="2">
        <v>32123</v>
      </c>
      <c r="H1090" s="2">
        <v>39290</v>
      </c>
      <c r="I1090" s="25">
        <v>41820</v>
      </c>
      <c r="K1090" s="2">
        <v>39279</v>
      </c>
      <c r="L1090" t="s">
        <v>297</v>
      </c>
      <c r="M1090" t="s">
        <v>297</v>
      </c>
      <c r="N1090" s="23" t="str">
        <f>IF((I1090&gt;$W$2),"Y","N")</f>
        <v>Y</v>
      </c>
      <c r="O1090" s="30" t="s">
        <v>1963</v>
      </c>
      <c r="P1090" s="10" t="s">
        <v>259</v>
      </c>
      <c r="Q1090" s="10" t="s">
        <v>263</v>
      </c>
      <c r="S1090" s="16" t="str">
        <f>MID(Q1090,9,30)</f>
        <v>Gary R Blanton</v>
      </c>
      <c r="T1090" s="31">
        <v>41425</v>
      </c>
    </row>
    <row r="1091" spans="1:33" s="7" customFormat="1" hidden="1">
      <c r="A1091" s="7">
        <v>13</v>
      </c>
      <c r="B1091" s="7" t="s">
        <v>296</v>
      </c>
      <c r="C1091" s="7">
        <v>1287</v>
      </c>
      <c r="D1091" s="7" t="s">
        <v>380</v>
      </c>
      <c r="E1091" s="7" t="s">
        <v>316</v>
      </c>
      <c r="F1091" s="2">
        <v>36222</v>
      </c>
      <c r="G1091"/>
      <c r="H1091" s="2">
        <v>37592</v>
      </c>
      <c r="I1091" s="8">
        <v>36161</v>
      </c>
      <c r="J1091"/>
      <c r="K1091" s="2">
        <v>36487</v>
      </c>
      <c r="L1091" t="s">
        <v>297</v>
      </c>
      <c r="M1091" t="s">
        <v>297</v>
      </c>
      <c r="N1091"/>
      <c r="P1091" s="7" t="s">
        <v>266</v>
      </c>
      <c r="Q1091" s="7" t="s">
        <v>269</v>
      </c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  <c r="AC1091" s="10"/>
      <c r="AD1091" s="10"/>
      <c r="AE1091" s="10"/>
      <c r="AF1091" s="10"/>
      <c r="AG1091" s="10"/>
    </row>
    <row r="1092" spans="1:33" s="7" customFormat="1" hidden="1">
      <c r="A1092" s="7">
        <v>13</v>
      </c>
      <c r="B1092" s="7" t="s">
        <v>296</v>
      </c>
      <c r="C1092" s="7">
        <v>1417</v>
      </c>
      <c r="D1092" s="7" t="s">
        <v>315</v>
      </c>
      <c r="E1092" s="7" t="s">
        <v>316</v>
      </c>
      <c r="F1092" s="2">
        <v>37421</v>
      </c>
      <c r="G1092" s="2">
        <v>37764</v>
      </c>
      <c r="H1092" s="2">
        <v>37410</v>
      </c>
      <c r="I1092" s="8">
        <v>37786</v>
      </c>
      <c r="J1092"/>
      <c r="K1092"/>
      <c r="L1092" t="s">
        <v>297</v>
      </c>
      <c r="M1092" t="s">
        <v>322</v>
      </c>
      <c r="N1092"/>
      <c r="P1092" s="7" t="s">
        <v>266</v>
      </c>
      <c r="Q1092" s="7" t="s">
        <v>269</v>
      </c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  <c r="AC1092" s="10"/>
      <c r="AD1092" s="10"/>
      <c r="AE1092" s="10"/>
      <c r="AF1092" s="10"/>
      <c r="AG1092" s="10"/>
    </row>
    <row r="1093" spans="1:33" customFormat="1" hidden="1">
      <c r="A1093" t="s">
        <v>266</v>
      </c>
      <c r="B1093" t="s">
        <v>269</v>
      </c>
      <c r="I1093" s="6"/>
    </row>
    <row r="1094" spans="1:33">
      <c r="A1094" s="16">
        <v>12</v>
      </c>
      <c r="B1094" s="16" t="s">
        <v>153</v>
      </c>
      <c r="C1094" s="16">
        <v>508</v>
      </c>
      <c r="D1094" s="7" t="s">
        <v>295</v>
      </c>
      <c r="E1094" s="16" t="s">
        <v>296</v>
      </c>
      <c r="F1094" s="2">
        <v>31374</v>
      </c>
      <c r="G1094" s="2">
        <v>32220</v>
      </c>
      <c r="H1094" s="2">
        <v>39318</v>
      </c>
      <c r="I1094" s="25">
        <v>41820</v>
      </c>
      <c r="K1094" s="2">
        <v>36413</v>
      </c>
      <c r="L1094" t="s">
        <v>297</v>
      </c>
      <c r="N1094" s="23" t="str">
        <f t="shared" ref="N1094:N1106" si="118">IF((I1094&gt;$W$2),"Y","N")</f>
        <v>Y</v>
      </c>
      <c r="O1094" s="16" t="s">
        <v>1634</v>
      </c>
      <c r="P1094" s="10" t="s">
        <v>259</v>
      </c>
      <c r="Q1094" s="10" t="s">
        <v>263</v>
      </c>
      <c r="S1094" s="16" t="str">
        <f t="shared" ref="S1094:S1106" si="119">MID(Q1094,9,30)</f>
        <v>Gary R Blanton</v>
      </c>
      <c r="T1094" s="31">
        <v>41424</v>
      </c>
    </row>
    <row r="1095" spans="1:33">
      <c r="A1095" s="16">
        <v>12</v>
      </c>
      <c r="B1095" s="16" t="s">
        <v>153</v>
      </c>
      <c r="C1095" s="16">
        <v>543</v>
      </c>
      <c r="D1095" s="7" t="s">
        <v>295</v>
      </c>
      <c r="E1095" s="16" t="s">
        <v>296</v>
      </c>
      <c r="F1095" s="2">
        <v>31612</v>
      </c>
      <c r="G1095" s="2">
        <v>33124</v>
      </c>
      <c r="H1095" s="2">
        <v>39312</v>
      </c>
      <c r="I1095" s="25">
        <v>41820</v>
      </c>
      <c r="J1095" s="2">
        <v>39062</v>
      </c>
      <c r="K1095" s="2">
        <v>35066</v>
      </c>
      <c r="L1095" t="s">
        <v>297</v>
      </c>
      <c r="M1095" t="s">
        <v>297</v>
      </c>
      <c r="N1095" s="23" t="str">
        <f t="shared" si="118"/>
        <v>Y</v>
      </c>
      <c r="O1095" s="16" t="s">
        <v>1436</v>
      </c>
      <c r="P1095" s="10" t="s">
        <v>259</v>
      </c>
      <c r="Q1095" s="10" t="s">
        <v>263</v>
      </c>
      <c r="S1095" s="16" t="str">
        <f t="shared" si="119"/>
        <v>Gary R Blanton</v>
      </c>
      <c r="T1095" s="31">
        <v>41432</v>
      </c>
    </row>
    <row r="1096" spans="1:33">
      <c r="A1096" s="16">
        <v>12</v>
      </c>
      <c r="B1096" s="16" t="s">
        <v>153</v>
      </c>
      <c r="C1096" s="16">
        <v>688</v>
      </c>
      <c r="D1096" s="7" t="s">
        <v>295</v>
      </c>
      <c r="E1096" s="16" t="s">
        <v>296</v>
      </c>
      <c r="F1096" s="2">
        <v>32647</v>
      </c>
      <c r="G1096" s="2">
        <v>32648</v>
      </c>
      <c r="H1096" s="2">
        <v>38918</v>
      </c>
      <c r="I1096" s="25">
        <v>41820</v>
      </c>
      <c r="J1096" s="2">
        <v>33146</v>
      </c>
      <c r="K1096" s="2">
        <v>38918</v>
      </c>
      <c r="L1096" t="s">
        <v>297</v>
      </c>
      <c r="M1096" t="s">
        <v>297</v>
      </c>
      <c r="N1096" s="23" t="str">
        <f t="shared" si="118"/>
        <v>Y</v>
      </c>
      <c r="O1096" s="30" t="s">
        <v>1964</v>
      </c>
      <c r="P1096" s="10" t="s">
        <v>259</v>
      </c>
      <c r="Q1096" s="10" t="s">
        <v>263</v>
      </c>
      <c r="S1096" s="16" t="str">
        <f t="shared" si="119"/>
        <v>Gary R Blanton</v>
      </c>
      <c r="T1096" s="31">
        <v>41409</v>
      </c>
      <c r="U1096" s="24">
        <v>39968</v>
      </c>
    </row>
    <row r="1097" spans="1:33">
      <c r="A1097" s="16">
        <v>12</v>
      </c>
      <c r="B1097" s="16" t="s">
        <v>153</v>
      </c>
      <c r="C1097" s="16">
        <v>1046</v>
      </c>
      <c r="D1097" s="7" t="s">
        <v>295</v>
      </c>
      <c r="E1097" s="16" t="s">
        <v>296</v>
      </c>
      <c r="F1097" s="2">
        <v>34787</v>
      </c>
      <c r="G1097" s="2">
        <v>35573</v>
      </c>
      <c r="H1097" s="2">
        <v>39281</v>
      </c>
      <c r="I1097" s="25">
        <v>41820</v>
      </c>
      <c r="J1097" s="2">
        <v>35692</v>
      </c>
      <c r="K1097" s="2">
        <v>35711</v>
      </c>
      <c r="L1097" t="s">
        <v>297</v>
      </c>
      <c r="M1097" t="s">
        <v>297</v>
      </c>
      <c r="N1097" s="23" t="str">
        <f t="shared" si="118"/>
        <v>Y</v>
      </c>
      <c r="O1097" s="16" t="s">
        <v>1228</v>
      </c>
      <c r="P1097" s="10" t="s">
        <v>259</v>
      </c>
      <c r="Q1097" s="10" t="s">
        <v>263</v>
      </c>
      <c r="S1097" s="16" t="str">
        <f t="shared" si="119"/>
        <v>Gary R Blanton</v>
      </c>
      <c r="T1097" s="31">
        <v>41428</v>
      </c>
    </row>
    <row r="1098" spans="1:33">
      <c r="A1098" s="16">
        <v>12</v>
      </c>
      <c r="B1098" s="16" t="s">
        <v>153</v>
      </c>
      <c r="C1098" s="16">
        <v>1079</v>
      </c>
      <c r="D1098" s="7" t="s">
        <v>295</v>
      </c>
      <c r="E1098" s="16" t="s">
        <v>296</v>
      </c>
      <c r="F1098" s="2">
        <v>34997</v>
      </c>
      <c r="G1098" s="2">
        <v>35511</v>
      </c>
      <c r="H1098" s="2">
        <v>38923</v>
      </c>
      <c r="I1098" s="25">
        <v>41820</v>
      </c>
      <c r="J1098" s="2">
        <v>37925</v>
      </c>
      <c r="K1098" s="2">
        <v>38229</v>
      </c>
      <c r="L1098" t="s">
        <v>297</v>
      </c>
      <c r="M1098" t="s">
        <v>297</v>
      </c>
      <c r="N1098" s="23" t="str">
        <f t="shared" si="118"/>
        <v>Y</v>
      </c>
      <c r="O1098" s="16" t="s">
        <v>1229</v>
      </c>
      <c r="P1098" s="10" t="s">
        <v>259</v>
      </c>
      <c r="Q1098" s="10" t="s">
        <v>263</v>
      </c>
      <c r="S1098" s="16" t="str">
        <f t="shared" si="119"/>
        <v>Gary R Blanton</v>
      </c>
      <c r="T1098" s="31">
        <v>41415</v>
      </c>
      <c r="U1098" s="24">
        <v>39968</v>
      </c>
    </row>
    <row r="1099" spans="1:33">
      <c r="A1099" s="16">
        <v>12</v>
      </c>
      <c r="B1099" s="16" t="s">
        <v>317</v>
      </c>
      <c r="C1099" s="16">
        <v>272</v>
      </c>
      <c r="D1099" s="7" t="s">
        <v>295</v>
      </c>
      <c r="E1099" s="16" t="s">
        <v>296</v>
      </c>
      <c r="F1099" s="2">
        <v>29462</v>
      </c>
      <c r="G1099" s="2">
        <v>30025</v>
      </c>
      <c r="H1099" s="2">
        <v>39353</v>
      </c>
      <c r="I1099" s="25">
        <v>41820</v>
      </c>
      <c r="K1099" s="2">
        <v>35499</v>
      </c>
      <c r="L1099" t="s">
        <v>297</v>
      </c>
      <c r="M1099" t="s">
        <v>297</v>
      </c>
      <c r="N1099" s="23" t="str">
        <f t="shared" si="118"/>
        <v>Y</v>
      </c>
      <c r="O1099" s="30" t="s">
        <v>1965</v>
      </c>
      <c r="P1099" s="10" t="s">
        <v>259</v>
      </c>
      <c r="Q1099" s="10" t="s">
        <v>264</v>
      </c>
      <c r="S1099" s="16" t="str">
        <f t="shared" si="119"/>
        <v>Thomas H Cox</v>
      </c>
      <c r="T1099" s="31">
        <v>41422</v>
      </c>
    </row>
    <row r="1100" spans="1:33">
      <c r="A1100" s="16">
        <v>12</v>
      </c>
      <c r="B1100" s="16" t="s">
        <v>317</v>
      </c>
      <c r="C1100" s="16">
        <v>368</v>
      </c>
      <c r="D1100" s="7" t="s">
        <v>295</v>
      </c>
      <c r="E1100" s="16" t="s">
        <v>296</v>
      </c>
      <c r="F1100" s="2">
        <v>30188</v>
      </c>
      <c r="G1100" s="2">
        <v>30702</v>
      </c>
      <c r="H1100" s="2">
        <v>39183</v>
      </c>
      <c r="I1100" s="25">
        <v>41820</v>
      </c>
      <c r="K1100" s="2">
        <v>36227</v>
      </c>
      <c r="L1100" t="s">
        <v>297</v>
      </c>
      <c r="M1100" t="s">
        <v>297</v>
      </c>
      <c r="N1100" s="23" t="str">
        <f t="shared" si="118"/>
        <v>Y</v>
      </c>
      <c r="O1100" s="30" t="s">
        <v>1966</v>
      </c>
      <c r="P1100" s="10" t="s">
        <v>259</v>
      </c>
      <c r="Q1100" s="10" t="s">
        <v>264</v>
      </c>
      <c r="S1100" s="16" t="str">
        <f t="shared" si="119"/>
        <v>Thomas H Cox</v>
      </c>
      <c r="T1100" s="31">
        <v>41435</v>
      </c>
    </row>
    <row r="1101" spans="1:33">
      <c r="A1101" s="16">
        <v>12</v>
      </c>
      <c r="B1101" s="16" t="s">
        <v>317</v>
      </c>
      <c r="C1101" s="16">
        <v>528</v>
      </c>
      <c r="D1101" s="7" t="s">
        <v>295</v>
      </c>
      <c r="E1101" s="16" t="s">
        <v>296</v>
      </c>
      <c r="F1101" s="2">
        <v>31493</v>
      </c>
      <c r="G1101" s="2">
        <v>31969</v>
      </c>
      <c r="H1101" s="2">
        <v>39380</v>
      </c>
      <c r="I1101" s="25">
        <v>41455</v>
      </c>
      <c r="K1101" s="2">
        <v>36416</v>
      </c>
      <c r="L1101" t="s">
        <v>297</v>
      </c>
      <c r="M1101" t="s">
        <v>297</v>
      </c>
      <c r="N1101" s="23" t="str">
        <f t="shared" si="118"/>
        <v>N</v>
      </c>
      <c r="O1101" s="16" t="s">
        <v>1133</v>
      </c>
      <c r="P1101" s="10" t="s">
        <v>259</v>
      </c>
      <c r="Q1101" s="10" t="s">
        <v>264</v>
      </c>
      <c r="S1101" s="16" t="str">
        <f t="shared" si="119"/>
        <v>Thomas H Cox</v>
      </c>
      <c r="T1101" s="31" t="s">
        <v>1419</v>
      </c>
    </row>
    <row r="1102" spans="1:33">
      <c r="A1102" s="16">
        <v>12</v>
      </c>
      <c r="B1102" s="16" t="s">
        <v>317</v>
      </c>
      <c r="C1102" s="16">
        <v>714</v>
      </c>
      <c r="D1102" s="7" t="s">
        <v>295</v>
      </c>
      <c r="E1102" s="16" t="s">
        <v>296</v>
      </c>
      <c r="F1102" s="2">
        <v>32892</v>
      </c>
      <c r="G1102" s="2">
        <v>33318</v>
      </c>
      <c r="H1102" s="2">
        <v>38846</v>
      </c>
      <c r="I1102" s="25">
        <v>39994</v>
      </c>
      <c r="K1102" s="2">
        <v>38810</v>
      </c>
      <c r="L1102" t="s">
        <v>297</v>
      </c>
      <c r="M1102" t="s">
        <v>297</v>
      </c>
      <c r="N1102" s="23" t="str">
        <f t="shared" si="118"/>
        <v>N</v>
      </c>
      <c r="O1102" s="30" t="s">
        <v>1967</v>
      </c>
      <c r="P1102" s="10" t="s">
        <v>259</v>
      </c>
      <c r="Q1102" s="10" t="s">
        <v>264</v>
      </c>
      <c r="S1102" s="16" t="str">
        <f t="shared" si="119"/>
        <v>Thomas H Cox</v>
      </c>
      <c r="T1102" s="31" t="s">
        <v>1161</v>
      </c>
    </row>
    <row r="1103" spans="1:33">
      <c r="A1103" s="16">
        <v>12</v>
      </c>
      <c r="B1103" s="16" t="s">
        <v>317</v>
      </c>
      <c r="C1103" s="16">
        <v>1326</v>
      </c>
      <c r="D1103" t="s">
        <v>295</v>
      </c>
      <c r="E1103" s="16" t="s">
        <v>316</v>
      </c>
      <c r="F1103" s="2">
        <v>36574</v>
      </c>
      <c r="G1103" s="2">
        <v>39227</v>
      </c>
      <c r="H1103" s="2">
        <v>39259</v>
      </c>
      <c r="I1103" s="41" t="s">
        <v>1621</v>
      </c>
      <c r="L1103" t="s">
        <v>297</v>
      </c>
      <c r="M1103" t="s">
        <v>297</v>
      </c>
      <c r="N1103" s="23" t="str">
        <f t="shared" si="118"/>
        <v>Y</v>
      </c>
      <c r="O1103" s="29" t="s">
        <v>1270</v>
      </c>
      <c r="P1103" s="10" t="s">
        <v>259</v>
      </c>
      <c r="Q1103" s="10" t="s">
        <v>264</v>
      </c>
      <c r="S1103" s="16" t="str">
        <f t="shared" si="119"/>
        <v>Thomas H Cox</v>
      </c>
    </row>
    <row r="1104" spans="1:33">
      <c r="A1104" s="16">
        <v>12</v>
      </c>
      <c r="B1104" s="16" t="s">
        <v>317</v>
      </c>
      <c r="C1104" s="16">
        <v>1434</v>
      </c>
      <c r="D1104" s="7" t="s">
        <v>295</v>
      </c>
      <c r="E1104" s="16" t="s">
        <v>376</v>
      </c>
      <c r="F1104" s="2">
        <v>37575</v>
      </c>
      <c r="H1104" s="2">
        <v>39356</v>
      </c>
      <c r="I1104" s="25">
        <v>39994</v>
      </c>
      <c r="L1104" t="s">
        <v>297</v>
      </c>
      <c r="M1104" t="s">
        <v>297</v>
      </c>
      <c r="N1104" s="23" t="str">
        <f t="shared" si="118"/>
        <v>N</v>
      </c>
      <c r="O1104" s="16" t="s">
        <v>1230</v>
      </c>
      <c r="P1104" s="10" t="s">
        <v>259</v>
      </c>
      <c r="Q1104" s="10" t="s">
        <v>264</v>
      </c>
      <c r="S1104" s="16" t="str">
        <f t="shared" si="119"/>
        <v>Thomas H Cox</v>
      </c>
      <c r="T1104" s="31" t="s">
        <v>1159</v>
      </c>
    </row>
    <row r="1105" spans="1:33">
      <c r="A1105" s="16">
        <v>12</v>
      </c>
      <c r="B1105" s="16" t="s">
        <v>317</v>
      </c>
      <c r="C1105" s="16">
        <v>1542</v>
      </c>
      <c r="D1105" t="s">
        <v>295</v>
      </c>
      <c r="E1105" s="16" t="s">
        <v>316</v>
      </c>
      <c r="F1105" s="2">
        <v>39142</v>
      </c>
      <c r="H1105" s="2">
        <v>39311</v>
      </c>
      <c r="L1105" t="s">
        <v>297</v>
      </c>
      <c r="M1105" t="s">
        <v>297</v>
      </c>
      <c r="N1105" s="23" t="str">
        <f t="shared" si="118"/>
        <v>N</v>
      </c>
      <c r="O1105" s="16" t="s">
        <v>4</v>
      </c>
      <c r="P1105" s="10" t="s">
        <v>259</v>
      </c>
      <c r="Q1105" s="10" t="s">
        <v>264</v>
      </c>
      <c r="S1105" s="16" t="str">
        <f t="shared" si="119"/>
        <v>Thomas H Cox</v>
      </c>
    </row>
    <row r="1106" spans="1:33">
      <c r="A1106" s="16">
        <v>12</v>
      </c>
      <c r="B1106" s="16" t="s">
        <v>317</v>
      </c>
      <c r="C1106" s="16">
        <v>1543</v>
      </c>
      <c r="D1106" t="s">
        <v>295</v>
      </c>
      <c r="E1106" s="16" t="s">
        <v>376</v>
      </c>
      <c r="F1106" s="2">
        <v>39212</v>
      </c>
      <c r="H1106" s="2">
        <v>39225</v>
      </c>
      <c r="I1106" s="25">
        <v>39629</v>
      </c>
      <c r="L1106" t="s">
        <v>297</v>
      </c>
      <c r="M1106" t="s">
        <v>297</v>
      </c>
      <c r="N1106" s="23" t="str">
        <f t="shared" si="118"/>
        <v>N</v>
      </c>
      <c r="O1106" s="16" t="s">
        <v>5</v>
      </c>
      <c r="P1106" s="10" t="s">
        <v>259</v>
      </c>
      <c r="Q1106" s="10" t="s">
        <v>264</v>
      </c>
      <c r="S1106" s="16" t="str">
        <f t="shared" si="119"/>
        <v>Thomas H Cox</v>
      </c>
    </row>
    <row r="1107" spans="1:33" customFormat="1" hidden="1">
      <c r="A1107" t="s">
        <v>266</v>
      </c>
      <c r="B1107" t="s">
        <v>270</v>
      </c>
      <c r="I1107" s="6"/>
    </row>
    <row r="1108" spans="1:33">
      <c r="A1108" s="16">
        <v>12</v>
      </c>
      <c r="B1108" s="16" t="s">
        <v>317</v>
      </c>
      <c r="C1108" s="16">
        <v>1545</v>
      </c>
      <c r="D1108" t="s">
        <v>295</v>
      </c>
      <c r="E1108" s="16" t="s">
        <v>316</v>
      </c>
      <c r="F1108" s="2">
        <v>39234</v>
      </c>
      <c r="H1108" s="2">
        <v>39337</v>
      </c>
      <c r="I1108" s="25">
        <v>39629</v>
      </c>
      <c r="L1108" t="s">
        <v>297</v>
      </c>
      <c r="M1108" t="s">
        <v>297</v>
      </c>
      <c r="N1108" s="23" t="str">
        <f t="shared" ref="N1108:N1118" si="120">IF((I1108&gt;$W$2),"Y","N")</f>
        <v>N</v>
      </c>
      <c r="O1108" s="16" t="s">
        <v>6</v>
      </c>
      <c r="P1108" s="10" t="s">
        <v>259</v>
      </c>
      <c r="Q1108" s="10" t="s">
        <v>264</v>
      </c>
      <c r="S1108" s="16" t="str">
        <f>MID(Q1108,9,30)</f>
        <v>Thomas H Cox</v>
      </c>
    </row>
    <row r="1109" spans="1:33">
      <c r="A1109" s="16">
        <v>12</v>
      </c>
      <c r="B1109" s="16" t="s">
        <v>317</v>
      </c>
      <c r="C1109" s="16">
        <v>1585</v>
      </c>
      <c r="E1109" s="16" t="s">
        <v>299</v>
      </c>
      <c r="F1109" s="2">
        <v>37767</v>
      </c>
      <c r="H1109" s="2">
        <v>39101</v>
      </c>
      <c r="I1109" s="25">
        <v>40724</v>
      </c>
      <c r="L1109" t="s">
        <v>317</v>
      </c>
      <c r="M1109" t="s">
        <v>322</v>
      </c>
      <c r="N1109" s="21" t="str">
        <f t="shared" si="120"/>
        <v>N</v>
      </c>
      <c r="O1109" s="16" t="s">
        <v>1412</v>
      </c>
      <c r="T1109" s="31" t="s">
        <v>1325</v>
      </c>
    </row>
    <row r="1110" spans="1:33">
      <c r="A1110" s="16">
        <v>12</v>
      </c>
      <c r="B1110" s="16" t="s">
        <v>317</v>
      </c>
      <c r="C1110" s="16">
        <v>1598</v>
      </c>
      <c r="E1110" s="16" t="s">
        <v>299</v>
      </c>
      <c r="F1110" s="2">
        <v>38904</v>
      </c>
      <c r="H1110" s="2">
        <v>38904</v>
      </c>
      <c r="I1110" s="25">
        <v>41090</v>
      </c>
      <c r="L1110" t="s">
        <v>297</v>
      </c>
      <c r="M1110" t="s">
        <v>322</v>
      </c>
      <c r="N1110" s="23" t="str">
        <f t="shared" si="120"/>
        <v>N</v>
      </c>
      <c r="O1110" s="16" t="s">
        <v>1374</v>
      </c>
    </row>
    <row r="1111" spans="1:33">
      <c r="A1111" s="16">
        <v>12</v>
      </c>
      <c r="B1111" s="30" t="s">
        <v>317</v>
      </c>
      <c r="C1111" s="16">
        <v>1618</v>
      </c>
      <c r="E1111" s="30" t="s">
        <v>299</v>
      </c>
      <c r="I1111" s="25">
        <v>41820</v>
      </c>
      <c r="N1111" s="23" t="str">
        <f t="shared" si="120"/>
        <v>Y</v>
      </c>
      <c r="O1111" s="30" t="s">
        <v>1627</v>
      </c>
    </row>
    <row r="1112" spans="1:33">
      <c r="A1112" s="16">
        <v>13</v>
      </c>
      <c r="B1112" s="16" t="s">
        <v>140</v>
      </c>
      <c r="C1112" s="16">
        <v>452</v>
      </c>
      <c r="D1112" s="7" t="s">
        <v>295</v>
      </c>
      <c r="E1112" s="16" t="s">
        <v>296</v>
      </c>
      <c r="F1112" s="2">
        <v>31052</v>
      </c>
      <c r="G1112" s="2">
        <v>31738</v>
      </c>
      <c r="H1112" s="2">
        <v>39279</v>
      </c>
      <c r="I1112" s="25">
        <v>41820</v>
      </c>
      <c r="J1112" s="2">
        <v>37844</v>
      </c>
      <c r="K1112" s="2">
        <v>37592</v>
      </c>
      <c r="L1112" t="s">
        <v>297</v>
      </c>
      <c r="M1112" t="s">
        <v>297</v>
      </c>
      <c r="N1112" s="23" t="str">
        <f t="shared" si="120"/>
        <v>Y</v>
      </c>
      <c r="O1112" s="30" t="s">
        <v>1968</v>
      </c>
      <c r="P1112" s="10" t="s">
        <v>266</v>
      </c>
      <c r="Q1112" s="10" t="s">
        <v>267</v>
      </c>
      <c r="S1112" s="16" t="str">
        <f t="shared" ref="S1112:S1118" si="121">MID(Q1112,9,30)</f>
        <v>WILLIAM D JAMES</v>
      </c>
      <c r="T1112" s="31" t="s">
        <v>1612</v>
      </c>
    </row>
    <row r="1113" spans="1:33">
      <c r="A1113" s="16">
        <v>13</v>
      </c>
      <c r="B1113" s="16" t="s">
        <v>140</v>
      </c>
      <c r="C1113" s="16">
        <v>659</v>
      </c>
      <c r="D1113" t="s">
        <v>295</v>
      </c>
      <c r="E1113" s="16" t="s">
        <v>296</v>
      </c>
      <c r="F1113" s="2">
        <v>32522</v>
      </c>
      <c r="G1113" s="2">
        <v>33313</v>
      </c>
      <c r="H1113" s="2">
        <v>39141</v>
      </c>
      <c r="I1113" s="25">
        <v>41455</v>
      </c>
      <c r="K1113" s="2">
        <v>35475</v>
      </c>
      <c r="L1113" t="s">
        <v>297</v>
      </c>
      <c r="M1113" t="s">
        <v>297</v>
      </c>
      <c r="N1113" s="23" t="str">
        <f t="shared" si="120"/>
        <v>N</v>
      </c>
      <c r="O1113" s="30" t="s">
        <v>1969</v>
      </c>
      <c r="P1113" s="10" t="s">
        <v>266</v>
      </c>
      <c r="Q1113" s="10" t="s">
        <v>267</v>
      </c>
      <c r="S1113" s="16" t="str">
        <f t="shared" si="121"/>
        <v>WILLIAM D JAMES</v>
      </c>
      <c r="T1113" s="31" t="s">
        <v>1391</v>
      </c>
    </row>
    <row r="1114" spans="1:33">
      <c r="A1114" s="16">
        <v>13</v>
      </c>
      <c r="B1114" s="16" t="s">
        <v>140</v>
      </c>
      <c r="C1114" s="16">
        <v>703</v>
      </c>
      <c r="D1114" s="7" t="s">
        <v>295</v>
      </c>
      <c r="E1114" s="16" t="s">
        <v>296</v>
      </c>
      <c r="F1114" s="2">
        <v>32760</v>
      </c>
      <c r="G1114" s="2">
        <v>33264</v>
      </c>
      <c r="H1114" s="2">
        <v>39524</v>
      </c>
      <c r="I1114" s="25">
        <v>41820</v>
      </c>
      <c r="K1114" s="2">
        <v>38785</v>
      </c>
      <c r="L1114" t="s">
        <v>297</v>
      </c>
      <c r="M1114" t="s">
        <v>297</v>
      </c>
      <c r="N1114" s="23" t="str">
        <f t="shared" si="120"/>
        <v>Y</v>
      </c>
      <c r="O1114" s="16" t="s">
        <v>11</v>
      </c>
      <c r="P1114" s="10" t="s">
        <v>266</v>
      </c>
      <c r="Q1114" s="10" t="s">
        <v>267</v>
      </c>
      <c r="S1114" s="16" t="str">
        <f t="shared" si="121"/>
        <v>WILLIAM D JAMES</v>
      </c>
      <c r="T1114" s="31" t="s">
        <v>1619</v>
      </c>
      <c r="U1114" s="24">
        <v>39968</v>
      </c>
    </row>
    <row r="1115" spans="1:33">
      <c r="A1115" s="16">
        <v>13</v>
      </c>
      <c r="B1115" s="16" t="s">
        <v>140</v>
      </c>
      <c r="C1115" s="16">
        <v>775</v>
      </c>
      <c r="D1115" s="7" t="s">
        <v>295</v>
      </c>
      <c r="E1115" s="16" t="s">
        <v>296</v>
      </c>
      <c r="F1115" s="2">
        <v>33264</v>
      </c>
      <c r="G1115" s="2">
        <v>33279</v>
      </c>
      <c r="H1115" s="2">
        <v>38124</v>
      </c>
      <c r="I1115" s="25">
        <v>41820</v>
      </c>
      <c r="K1115" s="2">
        <v>36453</v>
      </c>
      <c r="L1115" t="s">
        <v>297</v>
      </c>
      <c r="M1115" t="s">
        <v>297</v>
      </c>
      <c r="N1115" s="23" t="str">
        <f t="shared" si="120"/>
        <v>Y</v>
      </c>
      <c r="O1115" s="16" t="s">
        <v>1608</v>
      </c>
      <c r="P1115" s="10" t="s">
        <v>266</v>
      </c>
      <c r="Q1115" s="10" t="s">
        <v>267</v>
      </c>
      <c r="S1115" s="16" t="str">
        <f t="shared" si="121"/>
        <v>WILLIAM D JAMES</v>
      </c>
      <c r="T1115" s="31">
        <v>41425</v>
      </c>
    </row>
    <row r="1116" spans="1:33">
      <c r="A1116" s="16">
        <v>13</v>
      </c>
      <c r="B1116" s="16" t="s">
        <v>140</v>
      </c>
      <c r="C1116" s="16">
        <v>879</v>
      </c>
      <c r="D1116" t="s">
        <v>295</v>
      </c>
      <c r="E1116" s="16" t="s">
        <v>296</v>
      </c>
      <c r="F1116" s="2">
        <v>33995</v>
      </c>
      <c r="G1116" s="2">
        <v>34593</v>
      </c>
      <c r="H1116" s="2">
        <v>38817</v>
      </c>
      <c r="I1116" s="25">
        <v>41820</v>
      </c>
      <c r="K1116" s="2">
        <v>38633</v>
      </c>
      <c r="L1116" t="s">
        <v>297</v>
      </c>
      <c r="M1116" t="s">
        <v>297</v>
      </c>
      <c r="N1116" s="23" t="str">
        <f t="shared" si="120"/>
        <v>Y</v>
      </c>
      <c r="O1116" s="16" t="s">
        <v>13</v>
      </c>
      <c r="P1116" s="10" t="s">
        <v>266</v>
      </c>
      <c r="Q1116" s="10" t="s">
        <v>267</v>
      </c>
      <c r="S1116" s="16" t="str">
        <f t="shared" si="121"/>
        <v>WILLIAM D JAMES</v>
      </c>
      <c r="T1116" s="31">
        <v>41442</v>
      </c>
    </row>
    <row r="1117" spans="1:33">
      <c r="A1117" s="16">
        <v>13</v>
      </c>
      <c r="B1117" s="16" t="s">
        <v>140</v>
      </c>
      <c r="C1117" s="16">
        <v>1003</v>
      </c>
      <c r="D1117" s="7" t="s">
        <v>295</v>
      </c>
      <c r="E1117" s="16" t="s">
        <v>296</v>
      </c>
      <c r="F1117" s="2">
        <v>34349</v>
      </c>
      <c r="G1117" s="2">
        <v>34985</v>
      </c>
      <c r="H1117" s="2">
        <v>39142</v>
      </c>
      <c r="I1117" s="25">
        <v>41820</v>
      </c>
      <c r="K1117" s="2">
        <v>35506</v>
      </c>
      <c r="L1117" t="s">
        <v>297</v>
      </c>
      <c r="M1117" t="s">
        <v>297</v>
      </c>
      <c r="N1117" s="23" t="str">
        <f t="shared" si="120"/>
        <v>Y</v>
      </c>
      <c r="O1117" s="30" t="s">
        <v>1970</v>
      </c>
      <c r="P1117" s="10" t="s">
        <v>266</v>
      </c>
      <c r="Q1117" s="10" t="s">
        <v>267</v>
      </c>
      <c r="S1117" s="16" t="str">
        <f t="shared" si="121"/>
        <v>WILLIAM D JAMES</v>
      </c>
      <c r="T1117" s="31">
        <v>41425</v>
      </c>
    </row>
    <row r="1118" spans="1:33">
      <c r="A1118" s="16">
        <v>13</v>
      </c>
      <c r="B1118" s="16" t="s">
        <v>140</v>
      </c>
      <c r="C1118" s="16">
        <v>1004</v>
      </c>
      <c r="D1118" s="7" t="s">
        <v>295</v>
      </c>
      <c r="E1118" s="16" t="s">
        <v>296</v>
      </c>
      <c r="F1118" s="2">
        <v>34592</v>
      </c>
      <c r="G1118" s="2">
        <v>34985</v>
      </c>
      <c r="H1118" s="2">
        <v>39420</v>
      </c>
      <c r="I1118" s="25">
        <v>41090</v>
      </c>
      <c r="L1118" t="s">
        <v>297</v>
      </c>
      <c r="M1118" t="s">
        <v>297</v>
      </c>
      <c r="N1118" s="23" t="str">
        <f t="shared" si="120"/>
        <v>N</v>
      </c>
      <c r="O1118" s="30" t="s">
        <v>1971</v>
      </c>
      <c r="P1118" s="10" t="s">
        <v>266</v>
      </c>
      <c r="Q1118" s="10" t="s">
        <v>267</v>
      </c>
      <c r="S1118" s="16" t="str">
        <f t="shared" si="121"/>
        <v>WILLIAM D JAMES</v>
      </c>
      <c r="T1118" s="31" t="s">
        <v>1320</v>
      </c>
    </row>
    <row r="1119" spans="1:33" s="7" customFormat="1" hidden="1">
      <c r="A1119" s="7">
        <v>13</v>
      </c>
      <c r="B1119" s="7" t="s">
        <v>317</v>
      </c>
      <c r="C1119" s="7">
        <v>1260</v>
      </c>
      <c r="D1119" s="7" t="s">
        <v>377</v>
      </c>
      <c r="E1119" s="7" t="s">
        <v>316</v>
      </c>
      <c r="F1119" s="2">
        <v>35983</v>
      </c>
      <c r="G1119"/>
      <c r="H1119" s="2">
        <v>36307</v>
      </c>
      <c r="I1119" s="8">
        <v>36341</v>
      </c>
      <c r="J1119"/>
      <c r="K1119"/>
      <c r="L1119" t="s">
        <v>297</v>
      </c>
      <c r="M1119" t="s">
        <v>297</v>
      </c>
      <c r="N1119"/>
      <c r="P1119" s="7" t="s">
        <v>266</v>
      </c>
      <c r="Q1119" s="7" t="s">
        <v>271</v>
      </c>
      <c r="R1119" s="10"/>
      <c r="S1119" s="10"/>
      <c r="T1119" s="10"/>
      <c r="U1119" s="10"/>
      <c r="V1119" s="10"/>
      <c r="W1119" s="10"/>
      <c r="X1119" s="10"/>
      <c r="Y1119" s="10"/>
      <c r="Z1119" s="10"/>
      <c r="AA1119" s="10"/>
      <c r="AB1119" s="10"/>
      <c r="AC1119" s="10"/>
      <c r="AD1119" s="10"/>
      <c r="AE1119" s="10"/>
      <c r="AF1119" s="10"/>
      <c r="AG1119" s="10"/>
    </row>
    <row r="1120" spans="1:33">
      <c r="A1120" s="16">
        <v>13</v>
      </c>
      <c r="B1120" s="16" t="s">
        <v>140</v>
      </c>
      <c r="C1120" s="16">
        <v>1203</v>
      </c>
      <c r="D1120" s="7" t="s">
        <v>295</v>
      </c>
      <c r="E1120" s="16" t="s">
        <v>296</v>
      </c>
      <c r="F1120" s="2">
        <v>35605</v>
      </c>
      <c r="G1120" s="2">
        <v>37092</v>
      </c>
      <c r="H1120" s="2">
        <v>39310</v>
      </c>
      <c r="I1120" s="25">
        <v>41820</v>
      </c>
      <c r="J1120" s="2">
        <v>37988</v>
      </c>
      <c r="K1120" s="2">
        <v>37325</v>
      </c>
      <c r="L1120" t="s">
        <v>297</v>
      </c>
      <c r="M1120" t="s">
        <v>297</v>
      </c>
      <c r="N1120" s="23" t="str">
        <f>IF((I1120&gt;$W$2),"Y","N")</f>
        <v>Y</v>
      </c>
      <c r="O1120" s="16" t="s">
        <v>16</v>
      </c>
      <c r="P1120" s="10" t="s">
        <v>266</v>
      </c>
      <c r="Q1120" s="10" t="s">
        <v>267</v>
      </c>
      <c r="S1120" s="16" t="str">
        <f>MID(Q1120,9,30)</f>
        <v>WILLIAM D JAMES</v>
      </c>
      <c r="T1120" s="31">
        <v>41425</v>
      </c>
    </row>
    <row r="1121" spans="1:33" customFormat="1" hidden="1">
      <c r="A1121" t="s">
        <v>266</v>
      </c>
      <c r="B1121" t="s">
        <v>271</v>
      </c>
      <c r="I1121" s="6"/>
    </row>
    <row r="1122" spans="1:33" s="7" customFormat="1" hidden="1">
      <c r="A1122" s="7">
        <v>13</v>
      </c>
      <c r="B1122" s="7" t="s">
        <v>155</v>
      </c>
      <c r="C1122" s="7">
        <v>959</v>
      </c>
      <c r="D1122" s="7" t="s">
        <v>348</v>
      </c>
      <c r="E1122" s="7" t="s">
        <v>316</v>
      </c>
      <c r="F1122" s="2">
        <v>34494</v>
      </c>
      <c r="G1122"/>
      <c r="H1122" s="2">
        <v>36438</v>
      </c>
      <c r="I1122" s="8">
        <v>35611</v>
      </c>
      <c r="J1122" s="2">
        <v>35882</v>
      </c>
      <c r="K1122" s="2">
        <v>36438</v>
      </c>
      <c r="L1122" t="s">
        <v>297</v>
      </c>
      <c r="M1122" t="s">
        <v>297</v>
      </c>
      <c r="N1122"/>
      <c r="P1122" s="7" t="s">
        <v>266</v>
      </c>
      <c r="Q1122" s="7" t="s">
        <v>272</v>
      </c>
      <c r="R1122" s="10"/>
      <c r="S1122" s="10"/>
      <c r="T1122" s="10"/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  <c r="AF1122" s="10"/>
      <c r="AG1122" s="10"/>
    </row>
    <row r="1123" spans="1:33">
      <c r="A1123" s="16">
        <v>13</v>
      </c>
      <c r="B1123" s="16" t="s">
        <v>140</v>
      </c>
      <c r="C1123" s="16">
        <v>1388</v>
      </c>
      <c r="D1123" t="s">
        <v>295</v>
      </c>
      <c r="E1123" s="16" t="s">
        <v>296</v>
      </c>
      <c r="F1123" s="2">
        <v>37110</v>
      </c>
      <c r="G1123" s="2">
        <v>37764</v>
      </c>
      <c r="H1123" s="2">
        <v>39483</v>
      </c>
      <c r="I1123" s="25">
        <v>41090</v>
      </c>
      <c r="J1123" s="2">
        <v>37988</v>
      </c>
      <c r="K1123" s="2">
        <v>37988</v>
      </c>
      <c r="L1123" t="s">
        <v>297</v>
      </c>
      <c r="M1123" t="s">
        <v>322</v>
      </c>
      <c r="N1123" s="23" t="str">
        <f>IF((I1123&gt;$W$2),"Y","N")</f>
        <v>N</v>
      </c>
      <c r="O1123" s="30" t="s">
        <v>1972</v>
      </c>
      <c r="P1123" s="10" t="s">
        <v>266</v>
      </c>
      <c r="Q1123" s="10" t="s">
        <v>267</v>
      </c>
      <c r="S1123" s="16" t="str">
        <f>MID(Q1123,9,30)</f>
        <v>WILLIAM D JAMES</v>
      </c>
      <c r="T1123" s="31" t="s">
        <v>1308</v>
      </c>
    </row>
    <row r="1124" spans="1:33" s="7" customFormat="1" hidden="1">
      <c r="A1124" s="7">
        <v>13</v>
      </c>
      <c r="B1124" s="7" t="s">
        <v>155</v>
      </c>
      <c r="C1124" s="7">
        <v>1040</v>
      </c>
      <c r="D1124" s="7" t="s">
        <v>377</v>
      </c>
      <c r="E1124" s="7" t="s">
        <v>316</v>
      </c>
      <c r="F1124" s="2">
        <v>34775</v>
      </c>
      <c r="G1124"/>
      <c r="H1124" s="2">
        <v>36013</v>
      </c>
      <c r="I1124" s="8">
        <v>35064</v>
      </c>
      <c r="J1124" s="2">
        <v>34935</v>
      </c>
      <c r="K1124" s="2">
        <v>34964</v>
      </c>
      <c r="L1124" t="s">
        <v>297</v>
      </c>
      <c r="M1124" t="s">
        <v>297</v>
      </c>
      <c r="N1124"/>
      <c r="P1124" s="7" t="s">
        <v>266</v>
      </c>
      <c r="Q1124" s="7" t="s">
        <v>272</v>
      </c>
      <c r="R1124" s="10"/>
      <c r="S1124" s="10"/>
      <c r="T1124" s="10"/>
      <c r="U1124" s="10"/>
      <c r="V1124" s="10"/>
      <c r="W1124" s="10"/>
      <c r="X1124" s="10"/>
      <c r="Y1124" s="10"/>
      <c r="Z1124" s="10"/>
      <c r="AA1124" s="10"/>
      <c r="AB1124" s="10"/>
      <c r="AC1124" s="10"/>
      <c r="AD1124" s="10"/>
      <c r="AE1124" s="10"/>
      <c r="AF1124" s="10"/>
      <c r="AG1124" s="10"/>
    </row>
    <row r="1125" spans="1:33">
      <c r="A1125" s="16">
        <v>13</v>
      </c>
      <c r="B1125" s="16" t="s">
        <v>140</v>
      </c>
      <c r="C1125" s="16">
        <v>1392</v>
      </c>
      <c r="D1125" s="7" t="s">
        <v>295</v>
      </c>
      <c r="E1125" s="16" t="s">
        <v>296</v>
      </c>
      <c r="F1125" s="2">
        <v>37144</v>
      </c>
      <c r="G1125" s="2">
        <v>38061</v>
      </c>
      <c r="H1125" s="2">
        <v>39353</v>
      </c>
      <c r="I1125" s="25">
        <v>41455</v>
      </c>
      <c r="J1125" s="2">
        <v>38309</v>
      </c>
      <c r="L1125" t="s">
        <v>297</v>
      </c>
      <c r="M1125" t="s">
        <v>297</v>
      </c>
      <c r="N1125" s="23" t="str">
        <f>IF((I1125&gt;$W$2),"Y","N")</f>
        <v>N</v>
      </c>
      <c r="O1125" s="16" t="s">
        <v>1207</v>
      </c>
      <c r="P1125" s="10" t="s">
        <v>266</v>
      </c>
      <c r="Q1125" s="10" t="s">
        <v>267</v>
      </c>
      <c r="S1125" s="16" t="str">
        <f>MID(Q1125,9,30)</f>
        <v>WILLIAM D JAMES</v>
      </c>
      <c r="T1125" s="31" t="s">
        <v>1394</v>
      </c>
    </row>
    <row r="1126" spans="1:33" customFormat="1" hidden="1">
      <c r="A1126">
        <v>13</v>
      </c>
      <c r="B1126" t="s">
        <v>155</v>
      </c>
      <c r="C1126">
        <v>1314</v>
      </c>
      <c r="D1126" t="s">
        <v>66</v>
      </c>
      <c r="E1126" t="s">
        <v>316</v>
      </c>
      <c r="F1126" s="2">
        <v>36474</v>
      </c>
      <c r="H1126" s="2">
        <v>36474</v>
      </c>
      <c r="I1126" s="6"/>
      <c r="L1126" t="s">
        <v>322</v>
      </c>
      <c r="M1126" t="s">
        <v>297</v>
      </c>
      <c r="P1126" t="s">
        <v>266</v>
      </c>
      <c r="Q1126" t="s">
        <v>272</v>
      </c>
      <c r="R1126" s="10"/>
      <c r="S1126" s="10"/>
      <c r="T1126" s="10"/>
      <c r="U1126" s="10"/>
      <c r="V1126" s="10"/>
      <c r="W1126" s="10"/>
      <c r="X1126" s="10"/>
      <c r="Y1126" s="10"/>
      <c r="Z1126" s="10"/>
      <c r="AA1126" s="10"/>
      <c r="AB1126" s="10"/>
      <c r="AC1126" s="10"/>
      <c r="AD1126" s="10"/>
      <c r="AE1126" s="10"/>
      <c r="AF1126" s="10"/>
      <c r="AG1126" s="10"/>
    </row>
    <row r="1127" spans="1:33" s="7" customFormat="1" hidden="1">
      <c r="A1127" s="7">
        <v>13</v>
      </c>
      <c r="B1127" s="7" t="s">
        <v>155</v>
      </c>
      <c r="C1127" s="7">
        <v>1325</v>
      </c>
      <c r="D1127" s="7" t="s">
        <v>377</v>
      </c>
      <c r="E1127" s="7" t="s">
        <v>316</v>
      </c>
      <c r="F1127" s="2">
        <v>36573</v>
      </c>
      <c r="G1127"/>
      <c r="H1127" s="2">
        <v>36882</v>
      </c>
      <c r="I1127" s="8">
        <v>36525</v>
      </c>
      <c r="J1127"/>
      <c r="K1127"/>
      <c r="L1127" t="s">
        <v>317</v>
      </c>
      <c r="M1127" t="s">
        <v>297</v>
      </c>
      <c r="N1127"/>
      <c r="O1127" s="7" t="s">
        <v>318</v>
      </c>
      <c r="P1127" s="7" t="s">
        <v>266</v>
      </c>
      <c r="Q1127" s="7" t="s">
        <v>272</v>
      </c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0"/>
      <c r="AF1127" s="10"/>
      <c r="AG1127" s="10"/>
    </row>
    <row r="1128" spans="1:33" s="7" customFormat="1" hidden="1">
      <c r="A1128" s="7">
        <v>13</v>
      </c>
      <c r="B1128" s="7" t="s">
        <v>155</v>
      </c>
      <c r="C1128" s="7">
        <v>1369</v>
      </c>
      <c r="D1128" s="7" t="s">
        <v>348</v>
      </c>
      <c r="E1128" s="7" t="s">
        <v>316</v>
      </c>
      <c r="F1128" s="2">
        <v>36922</v>
      </c>
      <c r="G1128"/>
      <c r="H1128" s="2">
        <v>37050</v>
      </c>
      <c r="I1128" s="8">
        <v>36922</v>
      </c>
      <c r="J1128"/>
      <c r="K1128"/>
      <c r="L1128" t="s">
        <v>322</v>
      </c>
      <c r="M1128" t="s">
        <v>297</v>
      </c>
      <c r="N1128"/>
      <c r="P1128" s="7" t="s">
        <v>266</v>
      </c>
      <c r="Q1128" s="7" t="s">
        <v>272</v>
      </c>
      <c r="R1128" s="10"/>
      <c r="S1128" s="10"/>
      <c r="T1128" s="10"/>
      <c r="U1128" s="10"/>
      <c r="V1128" s="10"/>
      <c r="W1128" s="10"/>
      <c r="X1128" s="10"/>
      <c r="Y1128" s="10"/>
      <c r="Z1128" s="10"/>
      <c r="AA1128" s="10"/>
      <c r="AB1128" s="10"/>
      <c r="AC1128" s="10"/>
      <c r="AD1128" s="10"/>
      <c r="AE1128" s="10"/>
      <c r="AF1128" s="10"/>
      <c r="AG1128" s="10"/>
    </row>
    <row r="1129" spans="1:33" s="7" customFormat="1" hidden="1">
      <c r="A1129" s="7">
        <v>13</v>
      </c>
      <c r="B1129" s="7" t="s">
        <v>155</v>
      </c>
      <c r="C1129" s="7">
        <v>1445</v>
      </c>
      <c r="D1129" s="7" t="s">
        <v>380</v>
      </c>
      <c r="E1129" s="7" t="s">
        <v>316</v>
      </c>
      <c r="F1129" s="2">
        <v>37729</v>
      </c>
      <c r="G1129"/>
      <c r="H1129" s="2">
        <v>38121</v>
      </c>
      <c r="I1129" s="8">
        <v>37986</v>
      </c>
      <c r="J1129"/>
      <c r="K1129"/>
      <c r="L1129" t="s">
        <v>297</v>
      </c>
      <c r="M1129" t="s">
        <v>322</v>
      </c>
      <c r="N1129"/>
      <c r="P1129" s="7" t="s">
        <v>266</v>
      </c>
      <c r="Q1129" s="7" t="s">
        <v>272</v>
      </c>
      <c r="R1129" s="10"/>
      <c r="S1129" s="10"/>
      <c r="T1129" s="10"/>
      <c r="U1129" s="10"/>
      <c r="V1129" s="10"/>
      <c r="W1129" s="10"/>
      <c r="X1129" s="10"/>
      <c r="Y1129" s="10"/>
      <c r="Z1129" s="10"/>
      <c r="AA1129" s="10"/>
      <c r="AB1129" s="10"/>
      <c r="AC1129" s="10"/>
      <c r="AD1129" s="10"/>
      <c r="AE1129" s="10"/>
      <c r="AF1129" s="10"/>
      <c r="AG1129" s="10"/>
    </row>
    <row r="1130" spans="1:33" customFormat="1" hidden="1">
      <c r="A1130" t="s">
        <v>266</v>
      </c>
      <c r="B1130" t="s">
        <v>272</v>
      </c>
      <c r="I1130" s="6"/>
    </row>
    <row r="1131" spans="1:33">
      <c r="A1131" s="16">
        <v>13</v>
      </c>
      <c r="B1131" s="16" t="s">
        <v>140</v>
      </c>
      <c r="C1131" s="16">
        <v>1451</v>
      </c>
      <c r="D1131" s="7" t="s">
        <v>295</v>
      </c>
      <c r="E1131" s="16" t="s">
        <v>296</v>
      </c>
      <c r="F1131" s="2">
        <v>37759</v>
      </c>
      <c r="G1131" s="2">
        <v>38366</v>
      </c>
      <c r="H1131" s="2">
        <v>39219</v>
      </c>
      <c r="I1131" s="25">
        <v>41455</v>
      </c>
      <c r="K1131" s="2">
        <v>38783</v>
      </c>
      <c r="L1131" t="s">
        <v>297</v>
      </c>
      <c r="M1131" t="s">
        <v>297</v>
      </c>
      <c r="N1131" s="23" t="str">
        <f>IF((I1131&gt;$W$2),"Y","N")</f>
        <v>N</v>
      </c>
      <c r="O1131" s="30" t="s">
        <v>1973</v>
      </c>
      <c r="P1131" s="10" t="s">
        <v>266</v>
      </c>
      <c r="Q1131" s="10" t="s">
        <v>267</v>
      </c>
      <c r="S1131" s="16" t="str">
        <f>MID(Q1131,9,30)</f>
        <v>WILLIAM D JAMES</v>
      </c>
      <c r="T1131" s="31" t="s">
        <v>1415</v>
      </c>
    </row>
    <row r="1132" spans="1:33">
      <c r="A1132" s="16">
        <v>13</v>
      </c>
      <c r="B1132" s="16" t="s">
        <v>140</v>
      </c>
      <c r="C1132" s="16">
        <v>1499</v>
      </c>
      <c r="D1132" t="s">
        <v>295</v>
      </c>
      <c r="E1132" s="16" t="s">
        <v>296</v>
      </c>
      <c r="F1132" s="2">
        <v>38412</v>
      </c>
      <c r="G1132" s="2">
        <v>39108</v>
      </c>
      <c r="H1132" s="2">
        <v>39507</v>
      </c>
      <c r="I1132" s="25">
        <v>41820</v>
      </c>
      <c r="L1132" t="s">
        <v>297</v>
      </c>
      <c r="M1132" t="s">
        <v>297</v>
      </c>
      <c r="N1132" s="23" t="str">
        <f>IF((I1132&gt;$W$2),"Y","N")</f>
        <v>Y</v>
      </c>
      <c r="O1132" s="30" t="s">
        <v>1974</v>
      </c>
      <c r="P1132" s="10" t="s">
        <v>266</v>
      </c>
      <c r="Q1132" s="10" t="s">
        <v>267</v>
      </c>
      <c r="S1132" s="16" t="str">
        <f>MID(Q1132,9,30)</f>
        <v>WILLIAM D JAMES</v>
      </c>
      <c r="T1132" s="31">
        <v>41480</v>
      </c>
    </row>
    <row r="1133" spans="1:33" customFormat="1" hidden="1">
      <c r="A1133">
        <v>13</v>
      </c>
      <c r="B1133" t="s">
        <v>157</v>
      </c>
      <c r="C1133">
        <v>1208</v>
      </c>
      <c r="D1133" t="s">
        <v>464</v>
      </c>
      <c r="E1133" t="s">
        <v>316</v>
      </c>
      <c r="F1133" s="2">
        <v>35646</v>
      </c>
      <c r="H1133" s="2">
        <v>36024</v>
      </c>
      <c r="I1133" s="6"/>
      <c r="L1133" t="s">
        <v>322</v>
      </c>
      <c r="M1133" t="s">
        <v>297</v>
      </c>
      <c r="P1133" t="s">
        <v>266</v>
      </c>
      <c r="Q1133" t="s">
        <v>273</v>
      </c>
      <c r="R1133" s="10"/>
      <c r="S1133" s="10"/>
      <c r="T1133" s="10"/>
      <c r="U1133" s="10"/>
      <c r="V1133" s="10"/>
      <c r="W1133" s="10"/>
      <c r="X1133" s="10"/>
      <c r="Y1133" s="10"/>
      <c r="Z1133" s="10"/>
      <c r="AA1133" s="10"/>
      <c r="AB1133" s="10"/>
      <c r="AC1133" s="10"/>
      <c r="AD1133" s="10"/>
      <c r="AE1133" s="10"/>
      <c r="AF1133" s="10"/>
      <c r="AG1133" s="10"/>
    </row>
    <row r="1134" spans="1:33">
      <c r="A1134" s="16">
        <v>13</v>
      </c>
      <c r="B1134" s="16" t="s">
        <v>140</v>
      </c>
      <c r="C1134" s="16">
        <v>1500</v>
      </c>
      <c r="D1134" s="7" t="s">
        <v>295</v>
      </c>
      <c r="E1134" s="16" t="s">
        <v>296</v>
      </c>
      <c r="F1134" s="2">
        <v>38414</v>
      </c>
      <c r="H1134" s="2">
        <v>38824</v>
      </c>
      <c r="I1134" s="25">
        <v>41820</v>
      </c>
      <c r="K1134" s="2">
        <v>38797</v>
      </c>
      <c r="L1134" t="s">
        <v>297</v>
      </c>
      <c r="M1134" t="s">
        <v>297</v>
      </c>
      <c r="N1134" s="23" t="str">
        <f>IF((I1134&gt;$W$2),"Y","N")</f>
        <v>Y</v>
      </c>
      <c r="O1134" s="16" t="s">
        <v>1208</v>
      </c>
      <c r="P1134" s="10" t="s">
        <v>266</v>
      </c>
      <c r="Q1134" s="10" t="s">
        <v>267</v>
      </c>
      <c r="S1134" s="16" t="str">
        <f>MID(Q1134,9,30)</f>
        <v>WILLIAM D JAMES</v>
      </c>
      <c r="T1134" s="31">
        <v>41470</v>
      </c>
    </row>
    <row r="1135" spans="1:33" customFormat="1" hidden="1">
      <c r="A1135">
        <v>13</v>
      </c>
      <c r="B1135" t="s">
        <v>157</v>
      </c>
      <c r="C1135">
        <v>1305</v>
      </c>
      <c r="D1135" t="s">
        <v>380</v>
      </c>
      <c r="E1135" t="s">
        <v>316</v>
      </c>
      <c r="F1135" s="2">
        <v>36353</v>
      </c>
      <c r="I1135" s="6"/>
      <c r="L1135" t="s">
        <v>317</v>
      </c>
      <c r="M1135" t="s">
        <v>297</v>
      </c>
      <c r="P1135" t="s">
        <v>266</v>
      </c>
      <c r="Q1135" t="s">
        <v>273</v>
      </c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  <c r="AC1135" s="10"/>
      <c r="AD1135" s="10"/>
      <c r="AE1135" s="10"/>
      <c r="AF1135" s="10"/>
      <c r="AG1135" s="10"/>
    </row>
    <row r="1136" spans="1:33">
      <c r="A1136" s="16">
        <v>13</v>
      </c>
      <c r="B1136" s="16" t="s">
        <v>140</v>
      </c>
      <c r="C1136" s="16">
        <v>1539</v>
      </c>
      <c r="D1136" s="7" t="s">
        <v>295</v>
      </c>
      <c r="E1136" s="16" t="s">
        <v>296</v>
      </c>
      <c r="F1136" s="2">
        <v>39149</v>
      </c>
      <c r="H1136" s="2">
        <v>39149</v>
      </c>
      <c r="I1136" s="25">
        <v>41820</v>
      </c>
      <c r="L1136" t="s">
        <v>297</v>
      </c>
      <c r="M1136" t="s">
        <v>297</v>
      </c>
      <c r="N1136" s="23" t="str">
        <f>IF((I1136&gt;$W$2),"Y","N")</f>
        <v>Y</v>
      </c>
      <c r="O1136" s="16" t="s">
        <v>22</v>
      </c>
      <c r="P1136" s="10" t="s">
        <v>266</v>
      </c>
      <c r="Q1136" s="10" t="s">
        <v>267</v>
      </c>
      <c r="S1136" s="16" t="str">
        <f>MID(Q1136,9,30)</f>
        <v>WILLIAM D JAMES</v>
      </c>
      <c r="T1136" s="31">
        <v>41424</v>
      </c>
    </row>
    <row r="1137" spans="1:33">
      <c r="A1137" s="16">
        <v>13</v>
      </c>
      <c r="B1137" s="16" t="s">
        <v>140</v>
      </c>
      <c r="C1137" s="16">
        <v>1540</v>
      </c>
      <c r="D1137" t="s">
        <v>295</v>
      </c>
      <c r="E1137" s="16" t="s">
        <v>299</v>
      </c>
      <c r="F1137" s="2">
        <v>39149</v>
      </c>
      <c r="H1137" s="2">
        <v>39159</v>
      </c>
      <c r="I1137" s="25">
        <v>41455</v>
      </c>
      <c r="L1137" t="s">
        <v>297</v>
      </c>
      <c r="M1137" t="s">
        <v>297</v>
      </c>
      <c r="N1137" s="23" t="str">
        <f>IF((I1137&gt;$W$2),"Y","N")</f>
        <v>N</v>
      </c>
      <c r="O1137" s="16" t="s">
        <v>1209</v>
      </c>
      <c r="P1137" s="10" t="s">
        <v>266</v>
      </c>
      <c r="Q1137" s="10" t="s">
        <v>267</v>
      </c>
      <c r="S1137" s="16" t="str">
        <f>MID(Q1137,9,30)</f>
        <v>WILLIAM D JAMES</v>
      </c>
      <c r="T1137" s="31" t="s">
        <v>1537</v>
      </c>
    </row>
    <row r="1138" spans="1:33" customFormat="1" hidden="1">
      <c r="A1138" t="s">
        <v>266</v>
      </c>
      <c r="B1138" t="s">
        <v>273</v>
      </c>
      <c r="I1138" s="6"/>
    </row>
    <row r="1139" spans="1:33">
      <c r="A1139" s="16">
        <v>13</v>
      </c>
      <c r="B1139" s="16" t="s">
        <v>140</v>
      </c>
      <c r="C1139" s="16">
        <v>1557</v>
      </c>
      <c r="D1139" t="s">
        <v>295</v>
      </c>
      <c r="E1139" s="16" t="s">
        <v>296</v>
      </c>
      <c r="F1139" s="2">
        <v>39448</v>
      </c>
      <c r="H1139" s="2">
        <v>39525</v>
      </c>
      <c r="I1139" s="25">
        <v>41820</v>
      </c>
      <c r="L1139" t="s">
        <v>297</v>
      </c>
      <c r="M1139" t="s">
        <v>297</v>
      </c>
      <c r="N1139" s="23" t="str">
        <f t="shared" ref="N1139:N1147" si="122">IF((I1139&gt;$W$2),"Y","N")</f>
        <v>Y</v>
      </c>
      <c r="O1139" s="16" t="s">
        <v>24</v>
      </c>
      <c r="P1139" s="10" t="s">
        <v>266</v>
      </c>
      <c r="Q1139" s="10" t="s">
        <v>267</v>
      </c>
      <c r="S1139" s="16" t="str">
        <f t="shared" ref="S1139:S1147" si="123">MID(Q1139,9,30)</f>
        <v>WILLIAM D JAMES</v>
      </c>
      <c r="T1139" s="31">
        <v>41432</v>
      </c>
    </row>
    <row r="1140" spans="1:33">
      <c r="A1140" s="16">
        <v>13</v>
      </c>
      <c r="B1140" s="16" t="s">
        <v>149</v>
      </c>
      <c r="C1140" s="16">
        <v>445</v>
      </c>
      <c r="D1140" s="7" t="s">
        <v>295</v>
      </c>
      <c r="E1140" s="16" t="s">
        <v>296</v>
      </c>
      <c r="F1140" s="2">
        <v>31738</v>
      </c>
      <c r="G1140" s="2">
        <v>31738</v>
      </c>
      <c r="H1140" s="2">
        <v>38429</v>
      </c>
      <c r="I1140" s="25">
        <v>41455</v>
      </c>
      <c r="J1140" s="2">
        <v>35702</v>
      </c>
      <c r="K1140" s="2">
        <v>32886</v>
      </c>
      <c r="L1140" t="s">
        <v>297</v>
      </c>
      <c r="N1140" s="23" t="str">
        <f t="shared" si="122"/>
        <v>N</v>
      </c>
      <c r="O1140" s="30" t="s">
        <v>1975</v>
      </c>
      <c r="P1140" s="10" t="s">
        <v>266</v>
      </c>
      <c r="Q1140" s="10" t="s">
        <v>268</v>
      </c>
      <c r="S1140" s="16" t="str">
        <f t="shared" si="123"/>
        <v>Curtis B Broome</v>
      </c>
      <c r="T1140" s="31" t="s">
        <v>1415</v>
      </c>
    </row>
    <row r="1141" spans="1:33">
      <c r="A1141" s="16">
        <v>13</v>
      </c>
      <c r="B1141" s="16" t="s">
        <v>149</v>
      </c>
      <c r="C1141" s="16">
        <v>968</v>
      </c>
      <c r="D1141" s="7" t="s">
        <v>295</v>
      </c>
      <c r="E1141" s="16" t="s">
        <v>296</v>
      </c>
      <c r="F1141" s="2">
        <v>34526</v>
      </c>
      <c r="H1141" s="2">
        <v>38272</v>
      </c>
      <c r="I1141" s="25">
        <v>41455</v>
      </c>
      <c r="J1141" s="2">
        <v>36053</v>
      </c>
      <c r="K1141" s="2">
        <v>36389</v>
      </c>
      <c r="L1141" t="s">
        <v>297</v>
      </c>
      <c r="M1141" t="s">
        <v>297</v>
      </c>
      <c r="N1141" s="23" t="str">
        <f t="shared" si="122"/>
        <v>N</v>
      </c>
      <c r="O1141" s="16" t="s">
        <v>1534</v>
      </c>
      <c r="P1141" s="10" t="s">
        <v>266</v>
      </c>
      <c r="Q1141" s="10" t="s">
        <v>268</v>
      </c>
      <c r="S1141" s="16" t="str">
        <f t="shared" si="123"/>
        <v>Curtis B Broome</v>
      </c>
      <c r="T1141" s="31" t="s">
        <v>1523</v>
      </c>
    </row>
    <row r="1142" spans="1:33">
      <c r="A1142" s="16">
        <v>13</v>
      </c>
      <c r="B1142" s="16" t="s">
        <v>149</v>
      </c>
      <c r="C1142" s="16">
        <v>974</v>
      </c>
      <c r="D1142" s="7" t="s">
        <v>295</v>
      </c>
      <c r="E1142" s="16" t="s">
        <v>316</v>
      </c>
      <c r="F1142" s="2">
        <v>34526</v>
      </c>
      <c r="H1142" s="2">
        <v>36678</v>
      </c>
      <c r="I1142" s="25">
        <v>34880</v>
      </c>
      <c r="K1142" s="2">
        <v>36321</v>
      </c>
      <c r="L1142" t="s">
        <v>297</v>
      </c>
      <c r="N1142" s="23" t="str">
        <f t="shared" si="122"/>
        <v>N</v>
      </c>
      <c r="P1142" s="10" t="s">
        <v>266</v>
      </c>
      <c r="Q1142" s="10" t="s">
        <v>268</v>
      </c>
      <c r="S1142" s="16" t="str">
        <f t="shared" si="123"/>
        <v>Curtis B Broome</v>
      </c>
    </row>
    <row r="1143" spans="1:33">
      <c r="A1143" s="16">
        <v>13</v>
      </c>
      <c r="B1143" s="16" t="s">
        <v>149</v>
      </c>
      <c r="C1143" s="16">
        <v>975</v>
      </c>
      <c r="D1143" s="7" t="s">
        <v>295</v>
      </c>
      <c r="E1143" s="30" t="s">
        <v>296</v>
      </c>
      <c r="F1143" s="2">
        <v>34526</v>
      </c>
      <c r="H1143" s="2">
        <v>39461</v>
      </c>
      <c r="I1143" s="25">
        <v>41820</v>
      </c>
      <c r="L1143" t="s">
        <v>297</v>
      </c>
      <c r="M1143" t="s">
        <v>297</v>
      </c>
      <c r="N1143" s="23" t="str">
        <f t="shared" si="122"/>
        <v>Y</v>
      </c>
      <c r="O1143" s="16" t="s">
        <v>1413</v>
      </c>
      <c r="P1143" s="10" t="s">
        <v>266</v>
      </c>
      <c r="Q1143" s="10" t="s">
        <v>268</v>
      </c>
      <c r="S1143" s="16" t="str">
        <f t="shared" si="123"/>
        <v>Curtis B Broome</v>
      </c>
      <c r="T1143" s="31">
        <v>41423</v>
      </c>
    </row>
    <row r="1144" spans="1:33">
      <c r="A1144" s="16">
        <v>13</v>
      </c>
      <c r="B1144" s="16" t="s">
        <v>149</v>
      </c>
      <c r="C1144" s="16">
        <v>976</v>
      </c>
      <c r="D1144" s="7" t="s">
        <v>295</v>
      </c>
      <c r="E1144" s="30" t="s">
        <v>296</v>
      </c>
      <c r="F1144" s="2">
        <v>34526</v>
      </c>
      <c r="H1144" s="2">
        <v>36691</v>
      </c>
      <c r="I1144" s="25">
        <v>41820</v>
      </c>
      <c r="K1144" s="2">
        <v>34943</v>
      </c>
      <c r="L1144" t="s">
        <v>297</v>
      </c>
      <c r="N1144" s="23" t="str">
        <f t="shared" si="122"/>
        <v>Y</v>
      </c>
      <c r="O1144" s="16" t="s">
        <v>1210</v>
      </c>
      <c r="P1144" s="10" t="s">
        <v>266</v>
      </c>
      <c r="Q1144" s="10" t="s">
        <v>268</v>
      </c>
      <c r="S1144" s="16" t="str">
        <f t="shared" si="123"/>
        <v>Curtis B Broome</v>
      </c>
      <c r="T1144" s="31">
        <v>41428</v>
      </c>
    </row>
    <row r="1145" spans="1:33">
      <c r="A1145" s="16">
        <v>13</v>
      </c>
      <c r="B1145" s="16" t="s">
        <v>149</v>
      </c>
      <c r="C1145" s="16">
        <v>977</v>
      </c>
      <c r="D1145" s="7" t="s">
        <v>295</v>
      </c>
      <c r="E1145" s="16" t="s">
        <v>316</v>
      </c>
      <c r="F1145" s="2">
        <v>34526</v>
      </c>
      <c r="G1145" s="2">
        <v>36175</v>
      </c>
      <c r="H1145" s="2">
        <v>38293</v>
      </c>
      <c r="I1145" s="25">
        <v>36433</v>
      </c>
      <c r="K1145" s="2">
        <v>36055</v>
      </c>
      <c r="L1145" t="s">
        <v>297</v>
      </c>
      <c r="N1145" s="23" t="str">
        <f t="shared" si="122"/>
        <v>N</v>
      </c>
      <c r="P1145" s="10" t="s">
        <v>266</v>
      </c>
      <c r="Q1145" s="10" t="s">
        <v>268</v>
      </c>
      <c r="S1145" s="16" t="str">
        <f t="shared" si="123"/>
        <v>Curtis B Broome</v>
      </c>
    </row>
    <row r="1146" spans="1:33">
      <c r="A1146" s="16">
        <v>13</v>
      </c>
      <c r="B1146" s="16" t="s">
        <v>149</v>
      </c>
      <c r="C1146" s="16">
        <v>978</v>
      </c>
      <c r="D1146" s="7" t="s">
        <v>295</v>
      </c>
      <c r="E1146" s="16" t="s">
        <v>316</v>
      </c>
      <c r="F1146" s="2">
        <v>34526</v>
      </c>
      <c r="H1146" s="2">
        <v>38509</v>
      </c>
      <c r="I1146" s="25">
        <v>37376</v>
      </c>
      <c r="K1146" s="2">
        <v>36389</v>
      </c>
      <c r="L1146" t="s">
        <v>297</v>
      </c>
      <c r="N1146" s="23" t="str">
        <f t="shared" si="122"/>
        <v>N</v>
      </c>
      <c r="P1146" s="10" t="s">
        <v>266</v>
      </c>
      <c r="Q1146" s="10" t="s">
        <v>268</v>
      </c>
      <c r="S1146" s="16" t="str">
        <f t="shared" si="123"/>
        <v>Curtis B Broome</v>
      </c>
    </row>
    <row r="1147" spans="1:33">
      <c r="A1147" s="16">
        <v>13</v>
      </c>
      <c r="B1147" s="16" t="s">
        <v>149</v>
      </c>
      <c r="C1147" s="16">
        <v>979</v>
      </c>
      <c r="D1147" s="7" t="s">
        <v>295</v>
      </c>
      <c r="E1147" s="16" t="s">
        <v>296</v>
      </c>
      <c r="F1147" s="2">
        <v>34526</v>
      </c>
      <c r="G1147" s="2">
        <v>35084</v>
      </c>
      <c r="H1147" s="2">
        <v>38936</v>
      </c>
      <c r="I1147" s="25">
        <v>41820</v>
      </c>
      <c r="J1147" s="2">
        <v>35024</v>
      </c>
      <c r="K1147" s="2">
        <v>35646</v>
      </c>
      <c r="L1147" t="s">
        <v>297</v>
      </c>
      <c r="M1147" t="s">
        <v>297</v>
      </c>
      <c r="N1147" s="23" t="str">
        <f t="shared" si="122"/>
        <v>Y</v>
      </c>
      <c r="O1147" s="30" t="s">
        <v>1976</v>
      </c>
      <c r="P1147" s="10" t="s">
        <v>266</v>
      </c>
      <c r="Q1147" s="10" t="s">
        <v>268</v>
      </c>
      <c r="S1147" s="16" t="str">
        <f t="shared" si="123"/>
        <v>Curtis B Broome</v>
      </c>
      <c r="T1147" s="31">
        <v>41438</v>
      </c>
    </row>
    <row r="1148" spans="1:33" s="7" customFormat="1" hidden="1">
      <c r="A1148" s="7">
        <v>13</v>
      </c>
      <c r="B1148" s="7" t="s">
        <v>159</v>
      </c>
      <c r="C1148" s="7">
        <v>1050</v>
      </c>
      <c r="D1148" s="7" t="s">
        <v>315</v>
      </c>
      <c r="E1148" s="7" t="s">
        <v>316</v>
      </c>
      <c r="F1148" s="2">
        <v>34806</v>
      </c>
      <c r="G1148"/>
      <c r="H1148" s="2">
        <v>35249</v>
      </c>
      <c r="I1148" s="8">
        <v>34806</v>
      </c>
      <c r="J1148"/>
      <c r="K1148" s="2">
        <v>35249</v>
      </c>
      <c r="L1148" t="s">
        <v>322</v>
      </c>
      <c r="M1148" t="s">
        <v>297</v>
      </c>
      <c r="N1148"/>
      <c r="P1148" s="7" t="s">
        <v>266</v>
      </c>
      <c r="Q1148" s="7" t="s">
        <v>274</v>
      </c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  <c r="AC1148" s="10"/>
      <c r="AD1148" s="10"/>
      <c r="AE1148" s="10"/>
      <c r="AF1148" s="10"/>
      <c r="AG1148" s="10"/>
    </row>
    <row r="1149" spans="1:33">
      <c r="A1149" s="16">
        <v>13</v>
      </c>
      <c r="B1149" s="16" t="s">
        <v>149</v>
      </c>
      <c r="C1149" s="16">
        <v>1181</v>
      </c>
      <c r="D1149" s="7" t="s">
        <v>295</v>
      </c>
      <c r="E1149" s="30" t="s">
        <v>316</v>
      </c>
      <c r="F1149" s="2">
        <v>35502</v>
      </c>
      <c r="G1149" s="2">
        <v>36091</v>
      </c>
      <c r="H1149" s="2">
        <v>38954</v>
      </c>
      <c r="I1149" s="25">
        <v>40724</v>
      </c>
      <c r="K1149" s="2">
        <v>36431</v>
      </c>
      <c r="L1149" t="s">
        <v>297</v>
      </c>
      <c r="M1149" t="s">
        <v>297</v>
      </c>
      <c r="N1149" s="23" t="str">
        <f>IF((I1149&gt;$W$2),"Y","N")</f>
        <v>N</v>
      </c>
      <c r="O1149" s="16" t="s">
        <v>1212</v>
      </c>
      <c r="P1149" s="10" t="s">
        <v>266</v>
      </c>
      <c r="Q1149" s="10" t="s">
        <v>268</v>
      </c>
      <c r="S1149" s="16" t="str">
        <f>MID(Q1149,9,30)</f>
        <v>Curtis B Broome</v>
      </c>
      <c r="T1149" s="31" t="s">
        <v>1319</v>
      </c>
    </row>
    <row r="1150" spans="1:33" customFormat="1" hidden="1">
      <c r="A1150" t="s">
        <v>266</v>
      </c>
      <c r="B1150" t="s">
        <v>274</v>
      </c>
      <c r="I1150" s="6"/>
    </row>
    <row r="1151" spans="1:33">
      <c r="A1151" s="16">
        <v>13</v>
      </c>
      <c r="B1151" s="16" t="s">
        <v>296</v>
      </c>
      <c r="C1151" s="16">
        <v>322</v>
      </c>
      <c r="D1151" s="7" t="s">
        <v>295</v>
      </c>
      <c r="E1151" s="16" t="s">
        <v>296</v>
      </c>
      <c r="F1151" s="2">
        <v>29791</v>
      </c>
      <c r="G1151" s="2">
        <v>30702</v>
      </c>
      <c r="H1151" s="2">
        <v>39474</v>
      </c>
      <c r="I1151" s="25">
        <v>41820</v>
      </c>
      <c r="J1151" s="2">
        <v>33481</v>
      </c>
      <c r="K1151" s="2">
        <v>36185</v>
      </c>
      <c r="L1151" t="s">
        <v>297</v>
      </c>
      <c r="M1151" t="s">
        <v>297</v>
      </c>
      <c r="N1151" s="23" t="str">
        <f t="shared" ref="N1151:N1163" si="124">IF((I1151&gt;$W$2),"Y","N")</f>
        <v>Y</v>
      </c>
      <c r="O1151" s="30" t="s">
        <v>1977</v>
      </c>
      <c r="P1151" s="10" t="s">
        <v>266</v>
      </c>
      <c r="Q1151" s="10" t="s">
        <v>269</v>
      </c>
      <c r="S1151" s="16" t="str">
        <f t="shared" ref="S1151:S1163" si="125">MID(Q1151,9,30)</f>
        <v>Sandy S Collier</v>
      </c>
      <c r="T1151" s="31">
        <v>41394</v>
      </c>
    </row>
    <row r="1152" spans="1:33">
      <c r="A1152" s="16">
        <v>13</v>
      </c>
      <c r="B1152" s="16" t="s">
        <v>296</v>
      </c>
      <c r="C1152" s="16">
        <v>482</v>
      </c>
      <c r="D1152" s="7" t="s">
        <v>295</v>
      </c>
      <c r="E1152" s="16" t="s">
        <v>296</v>
      </c>
      <c r="F1152" s="2">
        <v>31241</v>
      </c>
      <c r="G1152" s="2">
        <v>33264</v>
      </c>
      <c r="H1152" s="2">
        <v>38169</v>
      </c>
      <c r="I1152" s="25">
        <v>41820</v>
      </c>
      <c r="K1152" s="2">
        <v>34289</v>
      </c>
      <c r="L1152" t="s">
        <v>297</v>
      </c>
      <c r="M1152" t="s">
        <v>297</v>
      </c>
      <c r="N1152" s="23" t="str">
        <f t="shared" si="124"/>
        <v>Y</v>
      </c>
      <c r="O1152" s="30" t="s">
        <v>1218</v>
      </c>
      <c r="P1152" s="10" t="s">
        <v>266</v>
      </c>
      <c r="Q1152" s="10" t="s">
        <v>269</v>
      </c>
      <c r="S1152" s="16" t="str">
        <f t="shared" si="125"/>
        <v>Sandy S Collier</v>
      </c>
      <c r="T1152" s="31">
        <v>41432</v>
      </c>
    </row>
    <row r="1153" spans="1:21">
      <c r="A1153" s="16">
        <v>13</v>
      </c>
      <c r="B1153" s="16" t="s">
        <v>296</v>
      </c>
      <c r="C1153" s="16">
        <v>627</v>
      </c>
      <c r="D1153" s="7" t="s">
        <v>295</v>
      </c>
      <c r="E1153" s="16" t="s">
        <v>296</v>
      </c>
      <c r="F1153" s="2">
        <v>32220</v>
      </c>
      <c r="G1153" s="2">
        <v>33124</v>
      </c>
      <c r="H1153" s="2">
        <v>39197</v>
      </c>
      <c r="I1153" s="25">
        <v>41455</v>
      </c>
      <c r="K1153" s="2">
        <v>38833</v>
      </c>
      <c r="L1153" t="s">
        <v>297</v>
      </c>
      <c r="M1153" t="s">
        <v>297</v>
      </c>
      <c r="N1153" s="23" t="str">
        <f t="shared" si="124"/>
        <v>N</v>
      </c>
      <c r="O1153" s="16" t="s">
        <v>1213</v>
      </c>
      <c r="P1153" s="10" t="s">
        <v>266</v>
      </c>
      <c r="Q1153" s="10" t="s">
        <v>269</v>
      </c>
      <c r="S1153" s="16" t="str">
        <f t="shared" si="125"/>
        <v>Sandy S Collier</v>
      </c>
      <c r="T1153" s="31" t="s">
        <v>1377</v>
      </c>
    </row>
    <row r="1154" spans="1:21">
      <c r="A1154" s="16">
        <v>13</v>
      </c>
      <c r="B1154" s="16" t="s">
        <v>296</v>
      </c>
      <c r="C1154" s="16">
        <v>816</v>
      </c>
      <c r="D1154" s="7" t="s">
        <v>295</v>
      </c>
      <c r="E1154" s="16" t="s">
        <v>296</v>
      </c>
      <c r="F1154" s="2">
        <v>33621</v>
      </c>
      <c r="G1154" s="2">
        <v>34051</v>
      </c>
      <c r="H1154" s="2">
        <v>39512</v>
      </c>
      <c r="I1154" s="25">
        <v>41090</v>
      </c>
      <c r="K1154" s="2">
        <v>35555</v>
      </c>
      <c r="L1154" t="s">
        <v>297</v>
      </c>
      <c r="M1154" t="s">
        <v>297</v>
      </c>
      <c r="N1154" s="23" t="str">
        <f t="shared" si="124"/>
        <v>N</v>
      </c>
      <c r="O1154" s="30" t="s">
        <v>1978</v>
      </c>
      <c r="P1154" s="10" t="s">
        <v>266</v>
      </c>
      <c r="Q1154" s="10" t="s">
        <v>269</v>
      </c>
      <c r="S1154" s="16" t="str">
        <f t="shared" si="125"/>
        <v>Sandy S Collier</v>
      </c>
      <c r="T1154" s="31" t="s">
        <v>1310</v>
      </c>
      <c r="U1154" s="10" t="s">
        <v>1153</v>
      </c>
    </row>
    <row r="1155" spans="1:21">
      <c r="A1155" s="16">
        <v>13</v>
      </c>
      <c r="B1155" s="16" t="s">
        <v>296</v>
      </c>
      <c r="C1155" s="16">
        <v>1117</v>
      </c>
      <c r="D1155" s="7" t="s">
        <v>295</v>
      </c>
      <c r="E1155" s="16" t="s">
        <v>296</v>
      </c>
      <c r="F1155" s="2">
        <v>35230</v>
      </c>
      <c r="G1155" s="2">
        <v>36175</v>
      </c>
      <c r="H1155" s="2">
        <v>39501</v>
      </c>
      <c r="I1155" s="25">
        <v>41820</v>
      </c>
      <c r="J1155" s="2">
        <v>37846</v>
      </c>
      <c r="K1155" s="2">
        <v>36374</v>
      </c>
      <c r="L1155" t="s">
        <v>297</v>
      </c>
      <c r="M1155" t="s">
        <v>297</v>
      </c>
      <c r="N1155" s="23" t="str">
        <f t="shared" si="124"/>
        <v>Y</v>
      </c>
      <c r="O1155" s="16" t="s">
        <v>1448</v>
      </c>
      <c r="P1155" s="10" t="s">
        <v>266</v>
      </c>
      <c r="Q1155" s="10" t="s">
        <v>269</v>
      </c>
      <c r="S1155" s="16" t="str">
        <f t="shared" si="125"/>
        <v>Sandy S Collier</v>
      </c>
      <c r="T1155" s="31">
        <v>41425</v>
      </c>
    </row>
    <row r="1156" spans="1:21">
      <c r="A1156" s="16">
        <v>13</v>
      </c>
      <c r="B1156" s="16" t="s">
        <v>296</v>
      </c>
      <c r="C1156" s="16">
        <v>1184</v>
      </c>
      <c r="D1156" t="s">
        <v>295</v>
      </c>
      <c r="E1156" s="16" t="s">
        <v>296</v>
      </c>
      <c r="F1156" s="2">
        <v>35542</v>
      </c>
      <c r="G1156" s="2">
        <v>36238</v>
      </c>
      <c r="H1156" s="2">
        <v>39320</v>
      </c>
      <c r="I1156" s="25">
        <v>41455</v>
      </c>
      <c r="J1156" s="2">
        <v>37853</v>
      </c>
      <c r="K1156" s="2">
        <v>38968</v>
      </c>
      <c r="L1156" t="s">
        <v>297</v>
      </c>
      <c r="M1156" t="s">
        <v>297</v>
      </c>
      <c r="N1156" s="23" t="str">
        <f t="shared" si="124"/>
        <v>N</v>
      </c>
      <c r="O1156" s="30" t="s">
        <v>1979</v>
      </c>
      <c r="P1156" s="10" t="s">
        <v>266</v>
      </c>
      <c r="Q1156" s="10" t="s">
        <v>269</v>
      </c>
      <c r="S1156" s="16" t="str">
        <f t="shared" si="125"/>
        <v>Sandy S Collier</v>
      </c>
      <c r="T1156" s="31" t="s">
        <v>1392</v>
      </c>
    </row>
    <row r="1157" spans="1:21">
      <c r="A1157" s="16">
        <v>13</v>
      </c>
      <c r="B1157" s="16" t="s">
        <v>153</v>
      </c>
      <c r="C1157" s="16">
        <v>142</v>
      </c>
      <c r="D1157" t="s">
        <v>295</v>
      </c>
      <c r="E1157" s="16" t="s">
        <v>296</v>
      </c>
      <c r="F1157" s="2">
        <v>28093</v>
      </c>
      <c r="G1157" s="2">
        <v>28901</v>
      </c>
      <c r="H1157" s="2">
        <v>38414</v>
      </c>
      <c r="I1157" s="25">
        <v>41455</v>
      </c>
      <c r="K1157" s="2">
        <v>38118</v>
      </c>
      <c r="L1157" t="s">
        <v>297</v>
      </c>
      <c r="M1157" t="s">
        <v>297</v>
      </c>
      <c r="N1157" s="23" t="str">
        <f t="shared" si="124"/>
        <v>N</v>
      </c>
      <c r="O1157" s="16" t="s">
        <v>1510</v>
      </c>
      <c r="P1157" s="10" t="s">
        <v>266</v>
      </c>
      <c r="Q1157" s="10" t="s">
        <v>270</v>
      </c>
      <c r="S1157" s="16" t="str">
        <f t="shared" si="125"/>
        <v>Robert E Lasagna</v>
      </c>
      <c r="T1157" s="31" t="s">
        <v>1389</v>
      </c>
    </row>
    <row r="1158" spans="1:21">
      <c r="A1158" s="16">
        <v>13</v>
      </c>
      <c r="B1158" s="16" t="s">
        <v>153</v>
      </c>
      <c r="C1158" s="16">
        <v>415</v>
      </c>
      <c r="D1158" s="7" t="s">
        <v>295</v>
      </c>
      <c r="E1158" s="16" t="s">
        <v>296</v>
      </c>
      <c r="F1158" s="2">
        <v>30640</v>
      </c>
      <c r="G1158" s="2">
        <v>30638</v>
      </c>
      <c r="H1158" s="2">
        <v>39476</v>
      </c>
      <c r="I1158" s="25">
        <v>41455</v>
      </c>
      <c r="K1158" s="2">
        <v>38633</v>
      </c>
      <c r="L1158" t="s">
        <v>297</v>
      </c>
      <c r="M1158" t="s">
        <v>297</v>
      </c>
      <c r="N1158" s="23" t="str">
        <f t="shared" si="124"/>
        <v>N</v>
      </c>
      <c r="O1158" s="30" t="s">
        <v>1980</v>
      </c>
      <c r="P1158" s="10" t="s">
        <v>266</v>
      </c>
      <c r="Q1158" s="10" t="s">
        <v>270</v>
      </c>
      <c r="S1158" s="16" t="str">
        <f t="shared" si="125"/>
        <v>Robert E Lasagna</v>
      </c>
      <c r="T1158" s="31" t="s">
        <v>1521</v>
      </c>
    </row>
    <row r="1159" spans="1:21">
      <c r="A1159" s="16">
        <v>13</v>
      </c>
      <c r="B1159" s="16" t="s">
        <v>153</v>
      </c>
      <c r="C1159" s="16">
        <v>416</v>
      </c>
      <c r="D1159" s="7" t="s">
        <v>295</v>
      </c>
      <c r="E1159" s="16" t="s">
        <v>296</v>
      </c>
      <c r="F1159" s="2">
        <v>30640</v>
      </c>
      <c r="G1159" s="2">
        <v>30639</v>
      </c>
      <c r="H1159" s="2">
        <v>39391</v>
      </c>
      <c r="I1159" s="25">
        <v>41820</v>
      </c>
      <c r="J1159" s="2">
        <v>35890</v>
      </c>
      <c r="K1159" s="2">
        <v>38804</v>
      </c>
      <c r="L1159" t="s">
        <v>297</v>
      </c>
      <c r="M1159" t="s">
        <v>297</v>
      </c>
      <c r="N1159" s="23" t="str">
        <f t="shared" si="124"/>
        <v>Y</v>
      </c>
      <c r="O1159" s="16" t="s">
        <v>1214</v>
      </c>
      <c r="P1159" s="10" t="s">
        <v>266</v>
      </c>
      <c r="Q1159" s="10" t="s">
        <v>270</v>
      </c>
      <c r="S1159" s="16" t="str">
        <f t="shared" si="125"/>
        <v>Robert E Lasagna</v>
      </c>
      <c r="T1159" s="31">
        <v>41425</v>
      </c>
      <c r="U1159" s="10" t="s">
        <v>1157</v>
      </c>
    </row>
    <row r="1160" spans="1:21">
      <c r="A1160" s="16">
        <v>13</v>
      </c>
      <c r="B1160" s="16" t="s">
        <v>153</v>
      </c>
      <c r="C1160" s="16">
        <v>430</v>
      </c>
      <c r="D1160" s="7" t="s">
        <v>295</v>
      </c>
      <c r="E1160" s="16" t="s">
        <v>296</v>
      </c>
      <c r="F1160" s="2">
        <v>30830</v>
      </c>
      <c r="G1160" s="2">
        <v>30830</v>
      </c>
      <c r="H1160" s="2">
        <v>39489</v>
      </c>
      <c r="I1160" s="25">
        <v>41820</v>
      </c>
      <c r="J1160" s="2">
        <v>32278</v>
      </c>
      <c r="K1160" s="2">
        <v>38691</v>
      </c>
      <c r="L1160" t="s">
        <v>297</v>
      </c>
      <c r="M1160" t="s">
        <v>297</v>
      </c>
      <c r="N1160" s="23" t="str">
        <f t="shared" si="124"/>
        <v>Y</v>
      </c>
      <c r="O1160" s="30" t="s">
        <v>1981</v>
      </c>
      <c r="P1160" s="10" t="s">
        <v>266</v>
      </c>
      <c r="Q1160" s="10" t="s">
        <v>270</v>
      </c>
      <c r="S1160" s="16" t="str">
        <f t="shared" si="125"/>
        <v>Robert E Lasagna</v>
      </c>
      <c r="T1160" s="31">
        <v>41432</v>
      </c>
    </row>
    <row r="1161" spans="1:21">
      <c r="A1161" s="16">
        <v>13</v>
      </c>
      <c r="B1161" s="16" t="s">
        <v>153</v>
      </c>
      <c r="C1161" s="16">
        <v>567</v>
      </c>
      <c r="D1161" s="7" t="s">
        <v>295</v>
      </c>
      <c r="E1161" s="16" t="s">
        <v>296</v>
      </c>
      <c r="F1161" s="2">
        <v>31738</v>
      </c>
      <c r="G1161" s="2">
        <v>32220</v>
      </c>
      <c r="H1161" s="2">
        <v>39462</v>
      </c>
      <c r="I1161" s="25">
        <v>41820</v>
      </c>
      <c r="J1161" s="2">
        <v>36539</v>
      </c>
      <c r="K1161" s="2">
        <v>38400</v>
      </c>
      <c r="L1161" t="s">
        <v>297</v>
      </c>
      <c r="M1161" t="s">
        <v>297</v>
      </c>
      <c r="N1161" s="23" t="str">
        <f t="shared" si="124"/>
        <v>Y</v>
      </c>
      <c r="O1161" s="16" t="s">
        <v>1492</v>
      </c>
      <c r="P1161" s="10" t="s">
        <v>266</v>
      </c>
      <c r="Q1161" s="10" t="s">
        <v>270</v>
      </c>
      <c r="S1161" s="16" t="str">
        <f t="shared" si="125"/>
        <v>Robert E Lasagna</v>
      </c>
      <c r="T1161" s="31">
        <v>41428</v>
      </c>
    </row>
    <row r="1162" spans="1:21">
      <c r="A1162" s="16">
        <v>13</v>
      </c>
      <c r="B1162" s="16" t="s">
        <v>153</v>
      </c>
      <c r="C1162" s="16">
        <v>670</v>
      </c>
      <c r="D1162" s="7" t="s">
        <v>295</v>
      </c>
      <c r="E1162" s="16" t="s">
        <v>296</v>
      </c>
      <c r="F1162" s="2">
        <v>32577</v>
      </c>
      <c r="G1162" s="2">
        <v>33313</v>
      </c>
      <c r="H1162" s="2">
        <v>38737</v>
      </c>
      <c r="I1162" s="25">
        <v>41820</v>
      </c>
      <c r="K1162" s="2">
        <v>38723</v>
      </c>
      <c r="L1162" t="s">
        <v>297</v>
      </c>
      <c r="M1162" t="s">
        <v>297</v>
      </c>
      <c r="N1162" s="23" t="str">
        <f t="shared" si="124"/>
        <v>Y</v>
      </c>
      <c r="O1162" s="30" t="s">
        <v>1982</v>
      </c>
      <c r="P1162" s="10" t="s">
        <v>266</v>
      </c>
      <c r="Q1162" s="10" t="s">
        <v>270</v>
      </c>
      <c r="S1162" s="16" t="str">
        <f t="shared" si="125"/>
        <v>Robert E Lasagna</v>
      </c>
      <c r="T1162" s="31">
        <v>41451</v>
      </c>
    </row>
    <row r="1163" spans="1:21">
      <c r="A1163" s="16">
        <v>13</v>
      </c>
      <c r="B1163" s="16" t="s">
        <v>153</v>
      </c>
      <c r="C1163" s="16">
        <v>728</v>
      </c>
      <c r="D1163" t="s">
        <v>295</v>
      </c>
      <c r="E1163" s="16" t="s">
        <v>296</v>
      </c>
      <c r="F1163" s="2">
        <v>32949</v>
      </c>
      <c r="G1163" s="2">
        <v>33313</v>
      </c>
      <c r="H1163" s="2">
        <v>39119</v>
      </c>
      <c r="I1163" s="25">
        <v>41455</v>
      </c>
      <c r="K1163" s="2">
        <v>35466</v>
      </c>
      <c r="L1163" t="s">
        <v>297</v>
      </c>
      <c r="M1163" t="s">
        <v>297</v>
      </c>
      <c r="N1163" s="23" t="str">
        <f t="shared" si="124"/>
        <v>N</v>
      </c>
      <c r="O1163" s="30" t="s">
        <v>1983</v>
      </c>
      <c r="P1163" s="10" t="s">
        <v>266</v>
      </c>
      <c r="Q1163" s="10" t="s">
        <v>270</v>
      </c>
      <c r="S1163" s="16" t="str">
        <f t="shared" si="125"/>
        <v>Robert E Lasagna</v>
      </c>
      <c r="T1163" s="31" t="s">
        <v>1352</v>
      </c>
    </row>
    <row r="1164" spans="1:21" customFormat="1" hidden="1">
      <c r="A1164" t="s">
        <v>266</v>
      </c>
      <c r="B1164" t="s">
        <v>275</v>
      </c>
      <c r="I1164" s="6"/>
    </row>
    <row r="1165" spans="1:21">
      <c r="A1165" s="16">
        <v>13</v>
      </c>
      <c r="B1165" s="16" t="s">
        <v>153</v>
      </c>
      <c r="C1165" s="16">
        <v>734</v>
      </c>
      <c r="D1165" s="7" t="s">
        <v>295</v>
      </c>
      <c r="E1165" s="16" t="s">
        <v>296</v>
      </c>
      <c r="F1165" s="2">
        <v>32949</v>
      </c>
      <c r="G1165" s="2">
        <v>33313</v>
      </c>
      <c r="H1165" s="2">
        <v>39135</v>
      </c>
      <c r="I1165" s="25">
        <v>41455</v>
      </c>
      <c r="J1165" s="2">
        <v>38090</v>
      </c>
      <c r="K1165" s="2">
        <v>38658</v>
      </c>
      <c r="L1165" t="s">
        <v>297</v>
      </c>
      <c r="M1165" t="s">
        <v>297</v>
      </c>
      <c r="N1165" s="23" t="str">
        <f t="shared" ref="N1165:N1173" si="126">IF((I1165&gt;$W$2),"Y","N")</f>
        <v>N</v>
      </c>
      <c r="O1165" s="16" t="s">
        <v>1215</v>
      </c>
      <c r="P1165" s="10" t="s">
        <v>266</v>
      </c>
      <c r="Q1165" s="10" t="s">
        <v>270</v>
      </c>
      <c r="S1165" s="16" t="str">
        <f t="shared" ref="S1165:S1173" si="127">MID(Q1165,9,30)</f>
        <v>Robert E Lasagna</v>
      </c>
      <c r="T1165" s="31" t="s">
        <v>1497</v>
      </c>
    </row>
    <row r="1166" spans="1:21">
      <c r="A1166" s="16">
        <v>13</v>
      </c>
      <c r="B1166" s="16" t="s">
        <v>153</v>
      </c>
      <c r="C1166" s="16">
        <v>861</v>
      </c>
      <c r="D1166" s="7" t="s">
        <v>295</v>
      </c>
      <c r="E1166" s="16" t="s">
        <v>296</v>
      </c>
      <c r="F1166" s="2">
        <v>33879</v>
      </c>
      <c r="G1166" s="2">
        <v>34484</v>
      </c>
      <c r="H1166" s="2">
        <v>39466</v>
      </c>
      <c r="I1166" s="25">
        <v>41820</v>
      </c>
      <c r="K1166" s="2">
        <v>35836</v>
      </c>
      <c r="L1166" t="s">
        <v>297</v>
      </c>
      <c r="N1166" s="23" t="str">
        <f t="shared" si="126"/>
        <v>Y</v>
      </c>
      <c r="O1166" s="16" t="s">
        <v>48</v>
      </c>
      <c r="P1166" s="10" t="s">
        <v>266</v>
      </c>
      <c r="Q1166" s="10" t="s">
        <v>270</v>
      </c>
      <c r="S1166" s="16" t="str">
        <f t="shared" si="127"/>
        <v>Robert E Lasagna</v>
      </c>
      <c r="T1166" s="31">
        <v>41478</v>
      </c>
      <c r="U1166" s="24">
        <v>39969</v>
      </c>
    </row>
    <row r="1167" spans="1:21">
      <c r="A1167" s="16">
        <v>13</v>
      </c>
      <c r="B1167" s="16" t="s">
        <v>153</v>
      </c>
      <c r="C1167" s="16">
        <v>996</v>
      </c>
      <c r="D1167" t="s">
        <v>295</v>
      </c>
      <c r="E1167" s="16" t="s">
        <v>296</v>
      </c>
      <c r="F1167" s="2">
        <v>34584</v>
      </c>
      <c r="G1167" s="2">
        <v>34985</v>
      </c>
      <c r="H1167" s="2">
        <v>38994</v>
      </c>
      <c r="I1167" s="25">
        <v>41820</v>
      </c>
      <c r="K1167" s="2">
        <v>36200</v>
      </c>
      <c r="L1167" t="s">
        <v>297</v>
      </c>
      <c r="M1167" t="s">
        <v>297</v>
      </c>
      <c r="N1167" s="23" t="str">
        <f t="shared" si="126"/>
        <v>Y</v>
      </c>
      <c r="O1167" s="16" t="s">
        <v>1216</v>
      </c>
      <c r="P1167" s="10" t="s">
        <v>266</v>
      </c>
      <c r="Q1167" s="10" t="s">
        <v>270</v>
      </c>
      <c r="S1167" s="16" t="str">
        <f t="shared" si="127"/>
        <v>Robert E Lasagna</v>
      </c>
      <c r="T1167" s="31">
        <v>41428</v>
      </c>
    </row>
    <row r="1168" spans="1:21">
      <c r="A1168" s="16">
        <v>13</v>
      </c>
      <c r="B1168" s="16" t="s">
        <v>153</v>
      </c>
      <c r="C1168" s="16">
        <v>1088</v>
      </c>
      <c r="D1168" s="7" t="s">
        <v>295</v>
      </c>
      <c r="E1168" s="16" t="s">
        <v>296</v>
      </c>
      <c r="F1168" s="2">
        <v>35089</v>
      </c>
      <c r="G1168" s="2">
        <v>35573</v>
      </c>
      <c r="H1168" s="2">
        <v>39479</v>
      </c>
      <c r="I1168" s="25">
        <v>41455</v>
      </c>
      <c r="K1168" s="2">
        <v>37601</v>
      </c>
      <c r="L1168" t="s">
        <v>297</v>
      </c>
      <c r="M1168" t="s">
        <v>297</v>
      </c>
      <c r="N1168" s="23" t="str">
        <f t="shared" si="126"/>
        <v>N</v>
      </c>
      <c r="O1168" s="16" t="s">
        <v>50</v>
      </c>
      <c r="P1168" s="10" t="s">
        <v>266</v>
      </c>
      <c r="Q1168" s="10" t="s">
        <v>270</v>
      </c>
      <c r="S1168" s="16" t="str">
        <f t="shared" si="127"/>
        <v>Robert E Lasagna</v>
      </c>
      <c r="T1168" s="31" t="s">
        <v>1421</v>
      </c>
    </row>
    <row r="1169" spans="1:20">
      <c r="A1169" s="16">
        <v>13</v>
      </c>
      <c r="B1169" s="16" t="s">
        <v>153</v>
      </c>
      <c r="C1169" s="16">
        <v>1259</v>
      </c>
      <c r="D1169" t="s">
        <v>295</v>
      </c>
      <c r="E1169" s="16" t="s">
        <v>316</v>
      </c>
      <c r="F1169" s="2">
        <v>35977</v>
      </c>
      <c r="H1169" s="2">
        <v>37194</v>
      </c>
      <c r="L1169" t="s">
        <v>317</v>
      </c>
      <c r="N1169" s="23" t="str">
        <f t="shared" si="126"/>
        <v>N</v>
      </c>
      <c r="P1169" s="10" t="s">
        <v>266</v>
      </c>
      <c r="Q1169" s="10" t="s">
        <v>270</v>
      </c>
      <c r="S1169" s="16" t="str">
        <f t="shared" si="127"/>
        <v>Robert E Lasagna</v>
      </c>
    </row>
    <row r="1170" spans="1:20">
      <c r="A1170" s="16">
        <v>13</v>
      </c>
      <c r="B1170" s="16" t="s">
        <v>153</v>
      </c>
      <c r="C1170" s="16">
        <v>1332</v>
      </c>
      <c r="D1170" s="7" t="s">
        <v>295</v>
      </c>
      <c r="E1170" s="16" t="s">
        <v>296</v>
      </c>
      <c r="F1170" s="2">
        <v>36598</v>
      </c>
      <c r="G1170" s="2">
        <v>38996</v>
      </c>
      <c r="H1170" s="2">
        <v>38574</v>
      </c>
      <c r="I1170" s="25">
        <v>40359</v>
      </c>
      <c r="K1170" s="2">
        <v>38574</v>
      </c>
      <c r="L1170" t="s">
        <v>297</v>
      </c>
      <c r="M1170" t="s">
        <v>297</v>
      </c>
      <c r="N1170" s="23" t="str">
        <f t="shared" si="126"/>
        <v>N</v>
      </c>
      <c r="O1170" s="30" t="s">
        <v>1984</v>
      </c>
      <c r="P1170" s="10" t="s">
        <v>266</v>
      </c>
      <c r="Q1170" s="10" t="s">
        <v>270</v>
      </c>
      <c r="S1170" s="16" t="str">
        <f t="shared" si="127"/>
        <v>Robert E Lasagna</v>
      </c>
      <c r="T1170" s="31" t="s">
        <v>1304</v>
      </c>
    </row>
    <row r="1171" spans="1:20">
      <c r="A1171" s="16">
        <v>13</v>
      </c>
      <c r="B1171" s="16" t="s">
        <v>317</v>
      </c>
      <c r="C1171" s="16">
        <v>828</v>
      </c>
      <c r="D1171" s="7" t="s">
        <v>295</v>
      </c>
      <c r="E1171" s="16" t="s">
        <v>296</v>
      </c>
      <c r="F1171" s="2">
        <v>33684</v>
      </c>
      <c r="G1171" s="2">
        <v>35272</v>
      </c>
      <c r="H1171" s="2">
        <v>39503</v>
      </c>
      <c r="I1171" s="25">
        <v>35976</v>
      </c>
      <c r="K1171" s="2">
        <v>35549</v>
      </c>
      <c r="L1171" t="s">
        <v>297</v>
      </c>
      <c r="M1171" t="s">
        <v>297</v>
      </c>
      <c r="N1171" s="23" t="str">
        <f t="shared" si="126"/>
        <v>N</v>
      </c>
      <c r="O1171" s="16" t="s">
        <v>52</v>
      </c>
      <c r="P1171" s="10" t="s">
        <v>266</v>
      </c>
      <c r="Q1171" s="10" t="s">
        <v>271</v>
      </c>
      <c r="S1171" s="16" t="str">
        <f t="shared" si="127"/>
        <v>Refer to  SD</v>
      </c>
    </row>
    <row r="1172" spans="1:20">
      <c r="A1172" s="16">
        <v>13</v>
      </c>
      <c r="B1172" s="16" t="s">
        <v>317</v>
      </c>
      <c r="C1172" s="16">
        <v>831</v>
      </c>
      <c r="D1172" s="7" t="s">
        <v>295</v>
      </c>
      <c r="E1172" s="16" t="s">
        <v>296</v>
      </c>
      <c r="F1172" s="2">
        <v>33684</v>
      </c>
      <c r="G1172" s="2">
        <v>37330</v>
      </c>
      <c r="H1172" s="2">
        <v>38230</v>
      </c>
      <c r="I1172" s="25">
        <v>33678</v>
      </c>
      <c r="K1172" s="2">
        <v>36487</v>
      </c>
      <c r="L1172" t="s">
        <v>297</v>
      </c>
      <c r="N1172" s="23" t="str">
        <f t="shared" si="126"/>
        <v>N</v>
      </c>
      <c r="O1172" s="30" t="s">
        <v>1218</v>
      </c>
      <c r="P1172" s="10" t="s">
        <v>266</v>
      </c>
      <c r="Q1172" s="10" t="s">
        <v>271</v>
      </c>
      <c r="S1172" s="16" t="str">
        <f t="shared" si="127"/>
        <v>Refer to  SD</v>
      </c>
    </row>
    <row r="1173" spans="1:20">
      <c r="A1173" s="16">
        <v>13</v>
      </c>
      <c r="B1173" s="16" t="s">
        <v>317</v>
      </c>
      <c r="C1173" s="16">
        <v>849</v>
      </c>
      <c r="D1173" t="s">
        <v>295</v>
      </c>
      <c r="E1173" s="16" t="s">
        <v>316</v>
      </c>
      <c r="F1173" s="2">
        <v>33879</v>
      </c>
      <c r="G1173" s="2">
        <v>34342</v>
      </c>
      <c r="H1173" s="2">
        <v>39303</v>
      </c>
      <c r="I1173" s="25">
        <v>39994</v>
      </c>
      <c r="K1173" s="2">
        <v>38629</v>
      </c>
      <c r="L1173" t="s">
        <v>297</v>
      </c>
      <c r="M1173" t="s">
        <v>297</v>
      </c>
      <c r="N1173" s="23" t="str">
        <f t="shared" si="126"/>
        <v>N</v>
      </c>
      <c r="O1173" s="16" t="s">
        <v>1217</v>
      </c>
      <c r="P1173" s="10" t="s">
        <v>266</v>
      </c>
      <c r="Q1173" s="10" t="s">
        <v>271</v>
      </c>
      <c r="S1173" s="16" t="str">
        <f t="shared" si="127"/>
        <v>Refer to  SD</v>
      </c>
      <c r="T1173" s="31" t="s">
        <v>1144</v>
      </c>
    </row>
    <row r="1174" spans="1:20" customFormat="1" hidden="1">
      <c r="A1174" t="s">
        <v>266</v>
      </c>
      <c r="B1174" t="s">
        <v>276</v>
      </c>
      <c r="I1174" s="6"/>
    </row>
    <row r="1175" spans="1:20">
      <c r="A1175" s="16">
        <v>13</v>
      </c>
      <c r="B1175" s="16" t="s">
        <v>317</v>
      </c>
      <c r="C1175" s="16">
        <v>886</v>
      </c>
      <c r="D1175" s="7" t="s">
        <v>295</v>
      </c>
      <c r="E1175" s="30" t="s">
        <v>316</v>
      </c>
      <c r="F1175" s="2">
        <v>34085</v>
      </c>
      <c r="G1175" s="2">
        <v>35511</v>
      </c>
      <c r="H1175" s="2">
        <v>36461</v>
      </c>
      <c r="I1175" s="25">
        <v>35764</v>
      </c>
      <c r="K1175" s="2">
        <v>36461</v>
      </c>
      <c r="L1175" t="s">
        <v>297</v>
      </c>
      <c r="N1175" s="23" t="str">
        <f t="shared" ref="N1175:N1183" si="128">IF((I1175&gt;$W$2),"Y","N")</f>
        <v>N</v>
      </c>
      <c r="O1175" s="16" t="s">
        <v>55</v>
      </c>
      <c r="P1175" s="10" t="s">
        <v>266</v>
      </c>
      <c r="Q1175" s="10" t="s">
        <v>271</v>
      </c>
      <c r="S1175" s="16" t="str">
        <f t="shared" ref="S1175:S1185" si="129">MID(Q1175,9,30)</f>
        <v>Refer to  SD</v>
      </c>
    </row>
    <row r="1176" spans="1:20">
      <c r="A1176" s="16">
        <v>13</v>
      </c>
      <c r="B1176" s="16" t="s">
        <v>317</v>
      </c>
      <c r="C1176" s="16">
        <v>1033</v>
      </c>
      <c r="D1176" s="7" t="s">
        <v>295</v>
      </c>
      <c r="E1176" s="30" t="s">
        <v>316</v>
      </c>
      <c r="F1176" s="2">
        <v>34750</v>
      </c>
      <c r="G1176" s="2">
        <v>37526</v>
      </c>
      <c r="H1176" s="2">
        <v>39287</v>
      </c>
      <c r="I1176" s="25">
        <v>38352</v>
      </c>
      <c r="L1176" t="s">
        <v>297</v>
      </c>
      <c r="M1176" t="s">
        <v>297</v>
      </c>
      <c r="N1176" s="23" t="str">
        <f t="shared" si="128"/>
        <v>N</v>
      </c>
      <c r="O1176" s="16" t="s">
        <v>56</v>
      </c>
      <c r="P1176" s="10" t="s">
        <v>266</v>
      </c>
      <c r="Q1176" s="10" t="s">
        <v>271</v>
      </c>
      <c r="S1176" s="16" t="str">
        <f t="shared" si="129"/>
        <v>Refer to  SD</v>
      </c>
    </row>
    <row r="1177" spans="1:20">
      <c r="A1177" s="16">
        <v>13</v>
      </c>
      <c r="B1177" s="16" t="s">
        <v>317</v>
      </c>
      <c r="C1177" s="16">
        <v>1037</v>
      </c>
      <c r="D1177" s="7" t="s">
        <v>295</v>
      </c>
      <c r="E1177" s="16" t="s">
        <v>316</v>
      </c>
      <c r="F1177" s="2">
        <v>34761</v>
      </c>
      <c r="G1177" s="2">
        <v>35511</v>
      </c>
      <c r="H1177" s="2">
        <v>36570</v>
      </c>
      <c r="I1177" s="25">
        <v>36677</v>
      </c>
      <c r="K1177" s="2">
        <v>34974</v>
      </c>
      <c r="L1177" t="s">
        <v>317</v>
      </c>
      <c r="N1177" s="23" t="str">
        <f t="shared" si="128"/>
        <v>N</v>
      </c>
      <c r="P1177" s="10" t="s">
        <v>266</v>
      </c>
      <c r="Q1177" s="10" t="s">
        <v>271</v>
      </c>
      <c r="S1177" s="16" t="str">
        <f t="shared" si="129"/>
        <v>Refer to  SD</v>
      </c>
    </row>
    <row r="1178" spans="1:20">
      <c r="A1178" s="16">
        <v>13</v>
      </c>
      <c r="B1178" s="16" t="s">
        <v>317</v>
      </c>
      <c r="C1178" s="16">
        <v>1043</v>
      </c>
      <c r="D1178" s="7" t="s">
        <v>295</v>
      </c>
      <c r="E1178" s="16" t="s">
        <v>299</v>
      </c>
      <c r="F1178" s="2">
        <v>34780</v>
      </c>
      <c r="H1178" s="2">
        <v>37087</v>
      </c>
      <c r="I1178" s="25" t="s">
        <v>1266</v>
      </c>
      <c r="J1178" s="2">
        <v>39238</v>
      </c>
      <c r="L1178" t="s">
        <v>317</v>
      </c>
      <c r="M1178" t="s">
        <v>297</v>
      </c>
      <c r="N1178" s="23" t="str">
        <f t="shared" si="128"/>
        <v>Y</v>
      </c>
      <c r="O1178" s="30" t="s">
        <v>1985</v>
      </c>
      <c r="P1178" s="10" t="s">
        <v>266</v>
      </c>
      <c r="Q1178" s="10" t="s">
        <v>271</v>
      </c>
      <c r="S1178" s="16" t="str">
        <f t="shared" si="129"/>
        <v>Refer to  SD</v>
      </c>
      <c r="T1178" s="31" t="s">
        <v>1267</v>
      </c>
    </row>
    <row r="1179" spans="1:20">
      <c r="A1179" s="16">
        <v>13</v>
      </c>
      <c r="B1179" s="16" t="s">
        <v>317</v>
      </c>
      <c r="C1179" s="16">
        <v>1044</v>
      </c>
      <c r="D1179" s="7" t="s">
        <v>295</v>
      </c>
      <c r="E1179" s="16" t="s">
        <v>316</v>
      </c>
      <c r="F1179" s="2">
        <v>34780</v>
      </c>
      <c r="G1179" s="2">
        <v>38366</v>
      </c>
      <c r="H1179" s="2">
        <v>39183</v>
      </c>
      <c r="I1179" s="25">
        <v>39994</v>
      </c>
      <c r="K1179" s="2">
        <v>39051</v>
      </c>
      <c r="L1179" t="s">
        <v>297</v>
      </c>
      <c r="M1179" t="s">
        <v>297</v>
      </c>
      <c r="N1179" s="23" t="str">
        <f t="shared" si="128"/>
        <v>N</v>
      </c>
      <c r="O1179" s="16" t="s">
        <v>59</v>
      </c>
      <c r="P1179" s="10" t="s">
        <v>266</v>
      </c>
      <c r="Q1179" s="10" t="s">
        <v>271</v>
      </c>
      <c r="S1179" s="16" t="str">
        <f t="shared" si="129"/>
        <v>Refer to  SD</v>
      </c>
      <c r="T1179" s="31" t="s">
        <v>1141</v>
      </c>
    </row>
    <row r="1180" spans="1:20">
      <c r="A1180" s="16">
        <v>13</v>
      </c>
      <c r="B1180" s="16" t="s">
        <v>317</v>
      </c>
      <c r="C1180" s="16">
        <v>1045</v>
      </c>
      <c r="D1180" s="7" t="s">
        <v>295</v>
      </c>
      <c r="E1180" s="16" t="s">
        <v>316</v>
      </c>
      <c r="F1180" s="2">
        <v>34787</v>
      </c>
      <c r="G1180" s="2">
        <v>35743</v>
      </c>
      <c r="H1180" s="2">
        <v>37165</v>
      </c>
      <c r="I1180" s="25">
        <v>37256</v>
      </c>
      <c r="K1180" s="2">
        <v>38652</v>
      </c>
      <c r="L1180" t="s">
        <v>297</v>
      </c>
      <c r="M1180" t="s">
        <v>297</v>
      </c>
      <c r="N1180" s="23" t="str">
        <f t="shared" si="128"/>
        <v>N</v>
      </c>
      <c r="P1180" s="10" t="s">
        <v>266</v>
      </c>
      <c r="Q1180" s="10" t="s">
        <v>271</v>
      </c>
      <c r="S1180" s="16" t="str">
        <f t="shared" si="129"/>
        <v>Refer to  SD</v>
      </c>
    </row>
    <row r="1181" spans="1:20">
      <c r="A1181" s="16">
        <v>13</v>
      </c>
      <c r="B1181" s="16" t="s">
        <v>317</v>
      </c>
      <c r="C1181" s="16">
        <v>1090</v>
      </c>
      <c r="D1181" t="s">
        <v>295</v>
      </c>
      <c r="E1181" s="16" t="s">
        <v>299</v>
      </c>
      <c r="F1181" s="2">
        <v>35115</v>
      </c>
      <c r="H1181" s="2">
        <v>39496</v>
      </c>
      <c r="I1181" s="25">
        <v>41820</v>
      </c>
      <c r="J1181" s="2">
        <v>39238</v>
      </c>
      <c r="K1181" s="2">
        <v>38259</v>
      </c>
      <c r="L1181" t="s">
        <v>322</v>
      </c>
      <c r="M1181" t="s">
        <v>297</v>
      </c>
      <c r="N1181" s="23" t="str">
        <f t="shared" si="128"/>
        <v>Y</v>
      </c>
      <c r="O1181" s="30" t="s">
        <v>1986</v>
      </c>
      <c r="P1181" s="10" t="s">
        <v>266</v>
      </c>
      <c r="Q1181" s="10" t="s">
        <v>271</v>
      </c>
      <c r="S1181" s="16" t="str">
        <f t="shared" si="129"/>
        <v>Refer to  SD</v>
      </c>
      <c r="T1181" s="31">
        <v>41479</v>
      </c>
    </row>
    <row r="1182" spans="1:20">
      <c r="A1182" s="16">
        <v>13</v>
      </c>
      <c r="B1182" s="16" t="s">
        <v>317</v>
      </c>
      <c r="C1182" s="16">
        <v>1114</v>
      </c>
      <c r="D1182" s="7" t="s">
        <v>295</v>
      </c>
      <c r="E1182" s="16" t="s">
        <v>316</v>
      </c>
      <c r="F1182" s="2">
        <v>35209</v>
      </c>
      <c r="H1182" s="2">
        <v>38839</v>
      </c>
      <c r="I1182" s="25" t="s">
        <v>1266</v>
      </c>
      <c r="K1182" s="2">
        <v>35209</v>
      </c>
      <c r="L1182" t="s">
        <v>317</v>
      </c>
      <c r="M1182" t="s">
        <v>297</v>
      </c>
      <c r="N1182" s="23" t="str">
        <f t="shared" si="128"/>
        <v>Y</v>
      </c>
      <c r="O1182" s="16" t="s">
        <v>62</v>
      </c>
      <c r="P1182" s="10" t="s">
        <v>266</v>
      </c>
      <c r="Q1182" s="10" t="s">
        <v>271</v>
      </c>
      <c r="S1182" s="16" t="str">
        <f t="shared" si="129"/>
        <v>Refer to  SD</v>
      </c>
      <c r="T1182" s="31" t="s">
        <v>1267</v>
      </c>
    </row>
    <row r="1183" spans="1:20">
      <c r="A1183" s="16">
        <v>13</v>
      </c>
      <c r="B1183" s="16" t="s">
        <v>317</v>
      </c>
      <c r="C1183" s="16">
        <v>1432</v>
      </c>
      <c r="D1183" s="7" t="s">
        <v>295</v>
      </c>
      <c r="E1183" s="30" t="s">
        <v>316</v>
      </c>
      <c r="F1183" s="2">
        <v>37603</v>
      </c>
      <c r="G1183" s="2">
        <v>37939</v>
      </c>
      <c r="H1183" s="2">
        <v>38029</v>
      </c>
      <c r="I1183" s="25">
        <v>38199</v>
      </c>
      <c r="K1183" s="2">
        <v>38029</v>
      </c>
      <c r="L1183" t="s">
        <v>297</v>
      </c>
      <c r="M1183" t="s">
        <v>297</v>
      </c>
      <c r="N1183" s="23" t="str">
        <f t="shared" si="128"/>
        <v>N</v>
      </c>
      <c r="O1183" s="16" t="s">
        <v>1211</v>
      </c>
      <c r="P1183" s="10" t="s">
        <v>266</v>
      </c>
      <c r="Q1183" s="10" t="s">
        <v>271</v>
      </c>
      <c r="S1183" s="16" t="str">
        <f t="shared" si="129"/>
        <v>Refer to  SD</v>
      </c>
    </row>
    <row r="1184" spans="1:20">
      <c r="A1184" s="16">
        <v>13</v>
      </c>
      <c r="B1184" s="16" t="s">
        <v>155</v>
      </c>
      <c r="C1184" s="16">
        <v>1026</v>
      </c>
      <c r="D1184" s="7" t="s">
        <v>295</v>
      </c>
      <c r="E1184" s="16" t="s">
        <v>296</v>
      </c>
      <c r="F1184" s="2">
        <v>34729</v>
      </c>
      <c r="G1184" s="2">
        <v>35937</v>
      </c>
      <c r="H1184" s="2">
        <v>39317</v>
      </c>
      <c r="I1184" s="25">
        <v>41820</v>
      </c>
      <c r="J1184" s="2">
        <v>35422</v>
      </c>
      <c r="K1184" s="2">
        <v>38785</v>
      </c>
      <c r="L1184" t="s">
        <v>297</v>
      </c>
      <c r="M1184" t="s">
        <v>297</v>
      </c>
      <c r="N1184" s="23"/>
      <c r="O1184" s="16" t="s">
        <v>64</v>
      </c>
      <c r="P1184" s="10" t="s">
        <v>266</v>
      </c>
      <c r="Q1184" s="10" t="s">
        <v>272</v>
      </c>
      <c r="S1184" s="16" t="str">
        <f t="shared" si="129"/>
        <v>Jack  Rapkin</v>
      </c>
      <c r="T1184" s="31">
        <v>41479</v>
      </c>
    </row>
    <row r="1185" spans="1:33">
      <c r="A1185" s="16">
        <v>13</v>
      </c>
      <c r="B1185" s="16" t="s">
        <v>155</v>
      </c>
      <c r="C1185" s="16">
        <v>1182</v>
      </c>
      <c r="D1185" s="7" t="s">
        <v>295</v>
      </c>
      <c r="E1185" s="16" t="s">
        <v>296</v>
      </c>
      <c r="F1185" s="2">
        <v>35514</v>
      </c>
      <c r="G1185" s="2">
        <v>36091</v>
      </c>
      <c r="H1185" s="2">
        <v>38965</v>
      </c>
      <c r="I1185" s="25">
        <v>40359</v>
      </c>
      <c r="K1185" s="2">
        <v>38611</v>
      </c>
      <c r="L1185" t="s">
        <v>297</v>
      </c>
      <c r="M1185" t="s">
        <v>297</v>
      </c>
      <c r="N1185" s="23" t="str">
        <f>IF((I1185&gt;$W$2),"Y","N")</f>
        <v>N</v>
      </c>
      <c r="O1185" s="30" t="s">
        <v>1218</v>
      </c>
      <c r="P1185" s="10" t="s">
        <v>266</v>
      </c>
      <c r="Q1185" s="10" t="s">
        <v>272</v>
      </c>
      <c r="S1185" s="16" t="str">
        <f t="shared" si="129"/>
        <v>Jack  Rapkin</v>
      </c>
      <c r="T1185" s="31" t="s">
        <v>1300</v>
      </c>
    </row>
    <row r="1186" spans="1:33" customFormat="1" hidden="1">
      <c r="A1186" t="s">
        <v>266</v>
      </c>
      <c r="B1186" t="s">
        <v>277</v>
      </c>
      <c r="I1186" s="6"/>
    </row>
    <row r="1187" spans="1:33" customFormat="1" hidden="1">
      <c r="A1187" t="s">
        <v>115</v>
      </c>
      <c r="I1187" s="6"/>
    </row>
    <row r="1188" spans="1:33">
      <c r="A1188" s="16">
        <v>13</v>
      </c>
      <c r="B1188" s="16" t="s">
        <v>157</v>
      </c>
      <c r="C1188" s="16">
        <v>1052</v>
      </c>
      <c r="D1188" s="7" t="s">
        <v>295</v>
      </c>
      <c r="E1188" s="16" t="s">
        <v>296</v>
      </c>
      <c r="F1188" s="2">
        <v>34814</v>
      </c>
      <c r="G1188" s="2">
        <v>35511</v>
      </c>
      <c r="H1188" s="2">
        <v>39483</v>
      </c>
      <c r="I1188" s="25">
        <v>41455</v>
      </c>
      <c r="L1188" t="s">
        <v>297</v>
      </c>
      <c r="M1188" t="s">
        <v>297</v>
      </c>
      <c r="N1188" s="23" t="str">
        <f>IF((I1188&gt;$W$2),"Y","N")</f>
        <v>N</v>
      </c>
      <c r="O1188" s="30" t="s">
        <v>1987</v>
      </c>
      <c r="P1188" s="10" t="s">
        <v>266</v>
      </c>
      <c r="Q1188" s="10" t="s">
        <v>273</v>
      </c>
      <c r="S1188" s="16" t="str">
        <f>MID(Q1188,9,30)</f>
        <v>Angela  Slayton-Sargent</v>
      </c>
      <c r="T1188" s="31" t="s">
        <v>1494</v>
      </c>
    </row>
    <row r="1189" spans="1:33">
      <c r="A1189" s="16">
        <v>13</v>
      </c>
      <c r="B1189" s="16" t="s">
        <v>157</v>
      </c>
      <c r="C1189" s="16">
        <v>1091</v>
      </c>
      <c r="D1189" s="7" t="s">
        <v>295</v>
      </c>
      <c r="E1189" s="16" t="s">
        <v>296</v>
      </c>
      <c r="F1189" s="2">
        <v>35117</v>
      </c>
      <c r="G1189" s="2">
        <v>35874</v>
      </c>
      <c r="H1189" s="2">
        <v>38777</v>
      </c>
      <c r="I1189" s="25">
        <v>41455</v>
      </c>
      <c r="J1189" s="2">
        <v>36860</v>
      </c>
      <c r="K1189" s="2">
        <v>38482</v>
      </c>
      <c r="L1189" t="s">
        <v>297</v>
      </c>
      <c r="M1189" t="s">
        <v>297</v>
      </c>
      <c r="N1189" s="23" t="str">
        <f>IF((I1189&gt;$W$2),"Y","N")</f>
        <v>N</v>
      </c>
      <c r="O1189" s="16" t="s">
        <v>68</v>
      </c>
      <c r="P1189" s="10" t="s">
        <v>266</v>
      </c>
      <c r="Q1189" s="10" t="s">
        <v>273</v>
      </c>
      <c r="S1189" s="16" t="str">
        <f>MID(Q1189,9,30)</f>
        <v>Angela  Slayton-Sargent</v>
      </c>
      <c r="T1189" s="31" t="s">
        <v>1367</v>
      </c>
    </row>
    <row r="1190" spans="1:33" s="7" customFormat="1" hidden="1">
      <c r="A1190" s="7">
        <v>14</v>
      </c>
      <c r="B1190" s="7" t="s">
        <v>140</v>
      </c>
      <c r="C1190" s="7">
        <v>520</v>
      </c>
      <c r="D1190" s="7" t="s">
        <v>348</v>
      </c>
      <c r="E1190" s="7" t="s">
        <v>316</v>
      </c>
      <c r="F1190" s="2">
        <v>31493</v>
      </c>
      <c r="G1190" s="2">
        <v>33452</v>
      </c>
      <c r="H1190" s="2">
        <v>34631</v>
      </c>
      <c r="I1190" s="8">
        <v>34745</v>
      </c>
      <c r="J1190"/>
      <c r="K1190" s="2">
        <v>33941</v>
      </c>
      <c r="L1190" t="s">
        <v>317</v>
      </c>
      <c r="M1190" t="s">
        <v>297</v>
      </c>
      <c r="N1190"/>
      <c r="P1190" s="7" t="s">
        <v>278</v>
      </c>
      <c r="Q1190" s="7" t="s">
        <v>279</v>
      </c>
      <c r="R1190" s="10"/>
      <c r="S1190" s="10"/>
      <c r="T1190" s="10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  <c r="AE1190" s="10"/>
      <c r="AF1190" s="10"/>
      <c r="AG1190" s="10"/>
    </row>
    <row r="1191" spans="1:33">
      <c r="A1191" s="16">
        <v>13</v>
      </c>
      <c r="B1191" s="16" t="s">
        <v>157</v>
      </c>
      <c r="C1191" s="16">
        <v>1292</v>
      </c>
      <c r="D1191" s="7" t="s">
        <v>295</v>
      </c>
      <c r="E1191" s="16" t="s">
        <v>376</v>
      </c>
      <c r="F1191" s="2">
        <v>36252</v>
      </c>
      <c r="H1191" s="2">
        <v>38307</v>
      </c>
      <c r="I1191" s="25">
        <v>38898</v>
      </c>
      <c r="K1191" s="2">
        <v>38615</v>
      </c>
      <c r="L1191" t="s">
        <v>297</v>
      </c>
      <c r="M1191" t="s">
        <v>297</v>
      </c>
      <c r="N1191" s="23" t="str">
        <f>IF((I1191&gt;$W$2),"Y","N")</f>
        <v>N</v>
      </c>
      <c r="O1191" s="16" t="s">
        <v>69</v>
      </c>
      <c r="P1191" s="10" t="s">
        <v>266</v>
      </c>
      <c r="Q1191" s="10" t="s">
        <v>273</v>
      </c>
      <c r="S1191" s="16" t="str">
        <f>MID(Q1191,9,30)</f>
        <v>Angela  Slayton-Sargent</v>
      </c>
    </row>
    <row r="1192" spans="1:33">
      <c r="A1192" s="16">
        <v>13</v>
      </c>
      <c r="B1192" s="16" t="s">
        <v>157</v>
      </c>
      <c r="C1192" s="16">
        <v>1310</v>
      </c>
      <c r="D1192" s="7" t="s">
        <v>295</v>
      </c>
      <c r="E1192" s="16" t="s">
        <v>296</v>
      </c>
      <c r="F1192" s="2">
        <v>36403</v>
      </c>
      <c r="H1192" s="2">
        <v>39358</v>
      </c>
      <c r="I1192" s="25">
        <v>40359</v>
      </c>
      <c r="K1192" s="2">
        <v>38750</v>
      </c>
      <c r="L1192" t="s">
        <v>297</v>
      </c>
      <c r="M1192" t="s">
        <v>297</v>
      </c>
      <c r="N1192" s="23" t="str">
        <f>IF((I1192&gt;$W$2),"Y","N")</f>
        <v>N</v>
      </c>
      <c r="O1192" s="16" t="s">
        <v>70</v>
      </c>
      <c r="P1192" s="10" t="s">
        <v>266</v>
      </c>
      <c r="Q1192" s="10" t="s">
        <v>273</v>
      </c>
      <c r="S1192" s="16" t="str">
        <f>MID(Q1192,9,30)</f>
        <v>Angela  Slayton-Sargent</v>
      </c>
      <c r="T1192" s="31" t="s">
        <v>1297</v>
      </c>
    </row>
    <row r="1193" spans="1:33" customFormat="1" hidden="1">
      <c r="A1193">
        <v>14</v>
      </c>
      <c r="B1193" t="s">
        <v>140</v>
      </c>
      <c r="C1193">
        <v>1223</v>
      </c>
      <c r="D1193" t="s">
        <v>380</v>
      </c>
      <c r="E1193" t="s">
        <v>316</v>
      </c>
      <c r="F1193" s="2">
        <v>35737</v>
      </c>
      <c r="H1193" s="2">
        <v>36508</v>
      </c>
      <c r="I1193" s="6"/>
      <c r="L1193" t="s">
        <v>297</v>
      </c>
      <c r="M1193" t="s">
        <v>297</v>
      </c>
      <c r="P1193" t="s">
        <v>278</v>
      </c>
      <c r="Q1193" t="s">
        <v>279</v>
      </c>
      <c r="R1193" s="10"/>
      <c r="S1193" s="10"/>
      <c r="T1193" s="10"/>
      <c r="U1193" s="10"/>
      <c r="V1193" s="10"/>
      <c r="W1193" s="10"/>
      <c r="X1193" s="10"/>
      <c r="Y1193" s="10"/>
      <c r="Z1193" s="10"/>
      <c r="AA1193" s="10"/>
      <c r="AB1193" s="10"/>
      <c r="AC1193" s="10"/>
      <c r="AD1193" s="10"/>
      <c r="AE1193" s="10"/>
      <c r="AF1193" s="10"/>
      <c r="AG1193" s="10"/>
    </row>
    <row r="1194" spans="1:33" customFormat="1" hidden="1">
      <c r="A1194" t="s">
        <v>278</v>
      </c>
      <c r="B1194" t="s">
        <v>279</v>
      </c>
      <c r="I1194" s="6"/>
    </row>
    <row r="1195" spans="1:33">
      <c r="A1195" s="16">
        <v>13</v>
      </c>
      <c r="B1195" s="16" t="s">
        <v>157</v>
      </c>
      <c r="C1195" s="16">
        <v>1475</v>
      </c>
      <c r="D1195" s="7" t="s">
        <v>295</v>
      </c>
      <c r="E1195" s="16" t="s">
        <v>296</v>
      </c>
      <c r="F1195" s="2">
        <v>38157</v>
      </c>
      <c r="G1195" s="2">
        <v>38776</v>
      </c>
      <c r="H1195" s="2">
        <v>39112</v>
      </c>
      <c r="I1195" s="25">
        <v>40724</v>
      </c>
      <c r="L1195" t="s">
        <v>297</v>
      </c>
      <c r="M1195" t="s">
        <v>297</v>
      </c>
      <c r="N1195" s="23" t="str">
        <f>IF((I1195&gt;$W$2),"Y","N")</f>
        <v>N</v>
      </c>
      <c r="O1195" s="16" t="s">
        <v>1218</v>
      </c>
      <c r="P1195" s="10" t="s">
        <v>266</v>
      </c>
      <c r="Q1195" s="10" t="s">
        <v>273</v>
      </c>
      <c r="S1195" s="16" t="str">
        <f>MID(Q1195,9,30)</f>
        <v>Angela  Slayton-Sargent</v>
      </c>
      <c r="T1195" s="31" t="s">
        <v>1334</v>
      </c>
    </row>
    <row r="1196" spans="1:33">
      <c r="A1196" s="16">
        <v>13</v>
      </c>
      <c r="B1196" s="16" t="s">
        <v>159</v>
      </c>
      <c r="C1196" s="16">
        <v>292</v>
      </c>
      <c r="D1196" s="7" t="s">
        <v>295</v>
      </c>
      <c r="E1196" s="16" t="s">
        <v>296</v>
      </c>
      <c r="F1196" s="2">
        <v>29637</v>
      </c>
      <c r="G1196" s="2">
        <v>30702</v>
      </c>
      <c r="H1196" s="2">
        <v>39471</v>
      </c>
      <c r="I1196" s="25">
        <v>41820</v>
      </c>
      <c r="K1196" s="2">
        <v>39471</v>
      </c>
      <c r="L1196" t="s">
        <v>297</v>
      </c>
      <c r="M1196" t="s">
        <v>297</v>
      </c>
      <c r="N1196" s="23" t="str">
        <f>IF((I1196&gt;$W$2),"Y","N")</f>
        <v>Y</v>
      </c>
      <c r="O1196" s="30" t="s">
        <v>1988</v>
      </c>
      <c r="P1196" s="10" t="s">
        <v>266</v>
      </c>
      <c r="Q1196" s="10" t="s">
        <v>274</v>
      </c>
      <c r="S1196" s="16" t="str">
        <f>MID(Q1196,9,30)</f>
        <v>Dianne J McCurley</v>
      </c>
      <c r="T1196" s="31">
        <v>41428</v>
      </c>
    </row>
    <row r="1197" spans="1:33">
      <c r="A1197" s="16">
        <v>13</v>
      </c>
      <c r="B1197" s="16" t="s">
        <v>159</v>
      </c>
      <c r="C1197" s="16">
        <v>475</v>
      </c>
      <c r="D1197" s="7" t="s">
        <v>295</v>
      </c>
      <c r="E1197" s="16" t="s">
        <v>296</v>
      </c>
      <c r="F1197" s="2">
        <v>31192</v>
      </c>
      <c r="G1197" s="2">
        <v>31606</v>
      </c>
      <c r="H1197" s="2">
        <v>39486</v>
      </c>
      <c r="I1197" s="25">
        <v>41820</v>
      </c>
      <c r="K1197" s="2">
        <v>34435</v>
      </c>
      <c r="L1197" t="s">
        <v>297</v>
      </c>
      <c r="M1197" t="s">
        <v>297</v>
      </c>
      <c r="N1197" s="23" t="str">
        <f>IF((I1197&gt;$W$2),"Y","N")</f>
        <v>Y</v>
      </c>
      <c r="O1197" s="30" t="s">
        <v>1989</v>
      </c>
      <c r="P1197" s="10" t="s">
        <v>266</v>
      </c>
      <c r="Q1197" s="10" t="s">
        <v>274</v>
      </c>
      <c r="S1197" s="16" t="str">
        <f>MID(Q1197,9,30)</f>
        <v>Dianne J McCurley</v>
      </c>
      <c r="T1197" s="31">
        <v>41432</v>
      </c>
    </row>
    <row r="1198" spans="1:33">
      <c r="A1198" s="16">
        <v>13</v>
      </c>
      <c r="B1198" s="16" t="s">
        <v>159</v>
      </c>
      <c r="C1198" s="16">
        <v>504</v>
      </c>
      <c r="D1198" s="7" t="s">
        <v>295</v>
      </c>
      <c r="E1198" s="16" t="s">
        <v>296</v>
      </c>
      <c r="F1198" s="2">
        <v>31374</v>
      </c>
      <c r="G1198" s="2">
        <v>32220</v>
      </c>
      <c r="H1198" s="2">
        <v>39486</v>
      </c>
      <c r="I1198" s="25">
        <v>41820</v>
      </c>
      <c r="K1198" s="2">
        <v>35094</v>
      </c>
      <c r="L1198" t="s">
        <v>297</v>
      </c>
      <c r="M1198" t="s">
        <v>297</v>
      </c>
      <c r="N1198" s="23" t="str">
        <f>IF((I1198&gt;$W$2),"Y","N")</f>
        <v>Y</v>
      </c>
      <c r="O1198" s="16" t="s">
        <v>1219</v>
      </c>
      <c r="P1198" s="10" t="s">
        <v>266</v>
      </c>
      <c r="Q1198" s="10" t="s">
        <v>274</v>
      </c>
      <c r="S1198" s="16" t="str">
        <f>MID(Q1198,9,30)</f>
        <v>Dianne J McCurley</v>
      </c>
      <c r="T1198" s="31">
        <v>41438</v>
      </c>
    </row>
    <row r="1199" spans="1:33" s="7" customFormat="1" hidden="1">
      <c r="A1199" s="7">
        <v>14</v>
      </c>
      <c r="B1199" s="7" t="s">
        <v>376</v>
      </c>
      <c r="C1199" s="7">
        <v>1396</v>
      </c>
      <c r="D1199" s="7" t="s">
        <v>380</v>
      </c>
      <c r="E1199" s="7" t="s">
        <v>376</v>
      </c>
      <c r="F1199" s="2">
        <v>37194</v>
      </c>
      <c r="G1199"/>
      <c r="H1199" s="2">
        <v>37194</v>
      </c>
      <c r="I1199" s="8">
        <v>37407</v>
      </c>
      <c r="J1199"/>
      <c r="K1199"/>
      <c r="L1199" t="s">
        <v>322</v>
      </c>
      <c r="M1199" t="s">
        <v>297</v>
      </c>
      <c r="N1199"/>
      <c r="O1199" s="7" t="s">
        <v>318</v>
      </c>
      <c r="P1199" s="7" t="s">
        <v>278</v>
      </c>
      <c r="Q1199" s="7" t="s">
        <v>280</v>
      </c>
      <c r="R1199" s="10"/>
      <c r="S1199" s="10"/>
      <c r="T1199" s="10"/>
      <c r="U1199" s="10"/>
      <c r="V1199" s="10"/>
      <c r="W1199" s="10"/>
      <c r="X1199" s="10"/>
      <c r="Y1199" s="10"/>
      <c r="Z1199" s="10"/>
      <c r="AA1199" s="10"/>
      <c r="AB1199" s="10"/>
      <c r="AC1199" s="10"/>
      <c r="AD1199" s="10"/>
      <c r="AE1199" s="10"/>
      <c r="AF1199" s="10"/>
      <c r="AG1199" s="10"/>
    </row>
    <row r="1200" spans="1:33" s="7" customFormat="1" hidden="1">
      <c r="A1200" s="7">
        <v>14</v>
      </c>
      <c r="B1200" s="7" t="s">
        <v>376</v>
      </c>
      <c r="C1200" s="7">
        <v>1427</v>
      </c>
      <c r="D1200" s="7" t="s">
        <v>315</v>
      </c>
      <c r="E1200" s="7" t="s">
        <v>316</v>
      </c>
      <c r="F1200" s="2">
        <v>37524</v>
      </c>
      <c r="G1200"/>
      <c r="H1200" s="2">
        <v>37524</v>
      </c>
      <c r="I1200" s="8">
        <v>37909</v>
      </c>
      <c r="J1200"/>
      <c r="K1200"/>
      <c r="L1200" t="s">
        <v>297</v>
      </c>
      <c r="M1200" t="s">
        <v>297</v>
      </c>
      <c r="N1200"/>
      <c r="P1200" s="7" t="s">
        <v>278</v>
      </c>
      <c r="Q1200" s="7" t="s">
        <v>280</v>
      </c>
      <c r="R1200" s="10"/>
      <c r="S1200" s="10"/>
      <c r="T1200" s="10"/>
      <c r="U1200" s="10"/>
      <c r="V1200" s="10"/>
      <c r="W1200" s="10"/>
      <c r="X1200" s="10"/>
      <c r="Y1200" s="10"/>
      <c r="Z1200" s="10"/>
      <c r="AA1200" s="10"/>
      <c r="AB1200" s="10"/>
      <c r="AC1200" s="10"/>
      <c r="AD1200" s="10"/>
      <c r="AE1200" s="10"/>
      <c r="AF1200" s="10"/>
      <c r="AG1200" s="10"/>
    </row>
    <row r="1201" spans="1:33">
      <c r="A1201" s="16">
        <v>13</v>
      </c>
      <c r="B1201" s="16" t="s">
        <v>159</v>
      </c>
      <c r="C1201" s="16">
        <v>510</v>
      </c>
      <c r="D1201" s="7" t="s">
        <v>295</v>
      </c>
      <c r="E1201" s="16" t="s">
        <v>296</v>
      </c>
      <c r="F1201" s="2">
        <v>31374</v>
      </c>
      <c r="G1201" s="2">
        <v>31437</v>
      </c>
      <c r="H1201" s="2">
        <v>39119</v>
      </c>
      <c r="I1201" s="25">
        <v>41820</v>
      </c>
      <c r="K1201" s="2">
        <v>38777</v>
      </c>
      <c r="L1201" t="s">
        <v>297</v>
      </c>
      <c r="M1201" t="s">
        <v>297</v>
      </c>
      <c r="N1201" s="23" t="str">
        <f>IF((I1201&gt;$W$2),"Y","N")</f>
        <v>Y</v>
      </c>
      <c r="O1201" s="16" t="s">
        <v>75</v>
      </c>
      <c r="P1201" s="10" t="s">
        <v>266</v>
      </c>
      <c r="Q1201" s="10" t="s">
        <v>274</v>
      </c>
      <c r="S1201" s="16" t="str">
        <f>MID(Q1201,9,30)</f>
        <v>Dianne J McCurley</v>
      </c>
      <c r="T1201" s="31">
        <v>41425</v>
      </c>
    </row>
    <row r="1202" spans="1:33" s="7" customFormat="1" hidden="1">
      <c r="A1202" s="7">
        <v>14</v>
      </c>
      <c r="B1202" s="7" t="s">
        <v>376</v>
      </c>
      <c r="C1202" s="7">
        <v>1470</v>
      </c>
      <c r="D1202" s="7" t="s">
        <v>408</v>
      </c>
      <c r="E1202" s="7" t="s">
        <v>376</v>
      </c>
      <c r="F1202" s="2">
        <v>38056</v>
      </c>
      <c r="G1202"/>
      <c r="H1202" s="2">
        <v>38056</v>
      </c>
      <c r="I1202" s="8">
        <v>38504</v>
      </c>
      <c r="J1202"/>
      <c r="K1202"/>
      <c r="L1202" t="s">
        <v>322</v>
      </c>
      <c r="M1202" t="s">
        <v>322</v>
      </c>
      <c r="N1202"/>
      <c r="P1202" s="7" t="s">
        <v>278</v>
      </c>
      <c r="Q1202" s="7" t="s">
        <v>280</v>
      </c>
      <c r="R1202" s="10"/>
      <c r="S1202" s="10"/>
      <c r="T1202" s="10"/>
      <c r="U1202" s="10"/>
      <c r="V1202" s="10"/>
      <c r="W1202" s="10"/>
      <c r="X1202" s="10"/>
      <c r="Y1202" s="10"/>
      <c r="Z1202" s="10"/>
      <c r="AA1202" s="10"/>
      <c r="AB1202" s="10"/>
      <c r="AC1202" s="10"/>
      <c r="AD1202" s="10"/>
      <c r="AE1202" s="10"/>
      <c r="AF1202" s="10"/>
      <c r="AG1202" s="10"/>
    </row>
    <row r="1203" spans="1:33">
      <c r="A1203" s="16">
        <v>13</v>
      </c>
      <c r="B1203" s="16" t="s">
        <v>159</v>
      </c>
      <c r="C1203" s="16">
        <v>576</v>
      </c>
      <c r="D1203" s="7" t="s">
        <v>295</v>
      </c>
      <c r="E1203" s="16" t="s">
        <v>296</v>
      </c>
      <c r="F1203" s="2">
        <v>31867</v>
      </c>
      <c r="G1203" s="2">
        <v>31867</v>
      </c>
      <c r="H1203" s="2">
        <v>39280</v>
      </c>
      <c r="I1203" s="25">
        <v>41820</v>
      </c>
      <c r="K1203" s="2">
        <v>38841</v>
      </c>
      <c r="L1203" t="s">
        <v>297</v>
      </c>
      <c r="M1203" t="s">
        <v>297</v>
      </c>
      <c r="N1203" s="23" t="str">
        <f>IF((I1203&gt;$W$2),"Y","N")</f>
        <v>Y</v>
      </c>
      <c r="O1203" s="16" t="s">
        <v>1535</v>
      </c>
      <c r="P1203" s="10" t="s">
        <v>266</v>
      </c>
      <c r="Q1203" s="10" t="s">
        <v>274</v>
      </c>
      <c r="S1203" s="16" t="str">
        <f>MID(Q1203,9,30)</f>
        <v>Dianne J McCurley</v>
      </c>
      <c r="T1203" s="31">
        <v>41428</v>
      </c>
    </row>
    <row r="1204" spans="1:33">
      <c r="A1204" s="16">
        <v>13</v>
      </c>
      <c r="B1204" s="16" t="s">
        <v>159</v>
      </c>
      <c r="C1204" s="16">
        <v>663</v>
      </c>
      <c r="D1204" s="7" t="s">
        <v>295</v>
      </c>
      <c r="E1204" s="16" t="s">
        <v>296</v>
      </c>
      <c r="F1204" s="2">
        <v>32521</v>
      </c>
      <c r="G1204" s="2">
        <v>32522</v>
      </c>
      <c r="H1204" s="2">
        <v>39280</v>
      </c>
      <c r="I1204" s="25">
        <v>41820</v>
      </c>
      <c r="K1204" s="2">
        <v>38140</v>
      </c>
      <c r="L1204" t="s">
        <v>297</v>
      </c>
      <c r="M1204" t="s">
        <v>297</v>
      </c>
      <c r="N1204" s="23" t="str">
        <f>IF((I1204&gt;$W$2),"Y","N")</f>
        <v>Y</v>
      </c>
      <c r="O1204" s="16" t="s">
        <v>1548</v>
      </c>
      <c r="P1204" s="10" t="s">
        <v>266</v>
      </c>
      <c r="Q1204" s="10" t="s">
        <v>274</v>
      </c>
      <c r="S1204" s="16" t="str">
        <f>MID(Q1204,9,30)</f>
        <v>Dianne J McCurley</v>
      </c>
      <c r="T1204" s="31">
        <v>41436</v>
      </c>
    </row>
    <row r="1205" spans="1:33">
      <c r="A1205" s="16">
        <v>13</v>
      </c>
      <c r="B1205" s="16" t="s">
        <v>159</v>
      </c>
      <c r="C1205" s="16">
        <v>711</v>
      </c>
      <c r="D1205" s="7" t="s">
        <v>295</v>
      </c>
      <c r="E1205" s="16" t="s">
        <v>296</v>
      </c>
      <c r="F1205" s="2">
        <v>32892</v>
      </c>
      <c r="G1205" s="2">
        <v>33313</v>
      </c>
      <c r="H1205" s="2">
        <v>39352</v>
      </c>
      <c r="I1205" s="25">
        <v>41820</v>
      </c>
      <c r="J1205" s="2">
        <v>39318</v>
      </c>
      <c r="K1205" s="2">
        <v>39290</v>
      </c>
      <c r="L1205" t="s">
        <v>297</v>
      </c>
      <c r="M1205" t="s">
        <v>297</v>
      </c>
      <c r="N1205" s="23" t="str">
        <f>IF((I1205&gt;$W$2),"Y","N")</f>
        <v>Y</v>
      </c>
      <c r="O1205" s="16" t="s">
        <v>1449</v>
      </c>
      <c r="P1205" s="10" t="s">
        <v>266</v>
      </c>
      <c r="Q1205" s="10" t="s">
        <v>274</v>
      </c>
      <c r="S1205" s="16" t="str">
        <f>MID(Q1205,9,30)</f>
        <v>Dianne J McCurley</v>
      </c>
      <c r="T1205" s="31">
        <v>41443</v>
      </c>
    </row>
    <row r="1206" spans="1:33" customFormat="1" hidden="1">
      <c r="A1206" t="s">
        <v>278</v>
      </c>
      <c r="B1206" t="s">
        <v>280</v>
      </c>
      <c r="I1206" s="6"/>
    </row>
    <row r="1207" spans="1:33">
      <c r="A1207" s="16">
        <v>13</v>
      </c>
      <c r="B1207" s="16" t="s">
        <v>159</v>
      </c>
      <c r="C1207" s="16">
        <v>724</v>
      </c>
      <c r="D1207" s="7" t="s">
        <v>295</v>
      </c>
      <c r="E1207" s="16" t="s">
        <v>296</v>
      </c>
      <c r="F1207" s="2">
        <v>32892</v>
      </c>
      <c r="G1207" s="2">
        <v>32893</v>
      </c>
      <c r="H1207" s="2">
        <v>39274</v>
      </c>
      <c r="I1207" s="25">
        <v>41820</v>
      </c>
      <c r="J1207" s="2">
        <v>33385</v>
      </c>
      <c r="K1207" s="2">
        <v>34738</v>
      </c>
      <c r="L1207" t="s">
        <v>297</v>
      </c>
      <c r="N1207" s="23" t="str">
        <f>IF((I1207&gt;$W$2),"Y","N")</f>
        <v>Y</v>
      </c>
      <c r="O1207" s="16" t="s">
        <v>79</v>
      </c>
      <c r="P1207" s="10" t="s">
        <v>266</v>
      </c>
      <c r="Q1207" s="10" t="s">
        <v>274</v>
      </c>
      <c r="S1207" s="16" t="str">
        <f>MID(Q1207,9,30)</f>
        <v>Dianne J McCurley</v>
      </c>
      <c r="T1207" s="31">
        <v>41432</v>
      </c>
    </row>
    <row r="1208" spans="1:33">
      <c r="A1208" s="16">
        <v>13</v>
      </c>
      <c r="B1208" s="16" t="s">
        <v>159</v>
      </c>
      <c r="C1208" s="16">
        <v>971</v>
      </c>
      <c r="D1208" s="7" t="s">
        <v>295</v>
      </c>
      <c r="E1208" s="16" t="s">
        <v>296</v>
      </c>
      <c r="F1208" s="2">
        <v>34526</v>
      </c>
      <c r="G1208" s="2">
        <v>35209</v>
      </c>
      <c r="H1208" s="2">
        <v>39007</v>
      </c>
      <c r="I1208" s="25">
        <v>41820</v>
      </c>
      <c r="K1208" s="2">
        <v>35935</v>
      </c>
      <c r="L1208" t="s">
        <v>297</v>
      </c>
      <c r="M1208" t="s">
        <v>297</v>
      </c>
      <c r="N1208" s="23" t="str">
        <f>IF((I1208&gt;$W$2),"Y","N")</f>
        <v>Y</v>
      </c>
      <c r="O1208" s="30" t="s">
        <v>1990</v>
      </c>
      <c r="P1208" s="10" t="s">
        <v>266</v>
      </c>
      <c r="Q1208" s="10" t="s">
        <v>274</v>
      </c>
      <c r="S1208" s="16" t="str">
        <f>MID(Q1208,9,30)</f>
        <v>Dianne J McCurley</v>
      </c>
      <c r="T1208" s="31">
        <v>41432</v>
      </c>
    </row>
    <row r="1209" spans="1:33">
      <c r="A1209" s="16">
        <v>13</v>
      </c>
      <c r="B1209" s="16" t="s">
        <v>159</v>
      </c>
      <c r="C1209" s="16">
        <v>1515</v>
      </c>
      <c r="D1209" s="7" t="s">
        <v>295</v>
      </c>
      <c r="E1209" s="16" t="s">
        <v>316</v>
      </c>
      <c r="F1209" s="2">
        <v>38763</v>
      </c>
      <c r="H1209" s="2">
        <v>38882</v>
      </c>
      <c r="I1209" s="25">
        <v>39294</v>
      </c>
      <c r="L1209" t="s">
        <v>297</v>
      </c>
      <c r="M1209" t="s">
        <v>297</v>
      </c>
      <c r="N1209" s="23" t="str">
        <f>IF((I1209&gt;$W$2),"Y","N")</f>
        <v>N</v>
      </c>
      <c r="O1209" s="16" t="s">
        <v>1220</v>
      </c>
      <c r="P1209" s="10" t="s">
        <v>266</v>
      </c>
      <c r="Q1209" s="10" t="s">
        <v>274</v>
      </c>
      <c r="S1209" s="16" t="str">
        <f>MID(Q1209,9,30)</f>
        <v>Dianne J McCurley</v>
      </c>
    </row>
    <row r="1210" spans="1:33">
      <c r="A1210" s="16">
        <v>13</v>
      </c>
      <c r="B1210" s="16" t="s">
        <v>376</v>
      </c>
      <c r="C1210" s="16">
        <v>194</v>
      </c>
      <c r="D1210" s="7" t="s">
        <v>295</v>
      </c>
      <c r="E1210" s="16" t="s">
        <v>296</v>
      </c>
      <c r="F1210" s="2">
        <v>28684</v>
      </c>
      <c r="G1210" s="2">
        <v>28986</v>
      </c>
      <c r="H1210" s="2">
        <v>39154</v>
      </c>
      <c r="I1210" s="25">
        <v>41455</v>
      </c>
      <c r="K1210" s="2">
        <v>35859</v>
      </c>
      <c r="L1210" t="s">
        <v>297</v>
      </c>
      <c r="M1210" t="s">
        <v>297</v>
      </c>
      <c r="N1210" s="23" t="str">
        <f>IF((I1210&gt;$W$2),"Y","N")</f>
        <v>N</v>
      </c>
      <c r="O1210" s="30" t="s">
        <v>1991</v>
      </c>
      <c r="P1210" s="10" t="s">
        <v>266</v>
      </c>
      <c r="Q1210" s="10" t="s">
        <v>275</v>
      </c>
      <c r="S1210" s="16" t="str">
        <f>MID(Q1210,9,30)</f>
        <v>Shari M Shaffer</v>
      </c>
      <c r="T1210" s="31" t="s">
        <v>1429</v>
      </c>
    </row>
    <row r="1211" spans="1:33">
      <c r="A1211" s="16">
        <v>13</v>
      </c>
      <c r="B1211" s="16" t="s">
        <v>376</v>
      </c>
      <c r="C1211" s="16">
        <v>681</v>
      </c>
      <c r="D1211" t="s">
        <v>295</v>
      </c>
      <c r="E1211" s="16" t="s">
        <v>296</v>
      </c>
      <c r="F1211" s="2">
        <v>32647</v>
      </c>
      <c r="G1211" s="2">
        <v>38366</v>
      </c>
      <c r="H1211" s="2">
        <v>39274</v>
      </c>
      <c r="I1211" s="25">
        <v>41820</v>
      </c>
      <c r="K1211" s="2">
        <v>35759</v>
      </c>
      <c r="L1211" t="s">
        <v>297</v>
      </c>
      <c r="M1211" t="s">
        <v>297</v>
      </c>
      <c r="N1211" s="23" t="str">
        <f>IF((I1211&gt;$W$2),"Y","N")</f>
        <v>Y</v>
      </c>
      <c r="O1211" s="16" t="s">
        <v>1584</v>
      </c>
      <c r="P1211" s="10" t="s">
        <v>266</v>
      </c>
      <c r="Q1211" s="10" t="s">
        <v>275</v>
      </c>
      <c r="S1211" s="16" t="str">
        <f>MID(Q1211,9,30)</f>
        <v>Shari M Shaffer</v>
      </c>
      <c r="T1211" s="31">
        <v>41432</v>
      </c>
    </row>
    <row r="1212" spans="1:33" customFormat="1" hidden="1">
      <c r="A1212" t="s">
        <v>278</v>
      </c>
      <c r="B1212" t="s">
        <v>281</v>
      </c>
      <c r="I1212" s="6"/>
    </row>
    <row r="1213" spans="1:33">
      <c r="A1213" s="16">
        <v>13</v>
      </c>
      <c r="B1213" s="16" t="s">
        <v>376</v>
      </c>
      <c r="C1213" s="16">
        <v>709</v>
      </c>
      <c r="D1213" s="7" t="s">
        <v>295</v>
      </c>
      <c r="E1213" s="16" t="s">
        <v>296</v>
      </c>
      <c r="F1213" s="2">
        <v>32892</v>
      </c>
      <c r="G1213" s="2">
        <v>33684</v>
      </c>
      <c r="H1213" s="2">
        <v>39353</v>
      </c>
      <c r="I1213" s="25">
        <v>41455</v>
      </c>
      <c r="J1213" s="2">
        <v>33662</v>
      </c>
      <c r="K1213" s="2">
        <v>35705</v>
      </c>
      <c r="L1213" t="s">
        <v>297</v>
      </c>
      <c r="M1213" t="s">
        <v>297</v>
      </c>
      <c r="N1213" s="23" t="str">
        <f>IF((I1213&gt;$W$2),"Y","N")</f>
        <v>N</v>
      </c>
      <c r="O1213" s="30" t="s">
        <v>1218</v>
      </c>
      <c r="P1213" s="10" t="s">
        <v>266</v>
      </c>
      <c r="Q1213" s="10" t="s">
        <v>275</v>
      </c>
      <c r="S1213" s="16" t="str">
        <f>MID(Q1213,9,30)</f>
        <v>Shari M Shaffer</v>
      </c>
      <c r="T1213" s="31" t="s">
        <v>1387</v>
      </c>
    </row>
    <row r="1214" spans="1:33">
      <c r="A1214" s="16">
        <v>13</v>
      </c>
      <c r="B1214" s="16" t="s">
        <v>376</v>
      </c>
      <c r="C1214" s="16">
        <v>763</v>
      </c>
      <c r="D1214" s="7" t="s">
        <v>295</v>
      </c>
      <c r="E1214" s="16" t="s">
        <v>296</v>
      </c>
      <c r="F1214" s="2">
        <v>33181</v>
      </c>
      <c r="G1214" s="2">
        <v>36238</v>
      </c>
      <c r="H1214" s="2">
        <v>38908</v>
      </c>
      <c r="I1214" s="25">
        <v>41820</v>
      </c>
      <c r="K1214" s="2">
        <v>36347</v>
      </c>
      <c r="L1214" t="s">
        <v>297</v>
      </c>
      <c r="M1214" t="s">
        <v>297</v>
      </c>
      <c r="N1214" s="23" t="str">
        <f>IF((I1214&gt;$W$2),"Y","N")</f>
        <v>Y</v>
      </c>
      <c r="O1214" s="16" t="s">
        <v>1450</v>
      </c>
      <c r="P1214" s="10" t="s">
        <v>266</v>
      </c>
      <c r="Q1214" s="10" t="s">
        <v>275</v>
      </c>
      <c r="S1214" s="16" t="str">
        <f>MID(Q1214,9,30)</f>
        <v>Shari M Shaffer</v>
      </c>
      <c r="T1214" s="31">
        <v>41428</v>
      </c>
    </row>
    <row r="1215" spans="1:33" s="7" customFormat="1" hidden="1">
      <c r="A1215" s="7">
        <v>14</v>
      </c>
      <c r="B1215" s="7" t="s">
        <v>186</v>
      </c>
      <c r="C1215" s="7">
        <v>1295</v>
      </c>
      <c r="D1215" s="7" t="s">
        <v>315</v>
      </c>
      <c r="E1215" s="7" t="s">
        <v>316</v>
      </c>
      <c r="F1215" s="2">
        <v>36273</v>
      </c>
      <c r="G1215"/>
      <c r="H1215" s="2">
        <v>37805</v>
      </c>
      <c r="I1215" s="8">
        <v>36525</v>
      </c>
      <c r="J1215" s="2">
        <v>37798</v>
      </c>
      <c r="K1215" s="2">
        <v>37805</v>
      </c>
      <c r="L1215" t="s">
        <v>297</v>
      </c>
      <c r="M1215" t="s">
        <v>297</v>
      </c>
      <c r="N1215"/>
      <c r="P1215" s="7" t="s">
        <v>278</v>
      </c>
      <c r="Q1215" s="7" t="s">
        <v>282</v>
      </c>
      <c r="R1215" s="10"/>
      <c r="S1215" s="10"/>
      <c r="T1215" s="10"/>
      <c r="U1215" s="10"/>
      <c r="V1215" s="10"/>
      <c r="W1215" s="10"/>
      <c r="X1215" s="10"/>
      <c r="Y1215" s="10"/>
      <c r="Z1215" s="10"/>
      <c r="AA1215" s="10"/>
      <c r="AB1215" s="10"/>
      <c r="AC1215" s="10"/>
      <c r="AD1215" s="10"/>
      <c r="AE1215" s="10"/>
      <c r="AF1215" s="10"/>
      <c r="AG1215" s="10"/>
    </row>
    <row r="1216" spans="1:33" s="7" customFormat="1" hidden="1">
      <c r="A1216" s="7">
        <v>14</v>
      </c>
      <c r="B1216" s="7" t="s">
        <v>186</v>
      </c>
      <c r="C1216" s="7">
        <v>1322</v>
      </c>
      <c r="D1216" s="7" t="s">
        <v>618</v>
      </c>
      <c r="E1216" s="7" t="s">
        <v>376</v>
      </c>
      <c r="F1216" s="2">
        <v>36556</v>
      </c>
      <c r="G1216"/>
      <c r="H1216" s="2">
        <v>38929</v>
      </c>
      <c r="I1216" s="8">
        <v>36923</v>
      </c>
      <c r="J1216"/>
      <c r="K1216"/>
      <c r="L1216" t="s">
        <v>317</v>
      </c>
      <c r="M1216" t="s">
        <v>297</v>
      </c>
      <c r="N1216"/>
      <c r="O1216" s="7" t="s">
        <v>318</v>
      </c>
      <c r="P1216" s="7" t="s">
        <v>278</v>
      </c>
      <c r="Q1216" s="7" t="s">
        <v>282</v>
      </c>
      <c r="R1216" s="10"/>
      <c r="S1216" s="10"/>
      <c r="T1216" s="10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  <c r="AE1216" s="10"/>
      <c r="AF1216" s="10"/>
      <c r="AG1216" s="10"/>
    </row>
    <row r="1217" spans="1:33">
      <c r="A1217" s="16">
        <v>13</v>
      </c>
      <c r="B1217" s="16" t="s">
        <v>376</v>
      </c>
      <c r="C1217" s="16">
        <v>781</v>
      </c>
      <c r="D1217" s="7" t="s">
        <v>295</v>
      </c>
      <c r="E1217" s="16" t="s">
        <v>296</v>
      </c>
      <c r="F1217" s="2">
        <v>33313</v>
      </c>
      <c r="G1217" s="2">
        <v>33684</v>
      </c>
      <c r="H1217" s="2">
        <v>39036</v>
      </c>
      <c r="I1217" s="25">
        <v>41455</v>
      </c>
      <c r="K1217" s="2">
        <v>38534</v>
      </c>
      <c r="L1217" t="s">
        <v>297</v>
      </c>
      <c r="M1217" t="s">
        <v>297</v>
      </c>
      <c r="N1217" s="23" t="str">
        <f>IF((I1217&gt;$W$2),"Y","N")</f>
        <v>N</v>
      </c>
      <c r="O1217" s="30" t="s">
        <v>1992</v>
      </c>
      <c r="P1217" s="10" t="s">
        <v>266</v>
      </c>
      <c r="Q1217" s="10" t="s">
        <v>275</v>
      </c>
      <c r="S1217" s="16" t="str">
        <f>MID(Q1217,9,30)</f>
        <v>Shari M Shaffer</v>
      </c>
      <c r="T1217" s="31" t="s">
        <v>1361</v>
      </c>
    </row>
    <row r="1218" spans="1:33">
      <c r="A1218" s="16">
        <v>13</v>
      </c>
      <c r="B1218" s="16" t="s">
        <v>376</v>
      </c>
      <c r="C1218" s="16">
        <v>801</v>
      </c>
      <c r="D1218" s="7" t="s">
        <v>295</v>
      </c>
      <c r="E1218" s="16" t="s">
        <v>296</v>
      </c>
      <c r="F1218" s="2">
        <v>33487</v>
      </c>
      <c r="G1218" s="2">
        <v>34051</v>
      </c>
      <c r="H1218" s="2">
        <v>39471</v>
      </c>
      <c r="I1218" s="25">
        <v>41820</v>
      </c>
      <c r="K1218" s="2">
        <v>38034</v>
      </c>
      <c r="L1218" t="s">
        <v>297</v>
      </c>
      <c r="M1218" t="s">
        <v>297</v>
      </c>
      <c r="N1218" s="23" t="str">
        <f>IF((I1218&gt;$W$2),"Y","N")</f>
        <v>Y</v>
      </c>
      <c r="O1218" s="30" t="s">
        <v>1993</v>
      </c>
      <c r="P1218" s="10" t="s">
        <v>266</v>
      </c>
      <c r="Q1218" s="10" t="s">
        <v>275</v>
      </c>
      <c r="S1218" s="16" t="str">
        <f>MID(Q1218,9,30)</f>
        <v>Shari M Shaffer</v>
      </c>
      <c r="T1218" s="31">
        <v>41436</v>
      </c>
    </row>
    <row r="1219" spans="1:33">
      <c r="A1219" s="16">
        <v>13</v>
      </c>
      <c r="B1219" s="16" t="s">
        <v>376</v>
      </c>
      <c r="C1219" s="16">
        <v>854</v>
      </c>
      <c r="D1219" t="s">
        <v>295</v>
      </c>
      <c r="E1219" s="16" t="s">
        <v>296</v>
      </c>
      <c r="F1219" s="2">
        <v>33879</v>
      </c>
      <c r="G1219" s="2">
        <v>34484</v>
      </c>
      <c r="H1219" s="2">
        <v>39497</v>
      </c>
      <c r="I1219" s="25">
        <v>41455</v>
      </c>
      <c r="K1219" s="2">
        <v>38432</v>
      </c>
      <c r="L1219" t="s">
        <v>297</v>
      </c>
      <c r="M1219" t="s">
        <v>297</v>
      </c>
      <c r="N1219" s="23" t="str">
        <f>IF((I1219&gt;$W$2),"Y","N")</f>
        <v>N</v>
      </c>
      <c r="O1219" s="16" t="s">
        <v>1221</v>
      </c>
      <c r="P1219" s="10" t="s">
        <v>266</v>
      </c>
      <c r="Q1219" s="10" t="s">
        <v>275</v>
      </c>
      <c r="S1219" s="16" t="str">
        <f>MID(Q1219,9,30)</f>
        <v>Shari M Shaffer</v>
      </c>
      <c r="T1219" s="31" t="s">
        <v>1423</v>
      </c>
    </row>
    <row r="1220" spans="1:33">
      <c r="A1220" s="16">
        <v>13</v>
      </c>
      <c r="B1220" s="16" t="s">
        <v>376</v>
      </c>
      <c r="C1220" s="16">
        <v>859</v>
      </c>
      <c r="D1220" s="7" t="s">
        <v>295</v>
      </c>
      <c r="E1220" s="16" t="s">
        <v>296</v>
      </c>
      <c r="F1220" s="2">
        <v>33879</v>
      </c>
      <c r="G1220" s="2">
        <v>35743</v>
      </c>
      <c r="H1220" s="2">
        <v>39227</v>
      </c>
      <c r="I1220" s="25">
        <v>41820</v>
      </c>
      <c r="K1220" s="2">
        <v>35171</v>
      </c>
      <c r="L1220" t="s">
        <v>297</v>
      </c>
      <c r="M1220" t="s">
        <v>297</v>
      </c>
      <c r="N1220" s="23" t="str">
        <f>IF((I1220&gt;$W$2),"Y","N")</f>
        <v>Y</v>
      </c>
      <c r="O1220" s="30" t="s">
        <v>1994</v>
      </c>
      <c r="P1220" s="10" t="s">
        <v>266</v>
      </c>
      <c r="Q1220" s="10" t="s">
        <v>275</v>
      </c>
      <c r="S1220" s="16" t="str">
        <f>MID(Q1220,9,30)</f>
        <v>Shari M Shaffer</v>
      </c>
      <c r="T1220" s="31">
        <v>41425</v>
      </c>
    </row>
    <row r="1221" spans="1:33" customFormat="1" hidden="1">
      <c r="A1221" t="s">
        <v>278</v>
      </c>
      <c r="B1221" t="s">
        <v>282</v>
      </c>
      <c r="I1221" s="6"/>
    </row>
    <row r="1222" spans="1:33" customFormat="1" hidden="1">
      <c r="A1222" t="s">
        <v>139</v>
      </c>
      <c r="I1222" s="6"/>
    </row>
    <row r="1223" spans="1:33" customFormat="1" hidden="1">
      <c r="A1223">
        <v>99</v>
      </c>
      <c r="B1223" t="s">
        <v>140</v>
      </c>
      <c r="C1223">
        <v>1384</v>
      </c>
      <c r="D1223" t="s">
        <v>348</v>
      </c>
      <c r="E1223" t="s">
        <v>316</v>
      </c>
      <c r="F1223" s="2">
        <v>37064</v>
      </c>
      <c r="H1223" s="2">
        <v>37064</v>
      </c>
      <c r="I1223" s="6"/>
      <c r="L1223" t="s">
        <v>317</v>
      </c>
      <c r="M1223" t="s">
        <v>297</v>
      </c>
      <c r="P1223" t="s">
        <v>283</v>
      </c>
      <c r="Q1223" t="s">
        <v>284</v>
      </c>
      <c r="R1223" s="10"/>
      <c r="S1223" s="10"/>
      <c r="T1223" s="10"/>
      <c r="U1223" s="10"/>
      <c r="V1223" s="10"/>
      <c r="W1223" s="10"/>
      <c r="X1223" s="10"/>
      <c r="Y1223" s="10"/>
      <c r="Z1223" s="10"/>
      <c r="AA1223" s="10"/>
      <c r="AB1223" s="10"/>
      <c r="AC1223" s="10"/>
      <c r="AD1223" s="10"/>
      <c r="AE1223" s="10"/>
      <c r="AF1223" s="10"/>
      <c r="AG1223" s="10"/>
    </row>
    <row r="1224" spans="1:33" s="7" customFormat="1" hidden="1">
      <c r="A1224" s="7">
        <v>99</v>
      </c>
      <c r="B1224" s="7" t="s">
        <v>149</v>
      </c>
      <c r="C1224" s="7">
        <v>1032</v>
      </c>
      <c r="D1224" s="7" t="s">
        <v>377</v>
      </c>
      <c r="E1224" s="7" t="s">
        <v>376</v>
      </c>
      <c r="F1224" s="2">
        <v>34744</v>
      </c>
      <c r="G1224"/>
      <c r="H1224" s="2">
        <v>36315</v>
      </c>
      <c r="I1224" s="8">
        <v>36091</v>
      </c>
      <c r="J1224"/>
      <c r="K1224" s="2">
        <v>36315</v>
      </c>
      <c r="L1224" t="s">
        <v>317</v>
      </c>
      <c r="M1224" t="s">
        <v>297</v>
      </c>
      <c r="N1224"/>
      <c r="O1224" s="7" t="s">
        <v>369</v>
      </c>
      <c r="P1224" s="7" t="s">
        <v>283</v>
      </c>
      <c r="Q1224" s="7" t="s">
        <v>285</v>
      </c>
      <c r="R1224" s="10"/>
      <c r="S1224" s="10"/>
      <c r="T1224" s="10"/>
      <c r="U1224" s="10"/>
      <c r="V1224" s="10"/>
      <c r="W1224" s="10"/>
      <c r="X1224" s="10"/>
      <c r="Y1224" s="10"/>
      <c r="Z1224" s="10"/>
      <c r="AA1224" s="10"/>
      <c r="AB1224" s="10"/>
      <c r="AC1224" s="10"/>
      <c r="AD1224" s="10"/>
      <c r="AE1224" s="10"/>
      <c r="AF1224" s="10"/>
      <c r="AG1224" s="10"/>
    </row>
    <row r="1225" spans="1:33" customFormat="1" hidden="1">
      <c r="A1225">
        <v>99</v>
      </c>
      <c r="B1225" t="s">
        <v>149</v>
      </c>
      <c r="C1225">
        <v>1107</v>
      </c>
      <c r="D1225" t="s">
        <v>375</v>
      </c>
      <c r="E1225" t="s">
        <v>316</v>
      </c>
      <c r="F1225" s="2">
        <v>35191</v>
      </c>
      <c r="H1225" s="2">
        <v>35191</v>
      </c>
      <c r="I1225" s="6"/>
      <c r="L1225" t="s">
        <v>322</v>
      </c>
      <c r="M1225" t="s">
        <v>297</v>
      </c>
      <c r="P1225" t="s">
        <v>283</v>
      </c>
      <c r="Q1225" t="s">
        <v>285</v>
      </c>
      <c r="R1225" s="10"/>
      <c r="S1225" s="10"/>
      <c r="T1225" s="10"/>
      <c r="U1225" s="10"/>
      <c r="V1225" s="10"/>
      <c r="W1225" s="10"/>
      <c r="X1225" s="10"/>
      <c r="Y1225" s="10"/>
      <c r="Z1225" s="10"/>
      <c r="AA1225" s="10"/>
      <c r="AB1225" s="10"/>
      <c r="AC1225" s="10"/>
      <c r="AD1225" s="10"/>
      <c r="AE1225" s="10"/>
      <c r="AF1225" s="10"/>
      <c r="AG1225" s="10"/>
    </row>
    <row r="1226" spans="1:33" customFormat="1" hidden="1">
      <c r="A1226" t="s">
        <v>283</v>
      </c>
      <c r="B1226" t="s">
        <v>284</v>
      </c>
      <c r="I1226" s="6"/>
    </row>
    <row r="1227" spans="1:33" customFormat="1" hidden="1">
      <c r="A1227">
        <v>99</v>
      </c>
      <c r="B1227" t="s">
        <v>149</v>
      </c>
      <c r="C1227">
        <v>1299</v>
      </c>
      <c r="D1227" t="s">
        <v>377</v>
      </c>
      <c r="E1227" t="s">
        <v>316</v>
      </c>
      <c r="F1227" s="2">
        <v>36301</v>
      </c>
      <c r="H1227" s="2">
        <v>36627</v>
      </c>
      <c r="I1227" s="6"/>
      <c r="L1227" t="s">
        <v>317</v>
      </c>
      <c r="M1227" t="s">
        <v>297</v>
      </c>
      <c r="P1227" t="s">
        <v>283</v>
      </c>
      <c r="Q1227" t="s">
        <v>285</v>
      </c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/>
      <c r="AB1227" s="10"/>
      <c r="AC1227" s="10"/>
      <c r="AD1227" s="10"/>
      <c r="AE1227" s="10"/>
      <c r="AF1227" s="10"/>
      <c r="AG1227" s="10"/>
    </row>
    <row r="1228" spans="1:33" customFormat="1" hidden="1">
      <c r="A1228">
        <v>99</v>
      </c>
      <c r="B1228" t="s">
        <v>149</v>
      </c>
      <c r="C1228">
        <v>1321</v>
      </c>
      <c r="D1228" t="s">
        <v>464</v>
      </c>
      <c r="E1228" t="s">
        <v>376</v>
      </c>
      <c r="F1228" s="2">
        <v>36542</v>
      </c>
      <c r="H1228" s="2">
        <v>36542</v>
      </c>
      <c r="I1228" s="6"/>
      <c r="L1228" t="s">
        <v>317</v>
      </c>
      <c r="M1228" t="s">
        <v>297</v>
      </c>
      <c r="O1228" t="s">
        <v>369</v>
      </c>
      <c r="P1228" t="s">
        <v>283</v>
      </c>
      <c r="Q1228" t="s">
        <v>285</v>
      </c>
      <c r="R1228" s="10"/>
      <c r="S1228" s="10"/>
      <c r="T1228" s="10"/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  <c r="AE1228" s="10"/>
      <c r="AF1228" s="10"/>
      <c r="AG1228" s="10"/>
    </row>
    <row r="1229" spans="1:33" customFormat="1">
      <c r="A1229" s="16">
        <v>13</v>
      </c>
      <c r="B1229" s="16" t="s">
        <v>376</v>
      </c>
      <c r="C1229" s="16">
        <v>860</v>
      </c>
      <c r="D1229" t="s">
        <v>295</v>
      </c>
      <c r="E1229" s="16" t="s">
        <v>296</v>
      </c>
      <c r="F1229" s="2">
        <v>33879</v>
      </c>
      <c r="G1229" s="2">
        <v>34484</v>
      </c>
      <c r="H1229" s="2">
        <v>39065</v>
      </c>
      <c r="I1229" s="25">
        <v>41820</v>
      </c>
      <c r="K1229" s="2">
        <v>39065</v>
      </c>
      <c r="L1229" t="s">
        <v>297</v>
      </c>
      <c r="M1229" t="s">
        <v>297</v>
      </c>
      <c r="N1229" s="23" t="str">
        <f t="shared" ref="N1229:N1234" si="130">IF((I1229&gt;$W$2),"Y","N")</f>
        <v>Y</v>
      </c>
      <c r="O1229" s="16" t="s">
        <v>1222</v>
      </c>
      <c r="P1229" s="10" t="s">
        <v>266</v>
      </c>
      <c r="Q1229" s="10" t="s">
        <v>275</v>
      </c>
      <c r="R1229" s="12"/>
      <c r="S1229" s="16" t="str">
        <f>MID(Q1229,9,30)</f>
        <v>Shari M Shaffer</v>
      </c>
      <c r="T1229" s="31">
        <v>41425</v>
      </c>
      <c r="U1229" s="10"/>
      <c r="V1229" s="10"/>
      <c r="W1229" s="10"/>
      <c r="X1229" s="10"/>
      <c r="Y1229" s="10"/>
      <c r="Z1229" s="10"/>
      <c r="AA1229" s="10"/>
      <c r="AB1229" s="10"/>
      <c r="AC1229" s="10"/>
      <c r="AD1229" s="10"/>
      <c r="AE1229" s="10"/>
      <c r="AF1229" s="10"/>
      <c r="AG1229" s="10"/>
    </row>
    <row r="1230" spans="1:33" customFormat="1">
      <c r="A1230" s="16">
        <v>13</v>
      </c>
      <c r="B1230" s="16" t="s">
        <v>376</v>
      </c>
      <c r="C1230" s="16">
        <v>909</v>
      </c>
      <c r="D1230" s="7" t="s">
        <v>295</v>
      </c>
      <c r="E1230" s="16" t="s">
        <v>296</v>
      </c>
      <c r="F1230" s="2">
        <v>34208</v>
      </c>
      <c r="G1230" s="2">
        <v>36175</v>
      </c>
      <c r="H1230" s="2">
        <v>38961</v>
      </c>
      <c r="I1230" s="25">
        <v>41455</v>
      </c>
      <c r="K1230" s="2">
        <v>35279</v>
      </c>
      <c r="L1230" t="s">
        <v>297</v>
      </c>
      <c r="M1230" t="s">
        <v>297</v>
      </c>
      <c r="N1230" s="23" t="str">
        <f t="shared" si="130"/>
        <v>N</v>
      </c>
      <c r="O1230" s="30" t="s">
        <v>1995</v>
      </c>
      <c r="P1230" s="10" t="s">
        <v>266</v>
      </c>
      <c r="Q1230" s="10" t="s">
        <v>275</v>
      </c>
      <c r="R1230" s="12"/>
      <c r="S1230" s="16" t="str">
        <f>MID(Q1230,9,30)</f>
        <v>Shari M Shaffer</v>
      </c>
      <c r="T1230" s="31" t="s">
        <v>1454</v>
      </c>
      <c r="U1230" s="10"/>
      <c r="V1230" s="10"/>
      <c r="W1230" s="10"/>
      <c r="X1230" s="10"/>
      <c r="Y1230" s="10"/>
      <c r="Z1230" s="10"/>
      <c r="AA1230" s="10"/>
      <c r="AB1230" s="10"/>
      <c r="AC1230" s="10"/>
      <c r="AD1230" s="10"/>
      <c r="AE1230" s="10"/>
      <c r="AF1230" s="10"/>
      <c r="AG1230" s="10"/>
    </row>
    <row r="1231" spans="1:33" ht="12.75" customHeight="1">
      <c r="A1231" s="16">
        <v>13</v>
      </c>
      <c r="B1231" s="16" t="s">
        <v>376</v>
      </c>
      <c r="C1231" s="16">
        <v>998</v>
      </c>
      <c r="D1231" s="7" t="s">
        <v>295</v>
      </c>
      <c r="E1231" s="16" t="s">
        <v>296</v>
      </c>
      <c r="F1231" s="2">
        <v>34584</v>
      </c>
      <c r="G1231" s="2">
        <v>36363</v>
      </c>
      <c r="H1231" s="2">
        <v>38911</v>
      </c>
      <c r="I1231" s="25">
        <v>41455</v>
      </c>
      <c r="K1231" s="2">
        <v>38546</v>
      </c>
      <c r="L1231" t="s">
        <v>297</v>
      </c>
      <c r="M1231" t="s">
        <v>297</v>
      </c>
      <c r="N1231" s="23" t="str">
        <f t="shared" si="130"/>
        <v>N</v>
      </c>
      <c r="O1231" s="30" t="s">
        <v>1996</v>
      </c>
      <c r="P1231" s="10" t="s">
        <v>266</v>
      </c>
      <c r="Q1231" s="10" t="s">
        <v>275</v>
      </c>
      <c r="S1231" s="16" t="str">
        <f>MID(Q1231,9,30)</f>
        <v>Shari M Shaffer</v>
      </c>
      <c r="T1231" s="31" t="s">
        <v>1353</v>
      </c>
    </row>
    <row r="1232" spans="1:33">
      <c r="A1232" s="16">
        <v>13</v>
      </c>
      <c r="B1232" s="16" t="s">
        <v>376</v>
      </c>
      <c r="C1232" s="16">
        <v>1389</v>
      </c>
      <c r="D1232" t="s">
        <v>295</v>
      </c>
      <c r="E1232" s="16" t="s">
        <v>296</v>
      </c>
      <c r="F1232" s="2">
        <v>37110</v>
      </c>
      <c r="G1232" s="2">
        <v>38846</v>
      </c>
      <c r="H1232" s="2">
        <v>39490</v>
      </c>
      <c r="I1232" s="25">
        <v>41455</v>
      </c>
      <c r="L1232" t="s">
        <v>297</v>
      </c>
      <c r="M1232" t="s">
        <v>297</v>
      </c>
      <c r="N1232" s="23" t="str">
        <f t="shared" si="130"/>
        <v>N</v>
      </c>
      <c r="O1232" s="30" t="s">
        <v>1997</v>
      </c>
      <c r="P1232" s="10" t="s">
        <v>266</v>
      </c>
      <c r="Q1232" s="10" t="s">
        <v>275</v>
      </c>
      <c r="S1232" s="16" t="str">
        <f>MID(Q1232,9,30)</f>
        <v>Shari M Shaffer</v>
      </c>
      <c r="T1232" s="31" t="s">
        <v>1428</v>
      </c>
      <c r="U1232" s="24">
        <v>39968</v>
      </c>
    </row>
    <row r="1233" spans="1:20">
      <c r="A1233" s="16">
        <v>13</v>
      </c>
      <c r="B1233" s="16" t="s">
        <v>376</v>
      </c>
      <c r="C1233" s="16">
        <v>1462</v>
      </c>
      <c r="D1233" s="7" t="s">
        <v>295</v>
      </c>
      <c r="E1233" s="16" t="s">
        <v>296</v>
      </c>
      <c r="F1233" s="2">
        <v>37867</v>
      </c>
      <c r="G1233" s="2">
        <v>38855</v>
      </c>
      <c r="H1233" s="2">
        <v>39453</v>
      </c>
      <c r="I1233" s="25" t="s">
        <v>1266</v>
      </c>
      <c r="L1233" t="s">
        <v>297</v>
      </c>
      <c r="M1233" t="s">
        <v>297</v>
      </c>
      <c r="N1233" s="23" t="str">
        <f t="shared" si="130"/>
        <v>Y</v>
      </c>
      <c r="O1233" s="30" t="s">
        <v>1998</v>
      </c>
      <c r="P1233" s="10" t="s">
        <v>266</v>
      </c>
      <c r="Q1233" s="10" t="s">
        <v>275</v>
      </c>
      <c r="S1233" s="16" t="str">
        <f>MID(Q1233,9,30)</f>
        <v>Shari M Shaffer</v>
      </c>
      <c r="T1233" s="31" t="s">
        <v>1314</v>
      </c>
    </row>
    <row r="1234" spans="1:20">
      <c r="A1234" s="16">
        <v>13</v>
      </c>
      <c r="B1234" s="16" t="s">
        <v>376</v>
      </c>
      <c r="C1234" s="16">
        <v>1592</v>
      </c>
      <c r="E1234" s="16" t="s">
        <v>299</v>
      </c>
      <c r="F1234" s="2">
        <v>38216</v>
      </c>
      <c r="H1234" s="2">
        <v>38524</v>
      </c>
      <c r="I1234" s="25">
        <v>41820</v>
      </c>
      <c r="L1234" t="s">
        <v>297</v>
      </c>
      <c r="M1234" t="s">
        <v>322</v>
      </c>
      <c r="N1234" s="21" t="str">
        <f t="shared" si="130"/>
        <v>Y</v>
      </c>
      <c r="O1234" s="16" t="s">
        <v>1341</v>
      </c>
      <c r="T1234" s="31">
        <v>41428</v>
      </c>
    </row>
    <row r="1235" spans="1:20" customFormat="1" hidden="1">
      <c r="A1235" t="s">
        <v>283</v>
      </c>
      <c r="B1235" t="s">
        <v>285</v>
      </c>
      <c r="I1235" s="6"/>
    </row>
    <row r="1236" spans="1:20">
      <c r="A1236" s="16">
        <v>13</v>
      </c>
      <c r="B1236" s="16" t="s">
        <v>376</v>
      </c>
      <c r="C1236" s="16">
        <v>1614</v>
      </c>
      <c r="E1236" s="16" t="s">
        <v>299</v>
      </c>
      <c r="F1236" s="2">
        <v>39388</v>
      </c>
      <c r="H1236" s="2">
        <v>39388</v>
      </c>
      <c r="I1236" s="25">
        <v>41820</v>
      </c>
      <c r="L1236" t="s">
        <v>297</v>
      </c>
      <c r="M1236" t="s">
        <v>322</v>
      </c>
      <c r="N1236" s="23" t="str">
        <f t="shared" ref="N1236:N1267" si="131">IF((I1236&gt;$W$2),"Y","N")</f>
        <v>Y</v>
      </c>
      <c r="O1236" s="16" t="s">
        <v>1571</v>
      </c>
    </row>
    <row r="1237" spans="1:20">
      <c r="A1237" s="16">
        <v>13</v>
      </c>
      <c r="B1237" s="16" t="s">
        <v>196</v>
      </c>
      <c r="C1237" s="16">
        <v>424</v>
      </c>
      <c r="D1237" s="7" t="s">
        <v>295</v>
      </c>
      <c r="E1237" s="16" t="s">
        <v>296</v>
      </c>
      <c r="F1237" s="2">
        <v>30701</v>
      </c>
      <c r="G1237" s="2">
        <v>30702</v>
      </c>
      <c r="H1237" s="2">
        <v>39516</v>
      </c>
      <c r="I1237" s="25">
        <v>41820</v>
      </c>
      <c r="J1237" s="2">
        <v>30726</v>
      </c>
      <c r="K1237" s="2">
        <v>38972</v>
      </c>
      <c r="L1237" t="s">
        <v>297</v>
      </c>
      <c r="M1237" t="s">
        <v>297</v>
      </c>
      <c r="N1237" s="23" t="str">
        <f t="shared" si="131"/>
        <v>Y</v>
      </c>
      <c r="O1237" s="16" t="s">
        <v>1472</v>
      </c>
      <c r="P1237" s="10" t="s">
        <v>266</v>
      </c>
      <c r="Q1237" s="10" t="s">
        <v>276</v>
      </c>
      <c r="S1237" s="16" t="str">
        <f t="shared" ref="S1237:S1260" si="132">MID(Q1237,9,30)</f>
        <v>John E Bush</v>
      </c>
      <c r="T1237" s="31" t="s">
        <v>1615</v>
      </c>
    </row>
    <row r="1238" spans="1:20">
      <c r="A1238" s="16">
        <v>13</v>
      </c>
      <c r="B1238" s="16" t="s">
        <v>196</v>
      </c>
      <c r="C1238" s="16">
        <v>506</v>
      </c>
      <c r="D1238" s="7" t="s">
        <v>295</v>
      </c>
      <c r="E1238" s="16" t="s">
        <v>296</v>
      </c>
      <c r="F1238" s="2">
        <v>31374</v>
      </c>
      <c r="G1238" s="2">
        <v>36238</v>
      </c>
      <c r="H1238" s="2">
        <v>39309</v>
      </c>
      <c r="I1238" s="25">
        <v>41455</v>
      </c>
      <c r="K1238" s="2">
        <v>37897</v>
      </c>
      <c r="L1238" t="s">
        <v>297</v>
      </c>
      <c r="M1238" t="s">
        <v>297</v>
      </c>
      <c r="N1238" s="23" t="str">
        <f t="shared" si="131"/>
        <v>N</v>
      </c>
      <c r="O1238" s="16" t="s">
        <v>1549</v>
      </c>
      <c r="P1238" s="10" t="s">
        <v>266</v>
      </c>
      <c r="Q1238" s="10" t="s">
        <v>276</v>
      </c>
      <c r="S1238" s="16" t="str">
        <f t="shared" si="132"/>
        <v>John E Bush</v>
      </c>
      <c r="T1238" s="31" t="s">
        <v>1541</v>
      </c>
    </row>
    <row r="1239" spans="1:20">
      <c r="A1239" s="16">
        <v>13</v>
      </c>
      <c r="B1239" s="16" t="s">
        <v>196</v>
      </c>
      <c r="C1239" s="16">
        <v>509</v>
      </c>
      <c r="D1239" t="s">
        <v>295</v>
      </c>
      <c r="E1239" s="16" t="s">
        <v>296</v>
      </c>
      <c r="F1239" s="2">
        <v>31374</v>
      </c>
      <c r="G1239" s="2">
        <v>31437</v>
      </c>
      <c r="H1239" s="2">
        <v>39405</v>
      </c>
      <c r="I1239" s="25">
        <v>41820</v>
      </c>
      <c r="K1239" s="2">
        <v>38408</v>
      </c>
      <c r="L1239" t="s">
        <v>297</v>
      </c>
      <c r="M1239" t="s">
        <v>297</v>
      </c>
      <c r="N1239" s="23" t="str">
        <f t="shared" si="131"/>
        <v>Y</v>
      </c>
      <c r="O1239" s="30" t="s">
        <v>1999</v>
      </c>
      <c r="P1239" s="10" t="s">
        <v>266</v>
      </c>
      <c r="Q1239" s="10" t="s">
        <v>276</v>
      </c>
      <c r="S1239" s="16" t="str">
        <f t="shared" si="132"/>
        <v>John E Bush</v>
      </c>
      <c r="T1239" s="31">
        <v>41435</v>
      </c>
    </row>
    <row r="1240" spans="1:20">
      <c r="A1240" s="16">
        <v>13</v>
      </c>
      <c r="B1240" s="16" t="s">
        <v>196</v>
      </c>
      <c r="C1240" s="16">
        <v>522</v>
      </c>
      <c r="D1240" s="7" t="s">
        <v>295</v>
      </c>
      <c r="E1240" s="16" t="s">
        <v>296</v>
      </c>
      <c r="F1240" s="2">
        <v>31493</v>
      </c>
      <c r="G1240" s="2">
        <v>33021</v>
      </c>
      <c r="H1240" s="2">
        <v>39490</v>
      </c>
      <c r="I1240" s="25">
        <v>41820</v>
      </c>
      <c r="K1240" s="2">
        <v>39293</v>
      </c>
      <c r="L1240" t="s">
        <v>297</v>
      </c>
      <c r="M1240" t="s">
        <v>297</v>
      </c>
      <c r="N1240" s="23" t="str">
        <f t="shared" si="131"/>
        <v>Y</v>
      </c>
      <c r="O1240" s="16" t="s">
        <v>98</v>
      </c>
      <c r="P1240" s="10" t="s">
        <v>266</v>
      </c>
      <c r="Q1240" s="10" t="s">
        <v>276</v>
      </c>
      <c r="S1240" s="16" t="str">
        <f t="shared" si="132"/>
        <v>John E Bush</v>
      </c>
      <c r="T1240" s="31">
        <v>41479</v>
      </c>
    </row>
    <row r="1241" spans="1:20">
      <c r="A1241" s="16">
        <v>13</v>
      </c>
      <c r="B1241" s="16" t="s">
        <v>196</v>
      </c>
      <c r="C1241" s="16">
        <v>577</v>
      </c>
      <c r="D1241" t="s">
        <v>295</v>
      </c>
      <c r="E1241" s="16" t="s">
        <v>296</v>
      </c>
      <c r="F1241" s="2">
        <v>31857</v>
      </c>
      <c r="G1241" s="2">
        <v>31857</v>
      </c>
      <c r="H1241" s="2">
        <v>38336</v>
      </c>
      <c r="I1241" s="25">
        <v>41820</v>
      </c>
      <c r="K1241" s="2">
        <v>32392</v>
      </c>
      <c r="L1241" t="s">
        <v>297</v>
      </c>
      <c r="M1241" t="s">
        <v>297</v>
      </c>
      <c r="N1241" s="23" t="str">
        <f t="shared" si="131"/>
        <v>Y</v>
      </c>
      <c r="O1241" s="30" t="s">
        <v>2000</v>
      </c>
      <c r="P1241" s="10" t="s">
        <v>266</v>
      </c>
      <c r="Q1241" s="10" t="s">
        <v>276</v>
      </c>
      <c r="S1241" s="16" t="str">
        <f t="shared" si="132"/>
        <v>John E Bush</v>
      </c>
      <c r="T1241" s="31">
        <v>41479</v>
      </c>
    </row>
    <row r="1242" spans="1:20">
      <c r="A1242" s="16">
        <v>13</v>
      </c>
      <c r="B1242" s="16" t="s">
        <v>196</v>
      </c>
      <c r="C1242" s="16">
        <v>607</v>
      </c>
      <c r="D1242" s="7" t="s">
        <v>295</v>
      </c>
      <c r="E1242" s="16" t="s">
        <v>296</v>
      </c>
      <c r="F1242" s="2">
        <v>31969</v>
      </c>
      <c r="G1242" s="2">
        <v>31969</v>
      </c>
      <c r="H1242" s="2">
        <v>39323</v>
      </c>
      <c r="I1242" s="25">
        <v>41455</v>
      </c>
      <c r="K1242" s="2">
        <v>37336</v>
      </c>
      <c r="L1242" t="s">
        <v>297</v>
      </c>
      <c r="M1242" t="s">
        <v>297</v>
      </c>
      <c r="N1242" s="23" t="str">
        <f t="shared" si="131"/>
        <v>N</v>
      </c>
      <c r="O1242" s="16" t="s">
        <v>100</v>
      </c>
      <c r="P1242" s="10" t="s">
        <v>266</v>
      </c>
      <c r="Q1242" s="10" t="s">
        <v>276</v>
      </c>
      <c r="S1242" s="16" t="str">
        <f t="shared" si="132"/>
        <v>John E Bush</v>
      </c>
      <c r="T1242" s="31" t="s">
        <v>1514</v>
      </c>
    </row>
    <row r="1243" spans="1:20">
      <c r="A1243" s="16">
        <v>13</v>
      </c>
      <c r="B1243" s="16" t="s">
        <v>196</v>
      </c>
      <c r="C1243" s="16">
        <v>615</v>
      </c>
      <c r="D1243" s="7" t="s">
        <v>295</v>
      </c>
      <c r="E1243" s="16" t="s">
        <v>296</v>
      </c>
      <c r="F1243" s="2">
        <v>32039</v>
      </c>
      <c r="G1243" s="2">
        <v>32039</v>
      </c>
      <c r="H1243" s="2">
        <v>39282</v>
      </c>
      <c r="I1243" s="25">
        <v>41820</v>
      </c>
      <c r="K1243" s="2">
        <v>35242</v>
      </c>
      <c r="L1243" t="s">
        <v>297</v>
      </c>
      <c r="N1243" s="23" t="str">
        <f t="shared" si="131"/>
        <v>Y</v>
      </c>
      <c r="O1243" s="16" t="s">
        <v>1473</v>
      </c>
      <c r="P1243" s="10" t="s">
        <v>266</v>
      </c>
      <c r="Q1243" s="10" t="s">
        <v>276</v>
      </c>
      <c r="S1243" s="16" t="str">
        <f t="shared" si="132"/>
        <v>John E Bush</v>
      </c>
      <c r="T1243" s="31">
        <v>41411</v>
      </c>
    </row>
    <row r="1244" spans="1:20">
      <c r="A1244" s="16">
        <v>13</v>
      </c>
      <c r="B1244" s="16" t="s">
        <v>196</v>
      </c>
      <c r="C1244" s="16">
        <v>633</v>
      </c>
      <c r="D1244" s="7" t="s">
        <v>295</v>
      </c>
      <c r="E1244" s="16" t="s">
        <v>296</v>
      </c>
      <c r="F1244" s="2">
        <v>32220</v>
      </c>
      <c r="G1244" s="2">
        <v>32220</v>
      </c>
      <c r="H1244" s="2">
        <v>39466</v>
      </c>
      <c r="I1244" s="25">
        <v>41820</v>
      </c>
      <c r="K1244" s="2">
        <v>38035</v>
      </c>
      <c r="L1244" t="s">
        <v>297</v>
      </c>
      <c r="M1244" t="s">
        <v>297</v>
      </c>
      <c r="N1244" s="23" t="str">
        <f t="shared" si="131"/>
        <v>Y</v>
      </c>
      <c r="O1244" s="30" t="s">
        <v>2001</v>
      </c>
      <c r="P1244" s="10" t="s">
        <v>266</v>
      </c>
      <c r="Q1244" s="10" t="s">
        <v>276</v>
      </c>
      <c r="S1244" s="16" t="str">
        <f t="shared" si="132"/>
        <v>John E Bush</v>
      </c>
      <c r="T1244" s="31">
        <v>41463</v>
      </c>
    </row>
    <row r="1245" spans="1:20">
      <c r="A1245" s="16">
        <v>13</v>
      </c>
      <c r="B1245" s="16" t="s">
        <v>196</v>
      </c>
      <c r="C1245" s="16">
        <v>929</v>
      </c>
      <c r="D1245" t="s">
        <v>295</v>
      </c>
      <c r="E1245" s="16" t="s">
        <v>296</v>
      </c>
      <c r="F1245" s="2">
        <v>34317</v>
      </c>
      <c r="G1245" s="2">
        <v>35511</v>
      </c>
      <c r="H1245" s="2">
        <v>39495</v>
      </c>
      <c r="I1245" s="25">
        <v>41090</v>
      </c>
      <c r="J1245" s="2">
        <v>37932</v>
      </c>
      <c r="K1245" s="2">
        <v>38587</v>
      </c>
      <c r="L1245" t="s">
        <v>297</v>
      </c>
      <c r="M1245" t="s">
        <v>297</v>
      </c>
      <c r="N1245" s="23" t="str">
        <f t="shared" si="131"/>
        <v>N</v>
      </c>
      <c r="O1245" s="16" t="s">
        <v>1223</v>
      </c>
      <c r="P1245" s="10" t="s">
        <v>266</v>
      </c>
      <c r="Q1245" s="10" t="s">
        <v>276</v>
      </c>
      <c r="S1245" s="16" t="str">
        <f t="shared" si="132"/>
        <v>John E Bush</v>
      </c>
      <c r="T1245" s="31" t="s">
        <v>1310</v>
      </c>
    </row>
    <row r="1246" spans="1:20">
      <c r="A1246" s="16">
        <v>13</v>
      </c>
      <c r="B1246" s="16" t="s">
        <v>297</v>
      </c>
      <c r="C1246" s="16">
        <v>90</v>
      </c>
      <c r="D1246" s="7" t="s">
        <v>295</v>
      </c>
      <c r="E1246" s="16" t="s">
        <v>296</v>
      </c>
      <c r="F1246" s="2">
        <v>27591</v>
      </c>
      <c r="G1246" s="2">
        <v>28565</v>
      </c>
      <c r="H1246" s="2">
        <v>39304</v>
      </c>
      <c r="I1246" s="25">
        <v>40359</v>
      </c>
      <c r="K1246" s="2">
        <v>32896</v>
      </c>
      <c r="L1246" t="s">
        <v>297</v>
      </c>
      <c r="N1246" s="23" t="str">
        <f t="shared" si="131"/>
        <v>N</v>
      </c>
      <c r="O1246" s="30" t="s">
        <v>2002</v>
      </c>
      <c r="P1246" s="10" t="s">
        <v>266</v>
      </c>
      <c r="Q1246" s="10" t="s">
        <v>277</v>
      </c>
      <c r="S1246" s="16" t="str">
        <f t="shared" si="132"/>
        <v>Bruce E Waugh</v>
      </c>
      <c r="T1246" s="31" t="s">
        <v>1291</v>
      </c>
    </row>
    <row r="1247" spans="1:20">
      <c r="A1247" s="16">
        <v>13</v>
      </c>
      <c r="B1247" s="16" t="s">
        <v>297</v>
      </c>
      <c r="C1247" s="16">
        <v>293</v>
      </c>
      <c r="D1247" s="7" t="s">
        <v>295</v>
      </c>
      <c r="E1247" s="16" t="s">
        <v>296</v>
      </c>
      <c r="F1247" s="2">
        <v>29637</v>
      </c>
      <c r="G1247" s="2">
        <v>30394</v>
      </c>
      <c r="H1247" s="2">
        <v>39301</v>
      </c>
      <c r="I1247" s="25">
        <v>40359</v>
      </c>
      <c r="J1247" s="2">
        <v>34212</v>
      </c>
      <c r="K1247" s="2">
        <v>34150</v>
      </c>
      <c r="L1247" t="s">
        <v>339</v>
      </c>
      <c r="M1247" t="s">
        <v>297</v>
      </c>
      <c r="N1247" s="23" t="str">
        <f t="shared" si="131"/>
        <v>N</v>
      </c>
      <c r="O1247" s="16" t="s">
        <v>105</v>
      </c>
      <c r="P1247" s="10" t="s">
        <v>266</v>
      </c>
      <c r="Q1247" s="10" t="s">
        <v>277</v>
      </c>
      <c r="S1247" s="16" t="str">
        <f t="shared" si="132"/>
        <v>Bruce E Waugh</v>
      </c>
      <c r="T1247" s="31" t="s">
        <v>1307</v>
      </c>
    </row>
    <row r="1248" spans="1:20">
      <c r="A1248" s="16">
        <v>13</v>
      </c>
      <c r="B1248" s="16" t="s">
        <v>297</v>
      </c>
      <c r="C1248" s="16">
        <v>516</v>
      </c>
      <c r="D1248" s="7" t="s">
        <v>295</v>
      </c>
      <c r="E1248" s="16" t="s">
        <v>296</v>
      </c>
      <c r="F1248" s="2">
        <v>31437</v>
      </c>
      <c r="G1248" s="2">
        <v>31437</v>
      </c>
      <c r="H1248" s="2">
        <v>39322</v>
      </c>
      <c r="I1248" s="25">
        <v>41090</v>
      </c>
      <c r="K1248" s="2">
        <v>36389</v>
      </c>
      <c r="L1248" t="s">
        <v>297</v>
      </c>
      <c r="M1248" t="s">
        <v>297</v>
      </c>
      <c r="N1248" s="23" t="str">
        <f t="shared" si="131"/>
        <v>N</v>
      </c>
      <c r="O1248" s="30" t="s">
        <v>2003</v>
      </c>
      <c r="P1248" s="10" t="s">
        <v>266</v>
      </c>
      <c r="Q1248" s="10" t="s">
        <v>277</v>
      </c>
      <c r="S1248" s="16" t="str">
        <f t="shared" si="132"/>
        <v>Bruce E Waugh</v>
      </c>
      <c r="T1248" s="31" t="s">
        <v>1178</v>
      </c>
    </row>
    <row r="1249" spans="1:21">
      <c r="A1249" s="16">
        <v>13</v>
      </c>
      <c r="B1249" s="16" t="s">
        <v>297</v>
      </c>
      <c r="C1249" s="16">
        <v>519</v>
      </c>
      <c r="D1249" s="7" t="s">
        <v>295</v>
      </c>
      <c r="E1249" s="16" t="s">
        <v>296</v>
      </c>
      <c r="F1249" s="2">
        <v>31437</v>
      </c>
      <c r="G1249" s="2">
        <v>31437</v>
      </c>
      <c r="H1249" s="2">
        <v>39302</v>
      </c>
      <c r="I1249" s="25">
        <v>41820</v>
      </c>
      <c r="K1249" s="2">
        <v>34068</v>
      </c>
      <c r="L1249" t="s">
        <v>297</v>
      </c>
      <c r="M1249" t="s">
        <v>297</v>
      </c>
      <c r="N1249" s="23" t="str">
        <f t="shared" si="131"/>
        <v>Y</v>
      </c>
      <c r="O1249" s="16" t="s">
        <v>1285</v>
      </c>
      <c r="P1249" s="10" t="s">
        <v>266</v>
      </c>
      <c r="Q1249" s="10" t="s">
        <v>277</v>
      </c>
      <c r="S1249" s="16" t="str">
        <f t="shared" si="132"/>
        <v>Bruce E Waugh</v>
      </c>
      <c r="T1249" s="31">
        <v>41438</v>
      </c>
    </row>
    <row r="1250" spans="1:21">
      <c r="A1250" s="16">
        <v>13</v>
      </c>
      <c r="B1250" s="16" t="s">
        <v>297</v>
      </c>
      <c r="C1250" s="16">
        <v>578</v>
      </c>
      <c r="D1250" s="7" t="s">
        <v>295</v>
      </c>
      <c r="E1250" s="16" t="s">
        <v>296</v>
      </c>
      <c r="F1250" s="2">
        <v>31857</v>
      </c>
      <c r="G1250" s="2">
        <v>31857</v>
      </c>
      <c r="H1250" s="2">
        <v>39310</v>
      </c>
      <c r="I1250" s="25">
        <v>41820</v>
      </c>
      <c r="K1250" s="2">
        <v>38020</v>
      </c>
      <c r="L1250" t="s">
        <v>297</v>
      </c>
      <c r="M1250" t="s">
        <v>297</v>
      </c>
      <c r="N1250" s="23" t="str">
        <f t="shared" si="131"/>
        <v>Y</v>
      </c>
      <c r="O1250" s="30" t="s">
        <v>2004</v>
      </c>
      <c r="P1250" s="10" t="s">
        <v>266</v>
      </c>
      <c r="Q1250" s="10" t="s">
        <v>277</v>
      </c>
      <c r="S1250" s="16" t="str">
        <f t="shared" si="132"/>
        <v>Bruce E Waugh</v>
      </c>
      <c r="T1250" s="31">
        <v>41479</v>
      </c>
    </row>
    <row r="1251" spans="1:21">
      <c r="A1251" s="16">
        <v>13</v>
      </c>
      <c r="B1251" s="16" t="s">
        <v>297</v>
      </c>
      <c r="C1251" s="16">
        <v>684</v>
      </c>
      <c r="D1251" s="7" t="s">
        <v>295</v>
      </c>
      <c r="E1251" s="16" t="s">
        <v>296</v>
      </c>
      <c r="F1251" s="2">
        <v>32647</v>
      </c>
      <c r="G1251" s="2">
        <v>32648</v>
      </c>
      <c r="H1251" s="2">
        <v>39485</v>
      </c>
      <c r="I1251" s="25">
        <v>41455</v>
      </c>
      <c r="K1251" s="2">
        <v>39190</v>
      </c>
      <c r="L1251" t="s">
        <v>297</v>
      </c>
      <c r="M1251" t="s">
        <v>297</v>
      </c>
      <c r="N1251" s="23" t="str">
        <f t="shared" si="131"/>
        <v>N</v>
      </c>
      <c r="O1251" s="30" t="s">
        <v>2005</v>
      </c>
      <c r="P1251" s="10" t="s">
        <v>266</v>
      </c>
      <c r="Q1251" s="10" t="s">
        <v>277</v>
      </c>
      <c r="S1251" s="16" t="str">
        <f t="shared" si="132"/>
        <v>Bruce E Waugh</v>
      </c>
      <c r="T1251" s="31" t="s">
        <v>1498</v>
      </c>
    </row>
    <row r="1252" spans="1:21">
      <c r="A1252" s="16">
        <v>13</v>
      </c>
      <c r="B1252" s="16" t="s">
        <v>297</v>
      </c>
      <c r="C1252" s="16">
        <v>687</v>
      </c>
      <c r="D1252" s="7" t="s">
        <v>295</v>
      </c>
      <c r="E1252" s="16" t="s">
        <v>296</v>
      </c>
      <c r="F1252" s="2">
        <v>32647</v>
      </c>
      <c r="G1252" s="2">
        <v>32648</v>
      </c>
      <c r="H1252" s="2">
        <v>39009</v>
      </c>
      <c r="I1252" s="25">
        <v>41455</v>
      </c>
      <c r="K1252" s="2">
        <v>36328</v>
      </c>
      <c r="L1252" t="s">
        <v>297</v>
      </c>
      <c r="N1252" s="23" t="str">
        <f t="shared" si="131"/>
        <v>N</v>
      </c>
      <c r="O1252" s="30" t="s">
        <v>2006</v>
      </c>
      <c r="P1252" s="10" t="s">
        <v>266</v>
      </c>
      <c r="Q1252" s="10" t="s">
        <v>277</v>
      </c>
      <c r="S1252" s="16" t="str">
        <f t="shared" si="132"/>
        <v>Bruce E Waugh</v>
      </c>
      <c r="T1252" s="31" t="s">
        <v>1362</v>
      </c>
    </row>
    <row r="1253" spans="1:21">
      <c r="A1253" s="16">
        <v>13</v>
      </c>
      <c r="B1253" s="16" t="s">
        <v>297</v>
      </c>
      <c r="C1253" s="16">
        <v>690</v>
      </c>
      <c r="D1253" t="s">
        <v>295</v>
      </c>
      <c r="E1253" s="16" t="s">
        <v>296</v>
      </c>
      <c r="F1253" s="2">
        <v>32647</v>
      </c>
      <c r="G1253" s="2">
        <v>32648</v>
      </c>
      <c r="H1253" s="2">
        <v>39396</v>
      </c>
      <c r="I1253" s="25">
        <v>41820</v>
      </c>
      <c r="K1253" s="2">
        <v>36175</v>
      </c>
      <c r="L1253" t="s">
        <v>297</v>
      </c>
      <c r="M1253" t="s">
        <v>297</v>
      </c>
      <c r="N1253" s="23" t="str">
        <f t="shared" si="131"/>
        <v>Y</v>
      </c>
      <c r="O1253" s="30" t="s">
        <v>2007</v>
      </c>
      <c r="P1253" s="10" t="s">
        <v>266</v>
      </c>
      <c r="Q1253" s="10" t="s">
        <v>277</v>
      </c>
      <c r="S1253" s="16" t="str">
        <f t="shared" si="132"/>
        <v>Bruce E Waugh</v>
      </c>
      <c r="T1253" s="31">
        <v>41479</v>
      </c>
    </row>
    <row r="1254" spans="1:21">
      <c r="A1254" s="16">
        <v>13</v>
      </c>
      <c r="B1254" s="16" t="s">
        <v>297</v>
      </c>
      <c r="C1254" s="16">
        <v>692</v>
      </c>
      <c r="D1254" s="7" t="s">
        <v>295</v>
      </c>
      <c r="E1254" s="16" t="s">
        <v>296</v>
      </c>
      <c r="F1254" s="2">
        <v>32646</v>
      </c>
      <c r="G1254" s="2">
        <v>32648</v>
      </c>
      <c r="H1254" s="2">
        <v>39423</v>
      </c>
      <c r="I1254" s="25">
        <v>41820</v>
      </c>
      <c r="K1254" s="2">
        <v>39423</v>
      </c>
      <c r="L1254" t="s">
        <v>297</v>
      </c>
      <c r="M1254" t="s">
        <v>297</v>
      </c>
      <c r="N1254" s="23" t="str">
        <f t="shared" si="131"/>
        <v>Y</v>
      </c>
      <c r="O1254" s="30" t="s">
        <v>2008</v>
      </c>
      <c r="P1254" s="10" t="s">
        <v>266</v>
      </c>
      <c r="Q1254" s="10" t="s">
        <v>277</v>
      </c>
      <c r="S1254" s="16" t="str">
        <f t="shared" si="132"/>
        <v>Bruce E Waugh</v>
      </c>
      <c r="T1254" s="31">
        <v>41484</v>
      </c>
    </row>
    <row r="1255" spans="1:21">
      <c r="A1255" s="16">
        <v>13</v>
      </c>
      <c r="B1255" s="16" t="s">
        <v>297</v>
      </c>
      <c r="C1255" s="16">
        <v>1100</v>
      </c>
      <c r="D1255" s="7" t="s">
        <v>295</v>
      </c>
      <c r="E1255" s="30" t="s">
        <v>296</v>
      </c>
      <c r="F1255" s="2">
        <v>35149</v>
      </c>
      <c r="H1255" s="2">
        <v>36570</v>
      </c>
      <c r="I1255" s="25">
        <v>40359</v>
      </c>
      <c r="K1255" s="2">
        <v>35171</v>
      </c>
      <c r="L1255" t="s">
        <v>297</v>
      </c>
      <c r="N1255" s="23" t="str">
        <f t="shared" si="131"/>
        <v>N</v>
      </c>
      <c r="O1255" s="16" t="s">
        <v>1286</v>
      </c>
      <c r="P1255" s="10" t="s">
        <v>266</v>
      </c>
      <c r="Q1255" s="10" t="s">
        <v>277</v>
      </c>
      <c r="S1255" s="16" t="str">
        <f t="shared" si="132"/>
        <v>Bruce E Waugh</v>
      </c>
      <c r="T1255" s="31" t="s">
        <v>1261</v>
      </c>
    </row>
    <row r="1256" spans="1:21">
      <c r="A1256" s="16">
        <v>13</v>
      </c>
      <c r="B1256" s="16" t="s">
        <v>297</v>
      </c>
      <c r="C1256" s="16">
        <v>1138</v>
      </c>
      <c r="D1256" s="7" t="s">
        <v>295</v>
      </c>
      <c r="E1256" s="30" t="s">
        <v>296</v>
      </c>
      <c r="F1256" s="2">
        <v>35290</v>
      </c>
      <c r="H1256" s="2">
        <v>39359</v>
      </c>
      <c r="I1256" s="25">
        <v>40359</v>
      </c>
      <c r="K1256" s="2">
        <v>38800</v>
      </c>
      <c r="L1256" t="s">
        <v>297</v>
      </c>
      <c r="M1256" t="s">
        <v>297</v>
      </c>
      <c r="N1256" s="23" t="str">
        <f t="shared" si="131"/>
        <v>N</v>
      </c>
      <c r="O1256" s="16" t="s">
        <v>114</v>
      </c>
      <c r="P1256" s="10" t="s">
        <v>266</v>
      </c>
      <c r="Q1256" s="10" t="s">
        <v>277</v>
      </c>
      <c r="S1256" s="16" t="str">
        <f t="shared" si="132"/>
        <v>Bruce E Waugh</v>
      </c>
      <c r="T1256" s="31" t="s">
        <v>1268</v>
      </c>
    </row>
    <row r="1257" spans="1:21">
      <c r="A1257" s="16">
        <v>14</v>
      </c>
      <c r="B1257" s="16" t="s">
        <v>140</v>
      </c>
      <c r="C1257" s="16">
        <v>191</v>
      </c>
      <c r="D1257" t="s">
        <v>295</v>
      </c>
      <c r="E1257" s="16" t="s">
        <v>296</v>
      </c>
      <c r="F1257" s="2">
        <v>28684</v>
      </c>
      <c r="G1257" s="2">
        <v>32980</v>
      </c>
      <c r="H1257" s="2">
        <v>39183</v>
      </c>
      <c r="I1257" s="25">
        <v>41820</v>
      </c>
      <c r="J1257" s="2">
        <v>38775</v>
      </c>
      <c r="K1257" s="2">
        <v>33543</v>
      </c>
      <c r="L1257" t="s">
        <v>297</v>
      </c>
      <c r="M1257" t="s">
        <v>297</v>
      </c>
      <c r="N1257" s="23" t="str">
        <f t="shared" si="131"/>
        <v>Y</v>
      </c>
      <c r="O1257" s="16" t="s">
        <v>1585</v>
      </c>
      <c r="P1257" s="10" t="s">
        <v>278</v>
      </c>
      <c r="Q1257" s="10" t="s">
        <v>279</v>
      </c>
      <c r="S1257" s="16" t="str">
        <f t="shared" si="132"/>
        <v>Richard N Bradwell</v>
      </c>
      <c r="T1257" s="31">
        <v>41424</v>
      </c>
    </row>
    <row r="1258" spans="1:21">
      <c r="A1258" s="16">
        <v>14</v>
      </c>
      <c r="B1258" s="16" t="s">
        <v>140</v>
      </c>
      <c r="C1258" s="16">
        <v>450</v>
      </c>
      <c r="D1258" s="7" t="s">
        <v>295</v>
      </c>
      <c r="E1258" s="16" t="s">
        <v>296</v>
      </c>
      <c r="F1258" s="2">
        <v>31052</v>
      </c>
      <c r="G1258" s="2">
        <v>31556</v>
      </c>
      <c r="H1258" s="2">
        <v>38554</v>
      </c>
      <c r="I1258" s="25">
        <v>41455</v>
      </c>
      <c r="J1258" s="2">
        <v>38355</v>
      </c>
      <c r="K1258" s="2">
        <v>36356</v>
      </c>
      <c r="L1258" t="s">
        <v>297</v>
      </c>
      <c r="M1258" t="s">
        <v>297</v>
      </c>
      <c r="N1258" s="23" t="str">
        <f t="shared" si="131"/>
        <v>N</v>
      </c>
      <c r="O1258" s="16" t="s">
        <v>117</v>
      </c>
      <c r="P1258" s="10" t="s">
        <v>278</v>
      </c>
      <c r="Q1258" s="10" t="s">
        <v>279</v>
      </c>
      <c r="S1258" s="16" t="str">
        <f t="shared" si="132"/>
        <v>Richard N Bradwell</v>
      </c>
      <c r="T1258" s="31" t="s">
        <v>1392</v>
      </c>
    </row>
    <row r="1259" spans="1:21">
      <c r="A1259" s="16">
        <v>14</v>
      </c>
      <c r="B1259" s="16" t="s">
        <v>140</v>
      </c>
      <c r="C1259" s="16">
        <v>614</v>
      </c>
      <c r="D1259" s="7" t="s">
        <v>295</v>
      </c>
      <c r="E1259" s="16" t="s">
        <v>376</v>
      </c>
      <c r="F1259" s="2">
        <v>32039</v>
      </c>
      <c r="G1259" s="2">
        <v>38723</v>
      </c>
      <c r="H1259" s="2">
        <v>38734</v>
      </c>
      <c r="I1259" s="25">
        <v>39082</v>
      </c>
      <c r="J1259" s="2">
        <v>38728</v>
      </c>
      <c r="K1259" s="2">
        <v>38728</v>
      </c>
      <c r="L1259" t="s">
        <v>297</v>
      </c>
      <c r="M1259" t="s">
        <v>297</v>
      </c>
      <c r="N1259" s="23" t="str">
        <f t="shared" si="131"/>
        <v>N</v>
      </c>
      <c r="O1259" s="16" t="s">
        <v>318</v>
      </c>
      <c r="P1259" s="10" t="s">
        <v>278</v>
      </c>
      <c r="Q1259" s="10" t="s">
        <v>279</v>
      </c>
      <c r="S1259" s="16" t="str">
        <f t="shared" si="132"/>
        <v>Richard N Bradwell</v>
      </c>
    </row>
    <row r="1260" spans="1:21">
      <c r="A1260" s="16">
        <v>14</v>
      </c>
      <c r="B1260" s="16" t="s">
        <v>140</v>
      </c>
      <c r="C1260" s="16">
        <v>838</v>
      </c>
      <c r="D1260" s="7" t="s">
        <v>295</v>
      </c>
      <c r="E1260" s="16" t="s">
        <v>376</v>
      </c>
      <c r="F1260" s="2">
        <v>36213</v>
      </c>
      <c r="G1260" s="2">
        <v>38734</v>
      </c>
      <c r="H1260" s="2">
        <v>38979</v>
      </c>
      <c r="I1260" s="25" t="s">
        <v>1266</v>
      </c>
      <c r="J1260" s="2">
        <v>38973</v>
      </c>
      <c r="L1260" t="s">
        <v>322</v>
      </c>
      <c r="M1260" t="s">
        <v>297</v>
      </c>
      <c r="N1260" s="23" t="str">
        <f t="shared" si="131"/>
        <v>Y</v>
      </c>
      <c r="O1260" s="16" t="s">
        <v>119</v>
      </c>
      <c r="P1260" s="10" t="s">
        <v>278</v>
      </c>
      <c r="Q1260" s="10" t="s">
        <v>279</v>
      </c>
      <c r="S1260" s="16" t="str">
        <f t="shared" si="132"/>
        <v>Richard N Bradwell</v>
      </c>
    </row>
    <row r="1261" spans="1:21">
      <c r="A1261" s="16">
        <v>14</v>
      </c>
      <c r="B1261" s="30" t="s">
        <v>140</v>
      </c>
      <c r="C1261" s="16">
        <v>1566</v>
      </c>
      <c r="E1261" s="30" t="s">
        <v>376</v>
      </c>
      <c r="I1261" s="41" t="s">
        <v>1622</v>
      </c>
      <c r="N1261" s="23" t="str">
        <f t="shared" si="131"/>
        <v>Y</v>
      </c>
    </row>
    <row r="1262" spans="1:21">
      <c r="A1262" s="16">
        <v>14</v>
      </c>
      <c r="B1262" s="30" t="s">
        <v>140</v>
      </c>
      <c r="C1262" s="16">
        <v>1575</v>
      </c>
      <c r="E1262" s="30" t="s">
        <v>376</v>
      </c>
      <c r="I1262" s="41" t="s">
        <v>1622</v>
      </c>
      <c r="N1262" s="23" t="str">
        <f t="shared" si="131"/>
        <v>Y</v>
      </c>
    </row>
    <row r="1263" spans="1:21">
      <c r="A1263" s="16">
        <v>14</v>
      </c>
      <c r="B1263" s="16" t="s">
        <v>140</v>
      </c>
      <c r="C1263" s="16">
        <v>1580</v>
      </c>
      <c r="E1263" s="16" t="s">
        <v>299</v>
      </c>
      <c r="F1263" s="2">
        <v>38904</v>
      </c>
      <c r="H1263" s="2">
        <v>38904</v>
      </c>
      <c r="I1263" s="25">
        <v>40359</v>
      </c>
      <c r="L1263" t="s">
        <v>297</v>
      </c>
      <c r="M1263" t="s">
        <v>322</v>
      </c>
      <c r="N1263" s="23" t="str">
        <f t="shared" si="131"/>
        <v>N</v>
      </c>
      <c r="O1263" s="16" t="s">
        <v>1375</v>
      </c>
    </row>
    <row r="1264" spans="1:21">
      <c r="A1264" s="16">
        <v>14</v>
      </c>
      <c r="B1264" s="16" t="s">
        <v>376</v>
      </c>
      <c r="C1264" s="16">
        <v>345</v>
      </c>
      <c r="D1264" t="s">
        <v>295</v>
      </c>
      <c r="E1264" s="16" t="s">
        <v>296</v>
      </c>
      <c r="F1264" s="2">
        <v>30029</v>
      </c>
      <c r="G1264" s="2">
        <v>30394</v>
      </c>
      <c r="H1264" s="2">
        <v>39115</v>
      </c>
      <c r="I1264" s="25">
        <v>41820</v>
      </c>
      <c r="J1264" s="2">
        <v>35748</v>
      </c>
      <c r="K1264" s="2">
        <v>39051</v>
      </c>
      <c r="L1264" t="s">
        <v>297</v>
      </c>
      <c r="M1264" t="s">
        <v>297</v>
      </c>
      <c r="N1264" s="23" t="str">
        <f t="shared" si="131"/>
        <v>Y</v>
      </c>
      <c r="O1264" s="16" t="s">
        <v>120</v>
      </c>
      <c r="P1264" s="10" t="s">
        <v>278</v>
      </c>
      <c r="Q1264" s="10" t="s">
        <v>280</v>
      </c>
      <c r="S1264" s="16" t="str">
        <f t="shared" ref="S1264:S1271" si="133">MID(Q1264,9,30)</f>
        <v>William D Reese</v>
      </c>
      <c r="T1264" s="31">
        <v>41415</v>
      </c>
      <c r="U1264" s="24">
        <v>39968</v>
      </c>
    </row>
    <row r="1265" spans="1:21">
      <c r="A1265" s="16">
        <v>14</v>
      </c>
      <c r="B1265" s="16" t="s">
        <v>376</v>
      </c>
      <c r="C1265" s="16">
        <v>644</v>
      </c>
      <c r="D1265" t="s">
        <v>295</v>
      </c>
      <c r="E1265" s="16" t="s">
        <v>296</v>
      </c>
      <c r="F1265" s="2">
        <v>32423</v>
      </c>
      <c r="G1265" s="2">
        <v>32424</v>
      </c>
      <c r="H1265" s="2">
        <v>39358</v>
      </c>
      <c r="I1265" s="25">
        <v>41820</v>
      </c>
      <c r="J1265" s="2">
        <v>38525</v>
      </c>
      <c r="K1265" s="2">
        <v>38526</v>
      </c>
      <c r="L1265" t="s">
        <v>297</v>
      </c>
      <c r="M1265" t="s">
        <v>297</v>
      </c>
      <c r="N1265" s="23" t="str">
        <f t="shared" si="131"/>
        <v>Y</v>
      </c>
      <c r="O1265" s="16" t="s">
        <v>1511</v>
      </c>
      <c r="P1265" s="10" t="s">
        <v>278</v>
      </c>
      <c r="Q1265" s="10" t="s">
        <v>280</v>
      </c>
      <c r="S1265" s="16" t="str">
        <f t="shared" si="133"/>
        <v>William D Reese</v>
      </c>
      <c r="T1265" s="31">
        <v>41442</v>
      </c>
    </row>
    <row r="1266" spans="1:21">
      <c r="A1266" s="16">
        <v>14</v>
      </c>
      <c r="B1266" s="16" t="s">
        <v>376</v>
      </c>
      <c r="C1266" s="16">
        <v>1267</v>
      </c>
      <c r="D1266" s="7" t="s">
        <v>295</v>
      </c>
      <c r="E1266" s="16" t="s">
        <v>296</v>
      </c>
      <c r="F1266" s="2">
        <v>36017</v>
      </c>
      <c r="G1266" s="2">
        <v>36675</v>
      </c>
      <c r="H1266" s="2">
        <v>38946</v>
      </c>
      <c r="I1266" s="25">
        <v>41455</v>
      </c>
      <c r="J1266" s="2">
        <v>38946</v>
      </c>
      <c r="K1266" s="2">
        <v>38946</v>
      </c>
      <c r="L1266" t="s">
        <v>297</v>
      </c>
      <c r="M1266" t="s">
        <v>297</v>
      </c>
      <c r="N1266" s="23" t="str">
        <f t="shared" si="131"/>
        <v>N</v>
      </c>
      <c r="O1266" s="30" t="s">
        <v>2009</v>
      </c>
      <c r="P1266" s="10" t="s">
        <v>278</v>
      </c>
      <c r="Q1266" s="10" t="s">
        <v>280</v>
      </c>
      <c r="S1266" s="16" t="str">
        <f t="shared" si="133"/>
        <v>William D Reese</v>
      </c>
      <c r="T1266" s="31" t="s">
        <v>1362</v>
      </c>
    </row>
    <row r="1267" spans="1:21">
      <c r="A1267" s="16">
        <v>14</v>
      </c>
      <c r="B1267" s="16" t="s">
        <v>376</v>
      </c>
      <c r="C1267" s="16">
        <v>1370</v>
      </c>
      <c r="D1267" s="7" t="s">
        <v>295</v>
      </c>
      <c r="E1267" s="16" t="s">
        <v>296</v>
      </c>
      <c r="F1267" s="2">
        <v>36958</v>
      </c>
      <c r="G1267" s="2">
        <v>38548</v>
      </c>
      <c r="H1267" s="2">
        <v>39469</v>
      </c>
      <c r="I1267" s="25">
        <v>41820</v>
      </c>
      <c r="L1267" t="s">
        <v>297</v>
      </c>
      <c r="M1267" t="s">
        <v>297</v>
      </c>
      <c r="N1267" s="23" t="str">
        <f t="shared" si="131"/>
        <v>Y</v>
      </c>
      <c r="O1267" s="30" t="s">
        <v>2010</v>
      </c>
      <c r="P1267" s="10" t="s">
        <v>278</v>
      </c>
      <c r="Q1267" s="10" t="s">
        <v>280</v>
      </c>
      <c r="S1267" s="16" t="str">
        <f t="shared" si="133"/>
        <v>William D Reese</v>
      </c>
      <c r="T1267" s="31">
        <v>41479</v>
      </c>
      <c r="U1267" s="24">
        <v>39968</v>
      </c>
    </row>
    <row r="1268" spans="1:21">
      <c r="A1268" s="16">
        <v>14</v>
      </c>
      <c r="B1268" s="16" t="s">
        <v>376</v>
      </c>
      <c r="C1268" s="16">
        <v>1452</v>
      </c>
      <c r="D1268" t="s">
        <v>295</v>
      </c>
      <c r="E1268" s="30" t="s">
        <v>299</v>
      </c>
      <c r="F1268" s="2">
        <v>37760</v>
      </c>
      <c r="H1268" s="2">
        <v>39351</v>
      </c>
      <c r="I1268" s="25">
        <v>40359</v>
      </c>
      <c r="J1268" s="2">
        <v>39350</v>
      </c>
      <c r="K1268" s="2">
        <v>39350</v>
      </c>
      <c r="L1268" t="s">
        <v>297</v>
      </c>
      <c r="M1268" t="s">
        <v>322</v>
      </c>
      <c r="N1268" s="23" t="str">
        <f t="shared" ref="N1268:N1287" si="134">IF((I1268&gt;$W$2),"Y","N")</f>
        <v>N</v>
      </c>
      <c r="O1268" s="30" t="s">
        <v>1218</v>
      </c>
      <c r="P1268" s="10" t="s">
        <v>278</v>
      </c>
      <c r="Q1268" s="10" t="s">
        <v>280</v>
      </c>
      <c r="S1268" s="16" t="str">
        <f t="shared" si="133"/>
        <v>William D Reese</v>
      </c>
      <c r="T1268" s="31" t="s">
        <v>1268</v>
      </c>
    </row>
    <row r="1269" spans="1:21">
      <c r="A1269" s="16">
        <v>14</v>
      </c>
      <c r="B1269" s="16" t="s">
        <v>376</v>
      </c>
      <c r="C1269" s="16">
        <v>1521</v>
      </c>
      <c r="D1269" t="s">
        <v>295</v>
      </c>
      <c r="E1269" s="30" t="s">
        <v>296</v>
      </c>
      <c r="F1269" s="2">
        <v>38869</v>
      </c>
      <c r="H1269" s="2">
        <v>39358</v>
      </c>
      <c r="I1269" s="25">
        <v>41820</v>
      </c>
      <c r="L1269" t="s">
        <v>297</v>
      </c>
      <c r="M1269" t="s">
        <v>322</v>
      </c>
      <c r="N1269" s="23" t="str">
        <f t="shared" si="134"/>
        <v>Y</v>
      </c>
      <c r="O1269" s="16" t="s">
        <v>125</v>
      </c>
      <c r="P1269" s="10" t="s">
        <v>278</v>
      </c>
      <c r="Q1269" s="10" t="s">
        <v>280</v>
      </c>
      <c r="S1269" s="16" t="str">
        <f t="shared" si="133"/>
        <v>William D Reese</v>
      </c>
      <c r="T1269" s="31">
        <v>41453</v>
      </c>
    </row>
    <row r="1270" spans="1:21">
      <c r="A1270" s="16">
        <v>14</v>
      </c>
      <c r="B1270" s="16" t="s">
        <v>376</v>
      </c>
      <c r="C1270" s="16">
        <v>1531</v>
      </c>
      <c r="D1270" s="7" t="s">
        <v>295</v>
      </c>
      <c r="E1270" s="16" t="s">
        <v>299</v>
      </c>
      <c r="F1270" s="2">
        <v>38887</v>
      </c>
      <c r="H1270" s="2">
        <v>38979</v>
      </c>
      <c r="I1270" s="25">
        <v>41820</v>
      </c>
      <c r="J1270" s="2">
        <v>38898</v>
      </c>
      <c r="L1270" t="s">
        <v>297</v>
      </c>
      <c r="M1270" t="s">
        <v>297</v>
      </c>
      <c r="N1270" s="23" t="str">
        <f t="shared" si="134"/>
        <v>Y</v>
      </c>
      <c r="O1270" s="16" t="s">
        <v>126</v>
      </c>
      <c r="P1270" s="10" t="s">
        <v>278</v>
      </c>
      <c r="Q1270" s="10" t="s">
        <v>280</v>
      </c>
      <c r="S1270" s="16" t="str">
        <f t="shared" si="133"/>
        <v>William D Reese</v>
      </c>
      <c r="T1270" s="31">
        <v>41428</v>
      </c>
    </row>
    <row r="1271" spans="1:21">
      <c r="A1271" s="16">
        <v>14</v>
      </c>
      <c r="B1271" s="16" t="s">
        <v>376</v>
      </c>
      <c r="C1271" s="16">
        <v>1548</v>
      </c>
      <c r="D1271" t="s">
        <v>295</v>
      </c>
      <c r="E1271" s="16" t="s">
        <v>299</v>
      </c>
      <c r="F1271" s="2">
        <v>39264</v>
      </c>
      <c r="H1271" s="2">
        <v>39260</v>
      </c>
      <c r="I1271" s="25" t="s">
        <v>1266</v>
      </c>
      <c r="L1271" t="s">
        <v>297</v>
      </c>
      <c r="M1271" t="s">
        <v>297</v>
      </c>
      <c r="N1271" s="23" t="str">
        <f t="shared" si="134"/>
        <v>Y</v>
      </c>
      <c r="O1271" s="30" t="s">
        <v>2011</v>
      </c>
      <c r="P1271" s="10" t="s">
        <v>278</v>
      </c>
      <c r="Q1271" s="10" t="s">
        <v>280</v>
      </c>
      <c r="S1271" s="16" t="str">
        <f t="shared" si="133"/>
        <v>William D Reese</v>
      </c>
    </row>
    <row r="1272" spans="1:21">
      <c r="A1272" s="16">
        <v>14</v>
      </c>
      <c r="B1272" s="30" t="s">
        <v>376</v>
      </c>
      <c r="C1272" s="16">
        <v>1560</v>
      </c>
      <c r="E1272" s="30" t="s">
        <v>376</v>
      </c>
      <c r="F1272" s="2">
        <v>39475</v>
      </c>
      <c r="I1272" s="41" t="s">
        <v>1622</v>
      </c>
      <c r="L1272" t="s">
        <v>297</v>
      </c>
      <c r="M1272" t="s">
        <v>297</v>
      </c>
      <c r="N1272" s="23" t="str">
        <f t="shared" si="134"/>
        <v>Y</v>
      </c>
    </row>
    <row r="1273" spans="1:21">
      <c r="A1273" s="16">
        <v>14</v>
      </c>
      <c r="B1273" s="16" t="s">
        <v>176</v>
      </c>
      <c r="C1273" s="16">
        <v>660</v>
      </c>
      <c r="D1273" s="7" t="s">
        <v>295</v>
      </c>
      <c r="E1273" s="16" t="s">
        <v>296</v>
      </c>
      <c r="F1273" s="2">
        <v>32612</v>
      </c>
      <c r="G1273" s="2">
        <v>33067</v>
      </c>
      <c r="H1273" s="2">
        <v>38850</v>
      </c>
      <c r="I1273" s="25">
        <v>41820</v>
      </c>
      <c r="J1273" s="2">
        <v>38775</v>
      </c>
      <c r="K1273" s="2">
        <v>38777</v>
      </c>
      <c r="L1273" t="s">
        <v>297</v>
      </c>
      <c r="M1273" t="s">
        <v>297</v>
      </c>
      <c r="N1273" s="23" t="str">
        <f t="shared" si="134"/>
        <v>Y</v>
      </c>
      <c r="O1273" s="30" t="s">
        <v>2012</v>
      </c>
      <c r="P1273" s="10" t="s">
        <v>278</v>
      </c>
      <c r="Q1273" s="10" t="s">
        <v>281</v>
      </c>
      <c r="S1273" s="16" t="str">
        <f t="shared" ref="S1273:S1283" si="135">MID(Q1273,9,30)</f>
        <v>Michael  Hartley</v>
      </c>
      <c r="T1273" s="31">
        <v>41439</v>
      </c>
      <c r="U1273" s="24">
        <v>39976</v>
      </c>
    </row>
    <row r="1274" spans="1:21">
      <c r="A1274" s="16">
        <v>14</v>
      </c>
      <c r="B1274" s="16" t="s">
        <v>176</v>
      </c>
      <c r="C1274" s="16">
        <v>705</v>
      </c>
      <c r="D1274" t="s">
        <v>295</v>
      </c>
      <c r="E1274" s="16" t="s">
        <v>296</v>
      </c>
      <c r="F1274" s="2">
        <v>32816</v>
      </c>
      <c r="G1274" s="2">
        <v>33684</v>
      </c>
      <c r="H1274" s="2">
        <v>39413</v>
      </c>
      <c r="I1274" s="25">
        <v>41455</v>
      </c>
      <c r="K1274" s="2">
        <v>35670</v>
      </c>
      <c r="L1274" t="s">
        <v>297</v>
      </c>
      <c r="M1274" t="s">
        <v>297</v>
      </c>
      <c r="N1274" s="23" t="str">
        <f t="shared" si="134"/>
        <v>N</v>
      </c>
      <c r="O1274" s="30" t="s">
        <v>2013</v>
      </c>
      <c r="P1274" s="10" t="s">
        <v>278</v>
      </c>
      <c r="Q1274" s="10" t="s">
        <v>281</v>
      </c>
      <c r="S1274" s="16" t="str">
        <f t="shared" si="135"/>
        <v>Michael  Hartley</v>
      </c>
      <c r="T1274" s="31" t="s">
        <v>1419</v>
      </c>
    </row>
    <row r="1275" spans="1:21">
      <c r="A1275" s="16">
        <v>14</v>
      </c>
      <c r="B1275" s="16" t="s">
        <v>176</v>
      </c>
      <c r="C1275" s="16">
        <v>805</v>
      </c>
      <c r="D1275" s="7" t="s">
        <v>295</v>
      </c>
      <c r="E1275" s="16" t="s">
        <v>296</v>
      </c>
      <c r="F1275" s="2">
        <v>33487</v>
      </c>
      <c r="G1275" s="2">
        <v>33675</v>
      </c>
      <c r="H1275" s="2">
        <v>39491</v>
      </c>
      <c r="I1275" s="25">
        <v>41455</v>
      </c>
      <c r="K1275" s="2">
        <v>36238</v>
      </c>
      <c r="L1275" t="s">
        <v>297</v>
      </c>
      <c r="M1275" t="s">
        <v>297</v>
      </c>
      <c r="N1275" s="23" t="str">
        <f t="shared" si="134"/>
        <v>N</v>
      </c>
      <c r="O1275" s="16" t="s">
        <v>130</v>
      </c>
      <c r="P1275" s="10" t="s">
        <v>278</v>
      </c>
      <c r="Q1275" s="10" t="s">
        <v>281</v>
      </c>
      <c r="S1275" s="16" t="str">
        <f t="shared" si="135"/>
        <v>Michael  Hartley</v>
      </c>
      <c r="T1275" s="31" t="s">
        <v>1514</v>
      </c>
    </row>
    <row r="1276" spans="1:21">
      <c r="A1276" s="16">
        <v>14</v>
      </c>
      <c r="B1276" s="16" t="s">
        <v>176</v>
      </c>
      <c r="C1276" s="16">
        <v>864</v>
      </c>
      <c r="D1276" t="s">
        <v>295</v>
      </c>
      <c r="E1276" s="16" t="s">
        <v>296</v>
      </c>
      <c r="F1276" s="2">
        <v>33879</v>
      </c>
      <c r="G1276" s="2">
        <v>33994</v>
      </c>
      <c r="H1276" s="2">
        <v>39513</v>
      </c>
      <c r="I1276" s="25">
        <v>41820</v>
      </c>
      <c r="J1276" s="2">
        <v>39232</v>
      </c>
      <c r="K1276" s="2">
        <v>39315</v>
      </c>
      <c r="L1276" t="s">
        <v>297</v>
      </c>
      <c r="M1276" t="s">
        <v>297</v>
      </c>
      <c r="N1276" s="23" t="str">
        <f t="shared" si="134"/>
        <v>Y</v>
      </c>
      <c r="O1276" s="30" t="s">
        <v>2014</v>
      </c>
      <c r="P1276" s="10" t="s">
        <v>278</v>
      </c>
      <c r="Q1276" s="10" t="s">
        <v>281</v>
      </c>
      <c r="S1276" s="16" t="str">
        <f t="shared" si="135"/>
        <v>Michael  Hartley</v>
      </c>
      <c r="T1276" s="31">
        <v>41438</v>
      </c>
      <c r="U1276" s="24">
        <v>39968</v>
      </c>
    </row>
    <row r="1277" spans="1:21">
      <c r="A1277" s="16">
        <v>14</v>
      </c>
      <c r="B1277" s="16" t="s">
        <v>176</v>
      </c>
      <c r="C1277" s="16">
        <v>901</v>
      </c>
      <c r="D1277" t="s">
        <v>295</v>
      </c>
      <c r="E1277" s="16" t="s">
        <v>296</v>
      </c>
      <c r="F1277" s="2">
        <v>34178</v>
      </c>
      <c r="G1277" s="2">
        <v>37036</v>
      </c>
      <c r="H1277" s="2">
        <v>39319</v>
      </c>
      <c r="I1277" s="25">
        <v>41455</v>
      </c>
      <c r="K1277" s="2">
        <v>38548</v>
      </c>
      <c r="L1277" t="s">
        <v>297</v>
      </c>
      <c r="M1277" t="s">
        <v>297</v>
      </c>
      <c r="N1277" s="23" t="str">
        <f t="shared" si="134"/>
        <v>N</v>
      </c>
      <c r="O1277" s="30" t="s">
        <v>2015</v>
      </c>
      <c r="P1277" s="10" t="s">
        <v>278</v>
      </c>
      <c r="Q1277" s="10" t="s">
        <v>281</v>
      </c>
      <c r="S1277" s="16" t="str">
        <f t="shared" si="135"/>
        <v>Michael  Hartley</v>
      </c>
      <c r="T1277" s="31" t="s">
        <v>1389</v>
      </c>
    </row>
    <row r="1278" spans="1:21">
      <c r="A1278" s="16">
        <v>14</v>
      </c>
      <c r="B1278" s="16" t="s">
        <v>186</v>
      </c>
      <c r="C1278" s="16">
        <v>1212</v>
      </c>
      <c r="D1278" t="s">
        <v>295</v>
      </c>
      <c r="E1278" s="16" t="s">
        <v>296</v>
      </c>
      <c r="F1278" s="2">
        <v>35657</v>
      </c>
      <c r="G1278" s="2">
        <v>39136</v>
      </c>
      <c r="H1278" s="2">
        <v>39051</v>
      </c>
      <c r="I1278" s="25" t="s">
        <v>1266</v>
      </c>
      <c r="J1278" s="2">
        <v>38560</v>
      </c>
      <c r="L1278" t="s">
        <v>322</v>
      </c>
      <c r="M1278" t="s">
        <v>297</v>
      </c>
      <c r="N1278" s="23" t="str">
        <f t="shared" si="134"/>
        <v>Y</v>
      </c>
      <c r="O1278" s="30" t="s">
        <v>1218</v>
      </c>
      <c r="P1278" s="10" t="s">
        <v>278</v>
      </c>
      <c r="Q1278" s="10" t="s">
        <v>282</v>
      </c>
      <c r="S1278" s="16" t="str">
        <f t="shared" si="135"/>
        <v>Reggy R Monsanto</v>
      </c>
      <c r="T1278" s="31">
        <v>41485</v>
      </c>
    </row>
    <row r="1279" spans="1:21" ht="12.75" customHeight="1">
      <c r="A1279" s="16">
        <v>14</v>
      </c>
      <c r="B1279" s="16" t="s">
        <v>186</v>
      </c>
      <c r="C1279" s="16">
        <v>1242</v>
      </c>
      <c r="D1279" s="7" t="s">
        <v>295</v>
      </c>
      <c r="E1279" s="16" t="s">
        <v>316</v>
      </c>
      <c r="F1279" s="2">
        <v>35894</v>
      </c>
      <c r="G1279" s="2">
        <v>38064</v>
      </c>
      <c r="H1279" s="2">
        <v>39461</v>
      </c>
      <c r="I1279" s="25" t="s">
        <v>1266</v>
      </c>
      <c r="J1279" s="2">
        <v>37291</v>
      </c>
      <c r="K1279" s="2">
        <v>35928</v>
      </c>
      <c r="L1279" t="s">
        <v>339</v>
      </c>
      <c r="M1279" t="s">
        <v>297</v>
      </c>
      <c r="N1279" s="23" t="str">
        <f t="shared" si="134"/>
        <v>Y</v>
      </c>
      <c r="O1279" s="16" t="s">
        <v>1206</v>
      </c>
      <c r="P1279" s="10" t="s">
        <v>278</v>
      </c>
      <c r="Q1279" s="10" t="s">
        <v>282</v>
      </c>
      <c r="S1279" s="16" t="str">
        <f t="shared" si="135"/>
        <v>Reggy R Monsanto</v>
      </c>
      <c r="T1279" s="31" t="s">
        <v>1177</v>
      </c>
    </row>
    <row r="1280" spans="1:21" ht="12.75" customHeight="1">
      <c r="A1280" s="16">
        <v>14</v>
      </c>
      <c r="B1280" s="16" t="s">
        <v>186</v>
      </c>
      <c r="C1280" s="16">
        <v>1357</v>
      </c>
      <c r="D1280" t="s">
        <v>295</v>
      </c>
      <c r="E1280" s="16" t="s">
        <v>316</v>
      </c>
      <c r="F1280" s="2">
        <v>36746</v>
      </c>
      <c r="H1280" s="2">
        <v>39006</v>
      </c>
      <c r="I1280" s="25" t="s">
        <v>1266</v>
      </c>
      <c r="J1280" s="2">
        <v>38722</v>
      </c>
      <c r="K1280" s="2">
        <v>39356</v>
      </c>
      <c r="L1280" t="s">
        <v>317</v>
      </c>
      <c r="M1280" t="s">
        <v>297</v>
      </c>
      <c r="N1280" s="23" t="str">
        <f t="shared" si="134"/>
        <v>Y</v>
      </c>
      <c r="O1280" s="16" t="s">
        <v>135</v>
      </c>
      <c r="P1280" s="10" t="s">
        <v>278</v>
      </c>
      <c r="Q1280" s="10" t="s">
        <v>282</v>
      </c>
      <c r="S1280" s="16" t="str">
        <f t="shared" si="135"/>
        <v>Reggy R Monsanto</v>
      </c>
      <c r="T1280" s="31" t="s">
        <v>1291</v>
      </c>
    </row>
    <row r="1281" spans="1:20">
      <c r="A1281" s="16">
        <v>14</v>
      </c>
      <c r="B1281" s="16" t="s">
        <v>186</v>
      </c>
      <c r="C1281" s="16">
        <v>1408</v>
      </c>
      <c r="D1281" t="s">
        <v>295</v>
      </c>
      <c r="E1281" s="16" t="s">
        <v>296</v>
      </c>
      <c r="F1281" s="2">
        <v>37414</v>
      </c>
      <c r="G1281" s="2">
        <v>38996</v>
      </c>
      <c r="H1281" s="2">
        <v>39427</v>
      </c>
      <c r="I1281" s="25">
        <v>41820</v>
      </c>
      <c r="J1281" s="2">
        <v>38574</v>
      </c>
      <c r="L1281" t="s">
        <v>297</v>
      </c>
      <c r="M1281" t="s">
        <v>297</v>
      </c>
      <c r="N1281" s="23" t="str">
        <f t="shared" si="134"/>
        <v>Y</v>
      </c>
      <c r="O1281" s="16" t="s">
        <v>1512</v>
      </c>
      <c r="P1281" s="10" t="s">
        <v>278</v>
      </c>
      <c r="Q1281" s="10" t="s">
        <v>282</v>
      </c>
      <c r="S1281" s="16" t="str">
        <f t="shared" si="135"/>
        <v>Reggy R Monsanto</v>
      </c>
      <c r="T1281" s="31">
        <v>41425</v>
      </c>
    </row>
    <row r="1282" spans="1:20" ht="12.75" customHeight="1">
      <c r="A1282" s="16">
        <v>14</v>
      </c>
      <c r="B1282" s="16" t="s">
        <v>186</v>
      </c>
      <c r="C1282" s="16">
        <v>1487</v>
      </c>
      <c r="D1282" t="s">
        <v>295</v>
      </c>
      <c r="E1282" s="16" t="s">
        <v>299</v>
      </c>
      <c r="F1282" s="2">
        <v>38223</v>
      </c>
      <c r="H1282" s="2">
        <v>39069</v>
      </c>
      <c r="I1282" s="25">
        <v>41820</v>
      </c>
      <c r="K1282" s="2">
        <v>39133</v>
      </c>
      <c r="L1282" t="s">
        <v>297</v>
      </c>
      <c r="M1282" t="s">
        <v>322</v>
      </c>
      <c r="N1282" s="23" t="str">
        <f t="shared" si="134"/>
        <v>Y</v>
      </c>
      <c r="O1282" s="16" t="s">
        <v>137</v>
      </c>
      <c r="P1282" s="10" t="s">
        <v>278</v>
      </c>
      <c r="Q1282" s="10" t="s">
        <v>282</v>
      </c>
      <c r="S1282" s="16" t="str">
        <f t="shared" si="135"/>
        <v>Reggy R Monsanto</v>
      </c>
      <c r="T1282" s="31">
        <v>41428</v>
      </c>
    </row>
    <row r="1283" spans="1:20" ht="12.75" customHeight="1">
      <c r="A1283" s="16">
        <v>14</v>
      </c>
      <c r="B1283" s="16" t="s">
        <v>186</v>
      </c>
      <c r="C1283" s="16">
        <v>1558</v>
      </c>
      <c r="D1283" t="s">
        <v>295</v>
      </c>
      <c r="E1283" s="16" t="s">
        <v>316</v>
      </c>
      <c r="F1283" s="2">
        <v>39508</v>
      </c>
      <c r="H1283" s="2">
        <v>39517</v>
      </c>
      <c r="I1283" s="25">
        <v>39994</v>
      </c>
      <c r="L1283" t="s">
        <v>297</v>
      </c>
      <c r="M1283" t="s">
        <v>297</v>
      </c>
      <c r="N1283" s="23" t="str">
        <f t="shared" si="134"/>
        <v>N</v>
      </c>
      <c r="O1283" s="16" t="s">
        <v>318</v>
      </c>
      <c r="P1283" s="10" t="s">
        <v>278</v>
      </c>
      <c r="Q1283" s="10" t="s">
        <v>282</v>
      </c>
      <c r="S1283" s="16" t="str">
        <f t="shared" si="135"/>
        <v>Reggy R Monsanto</v>
      </c>
    </row>
    <row r="1284" spans="1:20" ht="12.75" customHeight="1">
      <c r="A1284" s="16">
        <v>14</v>
      </c>
      <c r="B1284" s="16" t="s">
        <v>186</v>
      </c>
      <c r="C1284" s="16">
        <v>1574</v>
      </c>
      <c r="E1284" s="16" t="s">
        <v>299</v>
      </c>
      <c r="F1284" s="2"/>
      <c r="H1284" s="2"/>
      <c r="I1284" s="25">
        <v>41455</v>
      </c>
      <c r="N1284" s="23" t="str">
        <f t="shared" si="134"/>
        <v>N</v>
      </c>
      <c r="O1284" s="16" t="s">
        <v>1316</v>
      </c>
      <c r="T1284" s="31" t="s">
        <v>1384</v>
      </c>
    </row>
    <row r="1285" spans="1:20" ht="12.75" customHeight="1">
      <c r="A1285" s="16">
        <v>80</v>
      </c>
      <c r="B1285" s="16" t="s">
        <v>257</v>
      </c>
      <c r="C1285" s="16">
        <v>8001</v>
      </c>
      <c r="E1285" s="16" t="s">
        <v>299</v>
      </c>
      <c r="F1285" s="2"/>
      <c r="H1285" s="2"/>
      <c r="I1285" s="25">
        <v>41455</v>
      </c>
      <c r="N1285" s="23" t="str">
        <f t="shared" si="134"/>
        <v>N</v>
      </c>
      <c r="O1285" s="46" t="s">
        <v>2016</v>
      </c>
      <c r="T1285" s="31" t="s">
        <v>1389</v>
      </c>
    </row>
    <row r="1286" spans="1:20" ht="12.75" customHeight="1">
      <c r="A1286" s="16">
        <v>99</v>
      </c>
      <c r="B1286" s="16" t="s">
        <v>149</v>
      </c>
      <c r="C1286" s="16">
        <v>1383</v>
      </c>
      <c r="E1286" s="16" t="s">
        <v>296</v>
      </c>
      <c r="F1286" s="2"/>
      <c r="H1286" s="2"/>
      <c r="I1286" s="25" t="s">
        <v>1266</v>
      </c>
      <c r="J1286" s="23" t="s">
        <v>297</v>
      </c>
      <c r="N1286" s="23" t="str">
        <f t="shared" si="134"/>
        <v>Y</v>
      </c>
      <c r="O1286" s="29" t="s">
        <v>2017</v>
      </c>
      <c r="P1286"/>
      <c r="Q1286"/>
      <c r="R1286" s="10"/>
      <c r="S1286" s="10"/>
      <c r="T1286" s="45"/>
    </row>
    <row r="1287" spans="1:20" ht="12.75" customHeight="1">
      <c r="A1287" s="16">
        <v>99</v>
      </c>
      <c r="B1287" s="16" t="s">
        <v>149</v>
      </c>
      <c r="C1287" s="16">
        <v>1450</v>
      </c>
      <c r="E1287" s="16" t="s">
        <v>299</v>
      </c>
      <c r="I1287" s="25" t="s">
        <v>1266</v>
      </c>
      <c r="N1287" s="23" t="str">
        <f t="shared" si="134"/>
        <v>Y</v>
      </c>
      <c r="O1287" s="30" t="s">
        <v>1218</v>
      </c>
      <c r="S1287" s="16" t="s">
        <v>1145</v>
      </c>
      <c r="T1287" s="31" t="s">
        <v>1321</v>
      </c>
    </row>
    <row r="1288" spans="1:20" ht="12.75" customHeight="1">
      <c r="N1288" s="23"/>
    </row>
    <row r="1289" spans="1:20" ht="12.75" customHeight="1">
      <c r="N1289" s="23"/>
    </row>
    <row r="1290" spans="1:20" ht="12.75" customHeight="1">
      <c r="N1290" s="23"/>
    </row>
    <row r="1291" spans="1:20" ht="12.75" customHeight="1">
      <c r="N1291" s="23"/>
    </row>
    <row r="1292" spans="1:20" ht="12.75" customHeight="1">
      <c r="N1292" s="23"/>
    </row>
    <row r="1293" spans="1:20" ht="12.75" customHeight="1">
      <c r="N1293" s="23"/>
    </row>
    <row r="1294" spans="1:20" ht="12.75" customHeight="1">
      <c r="N1294" s="23"/>
    </row>
    <row r="1295" spans="1:20" ht="12.75" customHeight="1">
      <c r="N1295" s="23"/>
    </row>
    <row r="1296" spans="1:20" ht="12.75" customHeight="1">
      <c r="N1296" s="23"/>
    </row>
    <row r="1297" spans="14:14" ht="12.75" customHeight="1">
      <c r="N1297" s="23"/>
    </row>
  </sheetData>
  <autoFilter ref="A1:Q1281">
    <filterColumn colId="0">
      <customFilters and="1">
        <customFilter operator="notEqual" val="*area*"/>
        <customFilter operator="notEqual" val="*section*"/>
      </customFilters>
    </filterColumn>
    <filterColumn colId="4">
      <customFilters and="1">
        <customFilter operator="notEqual" val="*i*"/>
        <customFilter operator="notEqual" val="*x*"/>
      </customFilters>
    </filterColumn>
  </autoFilter>
  <sortState ref="A2:U1287">
    <sortCondition ref="A2:A1287"/>
    <sortCondition ref="B2:B1287"/>
    <sortCondition ref="C2:C1287"/>
  </sortState>
  <phoneticPr fontId="0" type="noConversion"/>
  <hyperlinks>
    <hyperlink ref="O2" r:id="rId1" display="https://www.eayso.org/vol_dspvolunteerinfo.aspx?vid=526366"/>
    <hyperlink ref="O10" r:id="rId2" display="https://www.eayso.org/vol_dspvolunteerinfo.aspx?vid=729852"/>
    <hyperlink ref="O1286" r:id="rId3" display="https://www.eayso.org/vol_dspvolunteerinfo.aspx?vid=924101"/>
    <hyperlink ref="O1103" r:id="rId4" display="https://www.eayso.org/vol_dspvolunteerinfo.aspx?vid=894257"/>
  </hyperlinks>
  <printOptions horizontalCentered="1"/>
  <pageMargins left="0" right="0" top="1" bottom="0.5" header="0" footer="0"/>
  <pageSetup scale="76" fitToWidth="0" fitToHeight="0" orientation="landscape" r:id="rId5"/>
  <headerFooter alignWithMargins="0">
    <oddHeader xml:space="preserve">&amp;CAYSO
BUDGET LAST RECEIVED DATE IN EAYSO
</oddHeader>
    <oddFooter>&amp;LRef:  &amp;Z&amp;F&amp;R&amp;P</oddFooter>
  </headerFooter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273"/>
  <sheetViews>
    <sheetView showOutlineSymbols="0" workbookViewId="0">
      <pane ySplit="1" topLeftCell="A11" activePane="bottomLeft" state="frozen"/>
      <selection pane="bottomLeft" activeCell="A2" sqref="A2"/>
    </sheetView>
  </sheetViews>
  <sheetFormatPr defaultColWidth="6.85546875" defaultRowHeight="12.75" customHeight="1"/>
  <cols>
    <col min="1" max="1" width="8.28515625" customWidth="1"/>
    <col min="2" max="2" width="5.85546875" customWidth="1"/>
    <col min="3" max="3" width="7.7109375" customWidth="1"/>
    <col min="4" max="4" width="10.28515625" bestFit="1" customWidth="1"/>
    <col min="6" max="6" width="10.7109375" hidden="1" customWidth="1"/>
    <col min="7" max="7" width="12.42578125" hidden="1" customWidth="1"/>
    <col min="8" max="8" width="10.7109375" hidden="1" customWidth="1"/>
    <col min="9" max="9" width="12.140625" style="6" bestFit="1" customWidth="1"/>
    <col min="10" max="10" width="11.42578125" hidden="1" customWidth="1"/>
    <col min="11" max="11" width="11.140625" hidden="1" customWidth="1"/>
    <col min="12" max="13" width="0" hidden="1" customWidth="1"/>
    <col min="14" max="14" width="22.5703125" customWidth="1"/>
    <col min="15" max="15" width="9.85546875" customWidth="1"/>
    <col min="16" max="16" width="30.140625" customWidth="1"/>
  </cols>
  <sheetData>
    <row r="1" spans="1:16" s="3" customFormat="1" ht="12.75" customHeight="1">
      <c r="A1" s="3" t="s">
        <v>144</v>
      </c>
      <c r="B1" s="3" t="s">
        <v>145</v>
      </c>
      <c r="C1" s="3" t="s">
        <v>146</v>
      </c>
      <c r="D1" s="3" t="s">
        <v>147</v>
      </c>
      <c r="E1" s="3" t="s">
        <v>148</v>
      </c>
      <c r="F1" s="3" t="s">
        <v>286</v>
      </c>
      <c r="G1" s="3" t="s">
        <v>287</v>
      </c>
      <c r="H1" s="3" t="s">
        <v>288</v>
      </c>
      <c r="I1" s="4" t="s">
        <v>289</v>
      </c>
      <c r="J1" s="3" t="s">
        <v>290</v>
      </c>
      <c r="K1" s="3" t="s">
        <v>291</v>
      </c>
      <c r="L1" s="3" t="s">
        <v>293</v>
      </c>
      <c r="M1" s="3" t="s">
        <v>294</v>
      </c>
      <c r="N1" s="3" t="s">
        <v>292</v>
      </c>
      <c r="O1" s="3" t="s">
        <v>1135</v>
      </c>
    </row>
    <row r="2" spans="1:16" ht="12.75" customHeight="1">
      <c r="A2">
        <v>1</v>
      </c>
      <c r="B2" t="s">
        <v>149</v>
      </c>
      <c r="C2">
        <v>3</v>
      </c>
      <c r="D2" t="s">
        <v>295</v>
      </c>
      <c r="E2" t="s">
        <v>296</v>
      </c>
      <c r="F2" s="2">
        <v>26102</v>
      </c>
      <c r="G2" s="2">
        <v>26102</v>
      </c>
      <c r="H2" s="2">
        <v>39358</v>
      </c>
      <c r="I2" s="5">
        <v>36280</v>
      </c>
      <c r="K2" s="2">
        <v>36320</v>
      </c>
      <c r="L2" t="s">
        <v>297</v>
      </c>
      <c r="M2" t="s">
        <v>297</v>
      </c>
      <c r="N2" t="s">
        <v>298</v>
      </c>
      <c r="O2" t="s">
        <v>150</v>
      </c>
      <c r="P2" t="s">
        <v>151</v>
      </c>
    </row>
    <row r="3" spans="1:16" ht="12.75" customHeight="1">
      <c r="A3">
        <v>1</v>
      </c>
      <c r="B3" t="s">
        <v>149</v>
      </c>
      <c r="C3">
        <v>30</v>
      </c>
      <c r="D3" t="s">
        <v>295</v>
      </c>
      <c r="E3" t="s">
        <v>299</v>
      </c>
      <c r="F3" s="2">
        <v>38772</v>
      </c>
      <c r="H3" s="2">
        <v>39310</v>
      </c>
      <c r="I3" s="5">
        <v>39263</v>
      </c>
      <c r="L3" t="s">
        <v>297</v>
      </c>
      <c r="M3" t="s">
        <v>297</v>
      </c>
      <c r="N3" t="s">
        <v>300</v>
      </c>
      <c r="O3" t="s">
        <v>150</v>
      </c>
      <c r="P3" t="s">
        <v>151</v>
      </c>
    </row>
    <row r="4" spans="1:16" ht="12.75" customHeight="1">
      <c r="A4">
        <v>1</v>
      </c>
      <c r="B4" t="s">
        <v>149</v>
      </c>
      <c r="C4">
        <v>31</v>
      </c>
      <c r="D4" t="s">
        <v>295</v>
      </c>
      <c r="E4" t="s">
        <v>296</v>
      </c>
      <c r="F4" s="2">
        <v>26830</v>
      </c>
      <c r="G4" s="2">
        <v>26830</v>
      </c>
      <c r="H4" s="2">
        <v>38886</v>
      </c>
      <c r="I4" s="5">
        <v>39813</v>
      </c>
      <c r="J4" s="2">
        <v>39190</v>
      </c>
      <c r="K4" s="2">
        <v>36257</v>
      </c>
      <c r="L4" t="s">
        <v>297</v>
      </c>
      <c r="M4" t="s">
        <v>297</v>
      </c>
      <c r="N4" t="s">
        <v>301</v>
      </c>
      <c r="O4" t="s">
        <v>150</v>
      </c>
      <c r="P4" t="s">
        <v>151</v>
      </c>
    </row>
    <row r="5" spans="1:16" ht="12.75" customHeight="1">
      <c r="A5">
        <v>1</v>
      </c>
      <c r="B5" t="s">
        <v>149</v>
      </c>
      <c r="C5">
        <v>67</v>
      </c>
      <c r="D5" t="s">
        <v>295</v>
      </c>
      <c r="E5" t="s">
        <v>296</v>
      </c>
      <c r="F5" s="2">
        <v>27591</v>
      </c>
      <c r="G5" s="2">
        <v>27591</v>
      </c>
      <c r="H5" s="2">
        <v>39456</v>
      </c>
      <c r="I5" s="5">
        <v>38898</v>
      </c>
      <c r="J5" s="2">
        <v>38224</v>
      </c>
      <c r="K5" s="2">
        <v>36179</v>
      </c>
      <c r="L5" t="s">
        <v>297</v>
      </c>
      <c r="M5" t="s">
        <v>297</v>
      </c>
      <c r="N5" t="s">
        <v>302</v>
      </c>
      <c r="O5" t="s">
        <v>150</v>
      </c>
      <c r="P5" t="s">
        <v>151</v>
      </c>
    </row>
    <row r="6" spans="1:16" ht="12.75" customHeight="1">
      <c r="A6">
        <v>1</v>
      </c>
      <c r="B6" t="s">
        <v>149</v>
      </c>
      <c r="C6">
        <v>583</v>
      </c>
      <c r="D6" t="s">
        <v>295</v>
      </c>
      <c r="E6" t="s">
        <v>296</v>
      </c>
      <c r="F6" s="2">
        <v>31857</v>
      </c>
      <c r="G6" s="2">
        <v>31857</v>
      </c>
      <c r="H6" s="2">
        <v>39132</v>
      </c>
      <c r="I6" s="5">
        <v>37833</v>
      </c>
      <c r="J6" s="2">
        <v>39087</v>
      </c>
      <c r="K6" s="2">
        <v>39190</v>
      </c>
      <c r="L6" t="s">
        <v>297</v>
      </c>
      <c r="M6" t="s">
        <v>297</v>
      </c>
      <c r="N6" t="s">
        <v>303</v>
      </c>
      <c r="O6" t="s">
        <v>150</v>
      </c>
      <c r="P6" t="s">
        <v>151</v>
      </c>
    </row>
    <row r="7" spans="1:16" ht="12.75" customHeight="1">
      <c r="A7">
        <v>1</v>
      </c>
      <c r="B7" t="s">
        <v>149</v>
      </c>
      <c r="C7">
        <v>661</v>
      </c>
      <c r="D7" t="s">
        <v>295</v>
      </c>
      <c r="E7" t="s">
        <v>296</v>
      </c>
      <c r="F7" s="2">
        <v>32522</v>
      </c>
      <c r="G7" s="2">
        <v>33621</v>
      </c>
      <c r="H7" s="2">
        <v>39218</v>
      </c>
      <c r="I7" s="5">
        <v>38776</v>
      </c>
      <c r="J7" s="2">
        <v>39087</v>
      </c>
      <c r="K7" s="2">
        <v>39213</v>
      </c>
      <c r="L7" t="s">
        <v>297</v>
      </c>
      <c r="M7" t="s">
        <v>297</v>
      </c>
      <c r="N7" t="s">
        <v>304</v>
      </c>
      <c r="O7" t="s">
        <v>150</v>
      </c>
      <c r="P7" t="s">
        <v>151</v>
      </c>
    </row>
    <row r="8" spans="1:16" ht="12.75" customHeight="1">
      <c r="A8">
        <v>1</v>
      </c>
      <c r="B8" t="s">
        <v>149</v>
      </c>
      <c r="C8">
        <v>779</v>
      </c>
      <c r="D8" t="s">
        <v>295</v>
      </c>
      <c r="E8" t="s">
        <v>296</v>
      </c>
      <c r="F8" s="2">
        <v>33313</v>
      </c>
      <c r="G8" s="2">
        <v>33563</v>
      </c>
      <c r="H8" s="2">
        <v>39283</v>
      </c>
      <c r="I8" s="5">
        <v>36525</v>
      </c>
      <c r="J8" s="2">
        <v>36161</v>
      </c>
      <c r="K8" s="2">
        <v>36201</v>
      </c>
      <c r="L8" t="s">
        <v>297</v>
      </c>
      <c r="M8" t="s">
        <v>297</v>
      </c>
      <c r="N8" t="s">
        <v>305</v>
      </c>
      <c r="O8" t="s">
        <v>150</v>
      </c>
      <c r="P8" t="s">
        <v>151</v>
      </c>
    </row>
    <row r="9" spans="1:16" ht="12.75" customHeight="1">
      <c r="A9" t="s">
        <v>150</v>
      </c>
      <c r="B9" t="s">
        <v>151</v>
      </c>
    </row>
    <row r="10" spans="1:16" ht="12.75" customHeight="1">
      <c r="A10">
        <v>1</v>
      </c>
      <c r="B10" t="s">
        <v>296</v>
      </c>
      <c r="C10">
        <v>2</v>
      </c>
      <c r="D10" t="s">
        <v>295</v>
      </c>
      <c r="E10" t="s">
        <v>296</v>
      </c>
      <c r="F10" s="2">
        <v>26102</v>
      </c>
      <c r="G10" s="2">
        <v>26102</v>
      </c>
      <c r="H10" s="2">
        <v>39495</v>
      </c>
      <c r="I10" s="5">
        <v>39538</v>
      </c>
      <c r="J10" s="2">
        <v>38897</v>
      </c>
      <c r="K10" s="2">
        <v>38392</v>
      </c>
      <c r="L10" t="s">
        <v>297</v>
      </c>
      <c r="M10" t="s">
        <v>297</v>
      </c>
      <c r="N10" t="s">
        <v>306</v>
      </c>
      <c r="O10" t="s">
        <v>150</v>
      </c>
      <c r="P10" t="s">
        <v>152</v>
      </c>
    </row>
    <row r="11" spans="1:16" ht="12.75" customHeight="1">
      <c r="A11">
        <v>1</v>
      </c>
      <c r="B11" t="s">
        <v>296</v>
      </c>
      <c r="C11">
        <v>13</v>
      </c>
      <c r="D11" t="s">
        <v>295</v>
      </c>
      <c r="E11" t="s">
        <v>296</v>
      </c>
      <c r="F11" s="2">
        <v>26648</v>
      </c>
      <c r="G11" s="2">
        <v>28901</v>
      </c>
      <c r="H11" s="2">
        <v>39285</v>
      </c>
      <c r="I11" s="5">
        <v>39141</v>
      </c>
      <c r="J11" s="2">
        <v>38997</v>
      </c>
      <c r="K11" s="2">
        <v>36299</v>
      </c>
      <c r="L11" t="s">
        <v>297</v>
      </c>
      <c r="M11" t="s">
        <v>297</v>
      </c>
      <c r="N11" t="s">
        <v>307</v>
      </c>
      <c r="O11" t="s">
        <v>150</v>
      </c>
      <c r="P11" t="s">
        <v>152</v>
      </c>
    </row>
    <row r="12" spans="1:16" ht="12.75" customHeight="1">
      <c r="A12">
        <v>1</v>
      </c>
      <c r="B12" t="s">
        <v>296</v>
      </c>
      <c r="C12">
        <v>40</v>
      </c>
      <c r="D12" t="s">
        <v>295</v>
      </c>
      <c r="E12" t="s">
        <v>296</v>
      </c>
      <c r="F12" s="2">
        <v>26830</v>
      </c>
      <c r="G12" s="2">
        <v>26830</v>
      </c>
      <c r="H12" s="2">
        <v>39290</v>
      </c>
      <c r="I12" s="5">
        <v>39629</v>
      </c>
      <c r="J12" s="2">
        <v>34654</v>
      </c>
      <c r="K12" s="2">
        <v>39310</v>
      </c>
      <c r="L12" t="s">
        <v>297</v>
      </c>
      <c r="M12" t="s">
        <v>297</v>
      </c>
      <c r="N12" t="s">
        <v>308</v>
      </c>
      <c r="O12" t="s">
        <v>150</v>
      </c>
      <c r="P12" t="s">
        <v>152</v>
      </c>
    </row>
    <row r="13" spans="1:16" ht="12.75" customHeight="1">
      <c r="A13">
        <v>1</v>
      </c>
      <c r="B13" t="s">
        <v>296</v>
      </c>
      <c r="C13">
        <v>60</v>
      </c>
      <c r="D13" t="s">
        <v>295</v>
      </c>
      <c r="E13" t="s">
        <v>296</v>
      </c>
      <c r="F13" s="2">
        <v>27591</v>
      </c>
      <c r="G13" s="2">
        <v>27591</v>
      </c>
      <c r="H13" s="2">
        <v>39231</v>
      </c>
      <c r="I13" s="5">
        <v>39263</v>
      </c>
      <c r="J13" s="2">
        <v>34654</v>
      </c>
      <c r="K13" s="2">
        <v>39169</v>
      </c>
      <c r="L13" t="s">
        <v>297</v>
      </c>
      <c r="M13" t="s">
        <v>297</v>
      </c>
      <c r="N13" t="s">
        <v>309</v>
      </c>
      <c r="O13" t="s">
        <v>150</v>
      </c>
      <c r="P13" t="s">
        <v>152</v>
      </c>
    </row>
    <row r="14" spans="1:16" ht="12.75" customHeight="1">
      <c r="A14">
        <v>1</v>
      </c>
      <c r="B14" t="s">
        <v>296</v>
      </c>
      <c r="C14">
        <v>88</v>
      </c>
      <c r="D14" t="s">
        <v>295</v>
      </c>
      <c r="E14" t="s">
        <v>296</v>
      </c>
      <c r="F14" s="2">
        <v>27590</v>
      </c>
      <c r="G14" s="2">
        <v>27957</v>
      </c>
      <c r="H14" s="2">
        <v>39295</v>
      </c>
      <c r="I14" s="5">
        <v>39629</v>
      </c>
      <c r="J14" s="2">
        <v>37904</v>
      </c>
      <c r="K14" s="2">
        <v>38607</v>
      </c>
      <c r="L14" t="s">
        <v>297</v>
      </c>
      <c r="M14" t="s">
        <v>297</v>
      </c>
      <c r="N14" t="s">
        <v>310</v>
      </c>
      <c r="O14" t="s">
        <v>150</v>
      </c>
      <c r="P14" t="s">
        <v>152</v>
      </c>
    </row>
    <row r="15" spans="1:16" ht="12.75" customHeight="1">
      <c r="A15">
        <v>1</v>
      </c>
      <c r="B15" t="s">
        <v>296</v>
      </c>
      <c r="C15">
        <v>98</v>
      </c>
      <c r="D15" t="s">
        <v>295</v>
      </c>
      <c r="E15" t="s">
        <v>296</v>
      </c>
      <c r="F15" s="2">
        <v>27785</v>
      </c>
      <c r="G15" s="2">
        <v>28981</v>
      </c>
      <c r="H15" s="2">
        <v>39164</v>
      </c>
      <c r="I15" s="5">
        <v>39629</v>
      </c>
      <c r="J15" s="2">
        <v>38897</v>
      </c>
      <c r="K15" s="2">
        <v>39162</v>
      </c>
      <c r="L15" t="s">
        <v>297</v>
      </c>
      <c r="M15" t="s">
        <v>297</v>
      </c>
      <c r="N15" t="s">
        <v>311</v>
      </c>
      <c r="O15" t="s">
        <v>150</v>
      </c>
      <c r="P15" t="s">
        <v>152</v>
      </c>
    </row>
    <row r="16" spans="1:16" ht="12.75" customHeight="1">
      <c r="A16">
        <v>1</v>
      </c>
      <c r="B16" t="s">
        <v>296</v>
      </c>
      <c r="C16">
        <v>214</v>
      </c>
      <c r="D16" t="s">
        <v>295</v>
      </c>
      <c r="E16" t="s">
        <v>296</v>
      </c>
      <c r="F16" s="2">
        <v>29205</v>
      </c>
      <c r="G16" s="2">
        <v>29089</v>
      </c>
      <c r="H16" s="2">
        <v>39444</v>
      </c>
      <c r="I16" s="5">
        <v>38045</v>
      </c>
      <c r="J16" s="2">
        <v>38918</v>
      </c>
      <c r="K16" s="2">
        <v>36286</v>
      </c>
      <c r="L16" t="s">
        <v>297</v>
      </c>
      <c r="M16" t="s">
        <v>297</v>
      </c>
      <c r="N16" t="s">
        <v>312</v>
      </c>
      <c r="O16" t="s">
        <v>150</v>
      </c>
      <c r="P16" t="s">
        <v>152</v>
      </c>
    </row>
    <row r="17" spans="1:16" ht="12.75" customHeight="1">
      <c r="A17">
        <v>1</v>
      </c>
      <c r="B17" t="s">
        <v>296</v>
      </c>
      <c r="C17">
        <v>908</v>
      </c>
      <c r="D17" t="s">
        <v>295</v>
      </c>
      <c r="E17" t="s">
        <v>296</v>
      </c>
      <c r="F17" s="2">
        <v>34208</v>
      </c>
      <c r="G17" s="2">
        <v>35356</v>
      </c>
      <c r="H17" s="2">
        <v>39235</v>
      </c>
      <c r="I17" s="5">
        <v>39629</v>
      </c>
      <c r="J17" s="2">
        <v>38897</v>
      </c>
      <c r="K17" s="2">
        <v>35860</v>
      </c>
      <c r="L17" t="s">
        <v>297</v>
      </c>
      <c r="M17" t="s">
        <v>297</v>
      </c>
      <c r="N17" t="s">
        <v>313</v>
      </c>
      <c r="O17" t="s">
        <v>150</v>
      </c>
      <c r="P17" t="s">
        <v>152</v>
      </c>
    </row>
    <row r="18" spans="1:16" ht="12.75" customHeight="1">
      <c r="A18">
        <v>1</v>
      </c>
      <c r="B18" t="s">
        <v>296</v>
      </c>
      <c r="C18">
        <v>1304</v>
      </c>
      <c r="D18" t="s">
        <v>295</v>
      </c>
      <c r="E18" t="s">
        <v>296</v>
      </c>
      <c r="F18" s="2">
        <v>36333</v>
      </c>
      <c r="G18" s="2">
        <v>36903</v>
      </c>
      <c r="H18" s="2">
        <v>39314</v>
      </c>
      <c r="I18" s="5">
        <v>37103</v>
      </c>
      <c r="L18" t="s">
        <v>297</v>
      </c>
      <c r="N18" t="s">
        <v>314</v>
      </c>
      <c r="O18" t="s">
        <v>150</v>
      </c>
      <c r="P18" t="s">
        <v>152</v>
      </c>
    </row>
    <row r="19" spans="1:16" ht="12.75" customHeight="1">
      <c r="A19">
        <v>1</v>
      </c>
      <c r="B19" t="s">
        <v>296</v>
      </c>
      <c r="C19">
        <v>1375</v>
      </c>
      <c r="D19" t="s">
        <v>315</v>
      </c>
      <c r="E19" t="s">
        <v>316</v>
      </c>
      <c r="F19" s="2">
        <v>36983</v>
      </c>
      <c r="H19" s="2">
        <v>36983</v>
      </c>
      <c r="L19" t="s">
        <v>317</v>
      </c>
      <c r="M19" t="s">
        <v>297</v>
      </c>
      <c r="N19" t="s">
        <v>318</v>
      </c>
      <c r="O19" t="s">
        <v>150</v>
      </c>
      <c r="P19" t="s">
        <v>152</v>
      </c>
    </row>
    <row r="20" spans="1:16" ht="12.75" customHeight="1">
      <c r="A20">
        <v>1</v>
      </c>
      <c r="B20" t="s">
        <v>296</v>
      </c>
      <c r="C20">
        <v>1376</v>
      </c>
      <c r="D20" t="s">
        <v>295</v>
      </c>
      <c r="E20" t="s">
        <v>299</v>
      </c>
      <c r="F20" s="2">
        <v>36983</v>
      </c>
      <c r="H20" s="2">
        <v>36983</v>
      </c>
      <c r="L20" t="s">
        <v>317</v>
      </c>
      <c r="M20" t="s">
        <v>297</v>
      </c>
      <c r="N20" t="s">
        <v>318</v>
      </c>
      <c r="O20" t="s">
        <v>150</v>
      </c>
      <c r="P20" t="s">
        <v>152</v>
      </c>
    </row>
    <row r="21" spans="1:16" ht="12.75" customHeight="1">
      <c r="A21">
        <v>1</v>
      </c>
      <c r="B21" t="s">
        <v>296</v>
      </c>
      <c r="C21">
        <v>1377</v>
      </c>
      <c r="D21" t="s">
        <v>295</v>
      </c>
      <c r="E21" t="s">
        <v>299</v>
      </c>
      <c r="F21" s="2">
        <v>36983</v>
      </c>
      <c r="H21" s="2">
        <v>36983</v>
      </c>
      <c r="L21" t="s">
        <v>317</v>
      </c>
      <c r="M21" t="s">
        <v>297</v>
      </c>
      <c r="N21" t="s">
        <v>319</v>
      </c>
      <c r="O21" t="s">
        <v>150</v>
      </c>
      <c r="P21" t="s">
        <v>152</v>
      </c>
    </row>
    <row r="22" spans="1:16" ht="12.75" customHeight="1">
      <c r="A22">
        <v>1</v>
      </c>
      <c r="B22" t="s">
        <v>296</v>
      </c>
      <c r="C22">
        <v>1419</v>
      </c>
      <c r="D22" t="s">
        <v>295</v>
      </c>
      <c r="E22" t="s">
        <v>299</v>
      </c>
      <c r="F22" s="2">
        <v>37469</v>
      </c>
      <c r="H22" s="2">
        <v>37469</v>
      </c>
      <c r="I22" s="5">
        <v>37834</v>
      </c>
      <c r="L22" t="s">
        <v>317</v>
      </c>
      <c r="M22" t="s">
        <v>297</v>
      </c>
      <c r="N22" t="s">
        <v>318</v>
      </c>
      <c r="O22" t="s">
        <v>150</v>
      </c>
      <c r="P22" t="s">
        <v>152</v>
      </c>
    </row>
    <row r="23" spans="1:16" ht="12.75" customHeight="1">
      <c r="A23">
        <v>1</v>
      </c>
      <c r="B23" t="s">
        <v>296</v>
      </c>
      <c r="C23">
        <v>1465</v>
      </c>
      <c r="D23" t="s">
        <v>295</v>
      </c>
      <c r="E23" t="s">
        <v>299</v>
      </c>
      <c r="F23" s="2">
        <v>37993</v>
      </c>
      <c r="H23" s="2">
        <v>38006</v>
      </c>
      <c r="I23" s="5">
        <v>38200</v>
      </c>
      <c r="L23" t="s">
        <v>297</v>
      </c>
      <c r="M23" t="s">
        <v>297</v>
      </c>
      <c r="N23" t="s">
        <v>318</v>
      </c>
      <c r="O23" t="s">
        <v>150</v>
      </c>
      <c r="P23" t="s">
        <v>152</v>
      </c>
    </row>
    <row r="24" spans="1:16" ht="12.75" customHeight="1">
      <c r="A24">
        <v>1</v>
      </c>
      <c r="B24" t="s">
        <v>296</v>
      </c>
      <c r="C24">
        <v>1483</v>
      </c>
      <c r="D24" t="s">
        <v>295</v>
      </c>
      <c r="E24" t="s">
        <v>299</v>
      </c>
      <c r="F24" s="2">
        <v>38209</v>
      </c>
      <c r="H24" s="2">
        <v>38264</v>
      </c>
      <c r="I24" s="5">
        <v>38564</v>
      </c>
      <c r="L24" t="s">
        <v>297</v>
      </c>
      <c r="M24" t="s">
        <v>297</v>
      </c>
      <c r="N24" t="s">
        <v>320</v>
      </c>
      <c r="O24" t="s">
        <v>150</v>
      </c>
      <c r="P24" t="s">
        <v>152</v>
      </c>
    </row>
    <row r="25" spans="1:16" ht="12.75" customHeight="1">
      <c r="A25">
        <v>1</v>
      </c>
      <c r="B25" t="s">
        <v>296</v>
      </c>
      <c r="C25">
        <v>1484</v>
      </c>
      <c r="D25" t="s">
        <v>295</v>
      </c>
      <c r="E25" t="s">
        <v>299</v>
      </c>
      <c r="F25" s="2">
        <v>38222</v>
      </c>
      <c r="H25" s="2">
        <v>38264</v>
      </c>
      <c r="L25" t="s">
        <v>297</v>
      </c>
      <c r="M25" t="s">
        <v>297</v>
      </c>
      <c r="N25" t="s">
        <v>321</v>
      </c>
      <c r="O25" t="s">
        <v>150</v>
      </c>
      <c r="P25" t="s">
        <v>152</v>
      </c>
    </row>
    <row r="26" spans="1:16" ht="12.75" customHeight="1">
      <c r="A26">
        <v>1</v>
      </c>
      <c r="B26" t="s">
        <v>296</v>
      </c>
      <c r="C26">
        <v>1490</v>
      </c>
      <c r="D26" t="s">
        <v>295</v>
      </c>
      <c r="E26" t="s">
        <v>299</v>
      </c>
      <c r="F26" s="2">
        <v>38275</v>
      </c>
      <c r="H26" s="2">
        <v>38288</v>
      </c>
      <c r="I26" s="5">
        <v>38534</v>
      </c>
      <c r="L26" t="s">
        <v>297</v>
      </c>
      <c r="M26" t="s">
        <v>322</v>
      </c>
      <c r="N26" t="s">
        <v>323</v>
      </c>
      <c r="O26" t="s">
        <v>150</v>
      </c>
      <c r="P26" t="s">
        <v>152</v>
      </c>
    </row>
    <row r="27" spans="1:16" ht="12.75" customHeight="1">
      <c r="A27">
        <v>1</v>
      </c>
      <c r="B27" t="s">
        <v>296</v>
      </c>
      <c r="C27">
        <v>1491</v>
      </c>
      <c r="D27" t="s">
        <v>295</v>
      </c>
      <c r="E27" t="s">
        <v>299</v>
      </c>
      <c r="F27" s="2">
        <v>38275</v>
      </c>
      <c r="H27" s="2">
        <v>38287</v>
      </c>
      <c r="I27" s="5">
        <v>38534</v>
      </c>
      <c r="L27" t="s">
        <v>317</v>
      </c>
      <c r="M27" t="s">
        <v>297</v>
      </c>
      <c r="N27" t="s">
        <v>324</v>
      </c>
      <c r="O27" t="s">
        <v>150</v>
      </c>
      <c r="P27" t="s">
        <v>152</v>
      </c>
    </row>
    <row r="28" spans="1:16" ht="12.75" customHeight="1">
      <c r="A28" t="s">
        <v>150</v>
      </c>
      <c r="B28" t="s">
        <v>152</v>
      </c>
    </row>
    <row r="29" spans="1:16" ht="12.75" customHeight="1">
      <c r="A29">
        <v>1</v>
      </c>
      <c r="B29" t="s">
        <v>153</v>
      </c>
      <c r="C29">
        <v>7</v>
      </c>
      <c r="D29" t="s">
        <v>295</v>
      </c>
      <c r="E29" t="s">
        <v>296</v>
      </c>
      <c r="F29" s="2">
        <v>26102</v>
      </c>
      <c r="G29" s="2">
        <v>26102</v>
      </c>
      <c r="H29" s="2">
        <v>39223</v>
      </c>
      <c r="I29" s="5">
        <v>38808</v>
      </c>
      <c r="J29" s="2">
        <v>39385</v>
      </c>
      <c r="K29" s="2">
        <v>36266</v>
      </c>
      <c r="L29" t="s">
        <v>297</v>
      </c>
      <c r="M29" t="s">
        <v>297</v>
      </c>
      <c r="N29" t="s">
        <v>325</v>
      </c>
      <c r="O29" t="s">
        <v>150</v>
      </c>
      <c r="P29" t="s">
        <v>154</v>
      </c>
    </row>
    <row r="30" spans="1:16" ht="12.75" customHeight="1">
      <c r="A30">
        <v>1</v>
      </c>
      <c r="B30" t="s">
        <v>153</v>
      </c>
      <c r="C30">
        <v>17</v>
      </c>
      <c r="D30" t="s">
        <v>295</v>
      </c>
      <c r="E30" t="s">
        <v>296</v>
      </c>
      <c r="F30" s="2">
        <v>26102</v>
      </c>
      <c r="G30" s="2">
        <v>26102</v>
      </c>
      <c r="H30" s="2">
        <v>39311</v>
      </c>
      <c r="I30" s="5">
        <v>36525</v>
      </c>
      <c r="J30" s="2">
        <v>39336</v>
      </c>
      <c r="K30" s="2">
        <v>39315</v>
      </c>
      <c r="L30" t="s">
        <v>297</v>
      </c>
      <c r="M30" t="s">
        <v>297</v>
      </c>
      <c r="N30" t="s">
        <v>326</v>
      </c>
      <c r="O30" t="s">
        <v>150</v>
      </c>
      <c r="P30" t="s">
        <v>154</v>
      </c>
    </row>
    <row r="31" spans="1:16" ht="12.75" customHeight="1">
      <c r="A31">
        <v>1</v>
      </c>
      <c r="B31" t="s">
        <v>153</v>
      </c>
      <c r="C31">
        <v>18</v>
      </c>
      <c r="D31" t="s">
        <v>295</v>
      </c>
      <c r="E31" t="s">
        <v>296</v>
      </c>
      <c r="F31" s="2">
        <v>26102</v>
      </c>
      <c r="G31" s="2">
        <v>26102</v>
      </c>
      <c r="H31" s="2">
        <v>39336</v>
      </c>
      <c r="I31" s="5">
        <v>39629</v>
      </c>
      <c r="J31" s="2">
        <v>39336</v>
      </c>
      <c r="K31" s="2">
        <v>36287</v>
      </c>
      <c r="L31" t="s">
        <v>297</v>
      </c>
      <c r="M31" t="s">
        <v>297</v>
      </c>
      <c r="N31" t="s">
        <v>327</v>
      </c>
      <c r="O31" t="s">
        <v>150</v>
      </c>
      <c r="P31" t="s">
        <v>154</v>
      </c>
    </row>
    <row r="32" spans="1:16" ht="12.75" customHeight="1">
      <c r="A32">
        <v>1</v>
      </c>
      <c r="B32" t="s">
        <v>153</v>
      </c>
      <c r="C32">
        <v>21</v>
      </c>
      <c r="D32" t="s">
        <v>295</v>
      </c>
      <c r="E32" t="s">
        <v>296</v>
      </c>
      <c r="F32" s="2">
        <v>26648</v>
      </c>
      <c r="G32" s="2">
        <v>26648</v>
      </c>
      <c r="H32" s="2">
        <v>39315</v>
      </c>
      <c r="I32" s="5">
        <v>37802</v>
      </c>
      <c r="J32" s="2">
        <v>39321</v>
      </c>
      <c r="K32" s="2">
        <v>37846</v>
      </c>
      <c r="L32" t="s">
        <v>297</v>
      </c>
      <c r="M32" t="s">
        <v>297</v>
      </c>
      <c r="N32" t="s">
        <v>328</v>
      </c>
      <c r="O32" t="s">
        <v>150</v>
      </c>
      <c r="P32" t="s">
        <v>154</v>
      </c>
    </row>
    <row r="33" spans="1:16" ht="12.75" customHeight="1">
      <c r="A33">
        <v>1</v>
      </c>
      <c r="B33" t="s">
        <v>153</v>
      </c>
      <c r="C33">
        <v>34</v>
      </c>
      <c r="D33" t="s">
        <v>295</v>
      </c>
      <c r="E33" t="s">
        <v>296</v>
      </c>
      <c r="F33" s="2">
        <v>26830</v>
      </c>
      <c r="G33" s="2">
        <v>26830</v>
      </c>
      <c r="H33" s="2">
        <v>39311</v>
      </c>
      <c r="I33" s="5">
        <v>39629</v>
      </c>
      <c r="J33" s="2">
        <v>39489</v>
      </c>
      <c r="K33" s="2">
        <v>39017</v>
      </c>
      <c r="L33" t="s">
        <v>297</v>
      </c>
      <c r="M33" t="s">
        <v>297</v>
      </c>
      <c r="N33" t="s">
        <v>329</v>
      </c>
      <c r="O33" t="s">
        <v>150</v>
      </c>
      <c r="P33" t="s">
        <v>154</v>
      </c>
    </row>
    <row r="34" spans="1:16" ht="12.75" customHeight="1">
      <c r="A34">
        <v>1</v>
      </c>
      <c r="B34" t="s">
        <v>153</v>
      </c>
      <c r="C34">
        <v>92</v>
      </c>
      <c r="D34" t="s">
        <v>295</v>
      </c>
      <c r="E34" t="s">
        <v>296</v>
      </c>
      <c r="F34" s="2">
        <v>27785</v>
      </c>
      <c r="G34" s="2">
        <v>28093</v>
      </c>
      <c r="H34" s="2">
        <v>39269</v>
      </c>
      <c r="I34" s="5">
        <v>39263</v>
      </c>
      <c r="J34" s="2">
        <v>39288</v>
      </c>
      <c r="K34" s="2">
        <v>38105</v>
      </c>
      <c r="L34" t="s">
        <v>297</v>
      </c>
      <c r="M34" t="s">
        <v>297</v>
      </c>
      <c r="N34" t="s">
        <v>330</v>
      </c>
      <c r="O34" t="s">
        <v>150</v>
      </c>
      <c r="P34" t="s">
        <v>154</v>
      </c>
    </row>
    <row r="35" spans="1:16" ht="12.75" customHeight="1">
      <c r="A35">
        <v>1</v>
      </c>
      <c r="B35" t="s">
        <v>153</v>
      </c>
      <c r="C35">
        <v>1345</v>
      </c>
      <c r="D35" t="s">
        <v>295</v>
      </c>
      <c r="E35" t="s">
        <v>296</v>
      </c>
      <c r="F35" s="2">
        <v>36669</v>
      </c>
      <c r="G35" s="2">
        <v>38426</v>
      </c>
      <c r="H35" s="2">
        <v>39356</v>
      </c>
      <c r="I35" s="5">
        <v>37836</v>
      </c>
      <c r="J35" s="2">
        <v>39336</v>
      </c>
      <c r="L35" t="s">
        <v>297</v>
      </c>
      <c r="M35" t="s">
        <v>297</v>
      </c>
      <c r="N35" t="s">
        <v>331</v>
      </c>
      <c r="O35" t="s">
        <v>150</v>
      </c>
      <c r="P35" t="s">
        <v>154</v>
      </c>
    </row>
    <row r="36" spans="1:16" ht="12.75" customHeight="1">
      <c r="A36" t="s">
        <v>150</v>
      </c>
      <c r="B36" t="s">
        <v>154</v>
      </c>
    </row>
    <row r="37" spans="1:16" ht="12.75" customHeight="1">
      <c r="A37">
        <v>1</v>
      </c>
      <c r="B37" t="s">
        <v>155</v>
      </c>
      <c r="C37">
        <v>6</v>
      </c>
      <c r="D37" t="s">
        <v>295</v>
      </c>
      <c r="E37" t="s">
        <v>296</v>
      </c>
      <c r="F37" s="2">
        <v>26648</v>
      </c>
      <c r="G37" s="2">
        <v>28901</v>
      </c>
      <c r="H37" s="2">
        <v>39464</v>
      </c>
      <c r="I37" s="5">
        <v>39263</v>
      </c>
      <c r="K37" s="2">
        <v>38559</v>
      </c>
      <c r="L37" t="s">
        <v>297</v>
      </c>
      <c r="M37" t="s">
        <v>297</v>
      </c>
      <c r="N37" t="s">
        <v>332</v>
      </c>
      <c r="O37" t="s">
        <v>150</v>
      </c>
      <c r="P37" t="s">
        <v>156</v>
      </c>
    </row>
    <row r="38" spans="1:16" ht="12.75" customHeight="1">
      <c r="A38">
        <v>1</v>
      </c>
      <c r="B38" t="s">
        <v>155</v>
      </c>
      <c r="C38">
        <v>10</v>
      </c>
      <c r="D38" t="s">
        <v>295</v>
      </c>
      <c r="E38" t="s">
        <v>296</v>
      </c>
      <c r="F38" s="2">
        <v>26102</v>
      </c>
      <c r="G38" s="2">
        <v>26102</v>
      </c>
      <c r="H38" s="2">
        <v>39237</v>
      </c>
      <c r="I38" s="5">
        <v>39506</v>
      </c>
      <c r="J38" s="2">
        <v>36799</v>
      </c>
      <c r="K38" s="2">
        <v>35592</v>
      </c>
      <c r="L38" t="s">
        <v>297</v>
      </c>
      <c r="M38" t="s">
        <v>297</v>
      </c>
      <c r="N38" t="s">
        <v>333</v>
      </c>
      <c r="O38" t="s">
        <v>150</v>
      </c>
      <c r="P38" t="s">
        <v>156</v>
      </c>
    </row>
    <row r="39" spans="1:16" ht="12.75" customHeight="1">
      <c r="A39">
        <v>1</v>
      </c>
      <c r="B39" t="s">
        <v>155</v>
      </c>
      <c r="C39">
        <v>12</v>
      </c>
      <c r="D39" t="s">
        <v>295</v>
      </c>
      <c r="E39" t="s">
        <v>296</v>
      </c>
      <c r="F39" s="2">
        <v>26102</v>
      </c>
      <c r="G39" s="2">
        <v>26102</v>
      </c>
      <c r="H39" s="2">
        <v>39520</v>
      </c>
      <c r="I39" s="5">
        <v>39141</v>
      </c>
      <c r="J39" s="2">
        <v>37848</v>
      </c>
      <c r="K39" s="2">
        <v>39317</v>
      </c>
      <c r="L39" t="s">
        <v>297</v>
      </c>
      <c r="M39" t="s">
        <v>297</v>
      </c>
      <c r="N39" t="s">
        <v>334</v>
      </c>
      <c r="O39" t="s">
        <v>150</v>
      </c>
      <c r="P39" t="s">
        <v>156</v>
      </c>
    </row>
    <row r="40" spans="1:16" ht="12.75" customHeight="1">
      <c r="A40">
        <v>1</v>
      </c>
      <c r="B40" t="s">
        <v>155</v>
      </c>
      <c r="C40">
        <v>14</v>
      </c>
      <c r="D40" t="s">
        <v>295</v>
      </c>
      <c r="E40" t="s">
        <v>296</v>
      </c>
      <c r="F40" s="2">
        <v>26102</v>
      </c>
      <c r="G40" s="2">
        <v>26102</v>
      </c>
      <c r="H40" s="2">
        <v>39181</v>
      </c>
      <c r="I40" s="5">
        <v>38442</v>
      </c>
      <c r="J40" s="2">
        <v>37099</v>
      </c>
      <c r="K40" s="2">
        <v>36258</v>
      </c>
      <c r="L40" t="s">
        <v>297</v>
      </c>
      <c r="M40" t="s">
        <v>297</v>
      </c>
      <c r="N40" t="s">
        <v>335</v>
      </c>
      <c r="O40" t="s">
        <v>150</v>
      </c>
      <c r="P40" t="s">
        <v>156</v>
      </c>
    </row>
    <row r="41" spans="1:16" ht="12.75" customHeight="1">
      <c r="A41">
        <v>1</v>
      </c>
      <c r="B41" t="s">
        <v>155</v>
      </c>
      <c r="C41">
        <v>15</v>
      </c>
      <c r="D41" t="s">
        <v>295</v>
      </c>
      <c r="E41" t="s">
        <v>296</v>
      </c>
      <c r="F41" s="2">
        <v>26102</v>
      </c>
      <c r="G41" s="2">
        <v>26102</v>
      </c>
      <c r="H41" s="2">
        <v>39419</v>
      </c>
      <c r="I41" s="5">
        <v>38898</v>
      </c>
      <c r="J41" s="2">
        <v>39498</v>
      </c>
      <c r="K41" s="2">
        <v>34114</v>
      </c>
      <c r="L41" t="s">
        <v>297</v>
      </c>
      <c r="M41" t="s">
        <v>297</v>
      </c>
      <c r="N41" t="s">
        <v>336</v>
      </c>
      <c r="O41" t="s">
        <v>150</v>
      </c>
      <c r="P41" t="s">
        <v>156</v>
      </c>
    </row>
    <row r="42" spans="1:16" ht="12.75" customHeight="1">
      <c r="A42">
        <v>1</v>
      </c>
      <c r="B42" t="s">
        <v>155</v>
      </c>
      <c r="C42">
        <v>16</v>
      </c>
      <c r="D42" t="s">
        <v>295</v>
      </c>
      <c r="E42" t="s">
        <v>296</v>
      </c>
      <c r="F42" s="2">
        <v>26102</v>
      </c>
      <c r="G42" s="2">
        <v>26102</v>
      </c>
      <c r="H42" s="2">
        <v>39245</v>
      </c>
      <c r="I42" s="5">
        <v>38807</v>
      </c>
      <c r="J42" s="2">
        <v>35933</v>
      </c>
      <c r="K42" s="2">
        <v>37799</v>
      </c>
      <c r="L42" t="s">
        <v>297</v>
      </c>
      <c r="M42" t="s">
        <v>297</v>
      </c>
      <c r="N42" t="s">
        <v>337</v>
      </c>
      <c r="O42" t="s">
        <v>150</v>
      </c>
      <c r="P42" t="s">
        <v>156</v>
      </c>
    </row>
    <row r="43" spans="1:16" ht="12.75" customHeight="1">
      <c r="A43" t="s">
        <v>150</v>
      </c>
      <c r="B43" t="s">
        <v>156</v>
      </c>
    </row>
    <row r="44" spans="1:16" ht="12.75" customHeight="1">
      <c r="A44">
        <v>1</v>
      </c>
      <c r="B44" t="s">
        <v>157</v>
      </c>
      <c r="C44">
        <v>32</v>
      </c>
      <c r="D44" t="s">
        <v>295</v>
      </c>
      <c r="E44" t="s">
        <v>296</v>
      </c>
      <c r="F44" s="2">
        <v>26830</v>
      </c>
      <c r="G44" s="2">
        <v>26830</v>
      </c>
      <c r="H44" s="2">
        <v>39505</v>
      </c>
      <c r="I44" s="5">
        <v>37072</v>
      </c>
      <c r="J44" s="2">
        <v>30865</v>
      </c>
      <c r="K44" s="2">
        <v>39147</v>
      </c>
      <c r="L44" t="s">
        <v>297</v>
      </c>
      <c r="M44" t="s">
        <v>297</v>
      </c>
      <c r="N44" t="s">
        <v>338</v>
      </c>
      <c r="O44" t="s">
        <v>150</v>
      </c>
      <c r="P44" t="s">
        <v>158</v>
      </c>
    </row>
    <row r="45" spans="1:16" ht="12.75" customHeight="1">
      <c r="A45">
        <v>1</v>
      </c>
      <c r="B45" t="s">
        <v>157</v>
      </c>
      <c r="C45">
        <v>65</v>
      </c>
      <c r="D45" t="s">
        <v>295</v>
      </c>
      <c r="E45" t="s">
        <v>296</v>
      </c>
      <c r="F45" s="2">
        <v>27591</v>
      </c>
      <c r="G45" s="2">
        <v>27591</v>
      </c>
      <c r="H45" s="2">
        <v>39259</v>
      </c>
      <c r="I45" s="5">
        <v>39232</v>
      </c>
      <c r="J45" s="2">
        <v>35217</v>
      </c>
      <c r="K45" s="2">
        <v>35889</v>
      </c>
      <c r="L45" t="s">
        <v>339</v>
      </c>
      <c r="M45" t="s">
        <v>297</v>
      </c>
      <c r="N45" t="s">
        <v>340</v>
      </c>
      <c r="O45" t="s">
        <v>150</v>
      </c>
      <c r="P45" t="s">
        <v>158</v>
      </c>
    </row>
    <row r="46" spans="1:16" ht="12.75" customHeight="1">
      <c r="A46">
        <v>1</v>
      </c>
      <c r="B46" t="s">
        <v>157</v>
      </c>
      <c r="C46">
        <v>66</v>
      </c>
      <c r="D46" t="s">
        <v>295</v>
      </c>
      <c r="E46" t="s">
        <v>296</v>
      </c>
      <c r="F46" s="2">
        <v>27591</v>
      </c>
      <c r="G46" s="2">
        <v>27591</v>
      </c>
      <c r="H46" s="2">
        <v>39164</v>
      </c>
      <c r="I46" s="5">
        <v>39263</v>
      </c>
      <c r="J46" s="2">
        <v>31228</v>
      </c>
      <c r="K46" s="2">
        <v>38674</v>
      </c>
      <c r="L46" t="s">
        <v>297</v>
      </c>
      <c r="M46" t="s">
        <v>297</v>
      </c>
      <c r="N46" t="s">
        <v>341</v>
      </c>
      <c r="O46" t="s">
        <v>150</v>
      </c>
      <c r="P46" t="s">
        <v>158</v>
      </c>
    </row>
    <row r="47" spans="1:16" ht="12.75" customHeight="1">
      <c r="A47">
        <v>1</v>
      </c>
      <c r="B47" t="s">
        <v>157</v>
      </c>
      <c r="C47">
        <v>136</v>
      </c>
      <c r="D47" t="s">
        <v>295</v>
      </c>
      <c r="E47" t="s">
        <v>296</v>
      </c>
      <c r="F47" s="2">
        <v>27922</v>
      </c>
      <c r="G47" s="2">
        <v>28975</v>
      </c>
      <c r="H47" s="2">
        <v>39462</v>
      </c>
      <c r="I47" s="5">
        <v>39629</v>
      </c>
      <c r="J47" s="2">
        <v>33054</v>
      </c>
      <c r="K47" s="2">
        <v>35515</v>
      </c>
      <c r="L47" t="s">
        <v>297</v>
      </c>
      <c r="M47" t="s">
        <v>297</v>
      </c>
      <c r="N47" t="s">
        <v>342</v>
      </c>
      <c r="O47" t="s">
        <v>150</v>
      </c>
      <c r="P47" t="s">
        <v>158</v>
      </c>
    </row>
    <row r="48" spans="1:16" ht="12.75" customHeight="1">
      <c r="A48" t="s">
        <v>150</v>
      </c>
      <c r="B48" t="s">
        <v>158</v>
      </c>
    </row>
    <row r="49" spans="1:16" ht="12.75" customHeight="1">
      <c r="A49">
        <v>1</v>
      </c>
      <c r="B49" t="s">
        <v>159</v>
      </c>
      <c r="C49">
        <v>80</v>
      </c>
      <c r="D49" t="s">
        <v>295</v>
      </c>
      <c r="E49" t="s">
        <v>296</v>
      </c>
      <c r="F49" s="2">
        <v>27591</v>
      </c>
      <c r="G49" s="2">
        <v>27886</v>
      </c>
      <c r="H49" s="2">
        <v>39363</v>
      </c>
      <c r="I49" s="5">
        <v>39629</v>
      </c>
      <c r="J49" s="2">
        <v>38996</v>
      </c>
      <c r="K49" s="2">
        <v>38898</v>
      </c>
      <c r="L49" t="s">
        <v>297</v>
      </c>
      <c r="M49" t="s">
        <v>297</v>
      </c>
      <c r="N49" t="s">
        <v>343</v>
      </c>
      <c r="O49" t="s">
        <v>150</v>
      </c>
      <c r="P49" t="s">
        <v>160</v>
      </c>
    </row>
    <row r="50" spans="1:16" ht="12.75" customHeight="1">
      <c r="A50">
        <v>1</v>
      </c>
      <c r="B50" t="s">
        <v>159</v>
      </c>
      <c r="C50">
        <v>443</v>
      </c>
      <c r="D50" t="s">
        <v>295</v>
      </c>
      <c r="E50" t="s">
        <v>296</v>
      </c>
      <c r="F50" s="2">
        <v>30919</v>
      </c>
      <c r="G50" s="2">
        <v>31374</v>
      </c>
      <c r="H50" s="2">
        <v>39323</v>
      </c>
      <c r="I50" s="5">
        <v>39263</v>
      </c>
      <c r="J50" s="2">
        <v>38996</v>
      </c>
      <c r="K50" s="2">
        <v>39336</v>
      </c>
      <c r="L50" t="s">
        <v>297</v>
      </c>
      <c r="M50" t="s">
        <v>297</v>
      </c>
      <c r="N50" t="s">
        <v>344</v>
      </c>
      <c r="O50" t="s">
        <v>150</v>
      </c>
      <c r="P50" t="s">
        <v>160</v>
      </c>
    </row>
    <row r="51" spans="1:16" ht="12.75" customHeight="1">
      <c r="A51">
        <v>1</v>
      </c>
      <c r="B51" t="s">
        <v>159</v>
      </c>
      <c r="C51">
        <v>588</v>
      </c>
      <c r="D51" t="s">
        <v>295</v>
      </c>
      <c r="E51" t="s">
        <v>296</v>
      </c>
      <c r="F51" s="2">
        <v>31857</v>
      </c>
      <c r="G51" s="2">
        <v>32826</v>
      </c>
      <c r="H51" s="2">
        <v>39233</v>
      </c>
      <c r="I51" s="5">
        <v>39629</v>
      </c>
      <c r="J51" s="2">
        <v>39321</v>
      </c>
      <c r="K51" s="2">
        <v>38587</v>
      </c>
      <c r="L51" t="s">
        <v>297</v>
      </c>
      <c r="M51" t="s">
        <v>297</v>
      </c>
      <c r="N51" t="s">
        <v>345</v>
      </c>
      <c r="O51" t="s">
        <v>150</v>
      </c>
      <c r="P51" t="s">
        <v>160</v>
      </c>
    </row>
    <row r="52" spans="1:16" ht="12.75" customHeight="1">
      <c r="A52">
        <v>1</v>
      </c>
      <c r="B52" t="s">
        <v>159</v>
      </c>
      <c r="C52">
        <v>813</v>
      </c>
      <c r="D52" t="s">
        <v>295</v>
      </c>
      <c r="E52" t="s">
        <v>296</v>
      </c>
      <c r="F52" s="2">
        <v>33544</v>
      </c>
      <c r="G52" s="2">
        <v>34269</v>
      </c>
      <c r="H52" s="2">
        <v>39337</v>
      </c>
      <c r="I52" s="5">
        <v>39263</v>
      </c>
      <c r="J52" s="2">
        <v>39321</v>
      </c>
      <c r="K52" s="2">
        <v>39336</v>
      </c>
      <c r="L52" t="s">
        <v>297</v>
      </c>
      <c r="M52" t="s">
        <v>297</v>
      </c>
      <c r="N52" t="s">
        <v>346</v>
      </c>
      <c r="O52" t="s">
        <v>150</v>
      </c>
      <c r="P52" t="s">
        <v>160</v>
      </c>
    </row>
    <row r="53" spans="1:16" ht="12.75" customHeight="1">
      <c r="A53">
        <v>1</v>
      </c>
      <c r="B53" t="s">
        <v>159</v>
      </c>
      <c r="C53">
        <v>1200</v>
      </c>
      <c r="D53" t="s">
        <v>295</v>
      </c>
      <c r="E53" t="s">
        <v>296</v>
      </c>
      <c r="F53" s="2">
        <v>35601</v>
      </c>
      <c r="G53" s="2">
        <v>35874</v>
      </c>
      <c r="H53" s="2">
        <v>39474</v>
      </c>
      <c r="I53" s="5">
        <v>39629</v>
      </c>
      <c r="J53" s="2">
        <v>39321</v>
      </c>
      <c r="K53" s="2">
        <v>39351</v>
      </c>
      <c r="L53" t="s">
        <v>297</v>
      </c>
      <c r="M53" t="s">
        <v>297</v>
      </c>
      <c r="N53" t="s">
        <v>347</v>
      </c>
      <c r="O53" t="s">
        <v>150</v>
      </c>
      <c r="P53" t="s">
        <v>160</v>
      </c>
    </row>
    <row r="54" spans="1:16" ht="12.75" customHeight="1">
      <c r="A54">
        <v>1</v>
      </c>
      <c r="B54" t="s">
        <v>159</v>
      </c>
      <c r="C54">
        <v>1394</v>
      </c>
      <c r="D54" t="s">
        <v>348</v>
      </c>
      <c r="E54" t="s">
        <v>316</v>
      </c>
      <c r="F54" s="2">
        <v>37175</v>
      </c>
      <c r="H54" s="2">
        <v>37175</v>
      </c>
      <c r="I54" s="5">
        <v>37540</v>
      </c>
      <c r="L54" t="s">
        <v>317</v>
      </c>
      <c r="M54" t="s">
        <v>297</v>
      </c>
    </row>
    <row r="55" spans="1:16" ht="12.75" customHeight="1">
      <c r="A55" t="s">
        <v>150</v>
      </c>
      <c r="B55" t="s">
        <v>160</v>
      </c>
    </row>
    <row r="56" spans="1:16" ht="12.75" customHeight="1">
      <c r="A56">
        <v>1</v>
      </c>
      <c r="B56" t="s">
        <v>322</v>
      </c>
      <c r="C56">
        <v>50</v>
      </c>
      <c r="D56" t="s">
        <v>295</v>
      </c>
      <c r="E56" t="s">
        <v>296</v>
      </c>
      <c r="F56" s="2">
        <v>27275</v>
      </c>
      <c r="G56" s="2">
        <v>27591</v>
      </c>
      <c r="H56" s="2">
        <v>38932</v>
      </c>
      <c r="I56" s="5">
        <v>36737</v>
      </c>
      <c r="J56" s="2">
        <v>37202</v>
      </c>
      <c r="K56" s="2">
        <v>36371</v>
      </c>
      <c r="L56" t="s">
        <v>297</v>
      </c>
      <c r="M56" t="s">
        <v>297</v>
      </c>
      <c r="N56" t="s">
        <v>349</v>
      </c>
      <c r="O56" t="s">
        <v>150</v>
      </c>
      <c r="P56" t="s">
        <v>161</v>
      </c>
    </row>
    <row r="57" spans="1:16" ht="12.75" customHeight="1">
      <c r="A57">
        <v>1</v>
      </c>
      <c r="B57" t="s">
        <v>322</v>
      </c>
      <c r="C57">
        <v>130</v>
      </c>
      <c r="D57" t="s">
        <v>295</v>
      </c>
      <c r="E57" t="s">
        <v>296</v>
      </c>
      <c r="F57" s="2">
        <v>27922</v>
      </c>
      <c r="G57" s="2">
        <v>28607</v>
      </c>
      <c r="H57" s="2">
        <v>39240</v>
      </c>
      <c r="I57" s="5">
        <v>39629</v>
      </c>
      <c r="J57" s="2">
        <v>36817</v>
      </c>
      <c r="K57" s="2">
        <v>36427</v>
      </c>
      <c r="L57" t="s">
        <v>297</v>
      </c>
      <c r="M57" t="s">
        <v>297</v>
      </c>
      <c r="N57" t="s">
        <v>350</v>
      </c>
      <c r="O57" t="s">
        <v>150</v>
      </c>
      <c r="P57" t="s">
        <v>161</v>
      </c>
    </row>
    <row r="58" spans="1:16" ht="12.75" customHeight="1">
      <c r="A58">
        <v>1</v>
      </c>
      <c r="B58" t="s">
        <v>322</v>
      </c>
      <c r="C58">
        <v>137</v>
      </c>
      <c r="D58" t="s">
        <v>295</v>
      </c>
      <c r="E58" t="s">
        <v>296</v>
      </c>
      <c r="F58" s="2">
        <v>28093</v>
      </c>
      <c r="G58" s="2">
        <v>28618</v>
      </c>
      <c r="H58" s="2">
        <v>39465</v>
      </c>
      <c r="I58" s="5">
        <v>37802</v>
      </c>
      <c r="J58" s="2">
        <v>36817</v>
      </c>
      <c r="K58" s="2">
        <v>36347</v>
      </c>
      <c r="L58" t="s">
        <v>322</v>
      </c>
      <c r="M58" t="s">
        <v>297</v>
      </c>
      <c r="N58" t="s">
        <v>351</v>
      </c>
      <c r="O58" t="s">
        <v>150</v>
      </c>
      <c r="P58" t="s">
        <v>161</v>
      </c>
    </row>
    <row r="59" spans="1:16" ht="12.75" customHeight="1">
      <c r="A59">
        <v>1</v>
      </c>
      <c r="B59" t="s">
        <v>322</v>
      </c>
      <c r="C59">
        <v>165</v>
      </c>
      <c r="D59" t="s">
        <v>295</v>
      </c>
      <c r="E59" t="s">
        <v>296</v>
      </c>
      <c r="F59" s="2">
        <v>28296</v>
      </c>
      <c r="G59" s="2">
        <v>28986</v>
      </c>
      <c r="H59" s="2">
        <v>39274</v>
      </c>
      <c r="I59" s="5">
        <v>37072</v>
      </c>
      <c r="J59" s="2">
        <v>36817</v>
      </c>
      <c r="K59" s="2">
        <v>38944</v>
      </c>
      <c r="L59" t="s">
        <v>297</v>
      </c>
      <c r="M59" t="s">
        <v>297</v>
      </c>
      <c r="N59" t="s">
        <v>352</v>
      </c>
      <c r="O59" t="s">
        <v>150</v>
      </c>
      <c r="P59" t="s">
        <v>161</v>
      </c>
    </row>
    <row r="60" spans="1:16" ht="12.75" customHeight="1">
      <c r="A60">
        <v>1</v>
      </c>
      <c r="B60" t="s">
        <v>322</v>
      </c>
      <c r="C60">
        <v>641</v>
      </c>
      <c r="D60" t="s">
        <v>295</v>
      </c>
      <c r="E60" t="s">
        <v>296</v>
      </c>
      <c r="F60" s="2">
        <v>32293</v>
      </c>
      <c r="G60" s="2">
        <v>32816</v>
      </c>
      <c r="H60" s="2">
        <v>39512</v>
      </c>
      <c r="I60" s="5">
        <v>36635</v>
      </c>
      <c r="J60" s="2">
        <v>36817</v>
      </c>
      <c r="K60" s="2">
        <v>36374</v>
      </c>
      <c r="L60" t="s">
        <v>297</v>
      </c>
      <c r="M60" t="s">
        <v>297</v>
      </c>
      <c r="N60" t="s">
        <v>353</v>
      </c>
      <c r="O60" t="s">
        <v>150</v>
      </c>
      <c r="P60" t="s">
        <v>161</v>
      </c>
    </row>
    <row r="61" spans="1:16" ht="12.75" customHeight="1">
      <c r="A61">
        <v>1</v>
      </c>
      <c r="B61" t="s">
        <v>322</v>
      </c>
      <c r="C61">
        <v>797</v>
      </c>
      <c r="D61" t="s">
        <v>295</v>
      </c>
      <c r="E61" t="s">
        <v>296</v>
      </c>
      <c r="F61" s="2">
        <v>33452</v>
      </c>
      <c r="G61" s="2">
        <v>34051</v>
      </c>
      <c r="H61" s="2">
        <v>38918</v>
      </c>
      <c r="I61" s="5">
        <v>39629</v>
      </c>
      <c r="J61" s="2">
        <v>36388</v>
      </c>
      <c r="K61" s="2">
        <v>38918</v>
      </c>
      <c r="L61" t="s">
        <v>297</v>
      </c>
      <c r="M61" t="s">
        <v>297</v>
      </c>
      <c r="N61" t="s">
        <v>354</v>
      </c>
      <c r="O61" t="s">
        <v>150</v>
      </c>
      <c r="P61" t="s">
        <v>161</v>
      </c>
    </row>
    <row r="62" spans="1:16" ht="12.75" customHeight="1">
      <c r="A62" t="s">
        <v>150</v>
      </c>
      <c r="B62" t="s">
        <v>161</v>
      </c>
    </row>
    <row r="63" spans="1:16" ht="12.75" customHeight="1">
      <c r="A63">
        <v>1</v>
      </c>
      <c r="B63" t="s">
        <v>299</v>
      </c>
      <c r="C63">
        <v>19</v>
      </c>
      <c r="D63" t="s">
        <v>295</v>
      </c>
      <c r="E63" t="s">
        <v>296</v>
      </c>
      <c r="F63" s="2">
        <v>26648</v>
      </c>
      <c r="G63" s="2">
        <v>26648</v>
      </c>
      <c r="H63" s="2">
        <v>39084</v>
      </c>
      <c r="I63" s="5">
        <v>39263</v>
      </c>
      <c r="K63" s="2">
        <v>38617</v>
      </c>
      <c r="L63" t="s">
        <v>297</v>
      </c>
      <c r="M63" t="s">
        <v>297</v>
      </c>
      <c r="N63" t="s">
        <v>355</v>
      </c>
      <c r="O63" t="s">
        <v>150</v>
      </c>
      <c r="P63" t="s">
        <v>162</v>
      </c>
    </row>
    <row r="64" spans="1:16" ht="12.75" customHeight="1">
      <c r="A64">
        <v>1</v>
      </c>
      <c r="B64" t="s">
        <v>299</v>
      </c>
      <c r="C64">
        <v>20</v>
      </c>
      <c r="D64" t="s">
        <v>295</v>
      </c>
      <c r="E64" t="s">
        <v>296</v>
      </c>
      <c r="F64" s="2">
        <v>26648</v>
      </c>
      <c r="G64" s="2">
        <v>26648</v>
      </c>
      <c r="H64" s="2">
        <v>39525</v>
      </c>
      <c r="J64" s="2">
        <v>38392</v>
      </c>
      <c r="K64" s="2">
        <v>34431</v>
      </c>
      <c r="L64" t="s">
        <v>297</v>
      </c>
      <c r="M64" t="s">
        <v>297</v>
      </c>
      <c r="N64" t="s">
        <v>356</v>
      </c>
      <c r="O64" t="s">
        <v>150</v>
      </c>
      <c r="P64" t="s">
        <v>162</v>
      </c>
    </row>
    <row r="65" spans="1:16" ht="12.75" customHeight="1">
      <c r="A65">
        <v>1</v>
      </c>
      <c r="B65" t="s">
        <v>299</v>
      </c>
      <c r="C65">
        <v>69</v>
      </c>
      <c r="D65" t="s">
        <v>295</v>
      </c>
      <c r="E65" t="s">
        <v>296</v>
      </c>
      <c r="F65" s="2">
        <v>27591</v>
      </c>
      <c r="G65" s="2">
        <v>27591</v>
      </c>
      <c r="H65" s="2">
        <v>39408</v>
      </c>
      <c r="I65" s="5">
        <v>38807</v>
      </c>
      <c r="J65" s="2">
        <v>37939</v>
      </c>
      <c r="K65" s="2">
        <v>35271</v>
      </c>
      <c r="L65" t="s">
        <v>297</v>
      </c>
      <c r="M65" t="s">
        <v>297</v>
      </c>
      <c r="N65" t="s">
        <v>357</v>
      </c>
      <c r="O65" t="s">
        <v>150</v>
      </c>
      <c r="P65" t="s">
        <v>162</v>
      </c>
    </row>
    <row r="66" spans="1:16" ht="12.75" customHeight="1">
      <c r="A66">
        <v>1</v>
      </c>
      <c r="B66" t="s">
        <v>299</v>
      </c>
      <c r="C66">
        <v>70</v>
      </c>
      <c r="D66" t="s">
        <v>295</v>
      </c>
      <c r="E66" t="s">
        <v>296</v>
      </c>
      <c r="F66" s="2">
        <v>27591</v>
      </c>
      <c r="G66" s="2">
        <v>27957</v>
      </c>
      <c r="H66" s="2">
        <v>38894</v>
      </c>
      <c r="I66" s="5">
        <v>38898</v>
      </c>
      <c r="K66" s="2">
        <v>35935</v>
      </c>
      <c r="L66" t="s">
        <v>297</v>
      </c>
      <c r="M66" t="s">
        <v>297</v>
      </c>
      <c r="N66" t="s">
        <v>358</v>
      </c>
      <c r="O66" t="s">
        <v>150</v>
      </c>
      <c r="P66" t="s">
        <v>162</v>
      </c>
    </row>
    <row r="67" spans="1:16" ht="12.75" customHeight="1">
      <c r="A67">
        <v>1</v>
      </c>
      <c r="B67" t="s">
        <v>299</v>
      </c>
      <c r="C67">
        <v>76</v>
      </c>
      <c r="D67" t="s">
        <v>295</v>
      </c>
      <c r="E67" t="s">
        <v>296</v>
      </c>
      <c r="F67" s="2">
        <v>27591</v>
      </c>
      <c r="G67" s="2">
        <v>27591</v>
      </c>
      <c r="H67" s="2">
        <v>39259</v>
      </c>
      <c r="J67" s="2">
        <v>38302</v>
      </c>
      <c r="K67" s="2">
        <v>36222</v>
      </c>
      <c r="L67" t="s">
        <v>297</v>
      </c>
      <c r="M67" t="s">
        <v>297</v>
      </c>
      <c r="N67" t="s">
        <v>359</v>
      </c>
      <c r="O67" t="s">
        <v>150</v>
      </c>
      <c r="P67" t="s">
        <v>162</v>
      </c>
    </row>
    <row r="68" spans="1:16" ht="12.75" customHeight="1">
      <c r="A68">
        <v>1</v>
      </c>
      <c r="B68" t="s">
        <v>299</v>
      </c>
      <c r="C68">
        <v>78</v>
      </c>
      <c r="D68" t="s">
        <v>295</v>
      </c>
      <c r="E68" t="s">
        <v>296</v>
      </c>
      <c r="F68" s="2">
        <v>27591</v>
      </c>
      <c r="G68" s="2">
        <v>27922</v>
      </c>
      <c r="H68" s="2">
        <v>38873</v>
      </c>
      <c r="I68" s="5">
        <v>39629</v>
      </c>
      <c r="J68" s="2">
        <v>37939</v>
      </c>
      <c r="K68" s="2">
        <v>35187</v>
      </c>
      <c r="L68" t="s">
        <v>297</v>
      </c>
      <c r="M68" t="s">
        <v>297</v>
      </c>
      <c r="N68" t="s">
        <v>360</v>
      </c>
      <c r="O68" t="s">
        <v>150</v>
      </c>
      <c r="P68" t="s">
        <v>162</v>
      </c>
    </row>
    <row r="69" spans="1:16" ht="12.75" customHeight="1">
      <c r="A69">
        <v>1</v>
      </c>
      <c r="B69" t="s">
        <v>299</v>
      </c>
      <c r="C69">
        <v>514</v>
      </c>
      <c r="D69" t="s">
        <v>295</v>
      </c>
      <c r="E69" t="s">
        <v>296</v>
      </c>
      <c r="F69" s="2">
        <v>31437</v>
      </c>
      <c r="G69" s="2">
        <v>33021</v>
      </c>
      <c r="H69" s="2">
        <v>37496</v>
      </c>
      <c r="I69" s="5">
        <v>38503</v>
      </c>
      <c r="K69" s="2">
        <v>34396</v>
      </c>
      <c r="L69" t="s">
        <v>297</v>
      </c>
      <c r="M69" t="s">
        <v>297</v>
      </c>
      <c r="N69" t="s">
        <v>361</v>
      </c>
      <c r="O69" t="s">
        <v>150</v>
      </c>
      <c r="P69" t="s">
        <v>162</v>
      </c>
    </row>
    <row r="70" spans="1:16" ht="12.75" customHeight="1">
      <c r="A70">
        <v>1</v>
      </c>
      <c r="B70" t="s">
        <v>299</v>
      </c>
      <c r="C70">
        <v>1031</v>
      </c>
      <c r="D70" t="s">
        <v>295</v>
      </c>
      <c r="E70" t="s">
        <v>296</v>
      </c>
      <c r="F70" s="2">
        <v>34750</v>
      </c>
      <c r="G70" s="2">
        <v>35874</v>
      </c>
      <c r="H70" s="2">
        <v>39243</v>
      </c>
      <c r="I70" s="5">
        <v>36316</v>
      </c>
      <c r="J70" s="2">
        <v>38161</v>
      </c>
      <c r="K70" s="2">
        <v>35951</v>
      </c>
      <c r="L70" t="s">
        <v>297</v>
      </c>
      <c r="M70" t="s">
        <v>322</v>
      </c>
      <c r="N70" t="s">
        <v>362</v>
      </c>
      <c r="O70" t="s">
        <v>150</v>
      </c>
      <c r="P70" t="s">
        <v>162</v>
      </c>
    </row>
    <row r="71" spans="1:16" ht="12.75" customHeight="1">
      <c r="A71" t="s">
        <v>150</v>
      </c>
      <c r="B71" t="s">
        <v>162</v>
      </c>
    </row>
    <row r="72" spans="1:16" ht="12.75" customHeight="1">
      <c r="A72">
        <v>1</v>
      </c>
      <c r="B72" t="s">
        <v>163</v>
      </c>
      <c r="C72">
        <v>37</v>
      </c>
      <c r="D72" t="s">
        <v>295</v>
      </c>
      <c r="E72" t="s">
        <v>296</v>
      </c>
      <c r="F72" s="2">
        <v>27275</v>
      </c>
      <c r="G72" s="2">
        <v>27275</v>
      </c>
      <c r="H72" s="2">
        <v>39160</v>
      </c>
      <c r="I72" s="5">
        <v>39263</v>
      </c>
      <c r="J72" s="2">
        <v>37433</v>
      </c>
      <c r="K72" s="2">
        <v>35689</v>
      </c>
      <c r="L72" t="s">
        <v>297</v>
      </c>
      <c r="M72" t="s">
        <v>297</v>
      </c>
      <c r="N72" t="s">
        <v>363</v>
      </c>
      <c r="O72" t="s">
        <v>150</v>
      </c>
      <c r="P72" t="s">
        <v>164</v>
      </c>
    </row>
    <row r="73" spans="1:16" ht="12.75" customHeight="1">
      <c r="A73">
        <v>1</v>
      </c>
      <c r="B73" t="s">
        <v>163</v>
      </c>
      <c r="C73">
        <v>47</v>
      </c>
      <c r="D73" t="s">
        <v>295</v>
      </c>
      <c r="E73" t="s">
        <v>296</v>
      </c>
      <c r="F73" s="2">
        <v>27275</v>
      </c>
      <c r="G73" s="2">
        <v>27591</v>
      </c>
      <c r="H73" s="2">
        <v>39340</v>
      </c>
      <c r="I73" s="5">
        <v>39263</v>
      </c>
      <c r="J73" s="2">
        <v>37433</v>
      </c>
      <c r="K73" s="2">
        <v>36237</v>
      </c>
      <c r="L73" t="s">
        <v>297</v>
      </c>
      <c r="M73" t="s">
        <v>297</v>
      </c>
      <c r="N73" t="s">
        <v>364</v>
      </c>
      <c r="O73" t="s">
        <v>150</v>
      </c>
      <c r="P73" t="s">
        <v>164</v>
      </c>
    </row>
    <row r="74" spans="1:16" ht="12.75" customHeight="1">
      <c r="A74">
        <v>1</v>
      </c>
      <c r="B74" t="s">
        <v>163</v>
      </c>
      <c r="C74">
        <v>187</v>
      </c>
      <c r="D74" t="s">
        <v>295</v>
      </c>
      <c r="E74" t="s">
        <v>296</v>
      </c>
      <c r="F74" s="2">
        <v>28628</v>
      </c>
      <c r="G74" s="2">
        <v>29527</v>
      </c>
      <c r="H74" s="2">
        <v>39172</v>
      </c>
      <c r="I74" s="5">
        <v>39263</v>
      </c>
      <c r="J74" s="2">
        <v>36813</v>
      </c>
      <c r="K74" s="2">
        <v>36361</v>
      </c>
      <c r="L74" t="s">
        <v>297</v>
      </c>
      <c r="M74" t="s">
        <v>297</v>
      </c>
      <c r="N74" t="s">
        <v>365</v>
      </c>
      <c r="O74" t="s">
        <v>150</v>
      </c>
      <c r="P74" t="s">
        <v>164</v>
      </c>
    </row>
    <row r="75" spans="1:16" ht="12.75" customHeight="1">
      <c r="A75">
        <v>1</v>
      </c>
      <c r="B75" t="s">
        <v>163</v>
      </c>
      <c r="C75">
        <v>462</v>
      </c>
      <c r="D75" t="s">
        <v>295</v>
      </c>
      <c r="E75" t="s">
        <v>296</v>
      </c>
      <c r="F75" s="2">
        <v>31131</v>
      </c>
      <c r="G75" s="2">
        <v>31434</v>
      </c>
      <c r="H75" s="2">
        <v>39337</v>
      </c>
      <c r="I75" s="5">
        <v>39263</v>
      </c>
      <c r="J75" s="2">
        <v>37477</v>
      </c>
      <c r="K75" s="2">
        <v>39331</v>
      </c>
      <c r="L75" t="s">
        <v>297</v>
      </c>
      <c r="M75" t="s">
        <v>297</v>
      </c>
      <c r="N75" t="s">
        <v>366</v>
      </c>
      <c r="O75" t="s">
        <v>150</v>
      </c>
      <c r="P75" t="s">
        <v>164</v>
      </c>
    </row>
    <row r="76" spans="1:16" ht="12.75" customHeight="1">
      <c r="A76">
        <v>1</v>
      </c>
      <c r="B76" t="s">
        <v>163</v>
      </c>
      <c r="C76">
        <v>544</v>
      </c>
      <c r="D76" t="s">
        <v>295</v>
      </c>
      <c r="E76" t="s">
        <v>296</v>
      </c>
      <c r="F76" s="2">
        <v>31612</v>
      </c>
      <c r="G76" s="2">
        <v>32816</v>
      </c>
      <c r="H76" s="2">
        <v>38939</v>
      </c>
      <c r="I76" s="5">
        <v>39263</v>
      </c>
      <c r="J76" s="2">
        <v>37862</v>
      </c>
      <c r="K76" s="2">
        <v>38922</v>
      </c>
      <c r="L76" t="s">
        <v>297</v>
      </c>
      <c r="M76" t="s">
        <v>297</v>
      </c>
      <c r="N76" t="s">
        <v>367</v>
      </c>
      <c r="O76" t="s">
        <v>150</v>
      </c>
      <c r="P76" t="s">
        <v>164</v>
      </c>
    </row>
    <row r="77" spans="1:16" ht="12.75" customHeight="1">
      <c r="A77">
        <v>1</v>
      </c>
      <c r="B77" t="s">
        <v>163</v>
      </c>
      <c r="C77">
        <v>736</v>
      </c>
      <c r="D77" t="s">
        <v>368</v>
      </c>
      <c r="E77" t="s">
        <v>316</v>
      </c>
      <c r="F77" s="2">
        <v>32949</v>
      </c>
      <c r="G77" s="2">
        <v>33264</v>
      </c>
      <c r="H77" s="2">
        <v>35634</v>
      </c>
      <c r="I77" s="5">
        <v>35976</v>
      </c>
      <c r="J77" s="2">
        <v>33419</v>
      </c>
      <c r="K77" s="2">
        <v>35634</v>
      </c>
      <c r="L77" t="s">
        <v>322</v>
      </c>
      <c r="M77" t="s">
        <v>297</v>
      </c>
      <c r="N77" t="s">
        <v>369</v>
      </c>
      <c r="O77" t="s">
        <v>150</v>
      </c>
      <c r="P77" t="s">
        <v>164</v>
      </c>
    </row>
    <row r="78" spans="1:16" ht="12.75" customHeight="1">
      <c r="A78">
        <v>1</v>
      </c>
      <c r="B78" t="s">
        <v>163</v>
      </c>
      <c r="C78">
        <v>820</v>
      </c>
      <c r="D78" t="s">
        <v>295</v>
      </c>
      <c r="E78" t="s">
        <v>296</v>
      </c>
      <c r="F78" s="2">
        <v>33621</v>
      </c>
      <c r="G78" s="2">
        <v>33992</v>
      </c>
      <c r="H78" s="2">
        <v>39140</v>
      </c>
      <c r="I78" s="5">
        <v>38898</v>
      </c>
      <c r="J78" s="2">
        <v>35335</v>
      </c>
      <c r="K78" s="2">
        <v>36444</v>
      </c>
      <c r="L78" t="s">
        <v>297</v>
      </c>
      <c r="M78" t="s">
        <v>297</v>
      </c>
      <c r="N78" t="s">
        <v>370</v>
      </c>
      <c r="O78" t="s">
        <v>150</v>
      </c>
      <c r="P78" t="s">
        <v>164</v>
      </c>
    </row>
    <row r="79" spans="1:16" ht="12.75" customHeight="1">
      <c r="A79">
        <v>1</v>
      </c>
      <c r="B79" t="s">
        <v>163</v>
      </c>
      <c r="C79">
        <v>1463</v>
      </c>
      <c r="D79" t="s">
        <v>295</v>
      </c>
      <c r="E79" t="s">
        <v>296</v>
      </c>
      <c r="F79" s="2">
        <v>37875</v>
      </c>
      <c r="G79" s="2">
        <v>38058</v>
      </c>
      <c r="H79" s="2">
        <v>39191</v>
      </c>
      <c r="I79" s="5">
        <v>38199</v>
      </c>
      <c r="L79" t="s">
        <v>297</v>
      </c>
      <c r="M79" t="s">
        <v>297</v>
      </c>
      <c r="N79" t="s">
        <v>371</v>
      </c>
      <c r="O79" t="s">
        <v>150</v>
      </c>
      <c r="P79" t="s">
        <v>164</v>
      </c>
    </row>
    <row r="80" spans="1:16" ht="12.75" customHeight="1">
      <c r="A80">
        <v>1</v>
      </c>
      <c r="B80" t="s">
        <v>163</v>
      </c>
      <c r="C80">
        <v>1508</v>
      </c>
      <c r="D80" t="s">
        <v>295</v>
      </c>
      <c r="E80" t="s">
        <v>296</v>
      </c>
      <c r="F80" s="2">
        <v>38548</v>
      </c>
      <c r="G80" s="2">
        <v>39360</v>
      </c>
      <c r="H80" s="2">
        <v>39503</v>
      </c>
      <c r="I80" s="5">
        <v>39278</v>
      </c>
      <c r="L80" t="s">
        <v>297</v>
      </c>
      <c r="M80" t="s">
        <v>297</v>
      </c>
      <c r="N80" t="s">
        <v>372</v>
      </c>
      <c r="O80" t="s">
        <v>150</v>
      </c>
      <c r="P80" t="s">
        <v>164</v>
      </c>
    </row>
    <row r="81" spans="1:16" ht="12.75" customHeight="1">
      <c r="A81" t="s">
        <v>150</v>
      </c>
      <c r="B81" t="s">
        <v>164</v>
      </c>
    </row>
    <row r="82" spans="1:16" ht="12.75" customHeight="1">
      <c r="A82">
        <v>1</v>
      </c>
      <c r="B82" t="s">
        <v>165</v>
      </c>
      <c r="C82">
        <v>397</v>
      </c>
      <c r="D82" t="s">
        <v>295</v>
      </c>
      <c r="E82" t="s">
        <v>296</v>
      </c>
      <c r="F82" s="2">
        <v>30480</v>
      </c>
      <c r="G82" s="2">
        <v>31493</v>
      </c>
      <c r="H82" s="2">
        <v>39463</v>
      </c>
      <c r="I82" s="5">
        <v>38168</v>
      </c>
      <c r="J82" s="2">
        <v>39308</v>
      </c>
      <c r="K82" s="2">
        <v>39463</v>
      </c>
      <c r="L82" t="s">
        <v>322</v>
      </c>
      <c r="M82" t="s">
        <v>297</v>
      </c>
      <c r="N82" t="s">
        <v>373</v>
      </c>
      <c r="O82" t="s">
        <v>150</v>
      </c>
      <c r="P82" t="s">
        <v>166</v>
      </c>
    </row>
    <row r="83" spans="1:16" ht="12.75" customHeight="1">
      <c r="A83">
        <v>1</v>
      </c>
      <c r="B83" t="s">
        <v>165</v>
      </c>
      <c r="C83">
        <v>507</v>
      </c>
      <c r="D83" t="s">
        <v>295</v>
      </c>
      <c r="E83" t="s">
        <v>296</v>
      </c>
      <c r="F83" s="2">
        <v>31374</v>
      </c>
      <c r="G83" s="2">
        <v>34244</v>
      </c>
      <c r="H83" s="2">
        <v>38988</v>
      </c>
      <c r="I83" s="5">
        <v>39629</v>
      </c>
      <c r="J83" s="2">
        <v>39360</v>
      </c>
      <c r="K83" s="2">
        <v>34893</v>
      </c>
      <c r="L83" t="s">
        <v>297</v>
      </c>
      <c r="M83" t="s">
        <v>297</v>
      </c>
      <c r="N83" t="s">
        <v>374</v>
      </c>
      <c r="O83" t="s">
        <v>150</v>
      </c>
      <c r="P83" t="s">
        <v>166</v>
      </c>
    </row>
    <row r="84" spans="1:16" ht="12.75" customHeight="1">
      <c r="A84">
        <v>1</v>
      </c>
      <c r="B84" t="s">
        <v>165</v>
      </c>
      <c r="C84">
        <v>739</v>
      </c>
      <c r="D84" t="s">
        <v>375</v>
      </c>
      <c r="E84" t="s">
        <v>376</v>
      </c>
      <c r="F84" s="2">
        <v>33021</v>
      </c>
      <c r="G84" s="2">
        <v>34244</v>
      </c>
      <c r="H84" s="2">
        <v>35378</v>
      </c>
      <c r="I84" s="5">
        <v>34880</v>
      </c>
      <c r="K84" s="2">
        <v>34446</v>
      </c>
      <c r="L84" t="s">
        <v>322</v>
      </c>
      <c r="M84" t="s">
        <v>297</v>
      </c>
      <c r="N84" t="s">
        <v>369</v>
      </c>
      <c r="O84" t="s">
        <v>150</v>
      </c>
      <c r="P84" t="s">
        <v>166</v>
      </c>
    </row>
    <row r="85" spans="1:16" ht="12.75" customHeight="1">
      <c r="A85">
        <v>1</v>
      </c>
      <c r="B85" t="s">
        <v>165</v>
      </c>
      <c r="C85">
        <v>752</v>
      </c>
      <c r="D85" t="s">
        <v>377</v>
      </c>
      <c r="E85" t="s">
        <v>376</v>
      </c>
      <c r="F85" s="2">
        <v>34803</v>
      </c>
      <c r="H85" s="2">
        <v>36441</v>
      </c>
      <c r="I85" s="5">
        <v>36373</v>
      </c>
      <c r="J85" s="2">
        <v>33312</v>
      </c>
      <c r="K85" s="2">
        <v>34785</v>
      </c>
      <c r="L85" t="s">
        <v>322</v>
      </c>
      <c r="M85" t="s">
        <v>297</v>
      </c>
      <c r="N85" t="s">
        <v>369</v>
      </c>
      <c r="O85" t="s">
        <v>150</v>
      </c>
      <c r="P85" t="s">
        <v>166</v>
      </c>
    </row>
    <row r="86" spans="1:16" ht="12.75" customHeight="1">
      <c r="A86">
        <v>1</v>
      </c>
      <c r="B86" t="s">
        <v>165</v>
      </c>
      <c r="C86">
        <v>808</v>
      </c>
      <c r="D86" t="s">
        <v>295</v>
      </c>
      <c r="E86" t="s">
        <v>296</v>
      </c>
      <c r="F86" s="2">
        <v>33487</v>
      </c>
      <c r="G86" s="2">
        <v>35209</v>
      </c>
      <c r="H86" s="2">
        <v>38999</v>
      </c>
      <c r="I86" s="5">
        <v>38168</v>
      </c>
      <c r="J86" s="2">
        <v>39300</v>
      </c>
      <c r="K86" s="2">
        <v>35222</v>
      </c>
      <c r="L86" t="s">
        <v>297</v>
      </c>
      <c r="M86" t="s">
        <v>297</v>
      </c>
      <c r="N86" t="s">
        <v>378</v>
      </c>
      <c r="O86" t="s">
        <v>150</v>
      </c>
      <c r="P86" t="s">
        <v>166</v>
      </c>
    </row>
    <row r="87" spans="1:16" ht="12.75" customHeight="1">
      <c r="A87">
        <v>1</v>
      </c>
      <c r="B87" t="s">
        <v>165</v>
      </c>
      <c r="C87">
        <v>1258</v>
      </c>
      <c r="D87" t="s">
        <v>295</v>
      </c>
      <c r="E87" t="s">
        <v>296</v>
      </c>
      <c r="F87" s="2">
        <v>35983</v>
      </c>
      <c r="G87" s="2">
        <v>37036</v>
      </c>
      <c r="H87" s="2">
        <v>39498</v>
      </c>
      <c r="I87" s="5">
        <v>39263</v>
      </c>
      <c r="J87" s="2">
        <v>37904</v>
      </c>
      <c r="L87" t="s">
        <v>297</v>
      </c>
      <c r="M87" t="s">
        <v>297</v>
      </c>
      <c r="N87" t="s">
        <v>379</v>
      </c>
      <c r="O87" t="s">
        <v>150</v>
      </c>
      <c r="P87" t="s">
        <v>166</v>
      </c>
    </row>
    <row r="88" spans="1:16" ht="12.75" customHeight="1">
      <c r="A88">
        <v>1</v>
      </c>
      <c r="B88" t="s">
        <v>165</v>
      </c>
      <c r="C88">
        <v>1315</v>
      </c>
      <c r="D88" t="s">
        <v>295</v>
      </c>
      <c r="E88" t="s">
        <v>296</v>
      </c>
      <c r="F88" s="2">
        <v>36476</v>
      </c>
      <c r="G88" s="2">
        <v>37694</v>
      </c>
      <c r="H88" s="2">
        <v>39470</v>
      </c>
      <c r="I88" s="5">
        <v>39202</v>
      </c>
      <c r="J88" s="2">
        <v>39360</v>
      </c>
      <c r="K88" s="2">
        <v>39296</v>
      </c>
      <c r="L88" t="s">
        <v>297</v>
      </c>
      <c r="M88" t="s">
        <v>297</v>
      </c>
      <c r="N88" t="s">
        <v>318</v>
      </c>
      <c r="O88" t="s">
        <v>150</v>
      </c>
      <c r="P88" t="s">
        <v>166</v>
      </c>
    </row>
    <row r="89" spans="1:16" ht="12.75" customHeight="1">
      <c r="A89">
        <v>1</v>
      </c>
      <c r="B89" t="s">
        <v>165</v>
      </c>
      <c r="C89">
        <v>1458</v>
      </c>
      <c r="D89" t="s">
        <v>380</v>
      </c>
      <c r="E89" t="s">
        <v>376</v>
      </c>
      <c r="F89" s="2">
        <v>37830</v>
      </c>
      <c r="H89" s="2">
        <v>37909</v>
      </c>
      <c r="I89" s="5">
        <v>38199</v>
      </c>
      <c r="J89" s="2">
        <v>37904</v>
      </c>
      <c r="K89" s="2">
        <v>37909</v>
      </c>
      <c r="L89" t="s">
        <v>297</v>
      </c>
      <c r="M89" t="s">
        <v>322</v>
      </c>
      <c r="O89" t="s">
        <v>150</v>
      </c>
      <c r="P89" t="s">
        <v>166</v>
      </c>
    </row>
    <row r="90" spans="1:16" ht="12.75" customHeight="1">
      <c r="A90" t="s">
        <v>150</v>
      </c>
      <c r="B90" t="s">
        <v>166</v>
      </c>
    </row>
    <row r="91" spans="1:16" ht="12.75" customHeight="1">
      <c r="A91">
        <v>1</v>
      </c>
      <c r="B91" t="s">
        <v>167</v>
      </c>
      <c r="C91">
        <v>23</v>
      </c>
      <c r="D91" t="s">
        <v>295</v>
      </c>
      <c r="E91" t="s">
        <v>296</v>
      </c>
      <c r="F91" s="2">
        <v>26648</v>
      </c>
      <c r="G91" s="2">
        <v>26648</v>
      </c>
      <c r="H91" s="2">
        <v>39273</v>
      </c>
      <c r="I91" s="5">
        <v>39263</v>
      </c>
      <c r="J91" s="2">
        <v>35430</v>
      </c>
      <c r="K91" s="2">
        <v>38623</v>
      </c>
      <c r="L91" t="s">
        <v>297</v>
      </c>
      <c r="M91" t="s">
        <v>297</v>
      </c>
      <c r="N91" t="s">
        <v>381</v>
      </c>
      <c r="O91" t="s">
        <v>150</v>
      </c>
      <c r="P91" t="s">
        <v>168</v>
      </c>
    </row>
    <row r="92" spans="1:16" ht="12.75" customHeight="1">
      <c r="A92">
        <v>1</v>
      </c>
      <c r="B92" t="s">
        <v>167</v>
      </c>
      <c r="C92">
        <v>112</v>
      </c>
      <c r="D92" t="s">
        <v>295</v>
      </c>
      <c r="E92" t="s">
        <v>296</v>
      </c>
      <c r="F92" s="2">
        <v>27785</v>
      </c>
      <c r="G92" s="2">
        <v>28901</v>
      </c>
      <c r="H92" s="2">
        <v>39462</v>
      </c>
      <c r="I92" s="5">
        <v>39506</v>
      </c>
      <c r="J92" s="2">
        <v>37740</v>
      </c>
      <c r="K92" s="2">
        <v>36286</v>
      </c>
      <c r="L92" t="s">
        <v>297</v>
      </c>
      <c r="M92" t="s">
        <v>297</v>
      </c>
      <c r="N92" t="s">
        <v>382</v>
      </c>
      <c r="O92" t="s">
        <v>150</v>
      </c>
      <c r="P92" t="s">
        <v>168</v>
      </c>
    </row>
    <row r="93" spans="1:16" ht="12.75" customHeight="1">
      <c r="A93">
        <v>1</v>
      </c>
      <c r="B93" t="s">
        <v>167</v>
      </c>
      <c r="C93">
        <v>215</v>
      </c>
      <c r="D93" t="s">
        <v>295</v>
      </c>
      <c r="E93" t="s">
        <v>296</v>
      </c>
      <c r="F93" s="2">
        <v>28902</v>
      </c>
      <c r="G93" s="2">
        <v>29721</v>
      </c>
      <c r="H93" s="2">
        <v>37965</v>
      </c>
      <c r="I93" s="5">
        <v>37407</v>
      </c>
      <c r="J93" s="2">
        <v>35122</v>
      </c>
      <c r="K93" s="2">
        <v>36461</v>
      </c>
      <c r="L93" t="s">
        <v>297</v>
      </c>
      <c r="M93" t="s">
        <v>297</v>
      </c>
      <c r="N93" t="s">
        <v>383</v>
      </c>
      <c r="O93" t="s">
        <v>150</v>
      </c>
      <c r="P93" t="s">
        <v>168</v>
      </c>
    </row>
    <row r="94" spans="1:16" ht="12.75" customHeight="1">
      <c r="A94">
        <v>1</v>
      </c>
      <c r="B94" t="s">
        <v>167</v>
      </c>
      <c r="C94">
        <v>602</v>
      </c>
      <c r="D94" t="s">
        <v>295</v>
      </c>
      <c r="E94" t="s">
        <v>296</v>
      </c>
      <c r="F94" s="2">
        <v>31912</v>
      </c>
      <c r="G94" s="2">
        <v>32949</v>
      </c>
      <c r="H94" s="2">
        <v>39180</v>
      </c>
      <c r="I94" s="5">
        <v>38352</v>
      </c>
      <c r="J94" s="2">
        <v>37939</v>
      </c>
      <c r="K94" s="2">
        <v>37995</v>
      </c>
      <c r="L94" t="s">
        <v>297</v>
      </c>
      <c r="M94" t="s">
        <v>297</v>
      </c>
      <c r="N94" t="s">
        <v>384</v>
      </c>
      <c r="O94" t="s">
        <v>150</v>
      </c>
      <c r="P94" t="s">
        <v>168</v>
      </c>
    </row>
    <row r="95" spans="1:16" ht="12.75" customHeight="1">
      <c r="A95">
        <v>1</v>
      </c>
      <c r="B95" t="s">
        <v>167</v>
      </c>
      <c r="C95">
        <v>624</v>
      </c>
      <c r="D95" t="s">
        <v>295</v>
      </c>
      <c r="E95" t="s">
        <v>296</v>
      </c>
      <c r="F95" s="2">
        <v>32164</v>
      </c>
      <c r="G95" s="2">
        <v>32164</v>
      </c>
      <c r="H95" s="2">
        <v>39115</v>
      </c>
      <c r="I95" s="5">
        <v>39263</v>
      </c>
      <c r="J95" s="2">
        <v>36348</v>
      </c>
      <c r="K95" s="2">
        <v>36200</v>
      </c>
      <c r="L95" t="s">
        <v>297</v>
      </c>
      <c r="M95" t="s">
        <v>297</v>
      </c>
      <c r="N95" t="s">
        <v>385</v>
      </c>
      <c r="O95" t="s">
        <v>150</v>
      </c>
      <c r="P95" t="s">
        <v>168</v>
      </c>
    </row>
    <row r="96" spans="1:16" ht="12.75" customHeight="1">
      <c r="A96" t="s">
        <v>150</v>
      </c>
      <c r="B96" t="s">
        <v>168</v>
      </c>
    </row>
    <row r="97" spans="1:16" ht="12.75" customHeight="1">
      <c r="A97" t="s">
        <v>386</v>
      </c>
    </row>
    <row r="98" spans="1:16" ht="12.75" customHeight="1">
      <c r="A98">
        <v>2</v>
      </c>
      <c r="B98" t="s">
        <v>140</v>
      </c>
      <c r="C98">
        <v>25</v>
      </c>
      <c r="D98" t="s">
        <v>295</v>
      </c>
      <c r="E98" t="s">
        <v>296</v>
      </c>
      <c r="F98" s="2">
        <v>26648</v>
      </c>
      <c r="G98" s="2">
        <v>26648</v>
      </c>
      <c r="H98" s="2">
        <v>39510</v>
      </c>
      <c r="I98" s="5">
        <v>33176</v>
      </c>
      <c r="K98" s="2">
        <v>34911</v>
      </c>
      <c r="L98" t="s">
        <v>297</v>
      </c>
      <c r="M98" t="s">
        <v>297</v>
      </c>
      <c r="N98" t="s">
        <v>387</v>
      </c>
      <c r="O98" t="s">
        <v>169</v>
      </c>
      <c r="P98" t="s">
        <v>170</v>
      </c>
    </row>
    <row r="99" spans="1:16" ht="12.75" customHeight="1">
      <c r="A99">
        <v>2</v>
      </c>
      <c r="B99" t="s">
        <v>140</v>
      </c>
      <c r="C99">
        <v>26</v>
      </c>
      <c r="D99" t="s">
        <v>295</v>
      </c>
      <c r="E99" t="s">
        <v>296</v>
      </c>
      <c r="F99" s="2">
        <v>26648</v>
      </c>
      <c r="G99" s="2">
        <v>26648</v>
      </c>
      <c r="H99" s="2">
        <v>39293</v>
      </c>
      <c r="I99" s="5">
        <v>39813</v>
      </c>
      <c r="K99" s="2">
        <v>33693</v>
      </c>
      <c r="L99" t="s">
        <v>297</v>
      </c>
      <c r="M99" t="s">
        <v>297</v>
      </c>
      <c r="N99" t="s">
        <v>388</v>
      </c>
      <c r="O99" t="s">
        <v>169</v>
      </c>
      <c r="P99" t="s">
        <v>170</v>
      </c>
    </row>
    <row r="100" spans="1:16" ht="12.75" customHeight="1">
      <c r="A100">
        <v>2</v>
      </c>
      <c r="B100" t="s">
        <v>140</v>
      </c>
      <c r="C100">
        <v>43</v>
      </c>
      <c r="D100" t="s">
        <v>295</v>
      </c>
      <c r="E100" t="s">
        <v>296</v>
      </c>
      <c r="F100" s="2">
        <v>26830</v>
      </c>
      <c r="G100" s="2">
        <v>26830</v>
      </c>
      <c r="H100" s="2">
        <v>39177</v>
      </c>
      <c r="I100" s="5">
        <v>35430</v>
      </c>
      <c r="K100" s="2">
        <v>35508</v>
      </c>
      <c r="L100" t="s">
        <v>297</v>
      </c>
      <c r="N100" t="s">
        <v>389</v>
      </c>
      <c r="O100" t="s">
        <v>169</v>
      </c>
      <c r="P100" t="s">
        <v>170</v>
      </c>
    </row>
    <row r="101" spans="1:16" ht="12.75" customHeight="1">
      <c r="A101">
        <v>2</v>
      </c>
      <c r="B101" t="s">
        <v>140</v>
      </c>
      <c r="C101">
        <v>44</v>
      </c>
      <c r="D101" t="s">
        <v>295</v>
      </c>
      <c r="E101" t="s">
        <v>296</v>
      </c>
      <c r="F101" s="2">
        <v>26908</v>
      </c>
      <c r="G101" s="2">
        <v>27275</v>
      </c>
      <c r="H101" s="2">
        <v>38856</v>
      </c>
      <c r="I101" s="5">
        <v>38898</v>
      </c>
      <c r="J101" s="2">
        <v>32904</v>
      </c>
      <c r="K101" s="2">
        <v>36165</v>
      </c>
      <c r="L101" t="s">
        <v>297</v>
      </c>
      <c r="M101" t="s">
        <v>297</v>
      </c>
      <c r="N101" t="s">
        <v>390</v>
      </c>
      <c r="O101" t="s">
        <v>169</v>
      </c>
      <c r="P101" t="s">
        <v>170</v>
      </c>
    </row>
    <row r="102" spans="1:16" ht="12.75" customHeight="1">
      <c r="A102">
        <v>2</v>
      </c>
      <c r="B102" t="s">
        <v>140</v>
      </c>
      <c r="C102">
        <v>45</v>
      </c>
      <c r="D102" t="s">
        <v>295</v>
      </c>
      <c r="E102" t="s">
        <v>296</v>
      </c>
      <c r="F102" s="2">
        <v>27275</v>
      </c>
      <c r="G102" s="2">
        <v>27275</v>
      </c>
      <c r="H102" s="2">
        <v>39513</v>
      </c>
      <c r="I102" s="5">
        <v>39629</v>
      </c>
      <c r="K102" s="2">
        <v>34490</v>
      </c>
      <c r="L102" t="s">
        <v>297</v>
      </c>
      <c r="M102" t="s">
        <v>297</v>
      </c>
      <c r="N102" t="s">
        <v>391</v>
      </c>
      <c r="O102" t="s">
        <v>169</v>
      </c>
      <c r="P102" t="s">
        <v>170</v>
      </c>
    </row>
    <row r="103" spans="1:16" ht="12.75" customHeight="1">
      <c r="A103">
        <v>2</v>
      </c>
      <c r="B103" t="s">
        <v>140</v>
      </c>
      <c r="C103">
        <v>109</v>
      </c>
      <c r="D103" t="s">
        <v>295</v>
      </c>
      <c r="E103" t="s">
        <v>296</v>
      </c>
      <c r="F103" s="2">
        <v>27785</v>
      </c>
      <c r="G103" s="2">
        <v>27805</v>
      </c>
      <c r="H103" s="2">
        <v>39519</v>
      </c>
      <c r="I103" s="5">
        <v>36891</v>
      </c>
      <c r="J103" s="2">
        <v>37995</v>
      </c>
      <c r="K103" s="2">
        <v>36307</v>
      </c>
      <c r="L103" t="s">
        <v>297</v>
      </c>
      <c r="M103" t="s">
        <v>297</v>
      </c>
      <c r="N103" t="s">
        <v>392</v>
      </c>
      <c r="O103" t="s">
        <v>169</v>
      </c>
      <c r="P103" t="s">
        <v>170</v>
      </c>
    </row>
    <row r="104" spans="1:16" ht="12.75" customHeight="1">
      <c r="A104">
        <v>2</v>
      </c>
      <c r="B104" t="s">
        <v>140</v>
      </c>
      <c r="C104">
        <v>1149</v>
      </c>
      <c r="D104" t="s">
        <v>393</v>
      </c>
      <c r="E104" t="s">
        <v>376</v>
      </c>
      <c r="F104" s="2">
        <v>35395</v>
      </c>
      <c r="G104" s="2">
        <v>37820</v>
      </c>
      <c r="H104" s="2">
        <v>38412</v>
      </c>
      <c r="I104" s="5">
        <v>38384</v>
      </c>
      <c r="K104" s="2">
        <v>37687</v>
      </c>
      <c r="L104" t="s">
        <v>297</v>
      </c>
      <c r="M104" t="s">
        <v>297</v>
      </c>
      <c r="O104" t="s">
        <v>169</v>
      </c>
      <c r="P104" t="s">
        <v>170</v>
      </c>
    </row>
    <row r="105" spans="1:16" ht="12.75" customHeight="1">
      <c r="A105">
        <v>2</v>
      </c>
      <c r="B105" t="s">
        <v>140</v>
      </c>
      <c r="C105">
        <v>1433</v>
      </c>
      <c r="D105" t="s">
        <v>295</v>
      </c>
      <c r="E105" t="s">
        <v>299</v>
      </c>
      <c r="F105" s="2">
        <v>37560</v>
      </c>
      <c r="H105" s="2">
        <v>39154</v>
      </c>
      <c r="I105" s="5">
        <v>37986</v>
      </c>
      <c r="L105" t="s">
        <v>297</v>
      </c>
      <c r="M105" t="s">
        <v>297</v>
      </c>
      <c r="N105" t="s">
        <v>394</v>
      </c>
      <c r="O105" t="s">
        <v>169</v>
      </c>
      <c r="P105" t="s">
        <v>170</v>
      </c>
    </row>
    <row r="106" spans="1:16" ht="12.75" customHeight="1">
      <c r="A106" t="s">
        <v>169</v>
      </c>
      <c r="B106" t="s">
        <v>170</v>
      </c>
    </row>
    <row r="107" spans="1:16" ht="12.75" customHeight="1">
      <c r="A107">
        <v>2</v>
      </c>
      <c r="B107" t="s">
        <v>149</v>
      </c>
      <c r="C107">
        <v>145</v>
      </c>
      <c r="D107" t="s">
        <v>295</v>
      </c>
      <c r="E107" t="s">
        <v>296</v>
      </c>
      <c r="F107" s="2">
        <v>28213</v>
      </c>
      <c r="G107" s="2">
        <v>28261</v>
      </c>
      <c r="H107" s="2">
        <v>39501</v>
      </c>
      <c r="I107" s="5">
        <v>39629</v>
      </c>
      <c r="J107" s="2">
        <v>38842</v>
      </c>
      <c r="K107" s="2">
        <v>38796</v>
      </c>
      <c r="L107" t="s">
        <v>297</v>
      </c>
      <c r="M107" t="s">
        <v>297</v>
      </c>
      <c r="N107" t="s">
        <v>395</v>
      </c>
      <c r="O107" t="s">
        <v>169</v>
      </c>
      <c r="P107" t="s">
        <v>171</v>
      </c>
    </row>
    <row r="108" spans="1:16" ht="12.75" customHeight="1">
      <c r="A108">
        <v>2</v>
      </c>
      <c r="B108" t="s">
        <v>149</v>
      </c>
      <c r="C108">
        <v>146</v>
      </c>
      <c r="D108" t="s">
        <v>295</v>
      </c>
      <c r="E108" t="s">
        <v>296</v>
      </c>
      <c r="F108" s="2">
        <v>28213</v>
      </c>
      <c r="G108" s="2">
        <v>28901</v>
      </c>
      <c r="H108" s="2">
        <v>39292</v>
      </c>
      <c r="I108" s="5">
        <v>38352</v>
      </c>
      <c r="J108" s="2">
        <v>38401</v>
      </c>
      <c r="K108" s="2">
        <v>34032</v>
      </c>
      <c r="L108" t="s">
        <v>297</v>
      </c>
      <c r="M108" t="s">
        <v>297</v>
      </c>
      <c r="N108" t="s">
        <v>396</v>
      </c>
      <c r="O108" t="s">
        <v>169</v>
      </c>
      <c r="P108" t="s">
        <v>171</v>
      </c>
    </row>
    <row r="109" spans="1:16" ht="12.75" customHeight="1">
      <c r="A109">
        <v>2</v>
      </c>
      <c r="B109" t="s">
        <v>149</v>
      </c>
      <c r="C109">
        <v>157</v>
      </c>
      <c r="D109" t="s">
        <v>295</v>
      </c>
      <c r="E109" t="s">
        <v>296</v>
      </c>
      <c r="F109" s="2">
        <v>28813</v>
      </c>
      <c r="G109" s="2">
        <v>28884</v>
      </c>
      <c r="H109" s="2">
        <v>38972</v>
      </c>
      <c r="I109" s="5">
        <v>39263</v>
      </c>
      <c r="J109" s="2">
        <v>38401</v>
      </c>
      <c r="K109" s="2">
        <v>38489</v>
      </c>
      <c r="L109" t="s">
        <v>297</v>
      </c>
      <c r="M109" t="s">
        <v>297</v>
      </c>
      <c r="N109" t="s">
        <v>397</v>
      </c>
      <c r="O109" t="s">
        <v>169</v>
      </c>
      <c r="P109" t="s">
        <v>171</v>
      </c>
    </row>
    <row r="110" spans="1:16" ht="12.75" customHeight="1">
      <c r="A110">
        <v>2</v>
      </c>
      <c r="B110" t="s">
        <v>149</v>
      </c>
      <c r="C110">
        <v>249</v>
      </c>
      <c r="D110" t="s">
        <v>295</v>
      </c>
      <c r="E110" t="s">
        <v>296</v>
      </c>
      <c r="F110" s="2">
        <v>29248</v>
      </c>
      <c r="G110" s="2">
        <v>29913</v>
      </c>
      <c r="H110" s="2">
        <v>39239</v>
      </c>
      <c r="I110" s="5">
        <v>39629</v>
      </c>
      <c r="J110" s="2">
        <v>38764</v>
      </c>
      <c r="K110" s="2">
        <v>35117</v>
      </c>
      <c r="L110" t="s">
        <v>297</v>
      </c>
      <c r="M110" t="s">
        <v>297</v>
      </c>
      <c r="N110" t="s">
        <v>398</v>
      </c>
      <c r="O110" t="s">
        <v>169</v>
      </c>
      <c r="P110" t="s">
        <v>171</v>
      </c>
    </row>
    <row r="111" spans="1:16" ht="12.75" customHeight="1">
      <c r="A111">
        <v>2</v>
      </c>
      <c r="B111" t="s">
        <v>149</v>
      </c>
      <c r="C111">
        <v>1344</v>
      </c>
      <c r="D111" t="s">
        <v>295</v>
      </c>
      <c r="E111" t="s">
        <v>296</v>
      </c>
      <c r="F111" s="2">
        <v>36669</v>
      </c>
      <c r="G111" s="2">
        <v>37036</v>
      </c>
      <c r="H111" s="2">
        <v>38925</v>
      </c>
      <c r="I111" s="5">
        <v>38168</v>
      </c>
      <c r="J111" s="2">
        <v>38842</v>
      </c>
      <c r="K111" s="2">
        <v>38938</v>
      </c>
      <c r="L111" t="s">
        <v>297</v>
      </c>
      <c r="M111" t="s">
        <v>297</v>
      </c>
      <c r="N111" t="s">
        <v>399</v>
      </c>
      <c r="O111" t="s">
        <v>169</v>
      </c>
      <c r="P111" t="s">
        <v>171</v>
      </c>
    </row>
    <row r="112" spans="1:16" ht="12.75" customHeight="1">
      <c r="A112" t="s">
        <v>169</v>
      </c>
      <c r="B112" t="s">
        <v>171</v>
      </c>
    </row>
    <row r="113" spans="1:16" ht="12.75" customHeight="1">
      <c r="A113">
        <v>2</v>
      </c>
      <c r="B113" t="s">
        <v>296</v>
      </c>
      <c r="C113">
        <v>223</v>
      </c>
      <c r="D113" t="s">
        <v>295</v>
      </c>
      <c r="E113" t="s">
        <v>296</v>
      </c>
      <c r="F113" s="2">
        <v>25578</v>
      </c>
      <c r="G113" s="2">
        <v>29445</v>
      </c>
      <c r="H113" s="2">
        <v>39105</v>
      </c>
      <c r="I113" s="5">
        <v>37621</v>
      </c>
      <c r="J113" s="2">
        <v>39029</v>
      </c>
      <c r="K113" s="2">
        <v>36341</v>
      </c>
      <c r="L113" t="s">
        <v>297</v>
      </c>
      <c r="M113" t="s">
        <v>297</v>
      </c>
      <c r="N113" t="s">
        <v>400</v>
      </c>
      <c r="O113" t="s">
        <v>169</v>
      </c>
      <c r="P113" t="s">
        <v>172</v>
      </c>
    </row>
    <row r="114" spans="1:16" ht="12.75" customHeight="1">
      <c r="A114">
        <v>2</v>
      </c>
      <c r="B114" t="s">
        <v>296</v>
      </c>
      <c r="C114">
        <v>281</v>
      </c>
      <c r="D114" t="s">
        <v>295</v>
      </c>
      <c r="E114" t="s">
        <v>296</v>
      </c>
      <c r="F114" s="2">
        <v>29586</v>
      </c>
      <c r="G114" s="2">
        <v>29972</v>
      </c>
      <c r="H114" s="2">
        <v>39085</v>
      </c>
      <c r="I114" s="5">
        <v>39263</v>
      </c>
      <c r="J114" s="2">
        <v>32201</v>
      </c>
      <c r="K114" s="2">
        <v>36236</v>
      </c>
      <c r="L114" t="s">
        <v>297</v>
      </c>
      <c r="M114" t="s">
        <v>297</v>
      </c>
      <c r="N114" t="s">
        <v>401</v>
      </c>
      <c r="O114" t="s">
        <v>169</v>
      </c>
      <c r="P114" t="s">
        <v>172</v>
      </c>
    </row>
    <row r="115" spans="1:16" ht="12.75" customHeight="1">
      <c r="A115">
        <v>2</v>
      </c>
      <c r="B115" t="s">
        <v>296</v>
      </c>
      <c r="C115">
        <v>305</v>
      </c>
      <c r="D115" t="s">
        <v>295</v>
      </c>
      <c r="E115" t="s">
        <v>296</v>
      </c>
      <c r="F115" s="2">
        <v>29687</v>
      </c>
      <c r="G115" s="2">
        <v>29972</v>
      </c>
      <c r="H115" s="2">
        <v>39189</v>
      </c>
      <c r="I115" s="5">
        <v>39629</v>
      </c>
      <c r="K115" s="2">
        <v>38013</v>
      </c>
      <c r="L115" t="s">
        <v>297</v>
      </c>
      <c r="M115" t="s">
        <v>297</v>
      </c>
      <c r="N115" t="s">
        <v>402</v>
      </c>
      <c r="O115" t="s">
        <v>169</v>
      </c>
      <c r="P115" t="s">
        <v>172</v>
      </c>
    </row>
    <row r="116" spans="1:16" ht="12.75" customHeight="1">
      <c r="A116">
        <v>2</v>
      </c>
      <c r="B116" t="s">
        <v>296</v>
      </c>
      <c r="C116">
        <v>328</v>
      </c>
      <c r="D116" t="s">
        <v>295</v>
      </c>
      <c r="E116" t="s">
        <v>296</v>
      </c>
      <c r="F116" s="2">
        <v>29848</v>
      </c>
      <c r="G116" s="2">
        <v>37176</v>
      </c>
      <c r="H116" s="2">
        <v>38407</v>
      </c>
      <c r="I116" s="5">
        <v>38898</v>
      </c>
      <c r="J116" s="2">
        <v>37792</v>
      </c>
      <c r="K116" s="2">
        <v>33117</v>
      </c>
      <c r="L116" t="s">
        <v>297</v>
      </c>
      <c r="M116" t="s">
        <v>297</v>
      </c>
      <c r="N116" t="s">
        <v>403</v>
      </c>
      <c r="O116" t="s">
        <v>169</v>
      </c>
      <c r="P116" t="s">
        <v>172</v>
      </c>
    </row>
    <row r="117" spans="1:16" ht="12.75" customHeight="1">
      <c r="A117">
        <v>2</v>
      </c>
      <c r="B117" t="s">
        <v>296</v>
      </c>
      <c r="C117">
        <v>990</v>
      </c>
      <c r="D117" t="s">
        <v>368</v>
      </c>
      <c r="E117" t="s">
        <v>316</v>
      </c>
      <c r="F117" s="2">
        <v>34561</v>
      </c>
      <c r="H117" s="2">
        <v>35702</v>
      </c>
      <c r="I117" s="5">
        <v>34668</v>
      </c>
      <c r="K117" s="2">
        <v>35501</v>
      </c>
      <c r="L117" t="s">
        <v>322</v>
      </c>
      <c r="M117" t="s">
        <v>297</v>
      </c>
      <c r="N117" t="s">
        <v>369</v>
      </c>
      <c r="O117" t="s">
        <v>169</v>
      </c>
      <c r="P117" t="s">
        <v>172</v>
      </c>
    </row>
    <row r="118" spans="1:16" ht="12.75" customHeight="1">
      <c r="A118">
        <v>2</v>
      </c>
      <c r="B118" t="s">
        <v>296</v>
      </c>
      <c r="C118">
        <v>1078</v>
      </c>
      <c r="D118" t="s">
        <v>404</v>
      </c>
      <c r="E118" t="s">
        <v>316</v>
      </c>
      <c r="F118" s="2">
        <v>34970</v>
      </c>
      <c r="L118" t="s">
        <v>322</v>
      </c>
      <c r="M118" t="s">
        <v>297</v>
      </c>
      <c r="N118" t="s">
        <v>369</v>
      </c>
      <c r="O118" t="s">
        <v>169</v>
      </c>
      <c r="P118" t="s">
        <v>172</v>
      </c>
    </row>
    <row r="119" spans="1:16" ht="12.75" customHeight="1">
      <c r="A119">
        <v>2</v>
      </c>
      <c r="B119" t="s">
        <v>296</v>
      </c>
      <c r="C119">
        <v>1187</v>
      </c>
      <c r="D119" t="s">
        <v>295</v>
      </c>
      <c r="E119" t="s">
        <v>296</v>
      </c>
      <c r="F119" s="2">
        <v>35551</v>
      </c>
      <c r="G119" s="2">
        <v>36308</v>
      </c>
      <c r="H119" s="2">
        <v>39280</v>
      </c>
      <c r="I119" s="5">
        <v>39629</v>
      </c>
      <c r="K119" s="2">
        <v>38461</v>
      </c>
      <c r="L119" t="s">
        <v>297</v>
      </c>
      <c r="M119" t="s">
        <v>297</v>
      </c>
      <c r="N119" t="s">
        <v>405</v>
      </c>
      <c r="O119" t="s">
        <v>169</v>
      </c>
      <c r="P119" t="s">
        <v>172</v>
      </c>
    </row>
    <row r="120" spans="1:16" ht="12.75" customHeight="1">
      <c r="A120">
        <v>2</v>
      </c>
      <c r="B120" t="s">
        <v>296</v>
      </c>
      <c r="C120">
        <v>1339</v>
      </c>
      <c r="D120" t="s">
        <v>295</v>
      </c>
      <c r="E120" t="s">
        <v>299</v>
      </c>
      <c r="F120" s="2">
        <v>36648</v>
      </c>
      <c r="H120" s="2">
        <v>38331</v>
      </c>
      <c r="I120" s="5">
        <v>36648</v>
      </c>
      <c r="L120" t="s">
        <v>322</v>
      </c>
      <c r="N120" t="s">
        <v>406</v>
      </c>
      <c r="O120" t="s">
        <v>169</v>
      </c>
      <c r="P120" t="s">
        <v>172</v>
      </c>
    </row>
    <row r="121" spans="1:16" ht="12.75" customHeight="1">
      <c r="A121">
        <v>2</v>
      </c>
      <c r="B121" t="s">
        <v>296</v>
      </c>
      <c r="C121">
        <v>1352</v>
      </c>
      <c r="D121" t="s">
        <v>295</v>
      </c>
      <c r="E121" t="s">
        <v>299</v>
      </c>
      <c r="F121" s="2">
        <v>36726</v>
      </c>
      <c r="H121" s="2">
        <v>38467</v>
      </c>
      <c r="I121" s="5">
        <v>37103</v>
      </c>
      <c r="L121" t="s">
        <v>297</v>
      </c>
      <c r="N121" t="s">
        <v>407</v>
      </c>
      <c r="O121" t="s">
        <v>169</v>
      </c>
      <c r="P121" t="s">
        <v>172</v>
      </c>
    </row>
    <row r="122" spans="1:16" ht="12.75" customHeight="1">
      <c r="A122">
        <v>2</v>
      </c>
      <c r="B122" t="s">
        <v>296</v>
      </c>
      <c r="C122">
        <v>1413</v>
      </c>
      <c r="D122" t="s">
        <v>380</v>
      </c>
      <c r="E122" t="s">
        <v>316</v>
      </c>
      <c r="F122" s="2">
        <v>37379</v>
      </c>
      <c r="H122" s="2">
        <v>37379</v>
      </c>
      <c r="I122" s="5">
        <v>37379</v>
      </c>
      <c r="L122" t="s">
        <v>322</v>
      </c>
      <c r="M122" t="s">
        <v>297</v>
      </c>
      <c r="O122" t="s">
        <v>169</v>
      </c>
      <c r="P122" t="s">
        <v>172</v>
      </c>
    </row>
    <row r="123" spans="1:16" ht="12.75" customHeight="1">
      <c r="A123">
        <v>2</v>
      </c>
      <c r="B123" t="s">
        <v>296</v>
      </c>
      <c r="C123">
        <v>1414</v>
      </c>
      <c r="D123" t="s">
        <v>408</v>
      </c>
      <c r="E123" t="s">
        <v>316</v>
      </c>
      <c r="F123" s="2">
        <v>37393</v>
      </c>
      <c r="H123" s="2">
        <v>37393</v>
      </c>
      <c r="I123" s="5">
        <v>37803</v>
      </c>
      <c r="L123" t="s">
        <v>322</v>
      </c>
      <c r="M123" t="s">
        <v>297</v>
      </c>
      <c r="N123" t="s">
        <v>409</v>
      </c>
      <c r="O123" t="s">
        <v>169</v>
      </c>
      <c r="P123" t="s">
        <v>172</v>
      </c>
    </row>
    <row r="124" spans="1:16" ht="12.75" customHeight="1">
      <c r="A124">
        <v>2</v>
      </c>
      <c r="B124" t="s">
        <v>296</v>
      </c>
      <c r="C124">
        <v>1461</v>
      </c>
      <c r="D124" t="s">
        <v>295</v>
      </c>
      <c r="E124" t="s">
        <v>299</v>
      </c>
      <c r="F124" s="2">
        <v>37868</v>
      </c>
      <c r="H124" s="2">
        <v>37868</v>
      </c>
      <c r="I124" s="5">
        <v>38199</v>
      </c>
      <c r="L124" t="s">
        <v>322</v>
      </c>
      <c r="M124" t="s">
        <v>322</v>
      </c>
      <c r="N124" t="s">
        <v>410</v>
      </c>
      <c r="O124" t="s">
        <v>169</v>
      </c>
      <c r="P124" t="s">
        <v>172</v>
      </c>
    </row>
    <row r="125" spans="1:16" ht="12.75" customHeight="1">
      <c r="A125">
        <v>2</v>
      </c>
      <c r="B125" t="s">
        <v>296</v>
      </c>
      <c r="C125">
        <v>1534</v>
      </c>
      <c r="D125" t="s">
        <v>295</v>
      </c>
      <c r="E125" t="s">
        <v>299</v>
      </c>
      <c r="F125" s="2">
        <v>39086</v>
      </c>
      <c r="H125" s="2">
        <v>39104</v>
      </c>
      <c r="I125" s="5">
        <v>39263</v>
      </c>
      <c r="L125" t="s">
        <v>297</v>
      </c>
      <c r="M125" t="s">
        <v>297</v>
      </c>
      <c r="N125" t="s">
        <v>411</v>
      </c>
      <c r="O125" t="s">
        <v>169</v>
      </c>
      <c r="P125" t="s">
        <v>172</v>
      </c>
    </row>
    <row r="126" spans="1:16" ht="12.75" customHeight="1">
      <c r="A126" t="s">
        <v>169</v>
      </c>
      <c r="B126" t="s">
        <v>172</v>
      </c>
    </row>
    <row r="127" spans="1:16" ht="12.75" customHeight="1">
      <c r="A127">
        <v>2</v>
      </c>
      <c r="B127" t="s">
        <v>153</v>
      </c>
      <c r="C127">
        <v>218</v>
      </c>
      <c r="D127" t="s">
        <v>295</v>
      </c>
      <c r="E127" t="s">
        <v>296</v>
      </c>
      <c r="F127" s="2">
        <v>28902</v>
      </c>
      <c r="G127" s="2">
        <v>29279</v>
      </c>
      <c r="H127" s="2">
        <v>39449</v>
      </c>
      <c r="I127" s="5">
        <v>39629</v>
      </c>
      <c r="K127" s="2">
        <v>38244</v>
      </c>
      <c r="L127" t="s">
        <v>297</v>
      </c>
      <c r="M127" t="s">
        <v>297</v>
      </c>
      <c r="N127" t="s">
        <v>412</v>
      </c>
      <c r="O127" t="s">
        <v>169</v>
      </c>
      <c r="P127" t="s">
        <v>173</v>
      </c>
    </row>
    <row r="128" spans="1:16" ht="12.75" customHeight="1">
      <c r="A128">
        <v>2</v>
      </c>
      <c r="B128" t="s">
        <v>153</v>
      </c>
      <c r="C128">
        <v>436</v>
      </c>
      <c r="D128" t="s">
        <v>295</v>
      </c>
      <c r="E128" t="s">
        <v>296</v>
      </c>
      <c r="F128" s="2">
        <v>30856</v>
      </c>
      <c r="G128" s="2">
        <v>31794</v>
      </c>
      <c r="H128" s="2">
        <v>39499</v>
      </c>
      <c r="I128" s="5">
        <v>35795</v>
      </c>
      <c r="K128" s="2">
        <v>38707</v>
      </c>
      <c r="L128" t="s">
        <v>297</v>
      </c>
      <c r="M128" t="s">
        <v>297</v>
      </c>
      <c r="N128" t="s">
        <v>413</v>
      </c>
      <c r="O128" t="s">
        <v>169</v>
      </c>
      <c r="P128" t="s">
        <v>173</v>
      </c>
    </row>
    <row r="129" spans="1:16" ht="12.75" customHeight="1">
      <c r="A129">
        <v>2</v>
      </c>
      <c r="B129" t="s">
        <v>153</v>
      </c>
      <c r="C129">
        <v>884</v>
      </c>
      <c r="D129" t="s">
        <v>295</v>
      </c>
      <c r="E129" t="s">
        <v>296</v>
      </c>
      <c r="F129" s="2">
        <v>34044</v>
      </c>
      <c r="G129" s="2">
        <v>34845</v>
      </c>
      <c r="H129" s="2">
        <v>39511</v>
      </c>
      <c r="I129" s="5">
        <v>39629</v>
      </c>
      <c r="K129" s="2">
        <v>36237</v>
      </c>
      <c r="L129" t="s">
        <v>297</v>
      </c>
      <c r="M129" t="s">
        <v>297</v>
      </c>
      <c r="N129" t="s">
        <v>414</v>
      </c>
      <c r="O129" t="s">
        <v>169</v>
      </c>
      <c r="P129" t="s">
        <v>173</v>
      </c>
    </row>
    <row r="130" spans="1:16" ht="12.75" customHeight="1">
      <c r="A130">
        <v>2</v>
      </c>
      <c r="B130" t="s">
        <v>153</v>
      </c>
      <c r="C130">
        <v>1111</v>
      </c>
      <c r="D130" t="s">
        <v>295</v>
      </c>
      <c r="E130" t="s">
        <v>296</v>
      </c>
      <c r="F130" s="2">
        <v>35208</v>
      </c>
      <c r="H130" s="2">
        <v>39357</v>
      </c>
      <c r="I130" s="5">
        <v>38107</v>
      </c>
      <c r="J130" s="2">
        <v>38118</v>
      </c>
      <c r="K130" s="2">
        <v>35836</v>
      </c>
      <c r="L130" t="s">
        <v>297</v>
      </c>
      <c r="M130" t="s">
        <v>297</v>
      </c>
      <c r="N130" t="s">
        <v>415</v>
      </c>
      <c r="O130" t="s">
        <v>169</v>
      </c>
      <c r="P130" t="s">
        <v>173</v>
      </c>
    </row>
    <row r="131" spans="1:16" ht="12.75" customHeight="1">
      <c r="A131">
        <v>2</v>
      </c>
      <c r="B131" t="s">
        <v>153</v>
      </c>
      <c r="C131">
        <v>1312</v>
      </c>
      <c r="D131" t="s">
        <v>295</v>
      </c>
      <c r="E131" t="s">
        <v>299</v>
      </c>
      <c r="F131" s="2">
        <v>36416</v>
      </c>
      <c r="H131" s="2">
        <v>39354</v>
      </c>
      <c r="I131" s="5">
        <v>39629</v>
      </c>
      <c r="L131" t="s">
        <v>297</v>
      </c>
      <c r="M131" t="s">
        <v>297</v>
      </c>
      <c r="N131" t="s">
        <v>416</v>
      </c>
      <c r="O131" t="s">
        <v>169</v>
      </c>
      <c r="P131" t="s">
        <v>173</v>
      </c>
    </row>
    <row r="132" spans="1:16" ht="12.75" customHeight="1">
      <c r="A132">
        <v>2</v>
      </c>
      <c r="B132" t="s">
        <v>153</v>
      </c>
      <c r="C132">
        <v>1323</v>
      </c>
      <c r="D132" t="s">
        <v>393</v>
      </c>
      <c r="E132" t="s">
        <v>316</v>
      </c>
      <c r="F132" s="2">
        <v>36556</v>
      </c>
      <c r="H132" s="2">
        <v>36996</v>
      </c>
      <c r="L132" t="s">
        <v>297</v>
      </c>
      <c r="M132" t="s">
        <v>297</v>
      </c>
      <c r="N132" t="s">
        <v>318</v>
      </c>
      <c r="O132" t="s">
        <v>169</v>
      </c>
      <c r="P132" t="s">
        <v>173</v>
      </c>
    </row>
    <row r="133" spans="1:16" ht="12.75" customHeight="1">
      <c r="A133">
        <v>2</v>
      </c>
      <c r="B133" t="s">
        <v>153</v>
      </c>
      <c r="C133">
        <v>1331</v>
      </c>
      <c r="D133" t="s">
        <v>348</v>
      </c>
      <c r="E133" t="s">
        <v>316</v>
      </c>
      <c r="F133" s="2">
        <v>36598</v>
      </c>
      <c r="H133" s="2">
        <v>37069</v>
      </c>
      <c r="I133" s="5">
        <v>37011</v>
      </c>
      <c r="L133" t="s">
        <v>297</v>
      </c>
      <c r="M133" t="s">
        <v>297</v>
      </c>
      <c r="O133" t="s">
        <v>169</v>
      </c>
      <c r="P133" t="s">
        <v>173</v>
      </c>
    </row>
    <row r="134" spans="1:16" ht="12.75" customHeight="1">
      <c r="A134" t="s">
        <v>169</v>
      </c>
      <c r="B134" t="s">
        <v>173</v>
      </c>
    </row>
    <row r="135" spans="1:16" ht="12.75" customHeight="1">
      <c r="A135">
        <v>2</v>
      </c>
      <c r="B135" t="s">
        <v>317</v>
      </c>
      <c r="C135">
        <v>166</v>
      </c>
      <c r="D135" t="s">
        <v>295</v>
      </c>
      <c r="E135" t="s">
        <v>296</v>
      </c>
      <c r="F135" s="2">
        <v>28296</v>
      </c>
      <c r="G135" s="2">
        <v>28973</v>
      </c>
      <c r="H135" s="2">
        <v>39474</v>
      </c>
      <c r="I135" s="5">
        <v>38352</v>
      </c>
      <c r="J135" s="2">
        <v>36811</v>
      </c>
      <c r="K135" s="2">
        <v>38076</v>
      </c>
      <c r="L135" t="s">
        <v>297</v>
      </c>
      <c r="M135" t="s">
        <v>297</v>
      </c>
      <c r="N135" t="s">
        <v>417</v>
      </c>
      <c r="O135" t="s">
        <v>169</v>
      </c>
      <c r="P135" t="s">
        <v>174</v>
      </c>
    </row>
    <row r="136" spans="1:16" ht="12.75" customHeight="1">
      <c r="A136">
        <v>2</v>
      </c>
      <c r="B136" t="s">
        <v>317</v>
      </c>
      <c r="C136">
        <v>360</v>
      </c>
      <c r="D136" t="s">
        <v>295</v>
      </c>
      <c r="E136" t="s">
        <v>296</v>
      </c>
      <c r="F136" s="2">
        <v>30099</v>
      </c>
      <c r="G136" s="2">
        <v>30744</v>
      </c>
      <c r="H136" s="2">
        <v>39217</v>
      </c>
      <c r="I136" s="5">
        <v>38898</v>
      </c>
      <c r="K136" s="2">
        <v>35849</v>
      </c>
      <c r="L136" t="s">
        <v>297</v>
      </c>
      <c r="M136" t="s">
        <v>297</v>
      </c>
      <c r="N136" t="s">
        <v>418</v>
      </c>
      <c r="O136" t="s">
        <v>169</v>
      </c>
      <c r="P136" t="s">
        <v>174</v>
      </c>
    </row>
    <row r="137" spans="1:16" ht="12.75" customHeight="1">
      <c r="A137">
        <v>2</v>
      </c>
      <c r="B137" t="s">
        <v>317</v>
      </c>
      <c r="C137">
        <v>370</v>
      </c>
      <c r="D137" t="s">
        <v>295</v>
      </c>
      <c r="E137" t="s">
        <v>296</v>
      </c>
      <c r="F137" s="2">
        <v>30209</v>
      </c>
      <c r="G137" s="2">
        <v>30583</v>
      </c>
      <c r="H137" s="2">
        <v>39512</v>
      </c>
      <c r="I137" s="5">
        <v>35399</v>
      </c>
      <c r="J137" s="2">
        <v>31928</v>
      </c>
      <c r="K137" s="2">
        <v>33844</v>
      </c>
      <c r="L137" t="s">
        <v>297</v>
      </c>
      <c r="N137" t="s">
        <v>419</v>
      </c>
      <c r="O137" t="s">
        <v>169</v>
      </c>
      <c r="P137" t="s">
        <v>174</v>
      </c>
    </row>
    <row r="138" spans="1:16" ht="12.75" customHeight="1">
      <c r="A138">
        <v>2</v>
      </c>
      <c r="B138" t="s">
        <v>317</v>
      </c>
      <c r="C138">
        <v>441</v>
      </c>
      <c r="D138" t="s">
        <v>295</v>
      </c>
      <c r="E138" t="s">
        <v>296</v>
      </c>
      <c r="F138" s="2">
        <v>30919</v>
      </c>
      <c r="G138" s="2">
        <v>34845</v>
      </c>
      <c r="H138" s="2">
        <v>37043</v>
      </c>
      <c r="I138" s="5">
        <v>37012</v>
      </c>
      <c r="K138" s="2">
        <v>35492</v>
      </c>
      <c r="L138" t="s">
        <v>297</v>
      </c>
      <c r="N138" t="s">
        <v>420</v>
      </c>
      <c r="O138" t="s">
        <v>169</v>
      </c>
      <c r="P138" t="s">
        <v>174</v>
      </c>
    </row>
    <row r="139" spans="1:16" ht="12.75" customHeight="1">
      <c r="A139">
        <v>2</v>
      </c>
      <c r="B139" t="s">
        <v>317</v>
      </c>
      <c r="C139">
        <v>449</v>
      </c>
      <c r="D139" t="s">
        <v>295</v>
      </c>
      <c r="E139" t="s">
        <v>296</v>
      </c>
      <c r="F139" s="2">
        <v>30989</v>
      </c>
      <c r="G139" s="2">
        <v>34656</v>
      </c>
      <c r="H139" s="2">
        <v>31715</v>
      </c>
      <c r="I139" s="5">
        <v>34254</v>
      </c>
      <c r="J139" s="2">
        <v>34641</v>
      </c>
      <c r="K139" s="2">
        <v>31715</v>
      </c>
      <c r="L139" t="s">
        <v>322</v>
      </c>
      <c r="M139" t="s">
        <v>297</v>
      </c>
      <c r="N139" t="s">
        <v>318</v>
      </c>
      <c r="O139" t="s">
        <v>169</v>
      </c>
      <c r="P139" t="s">
        <v>174</v>
      </c>
    </row>
    <row r="140" spans="1:16" ht="12.75" customHeight="1">
      <c r="A140">
        <v>2</v>
      </c>
      <c r="B140" t="s">
        <v>317</v>
      </c>
      <c r="C140">
        <v>488</v>
      </c>
      <c r="D140" t="s">
        <v>295</v>
      </c>
      <c r="E140" t="s">
        <v>296</v>
      </c>
      <c r="F140" s="2">
        <v>31310</v>
      </c>
      <c r="G140" s="2">
        <v>31857</v>
      </c>
      <c r="H140" s="2">
        <v>37899</v>
      </c>
      <c r="I140" s="5">
        <v>37657</v>
      </c>
      <c r="K140" s="2">
        <v>36368</v>
      </c>
      <c r="L140" t="s">
        <v>297</v>
      </c>
      <c r="M140" t="s">
        <v>297</v>
      </c>
      <c r="N140" t="s">
        <v>421</v>
      </c>
      <c r="O140" t="s">
        <v>169</v>
      </c>
      <c r="P140" t="s">
        <v>174</v>
      </c>
    </row>
    <row r="141" spans="1:16" ht="12.75" customHeight="1">
      <c r="A141">
        <v>2</v>
      </c>
      <c r="B141" t="s">
        <v>317</v>
      </c>
      <c r="C141">
        <v>518</v>
      </c>
      <c r="D141" t="s">
        <v>295</v>
      </c>
      <c r="E141" t="s">
        <v>296</v>
      </c>
      <c r="F141" s="2">
        <v>31437</v>
      </c>
      <c r="G141" s="2">
        <v>32293</v>
      </c>
      <c r="H141" s="2">
        <v>39311</v>
      </c>
      <c r="I141" s="5">
        <v>39660</v>
      </c>
      <c r="K141" s="2">
        <v>35319</v>
      </c>
      <c r="L141" t="s">
        <v>322</v>
      </c>
      <c r="M141" t="s">
        <v>297</v>
      </c>
      <c r="N141" t="s">
        <v>422</v>
      </c>
      <c r="O141" t="s">
        <v>169</v>
      </c>
      <c r="P141" t="s">
        <v>174</v>
      </c>
    </row>
    <row r="142" spans="1:16" ht="12.75" customHeight="1">
      <c r="A142">
        <v>2</v>
      </c>
      <c r="B142" t="s">
        <v>317</v>
      </c>
      <c r="C142">
        <v>546</v>
      </c>
      <c r="D142" t="s">
        <v>295</v>
      </c>
      <c r="E142" t="s">
        <v>296</v>
      </c>
      <c r="F142" s="2">
        <v>31674</v>
      </c>
      <c r="G142" s="2">
        <v>33313</v>
      </c>
      <c r="H142" s="2">
        <v>39161</v>
      </c>
      <c r="I142" s="5">
        <v>39629</v>
      </c>
      <c r="K142" s="2">
        <v>34721</v>
      </c>
      <c r="L142" t="s">
        <v>297</v>
      </c>
      <c r="M142" t="s">
        <v>297</v>
      </c>
      <c r="N142" t="s">
        <v>423</v>
      </c>
      <c r="O142" t="s">
        <v>169</v>
      </c>
      <c r="P142" t="s">
        <v>174</v>
      </c>
    </row>
    <row r="143" spans="1:16" ht="12.75" customHeight="1">
      <c r="A143">
        <v>2</v>
      </c>
      <c r="B143" t="s">
        <v>317</v>
      </c>
      <c r="C143">
        <v>556</v>
      </c>
      <c r="D143" t="s">
        <v>295</v>
      </c>
      <c r="E143" t="s">
        <v>296</v>
      </c>
      <c r="F143" s="2">
        <v>31674</v>
      </c>
      <c r="G143" s="2">
        <v>33313</v>
      </c>
      <c r="H143" s="2">
        <v>39294</v>
      </c>
      <c r="I143" s="5">
        <v>37802</v>
      </c>
      <c r="J143" s="2">
        <v>33358</v>
      </c>
      <c r="K143" s="2">
        <v>36242</v>
      </c>
      <c r="L143" t="s">
        <v>297</v>
      </c>
      <c r="N143" t="s">
        <v>424</v>
      </c>
      <c r="O143" t="s">
        <v>169</v>
      </c>
      <c r="P143" t="s">
        <v>174</v>
      </c>
    </row>
    <row r="144" spans="1:16" ht="12.75" customHeight="1">
      <c r="A144">
        <v>2</v>
      </c>
      <c r="B144" t="s">
        <v>317</v>
      </c>
      <c r="C144">
        <v>643</v>
      </c>
      <c r="D144" t="s">
        <v>295</v>
      </c>
      <c r="E144" t="s">
        <v>296</v>
      </c>
      <c r="F144" s="2">
        <v>32293</v>
      </c>
      <c r="G144" s="2">
        <v>33313</v>
      </c>
      <c r="H144" s="2">
        <v>37936</v>
      </c>
      <c r="I144" s="5">
        <v>36738</v>
      </c>
      <c r="J144" s="2">
        <v>34515</v>
      </c>
      <c r="K144" s="2">
        <v>36382</v>
      </c>
      <c r="L144" t="s">
        <v>297</v>
      </c>
      <c r="M144" t="s">
        <v>297</v>
      </c>
      <c r="N144" t="s">
        <v>425</v>
      </c>
      <c r="O144" t="s">
        <v>169</v>
      </c>
      <c r="P144" t="s">
        <v>174</v>
      </c>
    </row>
    <row r="145" spans="1:16" ht="12.75" customHeight="1">
      <c r="A145">
        <v>2</v>
      </c>
      <c r="B145" t="s">
        <v>317</v>
      </c>
      <c r="C145">
        <v>710</v>
      </c>
      <c r="D145" t="s">
        <v>295</v>
      </c>
      <c r="E145" t="s">
        <v>296</v>
      </c>
      <c r="F145" s="2">
        <v>32892</v>
      </c>
      <c r="G145" s="2">
        <v>33313</v>
      </c>
      <c r="H145" s="2">
        <v>39190</v>
      </c>
      <c r="I145" s="5">
        <v>38898</v>
      </c>
      <c r="J145" s="2">
        <v>34285</v>
      </c>
      <c r="K145" s="2">
        <v>38832</v>
      </c>
      <c r="L145" t="s">
        <v>297</v>
      </c>
      <c r="M145" t="s">
        <v>297</v>
      </c>
      <c r="N145" t="s">
        <v>426</v>
      </c>
      <c r="O145" t="s">
        <v>169</v>
      </c>
      <c r="P145" t="s">
        <v>174</v>
      </c>
    </row>
    <row r="146" spans="1:16" ht="12.75" customHeight="1">
      <c r="A146">
        <v>2</v>
      </c>
      <c r="B146" t="s">
        <v>317</v>
      </c>
      <c r="C146">
        <v>953</v>
      </c>
      <c r="D146" t="s">
        <v>295</v>
      </c>
      <c r="E146" t="s">
        <v>296</v>
      </c>
      <c r="F146" s="2">
        <v>34493</v>
      </c>
      <c r="G146" s="2">
        <v>37820</v>
      </c>
      <c r="H146" s="2">
        <v>37268</v>
      </c>
      <c r="I146" s="5">
        <v>34880</v>
      </c>
      <c r="J146" s="2">
        <v>37819</v>
      </c>
      <c r="K146" s="2">
        <v>37268</v>
      </c>
      <c r="L146" t="s">
        <v>297</v>
      </c>
      <c r="M146" t="s">
        <v>297</v>
      </c>
      <c r="N146" t="s">
        <v>318</v>
      </c>
      <c r="O146" t="s">
        <v>169</v>
      </c>
      <c r="P146" t="s">
        <v>174</v>
      </c>
    </row>
    <row r="147" spans="1:16" ht="12.75" customHeight="1">
      <c r="A147">
        <v>2</v>
      </c>
      <c r="B147" t="s">
        <v>317</v>
      </c>
      <c r="C147">
        <v>1001</v>
      </c>
      <c r="D147" t="s">
        <v>295</v>
      </c>
      <c r="E147" t="s">
        <v>296</v>
      </c>
      <c r="F147" s="2">
        <v>34592</v>
      </c>
      <c r="G147" s="2">
        <v>36672</v>
      </c>
      <c r="H147" s="2">
        <v>38650</v>
      </c>
      <c r="I147" s="5">
        <v>38533</v>
      </c>
      <c r="K147" s="2">
        <v>38646</v>
      </c>
      <c r="L147" t="s">
        <v>297</v>
      </c>
      <c r="M147" t="s">
        <v>297</v>
      </c>
      <c r="N147" t="s">
        <v>427</v>
      </c>
      <c r="O147" t="s">
        <v>169</v>
      </c>
      <c r="P147" t="s">
        <v>174</v>
      </c>
    </row>
    <row r="148" spans="1:16" ht="12.75" customHeight="1">
      <c r="A148">
        <v>2</v>
      </c>
      <c r="B148" t="s">
        <v>317</v>
      </c>
      <c r="C148">
        <v>1360</v>
      </c>
      <c r="D148" t="s">
        <v>295</v>
      </c>
      <c r="E148" t="s">
        <v>299</v>
      </c>
      <c r="F148" s="2">
        <v>36803</v>
      </c>
      <c r="H148" s="2">
        <v>37753</v>
      </c>
      <c r="I148" s="5">
        <v>38533</v>
      </c>
      <c r="K148" s="2">
        <v>37756</v>
      </c>
      <c r="L148" t="s">
        <v>297</v>
      </c>
      <c r="M148" t="s">
        <v>297</v>
      </c>
      <c r="N148" t="s">
        <v>428</v>
      </c>
      <c r="O148" t="s">
        <v>169</v>
      </c>
      <c r="P148" t="s">
        <v>174</v>
      </c>
    </row>
    <row r="149" spans="1:16" ht="12.75" customHeight="1">
      <c r="A149">
        <v>2</v>
      </c>
      <c r="B149" t="s">
        <v>317</v>
      </c>
      <c r="C149">
        <v>1426</v>
      </c>
      <c r="D149" t="s">
        <v>295</v>
      </c>
      <c r="E149" t="s">
        <v>299</v>
      </c>
      <c r="F149" s="2">
        <v>37523</v>
      </c>
      <c r="H149" s="2">
        <v>39290</v>
      </c>
      <c r="I149" s="5">
        <v>38511</v>
      </c>
      <c r="L149" t="s">
        <v>297</v>
      </c>
      <c r="M149" t="s">
        <v>297</v>
      </c>
      <c r="N149" t="s">
        <v>318</v>
      </c>
      <c r="O149" t="s">
        <v>169</v>
      </c>
      <c r="P149" t="s">
        <v>174</v>
      </c>
    </row>
    <row r="150" spans="1:16" ht="12.75" customHeight="1">
      <c r="A150" t="s">
        <v>169</v>
      </c>
      <c r="B150" t="s">
        <v>174</v>
      </c>
    </row>
    <row r="151" spans="1:16" ht="12.75" customHeight="1">
      <c r="A151">
        <v>2</v>
      </c>
      <c r="B151" t="s">
        <v>155</v>
      </c>
      <c r="C151">
        <v>140</v>
      </c>
      <c r="D151" t="s">
        <v>295</v>
      </c>
      <c r="E151" t="s">
        <v>296</v>
      </c>
      <c r="F151" s="2">
        <v>28093</v>
      </c>
      <c r="G151" s="2">
        <v>29073</v>
      </c>
      <c r="H151" s="2">
        <v>38912</v>
      </c>
      <c r="I151" s="5">
        <v>38929</v>
      </c>
      <c r="K151" s="2">
        <v>38688</v>
      </c>
      <c r="L151" t="s">
        <v>297</v>
      </c>
      <c r="M151" t="s">
        <v>297</v>
      </c>
      <c r="N151" t="s">
        <v>429</v>
      </c>
      <c r="O151" t="s">
        <v>169</v>
      </c>
      <c r="P151" t="s">
        <v>175</v>
      </c>
    </row>
    <row r="152" spans="1:16" ht="12.75" customHeight="1">
      <c r="A152">
        <v>2</v>
      </c>
      <c r="B152" t="s">
        <v>155</v>
      </c>
      <c r="C152">
        <v>150</v>
      </c>
      <c r="D152" t="s">
        <v>295</v>
      </c>
      <c r="E152" t="s">
        <v>296</v>
      </c>
      <c r="F152" s="2">
        <v>28213</v>
      </c>
      <c r="G152" s="2">
        <v>28640</v>
      </c>
      <c r="H152" s="2">
        <v>39181</v>
      </c>
      <c r="I152" s="5">
        <v>39629</v>
      </c>
      <c r="K152" s="2">
        <v>38778</v>
      </c>
      <c r="L152" t="s">
        <v>297</v>
      </c>
      <c r="M152" t="s">
        <v>297</v>
      </c>
      <c r="N152" t="s">
        <v>430</v>
      </c>
      <c r="O152" t="s">
        <v>169</v>
      </c>
      <c r="P152" t="s">
        <v>175</v>
      </c>
    </row>
    <row r="153" spans="1:16" ht="12.75" customHeight="1">
      <c r="A153">
        <v>2</v>
      </c>
      <c r="B153" t="s">
        <v>155</v>
      </c>
      <c r="C153">
        <v>282</v>
      </c>
      <c r="D153" t="s">
        <v>295</v>
      </c>
      <c r="E153" t="s">
        <v>296</v>
      </c>
      <c r="F153" s="2">
        <v>29586</v>
      </c>
      <c r="G153" s="2">
        <v>30856</v>
      </c>
      <c r="H153" s="2">
        <v>39511</v>
      </c>
      <c r="I153" s="5">
        <v>39263</v>
      </c>
      <c r="J153" s="2">
        <v>30497</v>
      </c>
      <c r="K153" s="2">
        <v>39511</v>
      </c>
      <c r="L153" t="s">
        <v>297</v>
      </c>
      <c r="M153" t="s">
        <v>297</v>
      </c>
      <c r="N153" t="s">
        <v>431</v>
      </c>
      <c r="O153" t="s">
        <v>169</v>
      </c>
      <c r="P153" t="s">
        <v>175</v>
      </c>
    </row>
    <row r="154" spans="1:16" ht="12.75" customHeight="1">
      <c r="A154">
        <v>2</v>
      </c>
      <c r="B154" t="s">
        <v>155</v>
      </c>
      <c r="C154">
        <v>316</v>
      </c>
      <c r="D154" t="s">
        <v>295</v>
      </c>
      <c r="E154" t="s">
        <v>296</v>
      </c>
      <c r="F154" s="2">
        <v>29791</v>
      </c>
      <c r="G154" s="2">
        <v>33447</v>
      </c>
      <c r="H154" s="2">
        <v>39220</v>
      </c>
      <c r="I154" s="5">
        <v>39263</v>
      </c>
      <c r="K154" s="2">
        <v>38828</v>
      </c>
      <c r="L154" t="s">
        <v>297</v>
      </c>
      <c r="M154" t="s">
        <v>297</v>
      </c>
      <c r="N154" t="s">
        <v>432</v>
      </c>
      <c r="O154" t="s">
        <v>169</v>
      </c>
      <c r="P154" t="s">
        <v>175</v>
      </c>
    </row>
    <row r="155" spans="1:16" ht="12.75" customHeight="1">
      <c r="A155">
        <v>2</v>
      </c>
      <c r="B155" t="s">
        <v>155</v>
      </c>
      <c r="C155">
        <v>318</v>
      </c>
      <c r="D155" t="s">
        <v>295</v>
      </c>
      <c r="E155" t="s">
        <v>296</v>
      </c>
      <c r="F155" s="2">
        <v>29791</v>
      </c>
      <c r="G155" s="2">
        <v>30205</v>
      </c>
      <c r="H155" s="2">
        <v>39484</v>
      </c>
      <c r="I155" s="5">
        <v>39263</v>
      </c>
      <c r="K155" s="2">
        <v>38573</v>
      </c>
      <c r="L155" t="s">
        <v>297</v>
      </c>
      <c r="M155" t="s">
        <v>297</v>
      </c>
      <c r="N155" t="s">
        <v>433</v>
      </c>
      <c r="O155" t="s">
        <v>169</v>
      </c>
      <c r="P155" t="s">
        <v>175</v>
      </c>
    </row>
    <row r="156" spans="1:16" ht="12.75" customHeight="1">
      <c r="A156">
        <v>2</v>
      </c>
      <c r="B156" t="s">
        <v>155</v>
      </c>
      <c r="C156">
        <v>521</v>
      </c>
      <c r="D156" t="s">
        <v>295</v>
      </c>
      <c r="E156" t="s">
        <v>299</v>
      </c>
      <c r="F156" s="2">
        <v>31493</v>
      </c>
      <c r="H156" s="2">
        <v>38287</v>
      </c>
      <c r="I156" s="5">
        <v>37135</v>
      </c>
      <c r="K156" s="2">
        <v>36444</v>
      </c>
      <c r="L156" t="s">
        <v>297</v>
      </c>
      <c r="N156" t="s">
        <v>434</v>
      </c>
      <c r="O156" t="s">
        <v>169</v>
      </c>
      <c r="P156" t="s">
        <v>175</v>
      </c>
    </row>
    <row r="157" spans="1:16" ht="12.75" customHeight="1">
      <c r="A157">
        <v>2</v>
      </c>
      <c r="B157" t="s">
        <v>155</v>
      </c>
      <c r="C157">
        <v>535</v>
      </c>
      <c r="D157" t="s">
        <v>295</v>
      </c>
      <c r="E157" t="s">
        <v>296</v>
      </c>
      <c r="F157" s="2">
        <v>31558</v>
      </c>
      <c r="G157" s="2">
        <v>34593</v>
      </c>
      <c r="H157" s="2">
        <v>39507</v>
      </c>
      <c r="K157" s="2">
        <v>39388</v>
      </c>
      <c r="L157" t="s">
        <v>297</v>
      </c>
      <c r="M157" t="s">
        <v>297</v>
      </c>
      <c r="N157" t="s">
        <v>435</v>
      </c>
      <c r="O157" t="s">
        <v>169</v>
      </c>
      <c r="P157" t="s">
        <v>175</v>
      </c>
    </row>
    <row r="158" spans="1:16" ht="12.75" customHeight="1">
      <c r="A158">
        <v>2</v>
      </c>
      <c r="B158" t="s">
        <v>155</v>
      </c>
      <c r="C158">
        <v>740</v>
      </c>
      <c r="D158" t="s">
        <v>295</v>
      </c>
      <c r="E158" t="s">
        <v>296</v>
      </c>
      <c r="F158" s="2">
        <v>33021</v>
      </c>
      <c r="G158" s="2">
        <v>33544</v>
      </c>
      <c r="H158" s="2">
        <v>39204</v>
      </c>
      <c r="I158" s="5">
        <v>39629</v>
      </c>
      <c r="J158" s="2">
        <v>38516</v>
      </c>
      <c r="K158" s="2">
        <v>38861</v>
      </c>
      <c r="L158" t="s">
        <v>297</v>
      </c>
      <c r="M158" t="s">
        <v>297</v>
      </c>
      <c r="N158" t="s">
        <v>436</v>
      </c>
      <c r="O158" t="s">
        <v>169</v>
      </c>
      <c r="P158" t="s">
        <v>175</v>
      </c>
    </row>
    <row r="159" spans="1:16" ht="12.75" customHeight="1">
      <c r="A159">
        <v>2</v>
      </c>
      <c r="B159" t="s">
        <v>155</v>
      </c>
      <c r="C159">
        <v>843</v>
      </c>
      <c r="D159" t="s">
        <v>295</v>
      </c>
      <c r="E159" t="s">
        <v>296</v>
      </c>
      <c r="F159" s="2">
        <v>33799</v>
      </c>
      <c r="G159" s="2">
        <v>35573</v>
      </c>
      <c r="H159" s="2">
        <v>38794</v>
      </c>
      <c r="I159" s="5">
        <v>34699</v>
      </c>
      <c r="J159" s="2">
        <v>34639</v>
      </c>
      <c r="K159" s="2">
        <v>36424</v>
      </c>
      <c r="L159" t="s">
        <v>297</v>
      </c>
      <c r="M159" t="s">
        <v>297</v>
      </c>
      <c r="N159" t="s">
        <v>437</v>
      </c>
      <c r="O159" t="s">
        <v>169</v>
      </c>
      <c r="P159" t="s">
        <v>175</v>
      </c>
    </row>
    <row r="160" spans="1:16" ht="12.75" customHeight="1">
      <c r="A160">
        <v>2</v>
      </c>
      <c r="B160" t="s">
        <v>155</v>
      </c>
      <c r="C160">
        <v>995</v>
      </c>
      <c r="D160" t="s">
        <v>295</v>
      </c>
      <c r="E160" t="s">
        <v>296</v>
      </c>
      <c r="F160" s="2">
        <v>34584</v>
      </c>
      <c r="G160" s="2">
        <v>35874</v>
      </c>
      <c r="H160" s="2">
        <v>39282</v>
      </c>
      <c r="I160" s="5">
        <v>37802</v>
      </c>
      <c r="K160" s="2">
        <v>35857</v>
      </c>
      <c r="L160" t="s">
        <v>297</v>
      </c>
      <c r="N160" t="s">
        <v>438</v>
      </c>
      <c r="O160" t="s">
        <v>169</v>
      </c>
      <c r="P160" t="s">
        <v>175</v>
      </c>
    </row>
    <row r="161" spans="1:16" ht="12.75" customHeight="1">
      <c r="A161">
        <v>2</v>
      </c>
      <c r="B161" t="s">
        <v>155</v>
      </c>
      <c r="C161">
        <v>1253</v>
      </c>
      <c r="D161" t="s">
        <v>295</v>
      </c>
      <c r="E161" t="s">
        <v>296</v>
      </c>
      <c r="F161" s="2">
        <v>35956</v>
      </c>
      <c r="G161" s="2">
        <v>36777</v>
      </c>
      <c r="H161" s="2">
        <v>38022</v>
      </c>
      <c r="I161" s="5">
        <v>38565</v>
      </c>
      <c r="K161" s="2">
        <v>35956</v>
      </c>
      <c r="L161" t="s">
        <v>297</v>
      </c>
      <c r="M161" t="s">
        <v>297</v>
      </c>
      <c r="N161" t="s">
        <v>439</v>
      </c>
      <c r="O161" t="s">
        <v>169</v>
      </c>
      <c r="P161" t="s">
        <v>175</v>
      </c>
    </row>
    <row r="162" spans="1:16" ht="12.75" customHeight="1">
      <c r="A162">
        <v>2</v>
      </c>
      <c r="B162" t="s">
        <v>155</v>
      </c>
      <c r="C162">
        <v>1478</v>
      </c>
      <c r="D162" t="s">
        <v>408</v>
      </c>
      <c r="E162" t="s">
        <v>316</v>
      </c>
      <c r="F162" s="2">
        <v>38188</v>
      </c>
      <c r="H162" s="2">
        <v>38210</v>
      </c>
      <c r="I162" s="5">
        <v>38564</v>
      </c>
      <c r="L162" t="s">
        <v>297</v>
      </c>
      <c r="M162" t="s">
        <v>322</v>
      </c>
      <c r="O162" t="s">
        <v>169</v>
      </c>
      <c r="P162" t="s">
        <v>175</v>
      </c>
    </row>
    <row r="163" spans="1:16" ht="12.75" customHeight="1">
      <c r="A163" t="s">
        <v>169</v>
      </c>
      <c r="B163" t="s">
        <v>175</v>
      </c>
    </row>
    <row r="164" spans="1:16" ht="12.75" customHeight="1">
      <c r="A164">
        <v>2</v>
      </c>
      <c r="B164" t="s">
        <v>176</v>
      </c>
      <c r="C164">
        <v>27</v>
      </c>
      <c r="D164" t="s">
        <v>295</v>
      </c>
      <c r="E164" t="s">
        <v>296</v>
      </c>
      <c r="F164" s="2">
        <v>26648</v>
      </c>
      <c r="G164" s="2">
        <v>26648</v>
      </c>
      <c r="H164" s="2">
        <v>38831</v>
      </c>
      <c r="I164" s="5">
        <v>38443</v>
      </c>
      <c r="J164" s="2">
        <v>37911</v>
      </c>
      <c r="K164" s="2">
        <v>37799</v>
      </c>
      <c r="L164" t="s">
        <v>297</v>
      </c>
      <c r="M164" t="s">
        <v>297</v>
      </c>
      <c r="N164" t="s">
        <v>440</v>
      </c>
      <c r="O164" t="s">
        <v>169</v>
      </c>
      <c r="P164" t="s">
        <v>177</v>
      </c>
    </row>
    <row r="165" spans="1:16" ht="12.75" customHeight="1">
      <c r="A165">
        <v>2</v>
      </c>
      <c r="B165" t="s">
        <v>176</v>
      </c>
      <c r="C165">
        <v>35</v>
      </c>
      <c r="D165" t="s">
        <v>295</v>
      </c>
      <c r="E165" t="s">
        <v>296</v>
      </c>
      <c r="F165" s="2">
        <v>26830</v>
      </c>
      <c r="G165" s="2">
        <v>26830</v>
      </c>
      <c r="H165" s="2">
        <v>39461</v>
      </c>
      <c r="I165" s="5">
        <v>39629</v>
      </c>
      <c r="K165" s="2">
        <v>35895</v>
      </c>
      <c r="L165" t="s">
        <v>297</v>
      </c>
      <c r="M165" t="s">
        <v>297</v>
      </c>
      <c r="N165" t="s">
        <v>441</v>
      </c>
      <c r="O165" t="s">
        <v>169</v>
      </c>
      <c r="P165" t="s">
        <v>177</v>
      </c>
    </row>
    <row r="166" spans="1:16" ht="12.75" customHeight="1">
      <c r="A166">
        <v>2</v>
      </c>
      <c r="B166" t="s">
        <v>176</v>
      </c>
      <c r="C166">
        <v>64</v>
      </c>
      <c r="D166" t="s">
        <v>295</v>
      </c>
      <c r="E166" t="s">
        <v>296</v>
      </c>
      <c r="F166" s="2">
        <v>27591</v>
      </c>
      <c r="G166" s="2">
        <v>27591</v>
      </c>
      <c r="H166" s="2">
        <v>39238</v>
      </c>
      <c r="I166" s="5">
        <v>38898</v>
      </c>
      <c r="J166" s="2">
        <v>39034</v>
      </c>
      <c r="K166" s="2">
        <v>38750</v>
      </c>
      <c r="L166" t="s">
        <v>297</v>
      </c>
      <c r="M166" t="s">
        <v>297</v>
      </c>
      <c r="N166" t="s">
        <v>442</v>
      </c>
      <c r="O166" t="s">
        <v>169</v>
      </c>
      <c r="P166" t="s">
        <v>177</v>
      </c>
    </row>
    <row r="167" spans="1:16" ht="12.75" customHeight="1">
      <c r="A167">
        <v>2</v>
      </c>
      <c r="B167" t="s">
        <v>176</v>
      </c>
      <c r="C167">
        <v>256</v>
      </c>
      <c r="D167" t="s">
        <v>295</v>
      </c>
      <c r="E167" t="s">
        <v>296</v>
      </c>
      <c r="F167" s="2">
        <v>29258</v>
      </c>
      <c r="G167" s="2">
        <v>29638</v>
      </c>
      <c r="H167" s="2">
        <v>39300</v>
      </c>
      <c r="I167" s="5">
        <v>37802</v>
      </c>
      <c r="J167" s="2">
        <v>38021</v>
      </c>
      <c r="K167" s="2">
        <v>35625</v>
      </c>
      <c r="L167" t="s">
        <v>297</v>
      </c>
      <c r="M167" t="s">
        <v>297</v>
      </c>
      <c r="N167" t="s">
        <v>443</v>
      </c>
      <c r="O167" t="s">
        <v>169</v>
      </c>
      <c r="P167" t="s">
        <v>177</v>
      </c>
    </row>
    <row r="168" spans="1:16" ht="12.75" customHeight="1">
      <c r="A168">
        <v>2</v>
      </c>
      <c r="B168" t="s">
        <v>176</v>
      </c>
      <c r="C168">
        <v>1076</v>
      </c>
      <c r="D168" t="s">
        <v>295</v>
      </c>
      <c r="E168" t="s">
        <v>296</v>
      </c>
      <c r="F168" s="2">
        <v>34941</v>
      </c>
      <c r="G168" s="2">
        <v>37456</v>
      </c>
      <c r="H168" s="2">
        <v>38085</v>
      </c>
      <c r="I168" s="5">
        <v>38168</v>
      </c>
      <c r="J168" s="2">
        <v>35300</v>
      </c>
      <c r="K168" s="2">
        <v>36461</v>
      </c>
      <c r="L168" t="s">
        <v>297</v>
      </c>
      <c r="M168" t="s">
        <v>297</v>
      </c>
      <c r="N168" t="s">
        <v>444</v>
      </c>
      <c r="O168" t="s">
        <v>169</v>
      </c>
      <c r="P168" t="s">
        <v>177</v>
      </c>
    </row>
    <row r="169" spans="1:16" ht="12.75" customHeight="1">
      <c r="A169" t="s">
        <v>169</v>
      </c>
      <c r="B169" t="s">
        <v>177</v>
      </c>
    </row>
    <row r="170" spans="1:16" ht="12.75" customHeight="1">
      <c r="A170">
        <v>2</v>
      </c>
      <c r="B170" t="s">
        <v>322</v>
      </c>
      <c r="C170">
        <v>1</v>
      </c>
      <c r="D170" t="s">
        <v>295</v>
      </c>
      <c r="E170" t="s">
        <v>296</v>
      </c>
      <c r="F170" s="2">
        <v>26102</v>
      </c>
      <c r="G170" s="2">
        <v>26102</v>
      </c>
      <c r="H170" s="2">
        <v>39231</v>
      </c>
      <c r="I170" s="5">
        <v>38718</v>
      </c>
      <c r="J170" s="2">
        <v>38054</v>
      </c>
      <c r="K170" s="2">
        <v>36334</v>
      </c>
      <c r="L170" t="s">
        <v>297</v>
      </c>
      <c r="M170" t="s">
        <v>297</v>
      </c>
      <c r="N170" t="s">
        <v>445</v>
      </c>
      <c r="O170" t="s">
        <v>169</v>
      </c>
      <c r="P170" t="s">
        <v>178</v>
      </c>
    </row>
    <row r="171" spans="1:16" ht="12.75" customHeight="1">
      <c r="A171">
        <v>2</v>
      </c>
      <c r="B171" t="s">
        <v>322</v>
      </c>
      <c r="C171">
        <v>36</v>
      </c>
      <c r="D171" t="s">
        <v>295</v>
      </c>
      <c r="E171" t="s">
        <v>296</v>
      </c>
      <c r="F171" s="2">
        <v>26830</v>
      </c>
      <c r="G171" s="2">
        <v>26830</v>
      </c>
      <c r="H171" s="2">
        <v>39149</v>
      </c>
      <c r="I171" s="5">
        <v>38717</v>
      </c>
      <c r="J171" s="2">
        <v>38933</v>
      </c>
      <c r="K171" s="2">
        <v>37705</v>
      </c>
      <c r="L171" t="s">
        <v>297</v>
      </c>
      <c r="M171" t="s">
        <v>297</v>
      </c>
      <c r="N171" t="s">
        <v>446</v>
      </c>
      <c r="O171" t="s">
        <v>169</v>
      </c>
      <c r="P171" t="s">
        <v>178</v>
      </c>
    </row>
    <row r="172" spans="1:16" ht="12.75" customHeight="1">
      <c r="A172">
        <v>2</v>
      </c>
      <c r="B172" t="s">
        <v>322</v>
      </c>
      <c r="C172">
        <v>62</v>
      </c>
      <c r="D172" t="s">
        <v>295</v>
      </c>
      <c r="E172" t="s">
        <v>296</v>
      </c>
      <c r="F172" s="2">
        <v>27591</v>
      </c>
      <c r="G172" s="2">
        <v>27591</v>
      </c>
      <c r="H172" s="2">
        <v>39289</v>
      </c>
      <c r="I172" s="5">
        <v>37621</v>
      </c>
      <c r="J172" s="2">
        <v>39318</v>
      </c>
      <c r="K172" s="2">
        <v>35804</v>
      </c>
      <c r="L172" t="s">
        <v>297</v>
      </c>
      <c r="M172" t="s">
        <v>297</v>
      </c>
      <c r="N172" t="s">
        <v>447</v>
      </c>
      <c r="O172" t="s">
        <v>169</v>
      </c>
      <c r="P172" t="s">
        <v>178</v>
      </c>
    </row>
    <row r="173" spans="1:16" ht="12.75" customHeight="1">
      <c r="A173">
        <v>2</v>
      </c>
      <c r="B173" t="s">
        <v>322</v>
      </c>
      <c r="C173">
        <v>63</v>
      </c>
      <c r="D173" t="s">
        <v>295</v>
      </c>
      <c r="E173" t="s">
        <v>296</v>
      </c>
      <c r="F173" s="2">
        <v>27591</v>
      </c>
      <c r="G173" s="2">
        <v>27591</v>
      </c>
      <c r="H173" s="2">
        <v>39239</v>
      </c>
      <c r="I173" s="5">
        <v>39994</v>
      </c>
      <c r="J173" s="2">
        <v>39318</v>
      </c>
      <c r="K173" s="2">
        <v>38868</v>
      </c>
      <c r="L173" t="s">
        <v>297</v>
      </c>
      <c r="M173" t="s">
        <v>297</v>
      </c>
      <c r="N173" t="s">
        <v>448</v>
      </c>
      <c r="O173" t="s">
        <v>169</v>
      </c>
      <c r="P173" t="s">
        <v>178</v>
      </c>
    </row>
    <row r="174" spans="1:16" ht="12.75" customHeight="1">
      <c r="A174">
        <v>2</v>
      </c>
      <c r="B174" t="s">
        <v>322</v>
      </c>
      <c r="C174">
        <v>107</v>
      </c>
      <c r="D174" t="s">
        <v>295</v>
      </c>
      <c r="E174" t="s">
        <v>296</v>
      </c>
      <c r="F174" s="2">
        <v>27785</v>
      </c>
      <c r="G174" s="2">
        <v>28171</v>
      </c>
      <c r="H174" s="2">
        <v>38841</v>
      </c>
      <c r="I174" s="5">
        <v>39082</v>
      </c>
      <c r="J174" s="2">
        <v>39318</v>
      </c>
      <c r="K174" s="2">
        <v>35851</v>
      </c>
      <c r="L174" t="s">
        <v>297</v>
      </c>
      <c r="M174" t="s">
        <v>297</v>
      </c>
      <c r="N174" t="s">
        <v>449</v>
      </c>
      <c r="O174" t="s">
        <v>169</v>
      </c>
      <c r="P174" t="s">
        <v>178</v>
      </c>
    </row>
    <row r="175" spans="1:16" ht="12.75" customHeight="1">
      <c r="A175">
        <v>2</v>
      </c>
      <c r="B175" t="s">
        <v>322</v>
      </c>
      <c r="C175">
        <v>108</v>
      </c>
      <c r="D175" t="s">
        <v>295</v>
      </c>
      <c r="E175" t="s">
        <v>296</v>
      </c>
      <c r="F175" s="2">
        <v>27785</v>
      </c>
      <c r="G175" s="2">
        <v>30727</v>
      </c>
      <c r="H175" s="2">
        <v>38849</v>
      </c>
      <c r="I175" s="5">
        <v>39478</v>
      </c>
      <c r="J175" s="2">
        <v>37911</v>
      </c>
      <c r="K175" s="2">
        <v>38461</v>
      </c>
      <c r="L175" t="s">
        <v>297</v>
      </c>
      <c r="M175" t="s">
        <v>297</v>
      </c>
      <c r="N175" t="s">
        <v>450</v>
      </c>
      <c r="O175" t="s">
        <v>169</v>
      </c>
      <c r="P175" t="s">
        <v>178</v>
      </c>
    </row>
    <row r="176" spans="1:16" ht="12.75" customHeight="1">
      <c r="A176">
        <v>2</v>
      </c>
      <c r="B176" t="s">
        <v>322</v>
      </c>
      <c r="C176">
        <v>110</v>
      </c>
      <c r="D176" t="s">
        <v>295</v>
      </c>
      <c r="E176" t="s">
        <v>296</v>
      </c>
      <c r="F176" s="2">
        <v>27785</v>
      </c>
      <c r="G176" s="2">
        <v>28901</v>
      </c>
      <c r="H176" s="2">
        <v>39486</v>
      </c>
      <c r="I176" s="5">
        <v>39447</v>
      </c>
      <c r="J176" s="2">
        <v>39318</v>
      </c>
      <c r="K176" s="2">
        <v>36255</v>
      </c>
      <c r="L176" t="s">
        <v>297</v>
      </c>
      <c r="M176" t="s">
        <v>297</v>
      </c>
      <c r="N176" t="s">
        <v>451</v>
      </c>
      <c r="O176" t="s">
        <v>169</v>
      </c>
      <c r="P176" t="s">
        <v>178</v>
      </c>
    </row>
    <row r="177" spans="1:16" ht="12.75" customHeight="1">
      <c r="A177">
        <v>2</v>
      </c>
      <c r="B177" t="s">
        <v>322</v>
      </c>
      <c r="C177">
        <v>1099</v>
      </c>
      <c r="D177" t="s">
        <v>295</v>
      </c>
      <c r="E177" t="s">
        <v>296</v>
      </c>
      <c r="F177" s="2">
        <v>35138</v>
      </c>
      <c r="G177" s="2">
        <v>35573</v>
      </c>
      <c r="H177" s="2">
        <v>39345</v>
      </c>
      <c r="I177" s="5">
        <v>39629</v>
      </c>
      <c r="J177" s="2">
        <v>39318</v>
      </c>
      <c r="K177" s="2">
        <v>39156</v>
      </c>
      <c r="L177" t="s">
        <v>297</v>
      </c>
      <c r="M177" t="s">
        <v>297</v>
      </c>
      <c r="N177" t="s">
        <v>452</v>
      </c>
      <c r="O177" t="s">
        <v>169</v>
      </c>
      <c r="P177" t="s">
        <v>178</v>
      </c>
    </row>
    <row r="178" spans="1:16" ht="12.75" customHeight="1">
      <c r="A178" t="s">
        <v>169</v>
      </c>
      <c r="B178" t="s">
        <v>178</v>
      </c>
    </row>
    <row r="179" spans="1:16" ht="12.75" customHeight="1">
      <c r="A179">
        <v>2</v>
      </c>
      <c r="B179" t="s">
        <v>165</v>
      </c>
      <c r="C179">
        <v>53</v>
      </c>
      <c r="D179" t="s">
        <v>295</v>
      </c>
      <c r="E179" t="s">
        <v>296</v>
      </c>
      <c r="F179" s="2">
        <v>27275</v>
      </c>
      <c r="G179" s="2">
        <v>27275</v>
      </c>
      <c r="H179" s="2">
        <v>38754</v>
      </c>
      <c r="I179" s="5">
        <v>37256</v>
      </c>
      <c r="K179" s="2">
        <v>39065</v>
      </c>
      <c r="L179" t="s">
        <v>297</v>
      </c>
      <c r="M179" t="s">
        <v>322</v>
      </c>
      <c r="N179" t="s">
        <v>453</v>
      </c>
      <c r="O179" t="s">
        <v>169</v>
      </c>
      <c r="P179" t="s">
        <v>179</v>
      </c>
    </row>
    <row r="180" spans="1:16" ht="12.75" customHeight="1">
      <c r="A180">
        <v>2</v>
      </c>
      <c r="B180" t="s">
        <v>165</v>
      </c>
      <c r="C180">
        <v>93</v>
      </c>
      <c r="D180" t="s">
        <v>295</v>
      </c>
      <c r="E180" t="s">
        <v>296</v>
      </c>
      <c r="F180" s="2">
        <v>27785</v>
      </c>
      <c r="G180" s="2">
        <v>27805</v>
      </c>
      <c r="H180" s="2">
        <v>38853</v>
      </c>
      <c r="I180" s="5">
        <v>37006</v>
      </c>
      <c r="J180" s="2">
        <v>29767</v>
      </c>
      <c r="K180" s="2">
        <v>35163</v>
      </c>
      <c r="L180" t="s">
        <v>297</v>
      </c>
      <c r="N180" t="s">
        <v>454</v>
      </c>
      <c r="O180" t="s">
        <v>169</v>
      </c>
      <c r="P180" t="s">
        <v>179</v>
      </c>
    </row>
    <row r="181" spans="1:16" ht="12.75" customHeight="1">
      <c r="A181">
        <v>2</v>
      </c>
      <c r="B181" t="s">
        <v>165</v>
      </c>
      <c r="C181">
        <v>149</v>
      </c>
      <c r="D181" t="s">
        <v>295</v>
      </c>
      <c r="E181" t="s">
        <v>296</v>
      </c>
      <c r="F181" s="2">
        <v>28748</v>
      </c>
      <c r="G181" s="2">
        <v>28734</v>
      </c>
      <c r="H181" s="2">
        <v>39337</v>
      </c>
      <c r="I181" s="5">
        <v>33683</v>
      </c>
      <c r="J181" s="2">
        <v>33785</v>
      </c>
      <c r="K181" s="2">
        <v>39336</v>
      </c>
      <c r="L181" t="s">
        <v>297</v>
      </c>
      <c r="M181" t="s">
        <v>297</v>
      </c>
      <c r="N181" t="s">
        <v>455</v>
      </c>
      <c r="O181" t="s">
        <v>169</v>
      </c>
      <c r="P181" t="s">
        <v>179</v>
      </c>
    </row>
    <row r="182" spans="1:16" ht="12.75" customHeight="1">
      <c r="A182">
        <v>2</v>
      </c>
      <c r="B182" t="s">
        <v>165</v>
      </c>
      <c r="C182">
        <v>332</v>
      </c>
      <c r="D182" t="s">
        <v>295</v>
      </c>
      <c r="E182" t="s">
        <v>296</v>
      </c>
      <c r="F182" s="2">
        <v>29910</v>
      </c>
      <c r="G182" s="2">
        <v>30335</v>
      </c>
      <c r="H182" s="2">
        <v>39371</v>
      </c>
      <c r="I182" s="5">
        <v>39629</v>
      </c>
      <c r="K182" s="2">
        <v>39164</v>
      </c>
      <c r="L182" t="s">
        <v>297</v>
      </c>
      <c r="M182" t="s">
        <v>322</v>
      </c>
      <c r="N182" t="s">
        <v>456</v>
      </c>
      <c r="O182" t="s">
        <v>169</v>
      </c>
      <c r="P182" t="s">
        <v>179</v>
      </c>
    </row>
    <row r="183" spans="1:16" ht="12.75" customHeight="1">
      <c r="A183">
        <v>2</v>
      </c>
      <c r="B183" t="s">
        <v>165</v>
      </c>
      <c r="C183">
        <v>485</v>
      </c>
      <c r="D183" t="s">
        <v>348</v>
      </c>
      <c r="E183" t="s">
        <v>316</v>
      </c>
      <c r="F183" s="2">
        <v>36600</v>
      </c>
      <c r="H183" s="2">
        <v>36600</v>
      </c>
      <c r="L183" t="s">
        <v>322</v>
      </c>
      <c r="M183" t="s">
        <v>322</v>
      </c>
      <c r="N183" t="s">
        <v>369</v>
      </c>
      <c r="O183" t="s">
        <v>169</v>
      </c>
      <c r="P183" t="s">
        <v>179</v>
      </c>
    </row>
    <row r="184" spans="1:16" ht="12.75" customHeight="1">
      <c r="A184">
        <v>2</v>
      </c>
      <c r="B184" t="s">
        <v>165</v>
      </c>
      <c r="C184">
        <v>486</v>
      </c>
      <c r="D184" t="s">
        <v>348</v>
      </c>
      <c r="E184" t="s">
        <v>316</v>
      </c>
      <c r="F184" s="2">
        <v>31310</v>
      </c>
      <c r="G184" s="2">
        <v>36238</v>
      </c>
      <c r="H184" s="2">
        <v>36976</v>
      </c>
      <c r="I184" s="5">
        <v>36372</v>
      </c>
      <c r="K184" s="2">
        <v>36242</v>
      </c>
      <c r="L184" t="s">
        <v>297</v>
      </c>
      <c r="M184" t="s">
        <v>322</v>
      </c>
      <c r="N184" t="s">
        <v>369</v>
      </c>
      <c r="O184" t="s">
        <v>169</v>
      </c>
      <c r="P184" t="s">
        <v>179</v>
      </c>
    </row>
    <row r="185" spans="1:16" ht="12.75" customHeight="1">
      <c r="A185">
        <v>2</v>
      </c>
      <c r="B185" t="s">
        <v>165</v>
      </c>
      <c r="C185">
        <v>525</v>
      </c>
      <c r="D185" t="s">
        <v>295</v>
      </c>
      <c r="E185" t="s">
        <v>296</v>
      </c>
      <c r="F185" s="2">
        <v>31493</v>
      </c>
      <c r="G185" s="2">
        <v>31919</v>
      </c>
      <c r="H185" s="2">
        <v>38069</v>
      </c>
      <c r="I185" s="5">
        <v>39813</v>
      </c>
      <c r="K185" s="2">
        <v>35200</v>
      </c>
      <c r="L185" t="s">
        <v>297</v>
      </c>
      <c r="M185" t="s">
        <v>322</v>
      </c>
      <c r="N185" t="s">
        <v>457</v>
      </c>
      <c r="O185" t="s">
        <v>169</v>
      </c>
      <c r="P185" t="s">
        <v>179</v>
      </c>
    </row>
    <row r="186" spans="1:16" ht="12.75" customHeight="1">
      <c r="A186">
        <v>2</v>
      </c>
      <c r="B186" t="s">
        <v>165</v>
      </c>
      <c r="C186">
        <v>698</v>
      </c>
      <c r="D186" t="s">
        <v>295</v>
      </c>
      <c r="E186" t="s">
        <v>296</v>
      </c>
      <c r="F186" s="2">
        <v>32760</v>
      </c>
      <c r="G186" s="2">
        <v>36427</v>
      </c>
      <c r="H186" s="2">
        <v>39363</v>
      </c>
      <c r="I186" s="5">
        <v>37315</v>
      </c>
      <c r="L186" t="s">
        <v>297</v>
      </c>
      <c r="M186" t="s">
        <v>297</v>
      </c>
      <c r="N186" t="s">
        <v>458</v>
      </c>
      <c r="O186" t="s">
        <v>169</v>
      </c>
      <c r="P186" t="s">
        <v>179</v>
      </c>
    </row>
    <row r="187" spans="1:16" ht="12.75" customHeight="1">
      <c r="A187">
        <v>2</v>
      </c>
      <c r="B187" t="s">
        <v>165</v>
      </c>
      <c r="C187">
        <v>802</v>
      </c>
      <c r="D187" t="s">
        <v>393</v>
      </c>
      <c r="E187" t="s">
        <v>316</v>
      </c>
      <c r="F187" s="2">
        <v>33487</v>
      </c>
      <c r="H187" s="2">
        <v>38194</v>
      </c>
      <c r="I187" s="5">
        <v>36160</v>
      </c>
      <c r="K187" s="2">
        <v>38187</v>
      </c>
      <c r="L187" t="s">
        <v>297</v>
      </c>
      <c r="M187" t="s">
        <v>322</v>
      </c>
      <c r="N187" t="s">
        <v>318</v>
      </c>
      <c r="O187" t="s">
        <v>169</v>
      </c>
      <c r="P187" t="s">
        <v>179</v>
      </c>
    </row>
    <row r="188" spans="1:16" ht="12.75" customHeight="1">
      <c r="A188">
        <v>2</v>
      </c>
      <c r="B188" t="s">
        <v>165</v>
      </c>
      <c r="C188">
        <v>870</v>
      </c>
      <c r="D188" t="s">
        <v>295</v>
      </c>
      <c r="E188" t="s">
        <v>296</v>
      </c>
      <c r="F188" s="2">
        <v>33959</v>
      </c>
      <c r="G188" s="2">
        <v>34901</v>
      </c>
      <c r="H188" s="2">
        <v>39518</v>
      </c>
      <c r="I188" s="5">
        <v>39629</v>
      </c>
      <c r="K188" s="2">
        <v>36179</v>
      </c>
      <c r="L188" t="s">
        <v>297</v>
      </c>
      <c r="M188" t="s">
        <v>322</v>
      </c>
      <c r="N188" t="s">
        <v>459</v>
      </c>
      <c r="O188" t="s">
        <v>169</v>
      </c>
      <c r="P188" t="s">
        <v>179</v>
      </c>
    </row>
    <row r="189" spans="1:16" ht="12.75" customHeight="1">
      <c r="A189">
        <v>2</v>
      </c>
      <c r="B189" t="s">
        <v>165</v>
      </c>
      <c r="C189">
        <v>887</v>
      </c>
      <c r="D189" t="s">
        <v>295</v>
      </c>
      <c r="E189" t="s">
        <v>296</v>
      </c>
      <c r="F189" s="2">
        <v>34099</v>
      </c>
      <c r="G189" s="2">
        <v>35140</v>
      </c>
      <c r="H189" s="2">
        <v>39171</v>
      </c>
      <c r="I189" s="5">
        <v>39629</v>
      </c>
      <c r="K189" s="2">
        <v>38817</v>
      </c>
      <c r="L189" t="s">
        <v>297</v>
      </c>
      <c r="M189" t="s">
        <v>297</v>
      </c>
      <c r="N189" t="s">
        <v>460</v>
      </c>
      <c r="O189" t="s">
        <v>169</v>
      </c>
      <c r="P189" t="s">
        <v>179</v>
      </c>
    </row>
    <row r="190" spans="1:16" ht="12.75" customHeight="1">
      <c r="A190">
        <v>2</v>
      </c>
      <c r="B190" t="s">
        <v>165</v>
      </c>
      <c r="C190">
        <v>952</v>
      </c>
      <c r="D190" t="s">
        <v>461</v>
      </c>
      <c r="E190" t="s">
        <v>316</v>
      </c>
      <c r="F190" s="2">
        <v>34561</v>
      </c>
      <c r="L190" t="s">
        <v>322</v>
      </c>
      <c r="M190" t="s">
        <v>297</v>
      </c>
      <c r="N190" t="s">
        <v>369</v>
      </c>
      <c r="O190" t="s">
        <v>169</v>
      </c>
      <c r="P190" t="s">
        <v>179</v>
      </c>
    </row>
    <row r="191" spans="1:16" ht="12.75" customHeight="1">
      <c r="A191">
        <v>2</v>
      </c>
      <c r="B191" t="s">
        <v>165</v>
      </c>
      <c r="C191">
        <v>1002</v>
      </c>
      <c r="D191" t="s">
        <v>348</v>
      </c>
      <c r="E191" t="s">
        <v>316</v>
      </c>
      <c r="F191" s="2">
        <v>34589</v>
      </c>
      <c r="H191" s="2">
        <v>36004</v>
      </c>
      <c r="I191" s="5">
        <v>34699</v>
      </c>
      <c r="K191" s="2">
        <v>34613</v>
      </c>
      <c r="L191" t="s">
        <v>322</v>
      </c>
      <c r="M191" t="s">
        <v>297</v>
      </c>
      <c r="O191" t="s">
        <v>169</v>
      </c>
      <c r="P191" t="s">
        <v>179</v>
      </c>
    </row>
    <row r="192" spans="1:16" ht="12.75" customHeight="1">
      <c r="A192">
        <v>2</v>
      </c>
      <c r="B192" t="s">
        <v>165</v>
      </c>
      <c r="C192">
        <v>1006</v>
      </c>
      <c r="D192" t="s">
        <v>462</v>
      </c>
      <c r="E192" t="s">
        <v>316</v>
      </c>
      <c r="F192" s="2">
        <v>34618</v>
      </c>
      <c r="H192" s="2">
        <v>34618</v>
      </c>
      <c r="I192" s="5">
        <v>34618</v>
      </c>
      <c r="L192" t="s">
        <v>322</v>
      </c>
      <c r="M192" t="s">
        <v>297</v>
      </c>
      <c r="N192" t="s">
        <v>369</v>
      </c>
      <c r="O192" t="s">
        <v>169</v>
      </c>
      <c r="P192" t="s">
        <v>179</v>
      </c>
    </row>
    <row r="193" spans="1:16" ht="12.75" customHeight="1">
      <c r="A193">
        <v>2</v>
      </c>
      <c r="B193" t="s">
        <v>165</v>
      </c>
      <c r="C193">
        <v>1167</v>
      </c>
      <c r="D193" t="s">
        <v>295</v>
      </c>
      <c r="E193" t="s">
        <v>299</v>
      </c>
      <c r="F193" s="2">
        <v>35460</v>
      </c>
      <c r="H193" s="2">
        <v>39393</v>
      </c>
      <c r="I193" s="5">
        <v>39629</v>
      </c>
      <c r="K193" s="2">
        <v>36245</v>
      </c>
      <c r="L193" t="s">
        <v>297</v>
      </c>
      <c r="M193" t="s">
        <v>297</v>
      </c>
      <c r="N193" t="s">
        <v>463</v>
      </c>
      <c r="O193" t="s">
        <v>169</v>
      </c>
      <c r="P193" t="s">
        <v>179</v>
      </c>
    </row>
    <row r="194" spans="1:16" ht="12.75" customHeight="1">
      <c r="A194">
        <v>2</v>
      </c>
      <c r="B194" t="s">
        <v>165</v>
      </c>
      <c r="C194">
        <v>1232</v>
      </c>
      <c r="D194" t="s">
        <v>464</v>
      </c>
      <c r="E194" t="s">
        <v>316</v>
      </c>
      <c r="F194" s="2">
        <v>35816</v>
      </c>
      <c r="H194" s="2">
        <v>36630</v>
      </c>
      <c r="I194" s="5">
        <v>36892</v>
      </c>
      <c r="L194" t="s">
        <v>322</v>
      </c>
      <c r="M194" t="s">
        <v>297</v>
      </c>
      <c r="N194" t="s">
        <v>369</v>
      </c>
      <c r="O194" t="s">
        <v>169</v>
      </c>
      <c r="P194" t="s">
        <v>179</v>
      </c>
    </row>
    <row r="195" spans="1:16" ht="12.75" customHeight="1">
      <c r="A195">
        <v>2</v>
      </c>
      <c r="B195" t="s">
        <v>165</v>
      </c>
      <c r="C195">
        <v>1348</v>
      </c>
      <c r="D195" t="s">
        <v>408</v>
      </c>
      <c r="E195" t="s">
        <v>316</v>
      </c>
      <c r="F195" s="2">
        <v>36686</v>
      </c>
      <c r="H195" s="2">
        <v>37459</v>
      </c>
      <c r="I195" s="5">
        <v>37986</v>
      </c>
      <c r="J195" s="2">
        <v>37110</v>
      </c>
      <c r="L195" t="s">
        <v>297</v>
      </c>
      <c r="M195" t="s">
        <v>297</v>
      </c>
      <c r="O195" t="s">
        <v>169</v>
      </c>
      <c r="P195" t="s">
        <v>179</v>
      </c>
    </row>
    <row r="196" spans="1:16" ht="12.75" customHeight="1">
      <c r="A196">
        <v>2</v>
      </c>
      <c r="B196" t="s">
        <v>165</v>
      </c>
      <c r="C196">
        <v>1449</v>
      </c>
      <c r="D196" t="s">
        <v>295</v>
      </c>
      <c r="E196" t="s">
        <v>299</v>
      </c>
      <c r="F196" s="2">
        <v>37761</v>
      </c>
      <c r="H196" s="2">
        <v>39218</v>
      </c>
      <c r="I196" s="5">
        <v>38108</v>
      </c>
      <c r="K196" s="2">
        <v>39259</v>
      </c>
      <c r="L196" t="s">
        <v>322</v>
      </c>
      <c r="M196" t="s">
        <v>322</v>
      </c>
      <c r="N196" t="s">
        <v>465</v>
      </c>
      <c r="O196" t="s">
        <v>169</v>
      </c>
      <c r="P196" t="s">
        <v>179</v>
      </c>
    </row>
    <row r="197" spans="1:16" ht="12.75" customHeight="1">
      <c r="A197" t="s">
        <v>169</v>
      </c>
      <c r="B197" t="s">
        <v>179</v>
      </c>
    </row>
    <row r="198" spans="1:16" ht="12.75" customHeight="1">
      <c r="A198" t="s">
        <v>466</v>
      </c>
    </row>
    <row r="199" spans="1:16" ht="12.75" customHeight="1">
      <c r="A199">
        <v>3</v>
      </c>
      <c r="B199" t="s">
        <v>140</v>
      </c>
      <c r="C199">
        <v>266</v>
      </c>
      <c r="D199" t="s">
        <v>295</v>
      </c>
      <c r="E199" t="s">
        <v>296</v>
      </c>
      <c r="F199" s="2">
        <v>29399</v>
      </c>
      <c r="G199" s="2">
        <v>33867</v>
      </c>
      <c r="H199" s="2">
        <v>39010</v>
      </c>
      <c r="I199" s="5">
        <v>35064</v>
      </c>
      <c r="J199" s="2">
        <v>31259</v>
      </c>
      <c r="K199" s="2">
        <v>32850</v>
      </c>
      <c r="L199" t="s">
        <v>297</v>
      </c>
      <c r="M199" t="s">
        <v>297</v>
      </c>
      <c r="N199" t="s">
        <v>467</v>
      </c>
      <c r="O199" t="s">
        <v>180</v>
      </c>
      <c r="P199" t="s">
        <v>181</v>
      </c>
    </row>
    <row r="200" spans="1:16" ht="12.75" customHeight="1">
      <c r="A200">
        <v>3</v>
      </c>
      <c r="B200" t="s">
        <v>140</v>
      </c>
      <c r="C200">
        <v>473</v>
      </c>
      <c r="D200" t="s">
        <v>295</v>
      </c>
      <c r="E200" t="s">
        <v>296</v>
      </c>
      <c r="F200" s="2">
        <v>31192</v>
      </c>
      <c r="G200" s="2">
        <v>31493</v>
      </c>
      <c r="H200" s="2">
        <v>39358</v>
      </c>
      <c r="I200" s="5">
        <v>32534</v>
      </c>
      <c r="K200" s="2">
        <v>34130</v>
      </c>
      <c r="L200" t="s">
        <v>297</v>
      </c>
      <c r="M200" t="s">
        <v>297</v>
      </c>
      <c r="N200" t="s">
        <v>468</v>
      </c>
      <c r="O200" t="s">
        <v>180</v>
      </c>
      <c r="P200" t="s">
        <v>181</v>
      </c>
    </row>
    <row r="201" spans="1:16" ht="12.75" customHeight="1">
      <c r="A201">
        <v>3</v>
      </c>
      <c r="B201" t="s">
        <v>140</v>
      </c>
      <c r="C201">
        <v>611</v>
      </c>
      <c r="D201" t="s">
        <v>295</v>
      </c>
      <c r="E201" t="s">
        <v>296</v>
      </c>
      <c r="F201" s="2">
        <v>31939</v>
      </c>
      <c r="G201" s="2">
        <v>32944</v>
      </c>
      <c r="H201" s="2">
        <v>39051</v>
      </c>
      <c r="I201" s="5">
        <v>37437</v>
      </c>
      <c r="J201" s="2">
        <v>35667</v>
      </c>
      <c r="K201" s="2">
        <v>33489</v>
      </c>
      <c r="L201" t="s">
        <v>297</v>
      </c>
      <c r="M201" t="s">
        <v>297</v>
      </c>
      <c r="N201" t="s">
        <v>469</v>
      </c>
      <c r="O201" t="s">
        <v>180</v>
      </c>
      <c r="P201" t="s">
        <v>181</v>
      </c>
    </row>
    <row r="202" spans="1:16" ht="12.75" customHeight="1">
      <c r="A202">
        <v>3</v>
      </c>
      <c r="B202" t="s">
        <v>140</v>
      </c>
      <c r="C202">
        <v>1328</v>
      </c>
      <c r="D202" t="s">
        <v>295</v>
      </c>
      <c r="E202" t="s">
        <v>296</v>
      </c>
      <c r="F202" s="2">
        <v>36577</v>
      </c>
      <c r="G202" s="2">
        <v>37733</v>
      </c>
      <c r="H202" s="2">
        <v>38964</v>
      </c>
      <c r="I202" s="5">
        <v>37256</v>
      </c>
      <c r="L202" t="s">
        <v>297</v>
      </c>
      <c r="M202" t="s">
        <v>297</v>
      </c>
      <c r="N202" t="s">
        <v>470</v>
      </c>
      <c r="O202" t="s">
        <v>180</v>
      </c>
      <c r="P202" t="s">
        <v>181</v>
      </c>
    </row>
    <row r="203" spans="1:16" ht="12.75" customHeight="1">
      <c r="A203">
        <v>3</v>
      </c>
      <c r="B203" t="s">
        <v>140</v>
      </c>
      <c r="C203">
        <v>1378</v>
      </c>
      <c r="D203" t="s">
        <v>295</v>
      </c>
      <c r="E203" t="s">
        <v>299</v>
      </c>
      <c r="F203" s="2">
        <v>36991</v>
      </c>
      <c r="H203" s="2">
        <v>38858</v>
      </c>
      <c r="I203" s="5">
        <v>37356</v>
      </c>
      <c r="L203" t="s">
        <v>322</v>
      </c>
      <c r="N203" t="s">
        <v>471</v>
      </c>
      <c r="O203" t="s">
        <v>180</v>
      </c>
      <c r="P203" t="s">
        <v>181</v>
      </c>
    </row>
    <row r="204" spans="1:16" ht="12.75" customHeight="1">
      <c r="A204">
        <v>3</v>
      </c>
      <c r="B204" t="s">
        <v>140</v>
      </c>
      <c r="C204">
        <v>1381</v>
      </c>
      <c r="D204" t="s">
        <v>295</v>
      </c>
      <c r="E204" t="s">
        <v>299</v>
      </c>
      <c r="F204" s="2">
        <v>37029</v>
      </c>
      <c r="H204" s="2">
        <v>38441</v>
      </c>
      <c r="I204" s="5">
        <v>37394</v>
      </c>
      <c r="L204" t="s">
        <v>322</v>
      </c>
      <c r="N204" t="s">
        <v>472</v>
      </c>
      <c r="O204" t="s">
        <v>180</v>
      </c>
      <c r="P204" t="s">
        <v>181</v>
      </c>
    </row>
    <row r="205" spans="1:16" ht="12.75" customHeight="1">
      <c r="A205">
        <v>3</v>
      </c>
      <c r="B205" t="s">
        <v>140</v>
      </c>
      <c r="C205">
        <v>1479</v>
      </c>
      <c r="D205" t="s">
        <v>295</v>
      </c>
      <c r="E205" t="s">
        <v>299</v>
      </c>
      <c r="F205" s="2">
        <v>38184</v>
      </c>
      <c r="H205" s="2">
        <v>38944</v>
      </c>
      <c r="L205" t="s">
        <v>297</v>
      </c>
      <c r="M205" t="s">
        <v>297</v>
      </c>
      <c r="N205" t="s">
        <v>473</v>
      </c>
      <c r="O205" t="s">
        <v>180</v>
      </c>
      <c r="P205" t="s">
        <v>181</v>
      </c>
    </row>
    <row r="206" spans="1:16" ht="12.75" customHeight="1">
      <c r="A206">
        <v>3</v>
      </c>
      <c r="B206" t="s">
        <v>140</v>
      </c>
      <c r="C206">
        <v>1485</v>
      </c>
      <c r="D206" t="s">
        <v>295</v>
      </c>
      <c r="E206" t="s">
        <v>296</v>
      </c>
      <c r="F206" s="2">
        <v>38181</v>
      </c>
      <c r="G206" s="2">
        <v>39521</v>
      </c>
      <c r="H206" s="2">
        <v>38992</v>
      </c>
      <c r="I206" s="5">
        <v>38533</v>
      </c>
      <c r="K206" s="2">
        <v>38992</v>
      </c>
      <c r="L206" t="s">
        <v>297</v>
      </c>
      <c r="M206" t="s">
        <v>297</v>
      </c>
      <c r="N206" t="s">
        <v>474</v>
      </c>
      <c r="O206" t="s">
        <v>180</v>
      </c>
      <c r="P206" t="s">
        <v>181</v>
      </c>
    </row>
    <row r="207" spans="1:16" ht="12.75" customHeight="1">
      <c r="A207">
        <v>3</v>
      </c>
      <c r="B207" t="s">
        <v>140</v>
      </c>
      <c r="C207">
        <v>1492</v>
      </c>
      <c r="D207" t="s">
        <v>295</v>
      </c>
      <c r="E207" t="s">
        <v>296</v>
      </c>
      <c r="F207" s="2">
        <v>38321</v>
      </c>
      <c r="G207" s="2">
        <v>39521</v>
      </c>
      <c r="H207" s="2">
        <v>38443</v>
      </c>
      <c r="I207" s="5">
        <v>38564</v>
      </c>
      <c r="L207" t="s">
        <v>297</v>
      </c>
      <c r="M207" t="s">
        <v>297</v>
      </c>
      <c r="N207" t="s">
        <v>475</v>
      </c>
      <c r="O207" t="s">
        <v>180</v>
      </c>
      <c r="P207" t="s">
        <v>181</v>
      </c>
    </row>
    <row r="208" spans="1:16" ht="12.75" customHeight="1">
      <c r="A208" t="s">
        <v>180</v>
      </c>
      <c r="B208" t="s">
        <v>181</v>
      </c>
    </row>
    <row r="209" spans="1:16" ht="12.75" customHeight="1">
      <c r="A209">
        <v>3</v>
      </c>
      <c r="B209" t="s">
        <v>149</v>
      </c>
      <c r="C209">
        <v>79</v>
      </c>
      <c r="D209" t="s">
        <v>295</v>
      </c>
      <c r="E209" t="s">
        <v>296</v>
      </c>
      <c r="F209" s="2">
        <v>27591</v>
      </c>
      <c r="G209" s="2">
        <v>27886</v>
      </c>
      <c r="H209" s="2">
        <v>39168</v>
      </c>
      <c r="I209" s="5">
        <v>39629</v>
      </c>
      <c r="K209" s="2">
        <v>33630</v>
      </c>
      <c r="L209" t="s">
        <v>297</v>
      </c>
      <c r="M209" t="s">
        <v>297</v>
      </c>
      <c r="N209" t="s">
        <v>476</v>
      </c>
      <c r="O209" t="s">
        <v>180</v>
      </c>
      <c r="P209" t="s">
        <v>182</v>
      </c>
    </row>
    <row r="210" spans="1:16" ht="12.75" customHeight="1">
      <c r="A210">
        <v>3</v>
      </c>
      <c r="B210" t="s">
        <v>149</v>
      </c>
      <c r="C210">
        <v>186</v>
      </c>
      <c r="D210" t="s">
        <v>295</v>
      </c>
      <c r="E210" t="s">
        <v>296</v>
      </c>
      <c r="F210" s="2">
        <v>28607</v>
      </c>
      <c r="G210" s="2">
        <v>28814</v>
      </c>
      <c r="H210" s="2">
        <v>39334</v>
      </c>
      <c r="I210" s="5">
        <v>39629</v>
      </c>
      <c r="J210" s="2">
        <v>30316</v>
      </c>
      <c r="K210" s="2">
        <v>36213</v>
      </c>
      <c r="L210" t="s">
        <v>297</v>
      </c>
      <c r="M210" t="s">
        <v>297</v>
      </c>
      <c r="N210" t="s">
        <v>477</v>
      </c>
      <c r="O210" t="s">
        <v>180</v>
      </c>
      <c r="P210" t="s">
        <v>182</v>
      </c>
    </row>
    <row r="211" spans="1:16" ht="12.75" customHeight="1">
      <c r="A211">
        <v>3</v>
      </c>
      <c r="B211" t="s">
        <v>149</v>
      </c>
      <c r="C211">
        <v>715</v>
      </c>
      <c r="D211" t="s">
        <v>295</v>
      </c>
      <c r="E211" t="s">
        <v>296</v>
      </c>
      <c r="F211" s="2">
        <v>32892</v>
      </c>
      <c r="G211" s="2">
        <v>33264</v>
      </c>
      <c r="H211" s="2">
        <v>39362</v>
      </c>
      <c r="I211" s="5">
        <v>38138</v>
      </c>
      <c r="J211" s="2">
        <v>39213</v>
      </c>
      <c r="K211" s="2">
        <v>37784</v>
      </c>
      <c r="L211" t="s">
        <v>297</v>
      </c>
      <c r="M211" t="s">
        <v>297</v>
      </c>
      <c r="N211" t="s">
        <v>478</v>
      </c>
      <c r="O211" t="s">
        <v>180</v>
      </c>
      <c r="P211" t="s">
        <v>182</v>
      </c>
    </row>
    <row r="212" spans="1:16" ht="12.75" customHeight="1">
      <c r="A212">
        <v>3</v>
      </c>
      <c r="B212" t="s">
        <v>149</v>
      </c>
      <c r="C212">
        <v>834</v>
      </c>
      <c r="D212" t="s">
        <v>295</v>
      </c>
      <c r="E212" t="s">
        <v>296</v>
      </c>
      <c r="F212" s="2">
        <v>33684</v>
      </c>
      <c r="G212" s="2">
        <v>34484</v>
      </c>
      <c r="H212" s="2">
        <v>39508</v>
      </c>
      <c r="I212" s="5">
        <v>39629</v>
      </c>
      <c r="J212" s="2">
        <v>39427</v>
      </c>
      <c r="K212" s="2">
        <v>34516</v>
      </c>
      <c r="L212" t="s">
        <v>297</v>
      </c>
      <c r="M212" t="s">
        <v>297</v>
      </c>
      <c r="N212" t="s">
        <v>479</v>
      </c>
      <c r="O212" t="s">
        <v>180</v>
      </c>
      <c r="P212" t="s">
        <v>182</v>
      </c>
    </row>
    <row r="213" spans="1:16" ht="12.75" customHeight="1">
      <c r="A213">
        <v>3</v>
      </c>
      <c r="B213" t="s">
        <v>149</v>
      </c>
      <c r="C213">
        <v>903</v>
      </c>
      <c r="D213" t="s">
        <v>348</v>
      </c>
      <c r="E213" t="s">
        <v>316</v>
      </c>
      <c r="F213" s="2">
        <v>34178</v>
      </c>
      <c r="H213" s="2">
        <v>35787</v>
      </c>
      <c r="I213" s="5">
        <v>34178</v>
      </c>
      <c r="K213" s="2">
        <v>34178</v>
      </c>
      <c r="L213" t="s">
        <v>322</v>
      </c>
      <c r="M213" t="s">
        <v>297</v>
      </c>
      <c r="N213" t="s">
        <v>318</v>
      </c>
      <c r="O213" t="s">
        <v>180</v>
      </c>
      <c r="P213" t="s">
        <v>182</v>
      </c>
    </row>
    <row r="214" spans="1:16" ht="12.75" customHeight="1">
      <c r="A214">
        <v>3</v>
      </c>
      <c r="B214" t="s">
        <v>149</v>
      </c>
      <c r="C214">
        <v>917</v>
      </c>
      <c r="D214" t="s">
        <v>348</v>
      </c>
      <c r="E214" t="s">
        <v>316</v>
      </c>
      <c r="F214" s="2">
        <v>34232</v>
      </c>
      <c r="H214" s="2">
        <v>36664</v>
      </c>
      <c r="I214" s="5">
        <v>36707</v>
      </c>
      <c r="K214" s="2">
        <v>34232</v>
      </c>
      <c r="L214" t="s">
        <v>339</v>
      </c>
      <c r="M214" t="s">
        <v>297</v>
      </c>
      <c r="O214" t="s">
        <v>180</v>
      </c>
      <c r="P214" t="s">
        <v>182</v>
      </c>
    </row>
    <row r="215" spans="1:16" ht="12.75" customHeight="1">
      <c r="A215">
        <v>3</v>
      </c>
      <c r="B215" t="s">
        <v>149</v>
      </c>
      <c r="C215">
        <v>1143</v>
      </c>
      <c r="D215" t="s">
        <v>295</v>
      </c>
      <c r="E215" t="s">
        <v>296</v>
      </c>
      <c r="F215" s="2">
        <v>35305</v>
      </c>
      <c r="G215" s="2">
        <v>36483</v>
      </c>
      <c r="H215" s="2">
        <v>38672</v>
      </c>
      <c r="I215" s="5">
        <v>36707</v>
      </c>
      <c r="K215" s="2">
        <v>37552</v>
      </c>
      <c r="L215" t="s">
        <v>297</v>
      </c>
      <c r="M215" t="s">
        <v>297</v>
      </c>
      <c r="N215" t="s">
        <v>480</v>
      </c>
      <c r="O215" t="s">
        <v>180</v>
      </c>
      <c r="P215" t="s">
        <v>182</v>
      </c>
    </row>
    <row r="216" spans="1:16" ht="12.75" customHeight="1">
      <c r="A216">
        <v>3</v>
      </c>
      <c r="B216" t="s">
        <v>149</v>
      </c>
      <c r="C216">
        <v>1233</v>
      </c>
      <c r="D216" t="s">
        <v>315</v>
      </c>
      <c r="E216" t="s">
        <v>316</v>
      </c>
      <c r="F216" s="2">
        <v>35817</v>
      </c>
      <c r="H216" s="2">
        <v>37048</v>
      </c>
      <c r="L216" t="s">
        <v>322</v>
      </c>
      <c r="M216" t="s">
        <v>297</v>
      </c>
      <c r="O216" t="s">
        <v>180</v>
      </c>
      <c r="P216" t="s">
        <v>182</v>
      </c>
    </row>
    <row r="217" spans="1:16" ht="12.75" customHeight="1">
      <c r="A217">
        <v>3</v>
      </c>
      <c r="B217" t="s">
        <v>149</v>
      </c>
      <c r="C217">
        <v>1271</v>
      </c>
      <c r="D217" t="s">
        <v>295</v>
      </c>
      <c r="E217" t="s">
        <v>296</v>
      </c>
      <c r="F217" s="2">
        <v>36042</v>
      </c>
      <c r="G217" s="2">
        <v>37764</v>
      </c>
      <c r="H217" s="2">
        <v>39116</v>
      </c>
      <c r="I217" s="5">
        <v>37256</v>
      </c>
      <c r="L217" t="s">
        <v>297</v>
      </c>
      <c r="M217" t="s">
        <v>297</v>
      </c>
      <c r="N217" t="s">
        <v>481</v>
      </c>
      <c r="O217" t="s">
        <v>180</v>
      </c>
      <c r="P217" t="s">
        <v>182</v>
      </c>
    </row>
    <row r="218" spans="1:16" ht="12.75" customHeight="1">
      <c r="A218">
        <v>3</v>
      </c>
      <c r="B218" t="s">
        <v>149</v>
      </c>
      <c r="C218">
        <v>1316</v>
      </c>
      <c r="D218" t="s">
        <v>408</v>
      </c>
      <c r="E218" t="s">
        <v>316</v>
      </c>
      <c r="F218" s="2">
        <v>36481</v>
      </c>
      <c r="H218" s="2">
        <v>38076</v>
      </c>
      <c r="I218" s="5">
        <v>37437</v>
      </c>
      <c r="L218" t="s">
        <v>297</v>
      </c>
      <c r="M218" t="s">
        <v>297</v>
      </c>
      <c r="O218" t="s">
        <v>180</v>
      </c>
      <c r="P218" t="s">
        <v>182</v>
      </c>
    </row>
    <row r="219" spans="1:16" ht="12.75" customHeight="1">
      <c r="A219">
        <v>3</v>
      </c>
      <c r="B219" t="s">
        <v>149</v>
      </c>
      <c r="C219">
        <v>1320</v>
      </c>
      <c r="D219" t="s">
        <v>348</v>
      </c>
      <c r="E219" t="s">
        <v>316</v>
      </c>
      <c r="F219" s="2">
        <v>36539</v>
      </c>
      <c r="H219" s="2">
        <v>36577</v>
      </c>
      <c r="I219" s="5">
        <v>36834</v>
      </c>
      <c r="L219" t="s">
        <v>317</v>
      </c>
      <c r="M219" t="s">
        <v>297</v>
      </c>
      <c r="O219" t="s">
        <v>180</v>
      </c>
      <c r="P219" t="s">
        <v>182</v>
      </c>
    </row>
    <row r="220" spans="1:16" ht="12.75" customHeight="1">
      <c r="A220">
        <v>3</v>
      </c>
      <c r="B220" t="s">
        <v>149</v>
      </c>
      <c r="C220">
        <v>1397</v>
      </c>
      <c r="D220" t="s">
        <v>315</v>
      </c>
      <c r="E220" t="s">
        <v>316</v>
      </c>
      <c r="F220" s="2">
        <v>37211</v>
      </c>
      <c r="H220" s="2">
        <v>38124</v>
      </c>
      <c r="I220" s="5">
        <v>37576</v>
      </c>
      <c r="L220" t="s">
        <v>297</v>
      </c>
      <c r="M220" t="s">
        <v>297</v>
      </c>
      <c r="O220" t="s">
        <v>180</v>
      </c>
      <c r="P220" t="s">
        <v>182</v>
      </c>
    </row>
    <row r="221" spans="1:16" ht="12.75" customHeight="1">
      <c r="A221">
        <v>3</v>
      </c>
      <c r="B221" t="s">
        <v>149</v>
      </c>
      <c r="C221">
        <v>1424</v>
      </c>
      <c r="D221" t="s">
        <v>295</v>
      </c>
      <c r="E221" t="s">
        <v>299</v>
      </c>
      <c r="F221" s="2">
        <v>37526</v>
      </c>
      <c r="H221" s="2">
        <v>37495</v>
      </c>
      <c r="I221" s="5">
        <v>37864</v>
      </c>
      <c r="L221" t="s">
        <v>297</v>
      </c>
      <c r="M221" t="s">
        <v>297</v>
      </c>
      <c r="N221" t="s">
        <v>482</v>
      </c>
      <c r="O221" t="s">
        <v>180</v>
      </c>
      <c r="P221" t="s">
        <v>182</v>
      </c>
    </row>
    <row r="222" spans="1:16" ht="12.75" customHeight="1">
      <c r="A222">
        <v>3</v>
      </c>
      <c r="B222" t="s">
        <v>149</v>
      </c>
      <c r="C222">
        <v>1439</v>
      </c>
      <c r="D222" t="s">
        <v>408</v>
      </c>
      <c r="E222" t="s">
        <v>316</v>
      </c>
      <c r="F222" s="2">
        <v>37694</v>
      </c>
      <c r="H222" s="2">
        <v>37694</v>
      </c>
      <c r="I222" s="5">
        <v>38060</v>
      </c>
      <c r="L222" t="s">
        <v>297</v>
      </c>
      <c r="M222" t="s">
        <v>297</v>
      </c>
      <c r="O222" t="s">
        <v>180</v>
      </c>
      <c r="P222" t="s">
        <v>182</v>
      </c>
    </row>
    <row r="223" spans="1:16" ht="12.75" customHeight="1">
      <c r="A223">
        <v>3</v>
      </c>
      <c r="B223" t="s">
        <v>149</v>
      </c>
      <c r="C223">
        <v>1476</v>
      </c>
      <c r="D223" t="s">
        <v>295</v>
      </c>
      <c r="E223" t="s">
        <v>296</v>
      </c>
      <c r="F223" s="2">
        <v>38167</v>
      </c>
      <c r="G223" s="2">
        <v>38776</v>
      </c>
      <c r="H223" s="2">
        <v>39117</v>
      </c>
      <c r="I223" s="5">
        <v>39994</v>
      </c>
      <c r="K223" s="2">
        <v>39419</v>
      </c>
      <c r="L223" t="s">
        <v>297</v>
      </c>
      <c r="M223" t="s">
        <v>297</v>
      </c>
      <c r="N223" t="s">
        <v>483</v>
      </c>
      <c r="O223" t="s">
        <v>180</v>
      </c>
      <c r="P223" t="s">
        <v>182</v>
      </c>
    </row>
    <row r="224" spans="1:16" ht="12.75" customHeight="1">
      <c r="A224">
        <v>3</v>
      </c>
      <c r="B224" t="s">
        <v>149</v>
      </c>
      <c r="C224">
        <v>1541</v>
      </c>
      <c r="D224" t="s">
        <v>295</v>
      </c>
      <c r="E224" t="s">
        <v>299</v>
      </c>
      <c r="F224" s="2">
        <v>39148</v>
      </c>
      <c r="H224" s="2">
        <v>39149</v>
      </c>
      <c r="I224" s="5">
        <v>39263</v>
      </c>
      <c r="L224" t="s">
        <v>317</v>
      </c>
      <c r="M224" t="s">
        <v>297</v>
      </c>
      <c r="N224" t="s">
        <v>484</v>
      </c>
      <c r="O224" t="s">
        <v>180</v>
      </c>
      <c r="P224" t="s">
        <v>182</v>
      </c>
    </row>
    <row r="225" spans="1:16" ht="12.75" customHeight="1">
      <c r="A225">
        <v>3</v>
      </c>
      <c r="B225" t="s">
        <v>149</v>
      </c>
      <c r="C225">
        <v>1555</v>
      </c>
      <c r="D225" t="s">
        <v>295</v>
      </c>
      <c r="E225" t="s">
        <v>299</v>
      </c>
      <c r="F225" s="2">
        <v>39417</v>
      </c>
      <c r="H225" s="2">
        <v>39450</v>
      </c>
      <c r="I225" s="5">
        <v>39629</v>
      </c>
      <c r="L225" t="s">
        <v>297</v>
      </c>
      <c r="M225" t="s">
        <v>297</v>
      </c>
      <c r="N225" t="s">
        <v>485</v>
      </c>
      <c r="O225" t="s">
        <v>180</v>
      </c>
      <c r="P225" t="s">
        <v>182</v>
      </c>
    </row>
    <row r="226" spans="1:16" ht="12.75" customHeight="1">
      <c r="A226" t="s">
        <v>180</v>
      </c>
      <c r="B226" t="s">
        <v>182</v>
      </c>
    </row>
    <row r="227" spans="1:16" ht="12.75" customHeight="1">
      <c r="A227">
        <v>3</v>
      </c>
      <c r="B227" t="s">
        <v>317</v>
      </c>
      <c r="C227">
        <v>134</v>
      </c>
      <c r="D227" t="s">
        <v>295</v>
      </c>
      <c r="E227" t="s">
        <v>296</v>
      </c>
      <c r="F227" s="2">
        <v>28093</v>
      </c>
      <c r="G227" s="2">
        <v>28845</v>
      </c>
      <c r="H227" s="2">
        <v>39483</v>
      </c>
      <c r="I227" s="5">
        <v>39263</v>
      </c>
      <c r="J227" s="2">
        <v>35795</v>
      </c>
      <c r="L227" t="s">
        <v>297</v>
      </c>
      <c r="M227" t="s">
        <v>297</v>
      </c>
      <c r="N227" t="s">
        <v>486</v>
      </c>
      <c r="O227" t="s">
        <v>180</v>
      </c>
      <c r="P227" t="s">
        <v>183</v>
      </c>
    </row>
    <row r="228" spans="1:16" ht="12.75" customHeight="1">
      <c r="A228">
        <v>3</v>
      </c>
      <c r="B228" t="s">
        <v>317</v>
      </c>
      <c r="C228">
        <v>222</v>
      </c>
      <c r="D228" t="s">
        <v>295</v>
      </c>
      <c r="E228" t="s">
        <v>296</v>
      </c>
      <c r="F228" s="2">
        <v>28902</v>
      </c>
      <c r="G228" s="2">
        <v>29326</v>
      </c>
      <c r="H228" s="2">
        <v>39185</v>
      </c>
      <c r="I228" s="5">
        <v>39629</v>
      </c>
      <c r="K228" s="2">
        <v>35089</v>
      </c>
      <c r="L228" t="s">
        <v>297</v>
      </c>
      <c r="M228" t="s">
        <v>297</v>
      </c>
      <c r="N228" t="s">
        <v>487</v>
      </c>
      <c r="O228" t="s">
        <v>180</v>
      </c>
      <c r="P228" t="s">
        <v>183</v>
      </c>
    </row>
    <row r="229" spans="1:16" ht="12.75" customHeight="1">
      <c r="A229">
        <v>3</v>
      </c>
      <c r="B229" t="s">
        <v>317</v>
      </c>
      <c r="C229">
        <v>327</v>
      </c>
      <c r="D229" t="s">
        <v>295</v>
      </c>
      <c r="E229" t="s">
        <v>296</v>
      </c>
      <c r="F229" s="2">
        <v>29848</v>
      </c>
      <c r="G229" s="2">
        <v>30394</v>
      </c>
      <c r="H229" s="2">
        <v>39489</v>
      </c>
      <c r="I229" s="5">
        <v>33573</v>
      </c>
      <c r="K229" s="2">
        <v>35087</v>
      </c>
      <c r="L229" t="s">
        <v>297</v>
      </c>
      <c r="M229" t="s">
        <v>297</v>
      </c>
      <c r="N229" t="s">
        <v>488</v>
      </c>
      <c r="O229" t="s">
        <v>180</v>
      </c>
      <c r="P229" t="s">
        <v>183</v>
      </c>
    </row>
    <row r="230" spans="1:16" ht="12.75" customHeight="1">
      <c r="A230">
        <v>3</v>
      </c>
      <c r="B230" t="s">
        <v>317</v>
      </c>
      <c r="C230">
        <v>344</v>
      </c>
      <c r="D230" t="s">
        <v>295</v>
      </c>
      <c r="E230" t="s">
        <v>296</v>
      </c>
      <c r="F230" s="2">
        <v>29980</v>
      </c>
      <c r="G230" s="2">
        <v>30394</v>
      </c>
      <c r="H230" s="2">
        <v>39177</v>
      </c>
      <c r="I230" s="5">
        <v>38533</v>
      </c>
      <c r="K230" s="2">
        <v>35654</v>
      </c>
      <c r="L230" t="s">
        <v>297</v>
      </c>
      <c r="M230" t="s">
        <v>297</v>
      </c>
      <c r="N230" t="s">
        <v>489</v>
      </c>
      <c r="O230" t="s">
        <v>180</v>
      </c>
      <c r="P230" t="s">
        <v>183</v>
      </c>
    </row>
    <row r="231" spans="1:16" ht="12.75" customHeight="1">
      <c r="A231">
        <v>3</v>
      </c>
      <c r="B231" t="s">
        <v>317</v>
      </c>
      <c r="C231">
        <v>374</v>
      </c>
      <c r="D231" t="s">
        <v>295</v>
      </c>
      <c r="E231" t="s">
        <v>296</v>
      </c>
      <c r="F231" s="2">
        <v>30209</v>
      </c>
      <c r="G231" s="2">
        <v>30702</v>
      </c>
      <c r="H231" s="2">
        <v>39191</v>
      </c>
      <c r="I231" s="5">
        <v>39263</v>
      </c>
      <c r="K231" s="2">
        <v>36290</v>
      </c>
      <c r="L231" t="s">
        <v>322</v>
      </c>
      <c r="M231" t="s">
        <v>297</v>
      </c>
      <c r="N231" t="s">
        <v>490</v>
      </c>
      <c r="O231" t="s">
        <v>180</v>
      </c>
      <c r="P231" t="s">
        <v>183</v>
      </c>
    </row>
    <row r="232" spans="1:16" ht="12.75" customHeight="1">
      <c r="A232">
        <v>3</v>
      </c>
      <c r="B232" t="s">
        <v>317</v>
      </c>
      <c r="C232">
        <v>405</v>
      </c>
      <c r="D232" t="s">
        <v>295</v>
      </c>
      <c r="E232" t="s">
        <v>296</v>
      </c>
      <c r="F232" s="2">
        <v>30540</v>
      </c>
      <c r="G232" s="2">
        <v>30702</v>
      </c>
      <c r="H232" s="2">
        <v>39513</v>
      </c>
      <c r="K232" s="2">
        <v>35109</v>
      </c>
      <c r="L232" t="s">
        <v>297</v>
      </c>
      <c r="M232" t="s">
        <v>297</v>
      </c>
      <c r="N232" t="s">
        <v>491</v>
      </c>
      <c r="O232" t="s">
        <v>180</v>
      </c>
      <c r="P232" t="s">
        <v>183</v>
      </c>
    </row>
    <row r="233" spans="1:16" ht="12.75" customHeight="1">
      <c r="A233">
        <v>3</v>
      </c>
      <c r="B233" t="s">
        <v>317</v>
      </c>
      <c r="C233">
        <v>471</v>
      </c>
      <c r="D233" t="s">
        <v>295</v>
      </c>
      <c r="E233" t="s">
        <v>296</v>
      </c>
      <c r="F233" s="2">
        <v>31192</v>
      </c>
      <c r="G233" s="2">
        <v>31857</v>
      </c>
      <c r="H233" s="2">
        <v>38026</v>
      </c>
      <c r="I233" s="5">
        <v>37802</v>
      </c>
      <c r="K233" s="2">
        <v>38449</v>
      </c>
      <c r="L233" t="s">
        <v>297</v>
      </c>
      <c r="M233" t="s">
        <v>297</v>
      </c>
      <c r="N233" t="s">
        <v>492</v>
      </c>
      <c r="O233" t="s">
        <v>180</v>
      </c>
      <c r="P233" t="s">
        <v>183</v>
      </c>
    </row>
    <row r="234" spans="1:16" ht="12.75" customHeight="1">
      <c r="A234">
        <v>3</v>
      </c>
      <c r="B234" t="s">
        <v>317</v>
      </c>
      <c r="C234">
        <v>492</v>
      </c>
      <c r="D234" t="s">
        <v>295</v>
      </c>
      <c r="E234" t="s">
        <v>296</v>
      </c>
      <c r="F234" s="2">
        <v>31310</v>
      </c>
      <c r="G234" s="2">
        <v>31493</v>
      </c>
      <c r="H234" s="2">
        <v>39173</v>
      </c>
      <c r="I234" s="5">
        <v>37802</v>
      </c>
      <c r="K234" s="2">
        <v>35394</v>
      </c>
      <c r="L234" t="s">
        <v>297</v>
      </c>
      <c r="M234" t="s">
        <v>297</v>
      </c>
      <c r="N234" t="s">
        <v>493</v>
      </c>
      <c r="O234" t="s">
        <v>180</v>
      </c>
      <c r="P234" t="s">
        <v>183</v>
      </c>
    </row>
    <row r="235" spans="1:16" ht="12.75" customHeight="1">
      <c r="A235">
        <v>3</v>
      </c>
      <c r="B235" t="s">
        <v>317</v>
      </c>
      <c r="C235">
        <v>664</v>
      </c>
      <c r="D235" t="s">
        <v>295</v>
      </c>
      <c r="E235" t="s">
        <v>296</v>
      </c>
      <c r="F235" s="2">
        <v>32521</v>
      </c>
      <c r="G235" s="2">
        <v>32949</v>
      </c>
      <c r="H235" s="2">
        <v>39156</v>
      </c>
      <c r="I235" s="5">
        <v>37802</v>
      </c>
      <c r="J235" s="2">
        <v>36893</v>
      </c>
      <c r="K235" s="2">
        <v>36201</v>
      </c>
      <c r="L235" t="s">
        <v>297</v>
      </c>
      <c r="N235" t="s">
        <v>494</v>
      </c>
      <c r="O235" t="s">
        <v>180</v>
      </c>
      <c r="P235" t="s">
        <v>183</v>
      </c>
    </row>
    <row r="236" spans="1:16" ht="12.75" customHeight="1">
      <c r="A236">
        <v>3</v>
      </c>
      <c r="B236" t="s">
        <v>317</v>
      </c>
      <c r="C236">
        <v>782</v>
      </c>
      <c r="D236" t="s">
        <v>295</v>
      </c>
      <c r="E236" t="s">
        <v>296</v>
      </c>
      <c r="F236" s="2">
        <v>33303</v>
      </c>
      <c r="G236" s="2">
        <v>33621</v>
      </c>
      <c r="H236" s="2">
        <v>39282</v>
      </c>
      <c r="I236" s="5">
        <v>39659</v>
      </c>
      <c r="K236" s="2">
        <v>39310</v>
      </c>
      <c r="L236" t="s">
        <v>297</v>
      </c>
      <c r="M236" t="s">
        <v>297</v>
      </c>
      <c r="N236" t="s">
        <v>495</v>
      </c>
      <c r="O236" t="s">
        <v>180</v>
      </c>
      <c r="P236" t="s">
        <v>183</v>
      </c>
    </row>
    <row r="237" spans="1:16" ht="12.75" customHeight="1">
      <c r="A237">
        <v>3</v>
      </c>
      <c r="B237" t="s">
        <v>317</v>
      </c>
      <c r="C237">
        <v>792</v>
      </c>
      <c r="D237" t="s">
        <v>295</v>
      </c>
      <c r="E237" t="s">
        <v>296</v>
      </c>
      <c r="F237" s="2">
        <v>33384</v>
      </c>
      <c r="G237" s="2">
        <v>35084</v>
      </c>
      <c r="H237" s="2">
        <v>39224</v>
      </c>
      <c r="I237" s="5">
        <v>35246</v>
      </c>
      <c r="K237" s="2">
        <v>35209</v>
      </c>
      <c r="L237" t="s">
        <v>297</v>
      </c>
      <c r="N237" t="s">
        <v>496</v>
      </c>
      <c r="O237" t="s">
        <v>180</v>
      </c>
      <c r="P237" t="s">
        <v>183</v>
      </c>
    </row>
    <row r="238" spans="1:16" ht="12.75" customHeight="1">
      <c r="A238">
        <v>3</v>
      </c>
      <c r="B238" t="s">
        <v>317</v>
      </c>
      <c r="C238">
        <v>840</v>
      </c>
      <c r="D238" t="s">
        <v>295</v>
      </c>
      <c r="E238" t="s">
        <v>296</v>
      </c>
      <c r="F238" s="2">
        <v>33799</v>
      </c>
      <c r="G238" s="2">
        <v>34712</v>
      </c>
      <c r="H238" s="2">
        <v>39090</v>
      </c>
      <c r="I238" s="5">
        <v>34702</v>
      </c>
      <c r="K238" s="2">
        <v>36237</v>
      </c>
      <c r="L238" t="s">
        <v>297</v>
      </c>
      <c r="M238" t="s">
        <v>297</v>
      </c>
      <c r="N238" t="s">
        <v>497</v>
      </c>
      <c r="O238" t="s">
        <v>180</v>
      </c>
      <c r="P238" t="s">
        <v>183</v>
      </c>
    </row>
    <row r="239" spans="1:16" ht="12.75" customHeight="1">
      <c r="A239">
        <v>3</v>
      </c>
      <c r="B239" t="s">
        <v>317</v>
      </c>
      <c r="C239">
        <v>918</v>
      </c>
      <c r="D239" t="s">
        <v>295</v>
      </c>
      <c r="E239" t="s">
        <v>296</v>
      </c>
      <c r="F239" s="2">
        <v>34249</v>
      </c>
      <c r="G239" s="2">
        <v>35743</v>
      </c>
      <c r="H239" s="2">
        <v>39182</v>
      </c>
      <c r="I239" s="5">
        <v>37802</v>
      </c>
      <c r="K239" s="2">
        <v>39188</v>
      </c>
      <c r="L239" t="s">
        <v>322</v>
      </c>
      <c r="M239" t="s">
        <v>297</v>
      </c>
      <c r="N239" t="s">
        <v>498</v>
      </c>
      <c r="O239" t="s">
        <v>180</v>
      </c>
      <c r="P239" t="s">
        <v>183</v>
      </c>
    </row>
    <row r="240" spans="1:16" ht="12.75" customHeight="1">
      <c r="A240">
        <v>3</v>
      </c>
      <c r="B240" t="s">
        <v>317</v>
      </c>
      <c r="C240">
        <v>1324</v>
      </c>
      <c r="D240" t="s">
        <v>295</v>
      </c>
      <c r="E240" t="s">
        <v>299</v>
      </c>
      <c r="F240" s="2">
        <v>36573</v>
      </c>
      <c r="H240" s="2">
        <v>39461</v>
      </c>
      <c r="I240" s="5">
        <v>36919</v>
      </c>
      <c r="K240" s="2">
        <v>39031</v>
      </c>
      <c r="L240" t="s">
        <v>322</v>
      </c>
      <c r="M240" t="s">
        <v>297</v>
      </c>
      <c r="N240" t="s">
        <v>499</v>
      </c>
      <c r="O240" t="s">
        <v>180</v>
      </c>
      <c r="P240" t="s">
        <v>183</v>
      </c>
    </row>
    <row r="241" spans="1:16" ht="12.75" customHeight="1">
      <c r="A241" t="s">
        <v>180</v>
      </c>
      <c r="B241" t="s">
        <v>183</v>
      </c>
    </row>
    <row r="242" spans="1:16" ht="12.75" customHeight="1">
      <c r="A242">
        <v>3</v>
      </c>
      <c r="B242" t="s">
        <v>157</v>
      </c>
      <c r="C242">
        <v>356</v>
      </c>
      <c r="D242" t="s">
        <v>380</v>
      </c>
      <c r="E242" t="s">
        <v>316</v>
      </c>
      <c r="F242" s="2">
        <v>30099</v>
      </c>
      <c r="G242" s="2">
        <v>30394</v>
      </c>
      <c r="H242" s="2">
        <v>37796</v>
      </c>
      <c r="K242" s="2">
        <v>32402</v>
      </c>
      <c r="L242" t="s">
        <v>297</v>
      </c>
      <c r="M242" t="s">
        <v>297</v>
      </c>
    </row>
    <row r="243" spans="1:16" ht="12.75" customHeight="1">
      <c r="A243">
        <v>3</v>
      </c>
      <c r="B243" t="s">
        <v>157</v>
      </c>
      <c r="C243">
        <v>377</v>
      </c>
      <c r="D243" t="s">
        <v>295</v>
      </c>
      <c r="E243" t="s">
        <v>296</v>
      </c>
      <c r="F243" s="2">
        <v>30274</v>
      </c>
      <c r="G243" s="2">
        <v>30702</v>
      </c>
      <c r="H243" s="2">
        <v>39295</v>
      </c>
      <c r="I243" s="5">
        <v>39263</v>
      </c>
      <c r="J243" s="2">
        <v>39237</v>
      </c>
      <c r="K243" s="2">
        <v>38776</v>
      </c>
      <c r="L243" t="s">
        <v>297</v>
      </c>
      <c r="M243" t="s">
        <v>297</v>
      </c>
      <c r="N243" t="s">
        <v>500</v>
      </c>
      <c r="O243" t="s">
        <v>180</v>
      </c>
      <c r="P243" t="s">
        <v>184</v>
      </c>
    </row>
    <row r="244" spans="1:16" ht="12.75" customHeight="1">
      <c r="A244">
        <v>3</v>
      </c>
      <c r="B244" t="s">
        <v>157</v>
      </c>
      <c r="C244">
        <v>383</v>
      </c>
      <c r="D244" t="s">
        <v>295</v>
      </c>
      <c r="E244" t="s">
        <v>296</v>
      </c>
      <c r="F244" s="2">
        <v>30393</v>
      </c>
      <c r="G244" s="2">
        <v>30830</v>
      </c>
      <c r="H244" s="2">
        <v>38861</v>
      </c>
      <c r="I244" s="5">
        <v>39263</v>
      </c>
      <c r="J244" s="2">
        <v>39042</v>
      </c>
      <c r="K244" s="2">
        <v>37949</v>
      </c>
      <c r="L244" t="s">
        <v>297</v>
      </c>
      <c r="M244" t="s">
        <v>297</v>
      </c>
      <c r="N244" t="s">
        <v>501</v>
      </c>
      <c r="O244" t="s">
        <v>180</v>
      </c>
      <c r="P244" t="s">
        <v>184</v>
      </c>
    </row>
    <row r="245" spans="1:16" ht="12.75" customHeight="1">
      <c r="A245">
        <v>3</v>
      </c>
      <c r="B245" t="s">
        <v>157</v>
      </c>
      <c r="C245">
        <v>392</v>
      </c>
      <c r="D245" t="s">
        <v>295</v>
      </c>
      <c r="E245" t="s">
        <v>296</v>
      </c>
      <c r="F245" s="2">
        <v>34918</v>
      </c>
      <c r="G245" s="2">
        <v>38397</v>
      </c>
      <c r="H245" s="2">
        <v>37762</v>
      </c>
      <c r="I245" s="5">
        <v>38960</v>
      </c>
      <c r="J245" s="2">
        <v>38400</v>
      </c>
      <c r="K245" s="2">
        <v>34904</v>
      </c>
      <c r="L245" t="s">
        <v>297</v>
      </c>
      <c r="M245" t="s">
        <v>297</v>
      </c>
      <c r="N245" t="s">
        <v>502</v>
      </c>
      <c r="O245" t="s">
        <v>180</v>
      </c>
      <c r="P245" t="s">
        <v>184</v>
      </c>
    </row>
    <row r="246" spans="1:16" ht="12.75" customHeight="1">
      <c r="A246">
        <v>3</v>
      </c>
      <c r="B246" t="s">
        <v>157</v>
      </c>
      <c r="C246">
        <v>407</v>
      </c>
      <c r="D246" t="s">
        <v>295</v>
      </c>
      <c r="E246" t="s">
        <v>296</v>
      </c>
      <c r="F246" s="2">
        <v>30583</v>
      </c>
      <c r="G246" s="2">
        <v>30758</v>
      </c>
      <c r="H246" s="2">
        <v>39164</v>
      </c>
      <c r="I246" s="5">
        <v>39263</v>
      </c>
      <c r="J246" s="2">
        <v>38244</v>
      </c>
      <c r="K246" s="2">
        <v>35519</v>
      </c>
      <c r="L246" t="s">
        <v>297</v>
      </c>
      <c r="M246" t="s">
        <v>297</v>
      </c>
      <c r="N246" t="s">
        <v>503</v>
      </c>
      <c r="O246" t="s">
        <v>180</v>
      </c>
      <c r="P246" t="s">
        <v>184</v>
      </c>
    </row>
    <row r="247" spans="1:16" ht="12.75" customHeight="1">
      <c r="A247">
        <v>3</v>
      </c>
      <c r="B247" t="s">
        <v>157</v>
      </c>
      <c r="C247">
        <v>429</v>
      </c>
      <c r="D247" t="s">
        <v>295</v>
      </c>
      <c r="E247" t="s">
        <v>296</v>
      </c>
      <c r="F247" s="2">
        <v>30830</v>
      </c>
      <c r="G247" s="2">
        <v>33992</v>
      </c>
      <c r="H247" s="2">
        <v>38020</v>
      </c>
      <c r="I247" s="5">
        <v>38168</v>
      </c>
      <c r="J247" s="2">
        <v>38244</v>
      </c>
      <c r="K247" s="2">
        <v>38398</v>
      </c>
      <c r="L247" t="s">
        <v>297</v>
      </c>
      <c r="M247" t="s">
        <v>297</v>
      </c>
      <c r="N247" t="s">
        <v>504</v>
      </c>
      <c r="O247" t="s">
        <v>180</v>
      </c>
      <c r="P247" t="s">
        <v>184</v>
      </c>
    </row>
    <row r="248" spans="1:16" ht="12.75" customHeight="1">
      <c r="A248">
        <v>3</v>
      </c>
      <c r="B248" t="s">
        <v>157</v>
      </c>
      <c r="C248">
        <v>431</v>
      </c>
      <c r="D248" t="s">
        <v>348</v>
      </c>
      <c r="E248" t="s">
        <v>316</v>
      </c>
      <c r="F248" s="2">
        <v>30830</v>
      </c>
      <c r="G248" s="2">
        <v>32760</v>
      </c>
      <c r="H248" s="2">
        <v>35167</v>
      </c>
      <c r="I248" s="5">
        <v>35369</v>
      </c>
      <c r="L248" t="s">
        <v>297</v>
      </c>
      <c r="M248" t="s">
        <v>297</v>
      </c>
      <c r="O248" t="s">
        <v>180</v>
      </c>
      <c r="P248" t="s">
        <v>184</v>
      </c>
    </row>
    <row r="249" spans="1:16" ht="12.75" customHeight="1">
      <c r="A249">
        <v>3</v>
      </c>
      <c r="B249" t="s">
        <v>157</v>
      </c>
      <c r="C249">
        <v>432</v>
      </c>
      <c r="D249" t="s">
        <v>295</v>
      </c>
      <c r="E249" t="s">
        <v>296</v>
      </c>
      <c r="F249" s="2">
        <v>30830</v>
      </c>
      <c r="G249" s="2">
        <v>31493</v>
      </c>
      <c r="H249" s="2">
        <v>38050</v>
      </c>
      <c r="I249" s="5">
        <v>39629</v>
      </c>
      <c r="K249" s="2">
        <v>35536</v>
      </c>
      <c r="L249" t="s">
        <v>297</v>
      </c>
      <c r="M249" t="s">
        <v>297</v>
      </c>
      <c r="N249" t="s">
        <v>505</v>
      </c>
      <c r="O249" t="s">
        <v>180</v>
      </c>
      <c r="P249" t="s">
        <v>184</v>
      </c>
    </row>
    <row r="250" spans="1:16" ht="12.75" customHeight="1">
      <c r="A250">
        <v>3</v>
      </c>
      <c r="B250" t="s">
        <v>157</v>
      </c>
      <c r="C250">
        <v>469</v>
      </c>
      <c r="D250" t="s">
        <v>295</v>
      </c>
      <c r="E250" t="s">
        <v>296</v>
      </c>
      <c r="F250" s="2">
        <v>31192</v>
      </c>
      <c r="G250" s="2">
        <v>32293</v>
      </c>
      <c r="H250" s="2">
        <v>38777</v>
      </c>
      <c r="I250" s="5">
        <v>39264</v>
      </c>
      <c r="J250" s="2">
        <v>38244</v>
      </c>
      <c r="K250" s="2">
        <v>38532</v>
      </c>
      <c r="L250" t="s">
        <v>297</v>
      </c>
      <c r="M250" t="s">
        <v>297</v>
      </c>
      <c r="N250" t="s">
        <v>506</v>
      </c>
      <c r="O250" t="s">
        <v>180</v>
      </c>
      <c r="P250" t="s">
        <v>184</v>
      </c>
    </row>
    <row r="251" spans="1:16" ht="12.75" customHeight="1">
      <c r="A251">
        <v>3</v>
      </c>
      <c r="B251" t="s">
        <v>157</v>
      </c>
      <c r="C251">
        <v>608</v>
      </c>
      <c r="D251" t="s">
        <v>295</v>
      </c>
      <c r="E251" t="s">
        <v>296</v>
      </c>
      <c r="F251" s="2">
        <v>31969</v>
      </c>
      <c r="G251" s="2">
        <v>37211</v>
      </c>
      <c r="H251" s="2">
        <v>37503</v>
      </c>
      <c r="I251" s="5">
        <v>39629</v>
      </c>
      <c r="J251" s="2">
        <v>38320</v>
      </c>
      <c r="K251" s="2">
        <v>38967</v>
      </c>
      <c r="L251" t="s">
        <v>297</v>
      </c>
      <c r="M251" t="s">
        <v>297</v>
      </c>
      <c r="N251" t="s">
        <v>507</v>
      </c>
      <c r="O251" t="s">
        <v>180</v>
      </c>
      <c r="P251" t="s">
        <v>184</v>
      </c>
    </row>
    <row r="252" spans="1:16" ht="12.75" customHeight="1">
      <c r="A252">
        <v>3</v>
      </c>
      <c r="B252" t="s">
        <v>157</v>
      </c>
      <c r="C252">
        <v>636</v>
      </c>
      <c r="D252" t="s">
        <v>295</v>
      </c>
      <c r="E252" t="s">
        <v>296</v>
      </c>
      <c r="F252" s="2">
        <v>32293</v>
      </c>
      <c r="G252" s="2">
        <v>32522</v>
      </c>
      <c r="H252" s="2">
        <v>37419</v>
      </c>
      <c r="I252" s="5">
        <v>38837</v>
      </c>
      <c r="K252" s="2">
        <v>38565</v>
      </c>
      <c r="L252" t="s">
        <v>297</v>
      </c>
      <c r="M252" t="s">
        <v>297</v>
      </c>
      <c r="N252" t="s">
        <v>318</v>
      </c>
      <c r="O252" t="s">
        <v>180</v>
      </c>
      <c r="P252" t="s">
        <v>184</v>
      </c>
    </row>
    <row r="253" spans="1:16" ht="12.75" customHeight="1">
      <c r="A253">
        <v>3</v>
      </c>
      <c r="B253" t="s">
        <v>157</v>
      </c>
      <c r="C253">
        <v>646</v>
      </c>
      <c r="D253" t="s">
        <v>295</v>
      </c>
      <c r="E253" t="s">
        <v>296</v>
      </c>
      <c r="F253" s="2">
        <v>32347</v>
      </c>
      <c r="G253" s="2">
        <v>32648</v>
      </c>
      <c r="H253" s="2">
        <v>38978</v>
      </c>
      <c r="I253" s="5">
        <v>38898</v>
      </c>
      <c r="J253" s="2">
        <v>38637</v>
      </c>
      <c r="K253" s="2">
        <v>39399</v>
      </c>
      <c r="L253" t="s">
        <v>297</v>
      </c>
      <c r="M253" t="s">
        <v>297</v>
      </c>
      <c r="N253" t="s">
        <v>508</v>
      </c>
      <c r="O253" t="s">
        <v>180</v>
      </c>
      <c r="P253" t="s">
        <v>184</v>
      </c>
    </row>
    <row r="254" spans="1:16" ht="12.75" customHeight="1">
      <c r="A254">
        <v>3</v>
      </c>
      <c r="B254" t="s">
        <v>157</v>
      </c>
      <c r="C254">
        <v>658</v>
      </c>
      <c r="D254" t="s">
        <v>295</v>
      </c>
      <c r="E254" t="s">
        <v>296</v>
      </c>
      <c r="F254" s="2">
        <v>32522</v>
      </c>
      <c r="G254" s="2">
        <v>33262</v>
      </c>
      <c r="H254" s="2">
        <v>39273</v>
      </c>
      <c r="I254" s="5">
        <v>39263</v>
      </c>
      <c r="J254" s="2">
        <v>38945</v>
      </c>
      <c r="K254" s="2">
        <v>39364</v>
      </c>
      <c r="L254" t="s">
        <v>297</v>
      </c>
      <c r="M254" t="s">
        <v>297</v>
      </c>
      <c r="N254" t="s">
        <v>509</v>
      </c>
      <c r="O254" t="s">
        <v>180</v>
      </c>
      <c r="P254" t="s">
        <v>184</v>
      </c>
    </row>
    <row r="255" spans="1:16" ht="12.75" customHeight="1">
      <c r="A255">
        <v>3</v>
      </c>
      <c r="B255" t="s">
        <v>157</v>
      </c>
      <c r="C255">
        <v>747</v>
      </c>
      <c r="D255" t="s">
        <v>295</v>
      </c>
      <c r="E255" t="s">
        <v>296</v>
      </c>
      <c r="F255" s="2">
        <v>33021</v>
      </c>
      <c r="G255" s="2">
        <v>36675</v>
      </c>
      <c r="H255" s="2">
        <v>39287</v>
      </c>
      <c r="I255" s="5">
        <v>38898</v>
      </c>
      <c r="J255" s="2">
        <v>39253</v>
      </c>
      <c r="K255" s="2">
        <v>39132</v>
      </c>
      <c r="L255" t="s">
        <v>297</v>
      </c>
      <c r="M255" t="s">
        <v>297</v>
      </c>
      <c r="N255" t="s">
        <v>510</v>
      </c>
      <c r="O255" t="s">
        <v>180</v>
      </c>
      <c r="P255" t="s">
        <v>184</v>
      </c>
    </row>
    <row r="256" spans="1:16" ht="12.75" customHeight="1">
      <c r="A256">
        <v>3</v>
      </c>
      <c r="B256" t="s">
        <v>157</v>
      </c>
      <c r="C256">
        <v>829</v>
      </c>
      <c r="D256" t="s">
        <v>295</v>
      </c>
      <c r="E256" t="s">
        <v>296</v>
      </c>
      <c r="F256" s="2">
        <v>33684</v>
      </c>
      <c r="G256" s="2">
        <v>36675</v>
      </c>
      <c r="H256" s="2">
        <v>39421</v>
      </c>
      <c r="I256" s="5">
        <v>39263</v>
      </c>
      <c r="J256" s="2">
        <v>39253</v>
      </c>
      <c r="K256" s="2">
        <v>39314</v>
      </c>
      <c r="L256" t="s">
        <v>297</v>
      </c>
      <c r="M256" t="s">
        <v>297</v>
      </c>
      <c r="N256" t="s">
        <v>511</v>
      </c>
      <c r="O256" t="s">
        <v>180</v>
      </c>
      <c r="P256" t="s">
        <v>184</v>
      </c>
    </row>
    <row r="257" spans="1:16" ht="12.75" customHeight="1">
      <c r="A257">
        <v>3</v>
      </c>
      <c r="B257" t="s">
        <v>157</v>
      </c>
      <c r="C257">
        <v>927</v>
      </c>
      <c r="D257" t="s">
        <v>393</v>
      </c>
      <c r="E257" t="s">
        <v>316</v>
      </c>
      <c r="F257" s="2">
        <v>34317</v>
      </c>
      <c r="G257" s="2">
        <v>38548</v>
      </c>
      <c r="H257" s="2">
        <v>38917</v>
      </c>
      <c r="I257" s="5">
        <v>38898</v>
      </c>
      <c r="J257" s="2">
        <v>38916</v>
      </c>
      <c r="K257" s="2">
        <v>36321</v>
      </c>
      <c r="L257" t="s">
        <v>297</v>
      </c>
      <c r="M257" t="s">
        <v>297</v>
      </c>
      <c r="O257" t="s">
        <v>180</v>
      </c>
      <c r="P257" t="s">
        <v>184</v>
      </c>
    </row>
    <row r="258" spans="1:16" ht="12.75" customHeight="1">
      <c r="A258">
        <v>3</v>
      </c>
      <c r="B258" t="s">
        <v>157</v>
      </c>
      <c r="C258">
        <v>1008</v>
      </c>
      <c r="D258" t="s">
        <v>295</v>
      </c>
      <c r="E258" t="s">
        <v>296</v>
      </c>
      <c r="F258" s="2">
        <v>34618</v>
      </c>
      <c r="G258" s="2">
        <v>35272</v>
      </c>
      <c r="H258" s="2">
        <v>39399</v>
      </c>
      <c r="I258" s="5">
        <v>38908</v>
      </c>
      <c r="J258" s="2">
        <v>38853</v>
      </c>
      <c r="K258" s="2">
        <v>39399</v>
      </c>
      <c r="L258" t="s">
        <v>297</v>
      </c>
      <c r="M258" t="s">
        <v>297</v>
      </c>
      <c r="N258" t="s">
        <v>512</v>
      </c>
      <c r="O258" t="s">
        <v>180</v>
      </c>
      <c r="P258" t="s">
        <v>184</v>
      </c>
    </row>
    <row r="259" spans="1:16" ht="12.75" customHeight="1">
      <c r="A259">
        <v>3</v>
      </c>
      <c r="B259" t="s">
        <v>157</v>
      </c>
      <c r="C259">
        <v>1015</v>
      </c>
      <c r="D259" t="s">
        <v>295</v>
      </c>
      <c r="E259" t="s">
        <v>296</v>
      </c>
      <c r="F259" s="2">
        <v>34680</v>
      </c>
      <c r="G259" s="2">
        <v>36777</v>
      </c>
      <c r="H259" s="2">
        <v>38813</v>
      </c>
      <c r="I259" s="5">
        <v>39263</v>
      </c>
      <c r="J259" s="2">
        <v>38796</v>
      </c>
      <c r="K259" s="2">
        <v>38812</v>
      </c>
      <c r="L259" t="s">
        <v>297</v>
      </c>
      <c r="M259" t="s">
        <v>297</v>
      </c>
      <c r="N259" t="s">
        <v>513</v>
      </c>
      <c r="O259" t="s">
        <v>180</v>
      </c>
      <c r="P259" t="s">
        <v>184</v>
      </c>
    </row>
    <row r="260" spans="1:16" ht="12.75" customHeight="1">
      <c r="A260">
        <v>3</v>
      </c>
      <c r="B260" t="s">
        <v>157</v>
      </c>
      <c r="C260">
        <v>1021</v>
      </c>
      <c r="D260" t="s">
        <v>295</v>
      </c>
      <c r="E260" t="s">
        <v>296</v>
      </c>
      <c r="F260" s="2">
        <v>34715</v>
      </c>
      <c r="G260" s="2">
        <v>37036</v>
      </c>
      <c r="H260" s="2">
        <v>39464</v>
      </c>
      <c r="I260" s="5">
        <v>39629</v>
      </c>
      <c r="J260" s="2">
        <v>38244</v>
      </c>
      <c r="K260" s="2">
        <v>39370</v>
      </c>
      <c r="L260" t="s">
        <v>297</v>
      </c>
      <c r="M260" t="s">
        <v>297</v>
      </c>
      <c r="N260" t="s">
        <v>514</v>
      </c>
      <c r="O260" t="s">
        <v>180</v>
      </c>
      <c r="P260" t="s">
        <v>184</v>
      </c>
    </row>
    <row r="261" spans="1:16" ht="12.75" customHeight="1">
      <c r="A261">
        <v>3</v>
      </c>
      <c r="B261" t="s">
        <v>157</v>
      </c>
      <c r="C261">
        <v>1055</v>
      </c>
      <c r="D261" t="s">
        <v>295</v>
      </c>
      <c r="E261" t="s">
        <v>296</v>
      </c>
      <c r="F261" s="2">
        <v>34820</v>
      </c>
      <c r="G261" s="2">
        <v>37330</v>
      </c>
      <c r="H261" s="2">
        <v>38631</v>
      </c>
      <c r="I261" s="5">
        <v>38898</v>
      </c>
      <c r="J261" s="2">
        <v>38573</v>
      </c>
      <c r="K261" s="2">
        <v>37811</v>
      </c>
      <c r="L261" t="s">
        <v>297</v>
      </c>
      <c r="M261" t="s">
        <v>297</v>
      </c>
      <c r="N261" t="s">
        <v>515</v>
      </c>
      <c r="O261" t="s">
        <v>180</v>
      </c>
      <c r="P261" t="s">
        <v>184</v>
      </c>
    </row>
    <row r="262" spans="1:16" ht="12.75" customHeight="1">
      <c r="A262">
        <v>3</v>
      </c>
      <c r="B262" t="s">
        <v>157</v>
      </c>
      <c r="C262">
        <v>1101</v>
      </c>
      <c r="D262" t="s">
        <v>295</v>
      </c>
      <c r="E262" t="s">
        <v>296</v>
      </c>
      <c r="F262" s="2">
        <v>35157</v>
      </c>
      <c r="G262" s="2">
        <v>36938</v>
      </c>
      <c r="H262" s="2">
        <v>38979</v>
      </c>
      <c r="I262" s="5">
        <v>38898</v>
      </c>
      <c r="J262" s="2">
        <v>38980</v>
      </c>
      <c r="K262" s="2">
        <v>39051</v>
      </c>
      <c r="L262" t="s">
        <v>297</v>
      </c>
      <c r="M262" t="s">
        <v>297</v>
      </c>
      <c r="N262" t="s">
        <v>516</v>
      </c>
      <c r="O262" t="s">
        <v>180</v>
      </c>
      <c r="P262" t="s">
        <v>184</v>
      </c>
    </row>
    <row r="263" spans="1:16" ht="12.75" customHeight="1">
      <c r="A263">
        <v>3</v>
      </c>
      <c r="B263" t="s">
        <v>157</v>
      </c>
      <c r="C263">
        <v>1156</v>
      </c>
      <c r="D263" t="s">
        <v>295</v>
      </c>
      <c r="E263" t="s">
        <v>296</v>
      </c>
      <c r="F263" s="2">
        <v>35422</v>
      </c>
      <c r="G263" s="2">
        <v>36777</v>
      </c>
      <c r="H263" s="2">
        <v>38575</v>
      </c>
      <c r="I263" s="5">
        <v>39263</v>
      </c>
      <c r="J263" s="2">
        <v>38244</v>
      </c>
      <c r="K263" s="2">
        <v>38573</v>
      </c>
      <c r="L263" t="s">
        <v>297</v>
      </c>
      <c r="M263" t="s">
        <v>297</v>
      </c>
      <c r="N263" t="s">
        <v>517</v>
      </c>
      <c r="O263" t="s">
        <v>180</v>
      </c>
      <c r="P263" t="s">
        <v>184</v>
      </c>
    </row>
    <row r="264" spans="1:16" ht="12.75" customHeight="1">
      <c r="A264">
        <v>3</v>
      </c>
      <c r="B264" t="s">
        <v>157</v>
      </c>
      <c r="C264">
        <v>1202</v>
      </c>
      <c r="D264" t="s">
        <v>315</v>
      </c>
      <c r="E264" t="s">
        <v>316</v>
      </c>
      <c r="F264" s="2">
        <v>35604</v>
      </c>
      <c r="H264" s="2">
        <v>35604</v>
      </c>
      <c r="L264" t="s">
        <v>297</v>
      </c>
      <c r="M264" t="s">
        <v>322</v>
      </c>
      <c r="O264" t="s">
        <v>180</v>
      </c>
      <c r="P264" t="s">
        <v>184</v>
      </c>
    </row>
    <row r="265" spans="1:16" ht="12.75" customHeight="1">
      <c r="A265">
        <v>3</v>
      </c>
      <c r="B265" t="s">
        <v>157</v>
      </c>
      <c r="C265">
        <v>1340</v>
      </c>
      <c r="D265" t="s">
        <v>295</v>
      </c>
      <c r="E265" t="s">
        <v>296</v>
      </c>
      <c r="F265" s="2">
        <v>36655</v>
      </c>
      <c r="G265" s="2">
        <v>38275</v>
      </c>
      <c r="H265" s="2">
        <v>39510</v>
      </c>
      <c r="I265" s="5">
        <v>38898</v>
      </c>
      <c r="J265" s="2">
        <v>38785</v>
      </c>
      <c r="K265" s="2">
        <v>38244</v>
      </c>
      <c r="L265" t="s">
        <v>322</v>
      </c>
      <c r="M265" t="s">
        <v>297</v>
      </c>
      <c r="N265" t="s">
        <v>518</v>
      </c>
      <c r="O265" t="s">
        <v>180</v>
      </c>
      <c r="P265" t="s">
        <v>184</v>
      </c>
    </row>
    <row r="266" spans="1:16" ht="12.75" customHeight="1">
      <c r="A266">
        <v>3</v>
      </c>
      <c r="B266" t="s">
        <v>157</v>
      </c>
      <c r="C266">
        <v>1395</v>
      </c>
      <c r="D266" t="s">
        <v>295</v>
      </c>
      <c r="E266" t="s">
        <v>296</v>
      </c>
      <c r="F266" s="2">
        <v>37228</v>
      </c>
      <c r="G266" s="2">
        <v>37820</v>
      </c>
      <c r="H266" s="2">
        <v>39294</v>
      </c>
      <c r="I266" s="5">
        <v>39263</v>
      </c>
      <c r="J266" s="2">
        <v>38544</v>
      </c>
      <c r="K266" s="2">
        <v>39279</v>
      </c>
      <c r="L266" t="s">
        <v>297</v>
      </c>
      <c r="M266" t="s">
        <v>297</v>
      </c>
      <c r="N266" t="s">
        <v>519</v>
      </c>
      <c r="O266" t="s">
        <v>180</v>
      </c>
      <c r="P266" t="s">
        <v>184</v>
      </c>
    </row>
    <row r="267" spans="1:16" ht="12.75" customHeight="1">
      <c r="A267">
        <v>3</v>
      </c>
      <c r="B267" t="s">
        <v>157</v>
      </c>
      <c r="C267">
        <v>1454</v>
      </c>
      <c r="D267" t="s">
        <v>393</v>
      </c>
      <c r="E267" t="s">
        <v>376</v>
      </c>
      <c r="F267" s="2">
        <v>37788</v>
      </c>
      <c r="G267" s="2">
        <v>38275</v>
      </c>
      <c r="H267" s="2">
        <v>37841</v>
      </c>
      <c r="I267" s="5">
        <v>38168</v>
      </c>
      <c r="L267" t="s">
        <v>297</v>
      </c>
      <c r="M267" t="s">
        <v>297</v>
      </c>
      <c r="O267" t="s">
        <v>180</v>
      </c>
      <c r="P267" t="s">
        <v>184</v>
      </c>
    </row>
    <row r="268" spans="1:16" ht="12.75" customHeight="1">
      <c r="A268">
        <v>3</v>
      </c>
      <c r="B268" t="s">
        <v>157</v>
      </c>
      <c r="C268">
        <v>1546</v>
      </c>
      <c r="D268" t="s">
        <v>295</v>
      </c>
      <c r="E268" t="s">
        <v>299</v>
      </c>
      <c r="F268" s="2">
        <v>39234</v>
      </c>
      <c r="H268" s="2">
        <v>39294</v>
      </c>
      <c r="I268" s="5">
        <v>39263</v>
      </c>
      <c r="J268" s="2">
        <v>39352</v>
      </c>
      <c r="L268" t="s">
        <v>297</v>
      </c>
      <c r="M268" t="s">
        <v>297</v>
      </c>
      <c r="N268" t="s">
        <v>520</v>
      </c>
      <c r="O268" t="s">
        <v>180</v>
      </c>
      <c r="P268" t="s">
        <v>184</v>
      </c>
    </row>
    <row r="269" spans="1:16" ht="12.75" customHeight="1">
      <c r="A269">
        <v>3</v>
      </c>
      <c r="B269" t="s">
        <v>157</v>
      </c>
      <c r="C269">
        <v>1547</v>
      </c>
      <c r="D269" t="s">
        <v>295</v>
      </c>
      <c r="E269" t="s">
        <v>299</v>
      </c>
      <c r="F269" s="2">
        <v>39234</v>
      </c>
      <c r="H269" s="2">
        <v>39240</v>
      </c>
      <c r="I269" s="5">
        <v>39629</v>
      </c>
      <c r="J269" s="2">
        <v>39258</v>
      </c>
      <c r="L269" t="s">
        <v>297</v>
      </c>
      <c r="M269" t="s">
        <v>297</v>
      </c>
      <c r="N269" t="s">
        <v>521</v>
      </c>
      <c r="O269" t="s">
        <v>180</v>
      </c>
      <c r="P269" t="s">
        <v>184</v>
      </c>
    </row>
    <row r="270" spans="1:16" ht="12.75" customHeight="1">
      <c r="A270" t="s">
        <v>180</v>
      </c>
      <c r="B270" t="s">
        <v>184</v>
      </c>
    </row>
    <row r="271" spans="1:16" ht="12.75" customHeight="1">
      <c r="A271">
        <v>3</v>
      </c>
      <c r="B271" t="s">
        <v>176</v>
      </c>
      <c r="C271">
        <v>790</v>
      </c>
      <c r="D271" t="s">
        <v>295</v>
      </c>
      <c r="E271" t="s">
        <v>296</v>
      </c>
      <c r="F271" s="2">
        <v>33384</v>
      </c>
      <c r="G271" s="2">
        <v>34120</v>
      </c>
      <c r="H271" s="2">
        <v>39203</v>
      </c>
      <c r="I271" s="5">
        <v>34171</v>
      </c>
      <c r="K271" s="2">
        <v>34983</v>
      </c>
      <c r="L271" t="s">
        <v>297</v>
      </c>
      <c r="M271" t="s">
        <v>297</v>
      </c>
      <c r="N271" t="s">
        <v>522</v>
      </c>
      <c r="O271" t="s">
        <v>180</v>
      </c>
      <c r="P271" t="s">
        <v>185</v>
      </c>
    </row>
    <row r="272" spans="1:16" ht="12.75" customHeight="1">
      <c r="A272">
        <v>3</v>
      </c>
      <c r="B272" t="s">
        <v>176</v>
      </c>
      <c r="C272">
        <v>972</v>
      </c>
      <c r="D272" t="s">
        <v>295</v>
      </c>
      <c r="E272" t="s">
        <v>299</v>
      </c>
      <c r="F272" s="2">
        <v>36770</v>
      </c>
      <c r="H272" s="2">
        <v>36770</v>
      </c>
      <c r="I272" s="5">
        <v>37135</v>
      </c>
      <c r="L272" t="s">
        <v>322</v>
      </c>
      <c r="N272" t="s">
        <v>523</v>
      </c>
      <c r="O272" t="s">
        <v>180</v>
      </c>
      <c r="P272" t="s">
        <v>185</v>
      </c>
    </row>
    <row r="273" spans="1:16" ht="12.75" customHeight="1">
      <c r="A273">
        <v>3</v>
      </c>
      <c r="B273" t="s">
        <v>176</v>
      </c>
      <c r="C273">
        <v>1073</v>
      </c>
      <c r="D273" t="s">
        <v>295</v>
      </c>
      <c r="E273" t="s">
        <v>296</v>
      </c>
      <c r="F273" s="2">
        <v>34918</v>
      </c>
      <c r="G273" s="2">
        <v>35434</v>
      </c>
      <c r="H273" s="2">
        <v>38967</v>
      </c>
      <c r="I273" s="5">
        <v>36707</v>
      </c>
      <c r="J273" s="2">
        <v>35415</v>
      </c>
      <c r="K273" s="2">
        <v>37538</v>
      </c>
      <c r="L273" t="s">
        <v>297</v>
      </c>
      <c r="M273" t="s">
        <v>297</v>
      </c>
      <c r="N273" t="s">
        <v>524</v>
      </c>
      <c r="O273" t="s">
        <v>180</v>
      </c>
      <c r="P273" t="s">
        <v>185</v>
      </c>
    </row>
    <row r="274" spans="1:16" ht="12.75" customHeight="1">
      <c r="A274">
        <v>3</v>
      </c>
      <c r="B274" t="s">
        <v>176</v>
      </c>
      <c r="C274">
        <v>1089</v>
      </c>
      <c r="D274" t="s">
        <v>295</v>
      </c>
      <c r="E274" t="s">
        <v>296</v>
      </c>
      <c r="F274" s="2">
        <v>35095</v>
      </c>
      <c r="G274" s="2">
        <v>35874</v>
      </c>
      <c r="H274" s="2">
        <v>38852</v>
      </c>
      <c r="I274" s="5">
        <v>36341</v>
      </c>
      <c r="J274" s="2">
        <v>37299</v>
      </c>
      <c r="K274" s="2">
        <v>36208</v>
      </c>
      <c r="L274" t="s">
        <v>297</v>
      </c>
      <c r="M274" t="s">
        <v>297</v>
      </c>
      <c r="N274" t="s">
        <v>525</v>
      </c>
      <c r="O274" t="s">
        <v>180</v>
      </c>
      <c r="P274" t="s">
        <v>185</v>
      </c>
    </row>
    <row r="275" spans="1:16" ht="12.75" customHeight="1">
      <c r="A275">
        <v>3</v>
      </c>
      <c r="B275" t="s">
        <v>176</v>
      </c>
      <c r="C275">
        <v>1131</v>
      </c>
      <c r="D275" t="s">
        <v>295</v>
      </c>
      <c r="E275" t="s">
        <v>299</v>
      </c>
      <c r="F275" s="2">
        <v>35272</v>
      </c>
      <c r="H275" s="2">
        <v>37308</v>
      </c>
      <c r="I275" s="5">
        <v>35976</v>
      </c>
      <c r="K275" s="2">
        <v>37308</v>
      </c>
      <c r="L275" t="s">
        <v>322</v>
      </c>
      <c r="M275" t="s">
        <v>297</v>
      </c>
      <c r="N275" t="s">
        <v>318</v>
      </c>
      <c r="O275" t="s">
        <v>180</v>
      </c>
      <c r="P275" t="s">
        <v>185</v>
      </c>
    </row>
    <row r="276" spans="1:16" ht="12.75" customHeight="1">
      <c r="A276">
        <v>3</v>
      </c>
      <c r="B276" t="s">
        <v>176</v>
      </c>
      <c r="C276">
        <v>1420</v>
      </c>
      <c r="D276" t="s">
        <v>295</v>
      </c>
      <c r="E276" t="s">
        <v>299</v>
      </c>
      <c r="F276" s="2">
        <v>37469</v>
      </c>
      <c r="H276" s="2">
        <v>38838</v>
      </c>
      <c r="I276" s="5">
        <v>39263</v>
      </c>
      <c r="L276" t="s">
        <v>297</v>
      </c>
      <c r="M276" t="s">
        <v>297</v>
      </c>
      <c r="N276" t="s">
        <v>526</v>
      </c>
      <c r="O276" t="s">
        <v>180</v>
      </c>
      <c r="P276" t="s">
        <v>185</v>
      </c>
    </row>
    <row r="277" spans="1:16" ht="12.75" customHeight="1">
      <c r="A277">
        <v>3</v>
      </c>
      <c r="B277" t="s">
        <v>176</v>
      </c>
      <c r="C277">
        <v>1501</v>
      </c>
      <c r="D277" t="s">
        <v>295</v>
      </c>
      <c r="E277" t="s">
        <v>299</v>
      </c>
      <c r="F277" s="2">
        <v>38245</v>
      </c>
      <c r="H277" s="2">
        <v>38484</v>
      </c>
      <c r="L277" t="s">
        <v>317</v>
      </c>
      <c r="M277" t="s">
        <v>297</v>
      </c>
      <c r="N277" t="s">
        <v>527</v>
      </c>
      <c r="O277" t="s">
        <v>180</v>
      </c>
      <c r="P277" t="s">
        <v>185</v>
      </c>
    </row>
    <row r="278" spans="1:16" ht="12.75" customHeight="1">
      <c r="A278" t="s">
        <v>180</v>
      </c>
      <c r="B278" t="s">
        <v>185</v>
      </c>
    </row>
    <row r="279" spans="1:16" ht="12.75" customHeight="1">
      <c r="A279">
        <v>3</v>
      </c>
      <c r="B279" t="s">
        <v>186</v>
      </c>
      <c r="C279">
        <v>595</v>
      </c>
      <c r="D279" t="s">
        <v>295</v>
      </c>
      <c r="E279" t="s">
        <v>296</v>
      </c>
      <c r="F279" s="2">
        <v>31922</v>
      </c>
      <c r="G279" s="2">
        <v>32948</v>
      </c>
      <c r="H279" s="2">
        <v>39216</v>
      </c>
      <c r="I279" s="5">
        <v>39629</v>
      </c>
      <c r="K279" s="2">
        <v>38076</v>
      </c>
      <c r="L279" t="s">
        <v>297</v>
      </c>
      <c r="M279" t="s">
        <v>297</v>
      </c>
      <c r="N279" t="s">
        <v>528</v>
      </c>
      <c r="O279" t="s">
        <v>180</v>
      </c>
      <c r="P279" t="s">
        <v>187</v>
      </c>
    </row>
    <row r="280" spans="1:16" ht="12.75" customHeight="1">
      <c r="A280">
        <v>3</v>
      </c>
      <c r="B280" t="s">
        <v>186</v>
      </c>
      <c r="C280">
        <v>647</v>
      </c>
      <c r="D280" t="s">
        <v>295</v>
      </c>
      <c r="E280" t="s">
        <v>296</v>
      </c>
      <c r="F280" s="2">
        <v>32424</v>
      </c>
      <c r="G280" s="2">
        <v>33264</v>
      </c>
      <c r="H280" s="2">
        <v>38658</v>
      </c>
      <c r="I280" s="5">
        <v>37256</v>
      </c>
      <c r="K280" s="2">
        <v>37960</v>
      </c>
      <c r="L280" t="s">
        <v>297</v>
      </c>
      <c r="M280" t="s">
        <v>297</v>
      </c>
      <c r="N280" t="s">
        <v>529</v>
      </c>
      <c r="O280" t="s">
        <v>180</v>
      </c>
      <c r="P280" t="s">
        <v>187</v>
      </c>
    </row>
    <row r="281" spans="1:16" ht="12.75" customHeight="1">
      <c r="A281">
        <v>3</v>
      </c>
      <c r="B281" t="s">
        <v>186</v>
      </c>
      <c r="C281">
        <v>732</v>
      </c>
      <c r="D281" t="s">
        <v>295</v>
      </c>
      <c r="E281" t="s">
        <v>299</v>
      </c>
      <c r="F281" s="2">
        <v>32949</v>
      </c>
      <c r="H281" s="2">
        <v>38770</v>
      </c>
      <c r="I281" s="5">
        <v>34232</v>
      </c>
      <c r="K281" s="2">
        <v>34967</v>
      </c>
      <c r="L281" t="s">
        <v>297</v>
      </c>
      <c r="M281" t="s">
        <v>297</v>
      </c>
      <c r="N281" t="s">
        <v>530</v>
      </c>
      <c r="O281" t="s">
        <v>180</v>
      </c>
      <c r="P281" t="s">
        <v>187</v>
      </c>
    </row>
    <row r="282" spans="1:16" ht="12.75" customHeight="1">
      <c r="A282">
        <v>3</v>
      </c>
      <c r="B282" t="s">
        <v>186</v>
      </c>
      <c r="C282">
        <v>774</v>
      </c>
      <c r="D282" t="s">
        <v>408</v>
      </c>
      <c r="E282" t="s">
        <v>316</v>
      </c>
      <c r="F282" s="2">
        <v>33264</v>
      </c>
      <c r="H282" s="2">
        <v>38162</v>
      </c>
      <c r="I282" s="5">
        <v>37802</v>
      </c>
      <c r="J282" s="2">
        <v>38009</v>
      </c>
      <c r="K282" s="2">
        <v>33479</v>
      </c>
      <c r="L282" t="s">
        <v>297</v>
      </c>
      <c r="M282" t="s">
        <v>297</v>
      </c>
      <c r="N282" t="s">
        <v>318</v>
      </c>
      <c r="O282" t="s">
        <v>180</v>
      </c>
      <c r="P282" t="s">
        <v>187</v>
      </c>
    </row>
    <row r="283" spans="1:16" ht="12.75" customHeight="1">
      <c r="A283">
        <v>3</v>
      </c>
      <c r="B283" t="s">
        <v>186</v>
      </c>
      <c r="C283">
        <v>965</v>
      </c>
      <c r="D283" t="s">
        <v>295</v>
      </c>
      <c r="E283" t="s">
        <v>296</v>
      </c>
      <c r="F283" s="2">
        <v>34526</v>
      </c>
      <c r="G283" s="2">
        <v>38996</v>
      </c>
      <c r="H283" s="2">
        <v>39140</v>
      </c>
      <c r="I283" s="5">
        <v>39263</v>
      </c>
      <c r="J283" s="2">
        <v>38009</v>
      </c>
      <c r="K283" s="2">
        <v>38811</v>
      </c>
      <c r="L283" t="s">
        <v>297</v>
      </c>
      <c r="M283" t="s">
        <v>297</v>
      </c>
      <c r="N283" t="s">
        <v>531</v>
      </c>
      <c r="O283" t="s">
        <v>180</v>
      </c>
      <c r="P283" t="s">
        <v>187</v>
      </c>
    </row>
    <row r="284" spans="1:16" ht="12.75" customHeight="1">
      <c r="A284">
        <v>3</v>
      </c>
      <c r="B284" t="s">
        <v>186</v>
      </c>
      <c r="C284">
        <v>1095</v>
      </c>
      <c r="D284" t="s">
        <v>348</v>
      </c>
      <c r="E284" t="s">
        <v>316</v>
      </c>
      <c r="F284" s="2">
        <v>35118</v>
      </c>
      <c r="G284" s="2">
        <v>36238</v>
      </c>
      <c r="H284" s="2">
        <v>36707</v>
      </c>
      <c r="I284" s="5">
        <v>36525</v>
      </c>
      <c r="K284" s="2">
        <v>35474</v>
      </c>
      <c r="L284" t="s">
        <v>297</v>
      </c>
      <c r="M284" t="s">
        <v>297</v>
      </c>
      <c r="O284" t="s">
        <v>180</v>
      </c>
      <c r="P284" t="s">
        <v>187</v>
      </c>
    </row>
    <row r="285" spans="1:16" ht="12.75" customHeight="1">
      <c r="A285">
        <v>3</v>
      </c>
      <c r="B285" t="s">
        <v>186</v>
      </c>
      <c r="C285">
        <v>1104</v>
      </c>
      <c r="D285" t="s">
        <v>295</v>
      </c>
      <c r="E285" t="s">
        <v>299</v>
      </c>
      <c r="F285" s="2">
        <v>35174</v>
      </c>
      <c r="H285" s="2">
        <v>38832</v>
      </c>
      <c r="I285" s="5">
        <v>37026</v>
      </c>
      <c r="K285" s="2">
        <v>38832</v>
      </c>
      <c r="L285" t="s">
        <v>297</v>
      </c>
      <c r="M285" t="s">
        <v>297</v>
      </c>
      <c r="N285" t="s">
        <v>532</v>
      </c>
      <c r="O285" t="s">
        <v>180</v>
      </c>
      <c r="P285" t="s">
        <v>187</v>
      </c>
    </row>
    <row r="286" spans="1:16" ht="12.75" customHeight="1">
      <c r="A286">
        <v>3</v>
      </c>
      <c r="B286" t="s">
        <v>186</v>
      </c>
      <c r="C286">
        <v>1409</v>
      </c>
      <c r="D286" t="s">
        <v>295</v>
      </c>
      <c r="E286" t="s">
        <v>299</v>
      </c>
      <c r="F286" s="2">
        <v>37337</v>
      </c>
      <c r="H286" s="2">
        <v>37337</v>
      </c>
      <c r="I286" s="5">
        <v>37702</v>
      </c>
      <c r="L286" t="s">
        <v>297</v>
      </c>
      <c r="M286" t="s">
        <v>297</v>
      </c>
      <c r="N286" t="s">
        <v>533</v>
      </c>
      <c r="O286" t="s">
        <v>180</v>
      </c>
      <c r="P286" t="s">
        <v>187</v>
      </c>
    </row>
    <row r="287" spans="1:16" ht="12.75" customHeight="1">
      <c r="A287">
        <v>3</v>
      </c>
      <c r="B287" t="s">
        <v>186</v>
      </c>
      <c r="C287">
        <v>1514</v>
      </c>
      <c r="D287" t="s">
        <v>295</v>
      </c>
      <c r="E287" t="s">
        <v>299</v>
      </c>
      <c r="F287" s="2">
        <v>38757</v>
      </c>
      <c r="H287" s="2">
        <v>39435</v>
      </c>
      <c r="I287" s="5">
        <v>39813</v>
      </c>
      <c r="K287" s="2">
        <v>38870</v>
      </c>
      <c r="L287" t="s">
        <v>297</v>
      </c>
      <c r="M287" t="s">
        <v>322</v>
      </c>
      <c r="N287" t="s">
        <v>534</v>
      </c>
      <c r="O287" t="s">
        <v>180</v>
      </c>
      <c r="P287" t="s">
        <v>187</v>
      </c>
    </row>
    <row r="288" spans="1:16" ht="12.75" customHeight="1">
      <c r="A288">
        <v>3</v>
      </c>
      <c r="B288" t="s">
        <v>186</v>
      </c>
      <c r="C288">
        <v>1517</v>
      </c>
      <c r="D288" t="s">
        <v>295</v>
      </c>
      <c r="E288" t="s">
        <v>296</v>
      </c>
      <c r="F288" s="2">
        <v>38776</v>
      </c>
      <c r="G288" s="2">
        <v>39264</v>
      </c>
      <c r="H288" s="2">
        <v>39451</v>
      </c>
      <c r="I288" s="5">
        <v>39629</v>
      </c>
      <c r="K288" s="2">
        <v>39253</v>
      </c>
      <c r="L288" t="s">
        <v>297</v>
      </c>
      <c r="M288" t="s">
        <v>297</v>
      </c>
      <c r="N288" t="s">
        <v>535</v>
      </c>
      <c r="O288" t="s">
        <v>180</v>
      </c>
      <c r="P288" t="s">
        <v>187</v>
      </c>
    </row>
    <row r="289" spans="1:16" ht="12.75" customHeight="1">
      <c r="A289">
        <v>3</v>
      </c>
      <c r="B289" t="s">
        <v>186</v>
      </c>
      <c r="C289">
        <v>1518</v>
      </c>
      <c r="D289" t="s">
        <v>295</v>
      </c>
      <c r="E289" t="s">
        <v>299</v>
      </c>
      <c r="F289" s="2">
        <v>38776</v>
      </c>
      <c r="H289" s="2">
        <v>39223</v>
      </c>
      <c r="I289" s="5">
        <v>39629</v>
      </c>
      <c r="L289" t="s">
        <v>297</v>
      </c>
      <c r="M289" t="s">
        <v>297</v>
      </c>
      <c r="N289" t="s">
        <v>536</v>
      </c>
      <c r="O289" t="s">
        <v>180</v>
      </c>
      <c r="P289" t="s">
        <v>187</v>
      </c>
    </row>
    <row r="290" spans="1:16" ht="12.75" customHeight="1">
      <c r="A290">
        <v>3</v>
      </c>
      <c r="B290" t="s">
        <v>186</v>
      </c>
      <c r="C290">
        <v>1536</v>
      </c>
      <c r="D290" t="s">
        <v>295</v>
      </c>
      <c r="E290" t="s">
        <v>296</v>
      </c>
      <c r="F290" s="2">
        <v>39099</v>
      </c>
      <c r="G290" s="2">
        <v>39521</v>
      </c>
      <c r="H290" s="2">
        <v>39505</v>
      </c>
      <c r="I290" s="5">
        <v>39994</v>
      </c>
      <c r="K290" s="2">
        <v>39505</v>
      </c>
      <c r="L290" t="s">
        <v>297</v>
      </c>
      <c r="M290" t="s">
        <v>297</v>
      </c>
      <c r="N290" t="s">
        <v>537</v>
      </c>
      <c r="O290" t="s">
        <v>180</v>
      </c>
      <c r="P290" t="s">
        <v>187</v>
      </c>
    </row>
    <row r="291" spans="1:16" ht="12.75" customHeight="1">
      <c r="A291">
        <v>3</v>
      </c>
      <c r="B291" t="s">
        <v>186</v>
      </c>
      <c r="C291">
        <v>1551</v>
      </c>
      <c r="D291" t="s">
        <v>295</v>
      </c>
      <c r="E291" t="s">
        <v>299</v>
      </c>
      <c r="F291" s="2">
        <v>39295</v>
      </c>
      <c r="H291" s="2">
        <v>39352</v>
      </c>
      <c r="I291" s="5">
        <v>39660</v>
      </c>
      <c r="L291" t="s">
        <v>297</v>
      </c>
      <c r="M291" t="s">
        <v>297</v>
      </c>
      <c r="N291" t="s">
        <v>538</v>
      </c>
      <c r="O291" t="s">
        <v>180</v>
      </c>
      <c r="P291" t="s">
        <v>187</v>
      </c>
    </row>
    <row r="292" spans="1:16" ht="12.75" customHeight="1">
      <c r="A292" t="s">
        <v>180</v>
      </c>
      <c r="B292" t="s">
        <v>187</v>
      </c>
    </row>
    <row r="293" spans="1:16" ht="12.75" customHeight="1">
      <c r="A293">
        <v>3</v>
      </c>
      <c r="B293" t="s">
        <v>322</v>
      </c>
      <c r="C293">
        <v>426</v>
      </c>
      <c r="D293" t="s">
        <v>295</v>
      </c>
      <c r="E293" t="s">
        <v>296</v>
      </c>
      <c r="F293" s="2">
        <v>30758</v>
      </c>
      <c r="G293" s="2">
        <v>31857</v>
      </c>
      <c r="H293" s="2">
        <v>38835</v>
      </c>
      <c r="I293" s="5">
        <v>38961</v>
      </c>
      <c r="J293" s="2">
        <v>31540</v>
      </c>
      <c r="K293" s="2">
        <v>38706</v>
      </c>
      <c r="L293" t="s">
        <v>297</v>
      </c>
      <c r="M293" t="s">
        <v>297</v>
      </c>
      <c r="N293" t="s">
        <v>539</v>
      </c>
      <c r="O293" t="s">
        <v>180</v>
      </c>
      <c r="P293" t="s">
        <v>188</v>
      </c>
    </row>
    <row r="294" spans="1:16" ht="12.75" customHeight="1">
      <c r="A294">
        <v>3</v>
      </c>
      <c r="B294" t="s">
        <v>322</v>
      </c>
      <c r="C294">
        <v>540</v>
      </c>
      <c r="D294" t="s">
        <v>295</v>
      </c>
      <c r="E294" t="s">
        <v>296</v>
      </c>
      <c r="F294" s="2">
        <v>31612</v>
      </c>
      <c r="G294" s="2">
        <v>38776</v>
      </c>
      <c r="H294" s="2">
        <v>38841</v>
      </c>
      <c r="I294" s="5">
        <v>38869</v>
      </c>
      <c r="J294" s="2">
        <v>34432</v>
      </c>
      <c r="K294" s="2">
        <v>38775</v>
      </c>
      <c r="L294" t="s">
        <v>297</v>
      </c>
      <c r="M294" t="s">
        <v>297</v>
      </c>
      <c r="N294" t="s">
        <v>540</v>
      </c>
      <c r="O294" t="s">
        <v>180</v>
      </c>
      <c r="P294" t="s">
        <v>188</v>
      </c>
    </row>
    <row r="295" spans="1:16" ht="12.75" customHeight="1">
      <c r="A295">
        <v>3</v>
      </c>
      <c r="B295" t="s">
        <v>322</v>
      </c>
      <c r="C295">
        <v>1084</v>
      </c>
      <c r="D295" t="s">
        <v>295</v>
      </c>
      <c r="E295" t="s">
        <v>296</v>
      </c>
      <c r="F295" s="2">
        <v>35072</v>
      </c>
      <c r="G295" s="2">
        <v>36672</v>
      </c>
      <c r="H295" s="2">
        <v>38917</v>
      </c>
      <c r="I295" s="5">
        <v>39263</v>
      </c>
      <c r="K295" s="2">
        <v>38916</v>
      </c>
      <c r="L295" t="s">
        <v>297</v>
      </c>
      <c r="M295" t="s">
        <v>297</v>
      </c>
      <c r="N295" t="s">
        <v>541</v>
      </c>
      <c r="O295" t="s">
        <v>180</v>
      </c>
      <c r="P295" t="s">
        <v>188</v>
      </c>
    </row>
    <row r="296" spans="1:16" ht="12.75" customHeight="1">
      <c r="A296">
        <v>3</v>
      </c>
      <c r="B296" t="s">
        <v>322</v>
      </c>
      <c r="C296">
        <v>1473</v>
      </c>
      <c r="D296" t="s">
        <v>295</v>
      </c>
      <c r="E296" t="s">
        <v>296</v>
      </c>
      <c r="F296" s="2">
        <v>38119</v>
      </c>
      <c r="G296" s="2">
        <v>38847</v>
      </c>
      <c r="H296" s="2">
        <v>38999</v>
      </c>
      <c r="I296" s="5">
        <v>38564</v>
      </c>
      <c r="J296" s="2">
        <v>38093</v>
      </c>
      <c r="K296" s="2">
        <v>38811</v>
      </c>
      <c r="L296" t="s">
        <v>322</v>
      </c>
      <c r="M296" t="s">
        <v>322</v>
      </c>
      <c r="N296" t="s">
        <v>542</v>
      </c>
      <c r="O296" t="s">
        <v>180</v>
      </c>
      <c r="P296" t="s">
        <v>188</v>
      </c>
    </row>
    <row r="297" spans="1:16" ht="12.75" customHeight="1">
      <c r="A297" t="s">
        <v>180</v>
      </c>
      <c r="B297" t="s">
        <v>188</v>
      </c>
    </row>
    <row r="298" spans="1:16" ht="12.75" customHeight="1">
      <c r="A298">
        <v>3</v>
      </c>
      <c r="B298" t="s">
        <v>189</v>
      </c>
      <c r="C298">
        <v>95</v>
      </c>
      <c r="D298" t="s">
        <v>295</v>
      </c>
      <c r="E298" t="s">
        <v>296</v>
      </c>
      <c r="F298" s="2">
        <v>27785</v>
      </c>
      <c r="G298" s="2">
        <v>28286</v>
      </c>
      <c r="H298" s="2">
        <v>39359</v>
      </c>
      <c r="I298" s="5">
        <v>38533</v>
      </c>
      <c r="K298" s="2">
        <v>35869</v>
      </c>
      <c r="L298" t="s">
        <v>339</v>
      </c>
      <c r="M298" t="s">
        <v>297</v>
      </c>
      <c r="N298" t="s">
        <v>543</v>
      </c>
      <c r="O298" t="s">
        <v>180</v>
      </c>
      <c r="P298" t="s">
        <v>190</v>
      </c>
    </row>
    <row r="299" spans="1:16" ht="12.75" customHeight="1">
      <c r="A299">
        <v>3</v>
      </c>
      <c r="B299" t="s">
        <v>189</v>
      </c>
      <c r="C299">
        <v>139</v>
      </c>
      <c r="D299" t="s">
        <v>295</v>
      </c>
      <c r="E299" t="s">
        <v>296</v>
      </c>
      <c r="F299" s="2">
        <v>28093</v>
      </c>
      <c r="G299" s="2">
        <v>28251</v>
      </c>
      <c r="H299" s="2">
        <v>38961</v>
      </c>
      <c r="I299" s="5">
        <v>34037</v>
      </c>
      <c r="K299" s="2">
        <v>33659</v>
      </c>
      <c r="L299" t="s">
        <v>297</v>
      </c>
      <c r="M299" t="s">
        <v>297</v>
      </c>
      <c r="N299" t="s">
        <v>544</v>
      </c>
      <c r="O299" t="s">
        <v>180</v>
      </c>
      <c r="P299" t="s">
        <v>190</v>
      </c>
    </row>
    <row r="300" spans="1:16" ht="12.75" customHeight="1">
      <c r="A300">
        <v>3</v>
      </c>
      <c r="B300" t="s">
        <v>189</v>
      </c>
      <c r="C300">
        <v>141</v>
      </c>
      <c r="D300" t="s">
        <v>295</v>
      </c>
      <c r="E300" t="s">
        <v>296</v>
      </c>
      <c r="F300" s="2">
        <v>28093</v>
      </c>
      <c r="G300" s="2">
        <v>28928</v>
      </c>
      <c r="H300" s="2">
        <v>35604</v>
      </c>
      <c r="I300" s="5">
        <v>35437</v>
      </c>
      <c r="K300" s="2">
        <v>35604</v>
      </c>
      <c r="L300" t="s">
        <v>339</v>
      </c>
      <c r="M300" t="s">
        <v>297</v>
      </c>
      <c r="N300" t="s">
        <v>545</v>
      </c>
      <c r="O300" t="s">
        <v>180</v>
      </c>
      <c r="P300" t="s">
        <v>190</v>
      </c>
    </row>
    <row r="301" spans="1:16" ht="12.75" customHeight="1">
      <c r="A301">
        <v>3</v>
      </c>
      <c r="B301" t="s">
        <v>189</v>
      </c>
      <c r="C301">
        <v>199</v>
      </c>
      <c r="D301" t="s">
        <v>295</v>
      </c>
      <c r="E301" t="s">
        <v>296</v>
      </c>
      <c r="F301" s="2">
        <v>28748</v>
      </c>
      <c r="G301" s="2">
        <v>28986</v>
      </c>
      <c r="H301" s="2">
        <v>38754</v>
      </c>
      <c r="I301" s="5">
        <v>37437</v>
      </c>
      <c r="K301" s="2">
        <v>37578</v>
      </c>
      <c r="L301" t="s">
        <v>297</v>
      </c>
      <c r="M301" t="s">
        <v>297</v>
      </c>
      <c r="N301" t="s">
        <v>546</v>
      </c>
      <c r="O301" t="s">
        <v>180</v>
      </c>
      <c r="P301" t="s">
        <v>190</v>
      </c>
    </row>
    <row r="302" spans="1:16" ht="12.75" customHeight="1">
      <c r="A302">
        <v>3</v>
      </c>
      <c r="B302" t="s">
        <v>189</v>
      </c>
      <c r="C302">
        <v>200</v>
      </c>
      <c r="D302" t="s">
        <v>295</v>
      </c>
      <c r="E302" t="s">
        <v>296</v>
      </c>
      <c r="F302" s="2">
        <v>28748</v>
      </c>
      <c r="G302" s="2">
        <v>28986</v>
      </c>
      <c r="H302" s="2">
        <v>39320</v>
      </c>
      <c r="K302" s="2">
        <v>35873</v>
      </c>
      <c r="L302" t="s">
        <v>297</v>
      </c>
      <c r="N302" t="s">
        <v>547</v>
      </c>
      <c r="O302" t="s">
        <v>180</v>
      </c>
      <c r="P302" t="s">
        <v>190</v>
      </c>
    </row>
    <row r="303" spans="1:16" ht="12.75" customHeight="1">
      <c r="A303">
        <v>3</v>
      </c>
      <c r="B303" t="s">
        <v>189</v>
      </c>
      <c r="C303">
        <v>201</v>
      </c>
      <c r="D303" t="s">
        <v>295</v>
      </c>
      <c r="E303" t="s">
        <v>296</v>
      </c>
      <c r="F303" s="2">
        <v>28748</v>
      </c>
      <c r="G303" s="2">
        <v>28986</v>
      </c>
      <c r="H303" s="2">
        <v>39207</v>
      </c>
      <c r="I303" s="5">
        <v>37802</v>
      </c>
      <c r="K303" s="2">
        <v>35373</v>
      </c>
      <c r="L303" t="s">
        <v>297</v>
      </c>
      <c r="M303" t="s">
        <v>297</v>
      </c>
      <c r="N303" t="s">
        <v>548</v>
      </c>
      <c r="O303" t="s">
        <v>180</v>
      </c>
      <c r="P303" t="s">
        <v>190</v>
      </c>
    </row>
    <row r="304" spans="1:16" ht="12.75" customHeight="1">
      <c r="A304">
        <v>3</v>
      </c>
      <c r="B304" t="s">
        <v>189</v>
      </c>
      <c r="C304">
        <v>202</v>
      </c>
      <c r="D304" t="s">
        <v>295</v>
      </c>
      <c r="E304" t="s">
        <v>296</v>
      </c>
      <c r="F304" s="2">
        <v>28748</v>
      </c>
      <c r="G304" s="2">
        <v>28986</v>
      </c>
      <c r="H304" s="2">
        <v>39118</v>
      </c>
      <c r="I304" s="5">
        <v>31999</v>
      </c>
      <c r="K304" s="2">
        <v>32546</v>
      </c>
      <c r="L304" t="s">
        <v>297</v>
      </c>
      <c r="N304" t="s">
        <v>549</v>
      </c>
      <c r="O304" t="s">
        <v>180</v>
      </c>
      <c r="P304" t="s">
        <v>190</v>
      </c>
    </row>
    <row r="305" spans="1:16" ht="12.75" customHeight="1">
      <c r="A305">
        <v>3</v>
      </c>
      <c r="B305" t="s">
        <v>189</v>
      </c>
      <c r="C305">
        <v>204</v>
      </c>
      <c r="D305" t="s">
        <v>295</v>
      </c>
      <c r="E305" t="s">
        <v>296</v>
      </c>
      <c r="F305" s="2">
        <v>28748</v>
      </c>
      <c r="G305" s="2">
        <v>28986</v>
      </c>
      <c r="H305" s="2">
        <v>39326</v>
      </c>
      <c r="I305" s="5">
        <v>35873</v>
      </c>
      <c r="K305" s="2">
        <v>35873</v>
      </c>
      <c r="L305" t="s">
        <v>297</v>
      </c>
      <c r="M305" t="s">
        <v>297</v>
      </c>
      <c r="N305" t="s">
        <v>550</v>
      </c>
      <c r="O305" t="s">
        <v>180</v>
      </c>
      <c r="P305" t="s">
        <v>190</v>
      </c>
    </row>
    <row r="306" spans="1:16" ht="12.75" customHeight="1">
      <c r="A306">
        <v>3</v>
      </c>
      <c r="B306" t="s">
        <v>189</v>
      </c>
      <c r="C306">
        <v>220</v>
      </c>
      <c r="D306" t="s">
        <v>295</v>
      </c>
      <c r="E306" t="s">
        <v>296</v>
      </c>
      <c r="F306" s="2">
        <v>28902</v>
      </c>
      <c r="G306" s="2">
        <v>30630</v>
      </c>
      <c r="H306" s="2">
        <v>39353</v>
      </c>
      <c r="I306" s="5">
        <v>38898</v>
      </c>
      <c r="K306" s="2">
        <v>33600</v>
      </c>
      <c r="L306" t="s">
        <v>297</v>
      </c>
      <c r="M306" t="s">
        <v>297</v>
      </c>
      <c r="N306" t="s">
        <v>551</v>
      </c>
      <c r="O306" t="s">
        <v>180</v>
      </c>
      <c r="P306" t="s">
        <v>190</v>
      </c>
    </row>
    <row r="307" spans="1:16" ht="12.75" customHeight="1">
      <c r="A307">
        <v>3</v>
      </c>
      <c r="B307" t="s">
        <v>189</v>
      </c>
      <c r="C307">
        <v>221</v>
      </c>
      <c r="D307" t="s">
        <v>295</v>
      </c>
      <c r="E307" t="s">
        <v>296</v>
      </c>
      <c r="F307" s="2">
        <v>28902</v>
      </c>
      <c r="G307" s="2">
        <v>29902</v>
      </c>
      <c r="H307" s="2">
        <v>39390</v>
      </c>
      <c r="I307" s="5">
        <v>34204</v>
      </c>
      <c r="K307" s="2">
        <v>33687</v>
      </c>
      <c r="L307" t="s">
        <v>297</v>
      </c>
      <c r="M307" t="s">
        <v>297</v>
      </c>
      <c r="N307" t="s">
        <v>552</v>
      </c>
      <c r="O307" t="s">
        <v>180</v>
      </c>
      <c r="P307" t="s">
        <v>190</v>
      </c>
    </row>
    <row r="308" spans="1:16" ht="12.75" customHeight="1">
      <c r="A308">
        <v>3</v>
      </c>
      <c r="B308" t="s">
        <v>189</v>
      </c>
      <c r="C308">
        <v>240</v>
      </c>
      <c r="D308" t="s">
        <v>295</v>
      </c>
      <c r="E308" t="s">
        <v>296</v>
      </c>
      <c r="F308" s="2">
        <v>29112</v>
      </c>
      <c r="G308" s="2">
        <v>29356</v>
      </c>
      <c r="H308" s="2">
        <v>38558</v>
      </c>
      <c r="I308" s="5">
        <v>33332</v>
      </c>
      <c r="K308" s="2">
        <v>35284</v>
      </c>
      <c r="L308" t="s">
        <v>297</v>
      </c>
      <c r="M308" t="s">
        <v>297</v>
      </c>
      <c r="N308" t="s">
        <v>553</v>
      </c>
      <c r="O308" t="s">
        <v>180</v>
      </c>
      <c r="P308" t="s">
        <v>190</v>
      </c>
    </row>
    <row r="309" spans="1:16" ht="12.75" customHeight="1">
      <c r="A309">
        <v>3</v>
      </c>
      <c r="B309" t="s">
        <v>189</v>
      </c>
      <c r="C309">
        <v>251</v>
      </c>
      <c r="D309" t="s">
        <v>295</v>
      </c>
      <c r="E309" t="s">
        <v>296</v>
      </c>
      <c r="F309" s="2">
        <v>29248</v>
      </c>
      <c r="G309" s="2">
        <v>31110</v>
      </c>
      <c r="H309" s="2">
        <v>39475</v>
      </c>
      <c r="I309" s="5">
        <v>33321</v>
      </c>
      <c r="K309" s="2">
        <v>38819</v>
      </c>
      <c r="L309" t="s">
        <v>297</v>
      </c>
      <c r="M309" t="s">
        <v>297</v>
      </c>
      <c r="N309" t="s">
        <v>554</v>
      </c>
      <c r="O309" t="s">
        <v>180</v>
      </c>
      <c r="P309" t="s">
        <v>190</v>
      </c>
    </row>
    <row r="310" spans="1:16" ht="12.75" customHeight="1">
      <c r="A310">
        <v>3</v>
      </c>
      <c r="B310" t="s">
        <v>189</v>
      </c>
      <c r="C310">
        <v>324</v>
      </c>
      <c r="D310" t="s">
        <v>295</v>
      </c>
      <c r="E310" t="s">
        <v>296</v>
      </c>
      <c r="F310" s="2">
        <v>29791</v>
      </c>
      <c r="G310" s="2">
        <v>30086</v>
      </c>
      <c r="H310" s="2">
        <v>39318</v>
      </c>
      <c r="I310" s="5">
        <v>37043</v>
      </c>
      <c r="K310" s="2">
        <v>34309</v>
      </c>
      <c r="L310" t="s">
        <v>297</v>
      </c>
      <c r="M310" t="s">
        <v>297</v>
      </c>
      <c r="N310" t="s">
        <v>555</v>
      </c>
      <c r="O310" t="s">
        <v>180</v>
      </c>
      <c r="P310" t="s">
        <v>190</v>
      </c>
    </row>
    <row r="311" spans="1:16" ht="12.75" customHeight="1">
      <c r="A311">
        <v>3</v>
      </c>
      <c r="B311" t="s">
        <v>189</v>
      </c>
      <c r="C311">
        <v>455</v>
      </c>
      <c r="D311" t="s">
        <v>295</v>
      </c>
      <c r="E311" t="s">
        <v>296</v>
      </c>
      <c r="F311" s="2">
        <v>31052</v>
      </c>
      <c r="G311" s="2">
        <v>31493</v>
      </c>
      <c r="H311" s="2">
        <v>39520</v>
      </c>
      <c r="I311" s="5">
        <v>39629</v>
      </c>
      <c r="K311" s="2">
        <v>38708</v>
      </c>
      <c r="L311" t="s">
        <v>297</v>
      </c>
      <c r="M311" t="s">
        <v>297</v>
      </c>
      <c r="N311" t="s">
        <v>556</v>
      </c>
      <c r="O311" t="s">
        <v>180</v>
      </c>
      <c r="P311" t="s">
        <v>190</v>
      </c>
    </row>
    <row r="312" spans="1:16" ht="12.75" customHeight="1">
      <c r="A312">
        <v>3</v>
      </c>
      <c r="B312" t="s">
        <v>189</v>
      </c>
      <c r="C312">
        <v>1035</v>
      </c>
      <c r="D312" t="s">
        <v>295</v>
      </c>
      <c r="E312" t="s">
        <v>316</v>
      </c>
      <c r="F312" s="2">
        <v>34750</v>
      </c>
      <c r="H312" s="2">
        <v>36655</v>
      </c>
      <c r="K312" s="2">
        <v>34962</v>
      </c>
      <c r="L312" t="s">
        <v>297</v>
      </c>
      <c r="M312" t="s">
        <v>297</v>
      </c>
      <c r="N312" t="s">
        <v>318</v>
      </c>
      <c r="O312" t="s">
        <v>180</v>
      </c>
      <c r="P312" t="s">
        <v>190</v>
      </c>
    </row>
    <row r="313" spans="1:16" ht="12.75" customHeight="1">
      <c r="A313">
        <v>3</v>
      </c>
      <c r="B313" t="s">
        <v>189</v>
      </c>
      <c r="C313">
        <v>1085</v>
      </c>
      <c r="D313" t="s">
        <v>315</v>
      </c>
      <c r="E313" t="s">
        <v>316</v>
      </c>
      <c r="F313" s="2">
        <v>35073</v>
      </c>
      <c r="G313" s="2">
        <v>36238</v>
      </c>
      <c r="H313" s="2">
        <v>37557</v>
      </c>
      <c r="I313" s="5">
        <v>36372</v>
      </c>
      <c r="L313" t="s">
        <v>297</v>
      </c>
      <c r="M313" t="s">
        <v>297</v>
      </c>
      <c r="N313" t="s">
        <v>318</v>
      </c>
      <c r="O313" t="s">
        <v>180</v>
      </c>
      <c r="P313" t="s">
        <v>190</v>
      </c>
    </row>
    <row r="314" spans="1:16" ht="12.75" customHeight="1">
      <c r="A314">
        <v>3</v>
      </c>
      <c r="B314" t="s">
        <v>189</v>
      </c>
      <c r="C314">
        <v>1141</v>
      </c>
      <c r="D314" t="s">
        <v>295</v>
      </c>
      <c r="E314" t="s">
        <v>296</v>
      </c>
      <c r="F314" s="2">
        <v>35298</v>
      </c>
      <c r="G314" s="2">
        <v>36847</v>
      </c>
      <c r="H314" s="2">
        <v>37527</v>
      </c>
      <c r="K314" s="2">
        <v>37545</v>
      </c>
      <c r="L314" t="s">
        <v>317</v>
      </c>
      <c r="M314" t="s">
        <v>297</v>
      </c>
      <c r="N314" t="s">
        <v>557</v>
      </c>
      <c r="O314" t="s">
        <v>180</v>
      </c>
      <c r="P314" t="s">
        <v>190</v>
      </c>
    </row>
    <row r="315" spans="1:16" ht="12.75" customHeight="1">
      <c r="A315">
        <v>3</v>
      </c>
      <c r="B315" t="s">
        <v>189</v>
      </c>
      <c r="C315">
        <v>1261</v>
      </c>
      <c r="D315" t="s">
        <v>295</v>
      </c>
      <c r="E315" t="s">
        <v>296</v>
      </c>
      <c r="F315" s="2">
        <v>35993</v>
      </c>
      <c r="G315" s="2">
        <v>37694</v>
      </c>
      <c r="H315" s="2">
        <v>37235</v>
      </c>
      <c r="I315" s="5">
        <v>36738</v>
      </c>
      <c r="K315" s="2">
        <v>36377</v>
      </c>
      <c r="L315" t="s">
        <v>297</v>
      </c>
      <c r="M315" t="s">
        <v>297</v>
      </c>
      <c r="N315" t="s">
        <v>558</v>
      </c>
      <c r="O315" t="s">
        <v>180</v>
      </c>
      <c r="P315" t="s">
        <v>190</v>
      </c>
    </row>
    <row r="316" spans="1:16" ht="12.75" customHeight="1">
      <c r="A316">
        <v>3</v>
      </c>
      <c r="B316" t="s">
        <v>189</v>
      </c>
      <c r="C316">
        <v>1554</v>
      </c>
      <c r="D316" t="s">
        <v>295</v>
      </c>
      <c r="E316" t="s">
        <v>299</v>
      </c>
      <c r="F316" s="2">
        <v>39356</v>
      </c>
      <c r="H316" s="2">
        <v>39377</v>
      </c>
      <c r="I316" s="5">
        <v>39629</v>
      </c>
      <c r="L316" t="s">
        <v>297</v>
      </c>
      <c r="M316" t="s">
        <v>297</v>
      </c>
      <c r="N316" t="s">
        <v>559</v>
      </c>
      <c r="O316" t="s">
        <v>180</v>
      </c>
      <c r="P316" t="s">
        <v>190</v>
      </c>
    </row>
    <row r="317" spans="1:16" ht="12.75" customHeight="1">
      <c r="A317" t="s">
        <v>180</v>
      </c>
      <c r="B317" t="s">
        <v>190</v>
      </c>
    </row>
    <row r="318" spans="1:16" ht="12.75" customHeight="1">
      <c r="A318" t="s">
        <v>560</v>
      </c>
    </row>
    <row r="319" spans="1:16" ht="12.75" customHeight="1">
      <c r="A319">
        <v>4</v>
      </c>
      <c r="B319" t="s">
        <v>140</v>
      </c>
      <c r="C319">
        <v>969</v>
      </c>
      <c r="D319" t="s">
        <v>295</v>
      </c>
      <c r="E319" t="s">
        <v>296</v>
      </c>
      <c r="F319" s="2">
        <v>34526</v>
      </c>
      <c r="G319" s="2">
        <v>35140</v>
      </c>
      <c r="H319" s="2">
        <v>39322</v>
      </c>
      <c r="I319" s="5">
        <v>39629</v>
      </c>
      <c r="J319" s="2">
        <v>39380</v>
      </c>
      <c r="K319" s="2">
        <v>38938</v>
      </c>
      <c r="L319" t="s">
        <v>297</v>
      </c>
      <c r="M319" t="s">
        <v>297</v>
      </c>
      <c r="N319" t="s">
        <v>561</v>
      </c>
      <c r="O319" t="s">
        <v>191</v>
      </c>
      <c r="P319" t="s">
        <v>192</v>
      </c>
    </row>
    <row r="320" spans="1:16" ht="12.75" customHeight="1">
      <c r="A320">
        <v>4</v>
      </c>
      <c r="B320" t="s">
        <v>140</v>
      </c>
      <c r="C320">
        <v>1019</v>
      </c>
      <c r="D320" t="s">
        <v>348</v>
      </c>
      <c r="E320" t="s">
        <v>316</v>
      </c>
      <c r="F320" s="2">
        <v>34715</v>
      </c>
      <c r="H320" s="2">
        <v>36196</v>
      </c>
      <c r="I320" s="5">
        <v>35246</v>
      </c>
      <c r="J320" s="2">
        <v>34808</v>
      </c>
      <c r="K320" s="2">
        <v>36196</v>
      </c>
      <c r="L320" t="s">
        <v>297</v>
      </c>
      <c r="M320" t="s">
        <v>297</v>
      </c>
      <c r="N320" t="s">
        <v>318</v>
      </c>
      <c r="O320" t="s">
        <v>191</v>
      </c>
      <c r="P320" t="s">
        <v>192</v>
      </c>
    </row>
    <row r="321" spans="1:16" ht="12.75" customHeight="1">
      <c r="A321">
        <v>4</v>
      </c>
      <c r="B321" t="s">
        <v>140</v>
      </c>
      <c r="C321">
        <v>1116</v>
      </c>
      <c r="D321" t="s">
        <v>377</v>
      </c>
      <c r="E321" t="s">
        <v>316</v>
      </c>
      <c r="F321" s="2">
        <v>35222</v>
      </c>
      <c r="G321" s="2">
        <v>36308</v>
      </c>
      <c r="H321" s="2">
        <v>36570</v>
      </c>
      <c r="I321" s="5">
        <v>36586</v>
      </c>
      <c r="K321" s="2">
        <v>35222</v>
      </c>
      <c r="L321" t="s">
        <v>322</v>
      </c>
      <c r="M321" t="s">
        <v>297</v>
      </c>
      <c r="N321" t="s">
        <v>369</v>
      </c>
      <c r="O321" t="s">
        <v>191</v>
      </c>
      <c r="P321" t="s">
        <v>192</v>
      </c>
    </row>
    <row r="322" spans="1:16" ht="12.75" customHeight="1">
      <c r="A322">
        <v>4</v>
      </c>
      <c r="B322" t="s">
        <v>140</v>
      </c>
      <c r="C322">
        <v>1179</v>
      </c>
      <c r="D322" t="s">
        <v>348</v>
      </c>
      <c r="E322" t="s">
        <v>316</v>
      </c>
      <c r="F322" s="2">
        <v>35493</v>
      </c>
      <c r="H322" s="2">
        <v>36930</v>
      </c>
      <c r="K322" s="2">
        <v>36181</v>
      </c>
      <c r="L322" t="s">
        <v>322</v>
      </c>
      <c r="M322" t="s">
        <v>297</v>
      </c>
      <c r="O322" t="s">
        <v>191</v>
      </c>
      <c r="P322" t="s">
        <v>192</v>
      </c>
    </row>
    <row r="323" spans="1:16" ht="12.75" customHeight="1">
      <c r="A323">
        <v>4</v>
      </c>
      <c r="B323" t="s">
        <v>140</v>
      </c>
      <c r="C323">
        <v>1355</v>
      </c>
      <c r="D323" t="s">
        <v>380</v>
      </c>
      <c r="E323" t="s">
        <v>316</v>
      </c>
      <c r="F323" s="2">
        <v>36739</v>
      </c>
      <c r="G323" s="2">
        <v>37848</v>
      </c>
      <c r="H323" s="2">
        <v>38399</v>
      </c>
      <c r="I323" s="5">
        <v>36739</v>
      </c>
      <c r="L323" t="s">
        <v>322</v>
      </c>
      <c r="M323" t="s">
        <v>297</v>
      </c>
      <c r="N323" t="s">
        <v>562</v>
      </c>
      <c r="O323" t="s">
        <v>191</v>
      </c>
      <c r="P323" t="s">
        <v>192</v>
      </c>
    </row>
    <row r="324" spans="1:16" ht="12.75" customHeight="1">
      <c r="A324">
        <v>4</v>
      </c>
      <c r="B324" t="s">
        <v>140</v>
      </c>
      <c r="C324">
        <v>1415</v>
      </c>
      <c r="D324" t="s">
        <v>295</v>
      </c>
      <c r="E324" t="s">
        <v>296</v>
      </c>
      <c r="F324" s="2">
        <v>37403</v>
      </c>
      <c r="H324" s="2">
        <v>39050</v>
      </c>
      <c r="I324" s="5">
        <v>39263</v>
      </c>
      <c r="K324" s="2">
        <v>39175</v>
      </c>
      <c r="L324" t="s">
        <v>297</v>
      </c>
      <c r="M324" t="s">
        <v>297</v>
      </c>
      <c r="N324" t="s">
        <v>563</v>
      </c>
      <c r="O324" t="s">
        <v>191</v>
      </c>
      <c r="P324" t="s">
        <v>192</v>
      </c>
    </row>
    <row r="325" spans="1:16" ht="12.75" customHeight="1">
      <c r="A325">
        <v>4</v>
      </c>
      <c r="B325" t="s">
        <v>140</v>
      </c>
      <c r="C325">
        <v>1435</v>
      </c>
      <c r="D325" t="s">
        <v>295</v>
      </c>
      <c r="E325" t="s">
        <v>299</v>
      </c>
      <c r="F325" s="2">
        <v>37652</v>
      </c>
      <c r="H325" s="2">
        <v>39477</v>
      </c>
      <c r="I325" s="5">
        <v>38564</v>
      </c>
      <c r="L325" t="s">
        <v>297</v>
      </c>
      <c r="M325" t="s">
        <v>297</v>
      </c>
      <c r="N325" t="s">
        <v>564</v>
      </c>
      <c r="O325" t="s">
        <v>191</v>
      </c>
      <c r="P325" t="s">
        <v>192</v>
      </c>
    </row>
    <row r="326" spans="1:16" ht="12.75" customHeight="1">
      <c r="A326">
        <v>4</v>
      </c>
      <c r="B326" t="s">
        <v>140</v>
      </c>
      <c r="C326">
        <v>1509</v>
      </c>
      <c r="D326" t="s">
        <v>295</v>
      </c>
      <c r="E326" t="s">
        <v>296</v>
      </c>
      <c r="F326" s="2">
        <v>38565</v>
      </c>
      <c r="G326" s="2">
        <v>39465</v>
      </c>
      <c r="H326" s="2">
        <v>38968</v>
      </c>
      <c r="I326" s="5">
        <v>39629</v>
      </c>
      <c r="L326" t="s">
        <v>297</v>
      </c>
      <c r="M326" t="s">
        <v>297</v>
      </c>
      <c r="N326" t="s">
        <v>565</v>
      </c>
      <c r="O326" t="s">
        <v>191</v>
      </c>
      <c r="P326" t="s">
        <v>192</v>
      </c>
    </row>
    <row r="327" spans="1:16" ht="12.75" customHeight="1">
      <c r="A327">
        <v>4</v>
      </c>
      <c r="B327" t="s">
        <v>140</v>
      </c>
      <c r="C327">
        <v>1537</v>
      </c>
      <c r="D327" t="s">
        <v>295</v>
      </c>
      <c r="E327" t="s">
        <v>299</v>
      </c>
      <c r="F327" s="2">
        <v>39087</v>
      </c>
      <c r="H327" s="2">
        <v>39350</v>
      </c>
      <c r="I327" s="5">
        <v>39294</v>
      </c>
      <c r="L327" t="s">
        <v>297</v>
      </c>
      <c r="M327" t="s">
        <v>297</v>
      </c>
      <c r="N327" t="s">
        <v>318</v>
      </c>
      <c r="O327" t="s">
        <v>191</v>
      </c>
      <c r="P327" t="s">
        <v>192</v>
      </c>
    </row>
    <row r="328" spans="1:16" ht="12.75" customHeight="1">
      <c r="A328" t="s">
        <v>191</v>
      </c>
      <c r="B328" t="s">
        <v>192</v>
      </c>
    </row>
    <row r="329" spans="1:16" ht="12.75" customHeight="1">
      <c r="A329">
        <v>4</v>
      </c>
      <c r="B329" t="s">
        <v>149</v>
      </c>
      <c r="C329">
        <v>451</v>
      </c>
      <c r="D329" t="s">
        <v>295</v>
      </c>
      <c r="E329" t="s">
        <v>296</v>
      </c>
      <c r="F329" s="2">
        <v>31052</v>
      </c>
      <c r="G329" s="2">
        <v>31794</v>
      </c>
      <c r="H329" s="2">
        <v>39513</v>
      </c>
      <c r="I329" s="5">
        <v>37621</v>
      </c>
      <c r="K329" s="2">
        <v>35898</v>
      </c>
      <c r="L329" t="s">
        <v>297</v>
      </c>
      <c r="N329" t="s">
        <v>566</v>
      </c>
      <c r="O329" t="s">
        <v>191</v>
      </c>
      <c r="P329" t="s">
        <v>193</v>
      </c>
    </row>
    <row r="330" spans="1:16" ht="12.75" customHeight="1">
      <c r="A330">
        <v>4</v>
      </c>
      <c r="B330" t="s">
        <v>149</v>
      </c>
      <c r="C330">
        <v>569</v>
      </c>
      <c r="D330" t="s">
        <v>295</v>
      </c>
      <c r="E330" t="s">
        <v>296</v>
      </c>
      <c r="F330" s="2">
        <v>31738</v>
      </c>
      <c r="G330" s="2">
        <v>32816</v>
      </c>
      <c r="H330" s="2">
        <v>39219</v>
      </c>
      <c r="I330" s="5">
        <v>39082</v>
      </c>
      <c r="J330" s="2">
        <v>37964</v>
      </c>
      <c r="K330" s="2">
        <v>38799</v>
      </c>
      <c r="L330" t="s">
        <v>297</v>
      </c>
      <c r="M330" t="s">
        <v>297</v>
      </c>
      <c r="N330" t="s">
        <v>567</v>
      </c>
      <c r="O330" t="s">
        <v>191</v>
      </c>
      <c r="P330" t="s">
        <v>193</v>
      </c>
    </row>
    <row r="331" spans="1:16" ht="12.75" customHeight="1">
      <c r="A331">
        <v>4</v>
      </c>
      <c r="B331" t="s">
        <v>149</v>
      </c>
      <c r="C331">
        <v>668</v>
      </c>
      <c r="D331" t="s">
        <v>295</v>
      </c>
      <c r="E331" t="s">
        <v>299</v>
      </c>
      <c r="F331" s="2">
        <v>32521</v>
      </c>
      <c r="H331" s="2">
        <v>37673</v>
      </c>
      <c r="I331" s="5">
        <v>36525</v>
      </c>
      <c r="K331" s="2">
        <v>36287</v>
      </c>
      <c r="L331" t="s">
        <v>297</v>
      </c>
      <c r="M331" t="s">
        <v>297</v>
      </c>
      <c r="N331" t="s">
        <v>568</v>
      </c>
      <c r="O331" t="s">
        <v>191</v>
      </c>
      <c r="P331" t="s">
        <v>193</v>
      </c>
    </row>
    <row r="332" spans="1:16" ht="12.75" customHeight="1">
      <c r="A332">
        <v>4</v>
      </c>
      <c r="B332" t="s">
        <v>149</v>
      </c>
      <c r="C332">
        <v>713</v>
      </c>
      <c r="D332" t="s">
        <v>295</v>
      </c>
      <c r="E332" t="s">
        <v>296</v>
      </c>
      <c r="F332" s="2">
        <v>32892</v>
      </c>
      <c r="G332" s="2">
        <v>34775</v>
      </c>
      <c r="H332" s="2">
        <v>37235</v>
      </c>
      <c r="I332" s="5">
        <v>36160</v>
      </c>
      <c r="K332" s="2">
        <v>35685</v>
      </c>
      <c r="L332" t="s">
        <v>297</v>
      </c>
      <c r="M332" t="s">
        <v>297</v>
      </c>
      <c r="N332" t="s">
        <v>569</v>
      </c>
      <c r="O332" t="s">
        <v>191</v>
      </c>
      <c r="P332" t="s">
        <v>193</v>
      </c>
    </row>
    <row r="333" spans="1:16" ht="12.75" customHeight="1">
      <c r="A333">
        <v>4</v>
      </c>
      <c r="B333" t="s">
        <v>149</v>
      </c>
      <c r="C333">
        <v>750</v>
      </c>
      <c r="D333" t="s">
        <v>295</v>
      </c>
      <c r="E333" t="s">
        <v>299</v>
      </c>
      <c r="F333" s="2">
        <v>33070</v>
      </c>
      <c r="H333" s="2">
        <v>37307</v>
      </c>
      <c r="I333" s="5">
        <v>37802</v>
      </c>
      <c r="K333" s="2">
        <v>35867</v>
      </c>
      <c r="L333" t="s">
        <v>297</v>
      </c>
      <c r="N333" t="s">
        <v>570</v>
      </c>
      <c r="O333" t="s">
        <v>191</v>
      </c>
      <c r="P333" t="s">
        <v>193</v>
      </c>
    </row>
    <row r="334" spans="1:16" ht="12.75" customHeight="1">
      <c r="A334">
        <v>4</v>
      </c>
      <c r="B334" t="s">
        <v>149</v>
      </c>
      <c r="C334">
        <v>819</v>
      </c>
      <c r="D334" t="s">
        <v>295</v>
      </c>
      <c r="E334" t="s">
        <v>299</v>
      </c>
      <c r="F334" s="2">
        <v>33621</v>
      </c>
      <c r="H334" s="2">
        <v>39494</v>
      </c>
      <c r="I334" s="5">
        <v>37955</v>
      </c>
      <c r="K334" s="2">
        <v>35851</v>
      </c>
      <c r="L334" t="s">
        <v>297</v>
      </c>
      <c r="M334" t="s">
        <v>297</v>
      </c>
      <c r="N334" t="s">
        <v>571</v>
      </c>
      <c r="O334" t="s">
        <v>191</v>
      </c>
      <c r="P334" t="s">
        <v>193</v>
      </c>
    </row>
    <row r="335" spans="1:16" ht="12.75" customHeight="1">
      <c r="A335">
        <v>4</v>
      </c>
      <c r="B335" t="s">
        <v>149</v>
      </c>
      <c r="C335">
        <v>833</v>
      </c>
      <c r="D335" t="s">
        <v>572</v>
      </c>
      <c r="E335" t="s">
        <v>316</v>
      </c>
      <c r="F335" s="2">
        <v>33684</v>
      </c>
      <c r="H335" s="2">
        <v>35222</v>
      </c>
      <c r="I335" s="5">
        <v>34074</v>
      </c>
      <c r="K335" s="2">
        <v>35222</v>
      </c>
      <c r="L335" t="s">
        <v>322</v>
      </c>
      <c r="M335" t="s">
        <v>297</v>
      </c>
      <c r="O335" t="s">
        <v>191</v>
      </c>
      <c r="P335" t="s">
        <v>193</v>
      </c>
    </row>
    <row r="336" spans="1:16" ht="12.75" customHeight="1">
      <c r="A336">
        <v>4</v>
      </c>
      <c r="B336" t="s">
        <v>149</v>
      </c>
      <c r="C336">
        <v>896</v>
      </c>
      <c r="D336" t="s">
        <v>348</v>
      </c>
      <c r="E336" t="s">
        <v>316</v>
      </c>
      <c r="F336" s="2">
        <v>34177</v>
      </c>
      <c r="G336" s="2">
        <v>34775</v>
      </c>
      <c r="H336" s="2">
        <v>36570</v>
      </c>
      <c r="I336" s="5">
        <v>35643</v>
      </c>
      <c r="K336" s="2">
        <v>35485</v>
      </c>
      <c r="L336" t="s">
        <v>322</v>
      </c>
      <c r="M336" t="s">
        <v>297</v>
      </c>
      <c r="O336" t="s">
        <v>191</v>
      </c>
      <c r="P336" t="s">
        <v>193</v>
      </c>
    </row>
    <row r="337" spans="1:16" ht="12.75" customHeight="1">
      <c r="A337">
        <v>4</v>
      </c>
      <c r="B337" t="s">
        <v>149</v>
      </c>
      <c r="C337">
        <v>1173</v>
      </c>
      <c r="D337" t="s">
        <v>573</v>
      </c>
      <c r="E337" t="s">
        <v>316</v>
      </c>
      <c r="F337" s="2">
        <v>35472</v>
      </c>
      <c r="H337" s="2">
        <v>36748</v>
      </c>
      <c r="L337" t="s">
        <v>322</v>
      </c>
      <c r="M337" t="s">
        <v>297</v>
      </c>
      <c r="O337" t="s">
        <v>191</v>
      </c>
      <c r="P337" t="s">
        <v>193</v>
      </c>
    </row>
    <row r="338" spans="1:16" ht="12.75" customHeight="1">
      <c r="A338">
        <v>4</v>
      </c>
      <c r="B338" t="s">
        <v>149</v>
      </c>
      <c r="C338">
        <v>1235</v>
      </c>
      <c r="D338" t="s">
        <v>574</v>
      </c>
      <c r="E338" t="s">
        <v>316</v>
      </c>
      <c r="F338" s="2">
        <v>35843</v>
      </c>
      <c r="H338" s="2">
        <v>35906</v>
      </c>
      <c r="I338" s="5">
        <v>36220</v>
      </c>
      <c r="K338" s="2">
        <v>35906</v>
      </c>
      <c r="L338" t="s">
        <v>322</v>
      </c>
      <c r="M338" t="s">
        <v>297</v>
      </c>
      <c r="O338" t="s">
        <v>191</v>
      </c>
      <c r="P338" t="s">
        <v>193</v>
      </c>
    </row>
    <row r="339" spans="1:16" ht="12.75" customHeight="1">
      <c r="A339">
        <v>4</v>
      </c>
      <c r="B339" t="s">
        <v>149</v>
      </c>
      <c r="C339">
        <v>1446</v>
      </c>
      <c r="D339" t="s">
        <v>295</v>
      </c>
      <c r="E339" t="s">
        <v>299</v>
      </c>
      <c r="F339" s="2">
        <v>37736</v>
      </c>
      <c r="H339" s="2">
        <v>39245</v>
      </c>
      <c r="I339" s="5">
        <v>38108</v>
      </c>
      <c r="L339" t="s">
        <v>322</v>
      </c>
      <c r="M339" t="s">
        <v>322</v>
      </c>
      <c r="N339" t="s">
        <v>575</v>
      </c>
      <c r="O339" t="s">
        <v>191</v>
      </c>
      <c r="P339" t="s">
        <v>193</v>
      </c>
    </row>
    <row r="340" spans="1:16" ht="12.75" customHeight="1">
      <c r="A340" t="s">
        <v>191</v>
      </c>
      <c r="B340" t="s">
        <v>193</v>
      </c>
    </row>
    <row r="341" spans="1:16" ht="12.75" customHeight="1">
      <c r="A341">
        <v>4</v>
      </c>
      <c r="B341" t="s">
        <v>296</v>
      </c>
      <c r="C341">
        <v>960</v>
      </c>
      <c r="D341" t="s">
        <v>315</v>
      </c>
      <c r="E341" t="s">
        <v>316</v>
      </c>
      <c r="F341" s="2">
        <v>36762</v>
      </c>
      <c r="H341" s="2">
        <v>36762</v>
      </c>
      <c r="I341" s="5">
        <v>36708</v>
      </c>
      <c r="L341" t="s">
        <v>322</v>
      </c>
      <c r="M341" t="s">
        <v>297</v>
      </c>
      <c r="N341" t="s">
        <v>369</v>
      </c>
      <c r="O341" t="s">
        <v>191</v>
      </c>
      <c r="P341" t="s">
        <v>194</v>
      </c>
    </row>
    <row r="342" spans="1:16" ht="12.75" customHeight="1">
      <c r="A342">
        <v>4</v>
      </c>
      <c r="B342" t="s">
        <v>296</v>
      </c>
      <c r="C342">
        <v>1028</v>
      </c>
      <c r="D342" t="s">
        <v>348</v>
      </c>
      <c r="E342" t="s">
        <v>376</v>
      </c>
      <c r="F342" s="2">
        <v>34736</v>
      </c>
      <c r="H342" s="2">
        <v>35945</v>
      </c>
      <c r="I342" s="5">
        <v>35064</v>
      </c>
      <c r="K342" s="2">
        <v>34736</v>
      </c>
      <c r="L342" t="s">
        <v>317</v>
      </c>
      <c r="M342" t="s">
        <v>297</v>
      </c>
      <c r="N342" t="s">
        <v>369</v>
      </c>
      <c r="O342" t="s">
        <v>191</v>
      </c>
      <c r="P342" t="s">
        <v>194</v>
      </c>
    </row>
    <row r="343" spans="1:16" ht="12.75" customHeight="1">
      <c r="A343">
        <v>4</v>
      </c>
      <c r="B343" t="s">
        <v>296</v>
      </c>
      <c r="C343">
        <v>1082</v>
      </c>
      <c r="D343" t="s">
        <v>464</v>
      </c>
      <c r="E343" t="s">
        <v>316</v>
      </c>
      <c r="F343" s="2">
        <v>35039</v>
      </c>
      <c r="G343" s="2">
        <v>36483</v>
      </c>
      <c r="H343" s="2">
        <v>36752</v>
      </c>
      <c r="I343" s="5">
        <v>36890</v>
      </c>
      <c r="K343" s="2">
        <v>35039</v>
      </c>
      <c r="L343" t="s">
        <v>322</v>
      </c>
      <c r="M343" t="s">
        <v>297</v>
      </c>
      <c r="N343" t="s">
        <v>369</v>
      </c>
      <c r="O343" t="s">
        <v>191</v>
      </c>
      <c r="P343" t="s">
        <v>194</v>
      </c>
    </row>
    <row r="344" spans="1:16" ht="12.75" customHeight="1">
      <c r="A344">
        <v>4</v>
      </c>
      <c r="B344" t="s">
        <v>296</v>
      </c>
      <c r="C344">
        <v>1209</v>
      </c>
      <c r="D344" t="s">
        <v>464</v>
      </c>
      <c r="E344" t="s">
        <v>316</v>
      </c>
      <c r="F344" s="2">
        <v>35653</v>
      </c>
      <c r="G344" s="2">
        <v>36175</v>
      </c>
      <c r="H344" s="2">
        <v>36809</v>
      </c>
      <c r="I344" s="5">
        <v>36403</v>
      </c>
      <c r="K344" s="2">
        <v>36194</v>
      </c>
      <c r="L344" t="s">
        <v>297</v>
      </c>
      <c r="M344" t="s">
        <v>297</v>
      </c>
      <c r="O344" t="s">
        <v>191</v>
      </c>
      <c r="P344" t="s">
        <v>194</v>
      </c>
    </row>
    <row r="345" spans="1:16" ht="12.75" customHeight="1">
      <c r="A345">
        <v>4</v>
      </c>
      <c r="B345" t="s">
        <v>296</v>
      </c>
      <c r="C345">
        <v>1228</v>
      </c>
      <c r="D345" t="s">
        <v>380</v>
      </c>
      <c r="E345" t="s">
        <v>316</v>
      </c>
      <c r="F345" s="2">
        <v>35779</v>
      </c>
      <c r="G345" s="2">
        <v>36308</v>
      </c>
      <c r="H345" s="2">
        <v>37288</v>
      </c>
      <c r="I345" s="5">
        <v>37256</v>
      </c>
      <c r="K345" s="2">
        <v>37288</v>
      </c>
      <c r="L345" t="s">
        <v>297</v>
      </c>
      <c r="M345" t="s">
        <v>297</v>
      </c>
      <c r="O345" t="s">
        <v>191</v>
      </c>
      <c r="P345" t="s">
        <v>194</v>
      </c>
    </row>
    <row r="346" spans="1:16" ht="12.75" customHeight="1">
      <c r="A346">
        <v>4</v>
      </c>
      <c r="B346" t="s">
        <v>296</v>
      </c>
      <c r="C346">
        <v>1249</v>
      </c>
      <c r="D346" t="s">
        <v>464</v>
      </c>
      <c r="E346" t="s">
        <v>316</v>
      </c>
      <c r="F346" s="2">
        <v>35933</v>
      </c>
      <c r="H346" s="2">
        <v>36222</v>
      </c>
      <c r="I346" s="5">
        <v>35933</v>
      </c>
      <c r="L346" t="s">
        <v>322</v>
      </c>
      <c r="M346" t="s">
        <v>297</v>
      </c>
      <c r="O346" t="s">
        <v>191</v>
      </c>
      <c r="P346" t="s">
        <v>194</v>
      </c>
    </row>
    <row r="347" spans="1:16" ht="12.75" customHeight="1">
      <c r="A347">
        <v>4</v>
      </c>
      <c r="B347" t="s">
        <v>296</v>
      </c>
      <c r="C347">
        <v>1293</v>
      </c>
      <c r="D347" t="s">
        <v>576</v>
      </c>
      <c r="E347" t="s">
        <v>316</v>
      </c>
      <c r="F347" s="2">
        <v>36257</v>
      </c>
      <c r="L347" t="s">
        <v>322</v>
      </c>
      <c r="M347" t="s">
        <v>297</v>
      </c>
      <c r="N347" t="s">
        <v>369</v>
      </c>
      <c r="O347" t="s">
        <v>191</v>
      </c>
      <c r="P347" t="s">
        <v>194</v>
      </c>
    </row>
    <row r="348" spans="1:16" ht="12.75" customHeight="1">
      <c r="A348">
        <v>4</v>
      </c>
      <c r="B348" t="s">
        <v>296</v>
      </c>
      <c r="C348">
        <v>1330</v>
      </c>
      <c r="D348" t="s">
        <v>348</v>
      </c>
      <c r="E348" t="s">
        <v>316</v>
      </c>
      <c r="F348" s="2">
        <v>36585</v>
      </c>
      <c r="H348" s="2">
        <v>36911</v>
      </c>
      <c r="I348" s="5">
        <v>37468</v>
      </c>
      <c r="L348" t="s">
        <v>322</v>
      </c>
      <c r="M348" t="s">
        <v>297</v>
      </c>
      <c r="O348" t="s">
        <v>191</v>
      </c>
      <c r="P348" t="s">
        <v>194</v>
      </c>
    </row>
    <row r="349" spans="1:16" ht="12.75" customHeight="1">
      <c r="A349">
        <v>4</v>
      </c>
      <c r="B349" t="s">
        <v>296</v>
      </c>
      <c r="C349">
        <v>1359</v>
      </c>
      <c r="D349" t="s">
        <v>380</v>
      </c>
      <c r="E349" t="s">
        <v>316</v>
      </c>
      <c r="F349" s="2">
        <v>36754</v>
      </c>
      <c r="H349" s="2">
        <v>36754</v>
      </c>
      <c r="I349" s="5">
        <v>36754</v>
      </c>
      <c r="L349" t="s">
        <v>297</v>
      </c>
      <c r="M349" t="s">
        <v>297</v>
      </c>
      <c r="O349" t="s">
        <v>191</v>
      </c>
      <c r="P349" t="s">
        <v>194</v>
      </c>
    </row>
    <row r="350" spans="1:16" ht="12.75" customHeight="1">
      <c r="A350">
        <v>4</v>
      </c>
      <c r="B350" t="s">
        <v>296</v>
      </c>
      <c r="C350">
        <v>1552</v>
      </c>
      <c r="D350" t="s">
        <v>295</v>
      </c>
      <c r="E350" t="s">
        <v>299</v>
      </c>
      <c r="F350" s="2">
        <v>39356</v>
      </c>
      <c r="H350" s="2">
        <v>39365</v>
      </c>
      <c r="I350" s="5">
        <v>39600</v>
      </c>
      <c r="L350" t="s">
        <v>297</v>
      </c>
      <c r="M350" t="s">
        <v>297</v>
      </c>
      <c r="N350" t="s">
        <v>577</v>
      </c>
      <c r="O350" t="s">
        <v>191</v>
      </c>
      <c r="P350" t="s">
        <v>194</v>
      </c>
    </row>
    <row r="351" spans="1:16" ht="12.75" customHeight="1">
      <c r="A351" t="s">
        <v>191</v>
      </c>
      <c r="B351" t="s">
        <v>194</v>
      </c>
    </row>
    <row r="352" spans="1:16" ht="12.75" customHeight="1">
      <c r="A352">
        <v>4</v>
      </c>
      <c r="B352" t="s">
        <v>176</v>
      </c>
      <c r="C352">
        <v>412</v>
      </c>
      <c r="D352" t="s">
        <v>295</v>
      </c>
      <c r="E352" t="s">
        <v>296</v>
      </c>
      <c r="F352" s="2">
        <v>30583</v>
      </c>
      <c r="G352" s="2">
        <v>30758</v>
      </c>
      <c r="H352" s="2">
        <v>39334</v>
      </c>
      <c r="I352" s="5">
        <v>37256</v>
      </c>
      <c r="K352" s="2">
        <v>37812</v>
      </c>
      <c r="L352" t="s">
        <v>297</v>
      </c>
      <c r="M352" t="s">
        <v>297</v>
      </c>
      <c r="N352" t="s">
        <v>578</v>
      </c>
      <c r="O352" t="s">
        <v>191</v>
      </c>
      <c r="P352" t="s">
        <v>195</v>
      </c>
    </row>
    <row r="353" spans="1:16" ht="12.75" customHeight="1">
      <c r="A353">
        <v>4</v>
      </c>
      <c r="B353" t="s">
        <v>176</v>
      </c>
      <c r="C353">
        <v>875</v>
      </c>
      <c r="D353" t="s">
        <v>295</v>
      </c>
      <c r="E353" t="s">
        <v>296</v>
      </c>
      <c r="F353" s="2">
        <v>33959</v>
      </c>
      <c r="G353" s="2">
        <v>34845</v>
      </c>
      <c r="H353" s="2">
        <v>39504</v>
      </c>
      <c r="I353" s="5">
        <v>39629</v>
      </c>
      <c r="K353" s="2">
        <v>38162</v>
      </c>
      <c r="L353" t="s">
        <v>297</v>
      </c>
      <c r="M353" t="s">
        <v>297</v>
      </c>
      <c r="N353" t="s">
        <v>579</v>
      </c>
      <c r="O353" t="s">
        <v>191</v>
      </c>
      <c r="P353" t="s">
        <v>195</v>
      </c>
    </row>
    <row r="354" spans="1:16" ht="12.75" customHeight="1">
      <c r="A354">
        <v>4</v>
      </c>
      <c r="B354" t="s">
        <v>176</v>
      </c>
      <c r="C354">
        <v>877</v>
      </c>
      <c r="D354" t="s">
        <v>393</v>
      </c>
      <c r="E354" t="s">
        <v>316</v>
      </c>
      <c r="F354" s="2">
        <v>33975</v>
      </c>
      <c r="H354" s="2">
        <v>38013</v>
      </c>
      <c r="I354" s="5">
        <v>34261</v>
      </c>
      <c r="K354" s="2">
        <v>35872</v>
      </c>
      <c r="L354" t="s">
        <v>297</v>
      </c>
      <c r="M354" t="s">
        <v>297</v>
      </c>
      <c r="N354" t="s">
        <v>580</v>
      </c>
      <c r="O354" t="s">
        <v>191</v>
      </c>
      <c r="P354" t="s">
        <v>195</v>
      </c>
    </row>
    <row r="355" spans="1:16" ht="12.75" customHeight="1">
      <c r="A355">
        <v>4</v>
      </c>
      <c r="B355" t="s">
        <v>176</v>
      </c>
      <c r="C355">
        <v>944</v>
      </c>
      <c r="D355" t="s">
        <v>295</v>
      </c>
      <c r="E355" t="s">
        <v>299</v>
      </c>
      <c r="F355" s="2">
        <v>34408</v>
      </c>
      <c r="H355" s="2">
        <v>39349</v>
      </c>
      <c r="I355" s="5">
        <v>38533</v>
      </c>
      <c r="K355" s="2">
        <v>38587</v>
      </c>
      <c r="L355" t="s">
        <v>297</v>
      </c>
      <c r="M355" t="s">
        <v>297</v>
      </c>
      <c r="N355" t="s">
        <v>581</v>
      </c>
      <c r="O355" t="s">
        <v>191</v>
      </c>
      <c r="P355" t="s">
        <v>195</v>
      </c>
    </row>
    <row r="356" spans="1:16" ht="12.75" customHeight="1">
      <c r="A356">
        <v>4</v>
      </c>
      <c r="B356" t="s">
        <v>176</v>
      </c>
      <c r="C356">
        <v>994</v>
      </c>
      <c r="D356" t="s">
        <v>295</v>
      </c>
      <c r="E356" t="s">
        <v>296</v>
      </c>
      <c r="F356" s="2">
        <v>34584</v>
      </c>
      <c r="G356" s="2">
        <v>35209</v>
      </c>
      <c r="H356" s="2">
        <v>39502</v>
      </c>
      <c r="I356" s="5">
        <v>38898</v>
      </c>
      <c r="J356" s="2">
        <v>38581</v>
      </c>
      <c r="K356" s="2">
        <v>38658</v>
      </c>
      <c r="L356" t="s">
        <v>297</v>
      </c>
      <c r="M356" t="s">
        <v>297</v>
      </c>
      <c r="N356" t="s">
        <v>582</v>
      </c>
      <c r="O356" t="s">
        <v>191</v>
      </c>
      <c r="P356" t="s">
        <v>195</v>
      </c>
    </row>
    <row r="357" spans="1:16" ht="12.75" customHeight="1">
      <c r="A357">
        <v>4</v>
      </c>
      <c r="B357" t="s">
        <v>176</v>
      </c>
      <c r="C357">
        <v>1225</v>
      </c>
      <c r="D357" t="s">
        <v>295</v>
      </c>
      <c r="E357" t="s">
        <v>296</v>
      </c>
      <c r="F357" s="2">
        <v>35753</v>
      </c>
      <c r="G357" s="2">
        <v>37526</v>
      </c>
      <c r="H357" s="2">
        <v>39494</v>
      </c>
      <c r="I357" s="5">
        <v>39629</v>
      </c>
      <c r="J357" s="2">
        <v>38306</v>
      </c>
      <c r="K357" s="2">
        <v>39065</v>
      </c>
      <c r="L357" t="s">
        <v>297</v>
      </c>
      <c r="M357" t="s">
        <v>297</v>
      </c>
      <c r="N357" t="s">
        <v>583</v>
      </c>
      <c r="O357" t="s">
        <v>191</v>
      </c>
      <c r="P357" t="s">
        <v>195</v>
      </c>
    </row>
    <row r="358" spans="1:16" ht="12.75" customHeight="1">
      <c r="A358">
        <v>4</v>
      </c>
      <c r="B358" t="s">
        <v>176</v>
      </c>
      <c r="C358">
        <v>1275</v>
      </c>
      <c r="D358" t="s">
        <v>295</v>
      </c>
      <c r="E358" t="s">
        <v>299</v>
      </c>
      <c r="F358" s="2">
        <v>36123</v>
      </c>
      <c r="H358" s="2">
        <v>36670</v>
      </c>
      <c r="I358" s="5">
        <v>36891</v>
      </c>
      <c r="L358" t="s">
        <v>297</v>
      </c>
      <c r="M358" t="s">
        <v>297</v>
      </c>
      <c r="N358" t="s">
        <v>584</v>
      </c>
      <c r="O358" t="s">
        <v>191</v>
      </c>
      <c r="P358" t="s">
        <v>195</v>
      </c>
    </row>
    <row r="359" spans="1:16" ht="12.75" customHeight="1">
      <c r="A359">
        <v>4</v>
      </c>
      <c r="B359" t="s">
        <v>176</v>
      </c>
      <c r="C359">
        <v>1327</v>
      </c>
      <c r="D359" t="s">
        <v>585</v>
      </c>
      <c r="E359" t="s">
        <v>316</v>
      </c>
      <c r="F359" s="2">
        <v>36575</v>
      </c>
      <c r="H359" s="2">
        <v>36794</v>
      </c>
      <c r="I359" s="5">
        <v>36575</v>
      </c>
      <c r="L359" t="s">
        <v>317</v>
      </c>
      <c r="M359" t="s">
        <v>297</v>
      </c>
      <c r="O359" t="s">
        <v>191</v>
      </c>
      <c r="P359" t="s">
        <v>195</v>
      </c>
    </row>
    <row r="360" spans="1:16" ht="12.75" customHeight="1">
      <c r="A360">
        <v>4</v>
      </c>
      <c r="B360" t="s">
        <v>176</v>
      </c>
      <c r="C360">
        <v>1365</v>
      </c>
      <c r="D360" t="s">
        <v>295</v>
      </c>
      <c r="E360" t="s">
        <v>296</v>
      </c>
      <c r="F360" s="2">
        <v>36847</v>
      </c>
      <c r="G360" s="2">
        <v>38842</v>
      </c>
      <c r="H360" s="2">
        <v>39131</v>
      </c>
      <c r="I360" s="5">
        <v>39629</v>
      </c>
      <c r="K360" s="2">
        <v>39174</v>
      </c>
      <c r="L360" t="s">
        <v>297</v>
      </c>
      <c r="M360" t="s">
        <v>297</v>
      </c>
      <c r="N360" t="s">
        <v>586</v>
      </c>
      <c r="O360" t="s">
        <v>191</v>
      </c>
      <c r="P360" t="s">
        <v>195</v>
      </c>
    </row>
    <row r="361" spans="1:16" ht="12.75" customHeight="1">
      <c r="A361">
        <v>4</v>
      </c>
      <c r="B361" t="s">
        <v>176</v>
      </c>
      <c r="C361">
        <v>1385</v>
      </c>
      <c r="D361" t="s">
        <v>295</v>
      </c>
      <c r="E361" t="s">
        <v>299</v>
      </c>
      <c r="F361" s="2">
        <v>37067</v>
      </c>
      <c r="H361" s="2">
        <v>39071</v>
      </c>
      <c r="I361" s="5">
        <v>38564</v>
      </c>
      <c r="K361" s="2">
        <v>38763</v>
      </c>
      <c r="L361" t="s">
        <v>297</v>
      </c>
      <c r="M361" t="s">
        <v>297</v>
      </c>
      <c r="N361" t="s">
        <v>587</v>
      </c>
      <c r="O361" t="s">
        <v>191</v>
      </c>
      <c r="P361" t="s">
        <v>195</v>
      </c>
    </row>
    <row r="362" spans="1:16" ht="12.75" customHeight="1">
      <c r="A362">
        <v>4</v>
      </c>
      <c r="B362" t="s">
        <v>176</v>
      </c>
      <c r="C362">
        <v>1386</v>
      </c>
      <c r="D362" t="s">
        <v>295</v>
      </c>
      <c r="E362" t="s">
        <v>299</v>
      </c>
      <c r="F362" s="2">
        <v>37088</v>
      </c>
      <c r="H362" s="2">
        <v>37088</v>
      </c>
      <c r="I362" s="5">
        <v>37468</v>
      </c>
      <c r="L362" t="s">
        <v>297</v>
      </c>
      <c r="M362" t="s">
        <v>297</v>
      </c>
      <c r="N362" t="s">
        <v>588</v>
      </c>
      <c r="O362" t="s">
        <v>191</v>
      </c>
      <c r="P362" t="s">
        <v>195</v>
      </c>
    </row>
    <row r="363" spans="1:16" ht="12.75" customHeight="1">
      <c r="A363">
        <v>4</v>
      </c>
      <c r="B363" t="s">
        <v>176</v>
      </c>
      <c r="C363">
        <v>1457</v>
      </c>
      <c r="D363" t="s">
        <v>295</v>
      </c>
      <c r="E363" t="s">
        <v>299</v>
      </c>
      <c r="F363" s="2">
        <v>38017</v>
      </c>
      <c r="H363" s="2">
        <v>38665</v>
      </c>
      <c r="I363" s="5">
        <v>38199</v>
      </c>
      <c r="J363" s="2">
        <v>36922</v>
      </c>
      <c r="L363" t="s">
        <v>297</v>
      </c>
      <c r="M363" t="s">
        <v>297</v>
      </c>
      <c r="N363" t="s">
        <v>589</v>
      </c>
      <c r="O363" t="s">
        <v>191</v>
      </c>
      <c r="P363" t="s">
        <v>195</v>
      </c>
    </row>
    <row r="364" spans="1:16" ht="12.75" customHeight="1">
      <c r="A364">
        <v>4</v>
      </c>
      <c r="B364" t="s">
        <v>176</v>
      </c>
      <c r="C364">
        <v>1553</v>
      </c>
      <c r="D364" t="s">
        <v>295</v>
      </c>
      <c r="E364" t="s">
        <v>299</v>
      </c>
      <c r="F364" s="2">
        <v>39356</v>
      </c>
      <c r="H364" s="2">
        <v>39405</v>
      </c>
      <c r="L364" t="s">
        <v>297</v>
      </c>
      <c r="M364" t="s">
        <v>297</v>
      </c>
      <c r="N364" t="s">
        <v>590</v>
      </c>
      <c r="O364" t="s">
        <v>191</v>
      </c>
      <c r="P364" t="s">
        <v>195</v>
      </c>
    </row>
    <row r="365" spans="1:16" ht="12.75" customHeight="1">
      <c r="A365" t="s">
        <v>191</v>
      </c>
      <c r="B365" t="s">
        <v>195</v>
      </c>
    </row>
    <row r="366" spans="1:16" ht="12.75" customHeight="1">
      <c r="A366">
        <v>4</v>
      </c>
      <c r="B366" t="s">
        <v>196</v>
      </c>
      <c r="C366">
        <v>334</v>
      </c>
      <c r="D366" t="s">
        <v>295</v>
      </c>
      <c r="E366" t="s">
        <v>296</v>
      </c>
      <c r="F366" s="2">
        <v>29910</v>
      </c>
      <c r="G366" s="2">
        <v>30274</v>
      </c>
      <c r="H366" s="2">
        <v>39071</v>
      </c>
      <c r="I366" s="5">
        <v>38898</v>
      </c>
      <c r="J366" s="2">
        <v>38929</v>
      </c>
      <c r="K366" s="2">
        <v>38968</v>
      </c>
      <c r="L366" t="s">
        <v>297</v>
      </c>
      <c r="M366" t="s">
        <v>297</v>
      </c>
      <c r="N366" t="s">
        <v>591</v>
      </c>
      <c r="O366" t="s">
        <v>191</v>
      </c>
      <c r="P366" t="s">
        <v>197</v>
      </c>
    </row>
    <row r="367" spans="1:16" ht="12.75" customHeight="1">
      <c r="A367">
        <v>4</v>
      </c>
      <c r="B367" t="s">
        <v>196</v>
      </c>
      <c r="C367">
        <v>1000</v>
      </c>
      <c r="D367" t="s">
        <v>295</v>
      </c>
      <c r="E367" t="s">
        <v>296</v>
      </c>
      <c r="F367" s="2">
        <v>34584</v>
      </c>
      <c r="G367" s="2">
        <v>37330</v>
      </c>
      <c r="H367" s="2">
        <v>39127</v>
      </c>
      <c r="I367" s="5">
        <v>39263</v>
      </c>
      <c r="J367" s="2">
        <v>37988</v>
      </c>
      <c r="K367" s="2">
        <v>35531</v>
      </c>
      <c r="L367" t="s">
        <v>297</v>
      </c>
      <c r="M367" t="s">
        <v>322</v>
      </c>
      <c r="N367" t="s">
        <v>592</v>
      </c>
      <c r="O367" t="s">
        <v>191</v>
      </c>
      <c r="P367" t="s">
        <v>197</v>
      </c>
    </row>
    <row r="368" spans="1:16" ht="12.75" customHeight="1">
      <c r="A368">
        <v>4</v>
      </c>
      <c r="B368" t="s">
        <v>196</v>
      </c>
      <c r="C368">
        <v>1161</v>
      </c>
      <c r="D368" t="s">
        <v>295</v>
      </c>
      <c r="E368" t="s">
        <v>296</v>
      </c>
      <c r="F368" s="2">
        <v>35443</v>
      </c>
      <c r="G368" s="2">
        <v>36238</v>
      </c>
      <c r="H368" s="2">
        <v>39512</v>
      </c>
      <c r="I368" s="5">
        <v>38564</v>
      </c>
      <c r="J368" s="2">
        <v>39441</v>
      </c>
      <c r="K368" s="2">
        <v>36377</v>
      </c>
      <c r="L368" t="s">
        <v>297</v>
      </c>
      <c r="M368" t="s">
        <v>297</v>
      </c>
      <c r="N368" t="s">
        <v>593</v>
      </c>
      <c r="O368" t="s">
        <v>191</v>
      </c>
      <c r="P368" t="s">
        <v>197</v>
      </c>
    </row>
    <row r="369" spans="1:16" ht="12.75" customHeight="1">
      <c r="A369">
        <v>4</v>
      </c>
      <c r="B369" t="s">
        <v>196</v>
      </c>
      <c r="C369">
        <v>1210</v>
      </c>
      <c r="D369" t="s">
        <v>295</v>
      </c>
      <c r="E369" t="s">
        <v>299</v>
      </c>
      <c r="F369" s="2">
        <v>35656</v>
      </c>
      <c r="H369" s="2">
        <v>38939</v>
      </c>
      <c r="I369" s="5">
        <v>39629</v>
      </c>
      <c r="K369" s="2">
        <v>38849</v>
      </c>
      <c r="L369" t="s">
        <v>297</v>
      </c>
      <c r="M369" t="s">
        <v>297</v>
      </c>
      <c r="N369" t="s">
        <v>594</v>
      </c>
      <c r="O369" t="s">
        <v>191</v>
      </c>
      <c r="P369" t="s">
        <v>197</v>
      </c>
    </row>
    <row r="370" spans="1:16" ht="12.75" customHeight="1">
      <c r="A370">
        <v>4</v>
      </c>
      <c r="B370" t="s">
        <v>196</v>
      </c>
      <c r="C370">
        <v>1241</v>
      </c>
      <c r="D370" t="s">
        <v>295</v>
      </c>
      <c r="E370" t="s">
        <v>299</v>
      </c>
      <c r="F370" s="2">
        <v>35891</v>
      </c>
      <c r="H370" s="2">
        <v>38772</v>
      </c>
      <c r="I370" s="5">
        <v>38442</v>
      </c>
      <c r="L370" t="s">
        <v>297</v>
      </c>
      <c r="M370" t="s">
        <v>297</v>
      </c>
      <c r="N370" t="s">
        <v>595</v>
      </c>
      <c r="O370" t="s">
        <v>191</v>
      </c>
      <c r="P370" t="s">
        <v>197</v>
      </c>
    </row>
    <row r="371" spans="1:16" ht="12.75" customHeight="1">
      <c r="A371">
        <v>4</v>
      </c>
      <c r="B371" t="s">
        <v>196</v>
      </c>
      <c r="C371">
        <v>1254</v>
      </c>
      <c r="D371" t="s">
        <v>295</v>
      </c>
      <c r="E371" t="s">
        <v>299</v>
      </c>
      <c r="F371" s="2">
        <v>35956</v>
      </c>
      <c r="H371" s="2">
        <v>38837</v>
      </c>
      <c r="L371" t="s">
        <v>322</v>
      </c>
      <c r="M371" t="s">
        <v>297</v>
      </c>
      <c r="N371" t="s">
        <v>596</v>
      </c>
      <c r="O371" t="s">
        <v>191</v>
      </c>
      <c r="P371" t="s">
        <v>197</v>
      </c>
    </row>
    <row r="372" spans="1:16" ht="12.75" customHeight="1">
      <c r="A372">
        <v>4</v>
      </c>
      <c r="B372" t="s">
        <v>196</v>
      </c>
      <c r="C372">
        <v>1255</v>
      </c>
      <c r="D372" t="s">
        <v>315</v>
      </c>
      <c r="E372" t="s">
        <v>316</v>
      </c>
      <c r="F372" s="2">
        <v>35958</v>
      </c>
      <c r="H372" s="2">
        <v>36756</v>
      </c>
      <c r="I372" s="5">
        <v>36372</v>
      </c>
      <c r="L372" t="s">
        <v>297</v>
      </c>
      <c r="M372" t="s">
        <v>297</v>
      </c>
      <c r="N372" t="s">
        <v>318</v>
      </c>
      <c r="O372" t="s">
        <v>191</v>
      </c>
      <c r="P372" t="s">
        <v>197</v>
      </c>
    </row>
    <row r="373" spans="1:16" ht="12.75" customHeight="1">
      <c r="A373">
        <v>4</v>
      </c>
      <c r="B373" t="s">
        <v>196</v>
      </c>
      <c r="C373">
        <v>1263</v>
      </c>
      <c r="D373" t="s">
        <v>295</v>
      </c>
      <c r="E373" t="s">
        <v>299</v>
      </c>
      <c r="F373" s="2">
        <v>35993</v>
      </c>
      <c r="H373" s="2">
        <v>37949</v>
      </c>
      <c r="I373" s="5">
        <v>36738</v>
      </c>
      <c r="K373" s="2">
        <v>36389</v>
      </c>
      <c r="L373" t="s">
        <v>297</v>
      </c>
      <c r="M373" t="s">
        <v>297</v>
      </c>
      <c r="N373" t="s">
        <v>597</v>
      </c>
      <c r="O373" t="s">
        <v>191</v>
      </c>
      <c r="P373" t="s">
        <v>197</v>
      </c>
    </row>
    <row r="374" spans="1:16" ht="12.75" customHeight="1">
      <c r="A374">
        <v>4</v>
      </c>
      <c r="B374" t="s">
        <v>196</v>
      </c>
      <c r="C374">
        <v>1264</v>
      </c>
      <c r="D374" t="s">
        <v>295</v>
      </c>
      <c r="E374" t="s">
        <v>296</v>
      </c>
      <c r="F374" s="2">
        <v>36004</v>
      </c>
      <c r="G374" s="2">
        <v>37939</v>
      </c>
      <c r="H374" s="2">
        <v>38546</v>
      </c>
      <c r="I374" s="5">
        <v>38533</v>
      </c>
      <c r="J374" s="2">
        <v>38587</v>
      </c>
      <c r="K374" s="2">
        <v>38595</v>
      </c>
      <c r="L374" t="s">
        <v>297</v>
      </c>
      <c r="M374" t="s">
        <v>297</v>
      </c>
      <c r="N374" t="s">
        <v>598</v>
      </c>
      <c r="O374" t="s">
        <v>191</v>
      </c>
      <c r="P374" t="s">
        <v>197</v>
      </c>
    </row>
    <row r="375" spans="1:16" ht="12.75" customHeight="1">
      <c r="A375">
        <v>4</v>
      </c>
      <c r="B375" t="s">
        <v>196</v>
      </c>
      <c r="C375">
        <v>1286</v>
      </c>
      <c r="D375" t="s">
        <v>348</v>
      </c>
      <c r="E375" t="s">
        <v>316</v>
      </c>
      <c r="F375" s="2">
        <v>36220</v>
      </c>
      <c r="H375" s="2">
        <v>36712</v>
      </c>
      <c r="L375" t="s">
        <v>322</v>
      </c>
      <c r="M375" t="s">
        <v>297</v>
      </c>
      <c r="O375" t="s">
        <v>191</v>
      </c>
      <c r="P375" t="s">
        <v>197</v>
      </c>
    </row>
    <row r="376" spans="1:16" ht="12.75" customHeight="1">
      <c r="A376">
        <v>4</v>
      </c>
      <c r="B376" t="s">
        <v>196</v>
      </c>
      <c r="C376">
        <v>1311</v>
      </c>
      <c r="D376" t="s">
        <v>295</v>
      </c>
      <c r="E376" t="s">
        <v>299</v>
      </c>
      <c r="F376" s="2">
        <v>36410</v>
      </c>
      <c r="H376" s="2">
        <v>39412</v>
      </c>
      <c r="I376" s="5">
        <v>36738</v>
      </c>
      <c r="K376" s="2">
        <v>39412</v>
      </c>
      <c r="L376" t="s">
        <v>297</v>
      </c>
      <c r="M376" t="s">
        <v>297</v>
      </c>
      <c r="N376" t="s">
        <v>599</v>
      </c>
      <c r="O376" t="s">
        <v>191</v>
      </c>
      <c r="P376" t="s">
        <v>197</v>
      </c>
    </row>
    <row r="377" spans="1:16" ht="12.75" customHeight="1">
      <c r="A377">
        <v>4</v>
      </c>
      <c r="B377" t="s">
        <v>196</v>
      </c>
      <c r="C377">
        <v>1333</v>
      </c>
      <c r="D377" t="s">
        <v>380</v>
      </c>
      <c r="E377" t="s">
        <v>316</v>
      </c>
      <c r="F377" s="2">
        <v>36599</v>
      </c>
      <c r="H377" s="2">
        <v>37690</v>
      </c>
      <c r="I377" s="5">
        <v>36951</v>
      </c>
      <c r="L377" t="s">
        <v>297</v>
      </c>
      <c r="M377" t="s">
        <v>297</v>
      </c>
      <c r="O377" t="s">
        <v>191</v>
      </c>
      <c r="P377" t="s">
        <v>197</v>
      </c>
    </row>
    <row r="378" spans="1:16" ht="12.75" customHeight="1">
      <c r="A378">
        <v>4</v>
      </c>
      <c r="B378" t="s">
        <v>196</v>
      </c>
      <c r="C378">
        <v>1342</v>
      </c>
      <c r="D378" t="s">
        <v>464</v>
      </c>
      <c r="E378" t="s">
        <v>316</v>
      </c>
      <c r="F378" s="2">
        <v>36662</v>
      </c>
      <c r="H378" s="2">
        <v>36662</v>
      </c>
      <c r="I378" s="5">
        <v>37082</v>
      </c>
      <c r="L378" t="s">
        <v>322</v>
      </c>
      <c r="M378" t="s">
        <v>297</v>
      </c>
      <c r="O378" t="s">
        <v>191</v>
      </c>
      <c r="P378" t="s">
        <v>197</v>
      </c>
    </row>
    <row r="379" spans="1:16" ht="12.75" customHeight="1">
      <c r="A379">
        <v>4</v>
      </c>
      <c r="B379" t="s">
        <v>196</v>
      </c>
      <c r="C379">
        <v>1399</v>
      </c>
      <c r="D379" t="s">
        <v>393</v>
      </c>
      <c r="E379" t="s">
        <v>316</v>
      </c>
      <c r="F379" s="2">
        <v>37285</v>
      </c>
      <c r="H379" s="2">
        <v>37684</v>
      </c>
      <c r="I379" s="5">
        <v>37650</v>
      </c>
      <c r="L379" t="s">
        <v>317</v>
      </c>
      <c r="M379" t="s">
        <v>297</v>
      </c>
      <c r="O379" t="s">
        <v>191</v>
      </c>
      <c r="P379" t="s">
        <v>197</v>
      </c>
    </row>
    <row r="380" spans="1:16" ht="12.75" customHeight="1">
      <c r="A380">
        <v>4</v>
      </c>
      <c r="B380" t="s">
        <v>196</v>
      </c>
      <c r="C380">
        <v>1401</v>
      </c>
      <c r="D380" t="s">
        <v>585</v>
      </c>
      <c r="E380" t="s">
        <v>316</v>
      </c>
      <c r="F380" s="2">
        <v>37309</v>
      </c>
      <c r="H380" s="2">
        <v>37309</v>
      </c>
      <c r="I380" s="5">
        <v>37309</v>
      </c>
      <c r="L380" t="s">
        <v>317</v>
      </c>
      <c r="M380" t="s">
        <v>297</v>
      </c>
      <c r="O380" t="s">
        <v>191</v>
      </c>
      <c r="P380" t="s">
        <v>197</v>
      </c>
    </row>
    <row r="381" spans="1:16" ht="12.75" customHeight="1">
      <c r="A381">
        <v>4</v>
      </c>
      <c r="B381" t="s">
        <v>196</v>
      </c>
      <c r="C381">
        <v>1402</v>
      </c>
      <c r="D381" t="s">
        <v>600</v>
      </c>
      <c r="E381" t="s">
        <v>316</v>
      </c>
      <c r="F381" s="2">
        <v>37316</v>
      </c>
      <c r="H381" s="2">
        <v>37316</v>
      </c>
      <c r="I381" s="5">
        <v>37681</v>
      </c>
      <c r="L381" t="s">
        <v>322</v>
      </c>
      <c r="M381" t="s">
        <v>297</v>
      </c>
      <c r="O381" t="s">
        <v>191</v>
      </c>
      <c r="P381" t="s">
        <v>197</v>
      </c>
    </row>
    <row r="382" spans="1:16" ht="12.75" customHeight="1">
      <c r="A382">
        <v>4</v>
      </c>
      <c r="B382" t="s">
        <v>196</v>
      </c>
      <c r="C382">
        <v>1482</v>
      </c>
      <c r="D382" t="s">
        <v>295</v>
      </c>
      <c r="E382" t="s">
        <v>299</v>
      </c>
      <c r="F382" s="2">
        <v>38186</v>
      </c>
      <c r="H382" s="2">
        <v>38245</v>
      </c>
      <c r="I382" s="5">
        <v>38564</v>
      </c>
      <c r="L382" t="s">
        <v>297</v>
      </c>
      <c r="M382" t="s">
        <v>297</v>
      </c>
      <c r="N382" t="s">
        <v>601</v>
      </c>
      <c r="O382" t="s">
        <v>191</v>
      </c>
      <c r="P382" t="s">
        <v>197</v>
      </c>
    </row>
    <row r="383" spans="1:16" ht="12.75" customHeight="1">
      <c r="A383" t="s">
        <v>191</v>
      </c>
      <c r="B383" t="s">
        <v>197</v>
      </c>
    </row>
    <row r="384" spans="1:16" ht="12.75" customHeight="1">
      <c r="A384">
        <v>4</v>
      </c>
      <c r="B384" t="s">
        <v>322</v>
      </c>
      <c r="C384">
        <v>248</v>
      </c>
      <c r="D384" t="s">
        <v>295</v>
      </c>
      <c r="E384" t="s">
        <v>296</v>
      </c>
      <c r="F384" s="2">
        <v>29196</v>
      </c>
      <c r="G384" s="2">
        <v>29634</v>
      </c>
      <c r="H384" s="2">
        <v>39456</v>
      </c>
      <c r="I384" s="5">
        <v>32939</v>
      </c>
      <c r="K384" s="2">
        <v>35080</v>
      </c>
      <c r="L384" t="s">
        <v>297</v>
      </c>
      <c r="M384" t="s">
        <v>297</v>
      </c>
      <c r="N384" t="s">
        <v>602</v>
      </c>
      <c r="O384" t="s">
        <v>191</v>
      </c>
      <c r="P384" t="s">
        <v>198</v>
      </c>
    </row>
    <row r="385" spans="1:16" ht="12.75" customHeight="1">
      <c r="A385">
        <v>4</v>
      </c>
      <c r="B385" t="s">
        <v>322</v>
      </c>
      <c r="C385">
        <v>420</v>
      </c>
      <c r="D385" t="s">
        <v>295</v>
      </c>
      <c r="E385" t="s">
        <v>296</v>
      </c>
      <c r="F385" s="2">
        <v>30687</v>
      </c>
      <c r="G385" s="2">
        <v>31129</v>
      </c>
      <c r="H385" s="2">
        <v>39473</v>
      </c>
      <c r="I385" s="5">
        <v>39629</v>
      </c>
      <c r="K385" s="2">
        <v>39423</v>
      </c>
      <c r="L385" t="s">
        <v>297</v>
      </c>
      <c r="M385" t="s">
        <v>297</v>
      </c>
      <c r="N385" t="s">
        <v>603</v>
      </c>
      <c r="O385" t="s">
        <v>191</v>
      </c>
      <c r="P385" t="s">
        <v>198</v>
      </c>
    </row>
    <row r="386" spans="1:16" ht="12.75" customHeight="1">
      <c r="A386">
        <v>4</v>
      </c>
      <c r="B386" t="s">
        <v>322</v>
      </c>
      <c r="C386">
        <v>457</v>
      </c>
      <c r="D386" t="s">
        <v>295</v>
      </c>
      <c r="E386" t="s">
        <v>296</v>
      </c>
      <c r="F386" s="2">
        <v>31129</v>
      </c>
      <c r="G386" s="2">
        <v>33684</v>
      </c>
      <c r="H386" s="2">
        <v>39192</v>
      </c>
      <c r="I386" s="5">
        <v>34365</v>
      </c>
      <c r="K386" s="2">
        <v>39120</v>
      </c>
      <c r="L386" t="s">
        <v>297</v>
      </c>
      <c r="M386" t="s">
        <v>297</v>
      </c>
      <c r="N386" t="s">
        <v>604</v>
      </c>
      <c r="O386" t="s">
        <v>191</v>
      </c>
      <c r="P386" t="s">
        <v>198</v>
      </c>
    </row>
    <row r="387" spans="1:16" ht="12.75" customHeight="1">
      <c r="A387">
        <v>4</v>
      </c>
      <c r="B387" t="s">
        <v>322</v>
      </c>
      <c r="C387">
        <v>629</v>
      </c>
      <c r="D387" t="s">
        <v>295</v>
      </c>
      <c r="E387" t="s">
        <v>296</v>
      </c>
      <c r="F387" s="2">
        <v>32220</v>
      </c>
      <c r="G387" s="2">
        <v>33021</v>
      </c>
      <c r="H387" s="2">
        <v>39479</v>
      </c>
      <c r="I387" s="5">
        <v>39629</v>
      </c>
      <c r="K387" s="2">
        <v>39479</v>
      </c>
      <c r="L387" t="s">
        <v>297</v>
      </c>
      <c r="M387" t="s">
        <v>297</v>
      </c>
      <c r="N387" t="s">
        <v>605</v>
      </c>
      <c r="O387" t="s">
        <v>191</v>
      </c>
      <c r="P387" t="s">
        <v>198</v>
      </c>
    </row>
    <row r="388" spans="1:16" ht="12.75" customHeight="1">
      <c r="A388">
        <v>4</v>
      </c>
      <c r="B388" t="s">
        <v>322</v>
      </c>
      <c r="C388">
        <v>1053</v>
      </c>
      <c r="D388" t="s">
        <v>295</v>
      </c>
      <c r="E388" t="s">
        <v>299</v>
      </c>
      <c r="F388" s="2">
        <v>34814</v>
      </c>
      <c r="H388" s="2">
        <v>39464</v>
      </c>
      <c r="I388" s="5">
        <v>37499</v>
      </c>
      <c r="K388" s="2">
        <v>37834</v>
      </c>
      <c r="L388" t="s">
        <v>297</v>
      </c>
      <c r="M388" t="s">
        <v>297</v>
      </c>
      <c r="N388" t="s">
        <v>606</v>
      </c>
      <c r="O388" t="s">
        <v>191</v>
      </c>
      <c r="P388" t="s">
        <v>198</v>
      </c>
    </row>
    <row r="389" spans="1:16" ht="12.75" customHeight="1">
      <c r="A389">
        <v>4</v>
      </c>
      <c r="B389" t="s">
        <v>322</v>
      </c>
      <c r="C389">
        <v>1123</v>
      </c>
      <c r="D389" t="s">
        <v>295</v>
      </c>
      <c r="E389" t="s">
        <v>299</v>
      </c>
      <c r="F389" s="2">
        <v>35270</v>
      </c>
      <c r="H389" s="2">
        <v>35436</v>
      </c>
      <c r="I389" s="5">
        <v>36402</v>
      </c>
      <c r="K389" s="2">
        <v>35436</v>
      </c>
      <c r="L389" t="s">
        <v>297</v>
      </c>
      <c r="N389" t="s">
        <v>607</v>
      </c>
      <c r="O389" t="s">
        <v>191</v>
      </c>
      <c r="P389" t="s">
        <v>198</v>
      </c>
    </row>
    <row r="390" spans="1:16" ht="12.75" customHeight="1">
      <c r="A390">
        <v>4</v>
      </c>
      <c r="B390" t="s">
        <v>322</v>
      </c>
      <c r="C390">
        <v>1160</v>
      </c>
      <c r="D390" t="s">
        <v>295</v>
      </c>
      <c r="E390" t="s">
        <v>296</v>
      </c>
      <c r="F390" s="2">
        <v>35435</v>
      </c>
      <c r="G390" s="2">
        <v>37694</v>
      </c>
      <c r="H390" s="2">
        <v>37686</v>
      </c>
      <c r="I390" s="5">
        <v>37833</v>
      </c>
      <c r="K390" s="2">
        <v>35466</v>
      </c>
      <c r="L390" t="s">
        <v>297</v>
      </c>
      <c r="M390" t="s">
        <v>297</v>
      </c>
      <c r="N390" t="s">
        <v>608</v>
      </c>
      <c r="O390" t="s">
        <v>191</v>
      </c>
      <c r="P390" t="s">
        <v>198</v>
      </c>
    </row>
    <row r="391" spans="1:16" ht="12.75" customHeight="1">
      <c r="A391">
        <v>4</v>
      </c>
      <c r="B391" t="s">
        <v>322</v>
      </c>
      <c r="C391">
        <v>1230</v>
      </c>
      <c r="D391" t="s">
        <v>295</v>
      </c>
      <c r="E391" t="s">
        <v>299</v>
      </c>
      <c r="F391" s="2">
        <v>35803</v>
      </c>
      <c r="H391" s="2">
        <v>39436</v>
      </c>
      <c r="I391" s="5">
        <v>35796</v>
      </c>
      <c r="K391" s="2">
        <v>35803</v>
      </c>
      <c r="L391" t="s">
        <v>297</v>
      </c>
      <c r="M391" t="s">
        <v>297</v>
      </c>
      <c r="N391" t="s">
        <v>609</v>
      </c>
      <c r="O391" t="s">
        <v>191</v>
      </c>
      <c r="P391" t="s">
        <v>198</v>
      </c>
    </row>
    <row r="392" spans="1:16" ht="12.75" customHeight="1">
      <c r="A392">
        <v>4</v>
      </c>
      <c r="B392" t="s">
        <v>322</v>
      </c>
      <c r="C392">
        <v>1262</v>
      </c>
      <c r="D392" t="s">
        <v>295</v>
      </c>
      <c r="E392" t="s">
        <v>299</v>
      </c>
      <c r="F392" s="2">
        <v>35993</v>
      </c>
      <c r="H392" s="2">
        <v>35993</v>
      </c>
      <c r="I392" s="5">
        <v>36410</v>
      </c>
      <c r="L392" t="s">
        <v>297</v>
      </c>
      <c r="N392" t="s">
        <v>610</v>
      </c>
      <c r="O392" t="s">
        <v>191</v>
      </c>
      <c r="P392" t="s">
        <v>198</v>
      </c>
    </row>
    <row r="393" spans="1:16" ht="12.75" customHeight="1">
      <c r="A393">
        <v>4</v>
      </c>
      <c r="B393" t="s">
        <v>322</v>
      </c>
      <c r="C393">
        <v>1528</v>
      </c>
      <c r="D393" t="s">
        <v>295</v>
      </c>
      <c r="E393" t="s">
        <v>299</v>
      </c>
      <c r="F393" s="2">
        <v>38923</v>
      </c>
      <c r="H393" s="2">
        <v>38960</v>
      </c>
      <c r="I393" s="5">
        <v>38898</v>
      </c>
      <c r="L393" t="s">
        <v>297</v>
      </c>
      <c r="M393" t="s">
        <v>297</v>
      </c>
      <c r="N393" t="s">
        <v>611</v>
      </c>
      <c r="O393" t="s">
        <v>191</v>
      </c>
      <c r="P393" t="s">
        <v>198</v>
      </c>
    </row>
    <row r="394" spans="1:16" ht="12.75" customHeight="1">
      <c r="A394" t="s">
        <v>191</v>
      </c>
      <c r="B394" t="s">
        <v>198</v>
      </c>
    </row>
    <row r="395" spans="1:16" ht="12.75" customHeight="1">
      <c r="A395">
        <v>4</v>
      </c>
      <c r="B395" t="s">
        <v>167</v>
      </c>
      <c r="C395">
        <v>49</v>
      </c>
      <c r="D395" t="s">
        <v>295</v>
      </c>
      <c r="E395" t="s">
        <v>296</v>
      </c>
      <c r="F395" s="2">
        <v>27275</v>
      </c>
      <c r="G395" s="2">
        <v>27591</v>
      </c>
      <c r="H395" s="2">
        <v>38956</v>
      </c>
      <c r="I395" s="5">
        <v>39263</v>
      </c>
      <c r="K395" s="2">
        <v>38993</v>
      </c>
      <c r="L395" t="s">
        <v>297</v>
      </c>
      <c r="M395" t="s">
        <v>297</v>
      </c>
      <c r="N395" t="s">
        <v>612</v>
      </c>
      <c r="O395" t="s">
        <v>191</v>
      </c>
      <c r="P395" t="s">
        <v>199</v>
      </c>
    </row>
    <row r="396" spans="1:16" ht="12.75" customHeight="1">
      <c r="A396">
        <v>4</v>
      </c>
      <c r="B396" t="s">
        <v>167</v>
      </c>
      <c r="C396">
        <v>105</v>
      </c>
      <c r="D396" t="s">
        <v>295</v>
      </c>
      <c r="E396" t="s">
        <v>296</v>
      </c>
      <c r="F396" s="2">
        <v>27785</v>
      </c>
      <c r="G396" s="2">
        <v>28901</v>
      </c>
      <c r="H396" s="2">
        <v>39512</v>
      </c>
      <c r="I396" s="5">
        <v>39629</v>
      </c>
      <c r="J396" s="2">
        <v>39399</v>
      </c>
      <c r="K396" s="2">
        <v>39331</v>
      </c>
      <c r="L396" t="s">
        <v>297</v>
      </c>
      <c r="M396" t="s">
        <v>297</v>
      </c>
      <c r="N396" t="s">
        <v>613</v>
      </c>
      <c r="O396" t="s">
        <v>191</v>
      </c>
      <c r="P396" t="s">
        <v>199</v>
      </c>
    </row>
    <row r="397" spans="1:16" ht="12.75" customHeight="1">
      <c r="A397">
        <v>4</v>
      </c>
      <c r="B397" t="s">
        <v>167</v>
      </c>
      <c r="C397">
        <v>207</v>
      </c>
      <c r="D397" t="s">
        <v>295</v>
      </c>
      <c r="E397" t="s">
        <v>296</v>
      </c>
      <c r="F397" s="2">
        <v>28813</v>
      </c>
      <c r="G397" s="2">
        <v>28986</v>
      </c>
      <c r="H397" s="2">
        <v>39407</v>
      </c>
      <c r="I397" s="5">
        <v>39629</v>
      </c>
      <c r="J397" s="2">
        <v>39399</v>
      </c>
      <c r="K397" s="2">
        <v>39399</v>
      </c>
      <c r="L397" t="s">
        <v>297</v>
      </c>
      <c r="M397" t="s">
        <v>297</v>
      </c>
      <c r="N397" t="s">
        <v>614</v>
      </c>
      <c r="O397" t="s">
        <v>191</v>
      </c>
      <c r="P397" t="s">
        <v>199</v>
      </c>
    </row>
    <row r="398" spans="1:16" ht="12.75" customHeight="1">
      <c r="A398">
        <v>4</v>
      </c>
      <c r="B398" t="s">
        <v>167</v>
      </c>
      <c r="C398">
        <v>208</v>
      </c>
      <c r="D398" t="s">
        <v>295</v>
      </c>
      <c r="E398" t="s">
        <v>296</v>
      </c>
      <c r="F398" s="2">
        <v>28813</v>
      </c>
      <c r="G398" s="2">
        <v>28984</v>
      </c>
      <c r="H398" s="2">
        <v>39284</v>
      </c>
      <c r="I398" s="5">
        <v>39629</v>
      </c>
      <c r="J398" s="2">
        <v>39399</v>
      </c>
      <c r="K398" s="2">
        <v>39317</v>
      </c>
      <c r="L398" t="s">
        <v>297</v>
      </c>
      <c r="M398" t="s">
        <v>297</v>
      </c>
      <c r="N398" t="s">
        <v>615</v>
      </c>
      <c r="O398" t="s">
        <v>191</v>
      </c>
      <c r="P398" t="s">
        <v>199</v>
      </c>
    </row>
    <row r="399" spans="1:16" ht="12.75" customHeight="1">
      <c r="A399">
        <v>4</v>
      </c>
      <c r="B399" t="s">
        <v>167</v>
      </c>
      <c r="C399">
        <v>253</v>
      </c>
      <c r="D399" t="s">
        <v>295</v>
      </c>
      <c r="E399" t="s">
        <v>296</v>
      </c>
      <c r="F399" s="2">
        <v>29248</v>
      </c>
      <c r="G399" s="2">
        <v>29244</v>
      </c>
      <c r="H399" s="2">
        <v>39310</v>
      </c>
      <c r="I399" s="5">
        <v>39263</v>
      </c>
      <c r="J399" s="2">
        <v>39399</v>
      </c>
      <c r="K399" s="2">
        <v>39399</v>
      </c>
      <c r="L399" t="s">
        <v>297</v>
      </c>
      <c r="M399" t="s">
        <v>297</v>
      </c>
      <c r="N399" t="s">
        <v>616</v>
      </c>
      <c r="O399" t="s">
        <v>191</v>
      </c>
      <c r="P399" t="s">
        <v>199</v>
      </c>
    </row>
    <row r="400" spans="1:16" ht="12.75" customHeight="1">
      <c r="A400">
        <v>4</v>
      </c>
      <c r="B400" t="s">
        <v>167</v>
      </c>
      <c r="C400">
        <v>491</v>
      </c>
      <c r="D400" t="s">
        <v>295</v>
      </c>
      <c r="E400" t="s">
        <v>296</v>
      </c>
      <c r="F400" s="2">
        <v>31310</v>
      </c>
      <c r="G400" s="2">
        <v>35356</v>
      </c>
      <c r="H400" s="2">
        <v>39158</v>
      </c>
      <c r="I400" s="5">
        <v>39629</v>
      </c>
      <c r="J400" s="2">
        <v>39399</v>
      </c>
      <c r="K400" s="2">
        <v>39175</v>
      </c>
      <c r="L400" t="s">
        <v>297</v>
      </c>
      <c r="M400" t="s">
        <v>297</v>
      </c>
      <c r="N400" t="s">
        <v>617</v>
      </c>
      <c r="O400" t="s">
        <v>191</v>
      </c>
      <c r="P400" t="s">
        <v>199</v>
      </c>
    </row>
    <row r="401" spans="1:16" ht="12.75" customHeight="1">
      <c r="A401">
        <v>4</v>
      </c>
      <c r="B401" t="s">
        <v>167</v>
      </c>
      <c r="C401">
        <v>992</v>
      </c>
      <c r="D401" t="s">
        <v>393</v>
      </c>
      <c r="E401" t="s">
        <v>316</v>
      </c>
      <c r="F401" s="2">
        <v>34562</v>
      </c>
      <c r="G401" s="2">
        <v>35272</v>
      </c>
      <c r="H401" s="2">
        <v>38560</v>
      </c>
      <c r="I401" s="5">
        <v>38929</v>
      </c>
      <c r="J401" s="2">
        <v>38341</v>
      </c>
      <c r="K401" s="2">
        <v>36413</v>
      </c>
      <c r="L401" t="s">
        <v>297</v>
      </c>
      <c r="M401" t="s">
        <v>297</v>
      </c>
      <c r="N401" t="s">
        <v>318</v>
      </c>
      <c r="O401" t="s">
        <v>191</v>
      </c>
      <c r="P401" t="s">
        <v>199</v>
      </c>
    </row>
    <row r="402" spans="1:16" ht="12.75" customHeight="1">
      <c r="A402">
        <v>4</v>
      </c>
      <c r="B402" t="s">
        <v>167</v>
      </c>
      <c r="C402">
        <v>1349</v>
      </c>
      <c r="D402" t="s">
        <v>618</v>
      </c>
      <c r="E402" t="s">
        <v>316</v>
      </c>
      <c r="F402" s="2">
        <v>36690</v>
      </c>
      <c r="G402" s="2">
        <v>37526</v>
      </c>
      <c r="H402" s="2">
        <v>37492</v>
      </c>
      <c r="I402" s="5">
        <v>37833</v>
      </c>
      <c r="L402" t="s">
        <v>297</v>
      </c>
      <c r="M402" t="s">
        <v>297</v>
      </c>
      <c r="O402" t="s">
        <v>191</v>
      </c>
      <c r="P402" t="s">
        <v>199</v>
      </c>
    </row>
    <row r="403" spans="1:16" ht="12.75" customHeight="1">
      <c r="A403" t="s">
        <v>191</v>
      </c>
      <c r="B403" t="s">
        <v>199</v>
      </c>
    </row>
    <row r="404" spans="1:16" ht="12.75" customHeight="1">
      <c r="A404" t="s">
        <v>619</v>
      </c>
    </row>
    <row r="405" spans="1:16" ht="12.75" customHeight="1">
      <c r="A405">
        <v>5</v>
      </c>
      <c r="B405" t="s">
        <v>149</v>
      </c>
      <c r="C405">
        <v>124</v>
      </c>
      <c r="D405" t="s">
        <v>295</v>
      </c>
      <c r="E405" t="s">
        <v>296</v>
      </c>
      <c r="F405" s="2">
        <v>28093</v>
      </c>
      <c r="G405" s="2">
        <v>28578</v>
      </c>
      <c r="H405" s="2">
        <v>39283</v>
      </c>
      <c r="I405" s="5">
        <v>39629</v>
      </c>
      <c r="J405" s="2">
        <v>39392</v>
      </c>
      <c r="K405" s="2">
        <v>34551</v>
      </c>
      <c r="L405" t="s">
        <v>297</v>
      </c>
      <c r="M405" t="s">
        <v>297</v>
      </c>
      <c r="N405" t="s">
        <v>620</v>
      </c>
      <c r="O405" t="s">
        <v>200</v>
      </c>
      <c r="P405" t="s">
        <v>201</v>
      </c>
    </row>
    <row r="406" spans="1:16" ht="12.75" customHeight="1">
      <c r="A406">
        <v>5</v>
      </c>
      <c r="B406" t="s">
        <v>149</v>
      </c>
      <c r="C406">
        <v>128</v>
      </c>
      <c r="D406" t="s">
        <v>295</v>
      </c>
      <c r="E406" t="s">
        <v>296</v>
      </c>
      <c r="F406" s="2">
        <v>28093</v>
      </c>
      <c r="G406" s="2">
        <v>28286</v>
      </c>
      <c r="H406" s="2">
        <v>38791</v>
      </c>
      <c r="I406" s="5">
        <v>35611</v>
      </c>
      <c r="J406" s="2">
        <v>28600</v>
      </c>
      <c r="K406" s="2">
        <v>35737</v>
      </c>
      <c r="L406" t="s">
        <v>339</v>
      </c>
      <c r="M406" t="s">
        <v>297</v>
      </c>
      <c r="N406" t="s">
        <v>621</v>
      </c>
      <c r="O406" t="s">
        <v>200</v>
      </c>
      <c r="P406" t="s">
        <v>201</v>
      </c>
    </row>
    <row r="407" spans="1:16" ht="12.75" customHeight="1">
      <c r="A407">
        <v>5</v>
      </c>
      <c r="B407" t="s">
        <v>149</v>
      </c>
      <c r="C407">
        <v>263</v>
      </c>
      <c r="D407" t="s">
        <v>295</v>
      </c>
      <c r="E407" t="s">
        <v>296</v>
      </c>
      <c r="F407" s="2">
        <v>29399</v>
      </c>
      <c r="G407" s="2">
        <v>29904</v>
      </c>
      <c r="H407" s="2">
        <v>39268</v>
      </c>
      <c r="I407" s="5">
        <v>37802</v>
      </c>
      <c r="J407" s="2">
        <v>35304</v>
      </c>
      <c r="K407" s="2">
        <v>36361</v>
      </c>
      <c r="L407" t="s">
        <v>297</v>
      </c>
      <c r="M407" t="s">
        <v>297</v>
      </c>
      <c r="N407" t="s">
        <v>622</v>
      </c>
      <c r="O407" t="s">
        <v>200</v>
      </c>
      <c r="P407" t="s">
        <v>201</v>
      </c>
    </row>
    <row r="408" spans="1:16" ht="12.75" customHeight="1">
      <c r="A408">
        <v>5</v>
      </c>
      <c r="B408" t="s">
        <v>149</v>
      </c>
      <c r="C408">
        <v>275</v>
      </c>
      <c r="D408" t="s">
        <v>295</v>
      </c>
      <c r="E408" t="s">
        <v>296</v>
      </c>
      <c r="F408" s="2">
        <v>29462</v>
      </c>
      <c r="G408" s="2">
        <v>29907</v>
      </c>
      <c r="H408" s="2">
        <v>38674</v>
      </c>
      <c r="I408" s="5">
        <v>39629</v>
      </c>
      <c r="K408" s="2">
        <v>35422</v>
      </c>
      <c r="L408" t="s">
        <v>297</v>
      </c>
      <c r="M408" t="s">
        <v>297</v>
      </c>
      <c r="N408" t="s">
        <v>623</v>
      </c>
      <c r="O408" t="s">
        <v>200</v>
      </c>
      <c r="P408" t="s">
        <v>201</v>
      </c>
    </row>
    <row r="409" spans="1:16" ht="12.75" customHeight="1">
      <c r="A409">
        <v>5</v>
      </c>
      <c r="B409" t="s">
        <v>149</v>
      </c>
      <c r="C409">
        <v>279</v>
      </c>
      <c r="D409" t="s">
        <v>295</v>
      </c>
      <c r="E409" t="s">
        <v>296</v>
      </c>
      <c r="F409" s="2">
        <v>29511</v>
      </c>
      <c r="G409" s="2">
        <v>30702</v>
      </c>
      <c r="H409" s="2">
        <v>39465</v>
      </c>
      <c r="I409" s="5">
        <v>39629</v>
      </c>
      <c r="J409" s="2">
        <v>37872</v>
      </c>
      <c r="K409" s="2">
        <v>38971</v>
      </c>
      <c r="L409" t="s">
        <v>297</v>
      </c>
      <c r="M409" t="s">
        <v>297</v>
      </c>
      <c r="N409" t="s">
        <v>624</v>
      </c>
      <c r="O409" t="s">
        <v>200</v>
      </c>
      <c r="P409" t="s">
        <v>201</v>
      </c>
    </row>
    <row r="410" spans="1:16" ht="12.75" customHeight="1">
      <c r="A410">
        <v>5</v>
      </c>
      <c r="B410" t="s">
        <v>149</v>
      </c>
      <c r="C410">
        <v>335</v>
      </c>
      <c r="D410" t="s">
        <v>295</v>
      </c>
      <c r="E410" t="s">
        <v>296</v>
      </c>
      <c r="F410" s="2">
        <v>29980</v>
      </c>
      <c r="G410" s="2">
        <v>29946</v>
      </c>
      <c r="H410" s="2">
        <v>39260</v>
      </c>
      <c r="I410" s="5">
        <v>37802</v>
      </c>
      <c r="K410" s="2">
        <v>39279</v>
      </c>
      <c r="L410" t="s">
        <v>297</v>
      </c>
      <c r="M410" t="s">
        <v>297</v>
      </c>
      <c r="N410" t="s">
        <v>625</v>
      </c>
      <c r="O410" t="s">
        <v>200</v>
      </c>
      <c r="P410" t="s">
        <v>201</v>
      </c>
    </row>
    <row r="411" spans="1:16" ht="12.75" customHeight="1">
      <c r="A411">
        <v>5</v>
      </c>
      <c r="B411" t="s">
        <v>149</v>
      </c>
      <c r="C411">
        <v>337</v>
      </c>
      <c r="D411" t="s">
        <v>295</v>
      </c>
      <c r="E411" t="s">
        <v>296</v>
      </c>
      <c r="F411" s="2">
        <v>29980</v>
      </c>
      <c r="G411" s="2">
        <v>30394</v>
      </c>
      <c r="H411" s="2">
        <v>39276</v>
      </c>
      <c r="I411" s="5">
        <v>39263</v>
      </c>
      <c r="J411" s="2">
        <v>39392</v>
      </c>
      <c r="K411" s="2">
        <v>35596</v>
      </c>
      <c r="L411" t="s">
        <v>297</v>
      </c>
      <c r="M411" t="s">
        <v>297</v>
      </c>
      <c r="N411" t="s">
        <v>626</v>
      </c>
      <c r="O411" t="s">
        <v>200</v>
      </c>
      <c r="P411" t="s">
        <v>201</v>
      </c>
    </row>
    <row r="412" spans="1:16" ht="12.75" customHeight="1">
      <c r="A412">
        <v>5</v>
      </c>
      <c r="B412" t="s">
        <v>149</v>
      </c>
      <c r="C412">
        <v>440</v>
      </c>
      <c r="D412" t="s">
        <v>295</v>
      </c>
      <c r="E412" t="s">
        <v>296</v>
      </c>
      <c r="F412" s="2">
        <v>30919</v>
      </c>
      <c r="G412" s="2">
        <v>31738</v>
      </c>
      <c r="H412" s="2">
        <v>39342</v>
      </c>
      <c r="I412" s="5">
        <v>35246</v>
      </c>
      <c r="J412" s="2">
        <v>34344</v>
      </c>
      <c r="K412" s="2">
        <v>39339</v>
      </c>
      <c r="L412" t="s">
        <v>297</v>
      </c>
      <c r="M412" t="s">
        <v>297</v>
      </c>
      <c r="N412" t="s">
        <v>627</v>
      </c>
      <c r="O412" t="s">
        <v>200</v>
      </c>
      <c r="P412" t="s">
        <v>201</v>
      </c>
    </row>
    <row r="413" spans="1:16" ht="12.75" customHeight="1">
      <c r="A413">
        <v>5</v>
      </c>
      <c r="B413" t="s">
        <v>149</v>
      </c>
      <c r="C413">
        <v>551</v>
      </c>
      <c r="D413" t="s">
        <v>295</v>
      </c>
      <c r="E413" t="s">
        <v>296</v>
      </c>
      <c r="F413" s="2">
        <v>31674</v>
      </c>
      <c r="G413" s="2">
        <v>32578</v>
      </c>
      <c r="H413" s="2">
        <v>38419</v>
      </c>
      <c r="I413" s="5">
        <v>34169</v>
      </c>
      <c r="K413" s="2">
        <v>34547</v>
      </c>
      <c r="L413" t="s">
        <v>297</v>
      </c>
      <c r="N413" t="s">
        <v>628</v>
      </c>
      <c r="O413" t="s">
        <v>200</v>
      </c>
      <c r="P413" t="s">
        <v>201</v>
      </c>
    </row>
    <row r="414" spans="1:16" ht="12.75" customHeight="1">
      <c r="A414">
        <v>5</v>
      </c>
      <c r="B414" t="s">
        <v>149</v>
      </c>
      <c r="C414">
        <v>796</v>
      </c>
      <c r="D414" t="s">
        <v>295</v>
      </c>
      <c r="E414" t="s">
        <v>296</v>
      </c>
      <c r="F414" s="2">
        <v>33452</v>
      </c>
      <c r="G414" s="2">
        <v>33452</v>
      </c>
      <c r="H414" s="2">
        <v>39461</v>
      </c>
      <c r="I414" s="5">
        <v>33401</v>
      </c>
      <c r="K414" s="2">
        <v>38800</v>
      </c>
      <c r="L414" t="s">
        <v>297</v>
      </c>
      <c r="M414" t="s">
        <v>297</v>
      </c>
      <c r="N414" t="s">
        <v>629</v>
      </c>
      <c r="O414" t="s">
        <v>200</v>
      </c>
      <c r="P414" t="s">
        <v>201</v>
      </c>
    </row>
    <row r="415" spans="1:16" ht="12.75" customHeight="1">
      <c r="A415">
        <v>5</v>
      </c>
      <c r="B415" t="s">
        <v>149</v>
      </c>
      <c r="C415">
        <v>1159</v>
      </c>
      <c r="D415" t="s">
        <v>295</v>
      </c>
      <c r="E415" t="s">
        <v>296</v>
      </c>
      <c r="F415" s="2">
        <v>35433</v>
      </c>
      <c r="G415" s="2">
        <v>36427</v>
      </c>
      <c r="H415" s="2">
        <v>39509</v>
      </c>
      <c r="I415" s="5">
        <v>39263</v>
      </c>
      <c r="J415" s="2">
        <v>35481</v>
      </c>
      <c r="K415" s="2">
        <v>36375</v>
      </c>
      <c r="L415" t="s">
        <v>297</v>
      </c>
      <c r="M415" t="s">
        <v>297</v>
      </c>
      <c r="N415" t="s">
        <v>630</v>
      </c>
      <c r="O415" t="s">
        <v>200</v>
      </c>
      <c r="P415" t="s">
        <v>201</v>
      </c>
    </row>
    <row r="416" spans="1:16" ht="12.75" customHeight="1">
      <c r="A416">
        <v>5</v>
      </c>
      <c r="B416" t="s">
        <v>149</v>
      </c>
      <c r="C416">
        <v>1165</v>
      </c>
      <c r="D416" t="s">
        <v>295</v>
      </c>
      <c r="E416" t="s">
        <v>296</v>
      </c>
      <c r="F416" s="2">
        <v>35459</v>
      </c>
      <c r="G416" s="2">
        <v>38842</v>
      </c>
      <c r="H416" s="2">
        <v>38898</v>
      </c>
      <c r="I416" s="5">
        <v>36525</v>
      </c>
      <c r="J416" s="2">
        <v>35481</v>
      </c>
      <c r="K416" s="2">
        <v>38516</v>
      </c>
      <c r="L416" t="s">
        <v>297</v>
      </c>
      <c r="M416" t="s">
        <v>297</v>
      </c>
      <c r="N416" t="s">
        <v>631</v>
      </c>
      <c r="O416" t="s">
        <v>200</v>
      </c>
      <c r="P416" t="s">
        <v>201</v>
      </c>
    </row>
    <row r="417" spans="1:16" ht="12.75" customHeight="1">
      <c r="A417">
        <v>5</v>
      </c>
      <c r="B417" t="s">
        <v>149</v>
      </c>
      <c r="C417">
        <v>1266</v>
      </c>
      <c r="D417" t="s">
        <v>295</v>
      </c>
      <c r="E417" t="s">
        <v>296</v>
      </c>
      <c r="F417" s="2">
        <v>36007</v>
      </c>
      <c r="G417" s="2">
        <v>36091</v>
      </c>
      <c r="H417" s="2">
        <v>39491</v>
      </c>
      <c r="I417" s="5">
        <v>39629</v>
      </c>
      <c r="J417" s="2">
        <v>37886</v>
      </c>
      <c r="K417" s="2">
        <v>39308</v>
      </c>
      <c r="L417" t="s">
        <v>297</v>
      </c>
      <c r="M417" t="s">
        <v>297</v>
      </c>
      <c r="N417" t="s">
        <v>632</v>
      </c>
      <c r="O417" t="s">
        <v>200</v>
      </c>
      <c r="P417" t="s">
        <v>201</v>
      </c>
    </row>
    <row r="418" spans="1:16" ht="12.75" customHeight="1">
      <c r="A418">
        <v>5</v>
      </c>
      <c r="B418" t="s">
        <v>149</v>
      </c>
      <c r="C418">
        <v>1336</v>
      </c>
      <c r="D418" t="s">
        <v>295</v>
      </c>
      <c r="E418" t="s">
        <v>296</v>
      </c>
      <c r="F418" s="2">
        <v>36614</v>
      </c>
      <c r="G418" s="2">
        <v>38418</v>
      </c>
      <c r="H418" s="2">
        <v>39465</v>
      </c>
      <c r="I418" s="5">
        <v>39629</v>
      </c>
      <c r="K418" s="2">
        <v>38972</v>
      </c>
      <c r="L418" t="s">
        <v>297</v>
      </c>
      <c r="M418" t="s">
        <v>297</v>
      </c>
      <c r="N418" t="s">
        <v>633</v>
      </c>
      <c r="O418" t="s">
        <v>200</v>
      </c>
      <c r="P418" t="s">
        <v>201</v>
      </c>
    </row>
    <row r="419" spans="1:16" ht="12.75" customHeight="1">
      <c r="A419">
        <v>5</v>
      </c>
      <c r="B419" t="s">
        <v>149</v>
      </c>
      <c r="C419">
        <v>1390</v>
      </c>
      <c r="D419" t="s">
        <v>295</v>
      </c>
      <c r="E419" t="s">
        <v>296</v>
      </c>
      <c r="F419" s="2">
        <v>37125</v>
      </c>
      <c r="G419" s="2">
        <v>38776</v>
      </c>
      <c r="H419" s="2">
        <v>39269</v>
      </c>
      <c r="I419" s="5">
        <v>39263</v>
      </c>
      <c r="K419" s="2">
        <v>38792</v>
      </c>
      <c r="L419" t="s">
        <v>297</v>
      </c>
      <c r="M419" t="s">
        <v>297</v>
      </c>
      <c r="N419" t="s">
        <v>634</v>
      </c>
      <c r="O419" t="s">
        <v>200</v>
      </c>
      <c r="P419" t="s">
        <v>201</v>
      </c>
    </row>
    <row r="420" spans="1:16" ht="12.75" customHeight="1">
      <c r="A420">
        <v>5</v>
      </c>
      <c r="B420" t="s">
        <v>149</v>
      </c>
      <c r="C420">
        <v>1525</v>
      </c>
      <c r="D420" t="s">
        <v>295</v>
      </c>
      <c r="E420" t="s">
        <v>299</v>
      </c>
      <c r="F420" s="2">
        <v>38930</v>
      </c>
      <c r="H420" s="2">
        <v>39132</v>
      </c>
      <c r="I420" s="5">
        <v>39263</v>
      </c>
      <c r="L420" t="s">
        <v>297</v>
      </c>
      <c r="M420" t="s">
        <v>297</v>
      </c>
      <c r="N420" t="s">
        <v>635</v>
      </c>
      <c r="O420" t="s">
        <v>200</v>
      </c>
      <c r="P420" t="s">
        <v>201</v>
      </c>
    </row>
    <row r="421" spans="1:16" ht="12.75" customHeight="1">
      <c r="A421" t="s">
        <v>200</v>
      </c>
      <c r="B421" t="s">
        <v>201</v>
      </c>
    </row>
    <row r="422" spans="1:16" ht="12.75" customHeight="1">
      <c r="A422">
        <v>5</v>
      </c>
      <c r="B422" t="s">
        <v>296</v>
      </c>
      <c r="C422">
        <v>160</v>
      </c>
      <c r="D422" t="s">
        <v>295</v>
      </c>
      <c r="E422" t="s">
        <v>296</v>
      </c>
      <c r="F422" s="2">
        <v>28213</v>
      </c>
      <c r="G422" s="2">
        <v>29503</v>
      </c>
      <c r="H422" s="2">
        <v>39294</v>
      </c>
      <c r="I422" s="5">
        <v>38168</v>
      </c>
      <c r="K422" s="2">
        <v>38875</v>
      </c>
      <c r="L422" t="s">
        <v>297</v>
      </c>
      <c r="M422" t="s">
        <v>297</v>
      </c>
      <c r="N422" t="s">
        <v>636</v>
      </c>
      <c r="O422" t="s">
        <v>200</v>
      </c>
      <c r="P422" t="s">
        <v>202</v>
      </c>
    </row>
    <row r="423" spans="1:16" ht="12.75" customHeight="1">
      <c r="A423">
        <v>5</v>
      </c>
      <c r="B423" t="s">
        <v>296</v>
      </c>
      <c r="C423">
        <v>391</v>
      </c>
      <c r="D423" t="s">
        <v>380</v>
      </c>
      <c r="E423" t="s">
        <v>376</v>
      </c>
      <c r="F423" s="2">
        <v>30486</v>
      </c>
      <c r="G423" s="2">
        <v>33684</v>
      </c>
      <c r="H423" s="2">
        <v>36712</v>
      </c>
      <c r="I423" s="5">
        <v>36890</v>
      </c>
      <c r="K423" s="2">
        <v>35564</v>
      </c>
      <c r="L423" t="s">
        <v>297</v>
      </c>
      <c r="M423" t="s">
        <v>297</v>
      </c>
      <c r="O423" t="s">
        <v>200</v>
      </c>
      <c r="P423" t="s">
        <v>202</v>
      </c>
    </row>
    <row r="424" spans="1:16" ht="12.75" customHeight="1">
      <c r="A424">
        <v>5</v>
      </c>
      <c r="B424" t="s">
        <v>296</v>
      </c>
      <c r="C424">
        <v>402</v>
      </c>
      <c r="D424" t="s">
        <v>295</v>
      </c>
      <c r="E424" t="s">
        <v>296</v>
      </c>
      <c r="F424" s="2">
        <v>30530</v>
      </c>
      <c r="G424" s="2">
        <v>30758</v>
      </c>
      <c r="H424" s="2">
        <v>38498</v>
      </c>
      <c r="I424" s="5">
        <v>37681</v>
      </c>
      <c r="K424" s="2">
        <v>34138</v>
      </c>
      <c r="L424" t="s">
        <v>297</v>
      </c>
      <c r="N424" t="s">
        <v>637</v>
      </c>
      <c r="O424" t="s">
        <v>200</v>
      </c>
      <c r="P424" t="s">
        <v>202</v>
      </c>
    </row>
    <row r="425" spans="1:16" ht="12.75" customHeight="1">
      <c r="A425">
        <v>5</v>
      </c>
      <c r="B425" t="s">
        <v>296</v>
      </c>
      <c r="C425">
        <v>498</v>
      </c>
      <c r="D425" t="s">
        <v>295</v>
      </c>
      <c r="E425" t="s">
        <v>296</v>
      </c>
      <c r="F425" s="2">
        <v>31310</v>
      </c>
      <c r="G425" s="2">
        <v>31840</v>
      </c>
      <c r="H425" s="2">
        <v>39465</v>
      </c>
      <c r="I425" s="5">
        <v>39263</v>
      </c>
      <c r="J425" s="2">
        <v>38188</v>
      </c>
      <c r="K425" s="2">
        <v>35685</v>
      </c>
      <c r="L425" t="s">
        <v>297</v>
      </c>
      <c r="M425" t="s">
        <v>297</v>
      </c>
      <c r="N425" t="s">
        <v>638</v>
      </c>
      <c r="O425" t="s">
        <v>200</v>
      </c>
      <c r="P425" t="s">
        <v>202</v>
      </c>
    </row>
    <row r="426" spans="1:16" ht="12.75" customHeight="1">
      <c r="A426">
        <v>5</v>
      </c>
      <c r="B426" t="s">
        <v>296</v>
      </c>
      <c r="C426">
        <v>557</v>
      </c>
      <c r="D426" t="s">
        <v>295</v>
      </c>
      <c r="E426" t="s">
        <v>296</v>
      </c>
      <c r="F426" s="2">
        <v>31674</v>
      </c>
      <c r="G426" s="2">
        <v>32347</v>
      </c>
      <c r="H426" s="2">
        <v>38590</v>
      </c>
      <c r="I426" s="5">
        <v>38353</v>
      </c>
      <c r="J426" s="2">
        <v>38259</v>
      </c>
      <c r="K426" s="2">
        <v>32039</v>
      </c>
      <c r="L426" t="s">
        <v>317</v>
      </c>
      <c r="M426" t="s">
        <v>297</v>
      </c>
      <c r="N426" t="s">
        <v>639</v>
      </c>
      <c r="O426" t="s">
        <v>200</v>
      </c>
      <c r="P426" t="s">
        <v>202</v>
      </c>
    </row>
    <row r="427" spans="1:16" ht="12.75" customHeight="1">
      <c r="A427">
        <v>5</v>
      </c>
      <c r="B427" t="s">
        <v>296</v>
      </c>
      <c r="C427">
        <v>622</v>
      </c>
      <c r="D427" t="s">
        <v>295</v>
      </c>
      <c r="E427" t="s">
        <v>296</v>
      </c>
      <c r="F427" s="2">
        <v>32164</v>
      </c>
      <c r="G427" s="2">
        <v>32949</v>
      </c>
      <c r="H427" s="2">
        <v>38586</v>
      </c>
      <c r="I427" s="5">
        <v>33134</v>
      </c>
      <c r="K427" s="2">
        <v>35947</v>
      </c>
      <c r="L427" t="s">
        <v>297</v>
      </c>
      <c r="N427" t="s">
        <v>640</v>
      </c>
      <c r="O427" t="s">
        <v>200</v>
      </c>
      <c r="P427" t="s">
        <v>202</v>
      </c>
    </row>
    <row r="428" spans="1:16" ht="12.75" customHeight="1">
      <c r="A428">
        <v>5</v>
      </c>
      <c r="B428" t="s">
        <v>296</v>
      </c>
      <c r="C428">
        <v>894</v>
      </c>
      <c r="D428" t="s">
        <v>295</v>
      </c>
      <c r="E428" t="s">
        <v>296</v>
      </c>
      <c r="F428" s="2">
        <v>34117</v>
      </c>
      <c r="G428" s="2">
        <v>34775</v>
      </c>
      <c r="H428" s="2">
        <v>39003</v>
      </c>
      <c r="I428" s="5">
        <v>37986</v>
      </c>
      <c r="K428" s="2">
        <v>36402</v>
      </c>
      <c r="L428" t="s">
        <v>297</v>
      </c>
      <c r="M428" t="s">
        <v>297</v>
      </c>
      <c r="N428" t="s">
        <v>641</v>
      </c>
      <c r="O428" t="s">
        <v>200</v>
      </c>
      <c r="P428" t="s">
        <v>202</v>
      </c>
    </row>
    <row r="429" spans="1:16" ht="12.75" customHeight="1">
      <c r="A429">
        <v>5</v>
      </c>
      <c r="B429" t="s">
        <v>296</v>
      </c>
      <c r="C429">
        <v>991</v>
      </c>
      <c r="D429" t="s">
        <v>295</v>
      </c>
      <c r="E429" t="s">
        <v>296</v>
      </c>
      <c r="F429" s="2">
        <v>34561</v>
      </c>
      <c r="G429" s="2">
        <v>35874</v>
      </c>
      <c r="H429" s="2">
        <v>39343</v>
      </c>
      <c r="I429" s="5">
        <v>39263</v>
      </c>
      <c r="K429" s="2">
        <v>36367</v>
      </c>
      <c r="L429" t="s">
        <v>297</v>
      </c>
      <c r="M429" t="s">
        <v>297</v>
      </c>
      <c r="N429" t="s">
        <v>642</v>
      </c>
      <c r="O429" t="s">
        <v>200</v>
      </c>
      <c r="P429" t="s">
        <v>202</v>
      </c>
    </row>
    <row r="430" spans="1:16" ht="12.75" customHeight="1">
      <c r="A430">
        <v>5</v>
      </c>
      <c r="B430" t="s">
        <v>296</v>
      </c>
      <c r="C430">
        <v>1174</v>
      </c>
      <c r="D430" t="s">
        <v>295</v>
      </c>
      <c r="E430" t="s">
        <v>296</v>
      </c>
      <c r="F430" s="2">
        <v>35485</v>
      </c>
      <c r="G430" s="2">
        <v>35511</v>
      </c>
      <c r="H430" s="2">
        <v>39482</v>
      </c>
      <c r="I430" s="5">
        <v>39263</v>
      </c>
      <c r="J430" s="2">
        <v>38217</v>
      </c>
      <c r="K430" s="2">
        <v>37348</v>
      </c>
      <c r="L430" t="s">
        <v>297</v>
      </c>
      <c r="M430" t="s">
        <v>297</v>
      </c>
      <c r="N430" t="s">
        <v>643</v>
      </c>
      <c r="O430" t="s">
        <v>200</v>
      </c>
      <c r="P430" t="s">
        <v>202</v>
      </c>
    </row>
    <row r="431" spans="1:16" ht="12.75" customHeight="1">
      <c r="A431">
        <v>5</v>
      </c>
      <c r="B431" t="s">
        <v>296</v>
      </c>
      <c r="C431">
        <v>1467</v>
      </c>
      <c r="D431" t="s">
        <v>295</v>
      </c>
      <c r="E431" t="s">
        <v>296</v>
      </c>
      <c r="F431" s="2">
        <v>38035</v>
      </c>
      <c r="G431" s="2">
        <v>39108</v>
      </c>
      <c r="H431" s="2">
        <v>39281</v>
      </c>
      <c r="I431" s="5">
        <v>39629</v>
      </c>
      <c r="J431" s="2">
        <v>38259</v>
      </c>
      <c r="L431" t="s">
        <v>297</v>
      </c>
      <c r="M431" t="s">
        <v>297</v>
      </c>
      <c r="N431" t="s">
        <v>644</v>
      </c>
      <c r="O431" t="s">
        <v>200</v>
      </c>
      <c r="P431" t="s">
        <v>202</v>
      </c>
    </row>
    <row r="432" spans="1:16" ht="12.75" customHeight="1">
      <c r="A432" t="s">
        <v>200</v>
      </c>
      <c r="B432" t="s">
        <v>202</v>
      </c>
    </row>
    <row r="433" spans="1:16" ht="12.75" customHeight="1">
      <c r="A433">
        <v>5</v>
      </c>
      <c r="B433" t="s">
        <v>153</v>
      </c>
      <c r="C433">
        <v>353</v>
      </c>
      <c r="D433" t="s">
        <v>315</v>
      </c>
      <c r="E433" t="s">
        <v>316</v>
      </c>
      <c r="F433" s="2">
        <v>30099</v>
      </c>
      <c r="G433" s="2">
        <v>30758</v>
      </c>
      <c r="H433" s="2">
        <v>37488</v>
      </c>
      <c r="I433" s="5">
        <v>31815</v>
      </c>
      <c r="K433" s="2">
        <v>33288</v>
      </c>
      <c r="L433" t="s">
        <v>339</v>
      </c>
      <c r="M433" t="s">
        <v>297</v>
      </c>
      <c r="O433" t="s">
        <v>200</v>
      </c>
      <c r="P433" t="s">
        <v>203</v>
      </c>
    </row>
    <row r="434" spans="1:16" ht="12.75" customHeight="1">
      <c r="A434">
        <v>5</v>
      </c>
      <c r="B434" t="s">
        <v>153</v>
      </c>
      <c r="C434">
        <v>858</v>
      </c>
      <c r="D434" t="s">
        <v>618</v>
      </c>
      <c r="E434" t="s">
        <v>316</v>
      </c>
      <c r="F434" s="2">
        <v>38155</v>
      </c>
      <c r="G434" s="2">
        <v>38366</v>
      </c>
      <c r="H434" s="2">
        <v>39378</v>
      </c>
      <c r="I434" s="5">
        <v>38533</v>
      </c>
      <c r="J434" s="2">
        <v>38293</v>
      </c>
      <c r="L434" t="s">
        <v>297</v>
      </c>
      <c r="M434" t="s">
        <v>297</v>
      </c>
      <c r="O434" t="s">
        <v>200</v>
      </c>
      <c r="P434" t="s">
        <v>203</v>
      </c>
    </row>
    <row r="435" spans="1:16" ht="12.75" customHeight="1">
      <c r="A435">
        <v>5</v>
      </c>
      <c r="B435" t="s">
        <v>153</v>
      </c>
      <c r="C435">
        <v>890</v>
      </c>
      <c r="D435" t="s">
        <v>295</v>
      </c>
      <c r="E435" t="s">
        <v>296</v>
      </c>
      <c r="F435" s="2">
        <v>34109</v>
      </c>
      <c r="G435" s="2">
        <v>34404</v>
      </c>
      <c r="H435" s="2">
        <v>39300</v>
      </c>
      <c r="I435" s="5">
        <v>39629</v>
      </c>
      <c r="K435" s="2">
        <v>36413</v>
      </c>
      <c r="L435" t="s">
        <v>297</v>
      </c>
      <c r="M435" t="s">
        <v>297</v>
      </c>
      <c r="N435" t="s">
        <v>645</v>
      </c>
      <c r="O435" t="s">
        <v>200</v>
      </c>
      <c r="P435" t="s">
        <v>203</v>
      </c>
    </row>
    <row r="436" spans="1:16" ht="12.75" customHeight="1">
      <c r="A436">
        <v>5</v>
      </c>
      <c r="B436" t="s">
        <v>153</v>
      </c>
      <c r="C436">
        <v>989</v>
      </c>
      <c r="D436" t="s">
        <v>295</v>
      </c>
      <c r="E436" t="s">
        <v>296</v>
      </c>
      <c r="F436" s="2">
        <v>34561</v>
      </c>
      <c r="G436" s="2">
        <v>34775</v>
      </c>
      <c r="H436" s="2">
        <v>39301</v>
      </c>
      <c r="I436" s="5">
        <v>36950</v>
      </c>
      <c r="J436" s="2">
        <v>39356</v>
      </c>
      <c r="K436" s="2">
        <v>35262</v>
      </c>
      <c r="L436" t="s">
        <v>297</v>
      </c>
      <c r="M436" t="s">
        <v>297</v>
      </c>
      <c r="N436" t="s">
        <v>646</v>
      </c>
      <c r="O436" t="s">
        <v>200</v>
      </c>
      <c r="P436" t="s">
        <v>203</v>
      </c>
    </row>
    <row r="437" spans="1:16" ht="12.75" customHeight="1">
      <c r="A437">
        <v>5</v>
      </c>
      <c r="B437" t="s">
        <v>153</v>
      </c>
      <c r="C437">
        <v>1077</v>
      </c>
      <c r="D437" t="s">
        <v>295</v>
      </c>
      <c r="E437" t="s">
        <v>296</v>
      </c>
      <c r="F437" s="2">
        <v>34968</v>
      </c>
      <c r="G437" s="2">
        <v>35209</v>
      </c>
      <c r="H437" s="2">
        <v>39499</v>
      </c>
      <c r="I437" s="5">
        <v>38199</v>
      </c>
      <c r="J437" s="2">
        <v>38837</v>
      </c>
      <c r="K437" s="2">
        <v>38398</v>
      </c>
      <c r="L437" t="s">
        <v>297</v>
      </c>
      <c r="M437" t="s">
        <v>297</v>
      </c>
      <c r="N437" t="s">
        <v>647</v>
      </c>
      <c r="O437" t="s">
        <v>200</v>
      </c>
      <c r="P437" t="s">
        <v>203</v>
      </c>
    </row>
    <row r="438" spans="1:16" ht="12.75" customHeight="1">
      <c r="A438">
        <v>5</v>
      </c>
      <c r="B438" t="s">
        <v>153</v>
      </c>
      <c r="C438">
        <v>1243</v>
      </c>
      <c r="D438" t="s">
        <v>393</v>
      </c>
      <c r="E438" t="s">
        <v>376</v>
      </c>
      <c r="F438" s="2">
        <v>35895</v>
      </c>
      <c r="G438" s="2">
        <v>36238</v>
      </c>
      <c r="H438" s="2">
        <v>38160</v>
      </c>
      <c r="I438" s="5">
        <v>38352</v>
      </c>
      <c r="J438" s="2">
        <v>37998</v>
      </c>
      <c r="K438" s="2">
        <v>38160</v>
      </c>
      <c r="L438" t="s">
        <v>297</v>
      </c>
      <c r="M438" t="s">
        <v>297</v>
      </c>
      <c r="O438" t="s">
        <v>200</v>
      </c>
      <c r="P438" t="s">
        <v>203</v>
      </c>
    </row>
    <row r="439" spans="1:16" ht="12.75" customHeight="1">
      <c r="A439">
        <v>5</v>
      </c>
      <c r="B439" t="s">
        <v>153</v>
      </c>
      <c r="C439">
        <v>1371</v>
      </c>
      <c r="D439" t="s">
        <v>295</v>
      </c>
      <c r="E439" t="s">
        <v>299</v>
      </c>
      <c r="F439" s="2">
        <v>36958</v>
      </c>
      <c r="H439" s="2">
        <v>39209</v>
      </c>
      <c r="I439" s="5">
        <v>38807</v>
      </c>
      <c r="L439" t="s">
        <v>297</v>
      </c>
      <c r="M439" t="s">
        <v>297</v>
      </c>
      <c r="N439" t="s">
        <v>648</v>
      </c>
      <c r="O439" t="s">
        <v>200</v>
      </c>
      <c r="P439" t="s">
        <v>203</v>
      </c>
    </row>
    <row r="440" spans="1:16" ht="12.75" customHeight="1">
      <c r="A440">
        <v>5</v>
      </c>
      <c r="B440" t="s">
        <v>153</v>
      </c>
      <c r="C440">
        <v>1464</v>
      </c>
      <c r="D440" t="s">
        <v>295</v>
      </c>
      <c r="E440" t="s">
        <v>296</v>
      </c>
      <c r="F440" s="2">
        <v>37928</v>
      </c>
      <c r="G440" s="2">
        <v>38415</v>
      </c>
      <c r="H440" s="2">
        <v>39247</v>
      </c>
      <c r="I440" s="5">
        <v>39660</v>
      </c>
      <c r="K440" s="2">
        <v>38785</v>
      </c>
      <c r="L440" t="s">
        <v>297</v>
      </c>
      <c r="M440" t="s">
        <v>297</v>
      </c>
      <c r="N440" t="s">
        <v>318</v>
      </c>
      <c r="O440" t="s">
        <v>200</v>
      </c>
      <c r="P440" t="s">
        <v>203</v>
      </c>
    </row>
    <row r="441" spans="1:16" ht="12.75" customHeight="1">
      <c r="A441">
        <v>5</v>
      </c>
      <c r="B441" t="s">
        <v>153</v>
      </c>
      <c r="C441">
        <v>1535</v>
      </c>
      <c r="D441" t="s">
        <v>295</v>
      </c>
      <c r="E441" t="s">
        <v>296</v>
      </c>
      <c r="F441" s="2">
        <v>39090</v>
      </c>
      <c r="G441" s="2">
        <v>39465</v>
      </c>
      <c r="H441" s="2">
        <v>39457</v>
      </c>
      <c r="I441" s="5">
        <v>39263</v>
      </c>
      <c r="L441" t="s">
        <v>297</v>
      </c>
      <c r="M441" t="s">
        <v>297</v>
      </c>
      <c r="N441" t="s">
        <v>649</v>
      </c>
      <c r="O441" t="s">
        <v>200</v>
      </c>
      <c r="P441" t="s">
        <v>203</v>
      </c>
    </row>
    <row r="442" spans="1:16" ht="12.75" customHeight="1">
      <c r="A442" t="s">
        <v>200</v>
      </c>
      <c r="B442" t="s">
        <v>203</v>
      </c>
    </row>
    <row r="443" spans="1:16" ht="12.75" customHeight="1">
      <c r="A443">
        <v>5</v>
      </c>
      <c r="B443" t="s">
        <v>317</v>
      </c>
      <c r="C443">
        <v>132</v>
      </c>
      <c r="D443" t="s">
        <v>295</v>
      </c>
      <c r="E443" t="s">
        <v>296</v>
      </c>
      <c r="F443" s="2">
        <v>28093</v>
      </c>
      <c r="G443" s="2">
        <v>28569</v>
      </c>
      <c r="H443" s="2">
        <v>39158</v>
      </c>
      <c r="I443" s="5">
        <v>36341</v>
      </c>
      <c r="J443" s="2">
        <v>33785</v>
      </c>
      <c r="K443" s="2">
        <v>35445</v>
      </c>
      <c r="L443" t="s">
        <v>297</v>
      </c>
      <c r="M443" t="s">
        <v>297</v>
      </c>
      <c r="N443" t="s">
        <v>650</v>
      </c>
      <c r="O443" t="s">
        <v>200</v>
      </c>
      <c r="P443" t="s">
        <v>204</v>
      </c>
    </row>
    <row r="444" spans="1:16" ht="12.75" customHeight="1">
      <c r="A444">
        <v>5</v>
      </c>
      <c r="B444" t="s">
        <v>317</v>
      </c>
      <c r="C444">
        <v>572</v>
      </c>
      <c r="D444" t="s">
        <v>295</v>
      </c>
      <c r="E444" t="s">
        <v>296</v>
      </c>
      <c r="F444" s="2">
        <v>31794</v>
      </c>
      <c r="G444" s="2">
        <v>32522</v>
      </c>
      <c r="H444" s="2">
        <v>39483</v>
      </c>
      <c r="I444" s="5">
        <v>39629</v>
      </c>
      <c r="J444" s="2">
        <v>34967</v>
      </c>
      <c r="K444" s="2">
        <v>36181</v>
      </c>
      <c r="L444" t="s">
        <v>297</v>
      </c>
      <c r="M444" t="s">
        <v>297</v>
      </c>
      <c r="N444" t="s">
        <v>651</v>
      </c>
      <c r="O444" t="s">
        <v>200</v>
      </c>
      <c r="P444" t="s">
        <v>204</v>
      </c>
    </row>
    <row r="445" spans="1:16" ht="12.75" customHeight="1">
      <c r="A445">
        <v>5</v>
      </c>
      <c r="B445" t="s">
        <v>317</v>
      </c>
      <c r="C445">
        <v>605</v>
      </c>
      <c r="D445" t="s">
        <v>295</v>
      </c>
      <c r="E445" t="s">
        <v>296</v>
      </c>
      <c r="F445" s="2">
        <v>31969</v>
      </c>
      <c r="G445" s="2">
        <v>32648</v>
      </c>
      <c r="H445" s="2">
        <v>39233</v>
      </c>
      <c r="I445" s="5">
        <v>37802</v>
      </c>
      <c r="K445" s="2">
        <v>35898</v>
      </c>
      <c r="L445" t="s">
        <v>297</v>
      </c>
      <c r="M445" t="s">
        <v>297</v>
      </c>
      <c r="N445" t="s">
        <v>652</v>
      </c>
      <c r="O445" t="s">
        <v>200</v>
      </c>
      <c r="P445" t="s">
        <v>204</v>
      </c>
    </row>
    <row r="446" spans="1:16" ht="12.75" customHeight="1">
      <c r="A446">
        <v>5</v>
      </c>
      <c r="B446" t="s">
        <v>317</v>
      </c>
      <c r="C446">
        <v>722</v>
      </c>
      <c r="D446" t="s">
        <v>295</v>
      </c>
      <c r="E446" t="s">
        <v>296</v>
      </c>
      <c r="F446" s="2">
        <v>32892</v>
      </c>
      <c r="G446" s="2">
        <v>32893</v>
      </c>
      <c r="H446" s="2">
        <v>39240</v>
      </c>
      <c r="I446" s="5">
        <v>35246</v>
      </c>
      <c r="J446" s="2">
        <v>33785</v>
      </c>
      <c r="K446" s="2">
        <v>35577</v>
      </c>
      <c r="L446" t="s">
        <v>297</v>
      </c>
      <c r="M446" t="s">
        <v>297</v>
      </c>
      <c r="N446" t="s">
        <v>653</v>
      </c>
      <c r="O446" t="s">
        <v>200</v>
      </c>
      <c r="P446" t="s">
        <v>204</v>
      </c>
    </row>
    <row r="447" spans="1:16" ht="12.75" customHeight="1">
      <c r="A447">
        <v>5</v>
      </c>
      <c r="B447" t="s">
        <v>317</v>
      </c>
      <c r="C447">
        <v>723</v>
      </c>
      <c r="D447" t="s">
        <v>295</v>
      </c>
      <c r="E447" t="s">
        <v>296</v>
      </c>
      <c r="F447" s="2">
        <v>32892</v>
      </c>
      <c r="G447" s="2">
        <v>32893</v>
      </c>
      <c r="H447" s="2">
        <v>39376</v>
      </c>
      <c r="I447" s="5">
        <v>35430</v>
      </c>
      <c r="J447" s="2">
        <v>33785</v>
      </c>
      <c r="K447" s="2">
        <v>35475</v>
      </c>
      <c r="L447" t="s">
        <v>297</v>
      </c>
      <c r="M447" t="s">
        <v>297</v>
      </c>
      <c r="N447" t="s">
        <v>654</v>
      </c>
      <c r="O447" t="s">
        <v>200</v>
      </c>
      <c r="P447" t="s">
        <v>204</v>
      </c>
    </row>
    <row r="448" spans="1:16" ht="12.75" customHeight="1">
      <c r="A448">
        <v>5</v>
      </c>
      <c r="B448" t="s">
        <v>317</v>
      </c>
      <c r="C448">
        <v>836</v>
      </c>
      <c r="D448" t="s">
        <v>295</v>
      </c>
      <c r="E448" t="s">
        <v>296</v>
      </c>
      <c r="F448" s="2">
        <v>33684</v>
      </c>
      <c r="G448" s="2">
        <v>34051</v>
      </c>
      <c r="H448" s="2">
        <v>38258</v>
      </c>
      <c r="I448" s="5">
        <v>34390</v>
      </c>
      <c r="J448" s="2">
        <v>33785</v>
      </c>
      <c r="K448" s="2">
        <v>35278</v>
      </c>
      <c r="L448" t="s">
        <v>297</v>
      </c>
      <c r="N448" t="s">
        <v>655</v>
      </c>
      <c r="O448" t="s">
        <v>200</v>
      </c>
      <c r="P448" t="s">
        <v>204</v>
      </c>
    </row>
    <row r="449" spans="1:16" ht="12.75" customHeight="1">
      <c r="A449">
        <v>5</v>
      </c>
      <c r="B449" t="s">
        <v>317</v>
      </c>
      <c r="C449">
        <v>1087</v>
      </c>
      <c r="D449" t="s">
        <v>295</v>
      </c>
      <c r="E449" t="s">
        <v>296</v>
      </c>
      <c r="F449" s="2">
        <v>35080</v>
      </c>
      <c r="G449" s="2">
        <v>37176</v>
      </c>
      <c r="H449" s="2">
        <v>36927</v>
      </c>
      <c r="I449" s="5">
        <v>37437</v>
      </c>
      <c r="K449" s="2">
        <v>35312</v>
      </c>
      <c r="L449" t="s">
        <v>297</v>
      </c>
      <c r="M449" t="s">
        <v>297</v>
      </c>
      <c r="N449" t="s">
        <v>656</v>
      </c>
      <c r="O449" t="s">
        <v>200</v>
      </c>
      <c r="P449" t="s">
        <v>204</v>
      </c>
    </row>
    <row r="450" spans="1:16" ht="12.75" customHeight="1">
      <c r="A450">
        <v>5</v>
      </c>
      <c r="B450" t="s">
        <v>317</v>
      </c>
      <c r="C450">
        <v>1157</v>
      </c>
      <c r="D450" t="s">
        <v>295</v>
      </c>
      <c r="E450" t="s">
        <v>296</v>
      </c>
      <c r="F450" s="2">
        <v>35433</v>
      </c>
      <c r="G450" s="2">
        <v>35434</v>
      </c>
      <c r="H450" s="2">
        <v>39148</v>
      </c>
      <c r="I450" s="5">
        <v>35795</v>
      </c>
      <c r="L450" t="s">
        <v>297</v>
      </c>
      <c r="M450" t="s">
        <v>297</v>
      </c>
      <c r="N450" t="s">
        <v>657</v>
      </c>
      <c r="O450" t="s">
        <v>200</v>
      </c>
      <c r="P450" t="s">
        <v>204</v>
      </c>
    </row>
    <row r="451" spans="1:16" ht="12.75" customHeight="1">
      <c r="A451">
        <v>5</v>
      </c>
      <c r="B451" t="s">
        <v>317</v>
      </c>
      <c r="C451">
        <v>1158</v>
      </c>
      <c r="D451" t="s">
        <v>348</v>
      </c>
      <c r="E451" t="s">
        <v>316</v>
      </c>
      <c r="F451" s="2">
        <v>35433</v>
      </c>
      <c r="G451" s="2">
        <v>35434</v>
      </c>
      <c r="H451" s="2">
        <v>36362</v>
      </c>
      <c r="I451" s="5">
        <v>35795</v>
      </c>
      <c r="K451" s="2">
        <v>36362</v>
      </c>
      <c r="L451" t="s">
        <v>297</v>
      </c>
      <c r="M451" t="s">
        <v>297</v>
      </c>
      <c r="O451" t="s">
        <v>200</v>
      </c>
      <c r="P451" t="s">
        <v>204</v>
      </c>
    </row>
    <row r="452" spans="1:16" ht="12.75" customHeight="1">
      <c r="A452">
        <v>5</v>
      </c>
      <c r="B452" t="s">
        <v>317</v>
      </c>
      <c r="C452">
        <v>1220</v>
      </c>
      <c r="D452" t="s">
        <v>658</v>
      </c>
      <c r="E452" t="s">
        <v>316</v>
      </c>
      <c r="F452" s="2">
        <v>35726</v>
      </c>
      <c r="L452" t="s">
        <v>322</v>
      </c>
      <c r="M452" t="s">
        <v>297</v>
      </c>
      <c r="O452" t="s">
        <v>200</v>
      </c>
      <c r="P452" t="s">
        <v>204</v>
      </c>
    </row>
    <row r="453" spans="1:16" ht="12.75" customHeight="1">
      <c r="A453">
        <v>5</v>
      </c>
      <c r="B453" t="s">
        <v>317</v>
      </c>
      <c r="C453">
        <v>1229</v>
      </c>
      <c r="D453" t="s">
        <v>295</v>
      </c>
      <c r="E453" t="s">
        <v>296</v>
      </c>
      <c r="F453" s="2">
        <v>35800</v>
      </c>
      <c r="G453" s="2">
        <v>35804</v>
      </c>
      <c r="H453" s="2">
        <v>38167</v>
      </c>
      <c r="K453" s="2">
        <v>38082</v>
      </c>
      <c r="L453" t="s">
        <v>297</v>
      </c>
      <c r="M453" t="s">
        <v>297</v>
      </c>
      <c r="N453" t="s">
        <v>659</v>
      </c>
      <c r="O453" t="s">
        <v>200</v>
      </c>
      <c r="P453" t="s">
        <v>204</v>
      </c>
    </row>
    <row r="454" spans="1:16" ht="12.75" customHeight="1">
      <c r="A454">
        <v>5</v>
      </c>
      <c r="B454" t="s">
        <v>317</v>
      </c>
      <c r="C454">
        <v>1302</v>
      </c>
      <c r="D454" t="s">
        <v>348</v>
      </c>
      <c r="E454" t="s">
        <v>316</v>
      </c>
      <c r="F454" s="2">
        <v>36322</v>
      </c>
      <c r="H454" s="2">
        <v>36322</v>
      </c>
      <c r="I454" s="5">
        <v>36322</v>
      </c>
      <c r="L454" t="s">
        <v>322</v>
      </c>
      <c r="M454" t="s">
        <v>297</v>
      </c>
      <c r="O454" t="s">
        <v>200</v>
      </c>
      <c r="P454" t="s">
        <v>204</v>
      </c>
    </row>
    <row r="455" spans="1:16" ht="12.75" customHeight="1">
      <c r="A455">
        <v>5</v>
      </c>
      <c r="B455" t="s">
        <v>317</v>
      </c>
      <c r="C455">
        <v>1477</v>
      </c>
      <c r="D455" t="s">
        <v>295</v>
      </c>
      <c r="E455" t="s">
        <v>299</v>
      </c>
      <c r="F455" s="2">
        <v>38122</v>
      </c>
      <c r="H455" s="2">
        <v>38247</v>
      </c>
      <c r="L455" t="s">
        <v>317</v>
      </c>
      <c r="M455" t="s">
        <v>322</v>
      </c>
      <c r="N455" t="s">
        <v>660</v>
      </c>
      <c r="O455" t="s">
        <v>200</v>
      </c>
      <c r="P455" t="s">
        <v>204</v>
      </c>
    </row>
    <row r="456" spans="1:16" ht="12.75" customHeight="1">
      <c r="A456">
        <v>5</v>
      </c>
      <c r="B456" t="s">
        <v>317</v>
      </c>
      <c r="C456">
        <v>1549</v>
      </c>
      <c r="D456" t="s">
        <v>295</v>
      </c>
      <c r="E456" t="s">
        <v>299</v>
      </c>
      <c r="F456" s="2">
        <v>39295</v>
      </c>
      <c r="H456" s="2">
        <v>39412</v>
      </c>
      <c r="I456" s="5">
        <v>39629</v>
      </c>
      <c r="L456" t="s">
        <v>297</v>
      </c>
      <c r="M456" t="s">
        <v>297</v>
      </c>
      <c r="N456" t="s">
        <v>661</v>
      </c>
      <c r="O456" t="s">
        <v>200</v>
      </c>
      <c r="P456" t="s">
        <v>204</v>
      </c>
    </row>
    <row r="457" spans="1:16" ht="12.75" customHeight="1">
      <c r="A457" t="s">
        <v>200</v>
      </c>
      <c r="B457" t="s">
        <v>204</v>
      </c>
    </row>
    <row r="458" spans="1:16" ht="12.75" customHeight="1">
      <c r="A458">
        <v>5</v>
      </c>
      <c r="B458" t="s">
        <v>155</v>
      </c>
      <c r="C458">
        <v>414</v>
      </c>
      <c r="D458" t="s">
        <v>295</v>
      </c>
      <c r="E458" t="s">
        <v>296</v>
      </c>
      <c r="F458" s="2">
        <v>30640</v>
      </c>
      <c r="G458" s="2">
        <v>31129</v>
      </c>
      <c r="H458" s="2">
        <v>39422</v>
      </c>
      <c r="I458" s="5">
        <v>38717</v>
      </c>
      <c r="K458" s="2">
        <v>36368</v>
      </c>
      <c r="L458" t="s">
        <v>297</v>
      </c>
      <c r="M458" t="s">
        <v>297</v>
      </c>
      <c r="N458" t="s">
        <v>662</v>
      </c>
      <c r="O458" t="s">
        <v>200</v>
      </c>
      <c r="P458" t="s">
        <v>205</v>
      </c>
    </row>
    <row r="459" spans="1:16" ht="12.75" customHeight="1">
      <c r="A459">
        <v>5</v>
      </c>
      <c r="B459" t="s">
        <v>155</v>
      </c>
      <c r="C459">
        <v>480</v>
      </c>
      <c r="D459" t="s">
        <v>295</v>
      </c>
      <c r="E459" t="s">
        <v>296</v>
      </c>
      <c r="F459" s="2">
        <v>31241</v>
      </c>
      <c r="G459" s="2">
        <v>31493</v>
      </c>
      <c r="H459" s="2">
        <v>36297</v>
      </c>
      <c r="I459" s="5">
        <v>31638</v>
      </c>
      <c r="K459" s="2">
        <v>36297</v>
      </c>
      <c r="L459" t="s">
        <v>297</v>
      </c>
      <c r="N459" t="s">
        <v>318</v>
      </c>
      <c r="O459" t="s">
        <v>200</v>
      </c>
      <c r="P459" t="s">
        <v>205</v>
      </c>
    </row>
    <row r="460" spans="1:16" ht="12.75" customHeight="1">
      <c r="A460">
        <v>5</v>
      </c>
      <c r="B460" t="s">
        <v>155</v>
      </c>
      <c r="C460">
        <v>649</v>
      </c>
      <c r="D460" t="s">
        <v>295</v>
      </c>
      <c r="E460" t="s">
        <v>296</v>
      </c>
      <c r="F460" s="2">
        <v>32423</v>
      </c>
      <c r="G460" s="2">
        <v>32578</v>
      </c>
      <c r="H460" s="2">
        <v>36724</v>
      </c>
      <c r="I460" s="5">
        <v>37833</v>
      </c>
      <c r="K460" s="2">
        <v>36363</v>
      </c>
      <c r="L460" t="s">
        <v>297</v>
      </c>
      <c r="N460" t="s">
        <v>663</v>
      </c>
      <c r="O460" t="s">
        <v>200</v>
      </c>
      <c r="P460" t="s">
        <v>205</v>
      </c>
    </row>
    <row r="461" spans="1:16" ht="12.75" customHeight="1">
      <c r="A461">
        <v>5</v>
      </c>
      <c r="B461" t="s">
        <v>155</v>
      </c>
      <c r="C461">
        <v>773</v>
      </c>
      <c r="D461" t="s">
        <v>295</v>
      </c>
      <c r="E461" t="s">
        <v>296</v>
      </c>
      <c r="F461" s="2">
        <v>33264</v>
      </c>
      <c r="G461" s="2">
        <v>33621</v>
      </c>
      <c r="H461" s="2">
        <v>39087</v>
      </c>
      <c r="I461" s="5">
        <v>33147</v>
      </c>
      <c r="K461" s="2">
        <v>33453</v>
      </c>
      <c r="L461" t="s">
        <v>297</v>
      </c>
      <c r="N461" t="s">
        <v>664</v>
      </c>
      <c r="O461" t="s">
        <v>200</v>
      </c>
      <c r="P461" t="s">
        <v>205</v>
      </c>
    </row>
    <row r="462" spans="1:16" ht="12.75" customHeight="1">
      <c r="A462">
        <v>5</v>
      </c>
      <c r="B462" t="s">
        <v>155</v>
      </c>
      <c r="C462">
        <v>778</v>
      </c>
      <c r="D462" t="s">
        <v>295</v>
      </c>
      <c r="E462" t="s">
        <v>296</v>
      </c>
      <c r="F462" s="2">
        <v>33749</v>
      </c>
      <c r="G462" s="2">
        <v>33313</v>
      </c>
      <c r="H462" s="2">
        <v>39503</v>
      </c>
      <c r="I462" s="5">
        <v>39629</v>
      </c>
      <c r="K462" s="2">
        <v>38922</v>
      </c>
      <c r="L462" t="s">
        <v>297</v>
      </c>
      <c r="M462" t="s">
        <v>297</v>
      </c>
      <c r="N462" t="s">
        <v>665</v>
      </c>
      <c r="O462" t="s">
        <v>200</v>
      </c>
      <c r="P462" t="s">
        <v>205</v>
      </c>
    </row>
    <row r="463" spans="1:16" ht="12.75" customHeight="1">
      <c r="A463">
        <v>5</v>
      </c>
      <c r="B463" t="s">
        <v>155</v>
      </c>
      <c r="C463">
        <v>914</v>
      </c>
      <c r="D463" t="s">
        <v>295</v>
      </c>
      <c r="E463" t="s">
        <v>299</v>
      </c>
      <c r="F463" s="2">
        <v>34885</v>
      </c>
      <c r="H463" s="2">
        <v>38194</v>
      </c>
      <c r="I463" s="5">
        <v>37437</v>
      </c>
      <c r="K463" s="2">
        <v>36189</v>
      </c>
      <c r="L463" t="s">
        <v>297</v>
      </c>
      <c r="M463" t="s">
        <v>297</v>
      </c>
      <c r="N463" t="s">
        <v>666</v>
      </c>
      <c r="O463" t="s">
        <v>200</v>
      </c>
      <c r="P463" t="s">
        <v>205</v>
      </c>
    </row>
    <row r="464" spans="1:16" ht="12.75" customHeight="1">
      <c r="A464">
        <v>5</v>
      </c>
      <c r="B464" t="s">
        <v>155</v>
      </c>
      <c r="C464">
        <v>916</v>
      </c>
      <c r="D464" t="s">
        <v>295</v>
      </c>
      <c r="E464" t="s">
        <v>296</v>
      </c>
      <c r="F464" s="2">
        <v>34232</v>
      </c>
      <c r="G464" s="2">
        <v>35511</v>
      </c>
      <c r="H464" s="2">
        <v>39167</v>
      </c>
      <c r="I464" s="5">
        <v>36891</v>
      </c>
      <c r="K464" s="2">
        <v>36179</v>
      </c>
      <c r="L464" t="s">
        <v>297</v>
      </c>
      <c r="M464" t="s">
        <v>297</v>
      </c>
      <c r="N464" t="s">
        <v>667</v>
      </c>
      <c r="O464" t="s">
        <v>200</v>
      </c>
      <c r="P464" t="s">
        <v>205</v>
      </c>
    </row>
    <row r="465" spans="1:16" ht="12.75" customHeight="1">
      <c r="A465">
        <v>5</v>
      </c>
      <c r="B465" t="s">
        <v>155</v>
      </c>
      <c r="C465">
        <v>1011</v>
      </c>
      <c r="D465" t="s">
        <v>295</v>
      </c>
      <c r="E465" t="s">
        <v>296</v>
      </c>
      <c r="F465" s="2">
        <v>34633</v>
      </c>
      <c r="G465" s="2">
        <v>35874</v>
      </c>
      <c r="H465" s="2">
        <v>35870</v>
      </c>
      <c r="I465" s="5">
        <v>36160</v>
      </c>
      <c r="L465" t="s">
        <v>317</v>
      </c>
      <c r="M465" t="s">
        <v>297</v>
      </c>
      <c r="N465" t="s">
        <v>668</v>
      </c>
      <c r="O465" t="s">
        <v>200</v>
      </c>
      <c r="P465" t="s">
        <v>205</v>
      </c>
    </row>
    <row r="466" spans="1:16" ht="12.75" customHeight="1">
      <c r="A466">
        <v>5</v>
      </c>
      <c r="B466" t="s">
        <v>155</v>
      </c>
      <c r="C466">
        <v>1014</v>
      </c>
      <c r="D466" t="s">
        <v>295</v>
      </c>
      <c r="E466" t="s">
        <v>299</v>
      </c>
      <c r="F466" s="2">
        <v>34667</v>
      </c>
      <c r="H466" s="2">
        <v>36132</v>
      </c>
      <c r="I466" s="5">
        <v>34667</v>
      </c>
      <c r="L466" t="s">
        <v>297</v>
      </c>
      <c r="N466" t="s">
        <v>669</v>
      </c>
      <c r="O466" t="s">
        <v>200</v>
      </c>
      <c r="P466" t="s">
        <v>205</v>
      </c>
    </row>
    <row r="467" spans="1:16" ht="12.75" customHeight="1">
      <c r="A467">
        <v>5</v>
      </c>
      <c r="B467" t="s">
        <v>155</v>
      </c>
      <c r="C467">
        <v>1062</v>
      </c>
      <c r="D467" t="s">
        <v>295</v>
      </c>
      <c r="E467" t="s">
        <v>299</v>
      </c>
      <c r="F467" s="2">
        <v>34856</v>
      </c>
      <c r="H467" s="2">
        <v>39413</v>
      </c>
      <c r="I467" s="5">
        <v>38168</v>
      </c>
      <c r="K467" s="2">
        <v>38651</v>
      </c>
      <c r="L467" t="s">
        <v>297</v>
      </c>
      <c r="M467" t="s">
        <v>297</v>
      </c>
      <c r="N467" t="s">
        <v>670</v>
      </c>
      <c r="O467" t="s">
        <v>200</v>
      </c>
      <c r="P467" t="s">
        <v>205</v>
      </c>
    </row>
    <row r="468" spans="1:16" ht="12.75" customHeight="1">
      <c r="A468">
        <v>5</v>
      </c>
      <c r="B468" t="s">
        <v>155</v>
      </c>
      <c r="C468">
        <v>1096</v>
      </c>
      <c r="D468" t="s">
        <v>295</v>
      </c>
      <c r="E468" t="s">
        <v>296</v>
      </c>
      <c r="F468" s="2">
        <v>35123</v>
      </c>
      <c r="G468" s="2">
        <v>36175</v>
      </c>
      <c r="H468" s="2">
        <v>39505</v>
      </c>
      <c r="I468" s="5">
        <v>36891</v>
      </c>
      <c r="K468" s="2">
        <v>38175</v>
      </c>
      <c r="L468" t="s">
        <v>297</v>
      </c>
      <c r="M468" t="s">
        <v>297</v>
      </c>
      <c r="N468" t="s">
        <v>671</v>
      </c>
      <c r="O468" t="s">
        <v>200</v>
      </c>
      <c r="P468" t="s">
        <v>205</v>
      </c>
    </row>
    <row r="469" spans="1:16" ht="12.75" customHeight="1">
      <c r="A469">
        <v>5</v>
      </c>
      <c r="B469" t="s">
        <v>155</v>
      </c>
      <c r="C469">
        <v>1373</v>
      </c>
      <c r="D469" t="s">
        <v>295</v>
      </c>
      <c r="E469" t="s">
        <v>299</v>
      </c>
      <c r="F469" s="2">
        <v>36978</v>
      </c>
      <c r="H469" s="2">
        <v>39055</v>
      </c>
      <c r="I469" s="5">
        <v>37343</v>
      </c>
      <c r="K469" s="2">
        <v>38749</v>
      </c>
      <c r="L469" t="s">
        <v>297</v>
      </c>
      <c r="M469" t="s">
        <v>297</v>
      </c>
      <c r="N469" t="s">
        <v>672</v>
      </c>
      <c r="O469" t="s">
        <v>200</v>
      </c>
      <c r="P469" t="s">
        <v>205</v>
      </c>
    </row>
    <row r="470" spans="1:16" ht="12.75" customHeight="1">
      <c r="A470">
        <v>5</v>
      </c>
      <c r="B470" t="s">
        <v>155</v>
      </c>
      <c r="C470">
        <v>1495</v>
      </c>
      <c r="D470" t="s">
        <v>295</v>
      </c>
      <c r="E470" t="s">
        <v>299</v>
      </c>
      <c r="F470" s="2">
        <v>38363</v>
      </c>
      <c r="H470" s="2">
        <v>38868</v>
      </c>
      <c r="I470" s="5">
        <v>38717</v>
      </c>
      <c r="K470" s="2">
        <v>38765</v>
      </c>
      <c r="L470" t="s">
        <v>297</v>
      </c>
      <c r="M470" t="s">
        <v>297</v>
      </c>
      <c r="N470" t="s">
        <v>673</v>
      </c>
      <c r="O470" t="s">
        <v>200</v>
      </c>
      <c r="P470" t="s">
        <v>205</v>
      </c>
    </row>
    <row r="471" spans="1:16" ht="12.75" customHeight="1">
      <c r="A471">
        <v>5</v>
      </c>
      <c r="B471" t="s">
        <v>155</v>
      </c>
      <c r="C471">
        <v>1513</v>
      </c>
      <c r="D471" t="s">
        <v>295</v>
      </c>
      <c r="E471" t="s">
        <v>299</v>
      </c>
      <c r="F471" s="2">
        <v>38757</v>
      </c>
      <c r="H471" s="2">
        <v>38758</v>
      </c>
      <c r="I471" s="5">
        <v>39294</v>
      </c>
      <c r="L471" t="s">
        <v>297</v>
      </c>
      <c r="M471" t="s">
        <v>322</v>
      </c>
      <c r="N471" t="s">
        <v>674</v>
      </c>
      <c r="O471" t="s">
        <v>200</v>
      </c>
      <c r="P471" t="s">
        <v>205</v>
      </c>
    </row>
    <row r="472" spans="1:16" ht="12.75" customHeight="1">
      <c r="A472">
        <v>5</v>
      </c>
      <c r="B472" t="s">
        <v>155</v>
      </c>
      <c r="C472">
        <v>1550</v>
      </c>
      <c r="D472" t="s">
        <v>295</v>
      </c>
      <c r="E472" t="s">
        <v>299</v>
      </c>
      <c r="F472" s="2">
        <v>39295</v>
      </c>
      <c r="H472" s="2">
        <v>39318</v>
      </c>
      <c r="I472" s="5">
        <v>39263</v>
      </c>
      <c r="L472" t="s">
        <v>297</v>
      </c>
      <c r="M472" t="s">
        <v>297</v>
      </c>
      <c r="N472" t="s">
        <v>675</v>
      </c>
      <c r="O472" t="s">
        <v>200</v>
      </c>
      <c r="P472" t="s">
        <v>205</v>
      </c>
    </row>
    <row r="473" spans="1:16" ht="12.75" customHeight="1">
      <c r="A473" t="s">
        <v>200</v>
      </c>
      <c r="B473" t="s">
        <v>205</v>
      </c>
    </row>
    <row r="474" spans="1:16" ht="12.75" customHeight="1">
      <c r="A474">
        <v>5</v>
      </c>
      <c r="B474" t="s">
        <v>157</v>
      </c>
      <c r="C474">
        <v>325</v>
      </c>
      <c r="D474" t="s">
        <v>295</v>
      </c>
      <c r="E474" t="s">
        <v>296</v>
      </c>
      <c r="F474" s="2">
        <v>29848</v>
      </c>
      <c r="G474" s="2">
        <v>30338</v>
      </c>
      <c r="H474" s="2">
        <v>38939</v>
      </c>
      <c r="I474" s="5">
        <v>39629</v>
      </c>
      <c r="J474" s="2">
        <v>38908</v>
      </c>
      <c r="K474" s="2">
        <v>35349</v>
      </c>
      <c r="L474" t="s">
        <v>297</v>
      </c>
      <c r="M474" t="s">
        <v>297</v>
      </c>
      <c r="N474" t="s">
        <v>676</v>
      </c>
      <c r="O474" t="s">
        <v>200</v>
      </c>
      <c r="P474" t="s">
        <v>206</v>
      </c>
    </row>
    <row r="475" spans="1:16" ht="12.75" customHeight="1">
      <c r="A475">
        <v>5</v>
      </c>
      <c r="B475" t="s">
        <v>157</v>
      </c>
      <c r="C475">
        <v>385</v>
      </c>
      <c r="D475" t="s">
        <v>295</v>
      </c>
      <c r="E475" t="s">
        <v>296</v>
      </c>
      <c r="F475" s="2">
        <v>30393</v>
      </c>
      <c r="G475" s="2">
        <v>31129</v>
      </c>
      <c r="H475" s="2">
        <v>39508</v>
      </c>
      <c r="I475" s="5">
        <v>39629</v>
      </c>
      <c r="J475" s="2">
        <v>38621</v>
      </c>
      <c r="K475" s="2">
        <v>35352</v>
      </c>
      <c r="L475" t="s">
        <v>297</v>
      </c>
      <c r="M475" t="s">
        <v>297</v>
      </c>
      <c r="N475" t="s">
        <v>677</v>
      </c>
      <c r="O475" t="s">
        <v>200</v>
      </c>
      <c r="P475" t="s">
        <v>206</v>
      </c>
    </row>
    <row r="476" spans="1:16" ht="12.75" customHeight="1">
      <c r="A476">
        <v>5</v>
      </c>
      <c r="B476" t="s">
        <v>157</v>
      </c>
      <c r="C476">
        <v>390</v>
      </c>
      <c r="D476" t="s">
        <v>295</v>
      </c>
      <c r="E476" t="s">
        <v>296</v>
      </c>
      <c r="F476" s="2">
        <v>30432</v>
      </c>
      <c r="G476" s="2">
        <v>31194</v>
      </c>
      <c r="H476" s="2">
        <v>38870</v>
      </c>
      <c r="I476" s="5">
        <v>39263</v>
      </c>
      <c r="J476" s="2">
        <v>38933</v>
      </c>
      <c r="K476" s="2">
        <v>36362</v>
      </c>
      <c r="L476" t="s">
        <v>297</v>
      </c>
      <c r="M476" t="s">
        <v>297</v>
      </c>
      <c r="N476" t="s">
        <v>678</v>
      </c>
      <c r="O476" t="s">
        <v>200</v>
      </c>
      <c r="P476" t="s">
        <v>206</v>
      </c>
    </row>
    <row r="477" spans="1:16" ht="12.75" customHeight="1">
      <c r="A477">
        <v>5</v>
      </c>
      <c r="B477" t="s">
        <v>157</v>
      </c>
      <c r="C477">
        <v>612</v>
      </c>
      <c r="D477" t="s">
        <v>295</v>
      </c>
      <c r="E477" t="s">
        <v>296</v>
      </c>
      <c r="F477" s="2">
        <v>32039</v>
      </c>
      <c r="G477" s="2">
        <v>32039</v>
      </c>
      <c r="H477" s="2">
        <v>38664</v>
      </c>
      <c r="I477" s="5">
        <v>33633</v>
      </c>
      <c r="J477" s="2">
        <v>38621</v>
      </c>
      <c r="K477" s="2">
        <v>35543</v>
      </c>
      <c r="L477" t="s">
        <v>297</v>
      </c>
      <c r="M477" t="s">
        <v>297</v>
      </c>
      <c r="N477" t="s">
        <v>679</v>
      </c>
      <c r="O477" t="s">
        <v>200</v>
      </c>
      <c r="P477" t="s">
        <v>206</v>
      </c>
    </row>
    <row r="478" spans="1:16" ht="12.75" customHeight="1">
      <c r="A478">
        <v>5</v>
      </c>
      <c r="B478" t="s">
        <v>157</v>
      </c>
      <c r="C478">
        <v>727</v>
      </c>
      <c r="D478" t="s">
        <v>295</v>
      </c>
      <c r="E478" t="s">
        <v>296</v>
      </c>
      <c r="F478" s="2">
        <v>32949</v>
      </c>
      <c r="G478" s="2">
        <v>34775</v>
      </c>
      <c r="H478" s="2">
        <v>39268</v>
      </c>
      <c r="I478" s="5">
        <v>39263</v>
      </c>
      <c r="J478" s="2">
        <v>38911</v>
      </c>
      <c r="K478" s="2">
        <v>35650</v>
      </c>
      <c r="L478" t="s">
        <v>297</v>
      </c>
      <c r="M478" t="s">
        <v>297</v>
      </c>
      <c r="N478" t="s">
        <v>680</v>
      </c>
      <c r="O478" t="s">
        <v>200</v>
      </c>
      <c r="P478" t="s">
        <v>206</v>
      </c>
    </row>
    <row r="479" spans="1:16" ht="12.75" customHeight="1">
      <c r="A479">
        <v>5</v>
      </c>
      <c r="B479" t="s">
        <v>157</v>
      </c>
      <c r="C479">
        <v>1277</v>
      </c>
      <c r="D479" t="s">
        <v>295</v>
      </c>
      <c r="E479" t="s">
        <v>296</v>
      </c>
      <c r="F479" s="2">
        <v>36136</v>
      </c>
      <c r="G479" s="2">
        <v>36777</v>
      </c>
      <c r="H479" s="2">
        <v>39164</v>
      </c>
      <c r="I479" s="5">
        <v>38172</v>
      </c>
      <c r="L479" t="s">
        <v>297</v>
      </c>
      <c r="M479" t="s">
        <v>297</v>
      </c>
      <c r="N479" t="s">
        <v>681</v>
      </c>
      <c r="O479" t="s">
        <v>200</v>
      </c>
      <c r="P479" t="s">
        <v>206</v>
      </c>
    </row>
    <row r="480" spans="1:16" ht="12.75" customHeight="1">
      <c r="A480">
        <v>5</v>
      </c>
      <c r="B480" t="s">
        <v>157</v>
      </c>
      <c r="C480">
        <v>1280</v>
      </c>
      <c r="D480" t="s">
        <v>295</v>
      </c>
      <c r="E480" t="s">
        <v>296</v>
      </c>
      <c r="F480" s="2">
        <v>36165</v>
      </c>
      <c r="G480" s="2">
        <v>38275</v>
      </c>
      <c r="H480" s="2">
        <v>38666</v>
      </c>
      <c r="I480" s="5">
        <v>38929</v>
      </c>
      <c r="J480" s="2">
        <v>38685</v>
      </c>
      <c r="K480" s="2">
        <v>36165</v>
      </c>
      <c r="L480" t="s">
        <v>297</v>
      </c>
      <c r="M480" t="s">
        <v>297</v>
      </c>
      <c r="N480" t="s">
        <v>682</v>
      </c>
      <c r="O480" t="s">
        <v>200</v>
      </c>
      <c r="P480" t="s">
        <v>206</v>
      </c>
    </row>
    <row r="481" spans="1:16" ht="12.75" customHeight="1">
      <c r="A481">
        <v>5</v>
      </c>
      <c r="B481" t="s">
        <v>157</v>
      </c>
      <c r="C481">
        <v>1400</v>
      </c>
      <c r="D481" t="s">
        <v>295</v>
      </c>
      <c r="E481" t="s">
        <v>296</v>
      </c>
      <c r="F481" s="2">
        <v>37330</v>
      </c>
      <c r="G481" s="2">
        <v>38616</v>
      </c>
      <c r="H481" s="2">
        <v>39347</v>
      </c>
      <c r="I481" s="5">
        <v>39263</v>
      </c>
      <c r="J481" s="2">
        <v>38497</v>
      </c>
      <c r="K481" s="2">
        <v>38229</v>
      </c>
      <c r="L481" t="s">
        <v>297</v>
      </c>
      <c r="M481" t="s">
        <v>297</v>
      </c>
      <c r="N481" t="s">
        <v>318</v>
      </c>
      <c r="O481" t="s">
        <v>200</v>
      </c>
      <c r="P481" t="s">
        <v>206</v>
      </c>
    </row>
    <row r="482" spans="1:16" ht="12.75" customHeight="1">
      <c r="A482">
        <v>5</v>
      </c>
      <c r="B482" t="s">
        <v>157</v>
      </c>
      <c r="C482">
        <v>1423</v>
      </c>
      <c r="D482" t="s">
        <v>380</v>
      </c>
      <c r="E482" t="s">
        <v>316</v>
      </c>
      <c r="F482" s="2">
        <v>37488</v>
      </c>
      <c r="H482" s="2">
        <v>37488</v>
      </c>
      <c r="I482" s="5">
        <v>37802</v>
      </c>
      <c r="L482" t="s">
        <v>297</v>
      </c>
      <c r="M482" t="s">
        <v>297</v>
      </c>
      <c r="O482" t="s">
        <v>200</v>
      </c>
      <c r="P482" t="s">
        <v>206</v>
      </c>
    </row>
    <row r="483" spans="1:16" ht="12.75" customHeight="1">
      <c r="A483">
        <v>5</v>
      </c>
      <c r="B483" t="s">
        <v>157</v>
      </c>
      <c r="C483">
        <v>1519</v>
      </c>
      <c r="D483" t="s">
        <v>295</v>
      </c>
      <c r="E483" t="s">
        <v>299</v>
      </c>
      <c r="F483" s="2">
        <v>38807</v>
      </c>
      <c r="H483" s="2">
        <v>39487</v>
      </c>
      <c r="I483" s="5">
        <v>39629</v>
      </c>
      <c r="J483" s="2">
        <v>38911</v>
      </c>
      <c r="L483" t="s">
        <v>297</v>
      </c>
      <c r="M483" t="s">
        <v>297</v>
      </c>
      <c r="N483" t="s">
        <v>318</v>
      </c>
      <c r="O483" t="s">
        <v>200</v>
      </c>
      <c r="P483" t="s">
        <v>206</v>
      </c>
    </row>
    <row r="484" spans="1:16" ht="12.75" customHeight="1">
      <c r="A484" t="s">
        <v>200</v>
      </c>
      <c r="B484" t="s">
        <v>206</v>
      </c>
    </row>
    <row r="485" spans="1:16" ht="12.75" customHeight="1">
      <c r="A485">
        <v>5</v>
      </c>
      <c r="B485" t="s">
        <v>159</v>
      </c>
      <c r="C485">
        <v>297</v>
      </c>
      <c r="D485" t="s">
        <v>295</v>
      </c>
      <c r="E485" t="s">
        <v>296</v>
      </c>
      <c r="F485" s="2">
        <v>29637</v>
      </c>
      <c r="G485" s="2">
        <v>29980</v>
      </c>
      <c r="H485" s="2">
        <v>39451</v>
      </c>
      <c r="I485" s="5">
        <v>39263</v>
      </c>
      <c r="K485" s="2">
        <v>38587</v>
      </c>
      <c r="L485" t="s">
        <v>297</v>
      </c>
      <c r="M485" t="s">
        <v>297</v>
      </c>
      <c r="N485" t="s">
        <v>683</v>
      </c>
      <c r="O485" t="s">
        <v>200</v>
      </c>
      <c r="P485" t="s">
        <v>207</v>
      </c>
    </row>
    <row r="486" spans="1:16" ht="12.75" customHeight="1">
      <c r="A486">
        <v>5</v>
      </c>
      <c r="B486" t="s">
        <v>159</v>
      </c>
      <c r="C486">
        <v>552</v>
      </c>
      <c r="D486" t="s">
        <v>295</v>
      </c>
      <c r="E486" t="s">
        <v>296</v>
      </c>
      <c r="F486" s="2">
        <v>31674</v>
      </c>
      <c r="G486" s="2">
        <v>32691</v>
      </c>
      <c r="H486" s="2">
        <v>37658</v>
      </c>
      <c r="I486" s="5">
        <v>38533</v>
      </c>
      <c r="K486" s="2">
        <v>38589</v>
      </c>
      <c r="L486" t="s">
        <v>297</v>
      </c>
      <c r="M486" t="s">
        <v>297</v>
      </c>
      <c r="N486" t="s">
        <v>684</v>
      </c>
      <c r="O486" t="s">
        <v>200</v>
      </c>
      <c r="P486" t="s">
        <v>207</v>
      </c>
    </row>
    <row r="487" spans="1:16" ht="12.75" customHeight="1">
      <c r="A487">
        <v>5</v>
      </c>
      <c r="B487" t="s">
        <v>159</v>
      </c>
      <c r="C487">
        <v>1134</v>
      </c>
      <c r="D487" t="s">
        <v>348</v>
      </c>
      <c r="E487" t="s">
        <v>316</v>
      </c>
      <c r="F487" s="2">
        <v>35276</v>
      </c>
      <c r="G487" s="2">
        <v>36539</v>
      </c>
      <c r="H487" s="2">
        <v>36923</v>
      </c>
      <c r="I487" s="5">
        <v>36738</v>
      </c>
      <c r="K487" s="2">
        <v>36027</v>
      </c>
      <c r="L487" t="s">
        <v>322</v>
      </c>
      <c r="M487" t="s">
        <v>297</v>
      </c>
      <c r="O487" t="s">
        <v>200</v>
      </c>
      <c r="P487" t="s">
        <v>207</v>
      </c>
    </row>
    <row r="488" spans="1:16" ht="12.75" customHeight="1">
      <c r="A488">
        <v>5</v>
      </c>
      <c r="B488" t="s">
        <v>159</v>
      </c>
      <c r="C488">
        <v>1136</v>
      </c>
      <c r="D488" t="s">
        <v>295</v>
      </c>
      <c r="E488" t="s">
        <v>299</v>
      </c>
      <c r="F488" s="2">
        <v>35285</v>
      </c>
      <c r="H488" s="2">
        <v>39246</v>
      </c>
      <c r="I488" s="5">
        <v>37802</v>
      </c>
      <c r="L488" t="s">
        <v>317</v>
      </c>
      <c r="M488" t="s">
        <v>297</v>
      </c>
      <c r="N488" t="s">
        <v>685</v>
      </c>
      <c r="O488" t="s">
        <v>200</v>
      </c>
      <c r="P488" t="s">
        <v>207</v>
      </c>
    </row>
    <row r="489" spans="1:16" ht="12.75" customHeight="1">
      <c r="A489">
        <v>5</v>
      </c>
      <c r="B489" t="s">
        <v>159</v>
      </c>
      <c r="C489">
        <v>1382</v>
      </c>
      <c r="D489" t="s">
        <v>295</v>
      </c>
      <c r="E489" t="s">
        <v>296</v>
      </c>
      <c r="F489" s="2">
        <v>37032</v>
      </c>
      <c r="G489" s="2">
        <v>37966</v>
      </c>
      <c r="H489" s="2">
        <v>38126</v>
      </c>
      <c r="I489" s="5">
        <v>37986</v>
      </c>
      <c r="J489" s="2">
        <v>37880</v>
      </c>
      <c r="L489" t="s">
        <v>297</v>
      </c>
      <c r="M489" t="s">
        <v>297</v>
      </c>
      <c r="N489" t="s">
        <v>686</v>
      </c>
      <c r="O489" t="s">
        <v>200</v>
      </c>
      <c r="P489" t="s">
        <v>207</v>
      </c>
    </row>
    <row r="490" spans="1:16" ht="12.75" customHeight="1">
      <c r="A490">
        <v>5</v>
      </c>
      <c r="B490" t="s">
        <v>159</v>
      </c>
      <c r="C490">
        <v>1453</v>
      </c>
      <c r="D490" t="s">
        <v>295</v>
      </c>
      <c r="E490" t="s">
        <v>299</v>
      </c>
      <c r="F490" s="2">
        <v>37781</v>
      </c>
      <c r="H490" s="2">
        <v>39317</v>
      </c>
      <c r="I490" s="5">
        <v>38230</v>
      </c>
      <c r="L490" t="s">
        <v>297</v>
      </c>
      <c r="N490" t="s">
        <v>687</v>
      </c>
      <c r="O490" t="s">
        <v>200</v>
      </c>
      <c r="P490" t="s">
        <v>207</v>
      </c>
    </row>
    <row r="491" spans="1:16" ht="12.75" customHeight="1">
      <c r="A491">
        <v>5</v>
      </c>
      <c r="B491" t="s">
        <v>159</v>
      </c>
      <c r="C491">
        <v>1459</v>
      </c>
      <c r="D491" t="s">
        <v>295</v>
      </c>
      <c r="E491" t="s">
        <v>296</v>
      </c>
      <c r="F491" s="2">
        <v>37852</v>
      </c>
      <c r="G491" s="2">
        <v>38548</v>
      </c>
      <c r="H491" s="2">
        <v>39476</v>
      </c>
      <c r="I491" s="5">
        <v>38199</v>
      </c>
      <c r="J491" s="2">
        <v>37852</v>
      </c>
      <c r="K491" s="2">
        <v>37826</v>
      </c>
      <c r="L491" t="s">
        <v>297</v>
      </c>
      <c r="M491" t="s">
        <v>322</v>
      </c>
      <c r="N491" t="s">
        <v>688</v>
      </c>
      <c r="O491" t="s">
        <v>200</v>
      </c>
      <c r="P491" t="s">
        <v>207</v>
      </c>
    </row>
    <row r="492" spans="1:16" ht="12.75" customHeight="1">
      <c r="A492">
        <v>5</v>
      </c>
      <c r="B492" t="s">
        <v>159</v>
      </c>
      <c r="C492">
        <v>1496</v>
      </c>
      <c r="D492" t="s">
        <v>295</v>
      </c>
      <c r="E492" t="s">
        <v>299</v>
      </c>
      <c r="F492" s="2">
        <v>38366</v>
      </c>
      <c r="H492" s="2">
        <v>38384</v>
      </c>
      <c r="I492" s="5">
        <v>38717</v>
      </c>
      <c r="L492" t="s">
        <v>317</v>
      </c>
      <c r="M492" t="s">
        <v>297</v>
      </c>
      <c r="N492" t="s">
        <v>689</v>
      </c>
      <c r="O492" t="s">
        <v>200</v>
      </c>
      <c r="P492" t="s">
        <v>207</v>
      </c>
    </row>
    <row r="493" spans="1:16" ht="12.75" customHeight="1">
      <c r="A493" t="s">
        <v>200</v>
      </c>
      <c r="B493" t="s">
        <v>207</v>
      </c>
    </row>
    <row r="494" spans="1:16" ht="12.75" customHeight="1">
      <c r="A494" t="s">
        <v>690</v>
      </c>
    </row>
    <row r="495" spans="1:16" ht="12.75" customHeight="1">
      <c r="A495">
        <v>6</v>
      </c>
      <c r="B495" t="s">
        <v>140</v>
      </c>
      <c r="C495">
        <v>163</v>
      </c>
      <c r="D495" t="s">
        <v>295</v>
      </c>
      <c r="E495" t="s">
        <v>296</v>
      </c>
      <c r="F495" s="2">
        <v>28296</v>
      </c>
      <c r="G495" s="2">
        <v>28618</v>
      </c>
      <c r="H495" s="2">
        <v>38980</v>
      </c>
      <c r="I495" s="5">
        <v>39629</v>
      </c>
      <c r="J495" s="2">
        <v>33419</v>
      </c>
      <c r="K495" s="2">
        <v>37573</v>
      </c>
      <c r="L495" t="s">
        <v>297</v>
      </c>
      <c r="M495" t="s">
        <v>297</v>
      </c>
      <c r="N495" t="s">
        <v>691</v>
      </c>
      <c r="O495" t="s">
        <v>208</v>
      </c>
      <c r="P495" t="s">
        <v>209</v>
      </c>
    </row>
    <row r="496" spans="1:16" ht="12.75" customHeight="1">
      <c r="A496">
        <v>6</v>
      </c>
      <c r="B496" t="s">
        <v>140</v>
      </c>
      <c r="C496">
        <v>372</v>
      </c>
      <c r="D496" t="s">
        <v>295</v>
      </c>
      <c r="E496" t="s">
        <v>296</v>
      </c>
      <c r="F496" s="2">
        <v>30209</v>
      </c>
      <c r="G496" s="2">
        <v>30758</v>
      </c>
      <c r="H496" s="2">
        <v>39454</v>
      </c>
      <c r="I496" s="5">
        <v>39542</v>
      </c>
      <c r="J496" s="2">
        <v>38264</v>
      </c>
      <c r="K496" s="2">
        <v>37796</v>
      </c>
      <c r="L496" t="s">
        <v>297</v>
      </c>
      <c r="M496" t="s">
        <v>297</v>
      </c>
      <c r="N496" t="s">
        <v>692</v>
      </c>
      <c r="O496" t="s">
        <v>208</v>
      </c>
      <c r="P496" t="s">
        <v>209</v>
      </c>
    </row>
    <row r="497" spans="1:16" ht="12.75" customHeight="1">
      <c r="A497">
        <v>6</v>
      </c>
      <c r="B497" t="s">
        <v>140</v>
      </c>
      <c r="C497">
        <v>396</v>
      </c>
      <c r="D497" t="s">
        <v>295</v>
      </c>
      <c r="E497" t="s">
        <v>296</v>
      </c>
      <c r="F497" s="2">
        <v>30480</v>
      </c>
      <c r="G497" s="2">
        <v>31129</v>
      </c>
      <c r="H497" s="2">
        <v>38632</v>
      </c>
      <c r="I497" s="5">
        <v>39629</v>
      </c>
      <c r="J497" s="2">
        <v>36021</v>
      </c>
      <c r="K497" s="2">
        <v>35705</v>
      </c>
      <c r="L497" t="s">
        <v>297</v>
      </c>
      <c r="M497" t="s">
        <v>297</v>
      </c>
      <c r="N497" t="s">
        <v>693</v>
      </c>
      <c r="O497" t="s">
        <v>208</v>
      </c>
      <c r="P497" t="s">
        <v>209</v>
      </c>
    </row>
    <row r="498" spans="1:16" ht="12.75" customHeight="1">
      <c r="A498">
        <v>6</v>
      </c>
      <c r="B498" t="s">
        <v>140</v>
      </c>
      <c r="C498">
        <v>428</v>
      </c>
      <c r="D498" t="s">
        <v>295</v>
      </c>
      <c r="E498" t="s">
        <v>296</v>
      </c>
      <c r="F498" s="2">
        <v>30758</v>
      </c>
      <c r="G498" s="2">
        <v>31493</v>
      </c>
      <c r="H498" s="2">
        <v>39477</v>
      </c>
      <c r="I498" s="5">
        <v>39629</v>
      </c>
      <c r="J498" s="2">
        <v>39426</v>
      </c>
      <c r="K498" s="2">
        <v>35452</v>
      </c>
      <c r="L498" t="s">
        <v>297</v>
      </c>
      <c r="M498" t="s">
        <v>297</v>
      </c>
      <c r="N498" t="s">
        <v>694</v>
      </c>
      <c r="O498" t="s">
        <v>208</v>
      </c>
      <c r="P498" t="s">
        <v>209</v>
      </c>
    </row>
    <row r="499" spans="1:16" ht="12.75" customHeight="1">
      <c r="A499">
        <v>6</v>
      </c>
      <c r="B499" t="s">
        <v>140</v>
      </c>
      <c r="C499">
        <v>651</v>
      </c>
      <c r="D499" t="s">
        <v>315</v>
      </c>
      <c r="E499" t="s">
        <v>316</v>
      </c>
      <c r="F499" s="2">
        <v>32366</v>
      </c>
      <c r="G499" s="2">
        <v>32997</v>
      </c>
      <c r="H499" s="2">
        <v>37299</v>
      </c>
      <c r="I499" s="5">
        <v>37072</v>
      </c>
      <c r="J499" s="2">
        <v>35919</v>
      </c>
      <c r="K499" s="2">
        <v>35538</v>
      </c>
      <c r="L499" t="s">
        <v>297</v>
      </c>
      <c r="M499" t="s">
        <v>297</v>
      </c>
      <c r="N499" t="s">
        <v>318</v>
      </c>
      <c r="O499" t="s">
        <v>208</v>
      </c>
      <c r="P499" t="s">
        <v>209</v>
      </c>
    </row>
    <row r="500" spans="1:16" ht="12.75" customHeight="1">
      <c r="A500">
        <v>6</v>
      </c>
      <c r="B500" t="s">
        <v>140</v>
      </c>
      <c r="C500">
        <v>980</v>
      </c>
      <c r="D500" t="s">
        <v>295</v>
      </c>
      <c r="E500" t="s">
        <v>296</v>
      </c>
      <c r="F500" s="2">
        <v>34541</v>
      </c>
      <c r="G500" s="2">
        <v>35573</v>
      </c>
      <c r="H500" s="2">
        <v>39342</v>
      </c>
      <c r="I500" s="5">
        <v>39660</v>
      </c>
      <c r="K500" s="2">
        <v>39339</v>
      </c>
      <c r="L500" t="s">
        <v>297</v>
      </c>
      <c r="M500" t="s">
        <v>297</v>
      </c>
      <c r="N500" t="s">
        <v>695</v>
      </c>
      <c r="O500" t="s">
        <v>208</v>
      </c>
      <c r="P500" t="s">
        <v>209</v>
      </c>
    </row>
    <row r="501" spans="1:16" ht="12.75" customHeight="1">
      <c r="A501">
        <v>6</v>
      </c>
      <c r="B501" t="s">
        <v>140</v>
      </c>
      <c r="C501">
        <v>1412</v>
      </c>
      <c r="D501" t="s">
        <v>315</v>
      </c>
      <c r="E501" t="s">
        <v>316</v>
      </c>
      <c r="F501" s="2">
        <v>37390</v>
      </c>
      <c r="H501" s="2">
        <v>37390</v>
      </c>
      <c r="I501" s="5">
        <v>37711</v>
      </c>
      <c r="L501" t="s">
        <v>297</v>
      </c>
      <c r="M501" t="s">
        <v>297</v>
      </c>
      <c r="O501" t="s">
        <v>208</v>
      </c>
      <c r="P501" t="s">
        <v>209</v>
      </c>
    </row>
    <row r="502" spans="1:16" ht="12.75" customHeight="1">
      <c r="A502">
        <v>6</v>
      </c>
      <c r="B502" t="s">
        <v>140</v>
      </c>
      <c r="C502">
        <v>1466</v>
      </c>
      <c r="D502" t="s">
        <v>295</v>
      </c>
      <c r="E502" t="s">
        <v>296</v>
      </c>
      <c r="F502" s="2">
        <v>38023</v>
      </c>
      <c r="G502" s="2">
        <v>38776</v>
      </c>
      <c r="H502" s="2">
        <v>39333</v>
      </c>
      <c r="I502" s="5">
        <v>39629</v>
      </c>
      <c r="L502" t="s">
        <v>297</v>
      </c>
      <c r="M502" t="s">
        <v>322</v>
      </c>
      <c r="N502" t="s">
        <v>696</v>
      </c>
      <c r="O502" t="s">
        <v>208</v>
      </c>
      <c r="P502" t="s">
        <v>209</v>
      </c>
    </row>
    <row r="503" spans="1:16" ht="12.75" customHeight="1">
      <c r="A503" t="s">
        <v>208</v>
      </c>
      <c r="B503" t="s">
        <v>209</v>
      </c>
    </row>
    <row r="504" spans="1:16" ht="12.75" customHeight="1">
      <c r="A504">
        <v>6</v>
      </c>
      <c r="B504" t="s">
        <v>149</v>
      </c>
      <c r="C504">
        <v>650</v>
      </c>
      <c r="D504" t="s">
        <v>377</v>
      </c>
      <c r="E504" t="s">
        <v>316</v>
      </c>
      <c r="F504" s="2">
        <v>32423</v>
      </c>
      <c r="G504" s="2">
        <v>34593</v>
      </c>
      <c r="H504" s="2">
        <v>35468</v>
      </c>
      <c r="I504" s="5">
        <v>36525</v>
      </c>
      <c r="J504" s="2">
        <v>34547</v>
      </c>
      <c r="K504" s="2">
        <v>35468</v>
      </c>
      <c r="L504" t="s">
        <v>297</v>
      </c>
      <c r="M504" t="s">
        <v>297</v>
      </c>
      <c r="N504" t="s">
        <v>369</v>
      </c>
      <c r="O504" t="s">
        <v>208</v>
      </c>
      <c r="P504" t="s">
        <v>210</v>
      </c>
    </row>
    <row r="505" spans="1:16" ht="12.75" customHeight="1">
      <c r="A505">
        <v>6</v>
      </c>
      <c r="B505" t="s">
        <v>149</v>
      </c>
      <c r="C505">
        <v>685</v>
      </c>
      <c r="D505" t="s">
        <v>348</v>
      </c>
      <c r="E505" t="s">
        <v>316</v>
      </c>
      <c r="F505" s="2">
        <v>32647</v>
      </c>
      <c r="G505" s="2">
        <v>33313</v>
      </c>
      <c r="H505" s="2">
        <v>37081</v>
      </c>
      <c r="I505" s="5">
        <v>36891</v>
      </c>
      <c r="J505" s="2">
        <v>36704</v>
      </c>
      <c r="K505" s="2">
        <v>36416</v>
      </c>
      <c r="L505" t="s">
        <v>297</v>
      </c>
      <c r="M505" t="s">
        <v>297</v>
      </c>
      <c r="O505" t="s">
        <v>208</v>
      </c>
      <c r="P505" t="s">
        <v>210</v>
      </c>
    </row>
    <row r="506" spans="1:16" ht="12.75" customHeight="1">
      <c r="A506">
        <v>6</v>
      </c>
      <c r="B506" t="s">
        <v>149</v>
      </c>
      <c r="C506">
        <v>700</v>
      </c>
      <c r="D506" t="s">
        <v>295</v>
      </c>
      <c r="E506" t="s">
        <v>296</v>
      </c>
      <c r="F506" s="2">
        <v>32760</v>
      </c>
      <c r="G506" s="2">
        <v>34484</v>
      </c>
      <c r="H506" s="2">
        <v>37846</v>
      </c>
      <c r="I506" s="5">
        <v>37255</v>
      </c>
      <c r="J506" s="2">
        <v>35205</v>
      </c>
      <c r="K506" s="2">
        <v>35157</v>
      </c>
      <c r="L506" t="s">
        <v>297</v>
      </c>
      <c r="M506" t="s">
        <v>297</v>
      </c>
      <c r="N506" t="s">
        <v>697</v>
      </c>
      <c r="O506" t="s">
        <v>208</v>
      </c>
      <c r="P506" t="s">
        <v>210</v>
      </c>
    </row>
    <row r="507" spans="1:16" ht="12.75" customHeight="1">
      <c r="A507">
        <v>6</v>
      </c>
      <c r="B507" t="s">
        <v>149</v>
      </c>
      <c r="C507">
        <v>702</v>
      </c>
      <c r="D507" t="s">
        <v>295</v>
      </c>
      <c r="E507" t="s">
        <v>296</v>
      </c>
      <c r="F507" s="2">
        <v>32760</v>
      </c>
      <c r="G507" s="2">
        <v>35209</v>
      </c>
      <c r="H507" s="2">
        <v>39126</v>
      </c>
      <c r="I507" s="5">
        <v>38168</v>
      </c>
      <c r="K507" s="2">
        <v>36326</v>
      </c>
      <c r="L507" t="s">
        <v>297</v>
      </c>
      <c r="M507" t="s">
        <v>297</v>
      </c>
      <c r="N507" t="s">
        <v>698</v>
      </c>
      <c r="O507" t="s">
        <v>208</v>
      </c>
      <c r="P507" t="s">
        <v>210</v>
      </c>
    </row>
    <row r="508" spans="1:16" ht="12.75" customHeight="1">
      <c r="A508">
        <v>6</v>
      </c>
      <c r="B508" t="s">
        <v>149</v>
      </c>
      <c r="C508">
        <v>731</v>
      </c>
      <c r="D508" t="s">
        <v>295</v>
      </c>
      <c r="E508" t="s">
        <v>296</v>
      </c>
      <c r="F508" s="2">
        <v>32949</v>
      </c>
      <c r="G508" s="2">
        <v>33686</v>
      </c>
      <c r="H508" s="2">
        <v>39461</v>
      </c>
      <c r="I508" s="5">
        <v>39447</v>
      </c>
      <c r="J508" s="2">
        <v>34022</v>
      </c>
      <c r="K508" s="2">
        <v>35859</v>
      </c>
      <c r="L508" t="s">
        <v>297</v>
      </c>
      <c r="M508" t="s">
        <v>297</v>
      </c>
      <c r="N508" t="s">
        <v>699</v>
      </c>
      <c r="O508" t="s">
        <v>208</v>
      </c>
      <c r="P508" t="s">
        <v>210</v>
      </c>
    </row>
    <row r="509" spans="1:16" ht="12.75" customHeight="1">
      <c r="A509">
        <v>6</v>
      </c>
      <c r="B509" t="s">
        <v>149</v>
      </c>
      <c r="C509">
        <v>1005</v>
      </c>
      <c r="D509" t="s">
        <v>295</v>
      </c>
      <c r="E509" t="s">
        <v>296</v>
      </c>
      <c r="F509" s="2">
        <v>34592</v>
      </c>
      <c r="G509" s="2">
        <v>35743</v>
      </c>
      <c r="H509" s="2">
        <v>39477</v>
      </c>
      <c r="I509" s="5">
        <v>37986</v>
      </c>
      <c r="K509" s="2">
        <v>35577</v>
      </c>
      <c r="L509" t="s">
        <v>317</v>
      </c>
      <c r="M509" t="s">
        <v>297</v>
      </c>
      <c r="N509" t="s">
        <v>700</v>
      </c>
      <c r="O509" t="s">
        <v>208</v>
      </c>
      <c r="P509" t="s">
        <v>210</v>
      </c>
    </row>
    <row r="510" spans="1:16" ht="12.75" customHeight="1">
      <c r="A510">
        <v>6</v>
      </c>
      <c r="B510" t="s">
        <v>149</v>
      </c>
      <c r="C510">
        <v>1042</v>
      </c>
      <c r="D510" t="s">
        <v>701</v>
      </c>
      <c r="E510" t="s">
        <v>316</v>
      </c>
      <c r="F510" s="2">
        <v>34779</v>
      </c>
      <c r="H510" s="2">
        <v>36566</v>
      </c>
      <c r="I510" s="5">
        <v>37621</v>
      </c>
      <c r="J510" s="2">
        <v>34823</v>
      </c>
      <c r="K510" s="2">
        <v>35459</v>
      </c>
      <c r="L510" t="s">
        <v>297</v>
      </c>
      <c r="M510" t="s">
        <v>297</v>
      </c>
      <c r="O510" t="s">
        <v>208</v>
      </c>
      <c r="P510" t="s">
        <v>210</v>
      </c>
    </row>
    <row r="511" spans="1:16" ht="12.75" customHeight="1">
      <c r="A511">
        <v>6</v>
      </c>
      <c r="B511" t="s">
        <v>149</v>
      </c>
      <c r="C511">
        <v>1056</v>
      </c>
      <c r="D511" t="s">
        <v>295</v>
      </c>
      <c r="E511" t="s">
        <v>296</v>
      </c>
      <c r="F511" s="2">
        <v>34830</v>
      </c>
      <c r="G511" s="2">
        <v>36363</v>
      </c>
      <c r="H511" s="2">
        <v>39231</v>
      </c>
      <c r="I511" s="5">
        <v>37741</v>
      </c>
      <c r="K511" s="2">
        <v>38491</v>
      </c>
      <c r="L511" t="s">
        <v>297</v>
      </c>
      <c r="M511" t="s">
        <v>297</v>
      </c>
      <c r="N511" t="s">
        <v>702</v>
      </c>
      <c r="O511" t="s">
        <v>208</v>
      </c>
      <c r="P511" t="s">
        <v>210</v>
      </c>
    </row>
    <row r="512" spans="1:16" ht="12.75" customHeight="1">
      <c r="A512">
        <v>6</v>
      </c>
      <c r="B512" t="s">
        <v>149</v>
      </c>
      <c r="C512">
        <v>1109</v>
      </c>
      <c r="D512" t="s">
        <v>295</v>
      </c>
      <c r="E512" t="s">
        <v>296</v>
      </c>
      <c r="F512" s="2">
        <v>35191</v>
      </c>
      <c r="G512" s="2">
        <v>36238</v>
      </c>
      <c r="H512" s="2">
        <v>39496</v>
      </c>
      <c r="I512" s="5">
        <v>37742</v>
      </c>
      <c r="K512" s="2">
        <v>36185</v>
      </c>
      <c r="L512" t="s">
        <v>297</v>
      </c>
      <c r="M512" t="s">
        <v>297</v>
      </c>
      <c r="N512" t="s">
        <v>703</v>
      </c>
      <c r="O512" t="s">
        <v>208</v>
      </c>
      <c r="P512" t="s">
        <v>210</v>
      </c>
    </row>
    <row r="513" spans="1:16" ht="12.75" customHeight="1">
      <c r="A513">
        <v>6</v>
      </c>
      <c r="B513" t="s">
        <v>149</v>
      </c>
      <c r="C513">
        <v>1135</v>
      </c>
      <c r="D513" t="s">
        <v>375</v>
      </c>
      <c r="E513" t="s">
        <v>316</v>
      </c>
      <c r="F513" s="2">
        <v>35276</v>
      </c>
      <c r="H513" s="2">
        <v>35276</v>
      </c>
      <c r="L513" t="s">
        <v>297</v>
      </c>
      <c r="M513" t="s">
        <v>297</v>
      </c>
      <c r="N513" t="s">
        <v>369</v>
      </c>
      <c r="O513" t="s">
        <v>208</v>
      </c>
      <c r="P513" t="s">
        <v>210</v>
      </c>
    </row>
    <row r="514" spans="1:16" ht="12.75" customHeight="1">
      <c r="A514">
        <v>6</v>
      </c>
      <c r="B514" t="s">
        <v>149</v>
      </c>
      <c r="C514">
        <v>1186</v>
      </c>
      <c r="D514" t="s">
        <v>295</v>
      </c>
      <c r="E514" t="s">
        <v>299</v>
      </c>
      <c r="F514" s="2">
        <v>35551</v>
      </c>
      <c r="H514" s="2">
        <v>37705</v>
      </c>
      <c r="I514" s="5">
        <v>37621</v>
      </c>
      <c r="L514" t="s">
        <v>322</v>
      </c>
      <c r="M514" t="s">
        <v>297</v>
      </c>
      <c r="N514" t="s">
        <v>704</v>
      </c>
      <c r="O514" t="s">
        <v>208</v>
      </c>
      <c r="P514" t="s">
        <v>210</v>
      </c>
    </row>
    <row r="515" spans="1:16" ht="12.75" customHeight="1">
      <c r="A515">
        <v>6</v>
      </c>
      <c r="B515" t="s">
        <v>149</v>
      </c>
      <c r="C515">
        <v>1188</v>
      </c>
      <c r="D515" t="s">
        <v>408</v>
      </c>
      <c r="E515" t="s">
        <v>316</v>
      </c>
      <c r="F515" s="2">
        <v>35551</v>
      </c>
      <c r="G515" s="2">
        <v>36238</v>
      </c>
      <c r="H515" s="2">
        <v>37396</v>
      </c>
      <c r="I515" s="5">
        <v>37802</v>
      </c>
      <c r="K515" s="2">
        <v>37396</v>
      </c>
      <c r="L515" t="s">
        <v>297</v>
      </c>
      <c r="M515" t="s">
        <v>297</v>
      </c>
      <c r="O515" t="s">
        <v>208</v>
      </c>
      <c r="P515" t="s">
        <v>210</v>
      </c>
    </row>
    <row r="516" spans="1:16" ht="12.75" customHeight="1">
      <c r="A516">
        <v>6</v>
      </c>
      <c r="B516" t="s">
        <v>149</v>
      </c>
      <c r="C516">
        <v>1194</v>
      </c>
      <c r="D516" t="s">
        <v>295</v>
      </c>
      <c r="E516" t="s">
        <v>296</v>
      </c>
      <c r="F516" s="2">
        <v>35572</v>
      </c>
      <c r="G516" s="2">
        <v>36675</v>
      </c>
      <c r="H516" s="2">
        <v>38310</v>
      </c>
      <c r="I516" s="5">
        <v>38411</v>
      </c>
      <c r="J516" s="2">
        <v>38306</v>
      </c>
      <c r="K516" s="2">
        <v>36440</v>
      </c>
      <c r="L516" t="s">
        <v>322</v>
      </c>
      <c r="M516" t="s">
        <v>297</v>
      </c>
      <c r="N516" t="s">
        <v>705</v>
      </c>
      <c r="O516" t="s">
        <v>208</v>
      </c>
      <c r="P516" t="s">
        <v>210</v>
      </c>
    </row>
    <row r="517" spans="1:16" ht="12.75" customHeight="1">
      <c r="A517">
        <v>6</v>
      </c>
      <c r="B517" t="s">
        <v>149</v>
      </c>
      <c r="C517">
        <v>1234</v>
      </c>
      <c r="D517" t="s">
        <v>408</v>
      </c>
      <c r="E517" t="s">
        <v>316</v>
      </c>
      <c r="F517" s="2">
        <v>35838</v>
      </c>
      <c r="H517" s="2">
        <v>37376</v>
      </c>
      <c r="I517" s="5">
        <v>37438</v>
      </c>
      <c r="K517" s="2">
        <v>37376</v>
      </c>
      <c r="L517" t="s">
        <v>297</v>
      </c>
      <c r="M517" t="s">
        <v>297</v>
      </c>
      <c r="N517" t="s">
        <v>318</v>
      </c>
      <c r="O517" t="s">
        <v>208</v>
      </c>
      <c r="P517" t="s">
        <v>210</v>
      </c>
    </row>
    <row r="518" spans="1:16" ht="12.75" customHeight="1">
      <c r="A518">
        <v>6</v>
      </c>
      <c r="B518" t="s">
        <v>149</v>
      </c>
      <c r="C518">
        <v>1236</v>
      </c>
      <c r="D518" t="s">
        <v>295</v>
      </c>
      <c r="E518" t="s">
        <v>299</v>
      </c>
      <c r="F518" s="2">
        <v>35844</v>
      </c>
      <c r="H518" s="2">
        <v>39095</v>
      </c>
      <c r="I518" s="5">
        <v>38352</v>
      </c>
      <c r="K518" s="2">
        <v>36237</v>
      </c>
      <c r="L518" t="s">
        <v>297</v>
      </c>
      <c r="M518" t="s">
        <v>297</v>
      </c>
      <c r="N518" t="s">
        <v>706</v>
      </c>
      <c r="O518" t="s">
        <v>208</v>
      </c>
      <c r="P518" t="s">
        <v>210</v>
      </c>
    </row>
    <row r="519" spans="1:16" ht="12.75" customHeight="1">
      <c r="A519">
        <v>6</v>
      </c>
      <c r="B519" t="s">
        <v>149</v>
      </c>
      <c r="C519">
        <v>1246</v>
      </c>
      <c r="D519" t="s">
        <v>408</v>
      </c>
      <c r="E519" t="s">
        <v>316</v>
      </c>
      <c r="F519" s="2">
        <v>35906</v>
      </c>
      <c r="H519" s="2">
        <v>37063</v>
      </c>
      <c r="I519" s="5">
        <v>37437</v>
      </c>
      <c r="K519" s="2">
        <v>35906</v>
      </c>
      <c r="L519" t="s">
        <v>297</v>
      </c>
      <c r="M519" t="s">
        <v>297</v>
      </c>
      <c r="O519" t="s">
        <v>208</v>
      </c>
      <c r="P519" t="s">
        <v>210</v>
      </c>
    </row>
    <row r="520" spans="1:16" ht="12.75" customHeight="1">
      <c r="A520">
        <v>6</v>
      </c>
      <c r="B520" t="s">
        <v>149</v>
      </c>
      <c r="C520">
        <v>1273</v>
      </c>
      <c r="D520" t="s">
        <v>295</v>
      </c>
      <c r="E520" t="s">
        <v>296</v>
      </c>
      <c r="F520" s="2">
        <v>36084</v>
      </c>
      <c r="G520" s="2">
        <v>37575</v>
      </c>
      <c r="H520" s="2">
        <v>39151</v>
      </c>
      <c r="I520" s="5">
        <v>39629</v>
      </c>
      <c r="L520" t="s">
        <v>297</v>
      </c>
      <c r="M520" t="s">
        <v>297</v>
      </c>
      <c r="N520" t="s">
        <v>707</v>
      </c>
      <c r="O520" t="s">
        <v>208</v>
      </c>
      <c r="P520" t="s">
        <v>210</v>
      </c>
    </row>
    <row r="521" spans="1:16" ht="12.75" customHeight="1">
      <c r="A521">
        <v>6</v>
      </c>
      <c r="B521" t="s">
        <v>149</v>
      </c>
      <c r="C521">
        <v>1329</v>
      </c>
      <c r="D521" t="s">
        <v>295</v>
      </c>
      <c r="E521" t="s">
        <v>299</v>
      </c>
      <c r="F521" s="2">
        <v>36579</v>
      </c>
      <c r="H521" s="2">
        <v>39265</v>
      </c>
      <c r="I521" s="5">
        <v>36707</v>
      </c>
      <c r="K521" s="2">
        <v>39324</v>
      </c>
      <c r="L521" t="s">
        <v>297</v>
      </c>
      <c r="M521" t="s">
        <v>297</v>
      </c>
      <c r="N521" t="s">
        <v>708</v>
      </c>
      <c r="O521" t="s">
        <v>208</v>
      </c>
      <c r="P521" t="s">
        <v>210</v>
      </c>
    </row>
    <row r="522" spans="1:16" ht="12.75" customHeight="1">
      <c r="A522">
        <v>6</v>
      </c>
      <c r="B522" t="s">
        <v>149</v>
      </c>
      <c r="C522">
        <v>1367</v>
      </c>
      <c r="D522" t="s">
        <v>295</v>
      </c>
      <c r="E522" t="s">
        <v>296</v>
      </c>
      <c r="F522" s="2">
        <v>36902</v>
      </c>
      <c r="G522" s="2">
        <v>38996</v>
      </c>
      <c r="H522" s="2">
        <v>39122</v>
      </c>
      <c r="I522" s="5">
        <v>39263</v>
      </c>
      <c r="L522" t="s">
        <v>322</v>
      </c>
      <c r="M522" t="s">
        <v>297</v>
      </c>
      <c r="N522" t="s">
        <v>709</v>
      </c>
      <c r="O522" t="s">
        <v>208</v>
      </c>
      <c r="P522" t="s">
        <v>210</v>
      </c>
    </row>
    <row r="523" spans="1:16" ht="12.75" customHeight="1">
      <c r="A523">
        <v>6</v>
      </c>
      <c r="B523" t="s">
        <v>149</v>
      </c>
      <c r="C523">
        <v>1437</v>
      </c>
      <c r="D523" t="s">
        <v>295</v>
      </c>
      <c r="E523" t="s">
        <v>299</v>
      </c>
      <c r="F523" s="2">
        <v>37685</v>
      </c>
      <c r="H523" s="2">
        <v>38373</v>
      </c>
      <c r="L523" t="s">
        <v>297</v>
      </c>
      <c r="N523" t="s">
        <v>710</v>
      </c>
      <c r="O523" t="s">
        <v>208</v>
      </c>
      <c r="P523" t="s">
        <v>210</v>
      </c>
    </row>
    <row r="524" spans="1:16" ht="12.75" customHeight="1">
      <c r="A524">
        <v>6</v>
      </c>
      <c r="B524" t="s">
        <v>149</v>
      </c>
      <c r="C524">
        <v>1469</v>
      </c>
      <c r="D524" t="s">
        <v>295</v>
      </c>
      <c r="E524" t="s">
        <v>299</v>
      </c>
      <c r="F524" s="2">
        <v>38037</v>
      </c>
      <c r="H524" s="2">
        <v>39505</v>
      </c>
      <c r="I524" s="5">
        <v>39263</v>
      </c>
      <c r="K524" s="2">
        <v>38440</v>
      </c>
      <c r="L524" t="s">
        <v>297</v>
      </c>
      <c r="M524" t="s">
        <v>297</v>
      </c>
      <c r="N524" t="s">
        <v>711</v>
      </c>
      <c r="O524" t="s">
        <v>208</v>
      </c>
      <c r="P524" t="s">
        <v>210</v>
      </c>
    </row>
    <row r="525" spans="1:16" ht="12.75" customHeight="1">
      <c r="A525">
        <v>6</v>
      </c>
      <c r="B525" t="s">
        <v>149</v>
      </c>
      <c r="C525">
        <v>1512</v>
      </c>
      <c r="D525" t="s">
        <v>295</v>
      </c>
      <c r="E525" t="s">
        <v>296</v>
      </c>
      <c r="F525" s="2">
        <v>38722</v>
      </c>
      <c r="H525" s="2">
        <v>39471</v>
      </c>
      <c r="I525" s="5">
        <v>38898</v>
      </c>
      <c r="J525" s="2">
        <v>38722</v>
      </c>
      <c r="L525" t="s">
        <v>297</v>
      </c>
      <c r="M525" t="s">
        <v>297</v>
      </c>
      <c r="N525" t="s">
        <v>712</v>
      </c>
      <c r="O525" t="s">
        <v>208</v>
      </c>
      <c r="P525" t="s">
        <v>210</v>
      </c>
    </row>
    <row r="526" spans="1:16" ht="12.75" customHeight="1">
      <c r="A526">
        <v>6</v>
      </c>
      <c r="B526" t="s">
        <v>149</v>
      </c>
      <c r="C526">
        <v>1532</v>
      </c>
      <c r="D526" t="s">
        <v>295</v>
      </c>
      <c r="E526" t="s">
        <v>299</v>
      </c>
      <c r="F526" s="2">
        <v>39142</v>
      </c>
      <c r="H526" s="2">
        <v>39394</v>
      </c>
      <c r="I526" s="5">
        <v>39629</v>
      </c>
      <c r="L526" t="s">
        <v>297</v>
      </c>
      <c r="M526" t="s">
        <v>322</v>
      </c>
      <c r="N526" t="s">
        <v>713</v>
      </c>
      <c r="O526" t="s">
        <v>208</v>
      </c>
      <c r="P526" t="s">
        <v>210</v>
      </c>
    </row>
    <row r="527" spans="1:16" ht="12.75" customHeight="1">
      <c r="A527">
        <v>6</v>
      </c>
      <c r="B527" t="s">
        <v>149</v>
      </c>
      <c r="C527">
        <v>1556</v>
      </c>
      <c r="D527" t="s">
        <v>295</v>
      </c>
      <c r="E527" t="s">
        <v>299</v>
      </c>
      <c r="F527" s="2">
        <v>39448</v>
      </c>
      <c r="H527" s="2">
        <v>39524</v>
      </c>
      <c r="I527" s="5">
        <v>39629</v>
      </c>
      <c r="L527" t="s">
        <v>297</v>
      </c>
      <c r="M527" t="s">
        <v>297</v>
      </c>
      <c r="N527" t="s">
        <v>714</v>
      </c>
      <c r="O527" t="s">
        <v>208</v>
      </c>
      <c r="P527" t="s">
        <v>210</v>
      </c>
    </row>
    <row r="528" spans="1:16" ht="12.75" customHeight="1">
      <c r="A528" t="s">
        <v>208</v>
      </c>
      <c r="B528" t="s">
        <v>210</v>
      </c>
    </row>
    <row r="529" spans="1:16" ht="12.75" customHeight="1">
      <c r="A529">
        <v>6</v>
      </c>
      <c r="B529" t="s">
        <v>296</v>
      </c>
      <c r="C529">
        <v>184</v>
      </c>
      <c r="D529" t="s">
        <v>295</v>
      </c>
      <c r="E529" t="s">
        <v>296</v>
      </c>
      <c r="F529" s="2">
        <v>28607</v>
      </c>
      <c r="G529" s="2">
        <v>33320</v>
      </c>
      <c r="H529" s="2">
        <v>39463</v>
      </c>
      <c r="I529" s="5">
        <v>39629</v>
      </c>
      <c r="K529" s="2">
        <v>35717</v>
      </c>
      <c r="L529" t="s">
        <v>339</v>
      </c>
      <c r="M529" t="s">
        <v>297</v>
      </c>
      <c r="N529" t="s">
        <v>715</v>
      </c>
      <c r="O529" t="s">
        <v>208</v>
      </c>
      <c r="P529" t="s">
        <v>211</v>
      </c>
    </row>
    <row r="530" spans="1:16" ht="12.75" customHeight="1">
      <c r="A530">
        <v>6</v>
      </c>
      <c r="B530" t="s">
        <v>296</v>
      </c>
      <c r="C530">
        <v>210</v>
      </c>
      <c r="D530" t="s">
        <v>295</v>
      </c>
      <c r="E530" t="s">
        <v>296</v>
      </c>
      <c r="F530" s="2">
        <v>28832</v>
      </c>
      <c r="G530" s="2">
        <v>29112</v>
      </c>
      <c r="H530" s="2">
        <v>39240</v>
      </c>
      <c r="I530" s="5">
        <v>37437</v>
      </c>
      <c r="J530" s="2">
        <v>37769</v>
      </c>
      <c r="K530" s="2">
        <v>35768</v>
      </c>
      <c r="L530" t="s">
        <v>297</v>
      </c>
      <c r="M530" t="s">
        <v>297</v>
      </c>
      <c r="N530" t="s">
        <v>716</v>
      </c>
      <c r="O530" t="s">
        <v>208</v>
      </c>
      <c r="P530" t="s">
        <v>211</v>
      </c>
    </row>
    <row r="531" spans="1:16" ht="12.75" customHeight="1">
      <c r="A531">
        <v>6</v>
      </c>
      <c r="B531" t="s">
        <v>296</v>
      </c>
      <c r="C531">
        <v>300</v>
      </c>
      <c r="D531" t="s">
        <v>295</v>
      </c>
      <c r="E531" t="s">
        <v>296</v>
      </c>
      <c r="F531" s="2">
        <v>29637</v>
      </c>
      <c r="G531" s="2">
        <v>30394</v>
      </c>
      <c r="H531" s="2">
        <v>39443</v>
      </c>
      <c r="I531" s="5">
        <v>36160</v>
      </c>
      <c r="K531" s="2">
        <v>35460</v>
      </c>
      <c r="L531" t="s">
        <v>297</v>
      </c>
      <c r="M531" t="s">
        <v>297</v>
      </c>
      <c r="N531" t="s">
        <v>717</v>
      </c>
      <c r="O531" t="s">
        <v>208</v>
      </c>
      <c r="P531" t="s">
        <v>211</v>
      </c>
    </row>
    <row r="532" spans="1:16" ht="12.75" customHeight="1">
      <c r="A532">
        <v>6</v>
      </c>
      <c r="B532" t="s">
        <v>296</v>
      </c>
      <c r="C532">
        <v>367</v>
      </c>
      <c r="D532" t="s">
        <v>295</v>
      </c>
      <c r="E532" t="s">
        <v>296</v>
      </c>
      <c r="F532" s="2">
        <v>30274</v>
      </c>
      <c r="G532" s="2">
        <v>31112</v>
      </c>
      <c r="H532" s="2">
        <v>39491</v>
      </c>
      <c r="I532" s="5">
        <v>35246</v>
      </c>
      <c r="J532" s="2">
        <v>35954</v>
      </c>
      <c r="K532" s="2">
        <v>35862</v>
      </c>
      <c r="L532" t="s">
        <v>297</v>
      </c>
      <c r="M532" t="s">
        <v>297</v>
      </c>
      <c r="N532" t="s">
        <v>718</v>
      </c>
      <c r="O532" t="s">
        <v>208</v>
      </c>
      <c r="P532" t="s">
        <v>211</v>
      </c>
    </row>
    <row r="533" spans="1:16" ht="12.75" customHeight="1">
      <c r="A533">
        <v>6</v>
      </c>
      <c r="B533" t="s">
        <v>296</v>
      </c>
      <c r="C533">
        <v>458</v>
      </c>
      <c r="D533" t="s">
        <v>295</v>
      </c>
      <c r="E533" t="s">
        <v>296</v>
      </c>
      <c r="F533" s="2">
        <v>31129</v>
      </c>
      <c r="G533" s="2">
        <v>31738</v>
      </c>
      <c r="H533" s="2">
        <v>39473</v>
      </c>
      <c r="I533" s="5">
        <v>37256</v>
      </c>
      <c r="J533" s="2">
        <v>34212</v>
      </c>
      <c r="K533" s="2">
        <v>35907</v>
      </c>
      <c r="L533" t="s">
        <v>297</v>
      </c>
      <c r="M533" t="s">
        <v>297</v>
      </c>
      <c r="N533" t="s">
        <v>719</v>
      </c>
      <c r="O533" t="s">
        <v>208</v>
      </c>
      <c r="P533" t="s">
        <v>211</v>
      </c>
    </row>
    <row r="534" spans="1:16" ht="12.75" customHeight="1">
      <c r="A534">
        <v>6</v>
      </c>
      <c r="B534" t="s">
        <v>296</v>
      </c>
      <c r="C534">
        <v>717</v>
      </c>
      <c r="D534" t="s">
        <v>295</v>
      </c>
      <c r="E534" t="s">
        <v>296</v>
      </c>
      <c r="F534" s="2">
        <v>32892</v>
      </c>
      <c r="G534" s="2">
        <v>32893</v>
      </c>
      <c r="H534" s="2">
        <v>38941</v>
      </c>
      <c r="I534" s="5">
        <v>39629</v>
      </c>
      <c r="K534" s="2">
        <v>35506</v>
      </c>
      <c r="L534" t="s">
        <v>297</v>
      </c>
      <c r="M534" t="s">
        <v>297</v>
      </c>
      <c r="N534" t="s">
        <v>720</v>
      </c>
      <c r="O534" t="s">
        <v>208</v>
      </c>
      <c r="P534" t="s">
        <v>211</v>
      </c>
    </row>
    <row r="535" spans="1:16" ht="12.75" customHeight="1">
      <c r="A535">
        <v>6</v>
      </c>
      <c r="B535" t="s">
        <v>296</v>
      </c>
      <c r="C535">
        <v>733</v>
      </c>
      <c r="D535" t="s">
        <v>295</v>
      </c>
      <c r="E535" t="s">
        <v>296</v>
      </c>
      <c r="F535" s="2">
        <v>32949</v>
      </c>
      <c r="G535" s="2">
        <v>33452</v>
      </c>
      <c r="H535" s="2">
        <v>38551</v>
      </c>
      <c r="I535" s="5">
        <v>38352</v>
      </c>
      <c r="J535" s="2">
        <v>38951</v>
      </c>
      <c r="K535" s="2">
        <v>35328</v>
      </c>
      <c r="L535" t="s">
        <v>297</v>
      </c>
      <c r="M535" t="s">
        <v>297</v>
      </c>
      <c r="N535" t="s">
        <v>721</v>
      </c>
      <c r="O535" t="s">
        <v>208</v>
      </c>
      <c r="P535" t="s">
        <v>211</v>
      </c>
    </row>
    <row r="536" spans="1:16" ht="12.75" customHeight="1">
      <c r="A536">
        <v>6</v>
      </c>
      <c r="B536" t="s">
        <v>296</v>
      </c>
      <c r="C536">
        <v>1204</v>
      </c>
      <c r="D536" t="s">
        <v>295</v>
      </c>
      <c r="E536" t="s">
        <v>296</v>
      </c>
      <c r="F536" s="2">
        <v>35619</v>
      </c>
      <c r="G536" s="2">
        <v>36308</v>
      </c>
      <c r="H536" s="2">
        <v>38242</v>
      </c>
      <c r="I536" s="5">
        <v>38168</v>
      </c>
      <c r="K536" s="2">
        <v>36238</v>
      </c>
      <c r="L536" t="s">
        <v>297</v>
      </c>
      <c r="M536" t="s">
        <v>297</v>
      </c>
      <c r="N536" t="s">
        <v>318</v>
      </c>
      <c r="O536" t="s">
        <v>208</v>
      </c>
      <c r="P536" t="s">
        <v>211</v>
      </c>
    </row>
    <row r="537" spans="1:16" ht="12.75" customHeight="1">
      <c r="A537" t="s">
        <v>208</v>
      </c>
      <c r="B537" t="s">
        <v>211</v>
      </c>
    </row>
    <row r="538" spans="1:16" ht="12.75" customHeight="1">
      <c r="A538">
        <v>6</v>
      </c>
      <c r="B538" t="s">
        <v>153</v>
      </c>
      <c r="C538">
        <v>183</v>
      </c>
      <c r="D538" t="s">
        <v>295</v>
      </c>
      <c r="E538" t="s">
        <v>296</v>
      </c>
      <c r="F538" s="2">
        <v>28607</v>
      </c>
      <c r="G538" s="2">
        <v>30375</v>
      </c>
      <c r="H538" s="2">
        <v>38839</v>
      </c>
      <c r="I538" s="5">
        <v>39629</v>
      </c>
      <c r="K538" s="2">
        <v>36208</v>
      </c>
      <c r="L538" t="s">
        <v>297</v>
      </c>
      <c r="M538" t="s">
        <v>297</v>
      </c>
      <c r="N538" t="s">
        <v>722</v>
      </c>
      <c r="O538" t="s">
        <v>208</v>
      </c>
      <c r="P538" t="s">
        <v>212</v>
      </c>
    </row>
    <row r="539" spans="1:16" ht="12.75" customHeight="1">
      <c r="A539">
        <v>6</v>
      </c>
      <c r="B539" t="s">
        <v>153</v>
      </c>
      <c r="C539">
        <v>244</v>
      </c>
      <c r="D539" t="s">
        <v>295</v>
      </c>
      <c r="E539" t="s">
        <v>296</v>
      </c>
      <c r="F539" s="2">
        <v>29196</v>
      </c>
      <c r="G539" s="2">
        <v>25070</v>
      </c>
      <c r="H539" s="2">
        <v>39514</v>
      </c>
      <c r="I539" s="5">
        <v>32196</v>
      </c>
      <c r="K539" s="2">
        <v>36270</v>
      </c>
      <c r="L539" t="s">
        <v>297</v>
      </c>
      <c r="N539" t="s">
        <v>723</v>
      </c>
      <c r="O539" t="s">
        <v>208</v>
      </c>
      <c r="P539" t="s">
        <v>212</v>
      </c>
    </row>
    <row r="540" spans="1:16" ht="12.75" customHeight="1">
      <c r="A540">
        <v>6</v>
      </c>
      <c r="B540" t="s">
        <v>153</v>
      </c>
      <c r="C540">
        <v>362</v>
      </c>
      <c r="D540" t="s">
        <v>295</v>
      </c>
      <c r="E540" t="s">
        <v>296</v>
      </c>
      <c r="F540" s="2">
        <v>30141</v>
      </c>
      <c r="G540" s="2">
        <v>30830</v>
      </c>
      <c r="H540" s="2">
        <v>39512</v>
      </c>
      <c r="I540" s="5">
        <v>39629</v>
      </c>
      <c r="J540" s="2">
        <v>38659</v>
      </c>
      <c r="K540" s="2">
        <v>35513</v>
      </c>
      <c r="L540" t="s">
        <v>297</v>
      </c>
      <c r="M540" t="s">
        <v>297</v>
      </c>
      <c r="N540" t="s">
        <v>724</v>
      </c>
      <c r="O540" t="s">
        <v>208</v>
      </c>
      <c r="P540" t="s">
        <v>212</v>
      </c>
    </row>
    <row r="541" spans="1:16" ht="12.75" customHeight="1">
      <c r="A541">
        <v>6</v>
      </c>
      <c r="B541" t="s">
        <v>153</v>
      </c>
      <c r="C541">
        <v>418</v>
      </c>
      <c r="D541" t="s">
        <v>295</v>
      </c>
      <c r="E541" t="s">
        <v>296</v>
      </c>
      <c r="F541" s="2">
        <v>30663</v>
      </c>
      <c r="G541" s="2">
        <v>31129</v>
      </c>
      <c r="H541" s="2">
        <v>39035</v>
      </c>
      <c r="I541" s="5">
        <v>37256</v>
      </c>
      <c r="K541" s="2">
        <v>34967</v>
      </c>
      <c r="L541" t="s">
        <v>297</v>
      </c>
      <c r="N541" t="s">
        <v>725</v>
      </c>
      <c r="O541" t="s">
        <v>208</v>
      </c>
      <c r="P541" t="s">
        <v>212</v>
      </c>
    </row>
    <row r="542" spans="1:16" ht="12.75" customHeight="1">
      <c r="A542">
        <v>6</v>
      </c>
      <c r="B542" t="s">
        <v>153</v>
      </c>
      <c r="C542">
        <v>425</v>
      </c>
      <c r="D542" t="s">
        <v>295</v>
      </c>
      <c r="E542" t="s">
        <v>296</v>
      </c>
      <c r="F542" s="2">
        <v>30758</v>
      </c>
      <c r="G542" s="2">
        <v>31129</v>
      </c>
      <c r="H542" s="2">
        <v>39325</v>
      </c>
      <c r="I542" s="5">
        <v>33359</v>
      </c>
      <c r="J542" s="2">
        <v>35122</v>
      </c>
      <c r="K542" s="2">
        <v>35825</v>
      </c>
      <c r="L542" t="s">
        <v>297</v>
      </c>
      <c r="N542" t="s">
        <v>726</v>
      </c>
      <c r="O542" t="s">
        <v>208</v>
      </c>
      <c r="P542" t="s">
        <v>212</v>
      </c>
    </row>
    <row r="543" spans="1:16" ht="12.75" customHeight="1">
      <c r="A543">
        <v>6</v>
      </c>
      <c r="B543" t="s">
        <v>153</v>
      </c>
      <c r="C543">
        <v>568</v>
      </c>
      <c r="D543" t="s">
        <v>295</v>
      </c>
      <c r="E543" t="s">
        <v>296</v>
      </c>
      <c r="F543" s="2">
        <v>31738</v>
      </c>
      <c r="G543" s="2">
        <v>32689</v>
      </c>
      <c r="H543" s="2">
        <v>39275</v>
      </c>
      <c r="I543" s="5">
        <v>39629</v>
      </c>
      <c r="J543" s="2">
        <v>39318</v>
      </c>
      <c r="K543" s="2">
        <v>38891</v>
      </c>
      <c r="L543" t="s">
        <v>297</v>
      </c>
      <c r="M543" t="s">
        <v>297</v>
      </c>
      <c r="N543" t="s">
        <v>727</v>
      </c>
      <c r="O543" t="s">
        <v>208</v>
      </c>
      <c r="P543" t="s">
        <v>212</v>
      </c>
    </row>
    <row r="544" spans="1:16" ht="12.75" customHeight="1">
      <c r="A544">
        <v>6</v>
      </c>
      <c r="B544" t="s">
        <v>153</v>
      </c>
      <c r="C544">
        <v>735</v>
      </c>
      <c r="D544" t="s">
        <v>295</v>
      </c>
      <c r="E544" t="s">
        <v>296</v>
      </c>
      <c r="F544" s="2">
        <v>32949</v>
      </c>
      <c r="G544" s="2">
        <v>33684</v>
      </c>
      <c r="H544" s="2">
        <v>38968</v>
      </c>
      <c r="I544" s="5">
        <v>37802</v>
      </c>
      <c r="J544" s="2">
        <v>36075</v>
      </c>
      <c r="K544" s="2">
        <v>34564</v>
      </c>
      <c r="L544" t="s">
        <v>297</v>
      </c>
      <c r="M544" t="s">
        <v>297</v>
      </c>
      <c r="N544" t="s">
        <v>728</v>
      </c>
      <c r="O544" t="s">
        <v>208</v>
      </c>
      <c r="P544" t="s">
        <v>212</v>
      </c>
    </row>
    <row r="545" spans="1:16" ht="12.75" customHeight="1">
      <c r="A545">
        <v>6</v>
      </c>
      <c r="B545" t="s">
        <v>153</v>
      </c>
      <c r="C545">
        <v>794</v>
      </c>
      <c r="D545" t="s">
        <v>295</v>
      </c>
      <c r="E545" t="s">
        <v>296</v>
      </c>
      <c r="F545" s="2">
        <v>33384</v>
      </c>
      <c r="G545" s="2">
        <v>33621</v>
      </c>
      <c r="H545" s="2">
        <v>39500</v>
      </c>
      <c r="I545" s="5">
        <v>38533</v>
      </c>
      <c r="K545" s="2">
        <v>35408</v>
      </c>
      <c r="L545" t="s">
        <v>297</v>
      </c>
      <c r="M545" t="s">
        <v>297</v>
      </c>
      <c r="N545" t="s">
        <v>729</v>
      </c>
      <c r="O545" t="s">
        <v>208</v>
      </c>
      <c r="P545" t="s">
        <v>212</v>
      </c>
    </row>
    <row r="546" spans="1:16" ht="12.75" customHeight="1">
      <c r="A546">
        <v>6</v>
      </c>
      <c r="B546" t="s">
        <v>153</v>
      </c>
      <c r="C546">
        <v>891</v>
      </c>
      <c r="D546" t="s">
        <v>295</v>
      </c>
      <c r="E546" t="s">
        <v>296</v>
      </c>
      <c r="F546" s="2">
        <v>34122</v>
      </c>
      <c r="G546" s="2">
        <v>34775</v>
      </c>
      <c r="H546" s="2">
        <v>39370</v>
      </c>
      <c r="I546" s="5">
        <v>35246</v>
      </c>
      <c r="J546" s="2">
        <v>35122</v>
      </c>
      <c r="K546" s="2">
        <v>35572</v>
      </c>
      <c r="L546" t="s">
        <v>297</v>
      </c>
      <c r="M546" t="s">
        <v>297</v>
      </c>
      <c r="N546" t="s">
        <v>730</v>
      </c>
      <c r="O546" t="s">
        <v>208</v>
      </c>
      <c r="P546" t="s">
        <v>212</v>
      </c>
    </row>
    <row r="547" spans="1:16" ht="12.75" customHeight="1">
      <c r="A547">
        <v>6</v>
      </c>
      <c r="B547" t="s">
        <v>153</v>
      </c>
      <c r="C547">
        <v>1007</v>
      </c>
      <c r="D547" t="s">
        <v>295</v>
      </c>
      <c r="E547" t="s">
        <v>296</v>
      </c>
      <c r="F547" s="2">
        <v>34618</v>
      </c>
      <c r="G547" s="2">
        <v>35084</v>
      </c>
      <c r="H547" s="2">
        <v>39280</v>
      </c>
      <c r="I547" s="5">
        <v>38885</v>
      </c>
      <c r="J547" s="2">
        <v>39154</v>
      </c>
      <c r="K547" s="2">
        <v>37635</v>
      </c>
      <c r="L547" t="s">
        <v>297</v>
      </c>
      <c r="M547" t="s">
        <v>297</v>
      </c>
      <c r="N547" t="s">
        <v>731</v>
      </c>
      <c r="O547" t="s">
        <v>208</v>
      </c>
      <c r="P547" t="s">
        <v>212</v>
      </c>
    </row>
    <row r="548" spans="1:16" ht="12.75" customHeight="1">
      <c r="A548">
        <v>6</v>
      </c>
      <c r="B548" t="s">
        <v>153</v>
      </c>
      <c r="C548">
        <v>1206</v>
      </c>
      <c r="D548" t="s">
        <v>295</v>
      </c>
      <c r="E548" t="s">
        <v>296</v>
      </c>
      <c r="F548" s="2">
        <v>35629</v>
      </c>
      <c r="G548" s="2">
        <v>36238</v>
      </c>
      <c r="H548" s="2">
        <v>39449</v>
      </c>
      <c r="I548" s="5">
        <v>36341</v>
      </c>
      <c r="J548" s="2">
        <v>36214</v>
      </c>
      <c r="K548" s="2">
        <v>36214</v>
      </c>
      <c r="L548" t="s">
        <v>297</v>
      </c>
      <c r="M548" t="s">
        <v>297</v>
      </c>
      <c r="N548" t="s">
        <v>732</v>
      </c>
      <c r="O548" t="s">
        <v>208</v>
      </c>
      <c r="P548" t="s">
        <v>212</v>
      </c>
    </row>
    <row r="549" spans="1:16" ht="12.75" customHeight="1">
      <c r="A549" t="s">
        <v>208</v>
      </c>
      <c r="B549" t="s">
        <v>212</v>
      </c>
    </row>
    <row r="550" spans="1:16" ht="12.75" customHeight="1">
      <c r="A550">
        <v>6</v>
      </c>
      <c r="B550" t="s">
        <v>317</v>
      </c>
      <c r="C550">
        <v>419</v>
      </c>
      <c r="D550" t="s">
        <v>295</v>
      </c>
      <c r="E550" t="s">
        <v>296</v>
      </c>
      <c r="F550" s="2">
        <v>30663</v>
      </c>
      <c r="G550" s="2">
        <v>31129</v>
      </c>
      <c r="H550" s="2">
        <v>39420</v>
      </c>
      <c r="I550" s="5">
        <v>39052</v>
      </c>
      <c r="J550" s="2">
        <v>38936</v>
      </c>
      <c r="K550" s="2">
        <v>35823</v>
      </c>
      <c r="L550" t="s">
        <v>297</v>
      </c>
      <c r="M550" t="s">
        <v>297</v>
      </c>
      <c r="N550" t="s">
        <v>733</v>
      </c>
      <c r="O550" t="s">
        <v>208</v>
      </c>
      <c r="P550" t="s">
        <v>213</v>
      </c>
    </row>
    <row r="551" spans="1:16" ht="12.75" customHeight="1">
      <c r="A551">
        <v>6</v>
      </c>
      <c r="B551" t="s">
        <v>317</v>
      </c>
      <c r="C551">
        <v>719</v>
      </c>
      <c r="D551" t="s">
        <v>295</v>
      </c>
      <c r="E551" t="s">
        <v>296</v>
      </c>
      <c r="F551" s="2">
        <v>32892</v>
      </c>
      <c r="G551" s="2">
        <v>32893</v>
      </c>
      <c r="H551" s="2">
        <v>39520</v>
      </c>
      <c r="I551" s="5">
        <v>39082</v>
      </c>
      <c r="J551" s="2">
        <v>35369</v>
      </c>
      <c r="K551" s="2">
        <v>38729</v>
      </c>
      <c r="L551" t="s">
        <v>297</v>
      </c>
      <c r="M551" t="s">
        <v>297</v>
      </c>
      <c r="N551" t="s">
        <v>734</v>
      </c>
      <c r="O551" t="s">
        <v>208</v>
      </c>
      <c r="P551" t="s">
        <v>213</v>
      </c>
    </row>
    <row r="552" spans="1:16" ht="12.75" customHeight="1">
      <c r="A552">
        <v>6</v>
      </c>
      <c r="B552" t="s">
        <v>317</v>
      </c>
      <c r="C552">
        <v>1103</v>
      </c>
      <c r="D552" t="s">
        <v>295</v>
      </c>
      <c r="E552" t="s">
        <v>296</v>
      </c>
      <c r="F552" s="2">
        <v>35174</v>
      </c>
      <c r="G552" s="2">
        <v>36847</v>
      </c>
      <c r="H552" s="2">
        <v>39308</v>
      </c>
      <c r="I552" s="5">
        <v>37437</v>
      </c>
      <c r="J552" s="2">
        <v>39034</v>
      </c>
      <c r="L552" t="s">
        <v>297</v>
      </c>
      <c r="M552" t="s">
        <v>297</v>
      </c>
      <c r="N552" t="s">
        <v>735</v>
      </c>
      <c r="O552" t="s">
        <v>208</v>
      </c>
      <c r="P552" t="s">
        <v>213</v>
      </c>
    </row>
    <row r="553" spans="1:16" ht="12.75" customHeight="1">
      <c r="A553">
        <v>6</v>
      </c>
      <c r="B553" t="s">
        <v>317</v>
      </c>
      <c r="C553">
        <v>1112</v>
      </c>
      <c r="D553" t="s">
        <v>295</v>
      </c>
      <c r="E553" t="s">
        <v>296</v>
      </c>
      <c r="F553" s="2">
        <v>35209</v>
      </c>
      <c r="G553" s="2">
        <v>35874</v>
      </c>
      <c r="H553" s="2">
        <v>38888</v>
      </c>
      <c r="I553" s="5">
        <v>37072</v>
      </c>
      <c r="K553" s="2">
        <v>38946</v>
      </c>
      <c r="L553" t="s">
        <v>297</v>
      </c>
      <c r="M553" t="s">
        <v>297</v>
      </c>
      <c r="N553" t="s">
        <v>736</v>
      </c>
      <c r="O553" t="s">
        <v>208</v>
      </c>
      <c r="P553" t="s">
        <v>213</v>
      </c>
    </row>
    <row r="554" spans="1:16" ht="12.75" customHeight="1">
      <c r="A554">
        <v>6</v>
      </c>
      <c r="B554" t="s">
        <v>317</v>
      </c>
      <c r="C554">
        <v>1468</v>
      </c>
      <c r="D554" t="s">
        <v>295</v>
      </c>
      <c r="E554" t="s">
        <v>299</v>
      </c>
      <c r="F554" s="2">
        <v>38057</v>
      </c>
      <c r="H554" s="2">
        <v>38960</v>
      </c>
      <c r="I554" s="5">
        <v>38398</v>
      </c>
      <c r="L554" t="s">
        <v>297</v>
      </c>
      <c r="M554" t="s">
        <v>322</v>
      </c>
      <c r="N554" t="s">
        <v>737</v>
      </c>
      <c r="O554" t="s">
        <v>208</v>
      </c>
      <c r="P554" t="s">
        <v>213</v>
      </c>
    </row>
    <row r="555" spans="1:16" ht="12.75" customHeight="1">
      <c r="A555">
        <v>6</v>
      </c>
      <c r="B555" t="s">
        <v>317</v>
      </c>
      <c r="C555">
        <v>1507</v>
      </c>
      <c r="D555" t="s">
        <v>295</v>
      </c>
      <c r="E555" t="s">
        <v>299</v>
      </c>
      <c r="F555" s="2">
        <v>38489</v>
      </c>
      <c r="H555" s="2">
        <v>38523</v>
      </c>
      <c r="I555" s="5">
        <v>38929</v>
      </c>
      <c r="L555" t="s">
        <v>297</v>
      </c>
      <c r="M555" t="s">
        <v>297</v>
      </c>
      <c r="N555" t="s">
        <v>738</v>
      </c>
      <c r="O555" t="s">
        <v>208</v>
      </c>
      <c r="P555" t="s">
        <v>213</v>
      </c>
    </row>
    <row r="556" spans="1:16" ht="12.75" customHeight="1">
      <c r="A556" t="s">
        <v>208</v>
      </c>
      <c r="B556" t="s">
        <v>213</v>
      </c>
    </row>
    <row r="557" spans="1:16" ht="12.75" customHeight="1">
      <c r="A557">
        <v>6</v>
      </c>
      <c r="B557" t="s">
        <v>155</v>
      </c>
      <c r="C557">
        <v>399</v>
      </c>
      <c r="D557" t="s">
        <v>295</v>
      </c>
      <c r="E557" t="s">
        <v>296</v>
      </c>
      <c r="F557" s="2">
        <v>30515</v>
      </c>
      <c r="G557" s="2">
        <v>31129</v>
      </c>
      <c r="H557" s="2">
        <v>39425</v>
      </c>
      <c r="I557" s="5">
        <v>38533</v>
      </c>
      <c r="J557" s="2">
        <v>38152</v>
      </c>
      <c r="K557" s="2">
        <v>35506</v>
      </c>
      <c r="L557" t="s">
        <v>297</v>
      </c>
      <c r="M557" t="s">
        <v>297</v>
      </c>
      <c r="N557" t="s">
        <v>739</v>
      </c>
      <c r="O557" t="s">
        <v>208</v>
      </c>
      <c r="P557" t="s">
        <v>214</v>
      </c>
    </row>
    <row r="558" spans="1:16" ht="12.75" customHeight="1">
      <c r="A558">
        <v>6</v>
      </c>
      <c r="B558" t="s">
        <v>155</v>
      </c>
      <c r="C558">
        <v>423</v>
      </c>
      <c r="D558" t="s">
        <v>295</v>
      </c>
      <c r="E558" t="s">
        <v>296</v>
      </c>
      <c r="F558" s="2">
        <v>30701</v>
      </c>
      <c r="G558" s="2">
        <v>31129</v>
      </c>
      <c r="H558" s="2">
        <v>39233</v>
      </c>
      <c r="I558" s="5">
        <v>39629</v>
      </c>
      <c r="J558" s="2">
        <v>31106</v>
      </c>
      <c r="K558" s="2">
        <v>33176</v>
      </c>
      <c r="L558" t="s">
        <v>297</v>
      </c>
      <c r="M558" t="s">
        <v>297</v>
      </c>
      <c r="N558" t="s">
        <v>740</v>
      </c>
      <c r="O558" t="s">
        <v>208</v>
      </c>
      <c r="P558" t="s">
        <v>214</v>
      </c>
    </row>
    <row r="559" spans="1:16" ht="12.75" customHeight="1">
      <c r="A559">
        <v>6</v>
      </c>
      <c r="B559" t="s">
        <v>155</v>
      </c>
      <c r="C559">
        <v>587</v>
      </c>
      <c r="D559" t="s">
        <v>295</v>
      </c>
      <c r="E559" t="s">
        <v>296</v>
      </c>
      <c r="F559" s="2">
        <v>31857</v>
      </c>
      <c r="G559" s="2">
        <v>33021</v>
      </c>
      <c r="H559" s="2">
        <v>39272</v>
      </c>
      <c r="I559" s="5">
        <v>37621</v>
      </c>
      <c r="J559" s="2">
        <v>38303</v>
      </c>
      <c r="K559" s="2">
        <v>35541</v>
      </c>
      <c r="L559" t="s">
        <v>297</v>
      </c>
      <c r="M559" t="s">
        <v>297</v>
      </c>
      <c r="N559" t="s">
        <v>741</v>
      </c>
      <c r="O559" t="s">
        <v>208</v>
      </c>
      <c r="P559" t="s">
        <v>214</v>
      </c>
    </row>
    <row r="560" spans="1:16" ht="12.75" customHeight="1">
      <c r="A560">
        <v>6</v>
      </c>
      <c r="B560" t="s">
        <v>155</v>
      </c>
      <c r="C560">
        <v>697</v>
      </c>
      <c r="D560" t="s">
        <v>295</v>
      </c>
      <c r="E560" t="s">
        <v>296</v>
      </c>
      <c r="F560" s="2">
        <v>32760</v>
      </c>
      <c r="G560" s="2">
        <v>36308</v>
      </c>
      <c r="H560" s="2">
        <v>39231</v>
      </c>
      <c r="I560" s="5">
        <v>38534</v>
      </c>
      <c r="J560" s="2">
        <v>38310</v>
      </c>
      <c r="K560" s="2">
        <v>35859</v>
      </c>
      <c r="L560" t="s">
        <v>297</v>
      </c>
      <c r="M560" t="s">
        <v>297</v>
      </c>
      <c r="N560" t="s">
        <v>742</v>
      </c>
      <c r="O560" t="s">
        <v>208</v>
      </c>
      <c r="P560" t="s">
        <v>214</v>
      </c>
    </row>
    <row r="561" spans="1:16" ht="12.75" customHeight="1">
      <c r="A561">
        <v>6</v>
      </c>
      <c r="B561" t="s">
        <v>155</v>
      </c>
      <c r="C561">
        <v>751</v>
      </c>
      <c r="D561" t="s">
        <v>295</v>
      </c>
      <c r="E561" t="s">
        <v>296</v>
      </c>
      <c r="F561" s="2">
        <v>33070</v>
      </c>
      <c r="G561" s="2">
        <v>34593</v>
      </c>
      <c r="H561" s="2">
        <v>39517</v>
      </c>
      <c r="I561" s="5">
        <v>38143</v>
      </c>
      <c r="J561" s="2">
        <v>34547</v>
      </c>
      <c r="K561" s="2">
        <v>37777</v>
      </c>
      <c r="L561" t="s">
        <v>297</v>
      </c>
      <c r="M561" t="s">
        <v>297</v>
      </c>
      <c r="N561" t="s">
        <v>743</v>
      </c>
      <c r="O561" t="s">
        <v>208</v>
      </c>
      <c r="P561" t="s">
        <v>214</v>
      </c>
    </row>
    <row r="562" spans="1:16" ht="12.75" customHeight="1">
      <c r="A562">
        <v>6</v>
      </c>
      <c r="B562" t="s">
        <v>155</v>
      </c>
      <c r="C562">
        <v>783</v>
      </c>
      <c r="D562" t="s">
        <v>295</v>
      </c>
      <c r="E562" t="s">
        <v>299</v>
      </c>
      <c r="F562" s="2">
        <v>33313</v>
      </c>
      <c r="H562" s="2">
        <v>39213</v>
      </c>
      <c r="I562" s="5">
        <v>38472</v>
      </c>
      <c r="K562" s="2">
        <v>38110</v>
      </c>
      <c r="L562" t="s">
        <v>297</v>
      </c>
      <c r="M562" t="s">
        <v>297</v>
      </c>
      <c r="N562" t="s">
        <v>744</v>
      </c>
      <c r="O562" t="s">
        <v>208</v>
      </c>
      <c r="P562" t="s">
        <v>214</v>
      </c>
    </row>
    <row r="563" spans="1:16" ht="12.75" customHeight="1">
      <c r="A563">
        <v>6</v>
      </c>
      <c r="B563" t="s">
        <v>155</v>
      </c>
      <c r="C563">
        <v>951</v>
      </c>
      <c r="D563" t="s">
        <v>464</v>
      </c>
      <c r="E563" t="s">
        <v>316</v>
      </c>
      <c r="F563" s="2">
        <v>34451</v>
      </c>
      <c r="G563" s="2">
        <v>34845</v>
      </c>
      <c r="H563" s="2">
        <v>36962</v>
      </c>
      <c r="I563" s="5">
        <v>37472</v>
      </c>
      <c r="J563" s="2">
        <v>35459</v>
      </c>
      <c r="K563" s="2">
        <v>35836</v>
      </c>
      <c r="L563" t="s">
        <v>297</v>
      </c>
      <c r="M563" t="s">
        <v>297</v>
      </c>
      <c r="O563" t="s">
        <v>208</v>
      </c>
      <c r="P563" t="s">
        <v>214</v>
      </c>
    </row>
    <row r="564" spans="1:16" ht="12.75" customHeight="1">
      <c r="A564">
        <v>6</v>
      </c>
      <c r="B564" t="s">
        <v>155</v>
      </c>
      <c r="C564">
        <v>1039</v>
      </c>
      <c r="D564" t="s">
        <v>745</v>
      </c>
      <c r="E564" t="s">
        <v>316</v>
      </c>
      <c r="F564" s="2">
        <v>34771</v>
      </c>
      <c r="H564" s="2">
        <v>35639</v>
      </c>
      <c r="I564" s="5">
        <v>38168</v>
      </c>
      <c r="J564" s="2">
        <v>34799</v>
      </c>
      <c r="K564" s="2">
        <v>35639</v>
      </c>
      <c r="L564" t="s">
        <v>322</v>
      </c>
      <c r="M564" t="s">
        <v>297</v>
      </c>
      <c r="O564" t="s">
        <v>208</v>
      </c>
      <c r="P564" t="s">
        <v>214</v>
      </c>
    </row>
    <row r="565" spans="1:16" ht="12.75" customHeight="1">
      <c r="A565">
        <v>6</v>
      </c>
      <c r="B565" t="s">
        <v>155</v>
      </c>
      <c r="C565">
        <v>1074</v>
      </c>
      <c r="D565" t="s">
        <v>295</v>
      </c>
      <c r="E565" t="s">
        <v>296</v>
      </c>
      <c r="F565" s="2">
        <v>34941</v>
      </c>
      <c r="G565" s="2">
        <v>37820</v>
      </c>
      <c r="H565" s="2">
        <v>38050</v>
      </c>
      <c r="I565" s="5">
        <v>35228</v>
      </c>
      <c r="J565" s="2">
        <v>37811</v>
      </c>
      <c r="K565" s="2">
        <v>35921</v>
      </c>
      <c r="L565" t="s">
        <v>297</v>
      </c>
      <c r="M565" t="s">
        <v>297</v>
      </c>
      <c r="N565" t="s">
        <v>746</v>
      </c>
      <c r="O565" t="s">
        <v>208</v>
      </c>
      <c r="P565" t="s">
        <v>214</v>
      </c>
    </row>
    <row r="566" spans="1:16" ht="12.75" customHeight="1">
      <c r="A566">
        <v>6</v>
      </c>
      <c r="B566" t="s">
        <v>155</v>
      </c>
      <c r="C566">
        <v>1303</v>
      </c>
      <c r="D566" t="s">
        <v>295</v>
      </c>
      <c r="E566" t="s">
        <v>296</v>
      </c>
      <c r="F566" s="2">
        <v>36325</v>
      </c>
      <c r="G566" s="2">
        <v>36675</v>
      </c>
      <c r="H566" s="2">
        <v>39454</v>
      </c>
      <c r="I566" s="5">
        <v>36646</v>
      </c>
      <c r="K566" s="2">
        <v>39454</v>
      </c>
      <c r="L566" t="s">
        <v>297</v>
      </c>
      <c r="M566" t="s">
        <v>297</v>
      </c>
      <c r="N566" t="s">
        <v>747</v>
      </c>
      <c r="O566" t="s">
        <v>208</v>
      </c>
      <c r="P566" t="s">
        <v>214</v>
      </c>
    </row>
    <row r="567" spans="1:16" ht="12.75" customHeight="1">
      <c r="A567">
        <v>6</v>
      </c>
      <c r="B567" t="s">
        <v>155</v>
      </c>
      <c r="C567">
        <v>1346</v>
      </c>
      <c r="D567" t="s">
        <v>348</v>
      </c>
      <c r="E567" t="s">
        <v>316</v>
      </c>
      <c r="F567" s="2">
        <v>36676</v>
      </c>
      <c r="H567" s="2">
        <v>36980</v>
      </c>
      <c r="I567" s="5">
        <v>37072</v>
      </c>
      <c r="L567" t="s">
        <v>297</v>
      </c>
      <c r="M567" t="s">
        <v>297</v>
      </c>
      <c r="O567" t="s">
        <v>208</v>
      </c>
      <c r="P567" t="s">
        <v>214</v>
      </c>
    </row>
    <row r="568" spans="1:16" ht="12.75" customHeight="1">
      <c r="A568">
        <v>6</v>
      </c>
      <c r="B568" t="s">
        <v>155</v>
      </c>
      <c r="C568">
        <v>1405</v>
      </c>
      <c r="D568" t="s">
        <v>393</v>
      </c>
      <c r="E568" t="s">
        <v>316</v>
      </c>
      <c r="F568" s="2">
        <v>37330</v>
      </c>
      <c r="H568" s="2">
        <v>38411</v>
      </c>
      <c r="I568" s="5">
        <v>38534</v>
      </c>
      <c r="J568" s="2">
        <v>38407</v>
      </c>
      <c r="K568" s="2">
        <v>38407</v>
      </c>
      <c r="L568" t="s">
        <v>297</v>
      </c>
      <c r="M568" t="s">
        <v>297</v>
      </c>
      <c r="O568" t="s">
        <v>208</v>
      </c>
      <c r="P568" t="s">
        <v>214</v>
      </c>
    </row>
    <row r="569" spans="1:16" ht="12.75" customHeight="1">
      <c r="A569">
        <v>6</v>
      </c>
      <c r="B569" t="s">
        <v>155</v>
      </c>
      <c r="C569">
        <v>1438</v>
      </c>
      <c r="D569" t="s">
        <v>295</v>
      </c>
      <c r="E569" t="s">
        <v>296</v>
      </c>
      <c r="F569" s="2">
        <v>37694</v>
      </c>
      <c r="G569" s="2">
        <v>38548</v>
      </c>
      <c r="H569" s="2">
        <v>38982</v>
      </c>
      <c r="J569" s="2">
        <v>38391</v>
      </c>
      <c r="K569" s="2">
        <v>38832</v>
      </c>
      <c r="L569" t="s">
        <v>297</v>
      </c>
      <c r="M569" t="s">
        <v>297</v>
      </c>
      <c r="N569" t="s">
        <v>748</v>
      </c>
      <c r="O569" t="s">
        <v>208</v>
      </c>
      <c r="P569" t="s">
        <v>214</v>
      </c>
    </row>
    <row r="570" spans="1:16" ht="12.75" customHeight="1">
      <c r="A570">
        <v>6</v>
      </c>
      <c r="B570" t="s">
        <v>155</v>
      </c>
      <c r="C570">
        <v>1502</v>
      </c>
      <c r="D570" t="s">
        <v>295</v>
      </c>
      <c r="E570" t="s">
        <v>299</v>
      </c>
      <c r="F570" s="2">
        <v>38432</v>
      </c>
      <c r="H570" s="2">
        <v>38663</v>
      </c>
      <c r="I570" s="5">
        <v>38898</v>
      </c>
      <c r="K570" s="2">
        <v>38539</v>
      </c>
      <c r="L570" t="s">
        <v>297</v>
      </c>
      <c r="M570" t="s">
        <v>297</v>
      </c>
      <c r="N570" t="s">
        <v>749</v>
      </c>
      <c r="O570" t="s">
        <v>208</v>
      </c>
      <c r="P570" t="s">
        <v>214</v>
      </c>
    </row>
    <row r="571" spans="1:16" ht="12.75" customHeight="1">
      <c r="A571">
        <v>6</v>
      </c>
      <c r="B571" t="s">
        <v>155</v>
      </c>
      <c r="C571">
        <v>1503</v>
      </c>
      <c r="D571" t="s">
        <v>295</v>
      </c>
      <c r="E571" t="s">
        <v>299</v>
      </c>
      <c r="F571" s="2">
        <v>38432</v>
      </c>
      <c r="H571" s="2">
        <v>38846</v>
      </c>
      <c r="I571" s="5">
        <v>38807</v>
      </c>
      <c r="L571" t="s">
        <v>297</v>
      </c>
      <c r="M571" t="s">
        <v>297</v>
      </c>
      <c r="N571" t="s">
        <v>750</v>
      </c>
      <c r="O571" t="s">
        <v>208</v>
      </c>
      <c r="P571" t="s">
        <v>214</v>
      </c>
    </row>
    <row r="572" spans="1:16" ht="12.75" customHeight="1">
      <c r="A572">
        <v>6</v>
      </c>
      <c r="B572" t="s">
        <v>155</v>
      </c>
      <c r="C572">
        <v>1504</v>
      </c>
      <c r="D572" t="s">
        <v>295</v>
      </c>
      <c r="E572" t="s">
        <v>299</v>
      </c>
      <c r="F572" s="2">
        <v>38432</v>
      </c>
      <c r="H572" s="2">
        <v>38434</v>
      </c>
      <c r="I572" s="5">
        <v>38442</v>
      </c>
      <c r="L572" t="s">
        <v>297</v>
      </c>
      <c r="M572" t="s">
        <v>297</v>
      </c>
      <c r="N572" t="s">
        <v>751</v>
      </c>
      <c r="O572" t="s">
        <v>208</v>
      </c>
      <c r="P572" t="s">
        <v>214</v>
      </c>
    </row>
    <row r="573" spans="1:16" ht="12.75" customHeight="1">
      <c r="A573">
        <v>6</v>
      </c>
      <c r="B573" t="s">
        <v>155</v>
      </c>
      <c r="C573">
        <v>1516</v>
      </c>
      <c r="D573" t="s">
        <v>295</v>
      </c>
      <c r="E573" t="s">
        <v>299</v>
      </c>
      <c r="F573" s="2">
        <v>38738</v>
      </c>
      <c r="H573" s="2">
        <v>38779</v>
      </c>
      <c r="I573" s="5">
        <v>39263</v>
      </c>
      <c r="L573" t="s">
        <v>297</v>
      </c>
      <c r="M573" t="s">
        <v>297</v>
      </c>
      <c r="N573" t="s">
        <v>752</v>
      </c>
      <c r="O573" t="s">
        <v>208</v>
      </c>
      <c r="P573" t="s">
        <v>214</v>
      </c>
    </row>
    <row r="574" spans="1:16" ht="12.75" customHeight="1">
      <c r="A574" t="s">
        <v>208</v>
      </c>
      <c r="B574" t="s">
        <v>214</v>
      </c>
    </row>
    <row r="575" spans="1:16" ht="12.75" customHeight="1">
      <c r="A575">
        <v>6</v>
      </c>
      <c r="B575" t="s">
        <v>157</v>
      </c>
      <c r="C575">
        <v>115</v>
      </c>
      <c r="D575" t="s">
        <v>295</v>
      </c>
      <c r="E575" t="s">
        <v>296</v>
      </c>
      <c r="F575" s="2">
        <v>28093</v>
      </c>
      <c r="G575" s="2">
        <v>28976</v>
      </c>
      <c r="H575" s="2">
        <v>39522</v>
      </c>
      <c r="I575" s="5">
        <v>38168</v>
      </c>
      <c r="J575" s="2">
        <v>38790</v>
      </c>
      <c r="K575" s="2">
        <v>35452</v>
      </c>
      <c r="L575" t="s">
        <v>297</v>
      </c>
      <c r="M575" t="s">
        <v>297</v>
      </c>
      <c r="N575" t="s">
        <v>753</v>
      </c>
      <c r="O575" t="s">
        <v>208</v>
      </c>
      <c r="P575" t="s">
        <v>215</v>
      </c>
    </row>
    <row r="576" spans="1:16" ht="12.75" customHeight="1">
      <c r="A576">
        <v>6</v>
      </c>
      <c r="B576" t="s">
        <v>157</v>
      </c>
      <c r="C576">
        <v>314</v>
      </c>
      <c r="D576" t="s">
        <v>295</v>
      </c>
      <c r="E576" t="s">
        <v>296</v>
      </c>
      <c r="F576" s="2">
        <v>29731</v>
      </c>
      <c r="G576" s="2">
        <v>30758</v>
      </c>
      <c r="H576" s="2">
        <v>39339</v>
      </c>
      <c r="I576" s="5">
        <v>39629</v>
      </c>
      <c r="J576" s="2">
        <v>38967</v>
      </c>
      <c r="K576" s="2">
        <v>39191</v>
      </c>
      <c r="L576" t="s">
        <v>297</v>
      </c>
      <c r="M576" t="s">
        <v>297</v>
      </c>
      <c r="N576" t="s">
        <v>754</v>
      </c>
      <c r="O576" t="s">
        <v>208</v>
      </c>
      <c r="P576" t="s">
        <v>215</v>
      </c>
    </row>
    <row r="577" spans="1:16" ht="12.75" customHeight="1">
      <c r="A577">
        <v>6</v>
      </c>
      <c r="B577" t="s">
        <v>157</v>
      </c>
      <c r="C577">
        <v>726</v>
      </c>
      <c r="D577" t="s">
        <v>295</v>
      </c>
      <c r="E577" t="s">
        <v>296</v>
      </c>
      <c r="F577" s="2">
        <v>32892</v>
      </c>
      <c r="G577" s="2">
        <v>33684</v>
      </c>
      <c r="H577" s="2">
        <v>39283</v>
      </c>
      <c r="I577" s="5">
        <v>39263</v>
      </c>
      <c r="J577" s="2">
        <v>33694</v>
      </c>
      <c r="K577" s="2">
        <v>36264</v>
      </c>
      <c r="L577" t="s">
        <v>297</v>
      </c>
      <c r="M577" t="s">
        <v>297</v>
      </c>
      <c r="N577" t="s">
        <v>755</v>
      </c>
      <c r="O577" t="s">
        <v>208</v>
      </c>
      <c r="P577" t="s">
        <v>215</v>
      </c>
    </row>
    <row r="578" spans="1:16" ht="12.75" customHeight="1">
      <c r="A578">
        <v>6</v>
      </c>
      <c r="B578" t="s">
        <v>157</v>
      </c>
      <c r="C578">
        <v>786</v>
      </c>
      <c r="D578" t="s">
        <v>295</v>
      </c>
      <c r="E578" t="s">
        <v>296</v>
      </c>
      <c r="F578" s="2">
        <v>33384</v>
      </c>
      <c r="G578" s="2">
        <v>35434</v>
      </c>
      <c r="H578" s="2">
        <v>38894</v>
      </c>
      <c r="I578" s="5">
        <v>38718</v>
      </c>
      <c r="J578" s="2">
        <v>39168</v>
      </c>
      <c r="K578" s="2">
        <v>39168</v>
      </c>
      <c r="L578" t="s">
        <v>297</v>
      </c>
      <c r="M578" t="s">
        <v>297</v>
      </c>
      <c r="N578" t="s">
        <v>756</v>
      </c>
      <c r="O578" t="s">
        <v>208</v>
      </c>
      <c r="P578" t="s">
        <v>215</v>
      </c>
    </row>
    <row r="579" spans="1:16" ht="12.75" customHeight="1">
      <c r="A579">
        <v>6</v>
      </c>
      <c r="B579" t="s">
        <v>157</v>
      </c>
      <c r="C579">
        <v>803</v>
      </c>
      <c r="D579" t="s">
        <v>295</v>
      </c>
      <c r="E579" t="s">
        <v>296</v>
      </c>
      <c r="F579" s="2">
        <v>33487</v>
      </c>
      <c r="G579" s="2">
        <v>34178</v>
      </c>
      <c r="H579" s="2">
        <v>39465</v>
      </c>
      <c r="I579" s="5">
        <v>37437</v>
      </c>
      <c r="J579" s="2">
        <v>35101</v>
      </c>
      <c r="K579" s="2">
        <v>35870</v>
      </c>
      <c r="L579" t="s">
        <v>297</v>
      </c>
      <c r="M579" t="s">
        <v>297</v>
      </c>
      <c r="N579" t="s">
        <v>757</v>
      </c>
      <c r="O579" t="s">
        <v>208</v>
      </c>
      <c r="P579" t="s">
        <v>215</v>
      </c>
    </row>
    <row r="580" spans="1:16" ht="12.75" customHeight="1">
      <c r="A580">
        <v>6</v>
      </c>
      <c r="B580" t="s">
        <v>157</v>
      </c>
      <c r="C580">
        <v>913</v>
      </c>
      <c r="D580" t="s">
        <v>295</v>
      </c>
      <c r="E580" t="s">
        <v>296</v>
      </c>
      <c r="F580" s="2">
        <v>34225</v>
      </c>
      <c r="G580" s="2">
        <v>38776</v>
      </c>
      <c r="H580" s="2">
        <v>39085</v>
      </c>
      <c r="I580" s="5">
        <v>38898</v>
      </c>
      <c r="J580" s="2">
        <v>38790</v>
      </c>
      <c r="K580" s="2">
        <v>38789</v>
      </c>
      <c r="L580" t="s">
        <v>297</v>
      </c>
      <c r="M580" t="s">
        <v>297</v>
      </c>
      <c r="N580" t="s">
        <v>758</v>
      </c>
      <c r="O580" t="s">
        <v>208</v>
      </c>
      <c r="P580" t="s">
        <v>215</v>
      </c>
    </row>
    <row r="581" spans="1:16" ht="12.75" customHeight="1">
      <c r="A581">
        <v>6</v>
      </c>
      <c r="B581" t="s">
        <v>157</v>
      </c>
      <c r="C581">
        <v>925</v>
      </c>
      <c r="D581" t="s">
        <v>759</v>
      </c>
      <c r="E581" t="s">
        <v>316</v>
      </c>
      <c r="H581" s="2">
        <v>34632</v>
      </c>
      <c r="K581" s="2">
        <v>34593</v>
      </c>
      <c r="L581" t="s">
        <v>297</v>
      </c>
      <c r="M581" t="s">
        <v>297</v>
      </c>
      <c r="N581" t="s">
        <v>369</v>
      </c>
      <c r="O581" t="s">
        <v>208</v>
      </c>
      <c r="P581" t="s">
        <v>215</v>
      </c>
    </row>
    <row r="582" spans="1:16" ht="12.75" customHeight="1">
      <c r="A582">
        <v>6</v>
      </c>
      <c r="B582" t="s">
        <v>157</v>
      </c>
      <c r="C582">
        <v>1013</v>
      </c>
      <c r="D582" t="s">
        <v>295</v>
      </c>
      <c r="E582" t="s">
        <v>296</v>
      </c>
      <c r="F582" s="2">
        <v>34674</v>
      </c>
      <c r="G582" s="2">
        <v>35209</v>
      </c>
      <c r="H582" s="2">
        <v>39272</v>
      </c>
      <c r="I582" s="5">
        <v>39082</v>
      </c>
      <c r="J582" s="2">
        <v>38114</v>
      </c>
      <c r="K582" s="2">
        <v>35578</v>
      </c>
      <c r="L582" t="s">
        <v>297</v>
      </c>
      <c r="M582" t="s">
        <v>297</v>
      </c>
      <c r="N582" t="s">
        <v>760</v>
      </c>
      <c r="O582" t="s">
        <v>208</v>
      </c>
      <c r="P582" t="s">
        <v>215</v>
      </c>
    </row>
    <row r="583" spans="1:16" ht="12.75" customHeight="1">
      <c r="A583" t="s">
        <v>208</v>
      </c>
      <c r="B583" t="s">
        <v>215</v>
      </c>
    </row>
    <row r="584" spans="1:16" ht="12.75" customHeight="1">
      <c r="A584">
        <v>6</v>
      </c>
      <c r="B584" t="s">
        <v>159</v>
      </c>
      <c r="C584">
        <v>193</v>
      </c>
      <c r="D584" t="s">
        <v>295</v>
      </c>
      <c r="E584" t="s">
        <v>296</v>
      </c>
      <c r="F584" s="2">
        <v>28684</v>
      </c>
      <c r="G584" s="2">
        <v>33817</v>
      </c>
      <c r="H584" s="2">
        <v>39405</v>
      </c>
      <c r="I584" s="5">
        <v>35277</v>
      </c>
      <c r="K584" s="2">
        <v>35181</v>
      </c>
      <c r="L584" t="s">
        <v>297</v>
      </c>
      <c r="M584" t="s">
        <v>297</v>
      </c>
      <c r="N584" t="s">
        <v>761</v>
      </c>
      <c r="O584" t="s">
        <v>208</v>
      </c>
      <c r="P584" t="s">
        <v>216</v>
      </c>
    </row>
    <row r="585" spans="1:16" ht="12.75" customHeight="1">
      <c r="A585">
        <v>6</v>
      </c>
      <c r="B585" t="s">
        <v>159</v>
      </c>
      <c r="C585">
        <v>573</v>
      </c>
      <c r="D585" t="s">
        <v>295</v>
      </c>
      <c r="E585" t="s">
        <v>296</v>
      </c>
      <c r="F585" s="2">
        <v>31794</v>
      </c>
      <c r="G585" s="2">
        <v>32578</v>
      </c>
      <c r="H585" s="2">
        <v>38708</v>
      </c>
      <c r="I585" s="5">
        <v>32980</v>
      </c>
      <c r="K585" s="2">
        <v>31841</v>
      </c>
      <c r="L585" t="s">
        <v>297</v>
      </c>
      <c r="M585" t="s">
        <v>297</v>
      </c>
      <c r="N585" t="s">
        <v>762</v>
      </c>
      <c r="O585" t="s">
        <v>208</v>
      </c>
      <c r="P585" t="s">
        <v>216</v>
      </c>
    </row>
    <row r="586" spans="1:16" ht="12.75" customHeight="1">
      <c r="A586">
        <v>6</v>
      </c>
      <c r="B586" t="s">
        <v>159</v>
      </c>
      <c r="C586">
        <v>718</v>
      </c>
      <c r="D586" t="s">
        <v>295</v>
      </c>
      <c r="E586" t="s">
        <v>296</v>
      </c>
      <c r="F586" s="2">
        <v>32892</v>
      </c>
      <c r="G586" s="2">
        <v>32893</v>
      </c>
      <c r="H586" s="2">
        <v>39514</v>
      </c>
      <c r="I586" s="5">
        <v>35611</v>
      </c>
      <c r="J586" s="2">
        <v>35263</v>
      </c>
      <c r="K586" s="2">
        <v>37691</v>
      </c>
      <c r="L586" t="s">
        <v>297</v>
      </c>
      <c r="M586" t="s">
        <v>297</v>
      </c>
      <c r="N586" t="s">
        <v>763</v>
      </c>
      <c r="O586" t="s">
        <v>208</v>
      </c>
      <c r="P586" t="s">
        <v>216</v>
      </c>
    </row>
    <row r="587" spans="1:16" ht="12.75" customHeight="1">
      <c r="A587">
        <v>6</v>
      </c>
      <c r="B587" t="s">
        <v>159</v>
      </c>
      <c r="C587">
        <v>863</v>
      </c>
      <c r="D587" t="s">
        <v>295</v>
      </c>
      <c r="E587" t="s">
        <v>296</v>
      </c>
      <c r="F587" s="2">
        <v>33879</v>
      </c>
      <c r="G587" s="2">
        <v>34845</v>
      </c>
      <c r="H587" s="2">
        <v>39430</v>
      </c>
      <c r="I587" s="5">
        <v>36160</v>
      </c>
      <c r="K587" s="2">
        <v>38880</v>
      </c>
      <c r="L587" t="s">
        <v>297</v>
      </c>
      <c r="M587" t="s">
        <v>297</v>
      </c>
      <c r="N587" t="s">
        <v>764</v>
      </c>
      <c r="O587" t="s">
        <v>208</v>
      </c>
      <c r="P587" t="s">
        <v>216</v>
      </c>
    </row>
    <row r="588" spans="1:16" ht="12.75" customHeight="1">
      <c r="A588">
        <v>6</v>
      </c>
      <c r="B588" t="s">
        <v>159</v>
      </c>
      <c r="C588">
        <v>1018</v>
      </c>
      <c r="D588" t="s">
        <v>295</v>
      </c>
      <c r="E588" t="s">
        <v>299</v>
      </c>
      <c r="F588" s="2">
        <v>34729</v>
      </c>
      <c r="H588" s="2">
        <v>39206</v>
      </c>
      <c r="I588" s="5">
        <v>34729</v>
      </c>
      <c r="K588" s="2">
        <v>35131</v>
      </c>
      <c r="L588" t="s">
        <v>322</v>
      </c>
      <c r="M588" t="s">
        <v>297</v>
      </c>
      <c r="N588" t="s">
        <v>765</v>
      </c>
      <c r="O588" t="s">
        <v>208</v>
      </c>
      <c r="P588" t="s">
        <v>216</v>
      </c>
    </row>
    <row r="589" spans="1:16" ht="12.75" customHeight="1">
      <c r="A589">
        <v>6</v>
      </c>
      <c r="B589" t="s">
        <v>159</v>
      </c>
      <c r="C589">
        <v>1024</v>
      </c>
      <c r="D589" t="s">
        <v>295</v>
      </c>
      <c r="E589" t="s">
        <v>299</v>
      </c>
      <c r="F589" s="2">
        <v>34729</v>
      </c>
      <c r="H589" s="2">
        <v>39104</v>
      </c>
      <c r="I589" s="5">
        <v>37072</v>
      </c>
      <c r="J589" s="2">
        <v>34961</v>
      </c>
      <c r="K589" s="2">
        <v>35146</v>
      </c>
      <c r="L589" t="s">
        <v>297</v>
      </c>
      <c r="M589" t="s">
        <v>297</v>
      </c>
      <c r="N589" t="s">
        <v>318</v>
      </c>
      <c r="O589" t="s">
        <v>208</v>
      </c>
      <c r="P589" t="s">
        <v>216</v>
      </c>
    </row>
    <row r="590" spans="1:16" ht="12.75" customHeight="1">
      <c r="A590">
        <v>6</v>
      </c>
      <c r="B590" t="s">
        <v>159</v>
      </c>
      <c r="C590">
        <v>1047</v>
      </c>
      <c r="D590" t="s">
        <v>295</v>
      </c>
      <c r="E590" t="s">
        <v>296</v>
      </c>
      <c r="F590" s="2">
        <v>34788</v>
      </c>
      <c r="G590" s="2">
        <v>35937</v>
      </c>
      <c r="H590" s="2">
        <v>39495</v>
      </c>
      <c r="I590" s="5">
        <v>39629</v>
      </c>
      <c r="K590" s="2">
        <v>35900</v>
      </c>
      <c r="L590" t="s">
        <v>297</v>
      </c>
      <c r="M590" t="s">
        <v>297</v>
      </c>
      <c r="N590" t="s">
        <v>766</v>
      </c>
      <c r="O590" t="s">
        <v>208</v>
      </c>
      <c r="P590" t="s">
        <v>216</v>
      </c>
    </row>
    <row r="591" spans="1:16" ht="12.75" customHeight="1">
      <c r="A591">
        <v>6</v>
      </c>
      <c r="B591" t="s">
        <v>159</v>
      </c>
      <c r="C591">
        <v>1124</v>
      </c>
      <c r="D591" t="s">
        <v>658</v>
      </c>
      <c r="E591" t="s">
        <v>316</v>
      </c>
      <c r="F591" s="2">
        <v>35270</v>
      </c>
      <c r="H591" s="2">
        <v>35935</v>
      </c>
      <c r="I591" s="5">
        <v>35673</v>
      </c>
      <c r="L591" t="s">
        <v>317</v>
      </c>
      <c r="M591" t="s">
        <v>297</v>
      </c>
      <c r="N591" t="s">
        <v>369</v>
      </c>
      <c r="O591" t="s">
        <v>208</v>
      </c>
      <c r="P591" t="s">
        <v>216</v>
      </c>
    </row>
    <row r="592" spans="1:16" ht="12.75" customHeight="1">
      <c r="A592">
        <v>6</v>
      </c>
      <c r="B592" t="s">
        <v>159</v>
      </c>
      <c r="C592">
        <v>1168</v>
      </c>
      <c r="D592" t="s">
        <v>404</v>
      </c>
      <c r="E592" t="s">
        <v>316</v>
      </c>
      <c r="F592" s="2">
        <v>35464</v>
      </c>
      <c r="J592" s="2">
        <v>35531</v>
      </c>
      <c r="L592" t="s">
        <v>317</v>
      </c>
      <c r="M592" t="s">
        <v>297</v>
      </c>
      <c r="N592" t="s">
        <v>369</v>
      </c>
      <c r="O592" t="s">
        <v>208</v>
      </c>
      <c r="P592" t="s">
        <v>216</v>
      </c>
    </row>
    <row r="593" spans="1:16" ht="12.75" customHeight="1">
      <c r="A593">
        <v>6</v>
      </c>
      <c r="B593" t="s">
        <v>159</v>
      </c>
      <c r="C593">
        <v>1284</v>
      </c>
      <c r="D593" t="s">
        <v>295</v>
      </c>
      <c r="E593" t="s">
        <v>296</v>
      </c>
      <c r="F593" s="2">
        <v>36208</v>
      </c>
      <c r="G593" s="2">
        <v>37036</v>
      </c>
      <c r="H593" s="2">
        <v>39288</v>
      </c>
      <c r="I593" s="5">
        <v>39172</v>
      </c>
      <c r="J593" s="2">
        <v>37029</v>
      </c>
      <c r="K593" s="2">
        <v>39127</v>
      </c>
      <c r="L593" t="s">
        <v>297</v>
      </c>
      <c r="M593" t="s">
        <v>297</v>
      </c>
      <c r="N593" t="s">
        <v>767</v>
      </c>
      <c r="O593" t="s">
        <v>208</v>
      </c>
      <c r="P593" t="s">
        <v>216</v>
      </c>
    </row>
    <row r="594" spans="1:16" ht="12.75" customHeight="1">
      <c r="A594" t="s">
        <v>208</v>
      </c>
      <c r="B594" t="s">
        <v>216</v>
      </c>
    </row>
    <row r="595" spans="1:16" ht="12.75" customHeight="1">
      <c r="A595" t="s">
        <v>768</v>
      </c>
    </row>
    <row r="596" spans="1:16" ht="12.75" customHeight="1">
      <c r="A596">
        <v>7</v>
      </c>
      <c r="B596" t="s">
        <v>140</v>
      </c>
      <c r="C596">
        <v>274</v>
      </c>
      <c r="D596" t="s">
        <v>295</v>
      </c>
      <c r="E596" t="s">
        <v>296</v>
      </c>
      <c r="F596" s="2">
        <v>29462</v>
      </c>
      <c r="G596" s="2">
        <v>31857</v>
      </c>
      <c r="H596" s="2">
        <v>39199</v>
      </c>
      <c r="I596" s="5">
        <v>32387</v>
      </c>
      <c r="K596" s="2">
        <v>33471</v>
      </c>
      <c r="L596" t="s">
        <v>297</v>
      </c>
      <c r="N596" t="s">
        <v>769</v>
      </c>
      <c r="O596" t="s">
        <v>217</v>
      </c>
      <c r="P596" t="s">
        <v>218</v>
      </c>
    </row>
    <row r="597" spans="1:16" ht="12.75" customHeight="1">
      <c r="A597">
        <v>7</v>
      </c>
      <c r="B597" t="s">
        <v>140</v>
      </c>
      <c r="C597">
        <v>403</v>
      </c>
      <c r="D597" t="s">
        <v>295</v>
      </c>
      <c r="E597" t="s">
        <v>296</v>
      </c>
      <c r="F597" s="2">
        <v>30530</v>
      </c>
      <c r="G597" s="2">
        <v>32220</v>
      </c>
      <c r="H597" s="2">
        <v>39264</v>
      </c>
      <c r="I597" s="5">
        <v>39568</v>
      </c>
      <c r="K597" s="2">
        <v>38940</v>
      </c>
      <c r="L597" t="s">
        <v>297</v>
      </c>
      <c r="M597" t="s">
        <v>297</v>
      </c>
      <c r="N597" t="s">
        <v>770</v>
      </c>
      <c r="O597" t="s">
        <v>217</v>
      </c>
      <c r="P597" t="s">
        <v>218</v>
      </c>
    </row>
    <row r="598" spans="1:16" ht="12.75" customHeight="1">
      <c r="A598">
        <v>7</v>
      </c>
      <c r="B598" t="s">
        <v>140</v>
      </c>
      <c r="C598">
        <v>527</v>
      </c>
      <c r="D598" t="s">
        <v>295</v>
      </c>
      <c r="E598" t="s">
        <v>296</v>
      </c>
      <c r="F598" s="2">
        <v>31493</v>
      </c>
      <c r="G598" s="2">
        <v>32648</v>
      </c>
      <c r="H598" s="2">
        <v>39288</v>
      </c>
      <c r="I598" s="5">
        <v>39263</v>
      </c>
      <c r="K598" s="2">
        <v>36243</v>
      </c>
      <c r="L598" t="s">
        <v>297</v>
      </c>
      <c r="M598" t="s">
        <v>297</v>
      </c>
      <c r="N598" t="s">
        <v>771</v>
      </c>
      <c r="O598" t="s">
        <v>217</v>
      </c>
      <c r="P598" t="s">
        <v>218</v>
      </c>
    </row>
    <row r="599" spans="1:16" ht="12.75" customHeight="1">
      <c r="A599">
        <v>7</v>
      </c>
      <c r="B599" t="s">
        <v>140</v>
      </c>
      <c r="C599">
        <v>601</v>
      </c>
      <c r="D599" t="s">
        <v>295</v>
      </c>
      <c r="E599" t="s">
        <v>296</v>
      </c>
      <c r="F599" s="2">
        <v>31922</v>
      </c>
      <c r="G599" s="2">
        <v>31922</v>
      </c>
      <c r="H599" s="2">
        <v>38190</v>
      </c>
      <c r="I599" s="5">
        <v>39629</v>
      </c>
      <c r="J599" s="2">
        <v>32336</v>
      </c>
      <c r="K599" s="2">
        <v>38513</v>
      </c>
      <c r="L599" t="s">
        <v>297</v>
      </c>
      <c r="M599" t="s">
        <v>297</v>
      </c>
      <c r="N599" t="s">
        <v>772</v>
      </c>
      <c r="O599" t="s">
        <v>217</v>
      </c>
      <c r="P599" t="s">
        <v>218</v>
      </c>
    </row>
    <row r="600" spans="1:16" ht="12.75" customHeight="1">
      <c r="A600">
        <v>7</v>
      </c>
      <c r="B600" t="s">
        <v>140</v>
      </c>
      <c r="C600">
        <v>738</v>
      </c>
      <c r="D600" t="s">
        <v>295</v>
      </c>
      <c r="E600" t="s">
        <v>296</v>
      </c>
      <c r="F600" s="2">
        <v>32949</v>
      </c>
      <c r="G600" s="2">
        <v>32949</v>
      </c>
      <c r="H600" s="2">
        <v>38951</v>
      </c>
      <c r="I600" s="5">
        <v>39629</v>
      </c>
      <c r="K600" s="2">
        <v>34485</v>
      </c>
      <c r="L600" t="s">
        <v>297</v>
      </c>
      <c r="M600" t="s">
        <v>297</v>
      </c>
      <c r="N600" t="s">
        <v>773</v>
      </c>
      <c r="O600" t="s">
        <v>217</v>
      </c>
      <c r="P600" t="s">
        <v>218</v>
      </c>
    </row>
    <row r="601" spans="1:16" ht="12.75" customHeight="1">
      <c r="A601">
        <v>7</v>
      </c>
      <c r="B601" t="s">
        <v>140</v>
      </c>
      <c r="C601">
        <v>818</v>
      </c>
      <c r="D601" t="s">
        <v>295</v>
      </c>
      <c r="E601" t="s">
        <v>296</v>
      </c>
      <c r="F601" s="2">
        <v>33621</v>
      </c>
      <c r="G601" s="2">
        <v>33621</v>
      </c>
      <c r="H601" s="2">
        <v>39297</v>
      </c>
      <c r="I601" s="5">
        <v>36280</v>
      </c>
      <c r="K601" s="2">
        <v>38809</v>
      </c>
      <c r="L601" t="s">
        <v>297</v>
      </c>
      <c r="M601" t="s">
        <v>297</v>
      </c>
      <c r="N601" t="s">
        <v>774</v>
      </c>
      <c r="O601" t="s">
        <v>217</v>
      </c>
      <c r="P601" t="s">
        <v>218</v>
      </c>
    </row>
    <row r="602" spans="1:16" ht="12.75" customHeight="1">
      <c r="A602">
        <v>7</v>
      </c>
      <c r="B602" t="s">
        <v>140</v>
      </c>
      <c r="C602">
        <v>892</v>
      </c>
      <c r="D602" t="s">
        <v>295</v>
      </c>
      <c r="E602" t="s">
        <v>296</v>
      </c>
      <c r="F602" s="2">
        <v>34117</v>
      </c>
      <c r="G602" s="2">
        <v>34775</v>
      </c>
      <c r="H602" s="2">
        <v>38890</v>
      </c>
      <c r="I602" s="5">
        <v>39263</v>
      </c>
      <c r="K602" s="2">
        <v>39314</v>
      </c>
      <c r="L602" t="s">
        <v>297</v>
      </c>
      <c r="M602" t="s">
        <v>297</v>
      </c>
      <c r="N602" t="s">
        <v>775</v>
      </c>
      <c r="O602" t="s">
        <v>217</v>
      </c>
      <c r="P602" t="s">
        <v>218</v>
      </c>
    </row>
    <row r="603" spans="1:16" ht="12.75" customHeight="1">
      <c r="A603">
        <v>7</v>
      </c>
      <c r="B603" t="s">
        <v>140</v>
      </c>
      <c r="C603">
        <v>895</v>
      </c>
      <c r="D603" t="s">
        <v>295</v>
      </c>
      <c r="E603" t="s">
        <v>296</v>
      </c>
      <c r="F603" s="2">
        <v>34117</v>
      </c>
      <c r="G603" s="2">
        <v>38776</v>
      </c>
      <c r="H603" s="2">
        <v>39351</v>
      </c>
      <c r="I603" s="5">
        <v>39629</v>
      </c>
      <c r="L603" t="s">
        <v>297</v>
      </c>
      <c r="M603" t="s">
        <v>297</v>
      </c>
      <c r="N603" t="s">
        <v>776</v>
      </c>
      <c r="O603" t="s">
        <v>217</v>
      </c>
      <c r="P603" t="s">
        <v>218</v>
      </c>
    </row>
    <row r="604" spans="1:16" ht="12.75" customHeight="1">
      <c r="A604">
        <v>7</v>
      </c>
      <c r="B604" t="s">
        <v>140</v>
      </c>
      <c r="C604">
        <v>940</v>
      </c>
      <c r="D604" t="s">
        <v>295</v>
      </c>
      <c r="E604" t="s">
        <v>296</v>
      </c>
      <c r="F604" s="2">
        <v>34396</v>
      </c>
      <c r="G604" s="2">
        <v>34408</v>
      </c>
      <c r="H604" s="2">
        <v>39186</v>
      </c>
      <c r="I604" s="5">
        <v>39629</v>
      </c>
      <c r="K604" s="2">
        <v>35110</v>
      </c>
      <c r="L604" t="s">
        <v>297</v>
      </c>
      <c r="M604" t="s">
        <v>297</v>
      </c>
      <c r="N604" t="s">
        <v>777</v>
      </c>
      <c r="O604" t="s">
        <v>217</v>
      </c>
      <c r="P604" t="s">
        <v>218</v>
      </c>
    </row>
    <row r="605" spans="1:16" ht="12.75" customHeight="1">
      <c r="A605">
        <v>7</v>
      </c>
      <c r="B605" t="s">
        <v>140</v>
      </c>
      <c r="C605">
        <v>941</v>
      </c>
      <c r="D605" t="s">
        <v>295</v>
      </c>
      <c r="E605" t="s">
        <v>296</v>
      </c>
      <c r="F605" s="2">
        <v>34396</v>
      </c>
      <c r="G605" s="2">
        <v>34408</v>
      </c>
      <c r="H605" s="2">
        <v>39142</v>
      </c>
      <c r="I605" s="5">
        <v>39263</v>
      </c>
      <c r="J605" s="2">
        <v>36846</v>
      </c>
      <c r="K605" s="2">
        <v>35870</v>
      </c>
      <c r="L605" t="s">
        <v>297</v>
      </c>
      <c r="M605" t="s">
        <v>297</v>
      </c>
      <c r="N605" t="s">
        <v>778</v>
      </c>
      <c r="O605" t="s">
        <v>217</v>
      </c>
      <c r="P605" t="s">
        <v>218</v>
      </c>
    </row>
    <row r="606" spans="1:16" ht="12.75" customHeight="1">
      <c r="A606">
        <v>7</v>
      </c>
      <c r="B606" t="s">
        <v>140</v>
      </c>
      <c r="C606">
        <v>1012</v>
      </c>
      <c r="D606" t="s">
        <v>295</v>
      </c>
      <c r="E606" t="s">
        <v>299</v>
      </c>
      <c r="F606" s="2">
        <v>38583</v>
      </c>
      <c r="H606" s="2">
        <v>39041</v>
      </c>
      <c r="I606" s="5">
        <v>39263</v>
      </c>
      <c r="L606" t="s">
        <v>297</v>
      </c>
      <c r="M606" t="s">
        <v>297</v>
      </c>
      <c r="N606" t="s">
        <v>779</v>
      </c>
      <c r="O606" t="s">
        <v>217</v>
      </c>
      <c r="P606" t="s">
        <v>218</v>
      </c>
    </row>
    <row r="607" spans="1:16" ht="12.75" customHeight="1">
      <c r="A607">
        <v>7</v>
      </c>
      <c r="B607" t="s">
        <v>140</v>
      </c>
      <c r="C607">
        <v>1092</v>
      </c>
      <c r="D607" t="s">
        <v>375</v>
      </c>
      <c r="E607" t="s">
        <v>376</v>
      </c>
      <c r="F607" s="2">
        <v>35117</v>
      </c>
      <c r="I607" s="5">
        <v>35611</v>
      </c>
      <c r="L607" t="s">
        <v>317</v>
      </c>
      <c r="N607" t="s">
        <v>369</v>
      </c>
      <c r="O607" t="s">
        <v>217</v>
      </c>
      <c r="P607" t="s">
        <v>218</v>
      </c>
    </row>
    <row r="608" spans="1:16" ht="12.75" customHeight="1">
      <c r="A608" t="s">
        <v>217</v>
      </c>
      <c r="B608" t="s">
        <v>218</v>
      </c>
    </row>
    <row r="609" spans="1:16" ht="12.75" customHeight="1">
      <c r="A609">
        <v>7</v>
      </c>
      <c r="B609" t="s">
        <v>317</v>
      </c>
      <c r="C609">
        <v>118</v>
      </c>
      <c r="D609" t="s">
        <v>295</v>
      </c>
      <c r="E609" t="s">
        <v>296</v>
      </c>
      <c r="F609" s="2">
        <v>28093</v>
      </c>
      <c r="G609" s="2">
        <v>28901</v>
      </c>
      <c r="H609" s="2">
        <v>39281</v>
      </c>
      <c r="I609" s="5">
        <v>36738</v>
      </c>
      <c r="J609" s="2">
        <v>37865</v>
      </c>
      <c r="K609" s="2">
        <v>35345</v>
      </c>
      <c r="L609" t="s">
        <v>297</v>
      </c>
      <c r="M609" t="s">
        <v>297</v>
      </c>
      <c r="N609" t="s">
        <v>780</v>
      </c>
      <c r="O609" t="s">
        <v>217</v>
      </c>
      <c r="P609" t="s">
        <v>219</v>
      </c>
    </row>
    <row r="610" spans="1:16" ht="12.75" customHeight="1">
      <c r="A610">
        <v>7</v>
      </c>
      <c r="B610" t="s">
        <v>317</v>
      </c>
      <c r="C610">
        <v>119</v>
      </c>
      <c r="D610" t="s">
        <v>295</v>
      </c>
      <c r="E610" t="s">
        <v>296</v>
      </c>
      <c r="F610" s="2">
        <v>28093</v>
      </c>
      <c r="G610" s="2">
        <v>28901</v>
      </c>
      <c r="H610" s="2">
        <v>39331</v>
      </c>
      <c r="I610" s="5">
        <v>39629</v>
      </c>
      <c r="J610" s="2">
        <v>38988</v>
      </c>
      <c r="K610" s="2">
        <v>38147</v>
      </c>
      <c r="L610" t="s">
        <v>297</v>
      </c>
      <c r="M610" t="s">
        <v>297</v>
      </c>
      <c r="N610" t="s">
        <v>781</v>
      </c>
      <c r="O610" t="s">
        <v>217</v>
      </c>
      <c r="P610" t="s">
        <v>219</v>
      </c>
    </row>
    <row r="611" spans="1:16" ht="12.75" customHeight="1">
      <c r="A611">
        <v>7</v>
      </c>
      <c r="B611" t="s">
        <v>317</v>
      </c>
      <c r="C611">
        <v>155</v>
      </c>
      <c r="D611" t="s">
        <v>461</v>
      </c>
      <c r="E611" t="s">
        <v>376</v>
      </c>
      <c r="H611" s="2">
        <v>32935</v>
      </c>
      <c r="I611" s="5">
        <v>33328</v>
      </c>
      <c r="K611" s="2">
        <v>32941</v>
      </c>
      <c r="L611" t="s">
        <v>297</v>
      </c>
      <c r="N611" t="s">
        <v>318</v>
      </c>
      <c r="O611" t="s">
        <v>217</v>
      </c>
      <c r="P611" t="s">
        <v>219</v>
      </c>
    </row>
    <row r="612" spans="1:16" ht="12.75" customHeight="1">
      <c r="A612">
        <v>7</v>
      </c>
      <c r="B612" t="s">
        <v>317</v>
      </c>
      <c r="C612">
        <v>188</v>
      </c>
      <c r="D612" t="s">
        <v>295</v>
      </c>
      <c r="E612" t="s">
        <v>296</v>
      </c>
      <c r="F612" s="2">
        <v>28640</v>
      </c>
      <c r="G612" s="2">
        <v>28696</v>
      </c>
      <c r="H612" s="2">
        <v>39378</v>
      </c>
      <c r="I612" s="5">
        <v>38472</v>
      </c>
      <c r="J612" s="2">
        <v>38285</v>
      </c>
      <c r="K612" s="2">
        <v>39371</v>
      </c>
      <c r="L612" t="s">
        <v>297</v>
      </c>
      <c r="M612" t="s">
        <v>297</v>
      </c>
      <c r="N612" t="s">
        <v>782</v>
      </c>
      <c r="O612" t="s">
        <v>217</v>
      </c>
      <c r="P612" t="s">
        <v>219</v>
      </c>
    </row>
    <row r="613" spans="1:16" ht="12.75" customHeight="1">
      <c r="A613">
        <v>7</v>
      </c>
      <c r="B613" t="s">
        <v>317</v>
      </c>
      <c r="C613">
        <v>269</v>
      </c>
      <c r="D613" t="s">
        <v>295</v>
      </c>
      <c r="E613" t="s">
        <v>296</v>
      </c>
      <c r="F613" s="2">
        <v>29399</v>
      </c>
      <c r="G613" s="2">
        <v>31344</v>
      </c>
      <c r="H613" s="2">
        <v>39202</v>
      </c>
      <c r="I613" s="5">
        <v>39629</v>
      </c>
      <c r="J613" s="2">
        <v>37865</v>
      </c>
      <c r="K613" s="2">
        <v>38603</v>
      </c>
      <c r="L613" t="s">
        <v>297</v>
      </c>
      <c r="M613" t="s">
        <v>297</v>
      </c>
      <c r="N613" t="s">
        <v>783</v>
      </c>
      <c r="O613" t="s">
        <v>217</v>
      </c>
      <c r="P613" t="s">
        <v>219</v>
      </c>
    </row>
    <row r="614" spans="1:16" ht="12.75" customHeight="1">
      <c r="A614">
        <v>7</v>
      </c>
      <c r="B614" t="s">
        <v>317</v>
      </c>
      <c r="C614">
        <v>289</v>
      </c>
      <c r="D614" t="s">
        <v>295</v>
      </c>
      <c r="E614" t="s">
        <v>296</v>
      </c>
      <c r="F614" s="2">
        <v>29630</v>
      </c>
      <c r="G614" s="2">
        <v>29884</v>
      </c>
      <c r="H614" s="2">
        <v>38868</v>
      </c>
      <c r="I614" s="5">
        <v>37986</v>
      </c>
      <c r="J614" s="2">
        <v>37865</v>
      </c>
      <c r="K614" s="2">
        <v>38688</v>
      </c>
      <c r="L614" t="s">
        <v>297</v>
      </c>
      <c r="M614" t="s">
        <v>297</v>
      </c>
      <c r="N614" t="s">
        <v>784</v>
      </c>
      <c r="O614" t="s">
        <v>217</v>
      </c>
      <c r="P614" t="s">
        <v>219</v>
      </c>
    </row>
    <row r="615" spans="1:16" ht="12.75" customHeight="1">
      <c r="A615">
        <v>7</v>
      </c>
      <c r="B615" t="s">
        <v>317</v>
      </c>
      <c r="C615">
        <v>358</v>
      </c>
      <c r="D615" t="s">
        <v>295</v>
      </c>
      <c r="E615" t="s">
        <v>296</v>
      </c>
      <c r="F615" s="2">
        <v>30099</v>
      </c>
      <c r="G615" s="2">
        <v>30394</v>
      </c>
      <c r="H615" s="2">
        <v>38622</v>
      </c>
      <c r="I615" s="5">
        <v>36250</v>
      </c>
      <c r="J615" s="2">
        <v>35431</v>
      </c>
      <c r="K615" s="2">
        <v>36287</v>
      </c>
      <c r="L615" t="s">
        <v>297</v>
      </c>
      <c r="N615" t="s">
        <v>785</v>
      </c>
      <c r="O615" t="s">
        <v>217</v>
      </c>
      <c r="P615" t="s">
        <v>219</v>
      </c>
    </row>
    <row r="616" spans="1:16" ht="12.75" customHeight="1">
      <c r="A616">
        <v>7</v>
      </c>
      <c r="B616" t="s">
        <v>317</v>
      </c>
      <c r="C616">
        <v>381</v>
      </c>
      <c r="D616" t="s">
        <v>295</v>
      </c>
      <c r="E616" t="s">
        <v>296</v>
      </c>
      <c r="F616" s="2">
        <v>30337</v>
      </c>
      <c r="G616" s="2">
        <v>26686</v>
      </c>
      <c r="H616" s="2">
        <v>38498</v>
      </c>
      <c r="I616" s="5">
        <v>36372</v>
      </c>
      <c r="J616" s="2">
        <v>34730</v>
      </c>
      <c r="K616" s="2">
        <v>35499</v>
      </c>
      <c r="L616" t="s">
        <v>297</v>
      </c>
      <c r="M616" t="s">
        <v>297</v>
      </c>
      <c r="N616" t="s">
        <v>786</v>
      </c>
      <c r="O616" t="s">
        <v>217</v>
      </c>
      <c r="P616" t="s">
        <v>219</v>
      </c>
    </row>
    <row r="617" spans="1:16" ht="12.75" customHeight="1">
      <c r="A617">
        <v>7</v>
      </c>
      <c r="B617" t="s">
        <v>317</v>
      </c>
      <c r="C617">
        <v>769</v>
      </c>
      <c r="D617" t="s">
        <v>295</v>
      </c>
      <c r="E617" t="s">
        <v>296</v>
      </c>
      <c r="F617" s="2">
        <v>33264</v>
      </c>
      <c r="G617" s="2">
        <v>33264</v>
      </c>
      <c r="H617" s="2">
        <v>39408</v>
      </c>
      <c r="I617" s="5">
        <v>37802</v>
      </c>
      <c r="J617" s="2">
        <v>37865</v>
      </c>
      <c r="K617" s="2">
        <v>36285</v>
      </c>
      <c r="L617" t="s">
        <v>297</v>
      </c>
      <c r="M617" t="s">
        <v>297</v>
      </c>
      <c r="N617" t="s">
        <v>787</v>
      </c>
      <c r="O617" t="s">
        <v>217</v>
      </c>
      <c r="P617" t="s">
        <v>219</v>
      </c>
    </row>
    <row r="618" spans="1:16" ht="12.75" customHeight="1">
      <c r="A618" t="s">
        <v>217</v>
      </c>
      <c r="B618" t="s">
        <v>219</v>
      </c>
    </row>
    <row r="619" spans="1:16" ht="12.75" customHeight="1">
      <c r="A619">
        <v>7</v>
      </c>
      <c r="B619" t="s">
        <v>220</v>
      </c>
      <c r="C619">
        <v>48</v>
      </c>
      <c r="D619" t="s">
        <v>295</v>
      </c>
      <c r="E619" t="s">
        <v>296</v>
      </c>
      <c r="F619" s="2">
        <v>27275</v>
      </c>
      <c r="G619" s="2">
        <v>27591</v>
      </c>
      <c r="H619" s="2">
        <v>39248</v>
      </c>
      <c r="I619" s="5">
        <v>38533</v>
      </c>
      <c r="J619" s="2">
        <v>37893</v>
      </c>
      <c r="K619" s="2">
        <v>35912</v>
      </c>
      <c r="L619" t="s">
        <v>297</v>
      </c>
      <c r="M619" t="s">
        <v>297</v>
      </c>
      <c r="N619" t="s">
        <v>788</v>
      </c>
      <c r="O619" t="s">
        <v>217</v>
      </c>
      <c r="P619" t="s">
        <v>221</v>
      </c>
    </row>
    <row r="620" spans="1:16" ht="12.75" customHeight="1">
      <c r="A620">
        <v>7</v>
      </c>
      <c r="B620" t="s">
        <v>220</v>
      </c>
      <c r="C620">
        <v>100</v>
      </c>
      <c r="D620" t="s">
        <v>295</v>
      </c>
      <c r="E620" t="s">
        <v>296</v>
      </c>
      <c r="F620" s="2">
        <v>27785</v>
      </c>
      <c r="G620" s="2">
        <v>28990</v>
      </c>
      <c r="H620" s="2">
        <v>39462</v>
      </c>
      <c r="I620" s="5">
        <v>37256</v>
      </c>
      <c r="J620" s="2">
        <v>32707</v>
      </c>
      <c r="K620" s="2">
        <v>35131</v>
      </c>
      <c r="L620" t="s">
        <v>297</v>
      </c>
      <c r="M620" t="s">
        <v>297</v>
      </c>
      <c r="N620" t="s">
        <v>789</v>
      </c>
      <c r="O620" t="s">
        <v>217</v>
      </c>
      <c r="P620" t="s">
        <v>221</v>
      </c>
    </row>
    <row r="621" spans="1:16" ht="12.75" customHeight="1">
      <c r="A621">
        <v>7</v>
      </c>
      <c r="B621" t="s">
        <v>220</v>
      </c>
      <c r="C621">
        <v>113</v>
      </c>
      <c r="D621" t="s">
        <v>295</v>
      </c>
      <c r="E621" t="s">
        <v>296</v>
      </c>
      <c r="F621" s="2">
        <v>27771</v>
      </c>
      <c r="G621" s="2">
        <v>28944</v>
      </c>
      <c r="H621" s="2">
        <v>39363</v>
      </c>
      <c r="I621" s="5">
        <v>39629</v>
      </c>
      <c r="J621" s="2">
        <v>33688</v>
      </c>
      <c r="K621" s="2">
        <v>35822</v>
      </c>
      <c r="L621" t="s">
        <v>297</v>
      </c>
      <c r="M621" t="s">
        <v>297</v>
      </c>
      <c r="N621" t="s">
        <v>790</v>
      </c>
      <c r="O621" t="s">
        <v>217</v>
      </c>
      <c r="P621" t="s">
        <v>221</v>
      </c>
    </row>
    <row r="622" spans="1:16" ht="12.75" customHeight="1">
      <c r="A622">
        <v>7</v>
      </c>
      <c r="B622" t="s">
        <v>220</v>
      </c>
      <c r="C622">
        <v>178</v>
      </c>
      <c r="D622" t="s">
        <v>295</v>
      </c>
      <c r="E622" t="s">
        <v>296</v>
      </c>
      <c r="F622" s="2">
        <v>28572</v>
      </c>
      <c r="G622" s="2">
        <v>28901</v>
      </c>
      <c r="H622" s="2">
        <v>39518</v>
      </c>
      <c r="I622" s="5">
        <v>35064</v>
      </c>
      <c r="J622" s="2">
        <v>39356</v>
      </c>
      <c r="K622" s="2">
        <v>39132</v>
      </c>
      <c r="L622" t="s">
        <v>297</v>
      </c>
      <c r="M622" t="s">
        <v>297</v>
      </c>
      <c r="N622" t="s">
        <v>791</v>
      </c>
      <c r="O622" t="s">
        <v>217</v>
      </c>
      <c r="P622" t="s">
        <v>221</v>
      </c>
    </row>
    <row r="623" spans="1:16" ht="12.75" customHeight="1">
      <c r="A623">
        <v>7</v>
      </c>
      <c r="B623" t="s">
        <v>220</v>
      </c>
      <c r="C623">
        <v>985</v>
      </c>
      <c r="D623" t="s">
        <v>295</v>
      </c>
      <c r="E623" t="s">
        <v>299</v>
      </c>
      <c r="F623" s="2">
        <v>34561</v>
      </c>
      <c r="H623" s="2">
        <v>36843</v>
      </c>
      <c r="I623" s="5">
        <v>34911</v>
      </c>
      <c r="L623" t="s">
        <v>297</v>
      </c>
      <c r="N623" t="s">
        <v>792</v>
      </c>
      <c r="O623" t="s">
        <v>217</v>
      </c>
      <c r="P623" t="s">
        <v>221</v>
      </c>
    </row>
    <row r="624" spans="1:16" ht="12.75" customHeight="1">
      <c r="A624">
        <v>7</v>
      </c>
      <c r="B624" t="s">
        <v>220</v>
      </c>
      <c r="C624">
        <v>1147</v>
      </c>
      <c r="D624" t="s">
        <v>295</v>
      </c>
      <c r="E624" t="s">
        <v>299</v>
      </c>
      <c r="F624" s="2">
        <v>35363</v>
      </c>
      <c r="H624" s="2">
        <v>36027</v>
      </c>
      <c r="I624" s="5">
        <v>35703</v>
      </c>
      <c r="J624" s="2">
        <v>35485</v>
      </c>
      <c r="K624" s="2">
        <v>35485</v>
      </c>
      <c r="L624" t="s">
        <v>297</v>
      </c>
      <c r="N624" t="s">
        <v>793</v>
      </c>
      <c r="O624" t="s">
        <v>217</v>
      </c>
      <c r="P624" t="s">
        <v>221</v>
      </c>
    </row>
    <row r="625" spans="1:16" ht="12.75" customHeight="1">
      <c r="A625" t="s">
        <v>217</v>
      </c>
      <c r="B625" t="s">
        <v>221</v>
      </c>
    </row>
    <row r="626" spans="1:16" ht="12.75" customHeight="1">
      <c r="A626" t="s">
        <v>794</v>
      </c>
    </row>
    <row r="627" spans="1:16" ht="12.75" customHeight="1">
      <c r="A627">
        <v>8</v>
      </c>
      <c r="B627" t="s">
        <v>140</v>
      </c>
      <c r="C627">
        <v>694</v>
      </c>
      <c r="D627" t="s">
        <v>315</v>
      </c>
      <c r="E627" t="s">
        <v>316</v>
      </c>
      <c r="F627" s="2">
        <v>32691</v>
      </c>
      <c r="G627" s="2">
        <v>33264</v>
      </c>
      <c r="H627" s="2">
        <v>38108</v>
      </c>
      <c r="I627" s="5">
        <v>37437</v>
      </c>
      <c r="K627" s="2">
        <v>35644</v>
      </c>
      <c r="L627" t="s">
        <v>297</v>
      </c>
      <c r="M627" t="s">
        <v>297</v>
      </c>
      <c r="O627" t="s">
        <v>222</v>
      </c>
      <c r="P627" t="s">
        <v>223</v>
      </c>
    </row>
    <row r="628" spans="1:16" ht="12.75" customHeight="1">
      <c r="A628">
        <v>8</v>
      </c>
      <c r="B628" t="s">
        <v>140</v>
      </c>
      <c r="C628">
        <v>872</v>
      </c>
      <c r="D628" t="s">
        <v>295</v>
      </c>
      <c r="E628" t="s">
        <v>296</v>
      </c>
      <c r="F628" s="2">
        <v>33939</v>
      </c>
      <c r="G628" s="2">
        <v>35140</v>
      </c>
      <c r="H628" s="2">
        <v>39404</v>
      </c>
      <c r="I628" s="5">
        <v>37072</v>
      </c>
      <c r="K628" s="2">
        <v>36438</v>
      </c>
      <c r="L628" t="s">
        <v>297</v>
      </c>
      <c r="N628" t="s">
        <v>795</v>
      </c>
      <c r="O628" t="s">
        <v>222</v>
      </c>
      <c r="P628" t="s">
        <v>223</v>
      </c>
    </row>
    <row r="629" spans="1:16" ht="12.75" customHeight="1">
      <c r="A629">
        <v>8</v>
      </c>
      <c r="B629" t="s">
        <v>140</v>
      </c>
      <c r="C629">
        <v>902</v>
      </c>
      <c r="D629" t="s">
        <v>295</v>
      </c>
      <c r="E629" t="s">
        <v>296</v>
      </c>
      <c r="F629" s="2">
        <v>34178</v>
      </c>
      <c r="G629" s="2">
        <v>35434</v>
      </c>
      <c r="H629" s="2">
        <v>39264</v>
      </c>
      <c r="I629" s="5">
        <v>35611</v>
      </c>
      <c r="K629" s="2">
        <v>35675</v>
      </c>
      <c r="L629" t="s">
        <v>297</v>
      </c>
      <c r="M629" t="s">
        <v>297</v>
      </c>
      <c r="N629" t="s">
        <v>796</v>
      </c>
      <c r="O629" t="s">
        <v>222</v>
      </c>
      <c r="P629" t="s">
        <v>223</v>
      </c>
    </row>
    <row r="630" spans="1:16" ht="12.75" customHeight="1">
      <c r="A630">
        <v>8</v>
      </c>
      <c r="B630" t="s">
        <v>140</v>
      </c>
      <c r="C630">
        <v>1051</v>
      </c>
      <c r="D630" t="s">
        <v>295</v>
      </c>
      <c r="E630" t="s">
        <v>296</v>
      </c>
      <c r="F630" s="2">
        <v>34806</v>
      </c>
      <c r="G630" s="2">
        <v>35356</v>
      </c>
      <c r="H630" s="2">
        <v>38859</v>
      </c>
      <c r="I630" s="5">
        <v>38898</v>
      </c>
      <c r="J630" s="2">
        <v>38877</v>
      </c>
      <c r="K630" s="2">
        <v>35919</v>
      </c>
      <c r="L630" t="s">
        <v>297</v>
      </c>
      <c r="M630" t="s">
        <v>297</v>
      </c>
      <c r="N630" t="s">
        <v>797</v>
      </c>
      <c r="O630" t="s">
        <v>222</v>
      </c>
      <c r="P630" t="s">
        <v>223</v>
      </c>
    </row>
    <row r="631" spans="1:16" ht="12.75" customHeight="1">
      <c r="A631">
        <v>8</v>
      </c>
      <c r="B631" t="s">
        <v>140</v>
      </c>
      <c r="C631">
        <v>1163</v>
      </c>
      <c r="D631" t="s">
        <v>295</v>
      </c>
      <c r="E631" t="s">
        <v>296</v>
      </c>
      <c r="F631" s="2">
        <v>35449</v>
      </c>
      <c r="G631" s="2">
        <v>36238</v>
      </c>
      <c r="H631" s="2">
        <v>38872</v>
      </c>
      <c r="I631" s="5">
        <v>39629</v>
      </c>
      <c r="K631" s="2">
        <v>37603</v>
      </c>
      <c r="L631" t="s">
        <v>297</v>
      </c>
      <c r="M631" t="s">
        <v>297</v>
      </c>
      <c r="N631" t="s">
        <v>798</v>
      </c>
      <c r="O631" t="s">
        <v>222</v>
      </c>
      <c r="P631" t="s">
        <v>223</v>
      </c>
    </row>
    <row r="632" spans="1:16" ht="12.75" customHeight="1">
      <c r="A632">
        <v>8</v>
      </c>
      <c r="B632" t="s">
        <v>140</v>
      </c>
      <c r="C632">
        <v>1177</v>
      </c>
      <c r="D632" t="s">
        <v>380</v>
      </c>
      <c r="E632" t="s">
        <v>316</v>
      </c>
      <c r="F632" s="2">
        <v>35487</v>
      </c>
      <c r="G632" s="2">
        <v>36175</v>
      </c>
      <c r="H632" s="2">
        <v>38093</v>
      </c>
      <c r="I632" s="5">
        <v>36372</v>
      </c>
      <c r="K632" s="2">
        <v>35564</v>
      </c>
      <c r="L632" t="s">
        <v>297</v>
      </c>
      <c r="M632" t="s">
        <v>297</v>
      </c>
      <c r="N632" t="s">
        <v>318</v>
      </c>
      <c r="O632" t="s">
        <v>222</v>
      </c>
      <c r="P632" t="s">
        <v>223</v>
      </c>
    </row>
    <row r="633" spans="1:16" ht="12.75" customHeight="1">
      <c r="A633">
        <v>8</v>
      </c>
      <c r="B633" t="s">
        <v>140</v>
      </c>
      <c r="C633">
        <v>1193</v>
      </c>
      <c r="D633" t="s">
        <v>295</v>
      </c>
      <c r="E633" t="s">
        <v>296</v>
      </c>
      <c r="F633" s="2">
        <v>35563</v>
      </c>
      <c r="G633" s="2">
        <v>38499</v>
      </c>
      <c r="H633" s="2">
        <v>38568</v>
      </c>
      <c r="I633" s="5">
        <v>39202</v>
      </c>
      <c r="J633" s="2">
        <v>37831</v>
      </c>
      <c r="L633" t="s">
        <v>322</v>
      </c>
      <c r="M633" t="s">
        <v>297</v>
      </c>
      <c r="N633" t="s">
        <v>799</v>
      </c>
      <c r="O633" t="s">
        <v>222</v>
      </c>
      <c r="P633" t="s">
        <v>223</v>
      </c>
    </row>
    <row r="634" spans="1:16" ht="12.75" customHeight="1">
      <c r="A634">
        <v>8</v>
      </c>
      <c r="B634" t="s">
        <v>140</v>
      </c>
      <c r="C634">
        <v>1224</v>
      </c>
      <c r="D634" t="s">
        <v>295</v>
      </c>
      <c r="E634" t="s">
        <v>296</v>
      </c>
      <c r="F634" s="2">
        <v>35752</v>
      </c>
      <c r="G634" s="2">
        <v>36175</v>
      </c>
      <c r="H634" s="2">
        <v>39317</v>
      </c>
      <c r="I634" s="5">
        <v>36677</v>
      </c>
      <c r="L634" t="s">
        <v>297</v>
      </c>
      <c r="N634" t="s">
        <v>800</v>
      </c>
      <c r="O634" t="s">
        <v>222</v>
      </c>
      <c r="P634" t="s">
        <v>223</v>
      </c>
    </row>
    <row r="635" spans="1:16" ht="12.75" customHeight="1">
      <c r="A635">
        <v>8</v>
      </c>
      <c r="B635" t="s">
        <v>140</v>
      </c>
      <c r="C635">
        <v>1298</v>
      </c>
      <c r="D635" t="s">
        <v>295</v>
      </c>
      <c r="E635" t="s">
        <v>296</v>
      </c>
      <c r="F635" s="2">
        <v>36300</v>
      </c>
      <c r="G635" s="2">
        <v>37036</v>
      </c>
      <c r="H635" s="2">
        <v>39485</v>
      </c>
      <c r="I635" s="5">
        <v>39263</v>
      </c>
      <c r="J635" s="2">
        <v>38932</v>
      </c>
      <c r="K635" s="2">
        <v>38932</v>
      </c>
      <c r="L635" t="s">
        <v>297</v>
      </c>
      <c r="M635" t="s">
        <v>297</v>
      </c>
      <c r="N635" t="s">
        <v>801</v>
      </c>
      <c r="O635" t="s">
        <v>222</v>
      </c>
      <c r="P635" t="s">
        <v>223</v>
      </c>
    </row>
    <row r="636" spans="1:16" ht="12.75" customHeight="1">
      <c r="A636">
        <v>8</v>
      </c>
      <c r="B636" t="s">
        <v>140</v>
      </c>
      <c r="C636">
        <v>1308</v>
      </c>
      <c r="D636" t="s">
        <v>295</v>
      </c>
      <c r="E636" t="s">
        <v>296</v>
      </c>
      <c r="F636" s="2">
        <v>36375</v>
      </c>
      <c r="G636" s="2">
        <v>39108</v>
      </c>
      <c r="H636" s="2">
        <v>39496</v>
      </c>
      <c r="I636" s="5">
        <v>39263</v>
      </c>
      <c r="J636" s="2">
        <v>39433</v>
      </c>
      <c r="K636" s="2">
        <v>39496</v>
      </c>
      <c r="L636" t="s">
        <v>297</v>
      </c>
      <c r="M636" t="s">
        <v>297</v>
      </c>
      <c r="N636" t="s">
        <v>802</v>
      </c>
      <c r="O636" t="s">
        <v>222</v>
      </c>
      <c r="P636" t="s">
        <v>223</v>
      </c>
    </row>
    <row r="637" spans="1:16" ht="12.75" customHeight="1">
      <c r="A637">
        <v>8</v>
      </c>
      <c r="B637" t="s">
        <v>140</v>
      </c>
      <c r="C637">
        <v>1354</v>
      </c>
      <c r="D637" t="s">
        <v>295</v>
      </c>
      <c r="E637" t="s">
        <v>296</v>
      </c>
      <c r="F637" s="2">
        <v>36732</v>
      </c>
      <c r="G637" s="2">
        <v>37330</v>
      </c>
      <c r="H637" s="2">
        <v>39211</v>
      </c>
      <c r="I637" s="5">
        <v>38868</v>
      </c>
      <c r="J637" s="2">
        <v>38881</v>
      </c>
      <c r="K637" s="2">
        <v>38938</v>
      </c>
      <c r="L637" t="s">
        <v>297</v>
      </c>
      <c r="M637" t="s">
        <v>297</v>
      </c>
      <c r="N637" t="s">
        <v>803</v>
      </c>
      <c r="O637" t="s">
        <v>222</v>
      </c>
      <c r="P637" t="s">
        <v>223</v>
      </c>
    </row>
    <row r="638" spans="1:16" ht="12.75" customHeight="1">
      <c r="A638">
        <v>8</v>
      </c>
      <c r="B638" t="s">
        <v>140</v>
      </c>
      <c r="C638">
        <v>1471</v>
      </c>
      <c r="D638" t="s">
        <v>295</v>
      </c>
      <c r="E638" t="s">
        <v>296</v>
      </c>
      <c r="F638" s="2">
        <v>38076</v>
      </c>
      <c r="G638" s="2">
        <v>38776</v>
      </c>
      <c r="H638" s="2">
        <v>39490</v>
      </c>
      <c r="I638" s="5">
        <v>38564</v>
      </c>
      <c r="K638" s="2">
        <v>38583</v>
      </c>
      <c r="L638" t="s">
        <v>322</v>
      </c>
      <c r="M638" t="s">
        <v>322</v>
      </c>
      <c r="N638" t="s">
        <v>804</v>
      </c>
      <c r="O638" t="s">
        <v>222</v>
      </c>
      <c r="P638" t="s">
        <v>223</v>
      </c>
    </row>
    <row r="639" spans="1:16" ht="12.75" customHeight="1">
      <c r="A639">
        <v>8</v>
      </c>
      <c r="B639" t="s">
        <v>140</v>
      </c>
      <c r="C639">
        <v>1472</v>
      </c>
      <c r="D639" t="s">
        <v>295</v>
      </c>
      <c r="E639" t="s">
        <v>296</v>
      </c>
      <c r="F639" s="2">
        <v>38076</v>
      </c>
      <c r="G639" s="2">
        <v>38776</v>
      </c>
      <c r="H639" s="2">
        <v>39490</v>
      </c>
      <c r="I639" s="5">
        <v>39629</v>
      </c>
      <c r="K639" s="2">
        <v>38926</v>
      </c>
      <c r="L639" t="s">
        <v>297</v>
      </c>
      <c r="M639" t="s">
        <v>322</v>
      </c>
      <c r="N639" t="s">
        <v>805</v>
      </c>
      <c r="O639" t="s">
        <v>222</v>
      </c>
      <c r="P639" t="s">
        <v>223</v>
      </c>
    </row>
    <row r="640" spans="1:16" ht="12.75" customHeight="1">
      <c r="A640">
        <v>8</v>
      </c>
      <c r="B640" t="s">
        <v>140</v>
      </c>
      <c r="C640">
        <v>1523</v>
      </c>
      <c r="D640" t="s">
        <v>295</v>
      </c>
      <c r="E640" t="s">
        <v>296</v>
      </c>
      <c r="F640" s="2">
        <v>38888</v>
      </c>
      <c r="G640" s="2">
        <v>39465</v>
      </c>
      <c r="H640" s="2">
        <v>39275</v>
      </c>
      <c r="I640" s="5">
        <v>39629</v>
      </c>
      <c r="K640" s="2">
        <v>39275</v>
      </c>
      <c r="L640" t="s">
        <v>297</v>
      </c>
      <c r="M640" t="s">
        <v>297</v>
      </c>
      <c r="N640" t="s">
        <v>806</v>
      </c>
      <c r="O640" t="s">
        <v>222</v>
      </c>
      <c r="P640" t="s">
        <v>223</v>
      </c>
    </row>
    <row r="641" spans="1:16" ht="12.75" customHeight="1">
      <c r="A641" t="s">
        <v>222</v>
      </c>
      <c r="B641" t="s">
        <v>223</v>
      </c>
    </row>
    <row r="642" spans="1:16" ht="12.75" customHeight="1">
      <c r="A642">
        <v>8</v>
      </c>
      <c r="B642" t="s">
        <v>149</v>
      </c>
      <c r="C642">
        <v>211</v>
      </c>
      <c r="D642" t="s">
        <v>295</v>
      </c>
      <c r="E642" t="s">
        <v>296</v>
      </c>
      <c r="F642" s="2">
        <v>28832</v>
      </c>
      <c r="G642" s="2">
        <v>28986</v>
      </c>
      <c r="H642" s="2">
        <v>38751</v>
      </c>
      <c r="I642" s="5">
        <v>39263</v>
      </c>
      <c r="J642" s="2">
        <v>33207</v>
      </c>
      <c r="K642" s="2">
        <v>34904</v>
      </c>
      <c r="L642" t="s">
        <v>297</v>
      </c>
      <c r="M642" t="s">
        <v>297</v>
      </c>
      <c r="N642" t="s">
        <v>807</v>
      </c>
      <c r="O642" t="s">
        <v>222</v>
      </c>
      <c r="P642" t="s">
        <v>224</v>
      </c>
    </row>
    <row r="643" spans="1:16" ht="12.75" customHeight="1">
      <c r="A643">
        <v>8</v>
      </c>
      <c r="B643" t="s">
        <v>149</v>
      </c>
      <c r="C643">
        <v>212</v>
      </c>
      <c r="D643" t="s">
        <v>295</v>
      </c>
      <c r="E643" t="s">
        <v>296</v>
      </c>
      <c r="F643" s="2">
        <v>28832</v>
      </c>
      <c r="G643" s="2">
        <v>28986</v>
      </c>
      <c r="H643" s="2">
        <v>39219</v>
      </c>
      <c r="I643" s="5">
        <v>38199</v>
      </c>
      <c r="K643" s="2">
        <v>37160</v>
      </c>
      <c r="L643" t="s">
        <v>297</v>
      </c>
      <c r="M643" t="s">
        <v>297</v>
      </c>
      <c r="N643" t="s">
        <v>808</v>
      </c>
      <c r="O643" t="s">
        <v>222</v>
      </c>
      <c r="P643" t="s">
        <v>224</v>
      </c>
    </row>
    <row r="644" spans="1:16" ht="12.75" customHeight="1">
      <c r="A644">
        <v>8</v>
      </c>
      <c r="B644" t="s">
        <v>149</v>
      </c>
      <c r="C644">
        <v>277</v>
      </c>
      <c r="D644" t="s">
        <v>295</v>
      </c>
      <c r="E644" t="s">
        <v>296</v>
      </c>
      <c r="F644" s="2">
        <v>29462</v>
      </c>
      <c r="G644" s="2">
        <v>29739</v>
      </c>
      <c r="H644" s="2">
        <v>39285</v>
      </c>
      <c r="I644" s="5">
        <v>39619</v>
      </c>
      <c r="J644" s="2">
        <v>38028</v>
      </c>
      <c r="K644" s="2">
        <v>35851</v>
      </c>
      <c r="L644" t="s">
        <v>297</v>
      </c>
      <c r="M644" t="s">
        <v>297</v>
      </c>
      <c r="N644" t="s">
        <v>809</v>
      </c>
      <c r="O644" t="s">
        <v>222</v>
      </c>
      <c r="P644" t="s">
        <v>224</v>
      </c>
    </row>
    <row r="645" spans="1:16" ht="12.75" customHeight="1">
      <c r="A645">
        <v>8</v>
      </c>
      <c r="B645" t="s">
        <v>149</v>
      </c>
      <c r="C645">
        <v>333</v>
      </c>
      <c r="D645" t="s">
        <v>295</v>
      </c>
      <c r="E645" t="s">
        <v>296</v>
      </c>
      <c r="F645" s="2">
        <v>29910</v>
      </c>
      <c r="G645" s="2">
        <v>30758</v>
      </c>
      <c r="H645" s="2">
        <v>39304</v>
      </c>
      <c r="I645" s="5">
        <v>31519</v>
      </c>
      <c r="J645" s="2">
        <v>30740</v>
      </c>
      <c r="K645" s="2">
        <v>34712</v>
      </c>
      <c r="L645" t="s">
        <v>297</v>
      </c>
      <c r="N645" t="s">
        <v>810</v>
      </c>
      <c r="O645" t="s">
        <v>222</v>
      </c>
      <c r="P645" t="s">
        <v>224</v>
      </c>
    </row>
    <row r="646" spans="1:16" ht="12.75" customHeight="1">
      <c r="A646">
        <v>8</v>
      </c>
      <c r="B646" t="s">
        <v>149</v>
      </c>
      <c r="C646">
        <v>575</v>
      </c>
      <c r="D646" t="s">
        <v>295</v>
      </c>
      <c r="E646" t="s">
        <v>296</v>
      </c>
      <c r="F646" s="2">
        <v>31857</v>
      </c>
      <c r="G646" s="2">
        <v>33313</v>
      </c>
      <c r="H646" s="2">
        <v>39484</v>
      </c>
      <c r="I646" s="5">
        <v>37802</v>
      </c>
      <c r="J646" s="2">
        <v>35740</v>
      </c>
      <c r="K646" s="2">
        <v>36416</v>
      </c>
      <c r="L646" t="s">
        <v>297</v>
      </c>
      <c r="M646" t="s">
        <v>297</v>
      </c>
      <c r="N646" t="s">
        <v>811</v>
      </c>
      <c r="O646" t="s">
        <v>222</v>
      </c>
      <c r="P646" t="s">
        <v>224</v>
      </c>
    </row>
    <row r="647" spans="1:16" ht="12.75" customHeight="1">
      <c r="A647">
        <v>8</v>
      </c>
      <c r="B647" t="s">
        <v>149</v>
      </c>
      <c r="C647">
        <v>609</v>
      </c>
      <c r="D647" t="s">
        <v>295</v>
      </c>
      <c r="E647" t="s">
        <v>296</v>
      </c>
      <c r="F647" s="2">
        <v>31969</v>
      </c>
      <c r="G647" s="2">
        <v>33679</v>
      </c>
      <c r="H647" s="2">
        <v>38621</v>
      </c>
      <c r="I647" s="5">
        <v>38230</v>
      </c>
      <c r="K647" s="2">
        <v>36213</v>
      </c>
      <c r="L647" t="s">
        <v>297</v>
      </c>
      <c r="M647" t="s">
        <v>297</v>
      </c>
      <c r="N647" t="s">
        <v>812</v>
      </c>
      <c r="O647" t="s">
        <v>222</v>
      </c>
      <c r="P647" t="s">
        <v>224</v>
      </c>
    </row>
    <row r="648" spans="1:16" ht="12.75" customHeight="1">
      <c r="A648">
        <v>8</v>
      </c>
      <c r="B648" t="s">
        <v>149</v>
      </c>
      <c r="C648">
        <v>669</v>
      </c>
      <c r="D648" t="s">
        <v>295</v>
      </c>
      <c r="E648" t="s">
        <v>296</v>
      </c>
      <c r="F648" s="2">
        <v>32521</v>
      </c>
      <c r="G648" s="2">
        <v>33382</v>
      </c>
      <c r="H648" s="2">
        <v>39358</v>
      </c>
      <c r="I648" s="5">
        <v>38929</v>
      </c>
      <c r="K648" s="2">
        <v>38394</v>
      </c>
      <c r="L648" t="s">
        <v>297</v>
      </c>
      <c r="M648" t="s">
        <v>297</v>
      </c>
      <c r="N648" t="s">
        <v>813</v>
      </c>
      <c r="O648" t="s">
        <v>222</v>
      </c>
      <c r="P648" t="s">
        <v>224</v>
      </c>
    </row>
    <row r="649" spans="1:16" ht="12.75" customHeight="1">
      <c r="A649">
        <v>8</v>
      </c>
      <c r="B649" t="s">
        <v>149</v>
      </c>
      <c r="C649">
        <v>1196</v>
      </c>
      <c r="D649" t="s">
        <v>295</v>
      </c>
      <c r="E649" t="s">
        <v>296</v>
      </c>
      <c r="F649" s="2">
        <v>35583</v>
      </c>
      <c r="G649" s="2">
        <v>38366</v>
      </c>
      <c r="H649" s="2">
        <v>38405</v>
      </c>
      <c r="I649" s="5">
        <v>38898</v>
      </c>
      <c r="L649" t="s">
        <v>297</v>
      </c>
      <c r="M649" t="s">
        <v>297</v>
      </c>
      <c r="N649" t="s">
        <v>814</v>
      </c>
      <c r="O649" t="s">
        <v>222</v>
      </c>
      <c r="P649" t="s">
        <v>224</v>
      </c>
    </row>
    <row r="650" spans="1:16" ht="12.75" customHeight="1">
      <c r="A650">
        <v>8</v>
      </c>
      <c r="B650" t="s">
        <v>149</v>
      </c>
      <c r="C650">
        <v>1245</v>
      </c>
      <c r="D650" t="s">
        <v>295</v>
      </c>
      <c r="E650" t="s">
        <v>299</v>
      </c>
      <c r="F650" s="2">
        <v>35899</v>
      </c>
      <c r="H650" s="2">
        <v>39253</v>
      </c>
      <c r="J650" s="2">
        <v>37765</v>
      </c>
      <c r="L650" t="s">
        <v>297</v>
      </c>
      <c r="M650" t="s">
        <v>297</v>
      </c>
      <c r="N650" t="s">
        <v>815</v>
      </c>
      <c r="O650" t="s">
        <v>222</v>
      </c>
      <c r="P650" t="s">
        <v>224</v>
      </c>
    </row>
    <row r="651" spans="1:16" ht="12.75" customHeight="1">
      <c r="A651">
        <v>8</v>
      </c>
      <c r="B651" t="s">
        <v>149</v>
      </c>
      <c r="C651">
        <v>1350</v>
      </c>
      <c r="D651" t="s">
        <v>295</v>
      </c>
      <c r="E651" t="s">
        <v>296</v>
      </c>
      <c r="F651" s="2">
        <v>36691</v>
      </c>
      <c r="G651" s="2">
        <v>37764</v>
      </c>
      <c r="H651" s="2">
        <v>39062</v>
      </c>
      <c r="I651" s="5">
        <v>39629</v>
      </c>
      <c r="L651" t="s">
        <v>297</v>
      </c>
      <c r="M651" t="s">
        <v>322</v>
      </c>
      <c r="N651" t="s">
        <v>816</v>
      </c>
      <c r="O651" t="s">
        <v>222</v>
      </c>
      <c r="P651" t="s">
        <v>224</v>
      </c>
    </row>
    <row r="652" spans="1:16" ht="12.75" customHeight="1">
      <c r="A652">
        <v>8</v>
      </c>
      <c r="B652" t="s">
        <v>149</v>
      </c>
      <c r="C652">
        <v>1411</v>
      </c>
      <c r="D652" t="s">
        <v>295</v>
      </c>
      <c r="E652" t="s">
        <v>296</v>
      </c>
      <c r="F652" s="2">
        <v>37369</v>
      </c>
      <c r="G652" s="2">
        <v>37764</v>
      </c>
      <c r="H652" s="2">
        <v>38408</v>
      </c>
      <c r="L652" t="s">
        <v>297</v>
      </c>
      <c r="M652" t="s">
        <v>297</v>
      </c>
      <c r="N652" t="s">
        <v>817</v>
      </c>
      <c r="O652" t="s">
        <v>222</v>
      </c>
      <c r="P652" t="s">
        <v>224</v>
      </c>
    </row>
    <row r="653" spans="1:16" ht="12.75" customHeight="1">
      <c r="A653">
        <v>8</v>
      </c>
      <c r="B653" t="s">
        <v>149</v>
      </c>
      <c r="C653">
        <v>1506</v>
      </c>
      <c r="D653" t="s">
        <v>295</v>
      </c>
      <c r="E653" t="s">
        <v>299</v>
      </c>
      <c r="F653" s="2">
        <v>38482</v>
      </c>
      <c r="H653" s="2">
        <v>39428</v>
      </c>
      <c r="I653" s="5">
        <v>38868</v>
      </c>
      <c r="L653" t="s">
        <v>297</v>
      </c>
      <c r="M653" t="s">
        <v>297</v>
      </c>
      <c r="N653" t="s">
        <v>818</v>
      </c>
      <c r="O653" t="s">
        <v>222</v>
      </c>
      <c r="P653" t="s">
        <v>224</v>
      </c>
    </row>
    <row r="654" spans="1:16" ht="12.75" customHeight="1">
      <c r="A654" t="s">
        <v>222</v>
      </c>
      <c r="B654" t="s">
        <v>224</v>
      </c>
    </row>
    <row r="655" spans="1:16" ht="12.75" customHeight="1">
      <c r="A655">
        <v>8</v>
      </c>
      <c r="B655" t="s">
        <v>296</v>
      </c>
      <c r="C655">
        <v>52</v>
      </c>
      <c r="D655" t="s">
        <v>295</v>
      </c>
      <c r="E655" t="s">
        <v>296</v>
      </c>
      <c r="F655" s="2">
        <v>27440</v>
      </c>
      <c r="G655" s="2">
        <v>27886</v>
      </c>
      <c r="H655" s="2">
        <v>39465</v>
      </c>
      <c r="I655" s="5">
        <v>37256</v>
      </c>
      <c r="J655" s="2">
        <v>34039</v>
      </c>
      <c r="K655" s="2">
        <v>36243</v>
      </c>
      <c r="L655" t="s">
        <v>297</v>
      </c>
      <c r="M655" t="s">
        <v>297</v>
      </c>
      <c r="N655" t="s">
        <v>819</v>
      </c>
      <c r="O655" t="s">
        <v>222</v>
      </c>
      <c r="P655" t="s">
        <v>225</v>
      </c>
    </row>
    <row r="656" spans="1:16" ht="12.75" customHeight="1">
      <c r="A656">
        <v>8</v>
      </c>
      <c r="B656" t="s">
        <v>296</v>
      </c>
      <c r="C656">
        <v>125</v>
      </c>
      <c r="D656" t="s">
        <v>295</v>
      </c>
      <c r="E656" t="s">
        <v>296</v>
      </c>
      <c r="F656" s="2">
        <v>28093</v>
      </c>
      <c r="G656" s="2">
        <v>28901</v>
      </c>
      <c r="H656" s="2">
        <v>39474</v>
      </c>
      <c r="I656" s="5">
        <v>39629</v>
      </c>
      <c r="J656" s="2">
        <v>39436</v>
      </c>
      <c r="K656" s="2">
        <v>36486</v>
      </c>
      <c r="L656" t="s">
        <v>297</v>
      </c>
      <c r="M656" t="s">
        <v>297</v>
      </c>
      <c r="N656" t="s">
        <v>820</v>
      </c>
      <c r="O656" t="s">
        <v>222</v>
      </c>
      <c r="P656" t="s">
        <v>225</v>
      </c>
    </row>
    <row r="657" spans="1:16" ht="12.75" customHeight="1">
      <c r="A657">
        <v>8</v>
      </c>
      <c r="B657" t="s">
        <v>296</v>
      </c>
      <c r="C657">
        <v>158</v>
      </c>
      <c r="D657" t="s">
        <v>295</v>
      </c>
      <c r="E657" t="s">
        <v>296</v>
      </c>
      <c r="F657" s="2">
        <v>28499</v>
      </c>
      <c r="G657" s="2">
        <v>28845</v>
      </c>
      <c r="H657" s="2">
        <v>39372</v>
      </c>
      <c r="J657" s="2">
        <v>34596</v>
      </c>
      <c r="K657" s="2">
        <v>35347</v>
      </c>
      <c r="L657" t="s">
        <v>297</v>
      </c>
      <c r="M657" t="s">
        <v>297</v>
      </c>
      <c r="N657" t="s">
        <v>821</v>
      </c>
      <c r="O657" t="s">
        <v>222</v>
      </c>
      <c r="P657" t="s">
        <v>225</v>
      </c>
    </row>
    <row r="658" spans="1:16" ht="12.75" customHeight="1">
      <c r="A658">
        <v>8</v>
      </c>
      <c r="B658" t="s">
        <v>296</v>
      </c>
      <c r="C658">
        <v>161</v>
      </c>
      <c r="D658" t="s">
        <v>295</v>
      </c>
      <c r="E658" t="s">
        <v>296</v>
      </c>
      <c r="F658" s="2">
        <v>28296</v>
      </c>
      <c r="G658" s="2">
        <v>31113</v>
      </c>
      <c r="H658" s="2">
        <v>39268</v>
      </c>
      <c r="I658" s="5">
        <v>39021</v>
      </c>
      <c r="K658" s="2">
        <v>38601</v>
      </c>
      <c r="L658" t="s">
        <v>297</v>
      </c>
      <c r="M658" t="s">
        <v>297</v>
      </c>
      <c r="N658" t="s">
        <v>822</v>
      </c>
      <c r="O658" t="s">
        <v>222</v>
      </c>
      <c r="P658" t="s">
        <v>225</v>
      </c>
    </row>
    <row r="659" spans="1:16" ht="12.75" customHeight="1">
      <c r="A659">
        <v>8</v>
      </c>
      <c r="B659" t="s">
        <v>296</v>
      </c>
      <c r="C659">
        <v>190</v>
      </c>
      <c r="D659" t="s">
        <v>295</v>
      </c>
      <c r="E659" t="s">
        <v>296</v>
      </c>
      <c r="F659" s="2">
        <v>28649</v>
      </c>
      <c r="G659" s="2">
        <v>28835</v>
      </c>
      <c r="H659" s="2">
        <v>39464</v>
      </c>
      <c r="I659" s="5">
        <v>39629</v>
      </c>
      <c r="J659" s="2">
        <v>36196</v>
      </c>
      <c r="K659" s="2">
        <v>38096</v>
      </c>
      <c r="L659" t="s">
        <v>297</v>
      </c>
      <c r="M659" t="s">
        <v>297</v>
      </c>
      <c r="N659" t="s">
        <v>823</v>
      </c>
      <c r="O659" t="s">
        <v>222</v>
      </c>
      <c r="P659" t="s">
        <v>225</v>
      </c>
    </row>
    <row r="660" spans="1:16" ht="12.75" customHeight="1">
      <c r="A660">
        <v>8</v>
      </c>
      <c r="B660" t="s">
        <v>296</v>
      </c>
      <c r="C660">
        <v>195</v>
      </c>
      <c r="D660" t="s">
        <v>295</v>
      </c>
      <c r="E660" t="s">
        <v>296</v>
      </c>
      <c r="F660" s="2">
        <v>28684</v>
      </c>
      <c r="G660" s="2">
        <v>28986</v>
      </c>
      <c r="H660" s="2">
        <v>39454</v>
      </c>
      <c r="I660" s="5">
        <v>38533</v>
      </c>
      <c r="J660" s="2">
        <v>36047</v>
      </c>
      <c r="K660" s="2">
        <v>33878</v>
      </c>
      <c r="L660" t="s">
        <v>297</v>
      </c>
      <c r="M660" t="s">
        <v>297</v>
      </c>
      <c r="N660" t="s">
        <v>824</v>
      </c>
      <c r="O660" t="s">
        <v>222</v>
      </c>
      <c r="P660" t="s">
        <v>225</v>
      </c>
    </row>
    <row r="661" spans="1:16" ht="12.75" customHeight="1">
      <c r="A661">
        <v>8</v>
      </c>
      <c r="B661" t="s">
        <v>296</v>
      </c>
      <c r="C661">
        <v>205</v>
      </c>
      <c r="D661" t="s">
        <v>295</v>
      </c>
      <c r="E661" t="s">
        <v>296</v>
      </c>
      <c r="F661" s="2">
        <v>28832</v>
      </c>
      <c r="G661" s="2">
        <v>29185</v>
      </c>
      <c r="H661" s="2">
        <v>39255</v>
      </c>
      <c r="I661" s="5">
        <v>39263</v>
      </c>
      <c r="J661" s="2">
        <v>32233</v>
      </c>
      <c r="K661" s="2">
        <v>38792</v>
      </c>
      <c r="L661" t="s">
        <v>297</v>
      </c>
      <c r="M661" t="s">
        <v>297</v>
      </c>
      <c r="N661" t="s">
        <v>825</v>
      </c>
      <c r="O661" t="s">
        <v>222</v>
      </c>
      <c r="P661" t="s">
        <v>225</v>
      </c>
    </row>
    <row r="662" spans="1:16" ht="12.75" customHeight="1">
      <c r="A662">
        <v>8</v>
      </c>
      <c r="B662" t="s">
        <v>296</v>
      </c>
      <c r="C662">
        <v>448</v>
      </c>
      <c r="D662" t="s">
        <v>295</v>
      </c>
      <c r="E662" t="s">
        <v>296</v>
      </c>
      <c r="F662" s="2">
        <v>30989</v>
      </c>
      <c r="G662" s="2">
        <v>34051</v>
      </c>
      <c r="H662" s="2">
        <v>36732</v>
      </c>
      <c r="I662" s="5">
        <v>34176</v>
      </c>
      <c r="J662" s="2">
        <v>34181</v>
      </c>
      <c r="K662" s="2">
        <v>34176</v>
      </c>
      <c r="L662" t="s">
        <v>297</v>
      </c>
      <c r="N662" t="s">
        <v>826</v>
      </c>
      <c r="O662" t="s">
        <v>222</v>
      </c>
      <c r="P662" t="s">
        <v>225</v>
      </c>
    </row>
    <row r="663" spans="1:16" ht="12.75" customHeight="1">
      <c r="A663">
        <v>8</v>
      </c>
      <c r="B663" t="s">
        <v>296</v>
      </c>
      <c r="C663">
        <v>459</v>
      </c>
      <c r="D663" t="s">
        <v>295</v>
      </c>
      <c r="E663" t="s">
        <v>296</v>
      </c>
      <c r="F663" s="2">
        <v>31129</v>
      </c>
      <c r="G663" s="2">
        <v>31129</v>
      </c>
      <c r="H663" s="2">
        <v>38988</v>
      </c>
      <c r="I663" s="5">
        <v>37955</v>
      </c>
      <c r="K663" s="2">
        <v>38656</v>
      </c>
      <c r="L663" t="s">
        <v>297</v>
      </c>
      <c r="M663" t="s">
        <v>297</v>
      </c>
      <c r="N663" t="s">
        <v>827</v>
      </c>
      <c r="O663" t="s">
        <v>222</v>
      </c>
      <c r="P663" t="s">
        <v>225</v>
      </c>
    </row>
    <row r="664" spans="1:16" ht="12.75" customHeight="1">
      <c r="A664">
        <v>8</v>
      </c>
      <c r="B664" t="s">
        <v>296</v>
      </c>
      <c r="C664">
        <v>673</v>
      </c>
      <c r="D664" t="s">
        <v>295</v>
      </c>
      <c r="E664" t="s">
        <v>296</v>
      </c>
      <c r="F664" s="2">
        <v>32560</v>
      </c>
      <c r="G664" s="2">
        <v>33679</v>
      </c>
      <c r="H664" s="2">
        <v>39321</v>
      </c>
      <c r="I664" s="5">
        <v>36160</v>
      </c>
      <c r="K664" s="2">
        <v>36165</v>
      </c>
      <c r="L664" t="s">
        <v>297</v>
      </c>
      <c r="M664" t="s">
        <v>297</v>
      </c>
      <c r="N664" t="s">
        <v>828</v>
      </c>
      <c r="O664" t="s">
        <v>222</v>
      </c>
      <c r="P664" t="s">
        <v>225</v>
      </c>
    </row>
    <row r="665" spans="1:16" ht="12.75" customHeight="1">
      <c r="A665">
        <v>8</v>
      </c>
      <c r="B665" t="s">
        <v>296</v>
      </c>
      <c r="C665">
        <v>708</v>
      </c>
      <c r="D665" t="s">
        <v>295</v>
      </c>
      <c r="E665" t="s">
        <v>296</v>
      </c>
      <c r="F665" s="2">
        <v>32892</v>
      </c>
      <c r="G665" s="2">
        <v>33124</v>
      </c>
      <c r="H665" s="2">
        <v>39468</v>
      </c>
      <c r="I665" s="5">
        <v>33891</v>
      </c>
      <c r="J665" s="2">
        <v>34028</v>
      </c>
      <c r="K665" s="2">
        <v>38741</v>
      </c>
      <c r="L665" t="s">
        <v>297</v>
      </c>
      <c r="M665" t="s">
        <v>297</v>
      </c>
      <c r="N665" t="s">
        <v>829</v>
      </c>
      <c r="O665" t="s">
        <v>222</v>
      </c>
      <c r="P665" t="s">
        <v>225</v>
      </c>
    </row>
    <row r="666" spans="1:16" ht="12.75" customHeight="1">
      <c r="A666">
        <v>8</v>
      </c>
      <c r="B666" t="s">
        <v>296</v>
      </c>
      <c r="C666">
        <v>743</v>
      </c>
      <c r="D666" t="s">
        <v>295</v>
      </c>
      <c r="E666" t="s">
        <v>296</v>
      </c>
      <c r="F666" s="2">
        <v>33113</v>
      </c>
      <c r="G666" s="2">
        <v>34405</v>
      </c>
      <c r="H666" s="2">
        <v>39186</v>
      </c>
      <c r="I666" s="5">
        <v>37802</v>
      </c>
      <c r="K666" s="2">
        <v>35566</v>
      </c>
      <c r="L666" t="s">
        <v>297</v>
      </c>
      <c r="N666" t="s">
        <v>830</v>
      </c>
      <c r="O666" t="s">
        <v>222</v>
      </c>
      <c r="P666" t="s">
        <v>225</v>
      </c>
    </row>
    <row r="667" spans="1:16" ht="12.75" customHeight="1">
      <c r="A667">
        <v>8</v>
      </c>
      <c r="B667" t="s">
        <v>296</v>
      </c>
      <c r="C667">
        <v>768</v>
      </c>
      <c r="D667" t="s">
        <v>576</v>
      </c>
      <c r="E667" t="s">
        <v>316</v>
      </c>
      <c r="F667" s="2">
        <v>33264</v>
      </c>
      <c r="G667" s="2">
        <v>34845</v>
      </c>
      <c r="H667" s="2">
        <v>35732</v>
      </c>
      <c r="I667" s="5">
        <v>36198</v>
      </c>
      <c r="K667" s="2">
        <v>34428</v>
      </c>
      <c r="L667" t="s">
        <v>297</v>
      </c>
      <c r="M667" t="s">
        <v>297</v>
      </c>
      <c r="N667" t="s">
        <v>369</v>
      </c>
      <c r="O667" t="s">
        <v>222</v>
      </c>
      <c r="P667" t="s">
        <v>225</v>
      </c>
    </row>
    <row r="668" spans="1:16" ht="12.75" customHeight="1">
      <c r="A668">
        <v>8</v>
      </c>
      <c r="B668" t="s">
        <v>296</v>
      </c>
      <c r="C668">
        <v>880</v>
      </c>
      <c r="D668" t="s">
        <v>295</v>
      </c>
      <c r="E668" t="s">
        <v>296</v>
      </c>
      <c r="F668" s="2">
        <v>33995</v>
      </c>
      <c r="G668" s="2">
        <v>34656</v>
      </c>
      <c r="H668" s="2">
        <v>39459</v>
      </c>
      <c r="I668" s="5">
        <v>37886</v>
      </c>
      <c r="K668" s="2">
        <v>34551</v>
      </c>
      <c r="L668" t="s">
        <v>297</v>
      </c>
      <c r="M668" t="s">
        <v>297</v>
      </c>
      <c r="N668" t="s">
        <v>831</v>
      </c>
      <c r="O668" t="s">
        <v>222</v>
      </c>
      <c r="P668" t="s">
        <v>225</v>
      </c>
    </row>
    <row r="669" spans="1:16" ht="12.75" customHeight="1">
      <c r="A669">
        <v>8</v>
      </c>
      <c r="B669" t="s">
        <v>296</v>
      </c>
      <c r="C669">
        <v>919</v>
      </c>
      <c r="D669" t="s">
        <v>295</v>
      </c>
      <c r="E669" t="s">
        <v>296</v>
      </c>
      <c r="F669" s="2">
        <v>34249</v>
      </c>
      <c r="G669" s="2">
        <v>35434</v>
      </c>
      <c r="H669" s="2">
        <v>38784</v>
      </c>
      <c r="I669" s="5">
        <v>38898</v>
      </c>
      <c r="K669" s="2">
        <v>35145</v>
      </c>
      <c r="L669" t="s">
        <v>297</v>
      </c>
      <c r="M669" t="s">
        <v>297</v>
      </c>
      <c r="N669" t="s">
        <v>832</v>
      </c>
      <c r="O669" t="s">
        <v>222</v>
      </c>
      <c r="P669" t="s">
        <v>225</v>
      </c>
    </row>
    <row r="670" spans="1:16" ht="12.75" customHeight="1">
      <c r="A670">
        <v>8</v>
      </c>
      <c r="B670" t="s">
        <v>296</v>
      </c>
      <c r="C670">
        <v>955</v>
      </c>
      <c r="D670" t="s">
        <v>295</v>
      </c>
      <c r="E670" t="s">
        <v>296</v>
      </c>
      <c r="F670" s="2">
        <v>34494</v>
      </c>
      <c r="G670" s="2">
        <v>35140</v>
      </c>
      <c r="H670" s="2">
        <v>38963</v>
      </c>
      <c r="I670" s="5">
        <v>37803</v>
      </c>
      <c r="K670" s="2">
        <v>39318</v>
      </c>
      <c r="L670" t="s">
        <v>297</v>
      </c>
      <c r="M670" t="s">
        <v>297</v>
      </c>
      <c r="N670" t="s">
        <v>833</v>
      </c>
      <c r="O670" t="s">
        <v>222</v>
      </c>
      <c r="P670" t="s">
        <v>225</v>
      </c>
    </row>
    <row r="671" spans="1:16" ht="12.75" customHeight="1">
      <c r="A671">
        <v>8</v>
      </c>
      <c r="B671" t="s">
        <v>296</v>
      </c>
      <c r="C671">
        <v>1278</v>
      </c>
      <c r="D671" t="s">
        <v>295</v>
      </c>
      <c r="E671" t="s">
        <v>296</v>
      </c>
      <c r="F671" s="2">
        <v>36137</v>
      </c>
      <c r="G671" s="2">
        <v>36602</v>
      </c>
      <c r="H671" s="2">
        <v>39317</v>
      </c>
      <c r="I671" s="5">
        <v>39263</v>
      </c>
      <c r="K671" s="2">
        <v>36215</v>
      </c>
      <c r="L671" t="s">
        <v>297</v>
      </c>
      <c r="M671" t="s">
        <v>297</v>
      </c>
      <c r="N671" t="s">
        <v>834</v>
      </c>
      <c r="O671" t="s">
        <v>222</v>
      </c>
      <c r="P671" t="s">
        <v>225</v>
      </c>
    </row>
    <row r="672" spans="1:16" ht="12.75" customHeight="1">
      <c r="A672">
        <v>8</v>
      </c>
      <c r="B672" t="s">
        <v>296</v>
      </c>
      <c r="C672">
        <v>1296</v>
      </c>
      <c r="D672" t="s">
        <v>295</v>
      </c>
      <c r="E672" t="s">
        <v>296</v>
      </c>
      <c r="F672" s="2">
        <v>36291</v>
      </c>
      <c r="G672" s="2">
        <v>37211</v>
      </c>
      <c r="H672" s="2">
        <v>39358</v>
      </c>
      <c r="I672" s="5">
        <v>39629</v>
      </c>
      <c r="J672" s="2">
        <v>36985</v>
      </c>
      <c r="L672" t="s">
        <v>297</v>
      </c>
      <c r="M672" t="s">
        <v>297</v>
      </c>
      <c r="N672" t="s">
        <v>835</v>
      </c>
      <c r="O672" t="s">
        <v>222</v>
      </c>
      <c r="P672" t="s">
        <v>225</v>
      </c>
    </row>
    <row r="673" spans="1:16" ht="12.75" customHeight="1">
      <c r="A673" t="s">
        <v>222</v>
      </c>
      <c r="B673" t="s">
        <v>225</v>
      </c>
    </row>
    <row r="674" spans="1:16" ht="12.75" customHeight="1">
      <c r="A674">
        <v>8</v>
      </c>
      <c r="B674" t="s">
        <v>153</v>
      </c>
      <c r="C674">
        <v>176</v>
      </c>
      <c r="D674" t="s">
        <v>295</v>
      </c>
      <c r="E674" t="s">
        <v>296</v>
      </c>
      <c r="F674" s="2">
        <v>28521</v>
      </c>
      <c r="G674" s="2">
        <v>28845</v>
      </c>
      <c r="H674" s="2">
        <v>39504</v>
      </c>
      <c r="I674" s="5">
        <v>39263</v>
      </c>
      <c r="K674" s="2">
        <v>39318</v>
      </c>
      <c r="L674" t="s">
        <v>297</v>
      </c>
      <c r="M674" t="s">
        <v>297</v>
      </c>
      <c r="N674" t="s">
        <v>836</v>
      </c>
      <c r="O674" t="s">
        <v>222</v>
      </c>
      <c r="P674" t="s">
        <v>226</v>
      </c>
    </row>
    <row r="675" spans="1:16" ht="12.75" customHeight="1">
      <c r="A675">
        <v>8</v>
      </c>
      <c r="B675" t="s">
        <v>153</v>
      </c>
      <c r="C675">
        <v>346</v>
      </c>
      <c r="D675" t="s">
        <v>295</v>
      </c>
      <c r="E675" t="s">
        <v>296</v>
      </c>
      <c r="F675" s="2">
        <v>30029</v>
      </c>
      <c r="G675" s="2">
        <v>31861</v>
      </c>
      <c r="H675" s="2">
        <v>39450</v>
      </c>
      <c r="K675" s="2">
        <v>34967</v>
      </c>
      <c r="L675" t="s">
        <v>297</v>
      </c>
      <c r="M675" t="s">
        <v>297</v>
      </c>
      <c r="N675" t="s">
        <v>837</v>
      </c>
      <c r="O675" t="s">
        <v>222</v>
      </c>
      <c r="P675" t="s">
        <v>226</v>
      </c>
    </row>
    <row r="676" spans="1:16" ht="12.75" customHeight="1">
      <c r="A676">
        <v>8</v>
      </c>
      <c r="B676" t="s">
        <v>153</v>
      </c>
      <c r="C676">
        <v>500</v>
      </c>
      <c r="D676" t="s">
        <v>295</v>
      </c>
      <c r="E676" t="s">
        <v>296</v>
      </c>
      <c r="F676" s="2">
        <v>31310</v>
      </c>
      <c r="G676" s="2">
        <v>33180</v>
      </c>
      <c r="H676" s="2">
        <v>39505</v>
      </c>
      <c r="I676" s="5">
        <v>39629</v>
      </c>
      <c r="K676" s="2">
        <v>38811</v>
      </c>
      <c r="L676" t="s">
        <v>297</v>
      </c>
      <c r="M676" t="s">
        <v>297</v>
      </c>
      <c r="N676" t="s">
        <v>838</v>
      </c>
      <c r="O676" t="s">
        <v>222</v>
      </c>
      <c r="P676" t="s">
        <v>226</v>
      </c>
    </row>
    <row r="677" spans="1:16" ht="12.75" customHeight="1">
      <c r="A677">
        <v>8</v>
      </c>
      <c r="B677" t="s">
        <v>153</v>
      </c>
      <c r="C677">
        <v>554</v>
      </c>
      <c r="D677" t="s">
        <v>348</v>
      </c>
      <c r="E677" t="s">
        <v>316</v>
      </c>
      <c r="F677" s="2">
        <v>31674</v>
      </c>
      <c r="G677" s="2">
        <v>34404</v>
      </c>
      <c r="H677" s="2">
        <v>36953</v>
      </c>
      <c r="I677" s="5">
        <v>36738</v>
      </c>
      <c r="K677" s="2">
        <v>34747</v>
      </c>
      <c r="L677" t="s">
        <v>297</v>
      </c>
      <c r="M677" t="s">
        <v>297</v>
      </c>
      <c r="N677" t="s">
        <v>369</v>
      </c>
      <c r="O677" t="s">
        <v>222</v>
      </c>
      <c r="P677" t="s">
        <v>226</v>
      </c>
    </row>
    <row r="678" spans="1:16" ht="12.75" customHeight="1">
      <c r="A678">
        <v>8</v>
      </c>
      <c r="B678" t="s">
        <v>153</v>
      </c>
      <c r="C678">
        <v>610</v>
      </c>
      <c r="D678" t="s">
        <v>295</v>
      </c>
      <c r="E678" t="s">
        <v>296</v>
      </c>
      <c r="F678" s="2">
        <v>31969</v>
      </c>
      <c r="G678" s="2">
        <v>37036</v>
      </c>
      <c r="H678" s="2">
        <v>39465</v>
      </c>
      <c r="I678" s="5">
        <v>38808</v>
      </c>
      <c r="K678" s="2">
        <v>37592</v>
      </c>
      <c r="L678" t="s">
        <v>297</v>
      </c>
      <c r="M678" t="s">
        <v>297</v>
      </c>
      <c r="N678" t="s">
        <v>839</v>
      </c>
      <c r="O678" t="s">
        <v>222</v>
      </c>
      <c r="P678" t="s">
        <v>226</v>
      </c>
    </row>
    <row r="679" spans="1:16" ht="12.75" customHeight="1">
      <c r="A679">
        <v>8</v>
      </c>
      <c r="B679" t="s">
        <v>153</v>
      </c>
      <c r="C679">
        <v>725</v>
      </c>
      <c r="D679" t="s">
        <v>295</v>
      </c>
      <c r="E679" t="s">
        <v>296</v>
      </c>
      <c r="F679" s="2">
        <v>32892</v>
      </c>
      <c r="G679" s="2">
        <v>36483</v>
      </c>
      <c r="H679" s="2">
        <v>39219</v>
      </c>
      <c r="I679" s="5">
        <v>38898</v>
      </c>
      <c r="J679" s="2">
        <v>35522</v>
      </c>
      <c r="K679" s="2">
        <v>37931</v>
      </c>
      <c r="L679" t="s">
        <v>297</v>
      </c>
      <c r="M679" t="s">
        <v>297</v>
      </c>
      <c r="N679" t="s">
        <v>840</v>
      </c>
      <c r="O679" t="s">
        <v>222</v>
      </c>
      <c r="P679" t="s">
        <v>226</v>
      </c>
    </row>
    <row r="680" spans="1:16" ht="12.75" customHeight="1">
      <c r="A680">
        <v>8</v>
      </c>
      <c r="B680" t="s">
        <v>153</v>
      </c>
      <c r="C680">
        <v>742</v>
      </c>
      <c r="D680" t="s">
        <v>295</v>
      </c>
      <c r="E680" t="s">
        <v>296</v>
      </c>
      <c r="F680" s="2">
        <v>33021</v>
      </c>
      <c r="G680" s="2">
        <v>37036</v>
      </c>
      <c r="H680" s="2">
        <v>39479</v>
      </c>
      <c r="I680" s="5">
        <v>39629</v>
      </c>
      <c r="J680" s="2">
        <v>38468</v>
      </c>
      <c r="K680" s="2">
        <v>39469</v>
      </c>
      <c r="L680" t="s">
        <v>297</v>
      </c>
      <c r="M680" t="s">
        <v>297</v>
      </c>
      <c r="N680" t="s">
        <v>841</v>
      </c>
      <c r="O680" t="s">
        <v>222</v>
      </c>
      <c r="P680" t="s">
        <v>226</v>
      </c>
    </row>
    <row r="681" spans="1:16" ht="12.75" customHeight="1">
      <c r="A681">
        <v>8</v>
      </c>
      <c r="B681" t="s">
        <v>153</v>
      </c>
      <c r="C681">
        <v>862</v>
      </c>
      <c r="D681" t="s">
        <v>295</v>
      </c>
      <c r="E681" t="s">
        <v>296</v>
      </c>
      <c r="F681" s="2">
        <v>33879</v>
      </c>
      <c r="G681" s="2">
        <v>35209</v>
      </c>
      <c r="H681" s="2">
        <v>39513</v>
      </c>
      <c r="I681" s="5">
        <v>39629</v>
      </c>
      <c r="K681" s="2">
        <v>35381</v>
      </c>
      <c r="L681" t="s">
        <v>297</v>
      </c>
      <c r="M681" t="s">
        <v>297</v>
      </c>
      <c r="N681" t="s">
        <v>842</v>
      </c>
      <c r="O681" t="s">
        <v>222</v>
      </c>
      <c r="P681" t="s">
        <v>226</v>
      </c>
    </row>
    <row r="682" spans="1:16" ht="12.75" customHeight="1">
      <c r="A682">
        <v>8</v>
      </c>
      <c r="B682" t="s">
        <v>153</v>
      </c>
      <c r="C682">
        <v>931</v>
      </c>
      <c r="D682" t="s">
        <v>295</v>
      </c>
      <c r="E682" t="s">
        <v>296</v>
      </c>
      <c r="F682" s="2">
        <v>34347</v>
      </c>
      <c r="G682" s="2">
        <v>34712</v>
      </c>
      <c r="H682" s="2">
        <v>38043</v>
      </c>
      <c r="I682" s="5">
        <v>35642</v>
      </c>
      <c r="K682" s="2">
        <v>35646</v>
      </c>
      <c r="L682" t="s">
        <v>297</v>
      </c>
      <c r="N682" t="s">
        <v>843</v>
      </c>
      <c r="O682" t="s">
        <v>222</v>
      </c>
      <c r="P682" t="s">
        <v>226</v>
      </c>
    </row>
    <row r="683" spans="1:16" ht="12.75" customHeight="1">
      <c r="A683">
        <v>8</v>
      </c>
      <c r="B683" t="s">
        <v>153</v>
      </c>
      <c r="C683">
        <v>1097</v>
      </c>
      <c r="D683" t="s">
        <v>295</v>
      </c>
      <c r="E683" t="s">
        <v>296</v>
      </c>
      <c r="F683" s="2">
        <v>35130</v>
      </c>
      <c r="G683" s="2">
        <v>35511</v>
      </c>
      <c r="H683" s="2">
        <v>39110</v>
      </c>
      <c r="I683" s="5">
        <v>39263</v>
      </c>
      <c r="J683" s="2">
        <v>38468</v>
      </c>
      <c r="K683" s="2">
        <v>39135</v>
      </c>
      <c r="L683" t="s">
        <v>297</v>
      </c>
      <c r="M683" t="s">
        <v>297</v>
      </c>
      <c r="N683" t="s">
        <v>844</v>
      </c>
      <c r="O683" t="s">
        <v>222</v>
      </c>
      <c r="P683" t="s">
        <v>226</v>
      </c>
    </row>
    <row r="684" spans="1:16" ht="12.75" customHeight="1">
      <c r="A684">
        <v>8</v>
      </c>
      <c r="B684" t="s">
        <v>153</v>
      </c>
      <c r="C684">
        <v>1289</v>
      </c>
      <c r="D684" t="s">
        <v>295</v>
      </c>
      <c r="E684" t="s">
        <v>296</v>
      </c>
      <c r="F684" s="2">
        <v>36224</v>
      </c>
      <c r="G684" s="2">
        <v>36602</v>
      </c>
      <c r="H684" s="2">
        <v>39302</v>
      </c>
      <c r="I684" s="5">
        <v>39629</v>
      </c>
      <c r="L684" t="s">
        <v>297</v>
      </c>
      <c r="M684" t="s">
        <v>297</v>
      </c>
      <c r="N684" t="s">
        <v>845</v>
      </c>
      <c r="O684" t="s">
        <v>222</v>
      </c>
      <c r="P684" t="s">
        <v>226</v>
      </c>
    </row>
    <row r="685" spans="1:16" ht="12.75" customHeight="1">
      <c r="A685">
        <v>8</v>
      </c>
      <c r="B685" t="s">
        <v>153</v>
      </c>
      <c r="C685">
        <v>1297</v>
      </c>
      <c r="D685" t="s">
        <v>295</v>
      </c>
      <c r="E685" t="s">
        <v>296</v>
      </c>
      <c r="F685" s="2">
        <v>36291</v>
      </c>
      <c r="G685" s="2">
        <v>37036</v>
      </c>
      <c r="H685" s="2">
        <v>38839</v>
      </c>
      <c r="I685" s="5">
        <v>38898</v>
      </c>
      <c r="J685" s="2">
        <v>38307</v>
      </c>
      <c r="K685" s="2">
        <v>38954</v>
      </c>
      <c r="L685" t="s">
        <v>297</v>
      </c>
      <c r="M685" t="s">
        <v>297</v>
      </c>
      <c r="N685" t="s">
        <v>846</v>
      </c>
      <c r="O685" t="s">
        <v>222</v>
      </c>
      <c r="P685" t="s">
        <v>226</v>
      </c>
    </row>
    <row r="686" spans="1:16" ht="12.75" customHeight="1">
      <c r="A686">
        <v>8</v>
      </c>
      <c r="B686" t="s">
        <v>153</v>
      </c>
      <c r="C686">
        <v>1356</v>
      </c>
      <c r="D686" t="s">
        <v>295</v>
      </c>
      <c r="E686" t="s">
        <v>299</v>
      </c>
      <c r="F686" s="2">
        <v>36746</v>
      </c>
      <c r="H686" s="2">
        <v>38383</v>
      </c>
      <c r="I686" s="5">
        <v>38898</v>
      </c>
      <c r="J686" s="2">
        <v>37931</v>
      </c>
      <c r="L686" t="s">
        <v>297</v>
      </c>
      <c r="M686" t="s">
        <v>297</v>
      </c>
      <c r="N686" t="s">
        <v>847</v>
      </c>
      <c r="O686" t="s">
        <v>222</v>
      </c>
      <c r="P686" t="s">
        <v>226</v>
      </c>
    </row>
    <row r="687" spans="1:16" ht="12.75" customHeight="1">
      <c r="A687" t="s">
        <v>222</v>
      </c>
      <c r="B687" t="s">
        <v>226</v>
      </c>
    </row>
    <row r="688" spans="1:16" ht="12.75" customHeight="1">
      <c r="A688">
        <v>8</v>
      </c>
      <c r="B688" t="s">
        <v>317</v>
      </c>
      <c r="C688">
        <v>74</v>
      </c>
      <c r="D688" t="s">
        <v>295</v>
      </c>
      <c r="E688" t="s">
        <v>296</v>
      </c>
      <c r="F688" s="2">
        <v>27591</v>
      </c>
      <c r="G688" s="2">
        <v>28991</v>
      </c>
      <c r="H688" s="2">
        <v>39348</v>
      </c>
      <c r="I688" s="5">
        <v>38352</v>
      </c>
      <c r="J688" s="2">
        <v>37868</v>
      </c>
      <c r="K688" s="2">
        <v>37680</v>
      </c>
      <c r="L688" t="s">
        <v>297</v>
      </c>
      <c r="M688" t="s">
        <v>297</v>
      </c>
      <c r="N688" t="s">
        <v>848</v>
      </c>
      <c r="O688" t="s">
        <v>222</v>
      </c>
      <c r="P688" t="s">
        <v>227</v>
      </c>
    </row>
    <row r="689" spans="1:16" ht="12.75" customHeight="1">
      <c r="A689">
        <v>8</v>
      </c>
      <c r="B689" t="s">
        <v>317</v>
      </c>
      <c r="C689">
        <v>250</v>
      </c>
      <c r="D689" t="s">
        <v>295</v>
      </c>
      <c r="E689" t="s">
        <v>296</v>
      </c>
      <c r="F689" s="2">
        <v>29248</v>
      </c>
      <c r="G689" s="2">
        <v>30195</v>
      </c>
      <c r="H689" s="2">
        <v>39413</v>
      </c>
      <c r="I689" s="5">
        <v>38898</v>
      </c>
      <c r="J689" s="2">
        <v>38029</v>
      </c>
      <c r="K689" s="2">
        <v>36382</v>
      </c>
      <c r="L689" t="s">
        <v>297</v>
      </c>
      <c r="M689" t="s">
        <v>297</v>
      </c>
      <c r="N689" t="s">
        <v>849</v>
      </c>
      <c r="O689" t="s">
        <v>222</v>
      </c>
      <c r="P689" t="s">
        <v>227</v>
      </c>
    </row>
    <row r="690" spans="1:16" ht="12.75" customHeight="1">
      <c r="A690">
        <v>8</v>
      </c>
      <c r="B690" t="s">
        <v>317</v>
      </c>
      <c r="C690">
        <v>298</v>
      </c>
      <c r="D690" t="s">
        <v>295</v>
      </c>
      <c r="E690" t="s">
        <v>296</v>
      </c>
      <c r="F690" s="2">
        <v>29637</v>
      </c>
      <c r="G690" s="2">
        <v>30506</v>
      </c>
      <c r="H690" s="2">
        <v>39201</v>
      </c>
      <c r="I690" s="5">
        <v>39629</v>
      </c>
      <c r="J690" s="2">
        <v>37425</v>
      </c>
      <c r="K690" s="2">
        <v>36371</v>
      </c>
      <c r="L690" t="s">
        <v>297</v>
      </c>
      <c r="M690" t="s">
        <v>297</v>
      </c>
      <c r="N690" t="s">
        <v>850</v>
      </c>
      <c r="O690" t="s">
        <v>222</v>
      </c>
      <c r="P690" t="s">
        <v>227</v>
      </c>
    </row>
    <row r="691" spans="1:16" ht="12.75" customHeight="1">
      <c r="A691">
        <v>8</v>
      </c>
      <c r="B691" t="s">
        <v>317</v>
      </c>
      <c r="C691">
        <v>574</v>
      </c>
      <c r="D691" t="s">
        <v>295</v>
      </c>
      <c r="E691" t="s">
        <v>296</v>
      </c>
      <c r="F691" s="2">
        <v>31838</v>
      </c>
      <c r="G691" s="2">
        <v>34181</v>
      </c>
      <c r="H691" s="2">
        <v>39294</v>
      </c>
      <c r="I691" s="5">
        <v>39263</v>
      </c>
      <c r="J691" s="2">
        <v>38217</v>
      </c>
      <c r="K691" s="2">
        <v>35150</v>
      </c>
      <c r="L691" t="s">
        <v>297</v>
      </c>
      <c r="M691" t="s">
        <v>297</v>
      </c>
      <c r="N691" t="s">
        <v>851</v>
      </c>
      <c r="O691" t="s">
        <v>222</v>
      </c>
      <c r="P691" t="s">
        <v>227</v>
      </c>
    </row>
    <row r="692" spans="1:16" ht="12.75" customHeight="1">
      <c r="A692">
        <v>8</v>
      </c>
      <c r="B692" t="s">
        <v>317</v>
      </c>
      <c r="C692">
        <v>613</v>
      </c>
      <c r="D692" t="s">
        <v>295</v>
      </c>
      <c r="E692" t="s">
        <v>296</v>
      </c>
      <c r="F692" s="2">
        <v>32039</v>
      </c>
      <c r="G692" s="2">
        <v>32395</v>
      </c>
      <c r="H692" s="2">
        <v>39380</v>
      </c>
      <c r="I692" s="5">
        <v>34232</v>
      </c>
      <c r="K692" s="2">
        <v>35419</v>
      </c>
      <c r="L692" t="s">
        <v>297</v>
      </c>
      <c r="M692" t="s">
        <v>297</v>
      </c>
      <c r="N692" t="s">
        <v>852</v>
      </c>
      <c r="O692" t="s">
        <v>222</v>
      </c>
      <c r="P692" t="s">
        <v>227</v>
      </c>
    </row>
    <row r="693" spans="1:16" ht="12.75" customHeight="1">
      <c r="A693">
        <v>8</v>
      </c>
      <c r="B693" t="s">
        <v>317</v>
      </c>
      <c r="C693">
        <v>933</v>
      </c>
      <c r="D693" t="s">
        <v>295</v>
      </c>
      <c r="E693" t="s">
        <v>296</v>
      </c>
      <c r="F693" s="2">
        <v>34347</v>
      </c>
      <c r="G693" s="2">
        <v>34484</v>
      </c>
      <c r="H693" s="2">
        <v>39364</v>
      </c>
      <c r="I693" s="5">
        <v>38168</v>
      </c>
      <c r="J693" s="2">
        <v>38029</v>
      </c>
      <c r="K693" s="2">
        <v>36222</v>
      </c>
      <c r="L693" t="s">
        <v>297</v>
      </c>
      <c r="M693" t="s">
        <v>297</v>
      </c>
      <c r="N693" t="s">
        <v>853</v>
      </c>
      <c r="O693" t="s">
        <v>222</v>
      </c>
      <c r="P693" t="s">
        <v>227</v>
      </c>
    </row>
    <row r="694" spans="1:16" ht="12.75" customHeight="1">
      <c r="A694">
        <v>8</v>
      </c>
      <c r="B694" t="s">
        <v>317</v>
      </c>
      <c r="C694">
        <v>1197</v>
      </c>
      <c r="D694" t="s">
        <v>295</v>
      </c>
      <c r="E694" t="s">
        <v>296</v>
      </c>
      <c r="F694" s="2">
        <v>35587</v>
      </c>
      <c r="G694" s="2">
        <v>36238</v>
      </c>
      <c r="H694" s="2">
        <v>39520</v>
      </c>
      <c r="I694" s="5">
        <v>38138</v>
      </c>
      <c r="J694" s="2">
        <v>38029</v>
      </c>
      <c r="K694" s="2">
        <v>37872</v>
      </c>
      <c r="L694" t="s">
        <v>297</v>
      </c>
      <c r="M694" t="s">
        <v>297</v>
      </c>
      <c r="N694" t="s">
        <v>854</v>
      </c>
      <c r="O694" t="s">
        <v>222</v>
      </c>
      <c r="P694" t="s">
        <v>227</v>
      </c>
    </row>
    <row r="695" spans="1:16" ht="12.75" customHeight="1">
      <c r="A695">
        <v>8</v>
      </c>
      <c r="B695" t="s">
        <v>317</v>
      </c>
      <c r="C695">
        <v>1269</v>
      </c>
      <c r="D695" t="s">
        <v>380</v>
      </c>
      <c r="E695" t="s">
        <v>316</v>
      </c>
      <c r="F695" s="2">
        <v>36032</v>
      </c>
      <c r="G695" s="2">
        <v>37176</v>
      </c>
      <c r="H695" s="2">
        <v>37740</v>
      </c>
      <c r="I695" s="5">
        <v>38047</v>
      </c>
      <c r="L695" t="s">
        <v>322</v>
      </c>
      <c r="M695" t="s">
        <v>297</v>
      </c>
      <c r="O695" t="s">
        <v>222</v>
      </c>
      <c r="P695" t="s">
        <v>227</v>
      </c>
    </row>
    <row r="696" spans="1:16" ht="12.75" customHeight="1">
      <c r="A696">
        <v>8</v>
      </c>
      <c r="B696" t="s">
        <v>317</v>
      </c>
      <c r="C696">
        <v>1294</v>
      </c>
      <c r="D696" t="s">
        <v>295</v>
      </c>
      <c r="E696" t="s">
        <v>296</v>
      </c>
      <c r="F696" s="2">
        <v>36265</v>
      </c>
      <c r="G696" s="2">
        <v>37036</v>
      </c>
      <c r="H696" s="2">
        <v>39343</v>
      </c>
      <c r="I696" s="5">
        <v>38898</v>
      </c>
      <c r="J696" s="2">
        <v>38029</v>
      </c>
      <c r="K696" s="2">
        <v>38111</v>
      </c>
      <c r="L696" t="s">
        <v>297</v>
      </c>
      <c r="M696" t="s">
        <v>297</v>
      </c>
      <c r="N696" t="s">
        <v>855</v>
      </c>
      <c r="O696" t="s">
        <v>222</v>
      </c>
      <c r="P696" t="s">
        <v>227</v>
      </c>
    </row>
    <row r="697" spans="1:16" ht="12.75" customHeight="1">
      <c r="A697">
        <v>8</v>
      </c>
      <c r="B697" t="s">
        <v>317</v>
      </c>
      <c r="C697">
        <v>1436</v>
      </c>
      <c r="D697" t="s">
        <v>295</v>
      </c>
      <c r="E697" t="s">
        <v>296</v>
      </c>
      <c r="F697" s="2">
        <v>37670</v>
      </c>
      <c r="G697" s="2">
        <v>39137</v>
      </c>
      <c r="H697" s="2">
        <v>39469</v>
      </c>
      <c r="I697" s="5">
        <v>39994</v>
      </c>
      <c r="J697" s="2">
        <v>39142</v>
      </c>
      <c r="K697" s="2">
        <v>39469</v>
      </c>
      <c r="L697" t="s">
        <v>297</v>
      </c>
      <c r="M697" t="s">
        <v>297</v>
      </c>
      <c r="N697" t="s">
        <v>856</v>
      </c>
      <c r="O697" t="s">
        <v>222</v>
      </c>
      <c r="P697" t="s">
        <v>227</v>
      </c>
    </row>
    <row r="698" spans="1:16" ht="12.75" customHeight="1">
      <c r="A698">
        <v>8</v>
      </c>
      <c r="B698" t="s">
        <v>317</v>
      </c>
      <c r="C698">
        <v>1442</v>
      </c>
      <c r="D698" t="s">
        <v>408</v>
      </c>
      <c r="E698" t="s">
        <v>316</v>
      </c>
      <c r="F698" s="2">
        <v>37694</v>
      </c>
      <c r="H698" s="2">
        <v>38107</v>
      </c>
      <c r="I698" s="5">
        <v>38060</v>
      </c>
      <c r="K698" s="2">
        <v>38107</v>
      </c>
      <c r="L698" t="s">
        <v>297</v>
      </c>
      <c r="M698" t="s">
        <v>297</v>
      </c>
      <c r="O698" t="s">
        <v>222</v>
      </c>
      <c r="P698" t="s">
        <v>227</v>
      </c>
    </row>
    <row r="699" spans="1:16" ht="12.75" customHeight="1">
      <c r="A699" t="s">
        <v>222</v>
      </c>
      <c r="B699" t="s">
        <v>227</v>
      </c>
    </row>
    <row r="700" spans="1:16" ht="12.75" customHeight="1">
      <c r="A700">
        <v>8</v>
      </c>
      <c r="B700" t="s">
        <v>155</v>
      </c>
      <c r="C700">
        <v>476</v>
      </c>
      <c r="D700" t="s">
        <v>295</v>
      </c>
      <c r="E700" t="s">
        <v>296</v>
      </c>
      <c r="F700" s="2">
        <v>31241</v>
      </c>
      <c r="G700" s="2">
        <v>31979</v>
      </c>
      <c r="H700" s="2">
        <v>39371</v>
      </c>
      <c r="I700" s="5">
        <v>39629</v>
      </c>
      <c r="J700" s="2">
        <v>39386</v>
      </c>
      <c r="K700" s="2">
        <v>36265</v>
      </c>
      <c r="L700" t="s">
        <v>297</v>
      </c>
      <c r="M700" t="s">
        <v>297</v>
      </c>
      <c r="N700" t="s">
        <v>857</v>
      </c>
      <c r="O700" t="s">
        <v>222</v>
      </c>
      <c r="P700" t="s">
        <v>228</v>
      </c>
    </row>
    <row r="701" spans="1:16" ht="12.75" customHeight="1">
      <c r="A701">
        <v>8</v>
      </c>
      <c r="B701" t="s">
        <v>155</v>
      </c>
      <c r="C701">
        <v>721</v>
      </c>
      <c r="D701" t="s">
        <v>295</v>
      </c>
      <c r="E701" t="s">
        <v>296</v>
      </c>
      <c r="F701" s="2">
        <v>32892</v>
      </c>
      <c r="G701" s="2">
        <v>33258</v>
      </c>
      <c r="H701" s="2">
        <v>39479</v>
      </c>
      <c r="I701" s="5">
        <v>39629</v>
      </c>
      <c r="J701" s="2">
        <v>37783</v>
      </c>
      <c r="K701" s="2">
        <v>39471</v>
      </c>
      <c r="L701" t="s">
        <v>297</v>
      </c>
      <c r="M701" t="s">
        <v>297</v>
      </c>
      <c r="N701" t="s">
        <v>858</v>
      </c>
      <c r="O701" t="s">
        <v>222</v>
      </c>
      <c r="P701" t="s">
        <v>228</v>
      </c>
    </row>
    <row r="702" spans="1:16" ht="12.75" customHeight="1">
      <c r="A702">
        <v>8</v>
      </c>
      <c r="B702" t="s">
        <v>155</v>
      </c>
      <c r="C702">
        <v>753</v>
      </c>
      <c r="D702" t="s">
        <v>295</v>
      </c>
      <c r="E702" t="s">
        <v>296</v>
      </c>
      <c r="F702" s="2">
        <v>33124</v>
      </c>
      <c r="G702" s="2">
        <v>34120</v>
      </c>
      <c r="H702" s="2">
        <v>36566</v>
      </c>
      <c r="I702" s="5">
        <v>37103</v>
      </c>
      <c r="K702" s="2">
        <v>36285</v>
      </c>
      <c r="L702" t="s">
        <v>297</v>
      </c>
      <c r="M702" t="s">
        <v>297</v>
      </c>
      <c r="N702" t="s">
        <v>318</v>
      </c>
      <c r="O702" t="s">
        <v>222</v>
      </c>
      <c r="P702" t="s">
        <v>228</v>
      </c>
    </row>
    <row r="703" spans="1:16" ht="12.75" customHeight="1">
      <c r="A703">
        <v>8</v>
      </c>
      <c r="B703" t="s">
        <v>155</v>
      </c>
      <c r="C703">
        <v>771</v>
      </c>
      <c r="D703" t="s">
        <v>295</v>
      </c>
      <c r="E703" t="s">
        <v>296</v>
      </c>
      <c r="F703" s="2">
        <v>33264</v>
      </c>
      <c r="G703" s="2">
        <v>33264</v>
      </c>
      <c r="H703" s="2">
        <v>39413</v>
      </c>
      <c r="I703" s="5">
        <v>39629</v>
      </c>
      <c r="J703" s="2">
        <v>34681</v>
      </c>
      <c r="K703" s="2">
        <v>38861</v>
      </c>
      <c r="L703" t="s">
        <v>297</v>
      </c>
      <c r="M703" t="s">
        <v>297</v>
      </c>
      <c r="N703" t="s">
        <v>859</v>
      </c>
      <c r="O703" t="s">
        <v>222</v>
      </c>
      <c r="P703" t="s">
        <v>228</v>
      </c>
    </row>
    <row r="704" spans="1:16" ht="12.75" customHeight="1">
      <c r="A704">
        <v>8</v>
      </c>
      <c r="B704" t="s">
        <v>155</v>
      </c>
      <c r="C704">
        <v>812</v>
      </c>
      <c r="D704" t="s">
        <v>295</v>
      </c>
      <c r="E704" t="s">
        <v>296</v>
      </c>
      <c r="F704" s="2">
        <v>33544</v>
      </c>
      <c r="G704" s="2">
        <v>35743</v>
      </c>
      <c r="H704" s="2">
        <v>39024</v>
      </c>
      <c r="I704" s="5">
        <v>39263</v>
      </c>
      <c r="J704" s="2">
        <v>39154</v>
      </c>
      <c r="K704" s="2">
        <v>38595</v>
      </c>
      <c r="L704" t="s">
        <v>297</v>
      </c>
      <c r="M704" t="s">
        <v>297</v>
      </c>
      <c r="N704" t="s">
        <v>860</v>
      </c>
      <c r="O704" t="s">
        <v>222</v>
      </c>
      <c r="P704" t="s">
        <v>228</v>
      </c>
    </row>
    <row r="705" spans="1:16" ht="12.75" customHeight="1">
      <c r="A705">
        <v>8</v>
      </c>
      <c r="B705" t="s">
        <v>155</v>
      </c>
      <c r="C705">
        <v>817</v>
      </c>
      <c r="D705" t="s">
        <v>295</v>
      </c>
      <c r="E705" t="s">
        <v>296</v>
      </c>
      <c r="F705" s="2">
        <v>33621</v>
      </c>
      <c r="G705" s="2">
        <v>34712</v>
      </c>
      <c r="H705" s="2">
        <v>39280</v>
      </c>
      <c r="I705" s="5">
        <v>37256</v>
      </c>
      <c r="J705" s="2">
        <v>34702</v>
      </c>
      <c r="K705" s="2">
        <v>39065</v>
      </c>
      <c r="L705" t="s">
        <v>297</v>
      </c>
      <c r="M705" t="s">
        <v>297</v>
      </c>
      <c r="N705" t="s">
        <v>861</v>
      </c>
      <c r="O705" t="s">
        <v>222</v>
      </c>
      <c r="P705" t="s">
        <v>228</v>
      </c>
    </row>
    <row r="706" spans="1:16" ht="12.75" customHeight="1">
      <c r="A706">
        <v>8</v>
      </c>
      <c r="B706" t="s">
        <v>155</v>
      </c>
      <c r="C706">
        <v>851</v>
      </c>
      <c r="D706" t="s">
        <v>295</v>
      </c>
      <c r="E706" t="s">
        <v>296</v>
      </c>
      <c r="F706" s="2">
        <v>33822</v>
      </c>
      <c r="G706" s="2">
        <v>35084</v>
      </c>
      <c r="H706" s="2">
        <v>39315</v>
      </c>
      <c r="I706" s="5">
        <v>39263</v>
      </c>
      <c r="J706" s="2">
        <v>39288</v>
      </c>
      <c r="K706" s="2">
        <v>39371</v>
      </c>
      <c r="L706" t="s">
        <v>297</v>
      </c>
      <c r="M706" t="s">
        <v>297</v>
      </c>
      <c r="N706" t="s">
        <v>862</v>
      </c>
      <c r="O706" t="s">
        <v>222</v>
      </c>
      <c r="P706" t="s">
        <v>228</v>
      </c>
    </row>
    <row r="707" spans="1:16" ht="12.75" customHeight="1">
      <c r="A707">
        <v>8</v>
      </c>
      <c r="B707" t="s">
        <v>155</v>
      </c>
      <c r="C707">
        <v>1105</v>
      </c>
      <c r="D707" t="s">
        <v>380</v>
      </c>
      <c r="E707" t="s">
        <v>376</v>
      </c>
      <c r="F707" s="2">
        <v>35185</v>
      </c>
      <c r="G707" s="2">
        <v>36238</v>
      </c>
      <c r="H707" s="2">
        <v>38383</v>
      </c>
      <c r="I707" s="5">
        <v>36372</v>
      </c>
      <c r="K707" s="2">
        <v>35699</v>
      </c>
      <c r="L707" t="s">
        <v>297</v>
      </c>
      <c r="M707" t="s">
        <v>297</v>
      </c>
      <c r="N707" t="s">
        <v>863</v>
      </c>
      <c r="O707" t="s">
        <v>222</v>
      </c>
      <c r="P707" t="s">
        <v>228</v>
      </c>
    </row>
    <row r="708" spans="1:16" ht="12.75" customHeight="1">
      <c r="A708">
        <v>8</v>
      </c>
      <c r="B708" t="s">
        <v>155</v>
      </c>
      <c r="C708">
        <v>1106</v>
      </c>
      <c r="D708" t="s">
        <v>295</v>
      </c>
      <c r="E708" t="s">
        <v>296</v>
      </c>
      <c r="F708" s="2">
        <v>35185</v>
      </c>
      <c r="G708" s="2">
        <v>37176</v>
      </c>
      <c r="H708" s="2">
        <v>39412</v>
      </c>
      <c r="I708" s="5">
        <v>39568</v>
      </c>
      <c r="J708" s="2">
        <v>39412</v>
      </c>
      <c r="K708" s="2">
        <v>39412</v>
      </c>
      <c r="L708" t="s">
        <v>297</v>
      </c>
      <c r="M708" t="s">
        <v>297</v>
      </c>
      <c r="N708" t="s">
        <v>864</v>
      </c>
      <c r="O708" t="s">
        <v>222</v>
      </c>
      <c r="P708" t="s">
        <v>228</v>
      </c>
    </row>
    <row r="709" spans="1:16" ht="12.75" customHeight="1">
      <c r="A709">
        <v>8</v>
      </c>
      <c r="B709" t="s">
        <v>155</v>
      </c>
      <c r="C709">
        <v>1162</v>
      </c>
      <c r="D709" t="s">
        <v>295</v>
      </c>
      <c r="E709" t="s">
        <v>296</v>
      </c>
      <c r="F709" s="2">
        <v>35446</v>
      </c>
      <c r="G709" s="2">
        <v>36483</v>
      </c>
      <c r="H709" s="2">
        <v>38808</v>
      </c>
      <c r="I709" s="5">
        <v>37839</v>
      </c>
      <c r="J709" s="2">
        <v>38797</v>
      </c>
      <c r="K709" s="2">
        <v>37545</v>
      </c>
      <c r="L709" t="s">
        <v>297</v>
      </c>
      <c r="M709" t="s">
        <v>297</v>
      </c>
      <c r="N709" t="s">
        <v>865</v>
      </c>
      <c r="O709" t="s">
        <v>222</v>
      </c>
      <c r="P709" t="s">
        <v>228</v>
      </c>
    </row>
    <row r="710" spans="1:16" ht="12.75" customHeight="1">
      <c r="A710">
        <v>8</v>
      </c>
      <c r="B710" t="s">
        <v>155</v>
      </c>
      <c r="C710">
        <v>1215</v>
      </c>
      <c r="D710" t="s">
        <v>295</v>
      </c>
      <c r="E710" t="s">
        <v>296</v>
      </c>
      <c r="F710" s="2">
        <v>35691</v>
      </c>
      <c r="G710" s="2">
        <v>36238</v>
      </c>
      <c r="H710" s="2">
        <v>39520</v>
      </c>
      <c r="I710" s="5">
        <v>39629</v>
      </c>
      <c r="J710" s="2">
        <v>39435</v>
      </c>
      <c r="L710" t="s">
        <v>297</v>
      </c>
      <c r="M710" t="s">
        <v>297</v>
      </c>
      <c r="N710" t="s">
        <v>866</v>
      </c>
      <c r="O710" t="s">
        <v>222</v>
      </c>
      <c r="P710" t="s">
        <v>228</v>
      </c>
    </row>
    <row r="711" spans="1:16" ht="12.75" customHeight="1">
      <c r="A711">
        <v>8</v>
      </c>
      <c r="B711" t="s">
        <v>155</v>
      </c>
      <c r="C711">
        <v>1216</v>
      </c>
      <c r="D711" t="s">
        <v>295</v>
      </c>
      <c r="E711" t="s">
        <v>296</v>
      </c>
      <c r="F711" s="2">
        <v>35691</v>
      </c>
      <c r="G711" s="2">
        <v>36238</v>
      </c>
      <c r="H711" s="2">
        <v>39323</v>
      </c>
      <c r="I711" s="5">
        <v>39629</v>
      </c>
      <c r="K711" s="2">
        <v>37936</v>
      </c>
      <c r="L711" t="s">
        <v>297</v>
      </c>
      <c r="M711" t="s">
        <v>297</v>
      </c>
      <c r="N711" t="s">
        <v>867</v>
      </c>
      <c r="O711" t="s">
        <v>222</v>
      </c>
      <c r="P711" t="s">
        <v>228</v>
      </c>
    </row>
    <row r="712" spans="1:16" ht="12.75" customHeight="1">
      <c r="A712">
        <v>8</v>
      </c>
      <c r="B712" t="s">
        <v>155</v>
      </c>
      <c r="C712">
        <v>1256</v>
      </c>
      <c r="D712" t="s">
        <v>295</v>
      </c>
      <c r="E712" t="s">
        <v>296</v>
      </c>
      <c r="F712" s="2">
        <v>35961</v>
      </c>
      <c r="G712" s="2">
        <v>36847</v>
      </c>
      <c r="H712" s="2">
        <v>39466</v>
      </c>
      <c r="I712" s="5">
        <v>39629</v>
      </c>
      <c r="L712" t="s">
        <v>297</v>
      </c>
      <c r="M712" t="s">
        <v>297</v>
      </c>
      <c r="N712" t="s">
        <v>868</v>
      </c>
      <c r="O712" t="s">
        <v>222</v>
      </c>
      <c r="P712" t="s">
        <v>228</v>
      </c>
    </row>
    <row r="713" spans="1:16" ht="12.75" customHeight="1">
      <c r="A713">
        <v>8</v>
      </c>
      <c r="B713" t="s">
        <v>155</v>
      </c>
      <c r="C713">
        <v>1285</v>
      </c>
      <c r="D713" t="s">
        <v>295</v>
      </c>
      <c r="E713" t="s">
        <v>296</v>
      </c>
      <c r="F713" s="2">
        <v>36216</v>
      </c>
      <c r="G713" s="2">
        <v>36847</v>
      </c>
      <c r="H713" s="2">
        <v>39248</v>
      </c>
      <c r="I713" s="5">
        <v>39629</v>
      </c>
      <c r="K713" s="2">
        <v>39248</v>
      </c>
      <c r="L713" t="s">
        <v>297</v>
      </c>
      <c r="M713" t="s">
        <v>297</v>
      </c>
      <c r="N713" t="s">
        <v>869</v>
      </c>
      <c r="O713" t="s">
        <v>222</v>
      </c>
      <c r="P713" t="s">
        <v>228</v>
      </c>
    </row>
    <row r="714" spans="1:16" ht="12.75" customHeight="1">
      <c r="A714">
        <v>8</v>
      </c>
      <c r="B714" t="s">
        <v>155</v>
      </c>
      <c r="C714">
        <v>1337</v>
      </c>
      <c r="D714" t="s">
        <v>295</v>
      </c>
      <c r="E714" t="s">
        <v>296</v>
      </c>
      <c r="F714" s="2">
        <v>36629</v>
      </c>
      <c r="G714" s="2">
        <v>39051</v>
      </c>
      <c r="H714" s="2">
        <v>39125</v>
      </c>
      <c r="I714" s="5">
        <v>39629</v>
      </c>
      <c r="J714" s="2">
        <v>39304</v>
      </c>
      <c r="K714" s="2">
        <v>38615</v>
      </c>
      <c r="L714" t="s">
        <v>297</v>
      </c>
      <c r="M714" t="s">
        <v>297</v>
      </c>
      <c r="N714" t="s">
        <v>870</v>
      </c>
      <c r="O714" t="s">
        <v>222</v>
      </c>
      <c r="P714" t="s">
        <v>228</v>
      </c>
    </row>
    <row r="715" spans="1:16" ht="12.75" customHeight="1">
      <c r="A715">
        <v>8</v>
      </c>
      <c r="B715" t="s">
        <v>155</v>
      </c>
      <c r="C715">
        <v>1364</v>
      </c>
      <c r="D715" t="s">
        <v>295</v>
      </c>
      <c r="E715" t="s">
        <v>296</v>
      </c>
      <c r="F715" s="2">
        <v>36829</v>
      </c>
      <c r="G715" s="2">
        <v>39108</v>
      </c>
      <c r="H715" s="2">
        <v>39392</v>
      </c>
      <c r="I715" s="5">
        <v>38473</v>
      </c>
      <c r="J715" s="2">
        <v>39412</v>
      </c>
      <c r="K715" s="2">
        <v>38972</v>
      </c>
      <c r="L715" t="s">
        <v>297</v>
      </c>
      <c r="M715" t="s">
        <v>297</v>
      </c>
      <c r="N715" t="s">
        <v>871</v>
      </c>
      <c r="O715" t="s">
        <v>222</v>
      </c>
      <c r="P715" t="s">
        <v>228</v>
      </c>
    </row>
    <row r="716" spans="1:16" ht="12.75" customHeight="1">
      <c r="A716" t="s">
        <v>222</v>
      </c>
      <c r="B716" t="s">
        <v>228</v>
      </c>
    </row>
    <row r="717" spans="1:16" ht="12.75" customHeight="1">
      <c r="A717">
        <v>8</v>
      </c>
      <c r="B717" t="s">
        <v>157</v>
      </c>
      <c r="C717">
        <v>169</v>
      </c>
      <c r="D717" t="s">
        <v>295</v>
      </c>
      <c r="E717" t="s">
        <v>296</v>
      </c>
      <c r="F717" s="2">
        <v>28296</v>
      </c>
      <c r="G717" s="2">
        <v>30123</v>
      </c>
      <c r="H717" s="2">
        <v>39515</v>
      </c>
      <c r="I717" s="5">
        <v>39629</v>
      </c>
      <c r="J717" s="2">
        <v>39412</v>
      </c>
      <c r="K717" s="2">
        <v>38861</v>
      </c>
      <c r="L717" t="s">
        <v>297</v>
      </c>
      <c r="M717" t="s">
        <v>297</v>
      </c>
      <c r="N717" t="s">
        <v>872</v>
      </c>
      <c r="O717" t="s">
        <v>222</v>
      </c>
      <c r="P717" t="s">
        <v>229</v>
      </c>
    </row>
    <row r="718" spans="1:16" ht="12.75" customHeight="1">
      <c r="A718">
        <v>8</v>
      </c>
      <c r="B718" t="s">
        <v>157</v>
      </c>
      <c r="C718">
        <v>283</v>
      </c>
      <c r="D718" t="s">
        <v>295</v>
      </c>
      <c r="E718" t="s">
        <v>296</v>
      </c>
      <c r="F718" s="2">
        <v>29568</v>
      </c>
      <c r="G718" s="2">
        <v>30856</v>
      </c>
      <c r="H718" s="2">
        <v>39206</v>
      </c>
      <c r="I718" s="5">
        <v>39202</v>
      </c>
      <c r="J718" s="2">
        <v>39414</v>
      </c>
      <c r="K718" s="2">
        <v>38750</v>
      </c>
      <c r="L718" t="s">
        <v>297</v>
      </c>
      <c r="M718" t="s">
        <v>297</v>
      </c>
      <c r="N718" t="s">
        <v>873</v>
      </c>
      <c r="O718" t="s">
        <v>222</v>
      </c>
      <c r="P718" t="s">
        <v>229</v>
      </c>
    </row>
    <row r="719" spans="1:16" ht="12.75" customHeight="1">
      <c r="A719">
        <v>8</v>
      </c>
      <c r="B719" t="s">
        <v>157</v>
      </c>
      <c r="C719">
        <v>417</v>
      </c>
      <c r="D719" t="s">
        <v>295</v>
      </c>
      <c r="E719" t="s">
        <v>296</v>
      </c>
      <c r="F719" s="2">
        <v>30640</v>
      </c>
      <c r="G719" s="2">
        <v>31612</v>
      </c>
      <c r="H719" s="2">
        <v>39357</v>
      </c>
      <c r="I719" s="5">
        <v>39629</v>
      </c>
      <c r="J719" s="2">
        <v>39466</v>
      </c>
      <c r="K719" s="2">
        <v>35459</v>
      </c>
      <c r="L719" t="s">
        <v>297</v>
      </c>
      <c r="M719" t="s">
        <v>297</v>
      </c>
      <c r="N719" t="s">
        <v>874</v>
      </c>
      <c r="O719" t="s">
        <v>222</v>
      </c>
      <c r="P719" t="s">
        <v>229</v>
      </c>
    </row>
    <row r="720" spans="1:16" ht="12.75" customHeight="1">
      <c r="A720">
        <v>8</v>
      </c>
      <c r="B720" t="s">
        <v>157</v>
      </c>
      <c r="C720">
        <v>512</v>
      </c>
      <c r="D720" t="s">
        <v>295</v>
      </c>
      <c r="E720" t="s">
        <v>296</v>
      </c>
      <c r="F720" s="2">
        <v>31437</v>
      </c>
      <c r="G720" s="2">
        <v>31437</v>
      </c>
      <c r="H720" s="2">
        <v>39470</v>
      </c>
      <c r="I720" s="5">
        <v>39629</v>
      </c>
      <c r="J720" s="2">
        <v>39385</v>
      </c>
      <c r="K720" s="2">
        <v>38601</v>
      </c>
      <c r="L720" t="s">
        <v>297</v>
      </c>
      <c r="M720" t="s">
        <v>297</v>
      </c>
      <c r="N720" t="s">
        <v>875</v>
      </c>
      <c r="O720" t="s">
        <v>222</v>
      </c>
      <c r="P720" t="s">
        <v>229</v>
      </c>
    </row>
    <row r="721" spans="1:16" ht="12.75" customHeight="1">
      <c r="A721">
        <v>8</v>
      </c>
      <c r="B721" t="s">
        <v>157</v>
      </c>
      <c r="C721">
        <v>766</v>
      </c>
      <c r="D721" t="s">
        <v>295</v>
      </c>
      <c r="E721" t="s">
        <v>296</v>
      </c>
      <c r="F721" s="2">
        <v>33264</v>
      </c>
      <c r="G721" s="2">
        <v>33675</v>
      </c>
      <c r="H721" s="2">
        <v>39160</v>
      </c>
      <c r="I721" s="5">
        <v>39629</v>
      </c>
      <c r="J721" s="2">
        <v>38721</v>
      </c>
      <c r="K721" s="2">
        <v>39385</v>
      </c>
      <c r="L721" t="s">
        <v>297</v>
      </c>
      <c r="M721" t="s">
        <v>297</v>
      </c>
      <c r="N721" t="s">
        <v>876</v>
      </c>
      <c r="O721" t="s">
        <v>222</v>
      </c>
      <c r="P721" t="s">
        <v>229</v>
      </c>
    </row>
    <row r="722" spans="1:16" ht="12.75" customHeight="1">
      <c r="A722">
        <v>8</v>
      </c>
      <c r="B722" t="s">
        <v>157</v>
      </c>
      <c r="C722">
        <v>814</v>
      </c>
      <c r="D722" t="s">
        <v>295</v>
      </c>
      <c r="E722" t="s">
        <v>296</v>
      </c>
      <c r="F722" s="2">
        <v>33544</v>
      </c>
      <c r="G722" s="2">
        <v>33992</v>
      </c>
      <c r="H722" s="2">
        <v>39245</v>
      </c>
      <c r="I722" s="5">
        <v>39629</v>
      </c>
      <c r="J722" s="2">
        <v>39385</v>
      </c>
      <c r="K722" s="2">
        <v>38903</v>
      </c>
      <c r="L722" t="s">
        <v>297</v>
      </c>
      <c r="M722" t="s">
        <v>297</v>
      </c>
      <c r="N722" t="s">
        <v>877</v>
      </c>
      <c r="O722" t="s">
        <v>222</v>
      </c>
      <c r="P722" t="s">
        <v>229</v>
      </c>
    </row>
    <row r="723" spans="1:16" ht="12.75" customHeight="1">
      <c r="A723">
        <v>8</v>
      </c>
      <c r="B723" t="s">
        <v>157</v>
      </c>
      <c r="C723">
        <v>821</v>
      </c>
      <c r="D723" t="s">
        <v>295</v>
      </c>
      <c r="E723" t="s">
        <v>296</v>
      </c>
      <c r="F723" s="2">
        <v>33621</v>
      </c>
      <c r="G723" s="2">
        <v>34404</v>
      </c>
      <c r="H723" s="2">
        <v>39409</v>
      </c>
      <c r="I723" s="5">
        <v>39629</v>
      </c>
      <c r="J723" s="2">
        <v>39385</v>
      </c>
      <c r="K723" s="2">
        <v>36206</v>
      </c>
      <c r="L723" t="s">
        <v>297</v>
      </c>
      <c r="M723" t="s">
        <v>297</v>
      </c>
      <c r="N723" t="s">
        <v>878</v>
      </c>
      <c r="O723" t="s">
        <v>222</v>
      </c>
      <c r="P723" t="s">
        <v>229</v>
      </c>
    </row>
    <row r="724" spans="1:16" ht="12.75" customHeight="1">
      <c r="A724">
        <v>8</v>
      </c>
      <c r="B724" t="s">
        <v>157</v>
      </c>
      <c r="C724">
        <v>823</v>
      </c>
      <c r="D724" t="s">
        <v>295</v>
      </c>
      <c r="E724" t="s">
        <v>296</v>
      </c>
      <c r="F724" s="2">
        <v>33684</v>
      </c>
      <c r="G724" s="2">
        <v>34985</v>
      </c>
      <c r="H724" s="2">
        <v>39088</v>
      </c>
      <c r="I724" s="5">
        <v>39629</v>
      </c>
      <c r="J724" s="2">
        <v>39385</v>
      </c>
      <c r="K724" s="2">
        <v>37513</v>
      </c>
      <c r="L724" t="s">
        <v>297</v>
      </c>
      <c r="M724" t="s">
        <v>297</v>
      </c>
      <c r="N724" t="s">
        <v>879</v>
      </c>
      <c r="O724" t="s">
        <v>222</v>
      </c>
      <c r="P724" t="s">
        <v>229</v>
      </c>
    </row>
    <row r="725" spans="1:16" ht="12.75" customHeight="1">
      <c r="A725">
        <v>8</v>
      </c>
      <c r="B725" t="s">
        <v>157</v>
      </c>
      <c r="C725">
        <v>1155</v>
      </c>
      <c r="D725" t="s">
        <v>295</v>
      </c>
      <c r="E725" t="s">
        <v>296</v>
      </c>
      <c r="F725" s="2">
        <v>35419</v>
      </c>
      <c r="G725" s="2">
        <v>36238</v>
      </c>
      <c r="H725" s="2">
        <v>39378</v>
      </c>
      <c r="I725" s="5">
        <v>39629</v>
      </c>
      <c r="J725" s="2">
        <v>39385</v>
      </c>
      <c r="L725" t="s">
        <v>297</v>
      </c>
      <c r="M725" t="s">
        <v>297</v>
      </c>
      <c r="N725" t="s">
        <v>880</v>
      </c>
      <c r="O725" t="s">
        <v>222</v>
      </c>
      <c r="P725" t="s">
        <v>229</v>
      </c>
    </row>
    <row r="726" spans="1:16" ht="12.75" customHeight="1">
      <c r="A726">
        <v>8</v>
      </c>
      <c r="B726" t="s">
        <v>157</v>
      </c>
      <c r="C726">
        <v>1481</v>
      </c>
      <c r="D726" t="s">
        <v>295</v>
      </c>
      <c r="E726" t="s">
        <v>296</v>
      </c>
      <c r="F726" s="2">
        <v>38274</v>
      </c>
      <c r="G726" s="2">
        <v>38776</v>
      </c>
      <c r="H726" s="2">
        <v>39398</v>
      </c>
      <c r="I726" s="5">
        <v>39629</v>
      </c>
      <c r="J726" s="2">
        <v>39385</v>
      </c>
      <c r="K726" s="2">
        <v>39192</v>
      </c>
      <c r="L726" t="s">
        <v>297</v>
      </c>
      <c r="M726" t="s">
        <v>322</v>
      </c>
      <c r="N726" t="s">
        <v>881</v>
      </c>
      <c r="O726" t="s">
        <v>222</v>
      </c>
      <c r="P726" t="s">
        <v>229</v>
      </c>
    </row>
    <row r="727" spans="1:16" ht="12.75" customHeight="1">
      <c r="A727" t="s">
        <v>222</v>
      </c>
      <c r="B727" t="s">
        <v>229</v>
      </c>
    </row>
    <row r="728" spans="1:16" ht="12.75" customHeight="1">
      <c r="A728">
        <v>8</v>
      </c>
      <c r="B728" t="s">
        <v>159</v>
      </c>
      <c r="C728">
        <v>584</v>
      </c>
      <c r="D728" t="s">
        <v>295</v>
      </c>
      <c r="E728" t="s">
        <v>296</v>
      </c>
      <c r="F728" s="2">
        <v>31857</v>
      </c>
      <c r="G728" s="2">
        <v>32816</v>
      </c>
      <c r="H728" s="2">
        <v>39406</v>
      </c>
      <c r="I728" s="5">
        <v>39629</v>
      </c>
      <c r="K728" s="2">
        <v>36402</v>
      </c>
      <c r="L728" t="s">
        <v>297</v>
      </c>
      <c r="M728" t="s">
        <v>297</v>
      </c>
      <c r="N728" t="s">
        <v>882</v>
      </c>
      <c r="O728" t="s">
        <v>222</v>
      </c>
      <c r="P728" t="s">
        <v>230</v>
      </c>
    </row>
    <row r="729" spans="1:16" ht="12.75" customHeight="1">
      <c r="A729">
        <v>8</v>
      </c>
      <c r="B729" t="s">
        <v>159</v>
      </c>
      <c r="C729">
        <v>589</v>
      </c>
      <c r="D729" t="s">
        <v>408</v>
      </c>
      <c r="E729" t="s">
        <v>316</v>
      </c>
      <c r="F729" s="2">
        <v>31857</v>
      </c>
      <c r="G729" s="2">
        <v>35636</v>
      </c>
      <c r="H729" s="2">
        <v>38133</v>
      </c>
      <c r="I729" s="5">
        <v>37802</v>
      </c>
      <c r="K729" s="2">
        <v>36354</v>
      </c>
      <c r="L729" t="s">
        <v>297</v>
      </c>
      <c r="M729" t="s">
        <v>297</v>
      </c>
      <c r="O729" t="s">
        <v>222</v>
      </c>
      <c r="P729" t="s">
        <v>230</v>
      </c>
    </row>
    <row r="730" spans="1:16" ht="12.75" customHeight="1">
      <c r="A730">
        <v>8</v>
      </c>
      <c r="B730" t="s">
        <v>159</v>
      </c>
      <c r="C730">
        <v>672</v>
      </c>
      <c r="D730" t="s">
        <v>295</v>
      </c>
      <c r="E730" t="s">
        <v>296</v>
      </c>
      <c r="F730" s="2">
        <v>32577</v>
      </c>
      <c r="G730" s="2">
        <v>34051</v>
      </c>
      <c r="H730" s="2">
        <v>39310</v>
      </c>
      <c r="I730" s="5">
        <v>39629</v>
      </c>
      <c r="K730" s="2">
        <v>38810</v>
      </c>
      <c r="L730" t="s">
        <v>297</v>
      </c>
      <c r="M730" t="s">
        <v>297</v>
      </c>
      <c r="N730" t="s">
        <v>883</v>
      </c>
      <c r="O730" t="s">
        <v>222</v>
      </c>
      <c r="P730" t="s">
        <v>230</v>
      </c>
    </row>
    <row r="731" spans="1:16" ht="12.75" customHeight="1">
      <c r="A731">
        <v>8</v>
      </c>
      <c r="B731" t="s">
        <v>159</v>
      </c>
      <c r="C731">
        <v>689</v>
      </c>
      <c r="D731" t="s">
        <v>295</v>
      </c>
      <c r="E731" t="s">
        <v>296</v>
      </c>
      <c r="F731" s="2">
        <v>32647</v>
      </c>
      <c r="G731" s="2">
        <v>33180</v>
      </c>
      <c r="H731" s="2">
        <v>39361</v>
      </c>
      <c r="I731" s="5">
        <v>38168</v>
      </c>
      <c r="J731" s="2">
        <v>38854</v>
      </c>
      <c r="K731" s="2">
        <v>35816</v>
      </c>
      <c r="L731" t="s">
        <v>297</v>
      </c>
      <c r="M731" t="s">
        <v>297</v>
      </c>
      <c r="N731" t="s">
        <v>884</v>
      </c>
      <c r="O731" t="s">
        <v>222</v>
      </c>
      <c r="P731" t="s">
        <v>230</v>
      </c>
    </row>
    <row r="732" spans="1:16" ht="12.75" customHeight="1">
      <c r="A732">
        <v>8</v>
      </c>
      <c r="B732" t="s">
        <v>159</v>
      </c>
      <c r="C732">
        <v>825</v>
      </c>
      <c r="D732" t="s">
        <v>295</v>
      </c>
      <c r="E732" t="s">
        <v>296</v>
      </c>
      <c r="F732" s="2">
        <v>33684</v>
      </c>
      <c r="G732" s="2">
        <v>35573</v>
      </c>
      <c r="H732" s="2">
        <v>39183</v>
      </c>
      <c r="I732" s="5">
        <v>39082</v>
      </c>
      <c r="J732" s="2">
        <v>35541</v>
      </c>
      <c r="K732" s="2">
        <v>38772</v>
      </c>
      <c r="L732" t="s">
        <v>297</v>
      </c>
      <c r="M732" t="s">
        <v>297</v>
      </c>
      <c r="N732" t="s">
        <v>885</v>
      </c>
      <c r="O732" t="s">
        <v>222</v>
      </c>
      <c r="P732" t="s">
        <v>230</v>
      </c>
    </row>
    <row r="733" spans="1:16" ht="12.75" customHeight="1">
      <c r="A733">
        <v>8</v>
      </c>
      <c r="B733" t="s">
        <v>159</v>
      </c>
      <c r="C733">
        <v>847</v>
      </c>
      <c r="D733" t="s">
        <v>295</v>
      </c>
      <c r="E733" t="s">
        <v>296</v>
      </c>
      <c r="F733" s="2">
        <v>33879</v>
      </c>
      <c r="G733" s="2">
        <v>35084</v>
      </c>
      <c r="H733" s="2">
        <v>39371</v>
      </c>
      <c r="I733" s="5">
        <v>37072</v>
      </c>
      <c r="J733" s="2">
        <v>38952</v>
      </c>
      <c r="K733" s="2">
        <v>35374</v>
      </c>
      <c r="L733" t="s">
        <v>297</v>
      </c>
      <c r="M733" t="s">
        <v>297</v>
      </c>
      <c r="N733" t="s">
        <v>886</v>
      </c>
      <c r="O733" t="s">
        <v>222</v>
      </c>
      <c r="P733" t="s">
        <v>230</v>
      </c>
    </row>
    <row r="734" spans="1:16" ht="12.75" customHeight="1">
      <c r="A734">
        <v>8</v>
      </c>
      <c r="B734" t="s">
        <v>159</v>
      </c>
      <c r="C734">
        <v>868</v>
      </c>
      <c r="D734" t="s">
        <v>315</v>
      </c>
      <c r="E734" t="s">
        <v>316</v>
      </c>
      <c r="F734" s="2">
        <v>33941</v>
      </c>
      <c r="G734" s="2">
        <v>34985</v>
      </c>
      <c r="H734" s="2">
        <v>36921</v>
      </c>
      <c r="I734" s="5">
        <v>37468</v>
      </c>
      <c r="K734" s="2">
        <v>35471</v>
      </c>
      <c r="L734" t="s">
        <v>297</v>
      </c>
      <c r="M734" t="s">
        <v>297</v>
      </c>
      <c r="O734" t="s">
        <v>222</v>
      </c>
      <c r="P734" t="s">
        <v>230</v>
      </c>
    </row>
    <row r="735" spans="1:16" ht="12.75" customHeight="1">
      <c r="A735">
        <v>8</v>
      </c>
      <c r="B735" t="s">
        <v>159</v>
      </c>
      <c r="C735">
        <v>881</v>
      </c>
      <c r="D735" t="s">
        <v>295</v>
      </c>
      <c r="E735" t="s">
        <v>296</v>
      </c>
      <c r="F735" s="2">
        <v>34022</v>
      </c>
      <c r="G735" s="2">
        <v>35209</v>
      </c>
      <c r="H735" s="2">
        <v>39520</v>
      </c>
      <c r="I735" s="5">
        <v>39629</v>
      </c>
      <c r="J735" s="2">
        <v>38952</v>
      </c>
      <c r="K735" s="2">
        <v>36213</v>
      </c>
      <c r="L735" t="s">
        <v>297</v>
      </c>
      <c r="M735" t="s">
        <v>297</v>
      </c>
      <c r="N735" t="s">
        <v>887</v>
      </c>
      <c r="O735" t="s">
        <v>222</v>
      </c>
      <c r="P735" t="s">
        <v>230</v>
      </c>
    </row>
    <row r="736" spans="1:16" ht="12.75" customHeight="1">
      <c r="A736">
        <v>8</v>
      </c>
      <c r="B736" t="s">
        <v>159</v>
      </c>
      <c r="C736">
        <v>910</v>
      </c>
      <c r="D736" t="s">
        <v>295</v>
      </c>
      <c r="E736" t="s">
        <v>296</v>
      </c>
      <c r="F736" s="2">
        <v>34208</v>
      </c>
      <c r="G736" s="2">
        <v>37631</v>
      </c>
      <c r="H736" s="2">
        <v>38873</v>
      </c>
      <c r="I736" s="5">
        <v>37986</v>
      </c>
      <c r="K736" s="2">
        <v>38490</v>
      </c>
      <c r="L736" t="s">
        <v>297</v>
      </c>
      <c r="M736" t="s">
        <v>297</v>
      </c>
      <c r="N736" t="s">
        <v>888</v>
      </c>
      <c r="O736" t="s">
        <v>222</v>
      </c>
      <c r="P736" t="s">
        <v>230</v>
      </c>
    </row>
    <row r="737" spans="1:16" ht="12.75" customHeight="1">
      <c r="A737">
        <v>8</v>
      </c>
      <c r="B737" t="s">
        <v>159</v>
      </c>
      <c r="C737">
        <v>924</v>
      </c>
      <c r="D737" t="s">
        <v>393</v>
      </c>
      <c r="E737" t="s">
        <v>316</v>
      </c>
      <c r="F737" s="2">
        <v>34633</v>
      </c>
      <c r="H737" s="2">
        <v>38833</v>
      </c>
      <c r="I737" s="5">
        <v>38929</v>
      </c>
      <c r="K737" s="2">
        <v>38658</v>
      </c>
      <c r="L737" t="s">
        <v>297</v>
      </c>
      <c r="M737" t="s">
        <v>297</v>
      </c>
      <c r="O737" t="s">
        <v>222</v>
      </c>
      <c r="P737" t="s">
        <v>230</v>
      </c>
    </row>
    <row r="738" spans="1:16" ht="12.75" customHeight="1">
      <c r="A738">
        <v>8</v>
      </c>
      <c r="B738" t="s">
        <v>159</v>
      </c>
      <c r="C738">
        <v>942</v>
      </c>
      <c r="D738" t="s">
        <v>295</v>
      </c>
      <c r="E738" t="s">
        <v>296</v>
      </c>
      <c r="F738" s="2">
        <v>34396</v>
      </c>
      <c r="G738" s="2">
        <v>34775</v>
      </c>
      <c r="H738" s="2">
        <v>38827</v>
      </c>
      <c r="I738" s="5">
        <v>39447</v>
      </c>
      <c r="K738" s="2">
        <v>36243</v>
      </c>
      <c r="L738" t="s">
        <v>297</v>
      </c>
      <c r="M738" t="s">
        <v>297</v>
      </c>
      <c r="N738" t="s">
        <v>889</v>
      </c>
      <c r="O738" t="s">
        <v>222</v>
      </c>
      <c r="P738" t="s">
        <v>230</v>
      </c>
    </row>
    <row r="739" spans="1:16" ht="12.75" customHeight="1">
      <c r="A739">
        <v>8</v>
      </c>
      <c r="B739" t="s">
        <v>159</v>
      </c>
      <c r="C739">
        <v>957</v>
      </c>
      <c r="D739" t="s">
        <v>295</v>
      </c>
      <c r="E739" t="s">
        <v>296</v>
      </c>
      <c r="F739" s="2">
        <v>34494</v>
      </c>
      <c r="G739" s="2">
        <v>35356</v>
      </c>
      <c r="H739" s="2">
        <v>38922</v>
      </c>
      <c r="I739" s="5">
        <v>39629</v>
      </c>
      <c r="J739" s="2">
        <v>37999</v>
      </c>
      <c r="K739" s="2">
        <v>39322</v>
      </c>
      <c r="L739" t="s">
        <v>297</v>
      </c>
      <c r="M739" t="s">
        <v>297</v>
      </c>
      <c r="N739" t="s">
        <v>890</v>
      </c>
      <c r="O739" t="s">
        <v>222</v>
      </c>
      <c r="P739" t="s">
        <v>230</v>
      </c>
    </row>
    <row r="740" spans="1:16" ht="12.75" customHeight="1">
      <c r="A740">
        <v>8</v>
      </c>
      <c r="B740" t="s">
        <v>159</v>
      </c>
      <c r="C740">
        <v>1027</v>
      </c>
      <c r="D740" t="s">
        <v>618</v>
      </c>
      <c r="E740" t="s">
        <v>316</v>
      </c>
      <c r="F740" s="2">
        <v>34729</v>
      </c>
      <c r="G740" s="2">
        <v>37764</v>
      </c>
      <c r="H740" s="2">
        <v>37524</v>
      </c>
      <c r="I740" s="5">
        <v>37834</v>
      </c>
      <c r="K740" s="2">
        <v>37524</v>
      </c>
      <c r="L740" t="s">
        <v>297</v>
      </c>
      <c r="M740" t="s">
        <v>322</v>
      </c>
      <c r="O740" t="s">
        <v>222</v>
      </c>
      <c r="P740" t="s">
        <v>230</v>
      </c>
    </row>
    <row r="741" spans="1:16" ht="12.75" customHeight="1">
      <c r="A741">
        <v>8</v>
      </c>
      <c r="B741" t="s">
        <v>159</v>
      </c>
      <c r="C741">
        <v>1049</v>
      </c>
      <c r="D741" t="s">
        <v>295</v>
      </c>
      <c r="E741" t="s">
        <v>296</v>
      </c>
      <c r="F741" s="2">
        <v>34806</v>
      </c>
      <c r="G741" s="2">
        <v>39108</v>
      </c>
      <c r="H741" s="2">
        <v>39091</v>
      </c>
      <c r="I741" s="5">
        <v>39263</v>
      </c>
      <c r="K741" s="2">
        <v>36389</v>
      </c>
      <c r="L741" t="s">
        <v>297</v>
      </c>
      <c r="M741" t="s">
        <v>297</v>
      </c>
      <c r="N741" t="s">
        <v>891</v>
      </c>
      <c r="O741" t="s">
        <v>222</v>
      </c>
      <c r="P741" t="s">
        <v>230</v>
      </c>
    </row>
    <row r="742" spans="1:16" ht="12.75" customHeight="1">
      <c r="A742">
        <v>8</v>
      </c>
      <c r="B742" t="s">
        <v>159</v>
      </c>
      <c r="C742">
        <v>1198</v>
      </c>
      <c r="D742" t="s">
        <v>295</v>
      </c>
      <c r="E742" t="s">
        <v>296</v>
      </c>
      <c r="F742" s="2">
        <v>35593</v>
      </c>
      <c r="G742" s="2">
        <v>38460</v>
      </c>
      <c r="H742" s="2">
        <v>39400</v>
      </c>
      <c r="I742" s="5">
        <v>38898</v>
      </c>
      <c r="L742" t="s">
        <v>297</v>
      </c>
      <c r="M742" t="s">
        <v>297</v>
      </c>
      <c r="N742" t="s">
        <v>892</v>
      </c>
      <c r="O742" t="s">
        <v>222</v>
      </c>
      <c r="P742" t="s">
        <v>230</v>
      </c>
    </row>
    <row r="743" spans="1:16" ht="12.75" customHeight="1">
      <c r="A743">
        <v>8</v>
      </c>
      <c r="B743" t="s">
        <v>159</v>
      </c>
      <c r="C743">
        <v>1221</v>
      </c>
      <c r="D743" t="s">
        <v>618</v>
      </c>
      <c r="E743" t="s">
        <v>316</v>
      </c>
      <c r="F743" s="2">
        <v>35734</v>
      </c>
      <c r="G743" s="2">
        <v>36483</v>
      </c>
      <c r="H743" s="2">
        <v>38744</v>
      </c>
      <c r="I743" s="5">
        <v>38898</v>
      </c>
      <c r="K743" s="2">
        <v>38580</v>
      </c>
      <c r="L743" t="s">
        <v>297</v>
      </c>
      <c r="M743" t="s">
        <v>297</v>
      </c>
      <c r="N743" t="s">
        <v>318</v>
      </c>
      <c r="O743" t="s">
        <v>222</v>
      </c>
      <c r="P743" t="s">
        <v>230</v>
      </c>
    </row>
    <row r="744" spans="1:16" ht="12.75" customHeight="1">
      <c r="A744">
        <v>8</v>
      </c>
      <c r="B744" t="s">
        <v>159</v>
      </c>
      <c r="C744">
        <v>1407</v>
      </c>
      <c r="D744" t="s">
        <v>408</v>
      </c>
      <c r="E744" t="s">
        <v>316</v>
      </c>
      <c r="F744" s="2">
        <v>37347</v>
      </c>
      <c r="H744" s="2">
        <v>38121</v>
      </c>
      <c r="I744" s="5">
        <v>38412</v>
      </c>
      <c r="K744" s="2">
        <v>38121</v>
      </c>
      <c r="L744" t="s">
        <v>297</v>
      </c>
      <c r="M744" t="s">
        <v>297</v>
      </c>
      <c r="O744" t="s">
        <v>222</v>
      </c>
      <c r="P744" t="s">
        <v>230</v>
      </c>
    </row>
    <row r="745" spans="1:16" ht="12.75" customHeight="1">
      <c r="A745">
        <v>8</v>
      </c>
      <c r="B745" t="s">
        <v>159</v>
      </c>
      <c r="C745">
        <v>1448</v>
      </c>
      <c r="D745" t="s">
        <v>295</v>
      </c>
      <c r="E745" t="s">
        <v>296</v>
      </c>
      <c r="F745" s="2">
        <v>37756</v>
      </c>
      <c r="G745" s="2">
        <v>39138</v>
      </c>
      <c r="H745" s="2">
        <v>39523</v>
      </c>
      <c r="I745" s="5">
        <v>39629</v>
      </c>
      <c r="J745" s="2">
        <v>38805</v>
      </c>
      <c r="K745" s="2">
        <v>38554</v>
      </c>
      <c r="L745" t="s">
        <v>297</v>
      </c>
      <c r="M745" t="s">
        <v>322</v>
      </c>
      <c r="N745" t="s">
        <v>893</v>
      </c>
      <c r="O745" t="s">
        <v>222</v>
      </c>
      <c r="P745" t="s">
        <v>230</v>
      </c>
    </row>
    <row r="746" spans="1:16" ht="12.75" customHeight="1">
      <c r="A746" t="s">
        <v>222</v>
      </c>
      <c r="B746" t="s">
        <v>230</v>
      </c>
    </row>
    <row r="747" spans="1:16" ht="12.75" customHeight="1">
      <c r="A747">
        <v>8</v>
      </c>
      <c r="B747" t="s">
        <v>176</v>
      </c>
      <c r="C747">
        <v>542</v>
      </c>
      <c r="D747" t="s">
        <v>380</v>
      </c>
      <c r="E747" t="s">
        <v>316</v>
      </c>
      <c r="F747" s="2">
        <v>31612</v>
      </c>
      <c r="G747" s="2">
        <v>32086</v>
      </c>
      <c r="H747" s="2">
        <v>38160</v>
      </c>
      <c r="I747" s="5">
        <v>35247</v>
      </c>
      <c r="K747" s="2">
        <v>34983</v>
      </c>
      <c r="L747" t="s">
        <v>297</v>
      </c>
      <c r="M747" t="s">
        <v>297</v>
      </c>
      <c r="O747" t="s">
        <v>222</v>
      </c>
      <c r="P747" t="s">
        <v>231</v>
      </c>
    </row>
    <row r="748" spans="1:16" ht="12.75" customHeight="1">
      <c r="A748">
        <v>8</v>
      </c>
      <c r="B748" t="s">
        <v>176</v>
      </c>
      <c r="C748">
        <v>571</v>
      </c>
      <c r="D748" t="s">
        <v>295</v>
      </c>
      <c r="E748" t="s">
        <v>296</v>
      </c>
      <c r="F748" s="2">
        <v>31794</v>
      </c>
      <c r="G748" s="2">
        <v>32949</v>
      </c>
      <c r="H748" s="2">
        <v>39300</v>
      </c>
      <c r="I748" s="5">
        <v>39629</v>
      </c>
      <c r="K748" s="2">
        <v>36217</v>
      </c>
      <c r="L748" t="s">
        <v>297</v>
      </c>
      <c r="M748" t="s">
        <v>297</v>
      </c>
      <c r="N748" t="s">
        <v>894</v>
      </c>
      <c r="O748" t="s">
        <v>222</v>
      </c>
      <c r="P748" t="s">
        <v>231</v>
      </c>
    </row>
    <row r="749" spans="1:16" ht="12.75" customHeight="1">
      <c r="A749">
        <v>8</v>
      </c>
      <c r="B749" t="s">
        <v>176</v>
      </c>
      <c r="C749">
        <v>675</v>
      </c>
      <c r="D749" t="s">
        <v>295</v>
      </c>
      <c r="E749" t="s">
        <v>296</v>
      </c>
      <c r="F749" s="2">
        <v>32577</v>
      </c>
      <c r="G749" s="2">
        <v>33264</v>
      </c>
      <c r="H749" s="2">
        <v>39308</v>
      </c>
      <c r="I749" s="5">
        <v>39263</v>
      </c>
      <c r="J749" s="2">
        <v>38777</v>
      </c>
      <c r="K749" s="2">
        <v>38946</v>
      </c>
      <c r="L749" t="s">
        <v>297</v>
      </c>
      <c r="M749" t="s">
        <v>297</v>
      </c>
      <c r="N749" t="s">
        <v>895</v>
      </c>
      <c r="O749" t="s">
        <v>222</v>
      </c>
      <c r="P749" t="s">
        <v>231</v>
      </c>
    </row>
    <row r="750" spans="1:16" ht="12.75" customHeight="1">
      <c r="A750">
        <v>8</v>
      </c>
      <c r="B750" t="s">
        <v>176</v>
      </c>
      <c r="C750">
        <v>676</v>
      </c>
      <c r="D750" t="s">
        <v>295</v>
      </c>
      <c r="E750" t="s">
        <v>296</v>
      </c>
      <c r="F750" s="2">
        <v>33313</v>
      </c>
      <c r="G750" s="2">
        <v>33313</v>
      </c>
      <c r="H750" s="2">
        <v>39264</v>
      </c>
      <c r="I750" s="5">
        <v>39629</v>
      </c>
      <c r="J750" s="2">
        <v>35741</v>
      </c>
      <c r="K750" s="2">
        <v>34852</v>
      </c>
      <c r="L750" t="s">
        <v>297</v>
      </c>
      <c r="M750" t="s">
        <v>297</v>
      </c>
      <c r="N750" t="s">
        <v>896</v>
      </c>
      <c r="O750" t="s">
        <v>222</v>
      </c>
      <c r="P750" t="s">
        <v>231</v>
      </c>
    </row>
    <row r="751" spans="1:16" ht="12.75" customHeight="1">
      <c r="A751">
        <v>8</v>
      </c>
      <c r="B751" t="s">
        <v>176</v>
      </c>
      <c r="C751">
        <v>746</v>
      </c>
      <c r="D751" t="s">
        <v>295</v>
      </c>
      <c r="E751" t="s">
        <v>296</v>
      </c>
      <c r="F751" s="2">
        <v>33021</v>
      </c>
      <c r="G751" s="2">
        <v>33684</v>
      </c>
      <c r="H751" s="2">
        <v>39451</v>
      </c>
      <c r="I751" s="5">
        <v>39629</v>
      </c>
      <c r="K751" s="2">
        <v>35685</v>
      </c>
      <c r="L751" t="s">
        <v>297</v>
      </c>
      <c r="M751" t="s">
        <v>297</v>
      </c>
      <c r="N751" t="s">
        <v>897</v>
      </c>
      <c r="O751" t="s">
        <v>222</v>
      </c>
      <c r="P751" t="s">
        <v>231</v>
      </c>
    </row>
    <row r="752" spans="1:16" ht="12.75" customHeight="1">
      <c r="A752">
        <v>8</v>
      </c>
      <c r="B752" t="s">
        <v>176</v>
      </c>
      <c r="C752">
        <v>767</v>
      </c>
      <c r="D752" t="s">
        <v>295</v>
      </c>
      <c r="E752" t="s">
        <v>296</v>
      </c>
      <c r="F752" s="2">
        <v>33264</v>
      </c>
      <c r="G752" s="2">
        <v>33992</v>
      </c>
      <c r="H752" s="2">
        <v>39429</v>
      </c>
      <c r="I752" s="5">
        <v>39629</v>
      </c>
      <c r="J752" s="2">
        <v>34799</v>
      </c>
      <c r="K752" s="2">
        <v>35633</v>
      </c>
      <c r="L752" t="s">
        <v>297</v>
      </c>
      <c r="M752" t="s">
        <v>297</v>
      </c>
      <c r="N752" t="s">
        <v>898</v>
      </c>
      <c r="O752" t="s">
        <v>222</v>
      </c>
      <c r="P752" t="s">
        <v>231</v>
      </c>
    </row>
    <row r="753" spans="1:16" ht="12.75" customHeight="1">
      <c r="A753">
        <v>8</v>
      </c>
      <c r="B753" t="s">
        <v>176</v>
      </c>
      <c r="C753">
        <v>815</v>
      </c>
      <c r="D753" t="s">
        <v>295</v>
      </c>
      <c r="E753" t="s">
        <v>296</v>
      </c>
      <c r="F753" s="2">
        <v>33544</v>
      </c>
      <c r="G753" s="2">
        <v>36238</v>
      </c>
      <c r="H753" s="2">
        <v>39315</v>
      </c>
      <c r="I753" s="5">
        <v>38168</v>
      </c>
      <c r="K753" s="2">
        <v>38881</v>
      </c>
      <c r="L753" t="s">
        <v>297</v>
      </c>
      <c r="M753" t="s">
        <v>297</v>
      </c>
      <c r="N753" t="s">
        <v>899</v>
      </c>
      <c r="O753" t="s">
        <v>222</v>
      </c>
      <c r="P753" t="s">
        <v>231</v>
      </c>
    </row>
    <row r="754" spans="1:16" ht="12.75" customHeight="1">
      <c r="A754">
        <v>8</v>
      </c>
      <c r="B754" t="s">
        <v>176</v>
      </c>
      <c r="C754">
        <v>826</v>
      </c>
      <c r="D754" t="s">
        <v>295</v>
      </c>
      <c r="E754" t="s">
        <v>296</v>
      </c>
      <c r="F754" s="2">
        <v>33684</v>
      </c>
      <c r="G754" s="2">
        <v>33992</v>
      </c>
      <c r="H754" s="2">
        <v>39224</v>
      </c>
      <c r="I754" s="5">
        <v>39629</v>
      </c>
      <c r="J754" s="2">
        <v>35317</v>
      </c>
      <c r="K754" s="2">
        <v>35869</v>
      </c>
      <c r="L754" t="s">
        <v>297</v>
      </c>
      <c r="M754" t="s">
        <v>297</v>
      </c>
      <c r="N754" t="s">
        <v>900</v>
      </c>
      <c r="O754" t="s">
        <v>222</v>
      </c>
      <c r="P754" t="s">
        <v>231</v>
      </c>
    </row>
    <row r="755" spans="1:16" ht="12.75" customHeight="1">
      <c r="A755">
        <v>8</v>
      </c>
      <c r="B755" t="s">
        <v>176</v>
      </c>
      <c r="C755">
        <v>883</v>
      </c>
      <c r="D755" t="s">
        <v>380</v>
      </c>
      <c r="E755" t="s">
        <v>316</v>
      </c>
      <c r="F755" s="2">
        <v>34044</v>
      </c>
      <c r="G755" s="2">
        <v>35140</v>
      </c>
      <c r="H755" s="2">
        <v>37601</v>
      </c>
      <c r="I755" s="5">
        <v>36341</v>
      </c>
      <c r="J755" s="2">
        <v>35075</v>
      </c>
      <c r="L755" t="s">
        <v>317</v>
      </c>
      <c r="M755" t="s">
        <v>297</v>
      </c>
      <c r="O755" t="s">
        <v>222</v>
      </c>
      <c r="P755" t="s">
        <v>231</v>
      </c>
    </row>
    <row r="756" spans="1:16" ht="12.75" customHeight="1">
      <c r="A756">
        <v>8</v>
      </c>
      <c r="B756" t="s">
        <v>176</v>
      </c>
      <c r="C756">
        <v>1391</v>
      </c>
      <c r="D756" t="s">
        <v>295</v>
      </c>
      <c r="E756" t="s">
        <v>296</v>
      </c>
      <c r="F756" s="2">
        <v>37120</v>
      </c>
      <c r="G756" s="2">
        <v>37694</v>
      </c>
      <c r="H756" s="2">
        <v>39463</v>
      </c>
      <c r="I756" s="5">
        <v>39568</v>
      </c>
      <c r="L756" t="s">
        <v>297</v>
      </c>
      <c r="M756" t="s">
        <v>297</v>
      </c>
      <c r="N756" t="s">
        <v>901</v>
      </c>
      <c r="O756" t="s">
        <v>222</v>
      </c>
      <c r="P756" t="s">
        <v>231</v>
      </c>
    </row>
    <row r="757" spans="1:16" ht="12.75" customHeight="1">
      <c r="A757">
        <v>8</v>
      </c>
      <c r="B757" t="s">
        <v>176</v>
      </c>
      <c r="C757">
        <v>1418</v>
      </c>
      <c r="D757" t="s">
        <v>295</v>
      </c>
      <c r="E757" t="s">
        <v>299</v>
      </c>
      <c r="F757" s="2">
        <v>37523</v>
      </c>
      <c r="H757" s="2">
        <v>39223</v>
      </c>
      <c r="I757" s="5">
        <v>38503</v>
      </c>
      <c r="K757" s="2">
        <v>38441</v>
      </c>
      <c r="L757" t="s">
        <v>297</v>
      </c>
      <c r="M757" t="s">
        <v>297</v>
      </c>
      <c r="N757" t="s">
        <v>902</v>
      </c>
      <c r="O757" t="s">
        <v>222</v>
      </c>
      <c r="P757" t="s">
        <v>231</v>
      </c>
    </row>
    <row r="758" spans="1:16" ht="12.75" customHeight="1">
      <c r="A758" t="s">
        <v>222</v>
      </c>
      <c r="B758" t="s">
        <v>231</v>
      </c>
    </row>
    <row r="759" spans="1:16" ht="12.75" customHeight="1">
      <c r="A759" t="s">
        <v>903</v>
      </c>
    </row>
    <row r="760" spans="1:16" ht="12.75" customHeight="1">
      <c r="A760">
        <v>9</v>
      </c>
      <c r="B760" t="s">
        <v>149</v>
      </c>
      <c r="C760">
        <v>126</v>
      </c>
      <c r="D760" t="s">
        <v>295</v>
      </c>
      <c r="E760" t="s">
        <v>296</v>
      </c>
      <c r="F760" s="2">
        <v>28093</v>
      </c>
      <c r="G760" s="2">
        <v>29074</v>
      </c>
      <c r="H760" s="2">
        <v>39324</v>
      </c>
      <c r="I760" s="5">
        <v>39629</v>
      </c>
      <c r="J760" s="2">
        <v>34212</v>
      </c>
      <c r="K760" s="2">
        <v>37573</v>
      </c>
      <c r="L760" t="s">
        <v>297</v>
      </c>
      <c r="M760" t="s">
        <v>297</v>
      </c>
      <c r="N760" t="s">
        <v>904</v>
      </c>
      <c r="O760" t="s">
        <v>232</v>
      </c>
      <c r="P760" t="s">
        <v>233</v>
      </c>
    </row>
    <row r="761" spans="1:16" ht="12.75" customHeight="1">
      <c r="A761">
        <v>9</v>
      </c>
      <c r="B761" t="s">
        <v>149</v>
      </c>
      <c r="C761">
        <v>354</v>
      </c>
      <c r="D761" t="s">
        <v>295</v>
      </c>
      <c r="E761" t="s">
        <v>296</v>
      </c>
      <c r="F761" s="2">
        <v>30191</v>
      </c>
      <c r="G761" s="2">
        <v>30394</v>
      </c>
      <c r="H761" s="2">
        <v>39311</v>
      </c>
      <c r="I761" s="5">
        <v>38533</v>
      </c>
      <c r="K761" s="2">
        <v>32196</v>
      </c>
      <c r="L761" t="s">
        <v>297</v>
      </c>
      <c r="M761" t="s">
        <v>297</v>
      </c>
      <c r="N761" t="s">
        <v>905</v>
      </c>
      <c r="O761" t="s">
        <v>232</v>
      </c>
      <c r="P761" t="s">
        <v>233</v>
      </c>
    </row>
    <row r="762" spans="1:16" ht="12.75" customHeight="1">
      <c r="A762">
        <v>9</v>
      </c>
      <c r="B762" t="s">
        <v>149</v>
      </c>
      <c r="C762">
        <v>384</v>
      </c>
      <c r="D762" t="s">
        <v>295</v>
      </c>
      <c r="E762" t="s">
        <v>296</v>
      </c>
      <c r="F762" s="2">
        <v>30393</v>
      </c>
      <c r="G762" s="2">
        <v>31101</v>
      </c>
      <c r="H762" s="2">
        <v>39316</v>
      </c>
      <c r="I762" s="5">
        <v>37072</v>
      </c>
      <c r="J762" s="2">
        <v>31106</v>
      </c>
      <c r="K762" s="2">
        <v>36431</v>
      </c>
      <c r="L762" t="s">
        <v>297</v>
      </c>
      <c r="N762" t="s">
        <v>906</v>
      </c>
      <c r="O762" t="s">
        <v>232</v>
      </c>
      <c r="P762" t="s">
        <v>233</v>
      </c>
    </row>
    <row r="763" spans="1:16" ht="12.75" customHeight="1">
      <c r="A763">
        <v>9</v>
      </c>
      <c r="B763" t="s">
        <v>149</v>
      </c>
      <c r="C763">
        <v>483</v>
      </c>
      <c r="D763" t="s">
        <v>295</v>
      </c>
      <c r="E763" t="s">
        <v>296</v>
      </c>
      <c r="F763" s="2">
        <v>31241</v>
      </c>
      <c r="G763" s="2">
        <v>31674</v>
      </c>
      <c r="H763" s="2">
        <v>38833</v>
      </c>
      <c r="I763" s="5">
        <v>33513</v>
      </c>
      <c r="K763" s="2">
        <v>38832</v>
      </c>
      <c r="L763" t="s">
        <v>297</v>
      </c>
      <c r="M763" t="s">
        <v>297</v>
      </c>
      <c r="N763" t="s">
        <v>907</v>
      </c>
      <c r="O763" t="s">
        <v>232</v>
      </c>
      <c r="P763" t="s">
        <v>233</v>
      </c>
    </row>
    <row r="764" spans="1:16" ht="12.75" customHeight="1">
      <c r="A764">
        <v>9</v>
      </c>
      <c r="B764" t="s">
        <v>149</v>
      </c>
      <c r="C764">
        <v>873</v>
      </c>
      <c r="D764" t="s">
        <v>295</v>
      </c>
      <c r="E764" t="s">
        <v>296</v>
      </c>
      <c r="F764" s="2">
        <v>33939</v>
      </c>
      <c r="G764" s="2">
        <v>35084</v>
      </c>
      <c r="H764" s="2">
        <v>39240</v>
      </c>
      <c r="I764" s="5">
        <v>36525</v>
      </c>
      <c r="K764" s="2">
        <v>34911</v>
      </c>
      <c r="L764" t="s">
        <v>297</v>
      </c>
      <c r="N764" t="s">
        <v>908</v>
      </c>
      <c r="O764" t="s">
        <v>232</v>
      </c>
      <c r="P764" t="s">
        <v>233</v>
      </c>
    </row>
    <row r="765" spans="1:16" ht="12.75" customHeight="1">
      <c r="A765">
        <v>9</v>
      </c>
      <c r="B765" t="s">
        <v>149</v>
      </c>
      <c r="C765">
        <v>904</v>
      </c>
      <c r="D765" t="s">
        <v>464</v>
      </c>
      <c r="E765" t="s">
        <v>316</v>
      </c>
      <c r="F765" s="2">
        <v>34178</v>
      </c>
      <c r="H765" s="2">
        <v>34178</v>
      </c>
      <c r="I765" s="5">
        <v>34178</v>
      </c>
      <c r="L765" t="s">
        <v>297</v>
      </c>
      <c r="M765" t="s">
        <v>297</v>
      </c>
      <c r="O765" t="s">
        <v>232</v>
      </c>
      <c r="P765" t="s">
        <v>233</v>
      </c>
    </row>
    <row r="766" spans="1:16" ht="12.75" customHeight="1">
      <c r="A766">
        <v>9</v>
      </c>
      <c r="B766" t="s">
        <v>149</v>
      </c>
      <c r="C766">
        <v>981</v>
      </c>
      <c r="D766" t="s">
        <v>295</v>
      </c>
      <c r="E766" t="s">
        <v>296</v>
      </c>
      <c r="F766" s="2">
        <v>34541</v>
      </c>
      <c r="G766" s="2">
        <v>37092</v>
      </c>
      <c r="H766" s="2">
        <v>39047</v>
      </c>
      <c r="K766" s="2">
        <v>36264</v>
      </c>
      <c r="L766" t="s">
        <v>297</v>
      </c>
      <c r="M766" t="s">
        <v>297</v>
      </c>
      <c r="N766" t="s">
        <v>909</v>
      </c>
      <c r="O766" t="s">
        <v>232</v>
      </c>
      <c r="P766" t="s">
        <v>233</v>
      </c>
    </row>
    <row r="767" spans="1:16" ht="12.75" customHeight="1">
      <c r="A767">
        <v>9</v>
      </c>
      <c r="B767" t="s">
        <v>149</v>
      </c>
      <c r="C767">
        <v>1145</v>
      </c>
      <c r="D767" t="s">
        <v>348</v>
      </c>
      <c r="E767" t="s">
        <v>376</v>
      </c>
      <c r="F767" s="2">
        <v>35312</v>
      </c>
      <c r="G767" s="2">
        <v>35356</v>
      </c>
      <c r="H767" s="2">
        <v>36389</v>
      </c>
      <c r="I767" s="5">
        <v>37103</v>
      </c>
      <c r="K767" s="2">
        <v>36389</v>
      </c>
      <c r="L767" t="s">
        <v>297</v>
      </c>
      <c r="N767" t="s">
        <v>369</v>
      </c>
      <c r="O767" t="s">
        <v>232</v>
      </c>
      <c r="P767" t="s">
        <v>233</v>
      </c>
    </row>
    <row r="768" spans="1:16" ht="12.75" customHeight="1">
      <c r="A768">
        <v>9</v>
      </c>
      <c r="B768" t="s">
        <v>149</v>
      </c>
      <c r="C768">
        <v>1343</v>
      </c>
      <c r="D768" t="s">
        <v>295</v>
      </c>
      <c r="E768" t="s">
        <v>296</v>
      </c>
      <c r="F768" s="2">
        <v>36662</v>
      </c>
      <c r="G768" s="2">
        <v>37092</v>
      </c>
      <c r="H768" s="2">
        <v>39233</v>
      </c>
      <c r="I768" s="5">
        <v>39629</v>
      </c>
      <c r="L768" t="s">
        <v>297</v>
      </c>
      <c r="M768" t="s">
        <v>297</v>
      </c>
      <c r="N768" t="s">
        <v>910</v>
      </c>
      <c r="O768" t="s">
        <v>232</v>
      </c>
      <c r="P768" t="s">
        <v>233</v>
      </c>
    </row>
    <row r="769" spans="1:16" ht="12.75" customHeight="1">
      <c r="A769">
        <v>9</v>
      </c>
      <c r="B769" t="s">
        <v>149</v>
      </c>
      <c r="C769">
        <v>1380</v>
      </c>
      <c r="D769" t="s">
        <v>295</v>
      </c>
      <c r="E769" t="s">
        <v>299</v>
      </c>
      <c r="F769" s="2">
        <v>37019</v>
      </c>
      <c r="H769" s="2">
        <v>38939</v>
      </c>
      <c r="I769" s="5">
        <v>37470</v>
      </c>
      <c r="L769" t="s">
        <v>297</v>
      </c>
      <c r="M769" t="s">
        <v>297</v>
      </c>
      <c r="N769" t="s">
        <v>911</v>
      </c>
      <c r="O769" t="s">
        <v>232</v>
      </c>
      <c r="P769" t="s">
        <v>233</v>
      </c>
    </row>
    <row r="770" spans="1:16" ht="12.75" customHeight="1">
      <c r="A770">
        <v>9</v>
      </c>
      <c r="B770" t="s">
        <v>149</v>
      </c>
      <c r="C770">
        <v>1425</v>
      </c>
      <c r="D770" t="s">
        <v>295</v>
      </c>
      <c r="E770" t="s">
        <v>296</v>
      </c>
      <c r="F770" s="2">
        <v>37524</v>
      </c>
      <c r="G770" s="2">
        <v>38734</v>
      </c>
      <c r="H770" s="2">
        <v>38937</v>
      </c>
      <c r="I770" s="5">
        <v>39263</v>
      </c>
      <c r="L770" t="s">
        <v>297</v>
      </c>
      <c r="M770" t="s">
        <v>297</v>
      </c>
      <c r="N770" t="s">
        <v>912</v>
      </c>
      <c r="O770" t="s">
        <v>232</v>
      </c>
      <c r="P770" t="s">
        <v>233</v>
      </c>
    </row>
    <row r="771" spans="1:16" ht="12.75" customHeight="1">
      <c r="A771">
        <v>9</v>
      </c>
      <c r="B771" t="s">
        <v>149</v>
      </c>
      <c r="C771">
        <v>1520</v>
      </c>
      <c r="D771" t="s">
        <v>295</v>
      </c>
      <c r="E771" t="s">
        <v>296</v>
      </c>
      <c r="F771" s="2">
        <v>38876</v>
      </c>
      <c r="G771" s="2">
        <v>39108</v>
      </c>
      <c r="H771" s="2">
        <v>38898</v>
      </c>
      <c r="I771" s="5">
        <v>39263</v>
      </c>
      <c r="K771" s="2">
        <v>38950</v>
      </c>
      <c r="L771" t="s">
        <v>297</v>
      </c>
      <c r="M771" t="s">
        <v>297</v>
      </c>
      <c r="N771" t="s">
        <v>913</v>
      </c>
      <c r="O771" t="s">
        <v>232</v>
      </c>
      <c r="P771" t="s">
        <v>233</v>
      </c>
    </row>
    <row r="772" spans="1:16" ht="12.75" customHeight="1">
      <c r="A772" t="s">
        <v>232</v>
      </c>
      <c r="B772" t="s">
        <v>233</v>
      </c>
    </row>
    <row r="773" spans="1:16" ht="12.75" customHeight="1">
      <c r="A773">
        <v>9</v>
      </c>
      <c r="B773" t="s">
        <v>376</v>
      </c>
      <c r="C773">
        <v>102</v>
      </c>
      <c r="D773" t="s">
        <v>295</v>
      </c>
      <c r="E773" t="s">
        <v>296</v>
      </c>
      <c r="F773" s="2">
        <v>27785</v>
      </c>
      <c r="G773" s="2">
        <v>29074</v>
      </c>
      <c r="H773" s="2">
        <v>39504</v>
      </c>
      <c r="I773" s="5">
        <v>38383</v>
      </c>
      <c r="J773" s="2">
        <v>34310</v>
      </c>
      <c r="K773" s="2">
        <v>34387</v>
      </c>
      <c r="L773" t="s">
        <v>297</v>
      </c>
      <c r="M773" t="s">
        <v>297</v>
      </c>
      <c r="N773" t="s">
        <v>914</v>
      </c>
      <c r="O773" t="s">
        <v>232</v>
      </c>
      <c r="P773" t="s">
        <v>234</v>
      </c>
    </row>
    <row r="774" spans="1:16" ht="12.75" customHeight="1">
      <c r="A774">
        <v>9</v>
      </c>
      <c r="B774" t="s">
        <v>376</v>
      </c>
      <c r="C774">
        <v>373</v>
      </c>
      <c r="D774" t="s">
        <v>295</v>
      </c>
      <c r="E774" t="s">
        <v>296</v>
      </c>
      <c r="F774" s="2">
        <v>30209</v>
      </c>
      <c r="G774" s="2">
        <v>30205</v>
      </c>
      <c r="H774" s="2">
        <v>38790</v>
      </c>
      <c r="I774" s="5">
        <v>37741</v>
      </c>
      <c r="K774" s="2">
        <v>34078</v>
      </c>
      <c r="L774" t="s">
        <v>297</v>
      </c>
      <c r="N774" t="s">
        <v>915</v>
      </c>
      <c r="O774" t="s">
        <v>232</v>
      </c>
      <c r="P774" t="s">
        <v>234</v>
      </c>
    </row>
    <row r="775" spans="1:16" ht="12.75" customHeight="1">
      <c r="A775">
        <v>9</v>
      </c>
      <c r="B775" t="s">
        <v>376</v>
      </c>
      <c r="C775">
        <v>434</v>
      </c>
      <c r="D775" t="s">
        <v>295</v>
      </c>
      <c r="E775" t="s">
        <v>296</v>
      </c>
      <c r="F775" s="2">
        <v>30856</v>
      </c>
      <c r="G775" s="2">
        <v>31493</v>
      </c>
      <c r="H775" s="2">
        <v>38772</v>
      </c>
      <c r="I775" s="5">
        <v>37256</v>
      </c>
      <c r="J775" s="2">
        <v>31593</v>
      </c>
      <c r="K775" s="2">
        <v>36287</v>
      </c>
      <c r="L775" t="s">
        <v>297</v>
      </c>
      <c r="M775" t="s">
        <v>297</v>
      </c>
      <c r="N775" t="s">
        <v>916</v>
      </c>
      <c r="O775" t="s">
        <v>232</v>
      </c>
      <c r="P775" t="s">
        <v>234</v>
      </c>
    </row>
    <row r="776" spans="1:16" ht="12.75" customHeight="1">
      <c r="A776">
        <v>9</v>
      </c>
      <c r="B776" t="s">
        <v>376</v>
      </c>
      <c r="C776">
        <v>550</v>
      </c>
      <c r="D776" t="s">
        <v>380</v>
      </c>
      <c r="E776" t="s">
        <v>376</v>
      </c>
      <c r="F776" s="2">
        <v>31674</v>
      </c>
      <c r="H776" s="2">
        <v>35974</v>
      </c>
      <c r="I776" s="5">
        <v>33155</v>
      </c>
      <c r="K776" s="2">
        <v>34631</v>
      </c>
      <c r="L776" t="s">
        <v>297</v>
      </c>
      <c r="M776" t="s">
        <v>297</v>
      </c>
      <c r="O776" t="s">
        <v>232</v>
      </c>
      <c r="P776" t="s">
        <v>234</v>
      </c>
    </row>
    <row r="777" spans="1:16" ht="12.75" customHeight="1">
      <c r="A777">
        <v>9</v>
      </c>
      <c r="B777" t="s">
        <v>376</v>
      </c>
      <c r="C777">
        <v>791</v>
      </c>
      <c r="D777" t="s">
        <v>295</v>
      </c>
      <c r="E777" t="s">
        <v>296</v>
      </c>
      <c r="F777" s="2">
        <v>33384</v>
      </c>
      <c r="G777" s="2">
        <v>34656</v>
      </c>
      <c r="H777" s="2">
        <v>38684</v>
      </c>
      <c r="I777" s="5">
        <v>38404</v>
      </c>
      <c r="J777" s="2">
        <v>34638</v>
      </c>
      <c r="K777" s="2">
        <v>34638</v>
      </c>
      <c r="L777" t="s">
        <v>297</v>
      </c>
      <c r="M777" t="s">
        <v>297</v>
      </c>
      <c r="N777" t="s">
        <v>917</v>
      </c>
      <c r="O777" t="s">
        <v>232</v>
      </c>
      <c r="P777" t="s">
        <v>234</v>
      </c>
    </row>
    <row r="778" spans="1:16" ht="12.75" customHeight="1">
      <c r="A778">
        <v>9</v>
      </c>
      <c r="B778" t="s">
        <v>376</v>
      </c>
      <c r="C778">
        <v>923</v>
      </c>
      <c r="D778" t="s">
        <v>315</v>
      </c>
      <c r="E778" t="s">
        <v>376</v>
      </c>
      <c r="F778" s="2">
        <v>34317</v>
      </c>
      <c r="G778" s="2">
        <v>36427</v>
      </c>
      <c r="H778" s="2">
        <v>37321</v>
      </c>
      <c r="I778" s="5">
        <v>37103</v>
      </c>
      <c r="K778" s="2">
        <v>36362</v>
      </c>
      <c r="L778" t="s">
        <v>297</v>
      </c>
      <c r="M778" t="s">
        <v>297</v>
      </c>
      <c r="O778" t="s">
        <v>232</v>
      </c>
      <c r="P778" t="s">
        <v>234</v>
      </c>
    </row>
    <row r="779" spans="1:16" ht="12.75" customHeight="1">
      <c r="A779" t="s">
        <v>232</v>
      </c>
      <c r="B779" t="s">
        <v>234</v>
      </c>
    </row>
    <row r="780" spans="1:16" ht="12.75" customHeight="1">
      <c r="A780">
        <v>9</v>
      </c>
      <c r="B780" t="s">
        <v>235</v>
      </c>
      <c r="C780">
        <v>395</v>
      </c>
      <c r="D780" t="s">
        <v>618</v>
      </c>
      <c r="E780" t="s">
        <v>316</v>
      </c>
      <c r="F780" s="2">
        <v>37019</v>
      </c>
      <c r="G780" s="2">
        <v>38536</v>
      </c>
      <c r="H780" s="2">
        <v>38722</v>
      </c>
      <c r="I780" s="5">
        <v>38898</v>
      </c>
      <c r="K780" s="2">
        <v>38546</v>
      </c>
      <c r="L780" t="s">
        <v>297</v>
      </c>
      <c r="M780" t="s">
        <v>297</v>
      </c>
      <c r="N780" t="s">
        <v>318</v>
      </c>
      <c r="O780" t="s">
        <v>232</v>
      </c>
      <c r="P780" t="s">
        <v>236</v>
      </c>
    </row>
    <row r="781" spans="1:16" ht="12.75" customHeight="1">
      <c r="A781">
        <v>9</v>
      </c>
      <c r="B781" t="s">
        <v>235</v>
      </c>
      <c r="C781">
        <v>536</v>
      </c>
      <c r="D781" t="s">
        <v>295</v>
      </c>
      <c r="E781" t="s">
        <v>296</v>
      </c>
      <c r="F781" s="2">
        <v>31612</v>
      </c>
      <c r="G781" s="2">
        <v>32901</v>
      </c>
      <c r="H781" s="2">
        <v>38506</v>
      </c>
      <c r="I781" s="5">
        <v>38352</v>
      </c>
      <c r="K781" s="2">
        <v>34492</v>
      </c>
      <c r="L781" t="s">
        <v>297</v>
      </c>
      <c r="M781" t="s">
        <v>297</v>
      </c>
      <c r="N781" t="s">
        <v>918</v>
      </c>
      <c r="O781" t="s">
        <v>232</v>
      </c>
      <c r="P781" t="s">
        <v>236</v>
      </c>
    </row>
    <row r="782" spans="1:16" ht="12.75" customHeight="1">
      <c r="A782">
        <v>9</v>
      </c>
      <c r="B782" t="s">
        <v>235</v>
      </c>
      <c r="C782">
        <v>640</v>
      </c>
      <c r="D782" t="s">
        <v>295</v>
      </c>
      <c r="E782" t="s">
        <v>299</v>
      </c>
      <c r="F782" s="2">
        <v>32293</v>
      </c>
      <c r="H782" s="2">
        <v>39413</v>
      </c>
      <c r="I782" s="5">
        <v>39598</v>
      </c>
      <c r="K782" s="2">
        <v>34757</v>
      </c>
      <c r="L782" t="s">
        <v>297</v>
      </c>
      <c r="M782" t="s">
        <v>297</v>
      </c>
      <c r="N782" t="s">
        <v>919</v>
      </c>
      <c r="O782" t="s">
        <v>232</v>
      </c>
      <c r="P782" t="s">
        <v>236</v>
      </c>
    </row>
    <row r="783" spans="1:16" ht="12.75" customHeight="1">
      <c r="A783">
        <v>9</v>
      </c>
      <c r="B783" t="s">
        <v>235</v>
      </c>
      <c r="C783">
        <v>674</v>
      </c>
      <c r="D783" t="s">
        <v>295</v>
      </c>
      <c r="E783" t="s">
        <v>296</v>
      </c>
      <c r="F783" s="2">
        <v>32577</v>
      </c>
      <c r="G783" s="2">
        <v>36175</v>
      </c>
      <c r="H783" s="2">
        <v>39461</v>
      </c>
      <c r="I783" s="5">
        <v>38352</v>
      </c>
      <c r="J783" s="2">
        <v>36214</v>
      </c>
      <c r="K783" s="2">
        <v>36208</v>
      </c>
      <c r="L783" t="s">
        <v>297</v>
      </c>
      <c r="M783" t="s">
        <v>297</v>
      </c>
      <c r="N783" t="s">
        <v>920</v>
      </c>
      <c r="O783" t="s">
        <v>232</v>
      </c>
      <c r="P783" t="s">
        <v>236</v>
      </c>
    </row>
    <row r="784" spans="1:16" ht="12.75" customHeight="1">
      <c r="A784">
        <v>9</v>
      </c>
      <c r="B784" t="s">
        <v>235</v>
      </c>
      <c r="C784">
        <v>970</v>
      </c>
      <c r="D784" t="s">
        <v>315</v>
      </c>
      <c r="E784" t="s">
        <v>316</v>
      </c>
      <c r="F784" s="2">
        <v>34548</v>
      </c>
      <c r="H784" s="2">
        <v>36994</v>
      </c>
      <c r="I784" s="5">
        <v>37406</v>
      </c>
      <c r="K784" s="2">
        <v>34656</v>
      </c>
      <c r="L784" t="s">
        <v>297</v>
      </c>
      <c r="M784" t="s">
        <v>297</v>
      </c>
      <c r="O784" t="s">
        <v>232</v>
      </c>
      <c r="P784" t="s">
        <v>236</v>
      </c>
    </row>
    <row r="785" spans="1:16" ht="12.75" customHeight="1">
      <c r="A785">
        <v>9</v>
      </c>
      <c r="B785" t="s">
        <v>235</v>
      </c>
      <c r="C785">
        <v>1120</v>
      </c>
      <c r="D785" t="s">
        <v>295</v>
      </c>
      <c r="E785" t="s">
        <v>299</v>
      </c>
      <c r="F785" s="2">
        <v>35254</v>
      </c>
      <c r="H785" s="2">
        <v>38741</v>
      </c>
      <c r="I785" s="5">
        <v>39263</v>
      </c>
      <c r="K785" s="2">
        <v>35249</v>
      </c>
      <c r="L785" t="s">
        <v>297</v>
      </c>
      <c r="M785" t="s">
        <v>297</v>
      </c>
      <c r="N785" t="s">
        <v>921</v>
      </c>
      <c r="O785" t="s">
        <v>232</v>
      </c>
      <c r="P785" t="s">
        <v>236</v>
      </c>
    </row>
    <row r="786" spans="1:16" ht="12.75" customHeight="1">
      <c r="A786">
        <v>9</v>
      </c>
      <c r="B786" t="s">
        <v>235</v>
      </c>
      <c r="C786">
        <v>1201</v>
      </c>
      <c r="D786" t="s">
        <v>295</v>
      </c>
      <c r="E786" t="s">
        <v>296</v>
      </c>
      <c r="F786" s="2">
        <v>35597</v>
      </c>
      <c r="G786" s="2">
        <v>36308</v>
      </c>
      <c r="H786" s="2">
        <v>38813</v>
      </c>
      <c r="I786" s="5">
        <v>39263</v>
      </c>
      <c r="K786" s="2">
        <v>38812</v>
      </c>
      <c r="L786" t="s">
        <v>297</v>
      </c>
      <c r="M786" t="s">
        <v>297</v>
      </c>
      <c r="N786" t="s">
        <v>922</v>
      </c>
      <c r="O786" t="s">
        <v>232</v>
      </c>
      <c r="P786" t="s">
        <v>236</v>
      </c>
    </row>
    <row r="787" spans="1:16" ht="12.75" customHeight="1">
      <c r="A787">
        <v>9</v>
      </c>
      <c r="B787" t="s">
        <v>235</v>
      </c>
      <c r="C787">
        <v>1265</v>
      </c>
      <c r="D787" t="s">
        <v>295</v>
      </c>
      <c r="E787" t="s">
        <v>296</v>
      </c>
      <c r="F787" s="2">
        <v>36007</v>
      </c>
      <c r="G787" s="2">
        <v>39521</v>
      </c>
      <c r="H787" s="2">
        <v>39345</v>
      </c>
      <c r="I787" s="5">
        <v>38929</v>
      </c>
      <c r="K787" s="2">
        <v>38434</v>
      </c>
      <c r="L787" t="s">
        <v>322</v>
      </c>
      <c r="M787" t="s">
        <v>297</v>
      </c>
      <c r="N787" t="s">
        <v>923</v>
      </c>
      <c r="O787" t="s">
        <v>232</v>
      </c>
      <c r="P787" t="s">
        <v>236</v>
      </c>
    </row>
    <row r="788" spans="1:16" ht="12.75" customHeight="1">
      <c r="A788">
        <v>9</v>
      </c>
      <c r="B788" t="s">
        <v>235</v>
      </c>
      <c r="C788">
        <v>1300</v>
      </c>
      <c r="D788" t="s">
        <v>295</v>
      </c>
      <c r="E788" t="s">
        <v>296</v>
      </c>
      <c r="F788" s="2">
        <v>36304</v>
      </c>
      <c r="G788" s="2">
        <v>37330</v>
      </c>
      <c r="H788" s="2">
        <v>38952</v>
      </c>
      <c r="I788" s="5">
        <v>39263</v>
      </c>
      <c r="K788" s="2">
        <v>38547</v>
      </c>
      <c r="L788" t="s">
        <v>297</v>
      </c>
      <c r="M788" t="s">
        <v>297</v>
      </c>
      <c r="N788" t="s">
        <v>924</v>
      </c>
      <c r="O788" t="s">
        <v>232</v>
      </c>
      <c r="P788" t="s">
        <v>236</v>
      </c>
    </row>
    <row r="789" spans="1:16" ht="12.75" customHeight="1">
      <c r="A789">
        <v>9</v>
      </c>
      <c r="B789" t="s">
        <v>235</v>
      </c>
      <c r="C789">
        <v>1403</v>
      </c>
      <c r="D789" t="s">
        <v>295</v>
      </c>
      <c r="E789" t="s">
        <v>299</v>
      </c>
      <c r="F789" s="2">
        <v>37316</v>
      </c>
      <c r="H789" s="2">
        <v>37316</v>
      </c>
      <c r="I789" s="5">
        <v>38352</v>
      </c>
      <c r="L789" t="s">
        <v>297</v>
      </c>
      <c r="M789" t="s">
        <v>297</v>
      </c>
      <c r="N789" t="s">
        <v>925</v>
      </c>
      <c r="O789" t="s">
        <v>232</v>
      </c>
      <c r="P789" t="s">
        <v>236</v>
      </c>
    </row>
    <row r="790" spans="1:16" ht="12.75" customHeight="1">
      <c r="A790">
        <v>9</v>
      </c>
      <c r="B790" t="s">
        <v>235</v>
      </c>
      <c r="C790">
        <v>1406</v>
      </c>
      <c r="D790" t="s">
        <v>295</v>
      </c>
      <c r="E790" t="s">
        <v>299</v>
      </c>
      <c r="F790" s="2">
        <v>37323</v>
      </c>
      <c r="H790" s="2">
        <v>38989</v>
      </c>
      <c r="I790" s="5">
        <v>37688</v>
      </c>
      <c r="K790" s="2">
        <v>37869</v>
      </c>
      <c r="L790" t="s">
        <v>297</v>
      </c>
      <c r="M790" t="s">
        <v>297</v>
      </c>
      <c r="N790" t="s">
        <v>926</v>
      </c>
      <c r="O790" t="s">
        <v>232</v>
      </c>
      <c r="P790" t="s">
        <v>236</v>
      </c>
    </row>
    <row r="791" spans="1:16" ht="12.75" customHeight="1">
      <c r="A791">
        <v>9</v>
      </c>
      <c r="B791" t="s">
        <v>235</v>
      </c>
      <c r="C791">
        <v>1480</v>
      </c>
      <c r="D791" t="s">
        <v>295</v>
      </c>
      <c r="E791" t="s">
        <v>299</v>
      </c>
      <c r="F791" s="2">
        <v>38163</v>
      </c>
      <c r="H791" s="2">
        <v>38215</v>
      </c>
      <c r="I791" s="5">
        <v>38533</v>
      </c>
      <c r="L791" t="s">
        <v>297</v>
      </c>
      <c r="M791" t="s">
        <v>297</v>
      </c>
      <c r="N791" t="s">
        <v>927</v>
      </c>
      <c r="O791" t="s">
        <v>232</v>
      </c>
      <c r="P791" t="s">
        <v>236</v>
      </c>
    </row>
    <row r="792" spans="1:16" ht="12.75" customHeight="1">
      <c r="A792">
        <v>9</v>
      </c>
      <c r="B792" t="s">
        <v>235</v>
      </c>
      <c r="C792">
        <v>1538</v>
      </c>
      <c r="D792" t="s">
        <v>295</v>
      </c>
      <c r="E792" t="s">
        <v>299</v>
      </c>
      <c r="F792" s="2">
        <v>39114</v>
      </c>
      <c r="H792" s="2">
        <v>39149</v>
      </c>
      <c r="I792" s="5">
        <v>39263</v>
      </c>
      <c r="L792" t="s">
        <v>297</v>
      </c>
      <c r="M792" t="s">
        <v>297</v>
      </c>
      <c r="N792" t="s">
        <v>928</v>
      </c>
      <c r="O792" t="s">
        <v>232</v>
      </c>
      <c r="P792" t="s">
        <v>236</v>
      </c>
    </row>
    <row r="793" spans="1:16" ht="12.75" customHeight="1">
      <c r="A793">
        <v>9</v>
      </c>
      <c r="B793" t="s">
        <v>235</v>
      </c>
      <c r="C793">
        <v>1544</v>
      </c>
      <c r="D793" t="s">
        <v>295</v>
      </c>
      <c r="E793" t="s">
        <v>299</v>
      </c>
      <c r="F793" s="2">
        <v>39212</v>
      </c>
      <c r="H793" s="2">
        <v>39273</v>
      </c>
      <c r="I793" s="5">
        <v>39629</v>
      </c>
      <c r="L793" t="s">
        <v>297</v>
      </c>
      <c r="M793" t="s">
        <v>297</v>
      </c>
      <c r="N793" t="s">
        <v>929</v>
      </c>
      <c r="O793" t="s">
        <v>232</v>
      </c>
      <c r="P793" t="s">
        <v>236</v>
      </c>
    </row>
    <row r="794" spans="1:16" ht="12.75" customHeight="1">
      <c r="A794" t="s">
        <v>232</v>
      </c>
      <c r="B794" t="s">
        <v>236</v>
      </c>
    </row>
    <row r="795" spans="1:16" ht="12.75" customHeight="1">
      <c r="A795">
        <v>9</v>
      </c>
      <c r="B795" t="s">
        <v>163</v>
      </c>
      <c r="C795">
        <v>51</v>
      </c>
      <c r="D795" t="s">
        <v>295</v>
      </c>
      <c r="E795" t="s">
        <v>296</v>
      </c>
      <c r="F795" s="2">
        <v>27440</v>
      </c>
      <c r="G795" s="2">
        <v>27886</v>
      </c>
      <c r="H795" s="2">
        <v>39358</v>
      </c>
      <c r="I795" s="5">
        <v>37711</v>
      </c>
      <c r="K795" s="2">
        <v>35685</v>
      </c>
      <c r="L795" t="s">
        <v>297</v>
      </c>
      <c r="M795" t="s">
        <v>297</v>
      </c>
      <c r="N795" t="s">
        <v>930</v>
      </c>
      <c r="O795" t="s">
        <v>232</v>
      </c>
      <c r="P795" t="s">
        <v>237</v>
      </c>
    </row>
    <row r="796" spans="1:16" ht="12.75" customHeight="1">
      <c r="A796">
        <v>9</v>
      </c>
      <c r="B796" t="s">
        <v>163</v>
      </c>
      <c r="C796">
        <v>138</v>
      </c>
      <c r="D796" t="s">
        <v>295</v>
      </c>
      <c r="E796" t="s">
        <v>296</v>
      </c>
      <c r="F796" s="2">
        <v>28093</v>
      </c>
      <c r="G796" s="2">
        <v>29074</v>
      </c>
      <c r="H796" s="2">
        <v>39485</v>
      </c>
      <c r="I796" s="5">
        <v>39629</v>
      </c>
      <c r="J796" s="2">
        <v>37911</v>
      </c>
      <c r="K796" s="2">
        <v>37862</v>
      </c>
      <c r="L796" t="s">
        <v>297</v>
      </c>
      <c r="M796" t="s">
        <v>297</v>
      </c>
      <c r="N796" t="s">
        <v>931</v>
      </c>
      <c r="O796" t="s">
        <v>232</v>
      </c>
      <c r="P796" t="s">
        <v>237</v>
      </c>
    </row>
    <row r="797" spans="1:16" ht="12.75" customHeight="1">
      <c r="A797">
        <v>9</v>
      </c>
      <c r="B797" t="s">
        <v>163</v>
      </c>
      <c r="C797">
        <v>151</v>
      </c>
      <c r="D797" t="s">
        <v>295</v>
      </c>
      <c r="E797" t="s">
        <v>296</v>
      </c>
      <c r="F797" s="2">
        <v>28213</v>
      </c>
      <c r="G797" s="2">
        <v>29074</v>
      </c>
      <c r="H797" s="2">
        <v>39059</v>
      </c>
      <c r="I797" s="5">
        <v>39629</v>
      </c>
      <c r="J797" s="2">
        <v>37886</v>
      </c>
      <c r="K797" s="2">
        <v>35495</v>
      </c>
      <c r="L797" t="s">
        <v>297</v>
      </c>
      <c r="M797" t="s">
        <v>297</v>
      </c>
      <c r="N797" t="s">
        <v>932</v>
      </c>
      <c r="O797" t="s">
        <v>232</v>
      </c>
      <c r="P797" t="s">
        <v>237</v>
      </c>
    </row>
    <row r="798" spans="1:16" ht="12.75" customHeight="1">
      <c r="A798">
        <v>9</v>
      </c>
      <c r="B798" t="s">
        <v>163</v>
      </c>
      <c r="C798">
        <v>198</v>
      </c>
      <c r="D798" t="s">
        <v>295</v>
      </c>
      <c r="E798" t="s">
        <v>296</v>
      </c>
      <c r="F798" s="2">
        <v>28748</v>
      </c>
      <c r="G798" s="2">
        <v>28986</v>
      </c>
      <c r="H798" s="2">
        <v>39487</v>
      </c>
      <c r="I798" s="5">
        <v>38929</v>
      </c>
      <c r="K798" s="2">
        <v>33653</v>
      </c>
      <c r="L798" t="s">
        <v>297</v>
      </c>
      <c r="M798" t="s">
        <v>297</v>
      </c>
      <c r="N798" t="s">
        <v>933</v>
      </c>
      <c r="O798" t="s">
        <v>232</v>
      </c>
      <c r="P798" t="s">
        <v>237</v>
      </c>
    </row>
    <row r="799" spans="1:16" ht="12.75" customHeight="1">
      <c r="A799">
        <v>9</v>
      </c>
      <c r="B799" t="s">
        <v>163</v>
      </c>
      <c r="C799">
        <v>239</v>
      </c>
      <c r="D799" t="s">
        <v>295</v>
      </c>
      <c r="E799" t="s">
        <v>296</v>
      </c>
      <c r="F799" s="2">
        <v>29112</v>
      </c>
      <c r="G799" s="2">
        <v>29694</v>
      </c>
      <c r="H799" s="2">
        <v>39357</v>
      </c>
      <c r="I799" s="5">
        <v>39629</v>
      </c>
      <c r="K799" s="2">
        <v>39356</v>
      </c>
      <c r="L799" t="s">
        <v>297</v>
      </c>
      <c r="M799" t="s">
        <v>297</v>
      </c>
      <c r="N799" t="s">
        <v>934</v>
      </c>
      <c r="O799" t="s">
        <v>232</v>
      </c>
      <c r="P799" t="s">
        <v>237</v>
      </c>
    </row>
    <row r="800" spans="1:16" ht="12.75" customHeight="1">
      <c r="A800">
        <v>9</v>
      </c>
      <c r="B800" t="s">
        <v>163</v>
      </c>
      <c r="C800">
        <v>286</v>
      </c>
      <c r="D800" t="s">
        <v>295</v>
      </c>
      <c r="E800" t="s">
        <v>296</v>
      </c>
      <c r="F800" s="2">
        <v>29568</v>
      </c>
      <c r="G800" s="2">
        <v>30405</v>
      </c>
      <c r="H800" s="2">
        <v>39114</v>
      </c>
      <c r="I800" s="5">
        <v>39994</v>
      </c>
      <c r="J800" s="2">
        <v>37911</v>
      </c>
      <c r="K800" s="2">
        <v>36314</v>
      </c>
      <c r="L800" t="s">
        <v>297</v>
      </c>
      <c r="M800" t="s">
        <v>297</v>
      </c>
      <c r="N800" t="s">
        <v>935</v>
      </c>
      <c r="O800" t="s">
        <v>232</v>
      </c>
      <c r="P800" t="s">
        <v>237</v>
      </c>
    </row>
    <row r="801" spans="1:16" ht="12.75" customHeight="1">
      <c r="A801">
        <v>9</v>
      </c>
      <c r="B801" t="s">
        <v>163</v>
      </c>
      <c r="C801">
        <v>287</v>
      </c>
      <c r="D801" t="s">
        <v>295</v>
      </c>
      <c r="E801" t="s">
        <v>296</v>
      </c>
      <c r="F801" s="2">
        <v>29264</v>
      </c>
      <c r="G801" s="2">
        <v>30023</v>
      </c>
      <c r="H801" s="2">
        <v>38785</v>
      </c>
      <c r="I801" s="5">
        <v>37802</v>
      </c>
      <c r="J801" s="2">
        <v>34747</v>
      </c>
      <c r="K801" s="2">
        <v>36341</v>
      </c>
      <c r="L801" t="s">
        <v>297</v>
      </c>
      <c r="M801" t="s">
        <v>297</v>
      </c>
      <c r="N801" t="s">
        <v>936</v>
      </c>
      <c r="O801" t="s">
        <v>232</v>
      </c>
      <c r="P801" t="s">
        <v>237</v>
      </c>
    </row>
    <row r="802" spans="1:16" ht="12.75" customHeight="1">
      <c r="A802">
        <v>9</v>
      </c>
      <c r="B802" t="s">
        <v>163</v>
      </c>
      <c r="C802">
        <v>288</v>
      </c>
      <c r="D802" t="s">
        <v>295</v>
      </c>
      <c r="E802" t="s">
        <v>296</v>
      </c>
      <c r="F802" s="2">
        <v>29568</v>
      </c>
      <c r="G802" s="2">
        <v>30466</v>
      </c>
      <c r="H802" s="2">
        <v>39520</v>
      </c>
      <c r="I802" s="5">
        <v>39629</v>
      </c>
      <c r="K802" s="2">
        <v>34814</v>
      </c>
      <c r="L802" t="s">
        <v>297</v>
      </c>
      <c r="M802" t="s">
        <v>297</v>
      </c>
      <c r="N802" t="s">
        <v>937</v>
      </c>
      <c r="O802" t="s">
        <v>232</v>
      </c>
      <c r="P802" t="s">
        <v>237</v>
      </c>
    </row>
    <row r="803" spans="1:16" ht="12.75" customHeight="1">
      <c r="A803">
        <v>9</v>
      </c>
      <c r="B803" t="s">
        <v>163</v>
      </c>
      <c r="C803">
        <v>343</v>
      </c>
      <c r="D803" t="s">
        <v>295</v>
      </c>
      <c r="E803" t="s">
        <v>296</v>
      </c>
      <c r="F803" s="2">
        <v>29980</v>
      </c>
      <c r="G803" s="2">
        <v>30830</v>
      </c>
      <c r="H803" s="2">
        <v>39378</v>
      </c>
      <c r="I803" s="5">
        <v>35795</v>
      </c>
      <c r="J803" s="2">
        <v>37911</v>
      </c>
      <c r="K803" s="2">
        <v>35829</v>
      </c>
      <c r="L803" t="s">
        <v>297</v>
      </c>
      <c r="M803" t="s">
        <v>297</v>
      </c>
      <c r="N803" t="s">
        <v>938</v>
      </c>
      <c r="O803" t="s">
        <v>232</v>
      </c>
      <c r="P803" t="s">
        <v>237</v>
      </c>
    </row>
    <row r="804" spans="1:16" ht="12.75" customHeight="1">
      <c r="A804">
        <v>9</v>
      </c>
      <c r="B804" t="s">
        <v>163</v>
      </c>
      <c r="C804">
        <v>351</v>
      </c>
      <c r="D804" t="s">
        <v>295</v>
      </c>
      <c r="E804" t="s">
        <v>296</v>
      </c>
      <c r="F804" s="2">
        <v>30029</v>
      </c>
      <c r="G804" s="2">
        <v>30394</v>
      </c>
      <c r="H804" s="2">
        <v>39252</v>
      </c>
      <c r="I804" s="5">
        <v>39629</v>
      </c>
      <c r="J804" s="2">
        <v>36678</v>
      </c>
      <c r="K804" s="2">
        <v>36454</v>
      </c>
      <c r="L804" t="s">
        <v>322</v>
      </c>
      <c r="M804" t="s">
        <v>297</v>
      </c>
      <c r="N804" t="s">
        <v>939</v>
      </c>
      <c r="O804" t="s">
        <v>232</v>
      </c>
      <c r="P804" t="s">
        <v>237</v>
      </c>
    </row>
    <row r="805" spans="1:16" ht="12.75" customHeight="1">
      <c r="A805">
        <v>9</v>
      </c>
      <c r="B805" t="s">
        <v>163</v>
      </c>
      <c r="C805">
        <v>422</v>
      </c>
      <c r="D805" t="s">
        <v>295</v>
      </c>
      <c r="E805" t="s">
        <v>296</v>
      </c>
      <c r="F805" s="2">
        <v>30701</v>
      </c>
      <c r="G805" s="2">
        <v>30758</v>
      </c>
      <c r="H805" s="2">
        <v>39248</v>
      </c>
      <c r="I805" s="5">
        <v>38929</v>
      </c>
      <c r="J805" s="2">
        <v>30746</v>
      </c>
      <c r="K805" s="2">
        <v>36392</v>
      </c>
      <c r="L805" t="s">
        <v>297</v>
      </c>
      <c r="M805" t="s">
        <v>297</v>
      </c>
      <c r="N805" t="s">
        <v>940</v>
      </c>
      <c r="O805" t="s">
        <v>232</v>
      </c>
      <c r="P805" t="s">
        <v>237</v>
      </c>
    </row>
    <row r="806" spans="1:16" ht="12.75" customHeight="1">
      <c r="A806">
        <v>9</v>
      </c>
      <c r="B806" t="s">
        <v>163</v>
      </c>
      <c r="C806">
        <v>494</v>
      </c>
      <c r="D806" t="s">
        <v>576</v>
      </c>
      <c r="E806" t="s">
        <v>316</v>
      </c>
      <c r="F806" s="2">
        <v>31310</v>
      </c>
      <c r="G806" s="2">
        <v>33021</v>
      </c>
      <c r="H806" s="2">
        <v>36315</v>
      </c>
      <c r="I806" s="5">
        <v>35858</v>
      </c>
      <c r="K806" s="2">
        <v>36315</v>
      </c>
      <c r="L806" t="s">
        <v>297</v>
      </c>
      <c r="M806" t="s">
        <v>297</v>
      </c>
      <c r="N806" t="s">
        <v>369</v>
      </c>
      <c r="O806" t="s">
        <v>232</v>
      </c>
      <c r="P806" t="s">
        <v>237</v>
      </c>
    </row>
    <row r="807" spans="1:16" ht="12.75" customHeight="1">
      <c r="A807">
        <v>9</v>
      </c>
      <c r="B807" t="s">
        <v>163</v>
      </c>
      <c r="C807">
        <v>835</v>
      </c>
      <c r="D807" t="s">
        <v>295</v>
      </c>
      <c r="E807" t="s">
        <v>296</v>
      </c>
      <c r="F807" s="2">
        <v>33684</v>
      </c>
      <c r="G807" s="2">
        <v>34178</v>
      </c>
      <c r="H807" s="2">
        <v>38104</v>
      </c>
      <c r="I807" s="5">
        <v>39629</v>
      </c>
      <c r="K807" s="2">
        <v>38104</v>
      </c>
      <c r="L807" t="s">
        <v>297</v>
      </c>
      <c r="M807" t="s">
        <v>297</v>
      </c>
      <c r="N807" t="s">
        <v>941</v>
      </c>
      <c r="O807" t="s">
        <v>232</v>
      </c>
      <c r="P807" t="s">
        <v>237</v>
      </c>
    </row>
    <row r="808" spans="1:16" ht="12.75" customHeight="1">
      <c r="A808">
        <v>9</v>
      </c>
      <c r="B808" t="s">
        <v>163</v>
      </c>
      <c r="C808">
        <v>1368</v>
      </c>
      <c r="D808" t="s">
        <v>295</v>
      </c>
      <c r="E808" t="s">
        <v>296</v>
      </c>
      <c r="F808" s="2">
        <v>36902</v>
      </c>
      <c r="G808" s="2">
        <v>37330</v>
      </c>
      <c r="H808" s="2">
        <v>39013</v>
      </c>
      <c r="I808" s="5">
        <v>39263</v>
      </c>
      <c r="L808" t="s">
        <v>322</v>
      </c>
      <c r="M808" t="s">
        <v>297</v>
      </c>
      <c r="N808" t="s">
        <v>942</v>
      </c>
      <c r="O808" t="s">
        <v>232</v>
      </c>
      <c r="P808" t="s">
        <v>237</v>
      </c>
    </row>
    <row r="809" spans="1:16" ht="12.75" customHeight="1">
      <c r="A809">
        <v>9</v>
      </c>
      <c r="B809" t="s">
        <v>163</v>
      </c>
      <c r="C809">
        <v>1456</v>
      </c>
      <c r="D809" t="s">
        <v>295</v>
      </c>
      <c r="E809" t="s">
        <v>299</v>
      </c>
      <c r="F809" s="2">
        <v>37820</v>
      </c>
      <c r="H809" s="2">
        <v>38638</v>
      </c>
      <c r="I809" s="5">
        <v>38869</v>
      </c>
      <c r="K809" s="2">
        <v>38631</v>
      </c>
      <c r="L809" t="s">
        <v>297</v>
      </c>
      <c r="M809" t="s">
        <v>297</v>
      </c>
      <c r="N809" t="s">
        <v>943</v>
      </c>
      <c r="O809" t="s">
        <v>232</v>
      </c>
      <c r="P809" t="s">
        <v>237</v>
      </c>
    </row>
    <row r="810" spans="1:16" ht="12.75" customHeight="1">
      <c r="A810">
        <v>9</v>
      </c>
      <c r="B810" t="s">
        <v>163</v>
      </c>
      <c r="C810">
        <v>1486</v>
      </c>
      <c r="D810" t="s">
        <v>295</v>
      </c>
      <c r="E810" t="s">
        <v>299</v>
      </c>
      <c r="F810" s="2">
        <v>38223</v>
      </c>
      <c r="H810" s="2">
        <v>38309</v>
      </c>
      <c r="I810" s="5">
        <v>38564</v>
      </c>
      <c r="L810" t="s">
        <v>297</v>
      </c>
      <c r="M810" t="s">
        <v>297</v>
      </c>
      <c r="N810" t="s">
        <v>944</v>
      </c>
      <c r="O810" t="s">
        <v>232</v>
      </c>
      <c r="P810" t="s">
        <v>237</v>
      </c>
    </row>
    <row r="811" spans="1:16" ht="12.75" customHeight="1">
      <c r="A811">
        <v>9</v>
      </c>
      <c r="B811" t="s">
        <v>163</v>
      </c>
      <c r="C811">
        <v>1533</v>
      </c>
      <c r="D811" t="s">
        <v>295</v>
      </c>
      <c r="E811" t="s">
        <v>299</v>
      </c>
      <c r="F811" s="2">
        <v>39086</v>
      </c>
      <c r="H811" s="2">
        <v>39353</v>
      </c>
      <c r="I811" s="5">
        <v>39263</v>
      </c>
      <c r="L811" t="s">
        <v>297</v>
      </c>
      <c r="M811" t="s">
        <v>297</v>
      </c>
      <c r="N811" t="s">
        <v>945</v>
      </c>
      <c r="O811" t="s">
        <v>232</v>
      </c>
      <c r="P811" t="s">
        <v>237</v>
      </c>
    </row>
    <row r="812" spans="1:16" ht="12.75" customHeight="1">
      <c r="A812" t="s">
        <v>232</v>
      </c>
      <c r="B812" t="s">
        <v>237</v>
      </c>
      <c r="O812" t="s">
        <v>232</v>
      </c>
      <c r="P812" t="s">
        <v>237</v>
      </c>
    </row>
    <row r="813" spans="1:16" ht="12.75" customHeight="1">
      <c r="A813" t="s">
        <v>946</v>
      </c>
    </row>
    <row r="814" spans="1:16" ht="12.75" customHeight="1">
      <c r="A814">
        <v>10</v>
      </c>
      <c r="B814" t="s">
        <v>140</v>
      </c>
      <c r="C814">
        <v>73</v>
      </c>
      <c r="D814" t="s">
        <v>295</v>
      </c>
      <c r="E814" t="s">
        <v>296</v>
      </c>
      <c r="F814" s="2">
        <v>27591</v>
      </c>
      <c r="G814" s="2">
        <v>27886</v>
      </c>
      <c r="H814" s="2">
        <v>39467</v>
      </c>
      <c r="I814" s="5">
        <v>39629</v>
      </c>
      <c r="J814" s="2">
        <v>39357</v>
      </c>
      <c r="K814" s="2">
        <v>35263</v>
      </c>
      <c r="L814" t="s">
        <v>297</v>
      </c>
      <c r="M814" t="s">
        <v>297</v>
      </c>
      <c r="N814" t="s">
        <v>947</v>
      </c>
      <c r="O814" t="s">
        <v>238</v>
      </c>
      <c r="P814" t="s">
        <v>239</v>
      </c>
    </row>
    <row r="815" spans="1:16" ht="12.75" customHeight="1">
      <c r="A815">
        <v>10</v>
      </c>
      <c r="B815" t="s">
        <v>140</v>
      </c>
      <c r="C815">
        <v>181</v>
      </c>
      <c r="D815" t="s">
        <v>295</v>
      </c>
      <c r="E815" t="s">
        <v>296</v>
      </c>
      <c r="F815" s="2">
        <v>28572</v>
      </c>
      <c r="G815" s="2">
        <v>28901</v>
      </c>
      <c r="H815" s="2">
        <v>39451</v>
      </c>
      <c r="I815" s="5">
        <v>39629</v>
      </c>
      <c r="J815" s="2">
        <v>39418</v>
      </c>
      <c r="K815" s="2">
        <v>39451</v>
      </c>
      <c r="L815" t="s">
        <v>297</v>
      </c>
      <c r="M815" t="s">
        <v>297</v>
      </c>
      <c r="N815" t="s">
        <v>948</v>
      </c>
      <c r="O815" t="s">
        <v>238</v>
      </c>
      <c r="P815" t="s">
        <v>239</v>
      </c>
    </row>
    <row r="816" spans="1:16" ht="12.75" customHeight="1">
      <c r="A816">
        <v>10</v>
      </c>
      <c r="B816" t="s">
        <v>140</v>
      </c>
      <c r="C816">
        <v>262</v>
      </c>
      <c r="D816" t="s">
        <v>462</v>
      </c>
      <c r="E816" t="s">
        <v>316</v>
      </c>
      <c r="F816" s="2">
        <v>29355</v>
      </c>
      <c r="G816" s="2">
        <v>29364</v>
      </c>
      <c r="H816" s="2">
        <v>33362</v>
      </c>
      <c r="I816" s="5">
        <v>30851</v>
      </c>
      <c r="K816" s="2">
        <v>33362</v>
      </c>
      <c r="L816" t="s">
        <v>297</v>
      </c>
      <c r="M816" t="s">
        <v>297</v>
      </c>
      <c r="N816" t="s">
        <v>369</v>
      </c>
      <c r="O816" t="s">
        <v>238</v>
      </c>
      <c r="P816" t="s">
        <v>239</v>
      </c>
    </row>
    <row r="817" spans="1:16" ht="12.75" customHeight="1">
      <c r="A817">
        <v>10</v>
      </c>
      <c r="B817" t="s">
        <v>140</v>
      </c>
      <c r="C817">
        <v>294</v>
      </c>
      <c r="D817" t="s">
        <v>295</v>
      </c>
      <c r="E817" t="s">
        <v>296</v>
      </c>
      <c r="F817" s="2">
        <v>29637</v>
      </c>
      <c r="G817" s="2">
        <v>29638</v>
      </c>
      <c r="H817" s="2">
        <v>39451</v>
      </c>
      <c r="I817" s="5">
        <v>39629</v>
      </c>
      <c r="J817" s="2">
        <v>39356</v>
      </c>
      <c r="K817" s="2">
        <v>39451</v>
      </c>
      <c r="L817" t="s">
        <v>297</v>
      </c>
      <c r="M817" t="s">
        <v>297</v>
      </c>
      <c r="N817" t="s">
        <v>949</v>
      </c>
      <c r="O817" t="s">
        <v>238</v>
      </c>
      <c r="P817" t="s">
        <v>239</v>
      </c>
    </row>
    <row r="818" spans="1:16" ht="12.75" customHeight="1">
      <c r="A818">
        <v>10</v>
      </c>
      <c r="B818" t="s">
        <v>140</v>
      </c>
      <c r="C818">
        <v>359</v>
      </c>
      <c r="D818" t="s">
        <v>295</v>
      </c>
      <c r="E818" t="s">
        <v>296</v>
      </c>
      <c r="F818" s="2">
        <v>30099</v>
      </c>
      <c r="G818" s="2">
        <v>30087</v>
      </c>
      <c r="H818" s="2">
        <v>39451</v>
      </c>
      <c r="I818" s="5">
        <v>39629</v>
      </c>
      <c r="J818" s="2">
        <v>39418</v>
      </c>
      <c r="K818" s="2">
        <v>35816</v>
      </c>
      <c r="L818" t="s">
        <v>297</v>
      </c>
      <c r="M818" t="s">
        <v>297</v>
      </c>
      <c r="N818" t="s">
        <v>950</v>
      </c>
      <c r="O818" t="s">
        <v>238</v>
      </c>
      <c r="P818" t="s">
        <v>239</v>
      </c>
    </row>
    <row r="819" spans="1:16" ht="12.75" customHeight="1">
      <c r="A819">
        <v>10</v>
      </c>
      <c r="B819" t="s">
        <v>140</v>
      </c>
      <c r="C819">
        <v>382</v>
      </c>
      <c r="D819" t="s">
        <v>295</v>
      </c>
      <c r="E819" t="s">
        <v>296</v>
      </c>
      <c r="F819" s="2">
        <v>30393</v>
      </c>
      <c r="G819" s="2">
        <v>31374</v>
      </c>
      <c r="H819" s="2">
        <v>39451</v>
      </c>
      <c r="I819" s="5">
        <v>39629</v>
      </c>
      <c r="K819" s="2">
        <v>39451</v>
      </c>
      <c r="L819" t="s">
        <v>297</v>
      </c>
      <c r="M819" t="s">
        <v>297</v>
      </c>
      <c r="N819" t="s">
        <v>951</v>
      </c>
      <c r="O819" t="s">
        <v>238</v>
      </c>
      <c r="P819" t="s">
        <v>239</v>
      </c>
    </row>
    <row r="820" spans="1:16" ht="12.75" customHeight="1">
      <c r="A820">
        <v>10</v>
      </c>
      <c r="B820" t="s">
        <v>140</v>
      </c>
      <c r="C820">
        <v>479</v>
      </c>
      <c r="D820" t="s">
        <v>295</v>
      </c>
      <c r="E820" t="s">
        <v>296</v>
      </c>
      <c r="F820" s="2">
        <v>31241</v>
      </c>
      <c r="G820" s="2">
        <v>31922</v>
      </c>
      <c r="H820" s="2">
        <v>39451</v>
      </c>
      <c r="I820" s="5">
        <v>39629</v>
      </c>
      <c r="J820" s="2">
        <v>39357</v>
      </c>
      <c r="K820" s="2">
        <v>39451</v>
      </c>
      <c r="L820" t="s">
        <v>297</v>
      </c>
      <c r="M820" t="s">
        <v>297</v>
      </c>
      <c r="N820" t="s">
        <v>952</v>
      </c>
      <c r="O820" t="s">
        <v>238</v>
      </c>
      <c r="P820" t="s">
        <v>239</v>
      </c>
    </row>
    <row r="821" spans="1:16" ht="12.75" customHeight="1">
      <c r="A821">
        <v>10</v>
      </c>
      <c r="B821" t="s">
        <v>140</v>
      </c>
      <c r="C821">
        <v>582</v>
      </c>
      <c r="D821" t="s">
        <v>464</v>
      </c>
      <c r="E821" t="s">
        <v>316</v>
      </c>
      <c r="F821" s="2">
        <v>31857</v>
      </c>
      <c r="H821" s="2">
        <v>36636</v>
      </c>
      <c r="I821" s="5">
        <v>32675</v>
      </c>
      <c r="K821" s="2">
        <v>36361</v>
      </c>
      <c r="L821" t="s">
        <v>322</v>
      </c>
      <c r="M821" t="s">
        <v>297</v>
      </c>
      <c r="N821" t="s">
        <v>369</v>
      </c>
      <c r="O821" t="s">
        <v>238</v>
      </c>
      <c r="P821" t="s">
        <v>239</v>
      </c>
    </row>
    <row r="822" spans="1:16" ht="12.75" customHeight="1">
      <c r="A822">
        <v>10</v>
      </c>
      <c r="B822" t="s">
        <v>140</v>
      </c>
      <c r="C822">
        <v>657</v>
      </c>
      <c r="D822" t="s">
        <v>295</v>
      </c>
      <c r="E822" t="s">
        <v>296</v>
      </c>
      <c r="F822" s="2">
        <v>32522</v>
      </c>
      <c r="G822" s="2">
        <v>33684</v>
      </c>
      <c r="H822" s="2">
        <v>39455</v>
      </c>
      <c r="I822" s="5">
        <v>39629</v>
      </c>
      <c r="J822" s="2">
        <v>39357</v>
      </c>
      <c r="K822" s="2">
        <v>39451</v>
      </c>
      <c r="L822" t="s">
        <v>297</v>
      </c>
      <c r="M822" t="s">
        <v>297</v>
      </c>
      <c r="N822" t="s">
        <v>953</v>
      </c>
      <c r="O822" t="s">
        <v>238</v>
      </c>
      <c r="P822" t="s">
        <v>239</v>
      </c>
    </row>
    <row r="823" spans="1:16" ht="12.75" customHeight="1">
      <c r="A823">
        <v>10</v>
      </c>
      <c r="B823" t="s">
        <v>140</v>
      </c>
      <c r="C823">
        <v>842</v>
      </c>
      <c r="D823" t="s">
        <v>295</v>
      </c>
      <c r="E823" t="s">
        <v>296</v>
      </c>
      <c r="F823" s="2">
        <v>33799</v>
      </c>
      <c r="G823" s="2">
        <v>37330</v>
      </c>
      <c r="H823" s="2">
        <v>39451</v>
      </c>
      <c r="I823" s="5">
        <v>37621</v>
      </c>
      <c r="J823" s="2">
        <v>39356</v>
      </c>
      <c r="K823" s="2">
        <v>38778</v>
      </c>
      <c r="L823" t="s">
        <v>297</v>
      </c>
      <c r="M823" t="s">
        <v>297</v>
      </c>
      <c r="N823" t="s">
        <v>954</v>
      </c>
      <c r="O823" t="s">
        <v>238</v>
      </c>
      <c r="P823" t="s">
        <v>239</v>
      </c>
    </row>
    <row r="824" spans="1:16" ht="12.75" customHeight="1">
      <c r="A824">
        <v>10</v>
      </c>
      <c r="B824" t="s">
        <v>140</v>
      </c>
      <c r="C824">
        <v>1416</v>
      </c>
      <c r="D824" t="s">
        <v>295</v>
      </c>
      <c r="E824" t="s">
        <v>296</v>
      </c>
      <c r="F824" s="2">
        <v>37425</v>
      </c>
      <c r="G824" s="2">
        <v>37694</v>
      </c>
      <c r="H824" s="2">
        <v>39451</v>
      </c>
      <c r="I824" s="5">
        <v>39629</v>
      </c>
      <c r="J824" s="2">
        <v>39357</v>
      </c>
      <c r="K824" s="2">
        <v>39451</v>
      </c>
      <c r="L824" t="s">
        <v>297</v>
      </c>
      <c r="M824" t="s">
        <v>297</v>
      </c>
      <c r="N824" t="s">
        <v>955</v>
      </c>
      <c r="O824" t="s">
        <v>238</v>
      </c>
      <c r="P824" t="s">
        <v>239</v>
      </c>
    </row>
    <row r="825" spans="1:16" ht="12.75" customHeight="1">
      <c r="A825">
        <v>10</v>
      </c>
      <c r="B825" t="s">
        <v>140</v>
      </c>
      <c r="C825">
        <v>1510</v>
      </c>
      <c r="D825" t="s">
        <v>393</v>
      </c>
      <c r="E825" t="s">
        <v>376</v>
      </c>
      <c r="F825" s="2">
        <v>38582</v>
      </c>
      <c r="H825" s="2">
        <v>38610</v>
      </c>
      <c r="L825" t="s">
        <v>317</v>
      </c>
      <c r="M825" t="s">
        <v>297</v>
      </c>
      <c r="N825" t="s">
        <v>956</v>
      </c>
      <c r="O825" t="s">
        <v>238</v>
      </c>
      <c r="P825" t="s">
        <v>239</v>
      </c>
    </row>
    <row r="826" spans="1:16" ht="12.75" customHeight="1">
      <c r="A826">
        <v>10</v>
      </c>
      <c r="B826" t="s">
        <v>140</v>
      </c>
      <c r="C826">
        <v>1526</v>
      </c>
      <c r="D826" t="s">
        <v>618</v>
      </c>
      <c r="E826" t="s">
        <v>376</v>
      </c>
      <c r="F826" s="2">
        <v>38889</v>
      </c>
      <c r="H826" s="2">
        <v>39299</v>
      </c>
      <c r="I826" s="5">
        <v>39629</v>
      </c>
      <c r="J826" s="2">
        <v>39418</v>
      </c>
      <c r="L826" t="s">
        <v>297</v>
      </c>
      <c r="M826" t="s">
        <v>297</v>
      </c>
      <c r="N826" t="s">
        <v>957</v>
      </c>
      <c r="O826" t="s">
        <v>238</v>
      </c>
      <c r="P826" t="s">
        <v>239</v>
      </c>
    </row>
    <row r="827" spans="1:16" ht="12.75" customHeight="1">
      <c r="A827" t="s">
        <v>238</v>
      </c>
      <c r="B827" t="s">
        <v>239</v>
      </c>
    </row>
    <row r="828" spans="1:16" ht="12.75" customHeight="1">
      <c r="A828">
        <v>10</v>
      </c>
      <c r="B828" t="s">
        <v>153</v>
      </c>
      <c r="C828">
        <v>91</v>
      </c>
      <c r="D828" t="s">
        <v>295</v>
      </c>
      <c r="E828" t="s">
        <v>296</v>
      </c>
      <c r="F828" s="2">
        <v>27591</v>
      </c>
      <c r="G828" s="2">
        <v>28901</v>
      </c>
      <c r="H828" s="2">
        <v>39516</v>
      </c>
      <c r="I828" s="5">
        <v>39506</v>
      </c>
      <c r="J828" s="2">
        <v>39418</v>
      </c>
      <c r="K828" s="2">
        <v>39451</v>
      </c>
      <c r="L828" t="s">
        <v>297</v>
      </c>
      <c r="M828" t="s">
        <v>297</v>
      </c>
      <c r="N828" t="s">
        <v>958</v>
      </c>
      <c r="O828" t="s">
        <v>238</v>
      </c>
      <c r="P828" t="s">
        <v>240</v>
      </c>
    </row>
    <row r="829" spans="1:16" ht="12.75" customHeight="1">
      <c r="A829">
        <v>10</v>
      </c>
      <c r="B829" t="s">
        <v>153</v>
      </c>
      <c r="C829">
        <v>393</v>
      </c>
      <c r="D829" t="s">
        <v>295</v>
      </c>
      <c r="E829" t="s">
        <v>296</v>
      </c>
      <c r="F829" s="2">
        <v>30466</v>
      </c>
      <c r="G829" s="2">
        <v>30466</v>
      </c>
      <c r="H829" s="2">
        <v>39454</v>
      </c>
      <c r="I829" s="5">
        <v>39629</v>
      </c>
      <c r="J829" s="2">
        <v>39418</v>
      </c>
      <c r="K829" s="2">
        <v>36304</v>
      </c>
      <c r="L829" t="s">
        <v>297</v>
      </c>
      <c r="M829" t="s">
        <v>297</v>
      </c>
      <c r="N829" t="s">
        <v>959</v>
      </c>
      <c r="O829" t="s">
        <v>238</v>
      </c>
      <c r="P829" t="s">
        <v>240</v>
      </c>
    </row>
    <row r="830" spans="1:16" ht="12.75" customHeight="1">
      <c r="A830">
        <v>10</v>
      </c>
      <c r="B830" t="s">
        <v>153</v>
      </c>
      <c r="C830">
        <v>538</v>
      </c>
      <c r="D830" t="s">
        <v>295</v>
      </c>
      <c r="E830" t="s">
        <v>296</v>
      </c>
      <c r="F830" s="2">
        <v>31612</v>
      </c>
      <c r="G830" s="2">
        <v>32293</v>
      </c>
      <c r="H830" s="2">
        <v>39451</v>
      </c>
      <c r="I830" s="5">
        <v>39629</v>
      </c>
      <c r="J830" s="2">
        <v>39418</v>
      </c>
      <c r="K830" s="2">
        <v>39451</v>
      </c>
      <c r="L830" t="s">
        <v>297</v>
      </c>
      <c r="M830" t="s">
        <v>297</v>
      </c>
      <c r="N830" t="s">
        <v>960</v>
      </c>
      <c r="O830" t="s">
        <v>238</v>
      </c>
      <c r="P830" t="s">
        <v>240</v>
      </c>
    </row>
    <row r="831" spans="1:16" ht="12.75" customHeight="1">
      <c r="A831">
        <v>10</v>
      </c>
      <c r="B831" t="s">
        <v>153</v>
      </c>
      <c r="C831">
        <v>631</v>
      </c>
      <c r="D831" t="s">
        <v>295</v>
      </c>
      <c r="E831" t="s">
        <v>296</v>
      </c>
      <c r="F831" s="2">
        <v>32220</v>
      </c>
      <c r="G831" s="2">
        <v>33180</v>
      </c>
      <c r="H831" s="2">
        <v>39070</v>
      </c>
      <c r="I831" s="5">
        <v>33171</v>
      </c>
      <c r="J831" s="2">
        <v>35965</v>
      </c>
      <c r="K831" s="2">
        <v>31747</v>
      </c>
      <c r="L831" t="s">
        <v>317</v>
      </c>
      <c r="M831" t="s">
        <v>297</v>
      </c>
      <c r="N831" t="s">
        <v>961</v>
      </c>
      <c r="O831" t="s">
        <v>238</v>
      </c>
      <c r="P831" t="s">
        <v>240</v>
      </c>
    </row>
    <row r="832" spans="1:16" ht="12.75" customHeight="1">
      <c r="A832">
        <v>10</v>
      </c>
      <c r="B832" t="s">
        <v>153</v>
      </c>
      <c r="C832">
        <v>638</v>
      </c>
      <c r="D832" t="s">
        <v>295</v>
      </c>
      <c r="E832" t="s">
        <v>296</v>
      </c>
      <c r="F832" s="2">
        <v>32293</v>
      </c>
      <c r="G832" s="2">
        <v>33018</v>
      </c>
      <c r="H832" s="2">
        <v>39497</v>
      </c>
      <c r="I832" s="5">
        <v>39813</v>
      </c>
      <c r="J832" s="2">
        <v>39418</v>
      </c>
      <c r="K832" s="2">
        <v>36210</v>
      </c>
      <c r="L832" t="s">
        <v>297</v>
      </c>
      <c r="M832" t="s">
        <v>297</v>
      </c>
      <c r="N832" t="s">
        <v>962</v>
      </c>
      <c r="O832" t="s">
        <v>238</v>
      </c>
      <c r="P832" t="s">
        <v>240</v>
      </c>
    </row>
    <row r="833" spans="1:16" ht="12.75" customHeight="1">
      <c r="A833">
        <v>10</v>
      </c>
      <c r="B833" t="s">
        <v>153</v>
      </c>
      <c r="C833">
        <v>665</v>
      </c>
      <c r="D833" t="s">
        <v>295</v>
      </c>
      <c r="E833" t="s">
        <v>296</v>
      </c>
      <c r="F833" s="2">
        <v>32521</v>
      </c>
      <c r="G833" s="2">
        <v>33067</v>
      </c>
      <c r="H833" s="2">
        <v>39451</v>
      </c>
      <c r="I833" s="5">
        <v>39629</v>
      </c>
      <c r="J833" s="2">
        <v>39418</v>
      </c>
      <c r="K833" s="2">
        <v>39451</v>
      </c>
      <c r="L833" t="s">
        <v>297</v>
      </c>
      <c r="M833" t="s">
        <v>297</v>
      </c>
      <c r="N833" t="s">
        <v>963</v>
      </c>
      <c r="O833" t="s">
        <v>238</v>
      </c>
      <c r="P833" t="s">
        <v>240</v>
      </c>
    </row>
    <row r="834" spans="1:16" ht="12.75" customHeight="1">
      <c r="A834">
        <v>10</v>
      </c>
      <c r="B834" t="s">
        <v>153</v>
      </c>
      <c r="C834">
        <v>789</v>
      </c>
      <c r="D834" t="s">
        <v>295</v>
      </c>
      <c r="E834" t="s">
        <v>296</v>
      </c>
      <c r="F834" s="2">
        <v>33384</v>
      </c>
      <c r="G834" s="2">
        <v>33992</v>
      </c>
      <c r="H834" s="2">
        <v>39451</v>
      </c>
      <c r="I834" s="5">
        <v>39629</v>
      </c>
      <c r="J834" s="2">
        <v>39418</v>
      </c>
      <c r="K834" s="2">
        <v>39451</v>
      </c>
      <c r="L834" t="s">
        <v>297</v>
      </c>
      <c r="M834" t="s">
        <v>297</v>
      </c>
      <c r="N834" t="s">
        <v>964</v>
      </c>
      <c r="O834" t="s">
        <v>238</v>
      </c>
      <c r="P834" t="s">
        <v>240</v>
      </c>
    </row>
    <row r="835" spans="1:16" ht="12.75" customHeight="1">
      <c r="A835">
        <v>10</v>
      </c>
      <c r="B835" t="s">
        <v>153</v>
      </c>
      <c r="C835">
        <v>827</v>
      </c>
      <c r="D835" t="s">
        <v>295</v>
      </c>
      <c r="E835" t="s">
        <v>296</v>
      </c>
      <c r="F835" s="2">
        <v>33684</v>
      </c>
      <c r="G835" s="2">
        <v>33992</v>
      </c>
      <c r="H835" s="2">
        <v>39455</v>
      </c>
      <c r="I835" s="5">
        <v>39263</v>
      </c>
      <c r="J835" s="2">
        <v>39418</v>
      </c>
      <c r="K835" s="2">
        <v>38933</v>
      </c>
      <c r="L835" t="s">
        <v>297</v>
      </c>
      <c r="M835" t="s">
        <v>297</v>
      </c>
      <c r="N835" t="s">
        <v>965</v>
      </c>
      <c r="O835" t="s">
        <v>238</v>
      </c>
      <c r="P835" t="s">
        <v>240</v>
      </c>
    </row>
    <row r="836" spans="1:16" ht="12.75" customHeight="1">
      <c r="A836">
        <v>10</v>
      </c>
      <c r="B836" t="s">
        <v>153</v>
      </c>
      <c r="C836">
        <v>867</v>
      </c>
      <c r="D836" t="s">
        <v>295</v>
      </c>
      <c r="E836" t="s">
        <v>296</v>
      </c>
      <c r="F836" s="2">
        <v>33941</v>
      </c>
      <c r="G836" s="2">
        <v>36461</v>
      </c>
      <c r="H836" s="2">
        <v>39337</v>
      </c>
      <c r="I836" s="5">
        <v>39629</v>
      </c>
      <c r="K836" s="2">
        <v>38853</v>
      </c>
      <c r="L836" t="s">
        <v>297</v>
      </c>
      <c r="M836" t="s">
        <v>297</v>
      </c>
      <c r="N836" t="s">
        <v>966</v>
      </c>
      <c r="O836" t="s">
        <v>238</v>
      </c>
      <c r="P836" t="s">
        <v>240</v>
      </c>
    </row>
    <row r="837" spans="1:16" ht="12.75" customHeight="1">
      <c r="A837">
        <v>10</v>
      </c>
      <c r="B837" t="s">
        <v>153</v>
      </c>
      <c r="C837">
        <v>869</v>
      </c>
      <c r="D837" t="s">
        <v>408</v>
      </c>
      <c r="E837" t="s">
        <v>316</v>
      </c>
      <c r="F837" s="2">
        <v>33927</v>
      </c>
      <c r="G837" s="2">
        <v>34404</v>
      </c>
      <c r="H837" s="2">
        <v>39070</v>
      </c>
      <c r="I837" s="5">
        <v>36433</v>
      </c>
      <c r="K837" s="2">
        <v>36412</v>
      </c>
      <c r="L837" t="s">
        <v>297</v>
      </c>
      <c r="M837" t="s">
        <v>297</v>
      </c>
      <c r="N837" t="s">
        <v>318</v>
      </c>
      <c r="O837" t="s">
        <v>238</v>
      </c>
      <c r="P837" t="s">
        <v>240</v>
      </c>
    </row>
    <row r="838" spans="1:16" ht="12.75" customHeight="1">
      <c r="A838">
        <v>10</v>
      </c>
      <c r="B838" t="s">
        <v>153</v>
      </c>
      <c r="C838">
        <v>878</v>
      </c>
      <c r="D838" t="s">
        <v>295</v>
      </c>
      <c r="E838" t="s">
        <v>296</v>
      </c>
      <c r="F838" s="2">
        <v>33995</v>
      </c>
      <c r="G838" s="2">
        <v>35857</v>
      </c>
      <c r="H838" s="2">
        <v>39451</v>
      </c>
      <c r="I838" s="5">
        <v>39629</v>
      </c>
      <c r="J838" s="2">
        <v>39418</v>
      </c>
      <c r="K838" s="2">
        <v>39451</v>
      </c>
      <c r="L838" t="s">
        <v>297</v>
      </c>
      <c r="M838" t="s">
        <v>297</v>
      </c>
      <c r="N838" t="s">
        <v>967</v>
      </c>
      <c r="O838" t="s">
        <v>238</v>
      </c>
      <c r="P838" t="s">
        <v>240</v>
      </c>
    </row>
    <row r="839" spans="1:16" ht="12.75" customHeight="1">
      <c r="A839">
        <v>10</v>
      </c>
      <c r="B839" t="s">
        <v>153</v>
      </c>
      <c r="C839">
        <v>1421</v>
      </c>
      <c r="D839" t="s">
        <v>295</v>
      </c>
      <c r="E839" t="s">
        <v>299</v>
      </c>
      <c r="F839" s="2">
        <v>38127</v>
      </c>
      <c r="H839" s="2">
        <v>39274</v>
      </c>
      <c r="I839" s="5">
        <v>39629</v>
      </c>
      <c r="J839" s="2">
        <v>39418</v>
      </c>
      <c r="L839" t="s">
        <v>297</v>
      </c>
      <c r="M839" t="s">
        <v>322</v>
      </c>
      <c r="N839" t="s">
        <v>968</v>
      </c>
      <c r="O839" t="s">
        <v>238</v>
      </c>
      <c r="P839" t="s">
        <v>240</v>
      </c>
    </row>
    <row r="840" spans="1:16" ht="12.75" customHeight="1">
      <c r="A840" t="s">
        <v>238</v>
      </c>
      <c r="B840" t="s">
        <v>240</v>
      </c>
    </row>
    <row r="841" spans="1:16" ht="12.75" customHeight="1">
      <c r="A841">
        <v>10</v>
      </c>
      <c r="B841" t="s">
        <v>317</v>
      </c>
      <c r="C841">
        <v>4</v>
      </c>
      <c r="D841" t="s">
        <v>295</v>
      </c>
      <c r="E841" t="s">
        <v>296</v>
      </c>
      <c r="F841" s="2">
        <v>26102</v>
      </c>
      <c r="G841" s="2">
        <v>26102</v>
      </c>
      <c r="H841" s="2">
        <v>39451</v>
      </c>
      <c r="I841" s="5">
        <v>39629</v>
      </c>
      <c r="J841" s="2">
        <v>39418</v>
      </c>
      <c r="K841" s="2">
        <v>38548</v>
      </c>
      <c r="L841" t="s">
        <v>297</v>
      </c>
      <c r="M841" t="s">
        <v>297</v>
      </c>
      <c r="N841" t="s">
        <v>969</v>
      </c>
      <c r="O841" t="s">
        <v>238</v>
      </c>
      <c r="P841" t="s">
        <v>241</v>
      </c>
    </row>
    <row r="842" spans="1:16" ht="12.75" customHeight="1">
      <c r="A842">
        <v>10</v>
      </c>
      <c r="B842" t="s">
        <v>317</v>
      </c>
      <c r="C842">
        <v>9</v>
      </c>
      <c r="D842" t="s">
        <v>295</v>
      </c>
      <c r="E842" t="s">
        <v>296</v>
      </c>
      <c r="F842" s="2">
        <v>26102</v>
      </c>
      <c r="G842" s="2">
        <v>26102</v>
      </c>
      <c r="H842" s="2">
        <v>39451</v>
      </c>
      <c r="I842" s="5">
        <v>39447</v>
      </c>
      <c r="J842" s="2">
        <v>39418</v>
      </c>
      <c r="K842" s="2">
        <v>36201</v>
      </c>
      <c r="L842" t="s">
        <v>297</v>
      </c>
      <c r="M842" t="s">
        <v>297</v>
      </c>
      <c r="N842" t="s">
        <v>970</v>
      </c>
      <c r="O842" t="s">
        <v>238</v>
      </c>
      <c r="P842" t="s">
        <v>241</v>
      </c>
    </row>
    <row r="843" spans="1:16" ht="12.75" customHeight="1">
      <c r="A843">
        <v>10</v>
      </c>
      <c r="B843" t="s">
        <v>317</v>
      </c>
      <c r="C843">
        <v>42</v>
      </c>
      <c r="D843" t="s">
        <v>295</v>
      </c>
      <c r="E843" t="s">
        <v>296</v>
      </c>
      <c r="F843" s="2">
        <v>26830</v>
      </c>
      <c r="G843" s="2">
        <v>26830</v>
      </c>
      <c r="H843" s="2">
        <v>39451</v>
      </c>
      <c r="I843" s="5">
        <v>39478</v>
      </c>
      <c r="K843" s="2">
        <v>38443</v>
      </c>
      <c r="L843" t="s">
        <v>297</v>
      </c>
      <c r="M843" t="s">
        <v>297</v>
      </c>
      <c r="N843" t="s">
        <v>971</v>
      </c>
      <c r="O843" t="s">
        <v>238</v>
      </c>
      <c r="P843" t="s">
        <v>241</v>
      </c>
    </row>
    <row r="844" spans="1:16" ht="12.75" customHeight="1">
      <c r="A844">
        <v>10</v>
      </c>
      <c r="B844" t="s">
        <v>317</v>
      </c>
      <c r="C844">
        <v>121</v>
      </c>
      <c r="D844" t="s">
        <v>295</v>
      </c>
      <c r="E844" t="s">
        <v>296</v>
      </c>
      <c r="F844" s="2">
        <v>27922</v>
      </c>
      <c r="G844" s="2">
        <v>28136</v>
      </c>
      <c r="H844" s="2">
        <v>39451</v>
      </c>
      <c r="I844" s="5">
        <v>39629</v>
      </c>
      <c r="J844" s="2">
        <v>39418</v>
      </c>
      <c r="K844" s="2">
        <v>37813</v>
      </c>
      <c r="L844" t="s">
        <v>297</v>
      </c>
      <c r="M844" t="s">
        <v>297</v>
      </c>
      <c r="N844" t="s">
        <v>972</v>
      </c>
      <c r="O844" t="s">
        <v>238</v>
      </c>
      <c r="P844" t="s">
        <v>241</v>
      </c>
    </row>
    <row r="845" spans="1:16" ht="12.75" customHeight="1">
      <c r="A845">
        <v>10</v>
      </c>
      <c r="B845" t="s">
        <v>317</v>
      </c>
      <c r="C845">
        <v>363</v>
      </c>
      <c r="D845" t="s">
        <v>295</v>
      </c>
      <c r="E845" t="s">
        <v>296</v>
      </c>
      <c r="F845" s="2">
        <v>30141</v>
      </c>
      <c r="G845" s="2">
        <v>30141</v>
      </c>
      <c r="H845" s="2">
        <v>39455</v>
      </c>
      <c r="I845" s="5">
        <v>39506</v>
      </c>
      <c r="J845" s="2">
        <v>39418</v>
      </c>
      <c r="K845" s="2">
        <v>35931</v>
      </c>
      <c r="L845" t="s">
        <v>297</v>
      </c>
      <c r="M845" t="s">
        <v>297</v>
      </c>
      <c r="N845" t="s">
        <v>973</v>
      </c>
      <c r="O845" t="s">
        <v>238</v>
      </c>
      <c r="P845" t="s">
        <v>241</v>
      </c>
    </row>
    <row r="846" spans="1:16" ht="12.75" customHeight="1">
      <c r="A846">
        <v>10</v>
      </c>
      <c r="B846" t="s">
        <v>317</v>
      </c>
      <c r="C846">
        <v>759</v>
      </c>
      <c r="D846" t="s">
        <v>295</v>
      </c>
      <c r="E846" t="s">
        <v>296</v>
      </c>
      <c r="F846" s="2">
        <v>33181</v>
      </c>
      <c r="G846" s="2">
        <v>33382</v>
      </c>
      <c r="H846" s="2">
        <v>39451</v>
      </c>
      <c r="I846" s="5">
        <v>39629</v>
      </c>
      <c r="J846" s="2">
        <v>39418</v>
      </c>
      <c r="K846" s="2">
        <v>38817</v>
      </c>
      <c r="L846" t="s">
        <v>297</v>
      </c>
      <c r="M846" t="s">
        <v>297</v>
      </c>
      <c r="N846" t="s">
        <v>974</v>
      </c>
      <c r="O846" t="s">
        <v>238</v>
      </c>
      <c r="P846" t="s">
        <v>241</v>
      </c>
    </row>
    <row r="847" spans="1:16" ht="12.75" customHeight="1">
      <c r="A847" t="s">
        <v>238</v>
      </c>
      <c r="B847" t="s">
        <v>241</v>
      </c>
    </row>
    <row r="848" spans="1:16" ht="12.75" customHeight="1">
      <c r="A848">
        <v>10</v>
      </c>
      <c r="B848" t="s">
        <v>220</v>
      </c>
      <c r="C848">
        <v>129</v>
      </c>
      <c r="D848" t="s">
        <v>295</v>
      </c>
      <c r="E848" t="s">
        <v>296</v>
      </c>
      <c r="F848" s="2">
        <v>28093</v>
      </c>
      <c r="G848" s="2">
        <v>28666</v>
      </c>
      <c r="H848" s="2">
        <v>39225</v>
      </c>
      <c r="I848" s="5">
        <v>38168</v>
      </c>
      <c r="K848" s="2">
        <v>39225</v>
      </c>
      <c r="L848" t="s">
        <v>297</v>
      </c>
      <c r="M848" t="s">
        <v>297</v>
      </c>
      <c r="N848" t="s">
        <v>975</v>
      </c>
      <c r="O848" t="s">
        <v>238</v>
      </c>
      <c r="P848" t="s">
        <v>242</v>
      </c>
    </row>
    <row r="849" spans="1:16" ht="12.75" customHeight="1">
      <c r="A849">
        <v>10</v>
      </c>
      <c r="B849" t="s">
        <v>220</v>
      </c>
      <c r="C849">
        <v>255</v>
      </c>
      <c r="D849" t="s">
        <v>295</v>
      </c>
      <c r="E849" t="s">
        <v>296</v>
      </c>
      <c r="F849" s="2">
        <v>29257</v>
      </c>
      <c r="G849" s="2">
        <v>29483</v>
      </c>
      <c r="H849" s="2">
        <v>39001</v>
      </c>
      <c r="I849" s="5">
        <v>36707</v>
      </c>
      <c r="K849" s="2">
        <v>35373</v>
      </c>
      <c r="L849" t="s">
        <v>297</v>
      </c>
      <c r="M849" t="s">
        <v>297</v>
      </c>
      <c r="N849" t="s">
        <v>976</v>
      </c>
      <c r="O849" t="s">
        <v>238</v>
      </c>
      <c r="P849" t="s">
        <v>242</v>
      </c>
    </row>
    <row r="850" spans="1:16" ht="12.75" customHeight="1">
      <c r="A850">
        <v>10</v>
      </c>
      <c r="B850" t="s">
        <v>220</v>
      </c>
      <c r="C850">
        <v>315</v>
      </c>
      <c r="D850" t="s">
        <v>295</v>
      </c>
      <c r="E850" t="s">
        <v>296</v>
      </c>
      <c r="F850" s="2">
        <v>29791</v>
      </c>
      <c r="G850" s="2">
        <v>29906</v>
      </c>
      <c r="H850" s="2">
        <v>39464</v>
      </c>
      <c r="I850" s="5">
        <v>37437</v>
      </c>
      <c r="J850" s="2">
        <v>29767</v>
      </c>
      <c r="K850" s="2">
        <v>35009</v>
      </c>
      <c r="L850" t="s">
        <v>297</v>
      </c>
      <c r="N850" t="s">
        <v>977</v>
      </c>
      <c r="O850" t="s">
        <v>238</v>
      </c>
      <c r="P850" t="s">
        <v>242</v>
      </c>
    </row>
    <row r="851" spans="1:16" ht="12.75" customHeight="1">
      <c r="A851">
        <v>10</v>
      </c>
      <c r="B851" t="s">
        <v>220</v>
      </c>
      <c r="C851">
        <v>400</v>
      </c>
      <c r="D851" t="s">
        <v>348</v>
      </c>
      <c r="E851" t="s">
        <v>376</v>
      </c>
      <c r="F851" s="2">
        <v>30516</v>
      </c>
      <c r="G851" s="2">
        <v>30758</v>
      </c>
      <c r="H851" s="2">
        <v>33221</v>
      </c>
      <c r="K851" s="2">
        <v>31742</v>
      </c>
      <c r="L851" t="s">
        <v>297</v>
      </c>
      <c r="M851" t="s">
        <v>297</v>
      </c>
      <c r="N851" t="s">
        <v>978</v>
      </c>
      <c r="O851" t="s">
        <v>238</v>
      </c>
      <c r="P851" t="s">
        <v>242</v>
      </c>
    </row>
    <row r="852" spans="1:16" ht="12.75" customHeight="1">
      <c r="A852">
        <v>10</v>
      </c>
      <c r="B852" t="s">
        <v>220</v>
      </c>
      <c r="C852">
        <v>493</v>
      </c>
      <c r="D852" t="s">
        <v>618</v>
      </c>
      <c r="E852" t="s">
        <v>376</v>
      </c>
      <c r="F852" s="2">
        <v>31310</v>
      </c>
      <c r="G852" s="2">
        <v>31738</v>
      </c>
      <c r="H852" s="2">
        <v>35963</v>
      </c>
      <c r="I852" s="5">
        <v>35611</v>
      </c>
      <c r="K852" s="2">
        <v>35593</v>
      </c>
      <c r="L852" t="s">
        <v>297</v>
      </c>
      <c r="M852" t="s">
        <v>297</v>
      </c>
      <c r="N852" t="s">
        <v>979</v>
      </c>
      <c r="O852" t="s">
        <v>238</v>
      </c>
      <c r="P852" t="s">
        <v>242</v>
      </c>
    </row>
    <row r="853" spans="1:16" ht="12.75" customHeight="1">
      <c r="A853">
        <v>10</v>
      </c>
      <c r="B853" t="s">
        <v>220</v>
      </c>
      <c r="C853">
        <v>956</v>
      </c>
      <c r="D853" t="s">
        <v>295</v>
      </c>
      <c r="E853" t="s">
        <v>296</v>
      </c>
      <c r="F853" s="2">
        <v>34494</v>
      </c>
      <c r="G853" s="2">
        <v>37330</v>
      </c>
      <c r="H853" s="2">
        <v>39365</v>
      </c>
      <c r="I853" s="5">
        <v>37805</v>
      </c>
      <c r="K853" s="2">
        <v>35611</v>
      </c>
      <c r="L853" t="s">
        <v>297</v>
      </c>
      <c r="M853" t="s">
        <v>297</v>
      </c>
      <c r="N853" t="s">
        <v>980</v>
      </c>
      <c r="O853" t="s">
        <v>238</v>
      </c>
      <c r="P853" t="s">
        <v>242</v>
      </c>
    </row>
    <row r="854" spans="1:16" ht="12.75" customHeight="1">
      <c r="A854">
        <v>10</v>
      </c>
      <c r="B854" t="s">
        <v>220</v>
      </c>
      <c r="C854">
        <v>1034</v>
      </c>
      <c r="D854" t="s">
        <v>295</v>
      </c>
      <c r="E854" t="s">
        <v>296</v>
      </c>
      <c r="F854" s="2">
        <v>34750</v>
      </c>
      <c r="G854" s="2">
        <v>37330</v>
      </c>
      <c r="H854" s="2">
        <v>37858</v>
      </c>
      <c r="I854" s="5">
        <v>36738</v>
      </c>
      <c r="K854" s="2">
        <v>36037</v>
      </c>
      <c r="L854" t="s">
        <v>297</v>
      </c>
      <c r="M854" t="s">
        <v>297</v>
      </c>
      <c r="N854" t="s">
        <v>981</v>
      </c>
      <c r="O854" t="s">
        <v>238</v>
      </c>
      <c r="P854" t="s">
        <v>242</v>
      </c>
    </row>
    <row r="855" spans="1:16" ht="12.75" customHeight="1">
      <c r="A855">
        <v>10</v>
      </c>
      <c r="B855" t="s">
        <v>220</v>
      </c>
      <c r="C855">
        <v>1306</v>
      </c>
      <c r="D855" t="s">
        <v>295</v>
      </c>
      <c r="E855" t="s">
        <v>296</v>
      </c>
      <c r="F855" s="2">
        <v>36364</v>
      </c>
      <c r="G855" s="2">
        <v>37330</v>
      </c>
      <c r="L855" t="s">
        <v>322</v>
      </c>
      <c r="M855" t="s">
        <v>297</v>
      </c>
      <c r="N855" t="s">
        <v>318</v>
      </c>
      <c r="O855" t="s">
        <v>238</v>
      </c>
      <c r="P855" t="s">
        <v>242</v>
      </c>
    </row>
    <row r="856" spans="1:16" ht="12.75" customHeight="1">
      <c r="A856">
        <v>10</v>
      </c>
      <c r="B856" t="s">
        <v>220</v>
      </c>
      <c r="C856">
        <v>1309</v>
      </c>
      <c r="D856" t="s">
        <v>295</v>
      </c>
      <c r="E856" t="s">
        <v>296</v>
      </c>
      <c r="F856" s="2">
        <v>36375</v>
      </c>
      <c r="G856" s="2">
        <v>37330</v>
      </c>
      <c r="H856" s="2">
        <v>38118</v>
      </c>
      <c r="L856" t="s">
        <v>297</v>
      </c>
      <c r="N856" t="s">
        <v>982</v>
      </c>
      <c r="O856" t="s">
        <v>238</v>
      </c>
      <c r="P856" t="s">
        <v>242</v>
      </c>
    </row>
    <row r="857" spans="1:16" ht="12.75" customHeight="1">
      <c r="A857">
        <v>10</v>
      </c>
      <c r="B857" t="s">
        <v>220</v>
      </c>
      <c r="C857">
        <v>1428</v>
      </c>
      <c r="D857" t="s">
        <v>315</v>
      </c>
      <c r="E857" t="s">
        <v>316</v>
      </c>
      <c r="F857" s="2">
        <v>37524</v>
      </c>
      <c r="H857" s="2">
        <v>37524</v>
      </c>
      <c r="I857" s="5">
        <v>37855</v>
      </c>
      <c r="L857" t="s">
        <v>297</v>
      </c>
      <c r="M857" t="s">
        <v>297</v>
      </c>
      <c r="O857" t="s">
        <v>238</v>
      </c>
      <c r="P857" t="s">
        <v>242</v>
      </c>
    </row>
    <row r="858" spans="1:16" ht="12.75" customHeight="1">
      <c r="A858">
        <v>10</v>
      </c>
      <c r="B858" t="s">
        <v>220</v>
      </c>
      <c r="C858">
        <v>1429</v>
      </c>
      <c r="D858" t="s">
        <v>295</v>
      </c>
      <c r="E858" t="s">
        <v>296</v>
      </c>
      <c r="F858" s="2">
        <v>37524</v>
      </c>
      <c r="G858" s="2">
        <v>38391</v>
      </c>
      <c r="H858" s="2">
        <v>38708</v>
      </c>
      <c r="I858" s="5">
        <v>38533</v>
      </c>
      <c r="L858" t="s">
        <v>297</v>
      </c>
      <c r="M858" t="s">
        <v>297</v>
      </c>
      <c r="N858" t="s">
        <v>983</v>
      </c>
      <c r="O858" t="s">
        <v>238</v>
      </c>
      <c r="P858" t="s">
        <v>242</v>
      </c>
    </row>
    <row r="859" spans="1:16" ht="12.75" customHeight="1">
      <c r="A859" t="s">
        <v>238</v>
      </c>
      <c r="B859" t="s">
        <v>242</v>
      </c>
    </row>
    <row r="860" spans="1:16" ht="12.75" customHeight="1">
      <c r="A860">
        <v>10</v>
      </c>
      <c r="B860" t="s">
        <v>339</v>
      </c>
      <c r="C860">
        <v>77</v>
      </c>
      <c r="D860" t="s">
        <v>295</v>
      </c>
      <c r="E860" t="s">
        <v>296</v>
      </c>
      <c r="F860" s="2">
        <v>27591</v>
      </c>
      <c r="G860" s="2">
        <v>27863</v>
      </c>
      <c r="H860" s="2">
        <v>39186</v>
      </c>
      <c r="I860" s="5">
        <v>39629</v>
      </c>
      <c r="J860" s="2">
        <v>39327</v>
      </c>
      <c r="K860" s="2">
        <v>39315</v>
      </c>
      <c r="L860" t="s">
        <v>297</v>
      </c>
      <c r="M860" t="s">
        <v>297</v>
      </c>
      <c r="N860" t="s">
        <v>984</v>
      </c>
      <c r="O860" t="s">
        <v>238</v>
      </c>
      <c r="P860" t="s">
        <v>243</v>
      </c>
    </row>
    <row r="861" spans="1:16" ht="12.75" customHeight="1">
      <c r="A861">
        <v>10</v>
      </c>
      <c r="B861" t="s">
        <v>339</v>
      </c>
      <c r="C861">
        <v>83</v>
      </c>
      <c r="D861" t="s">
        <v>295</v>
      </c>
      <c r="E861" t="s">
        <v>296</v>
      </c>
      <c r="F861" s="2">
        <v>27591</v>
      </c>
      <c r="G861" s="2">
        <v>28696</v>
      </c>
      <c r="H861" s="2">
        <v>39451</v>
      </c>
      <c r="I861" s="5">
        <v>39202</v>
      </c>
      <c r="J861" s="2">
        <v>39168</v>
      </c>
      <c r="K861" s="2">
        <v>39451</v>
      </c>
      <c r="L861" t="s">
        <v>297</v>
      </c>
      <c r="M861" t="s">
        <v>297</v>
      </c>
      <c r="N861" t="s">
        <v>985</v>
      </c>
      <c r="O861" t="s">
        <v>238</v>
      </c>
      <c r="P861" t="s">
        <v>243</v>
      </c>
    </row>
    <row r="862" spans="1:16" ht="12.75" customHeight="1">
      <c r="A862">
        <v>10</v>
      </c>
      <c r="B862" t="s">
        <v>339</v>
      </c>
      <c r="C862">
        <v>180</v>
      </c>
      <c r="D862" t="s">
        <v>295</v>
      </c>
      <c r="E862" t="s">
        <v>296</v>
      </c>
      <c r="F862" s="2">
        <v>28572</v>
      </c>
      <c r="G862" s="2">
        <v>29471</v>
      </c>
      <c r="H862" s="2">
        <v>39413</v>
      </c>
      <c r="K862" s="2">
        <v>35214</v>
      </c>
      <c r="L862" t="s">
        <v>297</v>
      </c>
      <c r="M862" t="s">
        <v>297</v>
      </c>
      <c r="N862" t="s">
        <v>986</v>
      </c>
      <c r="O862" t="s">
        <v>238</v>
      </c>
      <c r="P862" t="s">
        <v>243</v>
      </c>
    </row>
    <row r="863" spans="1:16" ht="12.75" customHeight="1">
      <c r="A863">
        <v>10</v>
      </c>
      <c r="B863" t="s">
        <v>339</v>
      </c>
      <c r="C863">
        <v>599</v>
      </c>
      <c r="D863" t="s">
        <v>295</v>
      </c>
      <c r="E863" t="s">
        <v>296</v>
      </c>
      <c r="F863" s="2">
        <v>31922</v>
      </c>
      <c r="G863" s="2">
        <v>33749</v>
      </c>
      <c r="H863" s="2">
        <v>39210</v>
      </c>
      <c r="I863" s="5">
        <v>39629</v>
      </c>
      <c r="J863" s="2">
        <v>39327</v>
      </c>
      <c r="K863" s="2">
        <v>39269</v>
      </c>
      <c r="L863" t="s">
        <v>297</v>
      </c>
      <c r="M863" t="s">
        <v>297</v>
      </c>
      <c r="N863" t="s">
        <v>987</v>
      </c>
      <c r="O863" t="s">
        <v>238</v>
      </c>
      <c r="P863" t="s">
        <v>243</v>
      </c>
    </row>
    <row r="864" spans="1:16" ht="12.75" customHeight="1">
      <c r="A864">
        <v>10</v>
      </c>
      <c r="B864" t="s">
        <v>339</v>
      </c>
      <c r="C864">
        <v>716</v>
      </c>
      <c r="D864" t="s">
        <v>295</v>
      </c>
      <c r="E864" t="s">
        <v>296</v>
      </c>
      <c r="F864" s="2">
        <v>32892</v>
      </c>
      <c r="G864" s="2">
        <v>32903</v>
      </c>
      <c r="H864" s="2">
        <v>39384</v>
      </c>
      <c r="I864" s="5">
        <v>39629</v>
      </c>
      <c r="J864" s="2">
        <v>39360</v>
      </c>
      <c r="K864" s="2">
        <v>39203</v>
      </c>
      <c r="L864" t="s">
        <v>297</v>
      </c>
      <c r="M864" t="s">
        <v>297</v>
      </c>
      <c r="N864" t="s">
        <v>988</v>
      </c>
      <c r="O864" t="s">
        <v>238</v>
      </c>
      <c r="P864" t="s">
        <v>243</v>
      </c>
    </row>
    <row r="865" spans="1:16" ht="12.75" customHeight="1">
      <c r="A865">
        <v>10</v>
      </c>
      <c r="B865" t="s">
        <v>339</v>
      </c>
      <c r="C865">
        <v>741</v>
      </c>
      <c r="D865" t="s">
        <v>295</v>
      </c>
      <c r="E865" t="s">
        <v>296</v>
      </c>
      <c r="F865" s="2">
        <v>33021</v>
      </c>
      <c r="G865" s="2">
        <v>33264</v>
      </c>
      <c r="H865" s="2">
        <v>39370</v>
      </c>
      <c r="I865" s="5">
        <v>39629</v>
      </c>
      <c r="J865" s="2">
        <v>38930</v>
      </c>
      <c r="K865" s="2">
        <v>34773</v>
      </c>
      <c r="L865" t="s">
        <v>297</v>
      </c>
      <c r="M865" t="s">
        <v>297</v>
      </c>
      <c r="N865" t="s">
        <v>989</v>
      </c>
      <c r="O865" t="s">
        <v>238</v>
      </c>
      <c r="P865" t="s">
        <v>243</v>
      </c>
    </row>
    <row r="866" spans="1:16" ht="12.75" customHeight="1">
      <c r="A866" t="s">
        <v>238</v>
      </c>
      <c r="B866" t="s">
        <v>243</v>
      </c>
    </row>
    <row r="867" spans="1:16" ht="12.75" customHeight="1">
      <c r="A867">
        <v>10</v>
      </c>
      <c r="B867" t="s">
        <v>165</v>
      </c>
      <c r="C867">
        <v>46</v>
      </c>
      <c r="D867" t="s">
        <v>295</v>
      </c>
      <c r="E867" t="s">
        <v>296</v>
      </c>
      <c r="F867" s="2">
        <v>27275</v>
      </c>
      <c r="G867" s="2">
        <v>27275</v>
      </c>
      <c r="H867" s="2">
        <v>39511</v>
      </c>
      <c r="I867" s="5">
        <v>39629</v>
      </c>
      <c r="J867" s="2">
        <v>33054</v>
      </c>
      <c r="K867" s="2">
        <v>37348</v>
      </c>
      <c r="L867" t="s">
        <v>297</v>
      </c>
      <c r="M867" t="s">
        <v>297</v>
      </c>
      <c r="N867" t="s">
        <v>990</v>
      </c>
      <c r="O867" t="s">
        <v>238</v>
      </c>
      <c r="P867" t="s">
        <v>244</v>
      </c>
    </row>
    <row r="868" spans="1:16" ht="12.75" customHeight="1">
      <c r="A868">
        <v>10</v>
      </c>
      <c r="B868" t="s">
        <v>165</v>
      </c>
      <c r="C868">
        <v>677</v>
      </c>
      <c r="D868" t="s">
        <v>295</v>
      </c>
      <c r="E868" t="s">
        <v>296</v>
      </c>
      <c r="F868" s="2">
        <v>32578</v>
      </c>
      <c r="G868" s="2">
        <v>32578</v>
      </c>
      <c r="H868" s="2">
        <v>39510</v>
      </c>
      <c r="I868" s="5">
        <v>39629</v>
      </c>
      <c r="J868" s="2">
        <v>39465</v>
      </c>
      <c r="K868" s="2">
        <v>35230</v>
      </c>
      <c r="L868" t="s">
        <v>297</v>
      </c>
      <c r="M868" t="s">
        <v>297</v>
      </c>
      <c r="N868" t="s">
        <v>991</v>
      </c>
      <c r="O868" t="s">
        <v>238</v>
      </c>
      <c r="P868" t="s">
        <v>244</v>
      </c>
    </row>
    <row r="869" spans="1:16" ht="12.75" customHeight="1">
      <c r="A869">
        <v>10</v>
      </c>
      <c r="B869" t="s">
        <v>165</v>
      </c>
      <c r="C869">
        <v>678</v>
      </c>
      <c r="D869" t="s">
        <v>295</v>
      </c>
      <c r="E869" t="s">
        <v>296</v>
      </c>
      <c r="F869" s="2">
        <v>32577</v>
      </c>
      <c r="G869" s="2">
        <v>32578</v>
      </c>
      <c r="H869" s="2">
        <v>39455</v>
      </c>
      <c r="I869" s="5">
        <v>39813</v>
      </c>
      <c r="J869" s="2">
        <v>39418</v>
      </c>
      <c r="K869" s="2">
        <v>39451</v>
      </c>
      <c r="L869" t="s">
        <v>297</v>
      </c>
      <c r="M869" t="s">
        <v>297</v>
      </c>
      <c r="N869" t="s">
        <v>992</v>
      </c>
      <c r="O869" t="s">
        <v>238</v>
      </c>
      <c r="P869" t="s">
        <v>244</v>
      </c>
    </row>
    <row r="870" spans="1:16" ht="12.75" customHeight="1">
      <c r="A870">
        <v>10</v>
      </c>
      <c r="B870" t="s">
        <v>165</v>
      </c>
      <c r="C870">
        <v>1441</v>
      </c>
      <c r="D870" t="s">
        <v>295</v>
      </c>
      <c r="E870" t="s">
        <v>296</v>
      </c>
      <c r="F870" s="2">
        <v>37694</v>
      </c>
      <c r="G870" s="2">
        <v>37944</v>
      </c>
      <c r="H870" s="2">
        <v>39451</v>
      </c>
      <c r="I870" s="5">
        <v>39599</v>
      </c>
      <c r="J870" s="2">
        <v>39465</v>
      </c>
      <c r="K870" s="2">
        <v>39451</v>
      </c>
      <c r="L870" t="s">
        <v>297</v>
      </c>
      <c r="M870" t="s">
        <v>297</v>
      </c>
      <c r="N870" t="s">
        <v>993</v>
      </c>
      <c r="O870" t="s">
        <v>238</v>
      </c>
      <c r="P870" t="s">
        <v>244</v>
      </c>
    </row>
    <row r="871" spans="1:16" ht="12.75" customHeight="1">
      <c r="A871" t="s">
        <v>238</v>
      </c>
      <c r="B871" t="s">
        <v>244</v>
      </c>
    </row>
    <row r="872" spans="1:16" ht="12.75" customHeight="1">
      <c r="A872">
        <v>10</v>
      </c>
      <c r="B872" t="s">
        <v>245</v>
      </c>
      <c r="C872">
        <v>8</v>
      </c>
      <c r="D872" t="s">
        <v>295</v>
      </c>
      <c r="E872" t="s">
        <v>296</v>
      </c>
      <c r="F872" s="2">
        <v>26102</v>
      </c>
      <c r="G872" s="2">
        <v>26102</v>
      </c>
      <c r="H872" s="2">
        <v>39086</v>
      </c>
      <c r="I872" s="5">
        <v>39263</v>
      </c>
      <c r="J872" s="2">
        <v>39418</v>
      </c>
      <c r="K872" s="2">
        <v>38867</v>
      </c>
      <c r="L872" t="s">
        <v>297</v>
      </c>
      <c r="M872" t="s">
        <v>297</v>
      </c>
      <c r="N872" t="s">
        <v>994</v>
      </c>
      <c r="O872" t="s">
        <v>238</v>
      </c>
      <c r="P872" t="s">
        <v>246</v>
      </c>
    </row>
    <row r="873" spans="1:16" ht="12.75" customHeight="1">
      <c r="A873">
        <v>10</v>
      </c>
      <c r="B873" t="s">
        <v>245</v>
      </c>
      <c r="C873">
        <v>29</v>
      </c>
      <c r="D873" t="s">
        <v>295</v>
      </c>
      <c r="E873" t="s">
        <v>296</v>
      </c>
      <c r="F873" s="2">
        <v>26830</v>
      </c>
      <c r="G873" s="2">
        <v>26830</v>
      </c>
      <c r="H873" s="2">
        <v>39184</v>
      </c>
      <c r="I873" s="5">
        <v>38168</v>
      </c>
      <c r="J873" s="2">
        <v>37914</v>
      </c>
      <c r="K873" s="2">
        <v>37914</v>
      </c>
      <c r="L873" t="s">
        <v>297</v>
      </c>
      <c r="M873" t="s">
        <v>297</v>
      </c>
      <c r="N873" t="s">
        <v>995</v>
      </c>
      <c r="O873" t="s">
        <v>238</v>
      </c>
      <c r="P873" t="s">
        <v>246</v>
      </c>
    </row>
    <row r="874" spans="1:16" ht="12.75" customHeight="1">
      <c r="A874">
        <v>10</v>
      </c>
      <c r="B874" t="s">
        <v>245</v>
      </c>
      <c r="C874">
        <v>33</v>
      </c>
      <c r="D874" t="s">
        <v>295</v>
      </c>
      <c r="E874" t="s">
        <v>296</v>
      </c>
      <c r="F874" s="2">
        <v>26830</v>
      </c>
      <c r="G874" s="2">
        <v>26830</v>
      </c>
      <c r="H874" s="2">
        <v>39426</v>
      </c>
      <c r="I874" s="5">
        <v>39629</v>
      </c>
      <c r="J874" s="2">
        <v>39418</v>
      </c>
      <c r="K874" s="2">
        <v>36362</v>
      </c>
      <c r="L874" t="s">
        <v>297</v>
      </c>
      <c r="M874" t="s">
        <v>297</v>
      </c>
      <c r="N874" t="s">
        <v>996</v>
      </c>
      <c r="O874" t="s">
        <v>238</v>
      </c>
      <c r="P874" t="s">
        <v>246</v>
      </c>
    </row>
    <row r="875" spans="1:16" ht="12.75" customHeight="1">
      <c r="A875">
        <v>10</v>
      </c>
      <c r="B875" t="s">
        <v>245</v>
      </c>
      <c r="C875">
        <v>58</v>
      </c>
      <c r="D875" t="s">
        <v>295</v>
      </c>
      <c r="E875" t="s">
        <v>296</v>
      </c>
      <c r="F875" s="2">
        <v>27591</v>
      </c>
      <c r="G875" s="2">
        <v>28901</v>
      </c>
      <c r="H875" s="2">
        <v>39349</v>
      </c>
      <c r="I875" s="5">
        <v>39629</v>
      </c>
      <c r="J875" s="2">
        <v>39295</v>
      </c>
      <c r="K875" s="2">
        <v>36454</v>
      </c>
      <c r="L875" t="s">
        <v>297</v>
      </c>
      <c r="M875" t="s">
        <v>297</v>
      </c>
      <c r="N875" t="s">
        <v>997</v>
      </c>
      <c r="O875" t="s">
        <v>238</v>
      </c>
      <c r="P875" t="s">
        <v>246</v>
      </c>
    </row>
    <row r="876" spans="1:16" ht="12.75" customHeight="1">
      <c r="A876">
        <v>10</v>
      </c>
      <c r="B876" t="s">
        <v>245</v>
      </c>
      <c r="C876">
        <v>71</v>
      </c>
      <c r="D876" t="s">
        <v>295</v>
      </c>
      <c r="E876" t="s">
        <v>296</v>
      </c>
      <c r="F876" s="2">
        <v>27591</v>
      </c>
      <c r="G876" s="2">
        <v>27591</v>
      </c>
      <c r="H876" s="2">
        <v>39206</v>
      </c>
      <c r="I876" s="5">
        <v>39629</v>
      </c>
      <c r="J876" s="2">
        <v>39418</v>
      </c>
      <c r="K876" s="2">
        <v>37914</v>
      </c>
      <c r="L876" t="s">
        <v>297</v>
      </c>
      <c r="M876" t="s">
        <v>297</v>
      </c>
      <c r="N876" t="s">
        <v>998</v>
      </c>
      <c r="O876" t="s">
        <v>238</v>
      </c>
      <c r="P876" t="s">
        <v>246</v>
      </c>
    </row>
    <row r="877" spans="1:16" ht="12.75" customHeight="1">
      <c r="A877">
        <v>10</v>
      </c>
      <c r="B877" t="s">
        <v>245</v>
      </c>
      <c r="C877">
        <v>174</v>
      </c>
      <c r="D877" t="s">
        <v>295</v>
      </c>
      <c r="E877" t="s">
        <v>296</v>
      </c>
      <c r="F877" s="2">
        <v>28521</v>
      </c>
      <c r="G877" s="2">
        <v>28640</v>
      </c>
      <c r="H877" s="2">
        <v>39511</v>
      </c>
      <c r="I877" s="5">
        <v>39082</v>
      </c>
      <c r="J877" s="2">
        <v>39418</v>
      </c>
      <c r="K877" s="2">
        <v>39451</v>
      </c>
      <c r="L877" t="s">
        <v>297</v>
      </c>
      <c r="M877" t="s">
        <v>297</v>
      </c>
      <c r="N877" t="s">
        <v>999</v>
      </c>
      <c r="O877" t="s">
        <v>238</v>
      </c>
      <c r="P877" t="s">
        <v>246</v>
      </c>
    </row>
    <row r="878" spans="1:16" ht="12.75" customHeight="1">
      <c r="A878">
        <v>10</v>
      </c>
      <c r="B878" t="s">
        <v>245</v>
      </c>
      <c r="C878">
        <v>254</v>
      </c>
      <c r="D878" t="s">
        <v>295</v>
      </c>
      <c r="E878" t="s">
        <v>296</v>
      </c>
      <c r="F878" s="2">
        <v>29256</v>
      </c>
      <c r="G878" s="2">
        <v>29909</v>
      </c>
      <c r="H878" s="2">
        <v>39310</v>
      </c>
      <c r="I878" s="5">
        <v>39629</v>
      </c>
      <c r="J878" s="2">
        <v>37819</v>
      </c>
      <c r="K878" s="2">
        <v>36270</v>
      </c>
      <c r="L878" t="s">
        <v>297</v>
      </c>
      <c r="M878" t="s">
        <v>297</v>
      </c>
      <c r="N878" t="s">
        <v>1000</v>
      </c>
      <c r="O878" t="s">
        <v>238</v>
      </c>
      <c r="P878" t="s">
        <v>246</v>
      </c>
    </row>
    <row r="879" spans="1:16" ht="12.75" customHeight="1">
      <c r="A879">
        <v>10</v>
      </c>
      <c r="B879" t="s">
        <v>245</v>
      </c>
      <c r="C879">
        <v>795</v>
      </c>
      <c r="D879" t="s">
        <v>295</v>
      </c>
      <c r="E879" t="s">
        <v>296</v>
      </c>
      <c r="F879" s="2">
        <v>33384</v>
      </c>
      <c r="G879" s="2">
        <v>33621</v>
      </c>
      <c r="H879" s="2">
        <v>39336</v>
      </c>
      <c r="I879" s="5">
        <v>36616</v>
      </c>
      <c r="J879" s="2">
        <v>39418</v>
      </c>
      <c r="K879" s="2">
        <v>38181</v>
      </c>
      <c r="L879" t="s">
        <v>297</v>
      </c>
      <c r="M879" t="s">
        <v>297</v>
      </c>
      <c r="N879" t="s">
        <v>1001</v>
      </c>
      <c r="O879" t="s">
        <v>238</v>
      </c>
      <c r="P879" t="s">
        <v>246</v>
      </c>
    </row>
    <row r="880" spans="1:16" ht="12.75" customHeight="1">
      <c r="A880">
        <v>10</v>
      </c>
      <c r="B880" t="s">
        <v>245</v>
      </c>
      <c r="C880">
        <v>1430</v>
      </c>
      <c r="D880" t="s">
        <v>393</v>
      </c>
      <c r="E880" t="s">
        <v>376</v>
      </c>
      <c r="F880" s="2">
        <v>37540</v>
      </c>
      <c r="H880" s="2">
        <v>37540</v>
      </c>
      <c r="I880" s="5">
        <v>37833</v>
      </c>
      <c r="L880" t="s">
        <v>297</v>
      </c>
      <c r="M880" t="s">
        <v>297</v>
      </c>
      <c r="N880" t="s">
        <v>1002</v>
      </c>
      <c r="O880" t="s">
        <v>238</v>
      </c>
      <c r="P880" t="s">
        <v>246</v>
      </c>
    </row>
    <row r="881" spans="1:16" ht="12.75" customHeight="1">
      <c r="A881" t="s">
        <v>238</v>
      </c>
      <c r="B881" t="s">
        <v>246</v>
      </c>
    </row>
    <row r="882" spans="1:16" ht="12.75" customHeight="1">
      <c r="A882">
        <v>10</v>
      </c>
      <c r="B882" t="s">
        <v>247</v>
      </c>
      <c r="C882">
        <v>39</v>
      </c>
      <c r="D882" t="s">
        <v>295</v>
      </c>
      <c r="E882" t="s">
        <v>296</v>
      </c>
      <c r="F882" s="2">
        <v>26830</v>
      </c>
      <c r="G882" s="2">
        <v>26830</v>
      </c>
      <c r="H882" s="2">
        <v>39225</v>
      </c>
      <c r="I882" s="5">
        <v>39629</v>
      </c>
      <c r="J882" s="2">
        <v>39327</v>
      </c>
      <c r="K882" s="2">
        <v>36413</v>
      </c>
      <c r="L882" t="s">
        <v>297</v>
      </c>
      <c r="M882" t="s">
        <v>297</v>
      </c>
      <c r="N882" t="s">
        <v>1003</v>
      </c>
      <c r="O882" t="s">
        <v>238</v>
      </c>
      <c r="P882" t="s">
        <v>248</v>
      </c>
    </row>
    <row r="883" spans="1:16" ht="12.75" customHeight="1">
      <c r="A883">
        <v>10</v>
      </c>
      <c r="B883" t="s">
        <v>247</v>
      </c>
      <c r="C883">
        <v>68</v>
      </c>
      <c r="D883" t="s">
        <v>295</v>
      </c>
      <c r="E883" t="s">
        <v>296</v>
      </c>
      <c r="F883" s="2">
        <v>27591</v>
      </c>
      <c r="G883" s="2">
        <v>27591</v>
      </c>
      <c r="H883" s="2">
        <v>39385</v>
      </c>
      <c r="I883" s="5">
        <v>39478</v>
      </c>
      <c r="J883" s="2">
        <v>39327</v>
      </c>
      <c r="K883" s="2">
        <v>36413</v>
      </c>
      <c r="L883" t="s">
        <v>297</v>
      </c>
      <c r="M883" t="s">
        <v>297</v>
      </c>
      <c r="N883" t="s">
        <v>1004</v>
      </c>
      <c r="O883" t="s">
        <v>238</v>
      </c>
      <c r="P883" t="s">
        <v>248</v>
      </c>
    </row>
    <row r="884" spans="1:16" ht="12.75" customHeight="1">
      <c r="A884">
        <v>10</v>
      </c>
      <c r="B884" t="s">
        <v>247</v>
      </c>
      <c r="C884">
        <v>82</v>
      </c>
      <c r="D884" t="s">
        <v>295</v>
      </c>
      <c r="E884" t="s">
        <v>296</v>
      </c>
      <c r="F884" s="2">
        <v>28628</v>
      </c>
      <c r="G884" s="2">
        <v>28901</v>
      </c>
      <c r="H884" s="2">
        <v>39451</v>
      </c>
      <c r="I884" s="5">
        <v>37833</v>
      </c>
      <c r="K884" s="2">
        <v>35317</v>
      </c>
      <c r="L884" t="s">
        <v>297</v>
      </c>
      <c r="M884" t="s">
        <v>297</v>
      </c>
      <c r="N884" t="s">
        <v>1005</v>
      </c>
      <c r="O884" t="s">
        <v>238</v>
      </c>
      <c r="P884" t="s">
        <v>248</v>
      </c>
    </row>
    <row r="885" spans="1:16" ht="12.75" customHeight="1">
      <c r="A885">
        <v>10</v>
      </c>
      <c r="B885" t="s">
        <v>247</v>
      </c>
      <c r="C885">
        <v>122</v>
      </c>
      <c r="D885" t="s">
        <v>295</v>
      </c>
      <c r="E885" t="s">
        <v>296</v>
      </c>
      <c r="F885" s="2">
        <v>28093</v>
      </c>
      <c r="G885" s="2">
        <v>28640</v>
      </c>
      <c r="H885" s="2">
        <v>39497</v>
      </c>
      <c r="I885" s="5">
        <v>38533</v>
      </c>
      <c r="J885" s="2">
        <v>35703</v>
      </c>
      <c r="K885" s="2">
        <v>36362</v>
      </c>
      <c r="L885" t="s">
        <v>297</v>
      </c>
      <c r="M885" t="s">
        <v>297</v>
      </c>
      <c r="N885" t="s">
        <v>1006</v>
      </c>
      <c r="O885" t="s">
        <v>238</v>
      </c>
      <c r="P885" t="s">
        <v>248</v>
      </c>
    </row>
    <row r="886" spans="1:16" ht="12.75" customHeight="1">
      <c r="A886">
        <v>10</v>
      </c>
      <c r="B886" t="s">
        <v>247</v>
      </c>
      <c r="C886">
        <v>147</v>
      </c>
      <c r="D886" t="s">
        <v>295</v>
      </c>
      <c r="E886" t="s">
        <v>296</v>
      </c>
      <c r="F886" s="2">
        <v>28213</v>
      </c>
      <c r="G886" s="2">
        <v>28901</v>
      </c>
      <c r="H886" s="2">
        <v>39185</v>
      </c>
      <c r="I886" s="5">
        <v>39629</v>
      </c>
      <c r="J886" s="2">
        <v>39327</v>
      </c>
      <c r="K886" s="2">
        <v>35836</v>
      </c>
      <c r="L886" t="s">
        <v>297</v>
      </c>
      <c r="M886" t="s">
        <v>322</v>
      </c>
      <c r="N886" t="s">
        <v>1007</v>
      </c>
      <c r="O886" t="s">
        <v>238</v>
      </c>
      <c r="P886" t="s">
        <v>248</v>
      </c>
    </row>
    <row r="887" spans="1:16" ht="12.75" customHeight="1">
      <c r="A887">
        <v>10</v>
      </c>
      <c r="B887" t="s">
        <v>247</v>
      </c>
      <c r="C887">
        <v>148</v>
      </c>
      <c r="D887" t="s">
        <v>295</v>
      </c>
      <c r="E887" t="s">
        <v>296</v>
      </c>
      <c r="F887" s="2">
        <v>28213</v>
      </c>
      <c r="G887" s="2">
        <v>28901</v>
      </c>
      <c r="H887" s="2">
        <v>38503</v>
      </c>
      <c r="I887" s="5">
        <v>36950</v>
      </c>
      <c r="K887" s="2">
        <v>35878</v>
      </c>
      <c r="L887" t="s">
        <v>297</v>
      </c>
      <c r="N887" t="s">
        <v>1008</v>
      </c>
      <c r="O887" t="s">
        <v>238</v>
      </c>
      <c r="P887" t="s">
        <v>248</v>
      </c>
    </row>
    <row r="888" spans="1:16" ht="12.75" customHeight="1">
      <c r="A888">
        <v>10</v>
      </c>
      <c r="B888" t="s">
        <v>247</v>
      </c>
      <c r="C888">
        <v>242</v>
      </c>
      <c r="D888" t="s">
        <v>295</v>
      </c>
      <c r="E888" t="s">
        <v>296</v>
      </c>
      <c r="F888" s="2">
        <v>29149</v>
      </c>
      <c r="G888" s="2">
        <v>29721</v>
      </c>
      <c r="H888" s="2">
        <v>36341</v>
      </c>
      <c r="I888" s="5">
        <v>39629</v>
      </c>
      <c r="J888" s="2">
        <v>39327</v>
      </c>
      <c r="K888" s="2">
        <v>36341</v>
      </c>
      <c r="L888" t="s">
        <v>297</v>
      </c>
      <c r="M888" t="s">
        <v>322</v>
      </c>
      <c r="N888" t="s">
        <v>1009</v>
      </c>
      <c r="O888" t="s">
        <v>238</v>
      </c>
      <c r="P888" t="s">
        <v>248</v>
      </c>
    </row>
    <row r="889" spans="1:16" ht="12.75" customHeight="1">
      <c r="A889">
        <v>10</v>
      </c>
      <c r="B889" t="s">
        <v>247</v>
      </c>
      <c r="C889">
        <v>304</v>
      </c>
      <c r="D889" t="s">
        <v>295</v>
      </c>
      <c r="E889" t="s">
        <v>296</v>
      </c>
      <c r="F889" s="2">
        <v>29687</v>
      </c>
      <c r="G889" s="2">
        <v>29816</v>
      </c>
      <c r="H889" s="2">
        <v>39259</v>
      </c>
      <c r="I889" s="5">
        <v>39629</v>
      </c>
      <c r="J889" s="2">
        <v>39327</v>
      </c>
      <c r="K889" s="2">
        <v>38478</v>
      </c>
      <c r="L889" t="s">
        <v>297</v>
      </c>
      <c r="M889" t="s">
        <v>322</v>
      </c>
      <c r="N889" t="s">
        <v>1010</v>
      </c>
      <c r="O889" t="s">
        <v>238</v>
      </c>
      <c r="P889" t="s">
        <v>248</v>
      </c>
    </row>
    <row r="890" spans="1:16" ht="12.75" customHeight="1">
      <c r="A890">
        <v>10</v>
      </c>
      <c r="B890" t="s">
        <v>247</v>
      </c>
      <c r="C890">
        <v>683</v>
      </c>
      <c r="D890" t="s">
        <v>295</v>
      </c>
      <c r="E890" t="s">
        <v>296</v>
      </c>
      <c r="F890" s="2">
        <v>32647</v>
      </c>
      <c r="G890" s="2">
        <v>35272</v>
      </c>
      <c r="H890" s="2">
        <v>39358</v>
      </c>
      <c r="I890" s="5">
        <v>37802</v>
      </c>
      <c r="K890" s="2">
        <v>38726</v>
      </c>
      <c r="L890" t="s">
        <v>297</v>
      </c>
      <c r="M890" t="s">
        <v>322</v>
      </c>
      <c r="N890" t="s">
        <v>1011</v>
      </c>
      <c r="O890" t="s">
        <v>238</v>
      </c>
      <c r="P890" t="s">
        <v>248</v>
      </c>
    </row>
    <row r="891" spans="1:16" ht="12.75" customHeight="1">
      <c r="A891" t="s">
        <v>238</v>
      </c>
      <c r="B891" t="s">
        <v>248</v>
      </c>
    </row>
    <row r="892" spans="1:16" ht="12.75" customHeight="1">
      <c r="A892" t="s">
        <v>1012</v>
      </c>
    </row>
    <row r="893" spans="1:16" ht="12.75" customHeight="1">
      <c r="A893">
        <v>11</v>
      </c>
      <c r="B893" t="s">
        <v>317</v>
      </c>
      <c r="C893">
        <v>22</v>
      </c>
      <c r="D893" t="s">
        <v>295</v>
      </c>
      <c r="E893" t="s">
        <v>296</v>
      </c>
      <c r="F893" s="2">
        <v>26648</v>
      </c>
      <c r="G893" s="2">
        <v>26648</v>
      </c>
      <c r="H893" s="2">
        <v>39514</v>
      </c>
      <c r="I893" s="5">
        <v>39263</v>
      </c>
      <c r="J893" s="2">
        <v>39263</v>
      </c>
      <c r="K893" s="2">
        <v>34771</v>
      </c>
      <c r="L893" t="s">
        <v>297</v>
      </c>
      <c r="M893" t="s">
        <v>297</v>
      </c>
      <c r="N893" t="s">
        <v>1013</v>
      </c>
      <c r="O893" t="s">
        <v>249</v>
      </c>
      <c r="P893" t="s">
        <v>250</v>
      </c>
    </row>
    <row r="894" spans="1:16" ht="12.75" customHeight="1">
      <c r="A894">
        <v>11</v>
      </c>
      <c r="B894" t="s">
        <v>317</v>
      </c>
      <c r="C894">
        <v>28</v>
      </c>
      <c r="D894" t="s">
        <v>295</v>
      </c>
      <c r="E894" t="s">
        <v>296</v>
      </c>
      <c r="F894" s="2">
        <v>26830</v>
      </c>
      <c r="G894" s="2">
        <v>26830</v>
      </c>
      <c r="H894" s="2">
        <v>39156</v>
      </c>
      <c r="I894" s="5">
        <v>39156</v>
      </c>
      <c r="J894" s="2">
        <v>39156</v>
      </c>
      <c r="K894" s="2">
        <v>36389</v>
      </c>
      <c r="L894" t="s">
        <v>297</v>
      </c>
      <c r="M894" t="s">
        <v>297</v>
      </c>
      <c r="N894" t="s">
        <v>1014</v>
      </c>
      <c r="O894" t="s">
        <v>249</v>
      </c>
      <c r="P894" t="s">
        <v>250</v>
      </c>
    </row>
    <row r="895" spans="1:16" ht="12.75" customHeight="1">
      <c r="A895">
        <v>11</v>
      </c>
      <c r="B895" t="s">
        <v>317</v>
      </c>
      <c r="C895">
        <v>54</v>
      </c>
      <c r="D895" t="s">
        <v>295</v>
      </c>
      <c r="E895" t="s">
        <v>296</v>
      </c>
      <c r="F895" s="2">
        <v>27591</v>
      </c>
      <c r="G895" s="2">
        <v>27591</v>
      </c>
      <c r="H895" s="2">
        <v>39359</v>
      </c>
      <c r="I895" s="5">
        <v>39156</v>
      </c>
      <c r="J895" s="2">
        <v>39156</v>
      </c>
      <c r="K895" s="2">
        <v>35855</v>
      </c>
      <c r="L895" t="s">
        <v>297</v>
      </c>
      <c r="M895" t="s">
        <v>297</v>
      </c>
      <c r="N895" t="s">
        <v>1015</v>
      </c>
      <c r="O895" t="s">
        <v>249</v>
      </c>
      <c r="P895" t="s">
        <v>250</v>
      </c>
    </row>
    <row r="896" spans="1:16" ht="12.75" customHeight="1">
      <c r="A896">
        <v>11</v>
      </c>
      <c r="B896" t="s">
        <v>317</v>
      </c>
      <c r="C896">
        <v>59</v>
      </c>
      <c r="D896" t="s">
        <v>295</v>
      </c>
      <c r="E896" t="s">
        <v>296</v>
      </c>
      <c r="F896" s="2">
        <v>27591</v>
      </c>
      <c r="G896" s="2">
        <v>27591</v>
      </c>
      <c r="H896" s="2">
        <v>39481</v>
      </c>
      <c r="I896" s="5">
        <v>39156</v>
      </c>
      <c r="J896" s="2">
        <v>39156</v>
      </c>
      <c r="K896" s="2">
        <v>39352</v>
      </c>
      <c r="L896" t="s">
        <v>297</v>
      </c>
      <c r="M896" t="s">
        <v>297</v>
      </c>
      <c r="N896" t="s">
        <v>1016</v>
      </c>
      <c r="O896" t="s">
        <v>249</v>
      </c>
      <c r="P896" t="s">
        <v>250</v>
      </c>
    </row>
    <row r="897" spans="1:16" ht="12.75" customHeight="1">
      <c r="A897">
        <v>11</v>
      </c>
      <c r="B897" t="s">
        <v>317</v>
      </c>
      <c r="C897">
        <v>75</v>
      </c>
      <c r="D897" t="s">
        <v>295</v>
      </c>
      <c r="E897" t="s">
        <v>296</v>
      </c>
      <c r="F897" s="2">
        <v>27591</v>
      </c>
      <c r="G897" s="2">
        <v>27591</v>
      </c>
      <c r="H897" s="2">
        <v>39463</v>
      </c>
      <c r="I897" s="5">
        <v>39174</v>
      </c>
      <c r="J897" s="2">
        <v>38944</v>
      </c>
      <c r="K897" s="2">
        <v>34785</v>
      </c>
      <c r="L897" t="s">
        <v>297</v>
      </c>
      <c r="M897" t="s">
        <v>297</v>
      </c>
      <c r="N897" t="s">
        <v>1017</v>
      </c>
      <c r="O897" t="s">
        <v>249</v>
      </c>
      <c r="P897" t="s">
        <v>250</v>
      </c>
    </row>
    <row r="898" spans="1:16" ht="12.75" customHeight="1">
      <c r="A898">
        <v>11</v>
      </c>
      <c r="B898" t="s">
        <v>317</v>
      </c>
      <c r="C898">
        <v>94</v>
      </c>
      <c r="D898" t="s">
        <v>295</v>
      </c>
      <c r="E898" t="s">
        <v>296</v>
      </c>
      <c r="F898" s="2">
        <v>27785</v>
      </c>
      <c r="G898" s="2">
        <v>28901</v>
      </c>
      <c r="H898" s="2">
        <v>39225</v>
      </c>
      <c r="I898" s="5">
        <v>39155</v>
      </c>
      <c r="J898" s="2">
        <v>39156</v>
      </c>
      <c r="K898" s="2">
        <v>36291</v>
      </c>
      <c r="L898" t="s">
        <v>297</v>
      </c>
      <c r="M898" t="s">
        <v>297</v>
      </c>
      <c r="N898" t="s">
        <v>1018</v>
      </c>
      <c r="O898" t="s">
        <v>249</v>
      </c>
      <c r="P898" t="s">
        <v>250</v>
      </c>
    </row>
    <row r="899" spans="1:16" ht="12.75" customHeight="1">
      <c r="A899">
        <v>11</v>
      </c>
      <c r="B899" t="s">
        <v>317</v>
      </c>
      <c r="C899">
        <v>154</v>
      </c>
      <c r="D899" t="s">
        <v>295</v>
      </c>
      <c r="E899" t="s">
        <v>296</v>
      </c>
      <c r="F899" s="2">
        <v>28213</v>
      </c>
      <c r="G899" s="2">
        <v>28901</v>
      </c>
      <c r="H899" s="2">
        <v>39507</v>
      </c>
      <c r="I899" s="5">
        <v>39629</v>
      </c>
      <c r="J899" s="2">
        <v>39156</v>
      </c>
      <c r="K899" s="2">
        <v>35570</v>
      </c>
      <c r="L899" t="s">
        <v>297</v>
      </c>
      <c r="M899" t="s">
        <v>297</v>
      </c>
      <c r="N899" t="s">
        <v>1019</v>
      </c>
      <c r="O899" t="s">
        <v>249</v>
      </c>
      <c r="P899" t="s">
        <v>250</v>
      </c>
    </row>
    <row r="900" spans="1:16" ht="12.75" customHeight="1">
      <c r="A900">
        <v>11</v>
      </c>
      <c r="B900" t="s">
        <v>317</v>
      </c>
      <c r="C900">
        <v>159</v>
      </c>
      <c r="D900" t="s">
        <v>295</v>
      </c>
      <c r="E900" t="s">
        <v>296</v>
      </c>
      <c r="F900" s="2">
        <v>28578</v>
      </c>
      <c r="G900" s="2">
        <v>28901</v>
      </c>
      <c r="H900" s="2">
        <v>39472</v>
      </c>
      <c r="I900" s="5">
        <v>39568</v>
      </c>
      <c r="J900" s="2">
        <v>39156</v>
      </c>
      <c r="K900" s="2">
        <v>35601</v>
      </c>
      <c r="L900" t="s">
        <v>297</v>
      </c>
      <c r="M900" t="s">
        <v>297</v>
      </c>
      <c r="N900" t="s">
        <v>1020</v>
      </c>
      <c r="O900" t="s">
        <v>249</v>
      </c>
      <c r="P900" t="s">
        <v>250</v>
      </c>
    </row>
    <row r="901" spans="1:16" ht="12.75" customHeight="1">
      <c r="A901">
        <v>11</v>
      </c>
      <c r="B901" t="s">
        <v>317</v>
      </c>
      <c r="C901">
        <v>1083</v>
      </c>
      <c r="D901" t="s">
        <v>462</v>
      </c>
      <c r="E901" t="s">
        <v>316</v>
      </c>
      <c r="F901" s="2">
        <v>35072</v>
      </c>
      <c r="I901" s="5">
        <v>35430</v>
      </c>
      <c r="L901" t="s">
        <v>322</v>
      </c>
      <c r="M901" t="s">
        <v>297</v>
      </c>
      <c r="N901" t="s">
        <v>369</v>
      </c>
      <c r="O901" t="s">
        <v>249</v>
      </c>
      <c r="P901" t="s">
        <v>250</v>
      </c>
    </row>
    <row r="902" spans="1:16" ht="12.75" customHeight="1">
      <c r="A902" t="s">
        <v>249</v>
      </c>
      <c r="B902" t="s">
        <v>250</v>
      </c>
    </row>
    <row r="903" spans="1:16" ht="12.75" customHeight="1">
      <c r="A903">
        <v>11</v>
      </c>
      <c r="B903" t="s">
        <v>196</v>
      </c>
      <c r="C903">
        <v>5</v>
      </c>
      <c r="D903" t="s">
        <v>295</v>
      </c>
      <c r="E903" t="s">
        <v>296</v>
      </c>
      <c r="F903" s="2">
        <v>26102</v>
      </c>
      <c r="G903" s="2">
        <v>26102</v>
      </c>
      <c r="H903" s="2">
        <v>39487</v>
      </c>
      <c r="I903" s="5">
        <v>38776</v>
      </c>
      <c r="J903" s="2">
        <v>34988</v>
      </c>
      <c r="K903" s="2">
        <v>39127</v>
      </c>
      <c r="L903" t="s">
        <v>297</v>
      </c>
      <c r="M903" t="s">
        <v>297</v>
      </c>
      <c r="N903" t="s">
        <v>1021</v>
      </c>
      <c r="O903" t="s">
        <v>249</v>
      </c>
      <c r="P903" t="s">
        <v>251</v>
      </c>
    </row>
    <row r="904" spans="1:16" ht="12.75" customHeight="1">
      <c r="A904">
        <v>11</v>
      </c>
      <c r="B904" t="s">
        <v>196</v>
      </c>
      <c r="C904">
        <v>55</v>
      </c>
      <c r="D904" t="s">
        <v>295</v>
      </c>
      <c r="E904" t="s">
        <v>296</v>
      </c>
      <c r="F904" s="2">
        <v>27591</v>
      </c>
      <c r="G904" s="2">
        <v>27591</v>
      </c>
      <c r="H904" s="2">
        <v>39210</v>
      </c>
      <c r="I904" s="5">
        <v>37802</v>
      </c>
      <c r="J904" s="2">
        <v>37208</v>
      </c>
      <c r="K904" s="2">
        <v>35538</v>
      </c>
      <c r="L904" t="s">
        <v>297</v>
      </c>
      <c r="N904" t="s">
        <v>1022</v>
      </c>
      <c r="O904" t="s">
        <v>249</v>
      </c>
      <c r="P904" t="s">
        <v>251</v>
      </c>
    </row>
    <row r="905" spans="1:16" ht="12.75" customHeight="1">
      <c r="A905">
        <v>11</v>
      </c>
      <c r="B905" t="s">
        <v>196</v>
      </c>
      <c r="C905">
        <v>56</v>
      </c>
      <c r="D905" t="s">
        <v>295</v>
      </c>
      <c r="E905" t="s">
        <v>296</v>
      </c>
      <c r="F905" s="2">
        <v>27591</v>
      </c>
      <c r="G905" s="2">
        <v>27591</v>
      </c>
      <c r="H905" s="2">
        <v>39157</v>
      </c>
      <c r="I905" s="5">
        <v>37621</v>
      </c>
      <c r="J905" s="2">
        <v>34988</v>
      </c>
      <c r="K905" s="2">
        <v>38355</v>
      </c>
      <c r="L905" t="s">
        <v>297</v>
      </c>
      <c r="M905" t="s">
        <v>297</v>
      </c>
      <c r="N905" t="s">
        <v>1023</v>
      </c>
      <c r="O905" t="s">
        <v>249</v>
      </c>
      <c r="P905" t="s">
        <v>251</v>
      </c>
    </row>
    <row r="906" spans="1:16" ht="12.75" customHeight="1">
      <c r="A906">
        <v>11</v>
      </c>
      <c r="B906" t="s">
        <v>196</v>
      </c>
      <c r="C906">
        <v>117</v>
      </c>
      <c r="D906" t="s">
        <v>295</v>
      </c>
      <c r="E906" t="s">
        <v>296</v>
      </c>
      <c r="F906" s="2">
        <v>28093</v>
      </c>
      <c r="G906" s="2">
        <v>28901</v>
      </c>
      <c r="H906" s="2">
        <v>39521</v>
      </c>
      <c r="I906" s="5">
        <v>37621</v>
      </c>
      <c r="J906" s="2">
        <v>34988</v>
      </c>
      <c r="K906" s="2">
        <v>35955</v>
      </c>
      <c r="L906" t="s">
        <v>297</v>
      </c>
      <c r="M906" t="s">
        <v>297</v>
      </c>
      <c r="N906" t="s">
        <v>1024</v>
      </c>
      <c r="O906" t="s">
        <v>249</v>
      </c>
      <c r="P906" t="s">
        <v>251</v>
      </c>
    </row>
    <row r="907" spans="1:16" ht="12.75" customHeight="1">
      <c r="A907">
        <v>11</v>
      </c>
      <c r="B907" t="s">
        <v>196</v>
      </c>
      <c r="C907">
        <v>143</v>
      </c>
      <c r="D907" t="s">
        <v>295</v>
      </c>
      <c r="E907" t="s">
        <v>296</v>
      </c>
      <c r="F907" s="2">
        <v>28213</v>
      </c>
      <c r="G907" s="2">
        <v>28901</v>
      </c>
      <c r="H907" s="2">
        <v>39509</v>
      </c>
      <c r="I907" s="5">
        <v>39629</v>
      </c>
      <c r="J907" s="2">
        <v>38296</v>
      </c>
      <c r="K907" s="2">
        <v>39157</v>
      </c>
      <c r="L907" t="s">
        <v>297</v>
      </c>
      <c r="M907" t="s">
        <v>297</v>
      </c>
      <c r="N907" t="s">
        <v>1025</v>
      </c>
      <c r="O907" t="s">
        <v>249</v>
      </c>
      <c r="P907" t="s">
        <v>251</v>
      </c>
    </row>
    <row r="908" spans="1:16" ht="12.75" customHeight="1">
      <c r="A908">
        <v>11</v>
      </c>
      <c r="B908" t="s">
        <v>196</v>
      </c>
      <c r="C908">
        <v>177</v>
      </c>
      <c r="D908" t="s">
        <v>295</v>
      </c>
      <c r="E908" t="s">
        <v>296</v>
      </c>
      <c r="F908" s="2">
        <v>28572</v>
      </c>
      <c r="G908" s="2">
        <v>28901</v>
      </c>
      <c r="H908" s="2">
        <v>39485</v>
      </c>
      <c r="I908" s="5">
        <v>39629</v>
      </c>
      <c r="J908" s="2">
        <v>38296</v>
      </c>
      <c r="K908" s="2">
        <v>38881</v>
      </c>
      <c r="L908" t="s">
        <v>297</v>
      </c>
      <c r="M908" t="s">
        <v>297</v>
      </c>
      <c r="N908" t="s">
        <v>1026</v>
      </c>
      <c r="O908" t="s">
        <v>249</v>
      </c>
      <c r="P908" t="s">
        <v>251</v>
      </c>
    </row>
    <row r="909" spans="1:16" ht="12.75" customHeight="1">
      <c r="A909">
        <v>11</v>
      </c>
      <c r="B909" t="s">
        <v>196</v>
      </c>
      <c r="C909">
        <v>517</v>
      </c>
      <c r="D909" t="s">
        <v>295</v>
      </c>
      <c r="E909" t="s">
        <v>296</v>
      </c>
      <c r="F909" s="2">
        <v>31390</v>
      </c>
      <c r="G909" s="2">
        <v>31926</v>
      </c>
      <c r="H909" s="2">
        <v>39308</v>
      </c>
      <c r="I909" s="5">
        <v>38718</v>
      </c>
      <c r="J909" s="2">
        <v>38460</v>
      </c>
      <c r="K909" s="2">
        <v>38460</v>
      </c>
      <c r="L909" t="s">
        <v>297</v>
      </c>
      <c r="M909" t="s">
        <v>297</v>
      </c>
      <c r="N909" t="s">
        <v>1027</v>
      </c>
      <c r="O909" t="s">
        <v>249</v>
      </c>
      <c r="P909" t="s">
        <v>251</v>
      </c>
    </row>
    <row r="910" spans="1:16" ht="12.75" customHeight="1">
      <c r="A910">
        <v>11</v>
      </c>
      <c r="B910" t="s">
        <v>196</v>
      </c>
      <c r="C910">
        <v>1335</v>
      </c>
      <c r="D910" t="s">
        <v>295</v>
      </c>
      <c r="E910" t="s">
        <v>296</v>
      </c>
      <c r="F910" s="2">
        <v>36717</v>
      </c>
      <c r="G910" s="2">
        <v>37330</v>
      </c>
      <c r="H910" s="2">
        <v>39477</v>
      </c>
      <c r="I910" s="5">
        <v>37773</v>
      </c>
      <c r="K910" s="2">
        <v>38656</v>
      </c>
      <c r="L910" t="s">
        <v>297</v>
      </c>
      <c r="M910" t="s">
        <v>297</v>
      </c>
      <c r="N910" t="s">
        <v>1028</v>
      </c>
      <c r="O910" t="s">
        <v>249</v>
      </c>
      <c r="P910" t="s">
        <v>251</v>
      </c>
    </row>
    <row r="911" spans="1:16" ht="12.75" customHeight="1">
      <c r="A911" t="s">
        <v>249</v>
      </c>
      <c r="B911" t="s">
        <v>251</v>
      </c>
    </row>
    <row r="912" spans="1:16" ht="12.75" customHeight="1">
      <c r="A912">
        <v>11</v>
      </c>
      <c r="B912" t="s">
        <v>186</v>
      </c>
      <c r="C912">
        <v>41</v>
      </c>
      <c r="D912" t="s">
        <v>295</v>
      </c>
      <c r="E912" t="s">
        <v>296</v>
      </c>
      <c r="F912" s="2">
        <v>26824</v>
      </c>
      <c r="G912" s="2">
        <v>26824</v>
      </c>
      <c r="H912" s="2">
        <v>39513</v>
      </c>
      <c r="I912" s="5">
        <v>37802</v>
      </c>
      <c r="J912" s="2">
        <v>39321</v>
      </c>
      <c r="K912" s="2">
        <v>35522</v>
      </c>
      <c r="L912" t="s">
        <v>297</v>
      </c>
      <c r="M912" t="s">
        <v>297</v>
      </c>
      <c r="N912" t="s">
        <v>1029</v>
      </c>
      <c r="O912" t="s">
        <v>249</v>
      </c>
      <c r="P912" t="s">
        <v>252</v>
      </c>
    </row>
    <row r="913" spans="1:16" ht="12.75" customHeight="1">
      <c r="A913">
        <v>11</v>
      </c>
      <c r="B913" t="s">
        <v>186</v>
      </c>
      <c r="C913">
        <v>84</v>
      </c>
      <c r="D913" t="s">
        <v>295</v>
      </c>
      <c r="E913" t="s">
        <v>296</v>
      </c>
      <c r="F913" s="2">
        <v>27591</v>
      </c>
      <c r="G913" s="2">
        <v>27591</v>
      </c>
      <c r="H913" s="2">
        <v>39310</v>
      </c>
      <c r="I913" s="5">
        <v>32982</v>
      </c>
      <c r="J913" s="2">
        <v>39321</v>
      </c>
      <c r="K913" s="2">
        <v>38202</v>
      </c>
      <c r="L913" t="s">
        <v>297</v>
      </c>
      <c r="M913" t="s">
        <v>297</v>
      </c>
      <c r="N913" t="s">
        <v>1030</v>
      </c>
      <c r="O913" t="s">
        <v>249</v>
      </c>
      <c r="P913" t="s">
        <v>252</v>
      </c>
    </row>
    <row r="914" spans="1:16" ht="12.75" customHeight="1">
      <c r="A914">
        <v>11</v>
      </c>
      <c r="B914" t="s">
        <v>186</v>
      </c>
      <c r="C914">
        <v>85</v>
      </c>
      <c r="D914" t="s">
        <v>295</v>
      </c>
      <c r="E914" t="s">
        <v>296</v>
      </c>
      <c r="F914" s="2">
        <v>27591</v>
      </c>
      <c r="G914" s="2">
        <v>27591</v>
      </c>
      <c r="H914" s="2">
        <v>39330</v>
      </c>
      <c r="I914" s="5">
        <v>38352</v>
      </c>
      <c r="J914" s="2">
        <v>39321</v>
      </c>
      <c r="K914" s="2">
        <v>38117</v>
      </c>
      <c r="L914" t="s">
        <v>297</v>
      </c>
      <c r="M914" t="s">
        <v>297</v>
      </c>
      <c r="N914" t="s">
        <v>1031</v>
      </c>
      <c r="O914" t="s">
        <v>249</v>
      </c>
      <c r="P914" t="s">
        <v>252</v>
      </c>
    </row>
    <row r="915" spans="1:16" ht="12.75" customHeight="1">
      <c r="A915">
        <v>11</v>
      </c>
      <c r="B915" t="s">
        <v>186</v>
      </c>
      <c r="C915">
        <v>86</v>
      </c>
      <c r="D915" t="s">
        <v>295</v>
      </c>
      <c r="E915" t="s">
        <v>296</v>
      </c>
      <c r="F915" s="2">
        <v>27591</v>
      </c>
      <c r="G915" s="2">
        <v>27591</v>
      </c>
      <c r="H915" s="2">
        <v>39476</v>
      </c>
      <c r="I915" s="5">
        <v>35885</v>
      </c>
      <c r="J915" s="2">
        <v>39321</v>
      </c>
      <c r="K915" s="2">
        <v>34236</v>
      </c>
      <c r="L915" t="s">
        <v>297</v>
      </c>
      <c r="M915" t="s">
        <v>297</v>
      </c>
      <c r="N915" t="s">
        <v>1032</v>
      </c>
      <c r="O915" t="s">
        <v>249</v>
      </c>
      <c r="P915" t="s">
        <v>252</v>
      </c>
    </row>
    <row r="916" spans="1:16" ht="12.75" customHeight="1">
      <c r="A916">
        <v>11</v>
      </c>
      <c r="B916" t="s">
        <v>186</v>
      </c>
      <c r="C916">
        <v>87</v>
      </c>
      <c r="D916" t="s">
        <v>295</v>
      </c>
      <c r="E916" t="s">
        <v>296</v>
      </c>
      <c r="F916" s="2">
        <v>27591</v>
      </c>
      <c r="G916" s="2">
        <v>27591</v>
      </c>
      <c r="H916" s="2">
        <v>39293</v>
      </c>
      <c r="I916" s="5">
        <v>37621</v>
      </c>
      <c r="J916" s="2">
        <v>39321</v>
      </c>
      <c r="K916" s="2">
        <v>35508</v>
      </c>
      <c r="L916" t="s">
        <v>297</v>
      </c>
      <c r="M916" t="s">
        <v>297</v>
      </c>
      <c r="N916" t="s">
        <v>1033</v>
      </c>
      <c r="O916" t="s">
        <v>249</v>
      </c>
      <c r="P916" t="s">
        <v>252</v>
      </c>
    </row>
    <row r="917" spans="1:16" ht="12.75" customHeight="1">
      <c r="A917">
        <v>11</v>
      </c>
      <c r="B917" t="s">
        <v>186</v>
      </c>
      <c r="C917">
        <v>111</v>
      </c>
      <c r="D917" t="s">
        <v>295</v>
      </c>
      <c r="E917" t="s">
        <v>296</v>
      </c>
      <c r="F917" s="2">
        <v>28628</v>
      </c>
      <c r="G917" s="2">
        <v>28901</v>
      </c>
      <c r="H917" s="2">
        <v>39122</v>
      </c>
      <c r="I917" s="5">
        <v>37346</v>
      </c>
      <c r="J917" s="2">
        <v>39321</v>
      </c>
      <c r="K917" s="2">
        <v>39259</v>
      </c>
      <c r="L917" t="s">
        <v>297</v>
      </c>
      <c r="M917" t="s">
        <v>297</v>
      </c>
      <c r="N917" t="s">
        <v>1034</v>
      </c>
      <c r="O917" t="s">
        <v>249</v>
      </c>
      <c r="P917" t="s">
        <v>252</v>
      </c>
    </row>
    <row r="918" spans="1:16" ht="12.75" customHeight="1">
      <c r="A918">
        <v>11</v>
      </c>
      <c r="B918" t="s">
        <v>186</v>
      </c>
      <c r="C918">
        <v>630</v>
      </c>
      <c r="D918" t="s">
        <v>295</v>
      </c>
      <c r="E918" t="s">
        <v>296</v>
      </c>
      <c r="F918" s="2">
        <v>32220</v>
      </c>
      <c r="G918" s="2">
        <v>33264</v>
      </c>
      <c r="H918" s="2">
        <v>39322</v>
      </c>
      <c r="I918" s="5">
        <v>37072</v>
      </c>
      <c r="J918" s="2">
        <v>39321</v>
      </c>
      <c r="K918" s="2">
        <v>36245</v>
      </c>
      <c r="L918" t="s">
        <v>297</v>
      </c>
      <c r="M918" t="s">
        <v>297</v>
      </c>
      <c r="N918" t="s">
        <v>1035</v>
      </c>
      <c r="O918" t="s">
        <v>249</v>
      </c>
      <c r="P918" t="s">
        <v>252</v>
      </c>
    </row>
    <row r="919" spans="1:16" ht="12.75" customHeight="1">
      <c r="A919">
        <v>11</v>
      </c>
      <c r="B919" t="s">
        <v>186</v>
      </c>
      <c r="C919">
        <v>889</v>
      </c>
      <c r="D919" t="s">
        <v>295</v>
      </c>
      <c r="E919" t="s">
        <v>296</v>
      </c>
      <c r="F919" s="2">
        <v>34109</v>
      </c>
      <c r="G919" s="2">
        <v>34845</v>
      </c>
      <c r="H919" s="2">
        <v>39310</v>
      </c>
      <c r="I919" s="5">
        <v>39246</v>
      </c>
      <c r="J919" s="2">
        <v>39321</v>
      </c>
      <c r="K919" s="2">
        <v>38881</v>
      </c>
      <c r="L919" t="s">
        <v>297</v>
      </c>
      <c r="M919" t="s">
        <v>297</v>
      </c>
      <c r="N919" t="s">
        <v>1036</v>
      </c>
      <c r="O919" t="s">
        <v>249</v>
      </c>
      <c r="P919" t="s">
        <v>252</v>
      </c>
    </row>
    <row r="920" spans="1:16" ht="12.75" customHeight="1">
      <c r="A920">
        <v>11</v>
      </c>
      <c r="B920" t="s">
        <v>186</v>
      </c>
      <c r="C920">
        <v>1422</v>
      </c>
      <c r="D920" t="s">
        <v>295</v>
      </c>
      <c r="E920" t="s">
        <v>296</v>
      </c>
      <c r="F920" s="2">
        <v>37526</v>
      </c>
      <c r="G920" s="2">
        <v>39108</v>
      </c>
      <c r="H920" s="2">
        <v>39460</v>
      </c>
      <c r="I920" s="5">
        <v>39629</v>
      </c>
      <c r="J920" s="2">
        <v>39321</v>
      </c>
      <c r="K920" s="2">
        <v>39279</v>
      </c>
      <c r="L920" t="s">
        <v>297</v>
      </c>
      <c r="M920" t="s">
        <v>297</v>
      </c>
      <c r="N920" t="s">
        <v>1037</v>
      </c>
      <c r="O920" t="s">
        <v>249</v>
      </c>
      <c r="P920" t="s">
        <v>252</v>
      </c>
    </row>
    <row r="921" spans="1:16" ht="12.75" customHeight="1">
      <c r="A921">
        <v>11</v>
      </c>
      <c r="B921" t="s">
        <v>186</v>
      </c>
      <c r="C921">
        <v>1455</v>
      </c>
      <c r="D921" t="s">
        <v>295</v>
      </c>
      <c r="E921" t="s">
        <v>299</v>
      </c>
      <c r="F921" s="2">
        <v>37860</v>
      </c>
      <c r="H921" s="2">
        <v>39296</v>
      </c>
      <c r="I921" s="5">
        <v>38168</v>
      </c>
      <c r="J921" s="2">
        <v>39321</v>
      </c>
      <c r="L921" t="s">
        <v>297</v>
      </c>
      <c r="M921" t="s">
        <v>297</v>
      </c>
      <c r="N921" t="s">
        <v>1038</v>
      </c>
      <c r="O921" t="s">
        <v>249</v>
      </c>
      <c r="P921" t="s">
        <v>252</v>
      </c>
    </row>
    <row r="922" spans="1:16" ht="12.75" customHeight="1">
      <c r="A922" t="s">
        <v>249</v>
      </c>
      <c r="B922" t="s">
        <v>252</v>
      </c>
    </row>
    <row r="923" spans="1:16" ht="12.75" customHeight="1">
      <c r="A923">
        <v>11</v>
      </c>
      <c r="B923" t="s">
        <v>339</v>
      </c>
      <c r="C923">
        <v>57</v>
      </c>
      <c r="D923" t="s">
        <v>295</v>
      </c>
      <c r="E923" t="s">
        <v>296</v>
      </c>
      <c r="F923" s="2">
        <v>27591</v>
      </c>
      <c r="G923" s="2">
        <v>27591</v>
      </c>
      <c r="H923" s="2">
        <v>39223</v>
      </c>
      <c r="I923" s="5">
        <v>35885</v>
      </c>
      <c r="K923" s="2">
        <v>34820</v>
      </c>
      <c r="L923" t="s">
        <v>297</v>
      </c>
      <c r="M923" t="s">
        <v>297</v>
      </c>
      <c r="N923" t="s">
        <v>1039</v>
      </c>
      <c r="O923" t="s">
        <v>249</v>
      </c>
      <c r="P923" t="s">
        <v>253</v>
      </c>
    </row>
    <row r="924" spans="1:16" ht="12.75" customHeight="1">
      <c r="A924">
        <v>11</v>
      </c>
      <c r="B924" t="s">
        <v>339</v>
      </c>
      <c r="C924">
        <v>96</v>
      </c>
      <c r="D924" t="s">
        <v>295</v>
      </c>
      <c r="E924" t="s">
        <v>296</v>
      </c>
      <c r="F924" s="2">
        <v>27785</v>
      </c>
      <c r="G924" s="2">
        <v>28901</v>
      </c>
      <c r="H924" s="2">
        <v>38819</v>
      </c>
      <c r="I924" s="5">
        <v>38807</v>
      </c>
      <c r="J924" s="2">
        <v>34150</v>
      </c>
      <c r="K924" s="2">
        <v>38534</v>
      </c>
      <c r="L924" t="s">
        <v>297</v>
      </c>
      <c r="M924" t="s">
        <v>297</v>
      </c>
      <c r="N924" t="s">
        <v>1040</v>
      </c>
      <c r="O924" t="s">
        <v>249</v>
      </c>
      <c r="P924" t="s">
        <v>253</v>
      </c>
    </row>
    <row r="925" spans="1:16" ht="12.75" customHeight="1">
      <c r="A925">
        <v>11</v>
      </c>
      <c r="B925" t="s">
        <v>339</v>
      </c>
      <c r="C925">
        <v>97</v>
      </c>
      <c r="D925" t="s">
        <v>295</v>
      </c>
      <c r="E925" t="s">
        <v>296</v>
      </c>
      <c r="F925" s="2">
        <v>28902</v>
      </c>
      <c r="G925" s="2">
        <v>29185</v>
      </c>
      <c r="H925" s="2">
        <v>39524</v>
      </c>
      <c r="I925" s="5">
        <v>38135</v>
      </c>
      <c r="J925" s="2">
        <v>33054</v>
      </c>
      <c r="K925" s="2">
        <v>37810</v>
      </c>
      <c r="L925" t="s">
        <v>297</v>
      </c>
      <c r="M925" t="s">
        <v>297</v>
      </c>
      <c r="N925" t="s">
        <v>1041</v>
      </c>
      <c r="O925" t="s">
        <v>249</v>
      </c>
      <c r="P925" t="s">
        <v>253</v>
      </c>
    </row>
    <row r="926" spans="1:16" ht="12.75" customHeight="1">
      <c r="A926">
        <v>11</v>
      </c>
      <c r="B926" t="s">
        <v>339</v>
      </c>
      <c r="C926">
        <v>120</v>
      </c>
      <c r="D926" t="s">
        <v>295</v>
      </c>
      <c r="E926" t="s">
        <v>296</v>
      </c>
      <c r="F926" s="2">
        <v>28093</v>
      </c>
      <c r="G926" s="2">
        <v>28901</v>
      </c>
      <c r="H926" s="2">
        <v>39489</v>
      </c>
      <c r="I926" s="5">
        <v>36219</v>
      </c>
      <c r="J926" s="2">
        <v>31228</v>
      </c>
      <c r="K926" s="2">
        <v>36335</v>
      </c>
      <c r="L926" t="s">
        <v>297</v>
      </c>
      <c r="M926" t="s">
        <v>297</v>
      </c>
      <c r="N926" t="s">
        <v>1042</v>
      </c>
      <c r="O926" t="s">
        <v>249</v>
      </c>
      <c r="P926" t="s">
        <v>253</v>
      </c>
    </row>
    <row r="927" spans="1:16" ht="12.75" customHeight="1">
      <c r="A927">
        <v>11</v>
      </c>
      <c r="B927" t="s">
        <v>339</v>
      </c>
      <c r="C927">
        <v>144</v>
      </c>
      <c r="D927" t="s">
        <v>295</v>
      </c>
      <c r="E927" t="s">
        <v>296</v>
      </c>
      <c r="F927" s="2">
        <v>28213</v>
      </c>
      <c r="G927" s="2">
        <v>28901</v>
      </c>
      <c r="H927" s="2">
        <v>39337</v>
      </c>
      <c r="I927" s="5">
        <v>36250</v>
      </c>
      <c r="K927" s="2">
        <v>35129</v>
      </c>
      <c r="L927" t="s">
        <v>297</v>
      </c>
      <c r="N927" t="s">
        <v>1043</v>
      </c>
      <c r="O927" t="s">
        <v>249</v>
      </c>
      <c r="P927" t="s">
        <v>253</v>
      </c>
    </row>
    <row r="928" spans="1:16" ht="12.75" customHeight="1">
      <c r="A928">
        <v>11</v>
      </c>
      <c r="B928" t="s">
        <v>339</v>
      </c>
      <c r="C928">
        <v>213</v>
      </c>
      <c r="D928" t="s">
        <v>295</v>
      </c>
      <c r="E928" t="s">
        <v>296</v>
      </c>
      <c r="F928" s="2">
        <v>28928</v>
      </c>
      <c r="G928" s="2">
        <v>29056</v>
      </c>
      <c r="H928" s="2">
        <v>39267</v>
      </c>
      <c r="I928" s="5">
        <v>39629</v>
      </c>
      <c r="K928" s="2">
        <v>39356</v>
      </c>
      <c r="L928" t="s">
        <v>297</v>
      </c>
      <c r="M928" t="s">
        <v>297</v>
      </c>
      <c r="N928" t="s">
        <v>1044</v>
      </c>
      <c r="O928" t="s">
        <v>249</v>
      </c>
      <c r="P928" t="s">
        <v>253</v>
      </c>
    </row>
    <row r="929" spans="1:16" ht="12.75" customHeight="1">
      <c r="A929">
        <v>11</v>
      </c>
      <c r="B929" t="s">
        <v>339</v>
      </c>
      <c r="C929">
        <v>1398</v>
      </c>
      <c r="D929" t="s">
        <v>295</v>
      </c>
      <c r="E929" t="s">
        <v>296</v>
      </c>
      <c r="F929" s="2">
        <v>37230</v>
      </c>
      <c r="G929" s="2">
        <v>38452</v>
      </c>
      <c r="H929" s="2">
        <v>39120</v>
      </c>
      <c r="I929" s="5">
        <v>37595</v>
      </c>
      <c r="L929" t="s">
        <v>297</v>
      </c>
      <c r="M929" t="s">
        <v>297</v>
      </c>
      <c r="N929" t="s">
        <v>1045</v>
      </c>
      <c r="O929" t="s">
        <v>249</v>
      </c>
      <c r="P929" t="s">
        <v>253</v>
      </c>
    </row>
    <row r="930" spans="1:16" ht="12.75" customHeight="1">
      <c r="A930" t="s">
        <v>249</v>
      </c>
      <c r="B930" t="s">
        <v>253</v>
      </c>
    </row>
    <row r="931" spans="1:16" ht="12.75" customHeight="1">
      <c r="A931">
        <v>11</v>
      </c>
      <c r="B931" t="s">
        <v>163</v>
      </c>
      <c r="C931">
        <v>127</v>
      </c>
      <c r="D931" t="s">
        <v>295</v>
      </c>
      <c r="E931" t="s">
        <v>296</v>
      </c>
      <c r="F931" s="2">
        <v>28093</v>
      </c>
      <c r="G931" s="2">
        <v>28845</v>
      </c>
      <c r="H931" s="2">
        <v>39470</v>
      </c>
      <c r="I931" s="5">
        <v>37711</v>
      </c>
      <c r="J931" s="2">
        <v>35613</v>
      </c>
      <c r="K931" s="2">
        <v>36193</v>
      </c>
      <c r="L931" t="s">
        <v>297</v>
      </c>
      <c r="M931" t="s">
        <v>297</v>
      </c>
      <c r="N931" t="s">
        <v>1046</v>
      </c>
      <c r="O931" t="s">
        <v>249</v>
      </c>
      <c r="P931" t="s">
        <v>254</v>
      </c>
    </row>
    <row r="932" spans="1:16" ht="12.75" customHeight="1">
      <c r="A932">
        <v>11</v>
      </c>
      <c r="B932" t="s">
        <v>163</v>
      </c>
      <c r="C932">
        <v>152</v>
      </c>
      <c r="D932" t="s">
        <v>295</v>
      </c>
      <c r="E932" t="s">
        <v>296</v>
      </c>
      <c r="F932" s="2">
        <v>28213</v>
      </c>
      <c r="G932" s="2">
        <v>33935</v>
      </c>
      <c r="H932" s="2">
        <v>37932</v>
      </c>
      <c r="I932" s="5">
        <v>39629</v>
      </c>
      <c r="K932" s="2">
        <v>36202</v>
      </c>
      <c r="L932" t="s">
        <v>297</v>
      </c>
      <c r="M932" t="s">
        <v>297</v>
      </c>
      <c r="N932" t="s">
        <v>1047</v>
      </c>
      <c r="O932" t="s">
        <v>249</v>
      </c>
      <c r="P932" t="s">
        <v>254</v>
      </c>
    </row>
    <row r="933" spans="1:16" ht="12.75" customHeight="1">
      <c r="A933">
        <v>11</v>
      </c>
      <c r="B933" t="s">
        <v>163</v>
      </c>
      <c r="C933">
        <v>285</v>
      </c>
      <c r="D933" t="s">
        <v>295</v>
      </c>
      <c r="E933" t="s">
        <v>296</v>
      </c>
      <c r="F933" s="2">
        <v>29637</v>
      </c>
      <c r="G933" s="2">
        <v>29857</v>
      </c>
      <c r="H933" s="2">
        <v>38886</v>
      </c>
      <c r="I933" s="5">
        <v>37437</v>
      </c>
      <c r="K933" s="2">
        <v>35878</v>
      </c>
      <c r="L933" t="s">
        <v>297</v>
      </c>
      <c r="N933" t="s">
        <v>1048</v>
      </c>
      <c r="O933" t="s">
        <v>249</v>
      </c>
      <c r="P933" t="s">
        <v>254</v>
      </c>
    </row>
    <row r="934" spans="1:16" ht="12.75" customHeight="1">
      <c r="A934">
        <v>11</v>
      </c>
      <c r="B934" t="s">
        <v>163</v>
      </c>
      <c r="C934">
        <v>780</v>
      </c>
      <c r="D934" t="s">
        <v>295</v>
      </c>
      <c r="E934" t="s">
        <v>296</v>
      </c>
      <c r="F934" s="2">
        <v>33313</v>
      </c>
      <c r="G934" s="2">
        <v>33563</v>
      </c>
      <c r="H934" s="2">
        <v>38923</v>
      </c>
      <c r="I934" s="5">
        <v>37255</v>
      </c>
      <c r="K934" s="2">
        <v>35606</v>
      </c>
      <c r="L934" t="s">
        <v>297</v>
      </c>
      <c r="M934" t="s">
        <v>297</v>
      </c>
      <c r="N934" t="s">
        <v>1049</v>
      </c>
      <c r="O934" t="s">
        <v>249</v>
      </c>
      <c r="P934" t="s">
        <v>254</v>
      </c>
    </row>
    <row r="935" spans="1:16" ht="12.75" customHeight="1">
      <c r="A935">
        <v>11</v>
      </c>
      <c r="B935" t="s">
        <v>163</v>
      </c>
      <c r="C935">
        <v>785</v>
      </c>
      <c r="D935" t="s">
        <v>295</v>
      </c>
      <c r="E935" t="s">
        <v>296</v>
      </c>
      <c r="F935" s="2">
        <v>33384</v>
      </c>
      <c r="G935" s="2">
        <v>34656</v>
      </c>
      <c r="H935" s="2">
        <v>37397</v>
      </c>
      <c r="I935" s="5">
        <v>35976</v>
      </c>
      <c r="K935" s="2">
        <v>35528</v>
      </c>
      <c r="L935" t="s">
        <v>297</v>
      </c>
      <c r="N935" t="s">
        <v>1050</v>
      </c>
      <c r="O935" t="s">
        <v>249</v>
      </c>
      <c r="P935" t="s">
        <v>254</v>
      </c>
    </row>
    <row r="936" spans="1:16" ht="12.75" customHeight="1">
      <c r="A936">
        <v>11</v>
      </c>
      <c r="B936" t="s">
        <v>163</v>
      </c>
      <c r="C936">
        <v>1282</v>
      </c>
      <c r="D936" t="s">
        <v>295</v>
      </c>
      <c r="E936" t="s">
        <v>296</v>
      </c>
      <c r="F936" s="2">
        <v>36185</v>
      </c>
      <c r="G936" s="2">
        <v>36483</v>
      </c>
      <c r="H936" s="2">
        <v>39464</v>
      </c>
      <c r="I936" s="5">
        <v>37802</v>
      </c>
      <c r="K936" s="2">
        <v>36362</v>
      </c>
      <c r="L936" t="s">
        <v>297</v>
      </c>
      <c r="M936" t="s">
        <v>297</v>
      </c>
      <c r="N936" t="s">
        <v>1051</v>
      </c>
      <c r="O936" t="s">
        <v>249</v>
      </c>
      <c r="P936" t="s">
        <v>254</v>
      </c>
    </row>
    <row r="937" spans="1:16" ht="12.75" customHeight="1">
      <c r="A937">
        <v>11</v>
      </c>
      <c r="B937" t="s">
        <v>163</v>
      </c>
      <c r="C937">
        <v>1319</v>
      </c>
      <c r="D937" t="s">
        <v>295</v>
      </c>
      <c r="E937" t="s">
        <v>299</v>
      </c>
      <c r="F937" s="2">
        <v>36509</v>
      </c>
      <c r="H937" s="2">
        <v>38177</v>
      </c>
      <c r="I937" s="5">
        <v>37533</v>
      </c>
      <c r="L937" t="s">
        <v>297</v>
      </c>
      <c r="N937" t="s">
        <v>1052</v>
      </c>
      <c r="O937" t="s">
        <v>249</v>
      </c>
      <c r="P937" t="s">
        <v>254</v>
      </c>
    </row>
    <row r="938" spans="1:16" ht="12.75" customHeight="1">
      <c r="A938">
        <v>11</v>
      </c>
      <c r="B938" t="s">
        <v>163</v>
      </c>
      <c r="C938">
        <v>1505</v>
      </c>
      <c r="D938" t="s">
        <v>295</v>
      </c>
      <c r="E938" t="s">
        <v>296</v>
      </c>
      <c r="F938" s="2">
        <v>38481</v>
      </c>
      <c r="G938" s="2">
        <v>39521</v>
      </c>
      <c r="H938" s="2">
        <v>39510</v>
      </c>
      <c r="I938" s="5">
        <v>39629</v>
      </c>
      <c r="L938" t="s">
        <v>297</v>
      </c>
      <c r="M938" t="s">
        <v>297</v>
      </c>
      <c r="N938" t="s">
        <v>1053</v>
      </c>
      <c r="O938" t="s">
        <v>249</v>
      </c>
      <c r="P938" t="s">
        <v>254</v>
      </c>
    </row>
    <row r="939" spans="1:16" ht="12.75" customHeight="1">
      <c r="A939" t="s">
        <v>249</v>
      </c>
      <c r="B939" t="s">
        <v>254</v>
      </c>
    </row>
    <row r="940" spans="1:16" ht="12.75" customHeight="1">
      <c r="A940">
        <v>11</v>
      </c>
      <c r="B940" t="s">
        <v>165</v>
      </c>
      <c r="C940">
        <v>116</v>
      </c>
      <c r="D940" t="s">
        <v>295</v>
      </c>
      <c r="E940" t="s">
        <v>296</v>
      </c>
      <c r="F940" s="2">
        <v>28093</v>
      </c>
      <c r="G940" s="2">
        <v>28901</v>
      </c>
      <c r="H940" s="2">
        <v>39231</v>
      </c>
      <c r="I940" s="5">
        <v>39629</v>
      </c>
      <c r="J940" s="2">
        <v>39004</v>
      </c>
      <c r="K940" s="2">
        <v>35895</v>
      </c>
      <c r="L940" t="s">
        <v>297</v>
      </c>
      <c r="M940" t="s">
        <v>297</v>
      </c>
      <c r="N940" t="s">
        <v>1054</v>
      </c>
      <c r="O940" t="s">
        <v>249</v>
      </c>
      <c r="P940" t="s">
        <v>255</v>
      </c>
    </row>
    <row r="941" spans="1:16" ht="12.75" customHeight="1">
      <c r="A941">
        <v>11</v>
      </c>
      <c r="B941" t="s">
        <v>165</v>
      </c>
      <c r="C941">
        <v>258</v>
      </c>
      <c r="D941" t="s">
        <v>295</v>
      </c>
      <c r="E941" t="s">
        <v>296</v>
      </c>
      <c r="F941" s="2">
        <v>29285</v>
      </c>
      <c r="G941" s="2">
        <v>29544</v>
      </c>
      <c r="H941" s="2">
        <v>39222</v>
      </c>
      <c r="I941" s="5">
        <v>37256</v>
      </c>
      <c r="J941" s="2">
        <v>34639</v>
      </c>
      <c r="K941" s="2">
        <v>36207</v>
      </c>
      <c r="L941" t="s">
        <v>297</v>
      </c>
      <c r="M941" t="s">
        <v>297</v>
      </c>
      <c r="N941" t="s">
        <v>1055</v>
      </c>
      <c r="O941" t="s">
        <v>249</v>
      </c>
      <c r="P941" t="s">
        <v>255</v>
      </c>
    </row>
    <row r="942" spans="1:16" ht="12.75" customHeight="1">
      <c r="A942">
        <v>11</v>
      </c>
      <c r="B942" t="s">
        <v>165</v>
      </c>
      <c r="C942">
        <v>290</v>
      </c>
      <c r="D942" t="s">
        <v>295</v>
      </c>
      <c r="E942" t="s">
        <v>296</v>
      </c>
      <c r="F942" s="2">
        <v>29637</v>
      </c>
      <c r="G942" s="2">
        <v>29857</v>
      </c>
      <c r="H942" s="2">
        <v>39458</v>
      </c>
      <c r="I942" s="5">
        <v>38168</v>
      </c>
      <c r="J942" s="2">
        <v>35318</v>
      </c>
      <c r="K942" s="2">
        <v>35275</v>
      </c>
      <c r="L942" t="s">
        <v>297</v>
      </c>
      <c r="M942" t="s">
        <v>297</v>
      </c>
      <c r="N942" t="s">
        <v>1056</v>
      </c>
      <c r="O942" t="s">
        <v>249</v>
      </c>
      <c r="P942" t="s">
        <v>255</v>
      </c>
    </row>
    <row r="943" spans="1:16" ht="12.75" customHeight="1">
      <c r="A943">
        <v>11</v>
      </c>
      <c r="B943" t="s">
        <v>165</v>
      </c>
      <c r="C943">
        <v>581</v>
      </c>
      <c r="D943" t="s">
        <v>295</v>
      </c>
      <c r="E943" t="s">
        <v>296</v>
      </c>
      <c r="F943" s="2">
        <v>31857</v>
      </c>
      <c r="G943" s="2">
        <v>31857</v>
      </c>
      <c r="H943" s="2">
        <v>39385</v>
      </c>
      <c r="I943" s="5">
        <v>36341</v>
      </c>
      <c r="J943" s="2">
        <v>36398</v>
      </c>
      <c r="K943" s="2">
        <v>36403</v>
      </c>
      <c r="L943" t="s">
        <v>297</v>
      </c>
      <c r="M943" t="s">
        <v>297</v>
      </c>
      <c r="N943" t="s">
        <v>1057</v>
      </c>
      <c r="O943" t="s">
        <v>249</v>
      </c>
      <c r="P943" t="s">
        <v>255</v>
      </c>
    </row>
    <row r="944" spans="1:16" ht="12.75" customHeight="1">
      <c r="A944">
        <v>11</v>
      </c>
      <c r="B944" t="s">
        <v>165</v>
      </c>
      <c r="C944">
        <v>712</v>
      </c>
      <c r="D944" t="s">
        <v>295</v>
      </c>
      <c r="E944" t="s">
        <v>296</v>
      </c>
      <c r="F944" s="2">
        <v>32892</v>
      </c>
      <c r="G944" s="2">
        <v>32893</v>
      </c>
      <c r="H944" s="2">
        <v>39215</v>
      </c>
      <c r="I944" s="5">
        <v>39447</v>
      </c>
      <c r="J944" s="2">
        <v>38953</v>
      </c>
      <c r="K944" s="2">
        <v>36306</v>
      </c>
      <c r="L944" t="s">
        <v>297</v>
      </c>
      <c r="M944" t="s">
        <v>297</v>
      </c>
      <c r="N944" t="s">
        <v>1058</v>
      </c>
      <c r="O944" t="s">
        <v>249</v>
      </c>
      <c r="P944" t="s">
        <v>255</v>
      </c>
    </row>
    <row r="945" spans="1:16" ht="12.75" customHeight="1">
      <c r="A945" t="s">
        <v>249</v>
      </c>
      <c r="B945" t="s">
        <v>255</v>
      </c>
    </row>
    <row r="946" spans="1:16" ht="12.75" customHeight="1">
      <c r="A946">
        <v>11</v>
      </c>
      <c r="B946" t="s">
        <v>245</v>
      </c>
      <c r="C946">
        <v>89</v>
      </c>
      <c r="D946" t="s">
        <v>295</v>
      </c>
      <c r="E946" t="s">
        <v>296</v>
      </c>
      <c r="F946" s="2">
        <v>27420</v>
      </c>
      <c r="G946" s="2">
        <v>27871</v>
      </c>
      <c r="H946" s="2">
        <v>38824</v>
      </c>
      <c r="I946" s="5">
        <v>38898</v>
      </c>
      <c r="J946" s="2">
        <v>35624</v>
      </c>
      <c r="K946" s="2">
        <v>34771</v>
      </c>
      <c r="L946" t="s">
        <v>297</v>
      </c>
      <c r="M946" t="s">
        <v>297</v>
      </c>
      <c r="N946" t="s">
        <v>1059</v>
      </c>
      <c r="O946" t="s">
        <v>249</v>
      </c>
      <c r="P946" t="s">
        <v>256</v>
      </c>
    </row>
    <row r="947" spans="1:16" ht="12.75" customHeight="1">
      <c r="A947">
        <v>11</v>
      </c>
      <c r="B947" t="s">
        <v>245</v>
      </c>
      <c r="C947">
        <v>168</v>
      </c>
      <c r="D947" t="s">
        <v>295</v>
      </c>
      <c r="E947" t="s">
        <v>296</v>
      </c>
      <c r="F947" s="2">
        <v>28278</v>
      </c>
      <c r="G947" s="2">
        <v>28278</v>
      </c>
      <c r="H947" s="2">
        <v>38890</v>
      </c>
      <c r="I947" s="5">
        <v>37833</v>
      </c>
      <c r="J947" s="2">
        <v>34887</v>
      </c>
      <c r="K947" s="2">
        <v>38876</v>
      </c>
      <c r="L947" t="s">
        <v>297</v>
      </c>
      <c r="M947" t="s">
        <v>297</v>
      </c>
      <c r="N947" t="s">
        <v>1060</v>
      </c>
      <c r="O947" t="s">
        <v>249</v>
      </c>
      <c r="P947" t="s">
        <v>256</v>
      </c>
    </row>
    <row r="948" spans="1:16" ht="12.75" customHeight="1">
      <c r="A948">
        <v>11</v>
      </c>
      <c r="B948" t="s">
        <v>245</v>
      </c>
      <c r="C948">
        <v>234</v>
      </c>
      <c r="D948" t="s">
        <v>295</v>
      </c>
      <c r="E948" t="s">
        <v>296</v>
      </c>
      <c r="F948" s="2">
        <v>29056</v>
      </c>
      <c r="G948" s="2">
        <v>29306</v>
      </c>
      <c r="H948" s="2">
        <v>39183</v>
      </c>
      <c r="I948" s="5">
        <v>35246</v>
      </c>
      <c r="K948" s="2">
        <v>34094</v>
      </c>
      <c r="L948" t="s">
        <v>297</v>
      </c>
      <c r="N948" t="s">
        <v>1061</v>
      </c>
      <c r="O948" t="s">
        <v>249</v>
      </c>
      <c r="P948" t="s">
        <v>256</v>
      </c>
    </row>
    <row r="949" spans="1:16" ht="12.75" customHeight="1">
      <c r="A949">
        <v>11</v>
      </c>
      <c r="B949" t="s">
        <v>245</v>
      </c>
      <c r="C949">
        <v>295</v>
      </c>
      <c r="D949" t="s">
        <v>295</v>
      </c>
      <c r="E949" t="s">
        <v>296</v>
      </c>
      <c r="F949" s="2">
        <v>29637</v>
      </c>
      <c r="G949" s="2">
        <v>29857</v>
      </c>
      <c r="H949" s="2">
        <v>39369</v>
      </c>
      <c r="I949" s="5">
        <v>39629</v>
      </c>
      <c r="J949" s="2">
        <v>33419</v>
      </c>
      <c r="K949" s="2">
        <v>38875</v>
      </c>
      <c r="L949" t="s">
        <v>297</v>
      </c>
      <c r="M949" t="s">
        <v>297</v>
      </c>
      <c r="N949" t="s">
        <v>1062</v>
      </c>
      <c r="O949" t="s">
        <v>249</v>
      </c>
      <c r="P949" t="s">
        <v>256</v>
      </c>
    </row>
    <row r="950" spans="1:16" ht="12.75" customHeight="1">
      <c r="A950">
        <v>11</v>
      </c>
      <c r="B950" t="s">
        <v>245</v>
      </c>
      <c r="C950">
        <v>341</v>
      </c>
      <c r="D950" t="s">
        <v>295</v>
      </c>
      <c r="E950" t="s">
        <v>296</v>
      </c>
      <c r="F950" s="2">
        <v>29980</v>
      </c>
      <c r="G950" s="2">
        <v>29970</v>
      </c>
      <c r="H950" s="2">
        <v>39159</v>
      </c>
      <c r="I950" s="5">
        <v>39263</v>
      </c>
      <c r="J950" s="2">
        <v>38616</v>
      </c>
      <c r="K950" s="2">
        <v>36307</v>
      </c>
      <c r="L950" t="s">
        <v>297</v>
      </c>
      <c r="M950" t="s">
        <v>297</v>
      </c>
      <c r="N950" t="s">
        <v>1063</v>
      </c>
      <c r="O950" t="s">
        <v>249</v>
      </c>
      <c r="P950" t="s">
        <v>256</v>
      </c>
    </row>
    <row r="951" spans="1:16" ht="12.75" customHeight="1">
      <c r="A951">
        <v>11</v>
      </c>
      <c r="B951" t="s">
        <v>245</v>
      </c>
      <c r="C951">
        <v>511</v>
      </c>
      <c r="D951" t="s">
        <v>295</v>
      </c>
      <c r="E951" t="s">
        <v>296</v>
      </c>
      <c r="F951" s="2">
        <v>31437</v>
      </c>
      <c r="G951" s="2">
        <v>31437</v>
      </c>
      <c r="H951" s="2">
        <v>39213</v>
      </c>
      <c r="I951" s="5">
        <v>38929</v>
      </c>
      <c r="J951" s="2">
        <v>33206</v>
      </c>
      <c r="K951" s="2">
        <v>37841</v>
      </c>
      <c r="L951" t="s">
        <v>297</v>
      </c>
      <c r="M951" t="s">
        <v>297</v>
      </c>
      <c r="N951" t="s">
        <v>1064</v>
      </c>
      <c r="O951" t="s">
        <v>249</v>
      </c>
      <c r="P951" t="s">
        <v>256</v>
      </c>
    </row>
    <row r="952" spans="1:16" ht="12.75" customHeight="1">
      <c r="A952">
        <v>11</v>
      </c>
      <c r="B952" t="s">
        <v>245</v>
      </c>
      <c r="C952">
        <v>839</v>
      </c>
      <c r="D952" t="s">
        <v>295</v>
      </c>
      <c r="E952" t="s">
        <v>299</v>
      </c>
      <c r="F952" s="2">
        <v>33799</v>
      </c>
      <c r="H952" s="2">
        <v>39295</v>
      </c>
      <c r="I952" s="5">
        <v>36525</v>
      </c>
      <c r="K952" s="2">
        <v>35264</v>
      </c>
      <c r="L952" t="s">
        <v>297</v>
      </c>
      <c r="M952" t="s">
        <v>297</v>
      </c>
      <c r="N952" t="s">
        <v>1065</v>
      </c>
      <c r="O952" t="s">
        <v>249</v>
      </c>
      <c r="P952" t="s">
        <v>256</v>
      </c>
    </row>
    <row r="953" spans="1:16" ht="12.75" customHeight="1">
      <c r="A953">
        <v>11</v>
      </c>
      <c r="B953" t="s">
        <v>245</v>
      </c>
      <c r="C953">
        <v>930</v>
      </c>
      <c r="D953" t="s">
        <v>295</v>
      </c>
      <c r="E953" t="s">
        <v>296</v>
      </c>
      <c r="F953" s="2">
        <v>34317</v>
      </c>
      <c r="G953" s="2">
        <v>35356</v>
      </c>
      <c r="H953" s="2">
        <v>39223</v>
      </c>
      <c r="I953" s="5">
        <v>35246</v>
      </c>
      <c r="J953" s="2">
        <v>34564</v>
      </c>
      <c r="K953" s="2">
        <v>36392</v>
      </c>
      <c r="L953" t="s">
        <v>297</v>
      </c>
      <c r="M953" t="s">
        <v>297</v>
      </c>
      <c r="N953" t="s">
        <v>1066</v>
      </c>
      <c r="O953" t="s">
        <v>249</v>
      </c>
      <c r="P953" t="s">
        <v>256</v>
      </c>
    </row>
    <row r="954" spans="1:16" ht="12.75" customHeight="1">
      <c r="A954">
        <v>11</v>
      </c>
      <c r="B954" t="s">
        <v>245</v>
      </c>
      <c r="C954">
        <v>1529</v>
      </c>
      <c r="D954" t="s">
        <v>295</v>
      </c>
      <c r="E954" t="s">
        <v>296</v>
      </c>
      <c r="F954" s="2">
        <v>38943</v>
      </c>
      <c r="G954" s="2">
        <v>39146</v>
      </c>
      <c r="H954" s="2">
        <v>39340</v>
      </c>
      <c r="I954" s="5">
        <v>39294</v>
      </c>
      <c r="L954" t="s">
        <v>297</v>
      </c>
      <c r="M954" t="s">
        <v>297</v>
      </c>
      <c r="N954" t="s">
        <v>1067</v>
      </c>
      <c r="O954" t="s">
        <v>249</v>
      </c>
      <c r="P954" t="s">
        <v>256</v>
      </c>
    </row>
    <row r="955" spans="1:16" ht="12.75" customHeight="1">
      <c r="A955" t="s">
        <v>249</v>
      </c>
      <c r="B955" t="s">
        <v>256</v>
      </c>
    </row>
    <row r="956" spans="1:16" ht="12.75" customHeight="1">
      <c r="A956">
        <v>11</v>
      </c>
      <c r="B956" t="s">
        <v>257</v>
      </c>
      <c r="C956">
        <v>24</v>
      </c>
      <c r="D956" t="s">
        <v>295</v>
      </c>
      <c r="E956" t="s">
        <v>296</v>
      </c>
      <c r="F956" s="2">
        <v>26648</v>
      </c>
      <c r="G956" s="2">
        <v>29204</v>
      </c>
      <c r="H956" s="2">
        <v>39470</v>
      </c>
      <c r="I956" s="5">
        <v>35611</v>
      </c>
      <c r="J956" s="2">
        <v>35256</v>
      </c>
      <c r="K956" s="2">
        <v>38208</v>
      </c>
      <c r="L956" t="s">
        <v>297</v>
      </c>
      <c r="M956" t="s">
        <v>297</v>
      </c>
      <c r="N956" t="s">
        <v>1068</v>
      </c>
      <c r="O956" t="s">
        <v>249</v>
      </c>
      <c r="P956" t="s">
        <v>258</v>
      </c>
    </row>
    <row r="957" spans="1:16" ht="12.75" customHeight="1">
      <c r="A957">
        <v>11</v>
      </c>
      <c r="B957" t="s">
        <v>257</v>
      </c>
      <c r="C957">
        <v>106</v>
      </c>
      <c r="D957" t="s">
        <v>295</v>
      </c>
      <c r="E957" t="s">
        <v>296</v>
      </c>
      <c r="F957" s="2">
        <v>27785</v>
      </c>
      <c r="G957" s="2">
        <v>28901</v>
      </c>
      <c r="H957" s="2">
        <v>39174</v>
      </c>
      <c r="I957" s="5">
        <v>37468</v>
      </c>
      <c r="J957" s="2">
        <v>35660</v>
      </c>
      <c r="K957" s="2">
        <v>36347</v>
      </c>
      <c r="L957" t="s">
        <v>297</v>
      </c>
      <c r="N957" t="s">
        <v>1069</v>
      </c>
      <c r="O957" t="s">
        <v>249</v>
      </c>
      <c r="P957" t="s">
        <v>258</v>
      </c>
    </row>
    <row r="958" spans="1:16" ht="12.75" customHeight="1">
      <c r="A958">
        <v>11</v>
      </c>
      <c r="B958" t="s">
        <v>257</v>
      </c>
      <c r="C958">
        <v>114</v>
      </c>
      <c r="D958" t="s">
        <v>295</v>
      </c>
      <c r="E958" t="s">
        <v>296</v>
      </c>
      <c r="F958" s="2">
        <v>27922</v>
      </c>
      <c r="G958" s="2">
        <v>28901</v>
      </c>
      <c r="H958" s="2">
        <v>39289</v>
      </c>
      <c r="I958" s="5">
        <v>39629</v>
      </c>
      <c r="K958" s="2">
        <v>39286</v>
      </c>
      <c r="L958" t="s">
        <v>297</v>
      </c>
      <c r="M958" t="s">
        <v>297</v>
      </c>
      <c r="N958" t="s">
        <v>1070</v>
      </c>
      <c r="O958" t="s">
        <v>249</v>
      </c>
      <c r="P958" t="s">
        <v>258</v>
      </c>
    </row>
    <row r="959" spans="1:16" ht="12.75" customHeight="1">
      <c r="A959">
        <v>11</v>
      </c>
      <c r="B959" t="s">
        <v>257</v>
      </c>
      <c r="C959">
        <v>526</v>
      </c>
      <c r="D959" t="s">
        <v>295</v>
      </c>
      <c r="E959" t="s">
        <v>296</v>
      </c>
      <c r="F959" s="2">
        <v>31493</v>
      </c>
      <c r="G959" s="2">
        <v>35573</v>
      </c>
      <c r="H959" s="2">
        <v>38749</v>
      </c>
      <c r="I959" s="5">
        <v>35976</v>
      </c>
      <c r="K959" s="2">
        <v>38546</v>
      </c>
      <c r="L959" t="s">
        <v>297</v>
      </c>
      <c r="M959" t="s">
        <v>297</v>
      </c>
      <c r="N959" t="s">
        <v>1071</v>
      </c>
      <c r="O959" t="s">
        <v>249</v>
      </c>
      <c r="P959" t="s">
        <v>258</v>
      </c>
    </row>
    <row r="960" spans="1:16" ht="12.75" customHeight="1">
      <c r="A960">
        <v>11</v>
      </c>
      <c r="B960" t="s">
        <v>257</v>
      </c>
      <c r="C960">
        <v>603</v>
      </c>
      <c r="D960" t="s">
        <v>295</v>
      </c>
      <c r="E960" t="s">
        <v>296</v>
      </c>
      <c r="F960" s="2">
        <v>31922</v>
      </c>
      <c r="G960" s="2">
        <v>33072</v>
      </c>
      <c r="H960" s="2">
        <v>39524</v>
      </c>
      <c r="I960" s="5">
        <v>35216</v>
      </c>
      <c r="J960" s="2">
        <v>35328</v>
      </c>
      <c r="K960" s="2">
        <v>35902</v>
      </c>
      <c r="L960" t="s">
        <v>297</v>
      </c>
      <c r="M960" t="s">
        <v>297</v>
      </c>
      <c r="N960" t="s">
        <v>1072</v>
      </c>
      <c r="O960" t="s">
        <v>249</v>
      </c>
      <c r="P960" t="s">
        <v>258</v>
      </c>
    </row>
    <row r="961" spans="1:16" ht="12.75" customHeight="1">
      <c r="A961">
        <v>11</v>
      </c>
      <c r="B961" t="s">
        <v>257</v>
      </c>
      <c r="C961">
        <v>652</v>
      </c>
      <c r="D961" t="s">
        <v>295</v>
      </c>
      <c r="E961" t="s">
        <v>296</v>
      </c>
      <c r="F961" s="2">
        <v>32423</v>
      </c>
      <c r="G961" s="2">
        <v>34656</v>
      </c>
      <c r="H961" s="2">
        <v>39118</v>
      </c>
      <c r="I961" s="5">
        <v>39629</v>
      </c>
      <c r="K961" s="2">
        <v>39168</v>
      </c>
      <c r="L961" t="s">
        <v>297</v>
      </c>
      <c r="M961" t="s">
        <v>297</v>
      </c>
      <c r="N961" t="s">
        <v>1073</v>
      </c>
      <c r="O961" t="s">
        <v>249</v>
      </c>
      <c r="P961" t="s">
        <v>258</v>
      </c>
    </row>
    <row r="962" spans="1:16" ht="12.75" customHeight="1">
      <c r="A962">
        <v>11</v>
      </c>
      <c r="B962" t="s">
        <v>257</v>
      </c>
      <c r="C962">
        <v>846</v>
      </c>
      <c r="D962" t="s">
        <v>295</v>
      </c>
      <c r="E962" t="s">
        <v>296</v>
      </c>
      <c r="F962" s="2">
        <v>33799</v>
      </c>
      <c r="G962" s="2">
        <v>38776</v>
      </c>
      <c r="H962" s="2">
        <v>38939</v>
      </c>
      <c r="I962" s="5">
        <v>39629</v>
      </c>
      <c r="K962" s="2">
        <v>38933</v>
      </c>
      <c r="L962" t="s">
        <v>297</v>
      </c>
      <c r="M962" t="s">
        <v>297</v>
      </c>
      <c r="N962" t="s">
        <v>1074</v>
      </c>
      <c r="O962" t="s">
        <v>249</v>
      </c>
      <c r="P962" t="s">
        <v>258</v>
      </c>
    </row>
    <row r="963" spans="1:16" ht="12.75" customHeight="1">
      <c r="A963">
        <v>11</v>
      </c>
      <c r="B963" t="s">
        <v>257</v>
      </c>
      <c r="C963">
        <v>1065</v>
      </c>
      <c r="D963" t="s">
        <v>295</v>
      </c>
      <c r="E963" t="s">
        <v>296</v>
      </c>
      <c r="F963" s="2">
        <v>34863</v>
      </c>
      <c r="G963" s="2">
        <v>37176</v>
      </c>
      <c r="H963" s="2">
        <v>39175</v>
      </c>
      <c r="I963" s="5">
        <v>39629</v>
      </c>
      <c r="K963" s="2">
        <v>38875</v>
      </c>
      <c r="L963" t="s">
        <v>297</v>
      </c>
      <c r="M963" t="s">
        <v>297</v>
      </c>
      <c r="N963" t="s">
        <v>1075</v>
      </c>
      <c r="O963" t="s">
        <v>249</v>
      </c>
      <c r="P963" t="s">
        <v>258</v>
      </c>
    </row>
    <row r="964" spans="1:16" ht="12.75" customHeight="1">
      <c r="A964">
        <v>11</v>
      </c>
      <c r="B964" t="s">
        <v>257</v>
      </c>
      <c r="C964">
        <v>1288</v>
      </c>
      <c r="D964" t="s">
        <v>295</v>
      </c>
      <c r="E964" t="s">
        <v>296</v>
      </c>
      <c r="F964" s="2">
        <v>36222</v>
      </c>
      <c r="G964" s="2">
        <v>38776</v>
      </c>
      <c r="H964" s="2">
        <v>39372</v>
      </c>
      <c r="I964" s="5">
        <v>36922</v>
      </c>
      <c r="J964" s="2">
        <v>38426</v>
      </c>
      <c r="K964" s="2">
        <v>38450</v>
      </c>
      <c r="L964" t="s">
        <v>317</v>
      </c>
      <c r="M964" t="s">
        <v>297</v>
      </c>
      <c r="N964" t="s">
        <v>1076</v>
      </c>
      <c r="O964" t="s">
        <v>249</v>
      </c>
      <c r="P964" t="s">
        <v>258</v>
      </c>
    </row>
    <row r="965" spans="1:16" ht="12.75" customHeight="1">
      <c r="A965">
        <v>11</v>
      </c>
      <c r="B965" t="s">
        <v>257</v>
      </c>
      <c r="C965">
        <v>1347</v>
      </c>
      <c r="D965" t="s">
        <v>295</v>
      </c>
      <c r="E965" t="s">
        <v>296</v>
      </c>
      <c r="F965" s="2">
        <v>36685</v>
      </c>
      <c r="G965" s="2">
        <v>38776</v>
      </c>
      <c r="H965" s="2">
        <v>39031</v>
      </c>
      <c r="I965" s="5">
        <v>39261</v>
      </c>
      <c r="K965" s="2">
        <v>38896</v>
      </c>
      <c r="L965" t="s">
        <v>297</v>
      </c>
      <c r="M965" t="s">
        <v>297</v>
      </c>
      <c r="N965" t="s">
        <v>1077</v>
      </c>
      <c r="O965" t="s">
        <v>249</v>
      </c>
      <c r="P965" t="s">
        <v>258</v>
      </c>
    </row>
    <row r="966" spans="1:16" ht="12.75" customHeight="1">
      <c r="A966">
        <v>11</v>
      </c>
      <c r="B966" t="s">
        <v>257</v>
      </c>
      <c r="C966">
        <v>1431</v>
      </c>
      <c r="D966" t="s">
        <v>295</v>
      </c>
      <c r="E966" t="s">
        <v>299</v>
      </c>
      <c r="F966" s="2">
        <v>37543</v>
      </c>
      <c r="H966" s="2">
        <v>37546</v>
      </c>
      <c r="I966" s="5">
        <v>37468</v>
      </c>
      <c r="L966" t="s">
        <v>297</v>
      </c>
      <c r="N966" t="s">
        <v>1078</v>
      </c>
      <c r="O966" t="s">
        <v>249</v>
      </c>
      <c r="P966" t="s">
        <v>258</v>
      </c>
    </row>
    <row r="967" spans="1:16" ht="12.75" customHeight="1">
      <c r="A967">
        <v>11</v>
      </c>
      <c r="B967" t="s">
        <v>257</v>
      </c>
      <c r="C967">
        <v>1527</v>
      </c>
      <c r="D967" t="s">
        <v>295</v>
      </c>
      <c r="E967" t="s">
        <v>299</v>
      </c>
      <c r="F967" s="2">
        <v>38917</v>
      </c>
      <c r="H967" s="2">
        <v>39239</v>
      </c>
      <c r="I967" s="5">
        <v>39263</v>
      </c>
      <c r="L967" t="s">
        <v>297</v>
      </c>
      <c r="M967" t="s">
        <v>297</v>
      </c>
      <c r="N967" t="s">
        <v>1079</v>
      </c>
      <c r="O967" t="s">
        <v>249</v>
      </c>
      <c r="P967" t="s">
        <v>258</v>
      </c>
    </row>
    <row r="968" spans="1:16" ht="12.75" customHeight="1">
      <c r="A968" t="s">
        <v>249</v>
      </c>
      <c r="B968" t="s">
        <v>258</v>
      </c>
    </row>
    <row r="969" spans="1:16" ht="12.75" customHeight="1">
      <c r="A969" t="s">
        <v>1080</v>
      </c>
    </row>
    <row r="970" spans="1:16" ht="12.75" customHeight="1">
      <c r="A970">
        <v>12</v>
      </c>
      <c r="B970" t="s">
        <v>140</v>
      </c>
      <c r="C970">
        <v>153</v>
      </c>
      <c r="D970" t="s">
        <v>295</v>
      </c>
      <c r="E970" t="s">
        <v>296</v>
      </c>
      <c r="F970" s="2">
        <v>28213</v>
      </c>
      <c r="G970" s="2">
        <v>28640</v>
      </c>
      <c r="H970" s="2">
        <v>39258</v>
      </c>
      <c r="I970" s="5">
        <v>35489</v>
      </c>
      <c r="J970" s="2">
        <v>35263</v>
      </c>
      <c r="K970" s="2">
        <v>37455</v>
      </c>
      <c r="L970" t="s">
        <v>297</v>
      </c>
      <c r="M970" t="s">
        <v>297</v>
      </c>
      <c r="N970" t="s">
        <v>1081</v>
      </c>
      <c r="O970" t="s">
        <v>259</v>
      </c>
      <c r="P970" t="s">
        <v>260</v>
      </c>
    </row>
    <row r="971" spans="1:16" ht="12.75" customHeight="1">
      <c r="A971">
        <v>12</v>
      </c>
      <c r="B971" t="s">
        <v>140</v>
      </c>
      <c r="C971">
        <v>206</v>
      </c>
      <c r="D971" t="s">
        <v>295</v>
      </c>
      <c r="E971" t="s">
        <v>296</v>
      </c>
      <c r="F971" s="2">
        <v>28832</v>
      </c>
      <c r="G971" s="2">
        <v>29018</v>
      </c>
      <c r="H971" s="2">
        <v>39464</v>
      </c>
      <c r="I971" s="5">
        <v>39263</v>
      </c>
      <c r="J971" s="2">
        <v>37926</v>
      </c>
      <c r="K971" s="2">
        <v>34366</v>
      </c>
      <c r="L971" t="s">
        <v>297</v>
      </c>
      <c r="M971" t="s">
        <v>297</v>
      </c>
      <c r="N971" t="s">
        <v>1082</v>
      </c>
      <c r="O971" t="s">
        <v>259</v>
      </c>
      <c r="P971" t="s">
        <v>260</v>
      </c>
    </row>
    <row r="972" spans="1:16" ht="12.75" customHeight="1">
      <c r="A972">
        <v>12</v>
      </c>
      <c r="B972" t="s">
        <v>140</v>
      </c>
      <c r="C972">
        <v>216</v>
      </c>
      <c r="D972" t="s">
        <v>295</v>
      </c>
      <c r="E972" t="s">
        <v>296</v>
      </c>
      <c r="F972" s="2">
        <v>28902</v>
      </c>
      <c r="G972" s="2">
        <v>30003</v>
      </c>
      <c r="H972" s="2">
        <v>38453</v>
      </c>
      <c r="I972" s="5">
        <v>39629</v>
      </c>
      <c r="K972" s="2">
        <v>37417</v>
      </c>
      <c r="L972" t="s">
        <v>297</v>
      </c>
      <c r="M972" t="s">
        <v>297</v>
      </c>
      <c r="N972" t="s">
        <v>1083</v>
      </c>
      <c r="O972" t="s">
        <v>259</v>
      </c>
      <c r="P972" t="s">
        <v>260</v>
      </c>
    </row>
    <row r="973" spans="1:16" ht="12.75" customHeight="1">
      <c r="A973">
        <v>12</v>
      </c>
      <c r="B973" t="s">
        <v>140</v>
      </c>
      <c r="C973">
        <v>217</v>
      </c>
      <c r="D973" t="s">
        <v>295</v>
      </c>
      <c r="E973" t="s">
        <v>296</v>
      </c>
      <c r="F973" s="2">
        <v>28902</v>
      </c>
      <c r="G973" s="2">
        <v>29279</v>
      </c>
      <c r="H973" s="2">
        <v>38988</v>
      </c>
      <c r="I973" s="5">
        <v>39629</v>
      </c>
      <c r="K973" s="2">
        <v>38110</v>
      </c>
      <c r="L973" t="s">
        <v>297</v>
      </c>
      <c r="M973" t="s">
        <v>297</v>
      </c>
      <c r="N973" t="s">
        <v>1084</v>
      </c>
      <c r="O973" t="s">
        <v>259</v>
      </c>
      <c r="P973" t="s">
        <v>260</v>
      </c>
    </row>
    <row r="974" spans="1:16" ht="12.75" customHeight="1">
      <c r="A974">
        <v>12</v>
      </c>
      <c r="B974" t="s">
        <v>140</v>
      </c>
      <c r="C974">
        <v>224</v>
      </c>
      <c r="D974" t="s">
        <v>295</v>
      </c>
      <c r="E974" t="s">
        <v>296</v>
      </c>
      <c r="F974" s="2">
        <v>28944</v>
      </c>
      <c r="G974" s="2">
        <v>30385</v>
      </c>
      <c r="H974" s="2">
        <v>39337</v>
      </c>
      <c r="I974" s="5">
        <v>38457</v>
      </c>
      <c r="K974" s="2">
        <v>39332</v>
      </c>
      <c r="L974" t="s">
        <v>297</v>
      </c>
      <c r="M974" t="s">
        <v>297</v>
      </c>
      <c r="N974" t="s">
        <v>318</v>
      </c>
      <c r="O974" t="s">
        <v>259</v>
      </c>
      <c r="P974" t="s">
        <v>260</v>
      </c>
    </row>
    <row r="975" spans="1:16" ht="12.75" customHeight="1">
      <c r="A975">
        <v>12</v>
      </c>
      <c r="B975" t="s">
        <v>140</v>
      </c>
      <c r="C975">
        <v>329</v>
      </c>
      <c r="D975" t="s">
        <v>295</v>
      </c>
      <c r="E975" t="s">
        <v>296</v>
      </c>
      <c r="F975" s="2">
        <v>29910</v>
      </c>
      <c r="G975" s="2">
        <v>35636</v>
      </c>
      <c r="H975" s="2">
        <v>39332</v>
      </c>
      <c r="K975" s="2">
        <v>35355</v>
      </c>
      <c r="L975" t="s">
        <v>297</v>
      </c>
      <c r="N975" t="s">
        <v>1085</v>
      </c>
      <c r="O975" t="s">
        <v>259</v>
      </c>
      <c r="P975" t="s">
        <v>260</v>
      </c>
    </row>
    <row r="976" spans="1:16" ht="12.75" customHeight="1">
      <c r="A976">
        <v>12</v>
      </c>
      <c r="B976" t="s">
        <v>140</v>
      </c>
      <c r="C976">
        <v>350</v>
      </c>
      <c r="D976" t="s">
        <v>295</v>
      </c>
      <c r="E976" t="s">
        <v>296</v>
      </c>
      <c r="F976" s="2">
        <v>30029</v>
      </c>
      <c r="G976" s="2">
        <v>30394</v>
      </c>
      <c r="H976" s="2">
        <v>39470</v>
      </c>
      <c r="I976" s="5">
        <v>38533</v>
      </c>
      <c r="J976" s="2">
        <v>34669</v>
      </c>
      <c r="K976" s="2">
        <v>38000</v>
      </c>
      <c r="L976" t="s">
        <v>297</v>
      </c>
      <c r="M976" t="s">
        <v>297</v>
      </c>
      <c r="N976" t="s">
        <v>1086</v>
      </c>
      <c r="O976" t="s">
        <v>259</v>
      </c>
      <c r="P976" t="s">
        <v>260</v>
      </c>
    </row>
    <row r="977" spans="1:16" ht="12.75" customHeight="1">
      <c r="A977">
        <v>12</v>
      </c>
      <c r="B977" t="s">
        <v>140</v>
      </c>
      <c r="C977">
        <v>376</v>
      </c>
      <c r="D977" t="s">
        <v>295</v>
      </c>
      <c r="E977" t="s">
        <v>296</v>
      </c>
      <c r="F977" s="2">
        <v>30274</v>
      </c>
      <c r="G977" s="2">
        <v>30274</v>
      </c>
      <c r="H977" s="2">
        <v>37945</v>
      </c>
      <c r="I977" s="5">
        <v>32461</v>
      </c>
      <c r="K977" s="2">
        <v>33479</v>
      </c>
      <c r="L977" t="s">
        <v>297</v>
      </c>
      <c r="M977" t="s">
        <v>297</v>
      </c>
      <c r="N977" t="s">
        <v>318</v>
      </c>
      <c r="O977" t="s">
        <v>259</v>
      </c>
      <c r="P977" t="s">
        <v>260</v>
      </c>
    </row>
    <row r="978" spans="1:16" ht="12.75" customHeight="1">
      <c r="A978">
        <v>12</v>
      </c>
      <c r="B978" t="s">
        <v>140</v>
      </c>
      <c r="C978">
        <v>404</v>
      </c>
      <c r="D978" t="s">
        <v>295</v>
      </c>
      <c r="E978" t="s">
        <v>296</v>
      </c>
      <c r="F978" s="2">
        <v>30536</v>
      </c>
      <c r="G978" s="2">
        <v>31493</v>
      </c>
      <c r="H978" s="2">
        <v>38342</v>
      </c>
      <c r="I978" s="5">
        <v>38139</v>
      </c>
      <c r="K978" s="2">
        <v>33293</v>
      </c>
      <c r="L978" t="s">
        <v>297</v>
      </c>
      <c r="M978" t="s">
        <v>297</v>
      </c>
      <c r="N978" t="s">
        <v>1087</v>
      </c>
      <c r="O978" t="s">
        <v>259</v>
      </c>
      <c r="P978" t="s">
        <v>260</v>
      </c>
    </row>
    <row r="979" spans="1:16" ht="12.75" customHeight="1">
      <c r="A979">
        <v>12</v>
      </c>
      <c r="B979" t="s">
        <v>140</v>
      </c>
      <c r="C979">
        <v>580</v>
      </c>
      <c r="D979" t="s">
        <v>295</v>
      </c>
      <c r="E979" t="s">
        <v>296</v>
      </c>
      <c r="F979" s="2">
        <v>31857</v>
      </c>
      <c r="G979" s="2">
        <v>32347</v>
      </c>
      <c r="H979" s="2">
        <v>39293</v>
      </c>
      <c r="I979" s="5">
        <v>36707</v>
      </c>
      <c r="J979" s="2">
        <v>36201</v>
      </c>
      <c r="K979" s="2">
        <v>36348</v>
      </c>
      <c r="L979" t="s">
        <v>297</v>
      </c>
      <c r="M979" t="s">
        <v>297</v>
      </c>
      <c r="N979" t="s">
        <v>1088</v>
      </c>
      <c r="O979" t="s">
        <v>259</v>
      </c>
      <c r="P979" t="s">
        <v>260</v>
      </c>
    </row>
    <row r="980" spans="1:16" ht="12.75" customHeight="1">
      <c r="A980">
        <v>12</v>
      </c>
      <c r="B980" t="s">
        <v>140</v>
      </c>
      <c r="C980">
        <v>809</v>
      </c>
      <c r="D980" t="s">
        <v>295</v>
      </c>
      <c r="E980" t="s">
        <v>296</v>
      </c>
      <c r="F980" s="2">
        <v>33487</v>
      </c>
      <c r="G980" s="2">
        <v>34593</v>
      </c>
      <c r="H980" s="2">
        <v>38309</v>
      </c>
      <c r="I980" s="5">
        <v>33507</v>
      </c>
      <c r="L980" t="s">
        <v>297</v>
      </c>
      <c r="N980" t="s">
        <v>1089</v>
      </c>
      <c r="O980" t="s">
        <v>259</v>
      </c>
      <c r="P980" t="s">
        <v>260</v>
      </c>
    </row>
    <row r="981" spans="1:16" ht="12.75" customHeight="1">
      <c r="A981">
        <v>12</v>
      </c>
      <c r="B981" t="s">
        <v>140</v>
      </c>
      <c r="C981">
        <v>837</v>
      </c>
      <c r="D981" t="s">
        <v>295</v>
      </c>
      <c r="E981" t="s">
        <v>296</v>
      </c>
      <c r="F981" s="2">
        <v>33684</v>
      </c>
      <c r="G981" s="2">
        <v>34656</v>
      </c>
      <c r="H981" s="2">
        <v>39358</v>
      </c>
      <c r="I981" s="5">
        <v>36525</v>
      </c>
      <c r="J981" s="2">
        <v>36201</v>
      </c>
      <c r="K981" s="2">
        <v>36175</v>
      </c>
      <c r="L981" t="s">
        <v>297</v>
      </c>
      <c r="M981" t="s">
        <v>297</v>
      </c>
      <c r="N981" t="s">
        <v>1090</v>
      </c>
      <c r="O981" t="s">
        <v>259</v>
      </c>
      <c r="P981" t="s">
        <v>260</v>
      </c>
    </row>
    <row r="982" spans="1:16" ht="12.75" customHeight="1">
      <c r="A982">
        <v>12</v>
      </c>
      <c r="B982" t="s">
        <v>140</v>
      </c>
      <c r="C982">
        <v>855</v>
      </c>
      <c r="D982" t="s">
        <v>295</v>
      </c>
      <c r="E982" t="s">
        <v>299</v>
      </c>
      <c r="F982" s="2">
        <v>33879</v>
      </c>
      <c r="H982" s="2">
        <v>37147</v>
      </c>
      <c r="I982" s="5">
        <v>37103</v>
      </c>
      <c r="K982" s="2">
        <v>34988</v>
      </c>
      <c r="L982" t="s">
        <v>297</v>
      </c>
      <c r="N982" t="s">
        <v>1091</v>
      </c>
      <c r="O982" t="s">
        <v>259</v>
      </c>
      <c r="P982" t="s">
        <v>260</v>
      </c>
    </row>
    <row r="983" spans="1:16" ht="12.75" customHeight="1">
      <c r="A983">
        <v>12</v>
      </c>
      <c r="B983" t="s">
        <v>140</v>
      </c>
      <c r="C983">
        <v>922</v>
      </c>
      <c r="D983" t="s">
        <v>295</v>
      </c>
      <c r="E983" t="s">
        <v>296</v>
      </c>
      <c r="F983" s="2">
        <v>34317</v>
      </c>
      <c r="G983" s="2">
        <v>34408</v>
      </c>
      <c r="H983" s="2">
        <v>39305</v>
      </c>
      <c r="I983" s="5">
        <v>39629</v>
      </c>
      <c r="J983" s="2">
        <v>36201</v>
      </c>
      <c r="K983" s="2">
        <v>35803</v>
      </c>
      <c r="L983" t="s">
        <v>297</v>
      </c>
      <c r="M983" t="s">
        <v>297</v>
      </c>
      <c r="N983" t="s">
        <v>1092</v>
      </c>
      <c r="O983" t="s">
        <v>259</v>
      </c>
      <c r="P983" t="s">
        <v>260</v>
      </c>
    </row>
    <row r="984" spans="1:16" ht="12.75" customHeight="1">
      <c r="A984">
        <v>12</v>
      </c>
      <c r="B984" t="s">
        <v>140</v>
      </c>
      <c r="C984">
        <v>1132</v>
      </c>
      <c r="D984" t="s">
        <v>295</v>
      </c>
      <c r="E984" t="s">
        <v>296</v>
      </c>
      <c r="F984" s="2">
        <v>35270</v>
      </c>
      <c r="G984" s="2">
        <v>37910</v>
      </c>
      <c r="H984" s="2">
        <v>38964</v>
      </c>
      <c r="I984" s="5">
        <v>38533</v>
      </c>
      <c r="J984" s="2">
        <v>37946</v>
      </c>
      <c r="K984" s="2">
        <v>37946</v>
      </c>
      <c r="L984" t="s">
        <v>297</v>
      </c>
      <c r="M984" t="s">
        <v>297</v>
      </c>
      <c r="N984" t="s">
        <v>1093</v>
      </c>
      <c r="O984" t="s">
        <v>259</v>
      </c>
      <c r="P984" t="s">
        <v>260</v>
      </c>
    </row>
    <row r="985" spans="1:16" ht="12.75" customHeight="1">
      <c r="A985">
        <v>12</v>
      </c>
      <c r="B985" t="s">
        <v>140</v>
      </c>
      <c r="C985">
        <v>1231</v>
      </c>
      <c r="D985" t="s">
        <v>295</v>
      </c>
      <c r="E985" t="s">
        <v>296</v>
      </c>
      <c r="F985" s="2">
        <v>35811</v>
      </c>
      <c r="G985" s="2">
        <v>38366</v>
      </c>
      <c r="H985" s="2">
        <v>38859</v>
      </c>
      <c r="I985" s="5">
        <v>38898</v>
      </c>
      <c r="K985" s="2">
        <v>38457</v>
      </c>
      <c r="L985" t="s">
        <v>297</v>
      </c>
      <c r="M985" t="s">
        <v>297</v>
      </c>
      <c r="N985" t="s">
        <v>1094</v>
      </c>
      <c r="O985" t="s">
        <v>259</v>
      </c>
      <c r="P985" t="s">
        <v>260</v>
      </c>
    </row>
    <row r="986" spans="1:16" ht="12.75" customHeight="1">
      <c r="A986">
        <v>12</v>
      </c>
      <c r="B986" t="s">
        <v>140</v>
      </c>
      <c r="C986">
        <v>1511</v>
      </c>
      <c r="D986" t="s">
        <v>618</v>
      </c>
      <c r="E986" t="s">
        <v>376</v>
      </c>
      <c r="F986" s="2">
        <v>38722</v>
      </c>
      <c r="H986" s="2">
        <v>38727</v>
      </c>
      <c r="I986" s="5">
        <v>39082</v>
      </c>
      <c r="L986" t="s">
        <v>297</v>
      </c>
      <c r="M986" t="s">
        <v>297</v>
      </c>
      <c r="O986" t="s">
        <v>259</v>
      </c>
      <c r="P986" t="s">
        <v>260</v>
      </c>
    </row>
    <row r="987" spans="1:16" ht="12.75" customHeight="1">
      <c r="A987" t="s">
        <v>259</v>
      </c>
      <c r="B987" t="s">
        <v>260</v>
      </c>
    </row>
    <row r="988" spans="1:16" ht="12.75" customHeight="1">
      <c r="A988">
        <v>12</v>
      </c>
      <c r="B988" t="s">
        <v>149</v>
      </c>
      <c r="C988">
        <v>172</v>
      </c>
      <c r="D988" t="s">
        <v>295</v>
      </c>
      <c r="E988" t="s">
        <v>296</v>
      </c>
      <c r="F988" s="2">
        <v>28296</v>
      </c>
      <c r="G988" s="2">
        <v>28486</v>
      </c>
      <c r="H988" s="2">
        <v>39499</v>
      </c>
      <c r="I988" s="5">
        <v>35550</v>
      </c>
      <c r="K988" s="2">
        <v>38044</v>
      </c>
      <c r="L988" t="s">
        <v>297</v>
      </c>
      <c r="M988" t="s">
        <v>297</v>
      </c>
      <c r="N988" t="s">
        <v>1095</v>
      </c>
      <c r="O988" t="s">
        <v>259</v>
      </c>
      <c r="P988" t="s">
        <v>261</v>
      </c>
    </row>
    <row r="989" spans="1:16" ht="12.75" customHeight="1">
      <c r="A989">
        <v>12</v>
      </c>
      <c r="B989" t="s">
        <v>149</v>
      </c>
      <c r="C989">
        <v>232</v>
      </c>
      <c r="D989" t="s">
        <v>295</v>
      </c>
      <c r="E989" t="s">
        <v>296</v>
      </c>
      <c r="F989" s="2">
        <v>28986</v>
      </c>
      <c r="G989" s="2">
        <v>29633</v>
      </c>
      <c r="H989" s="2">
        <v>39386</v>
      </c>
      <c r="I989" s="5">
        <v>39629</v>
      </c>
      <c r="J989" s="2">
        <v>36191</v>
      </c>
      <c r="K989" s="2">
        <v>38104</v>
      </c>
      <c r="L989" t="s">
        <v>297</v>
      </c>
      <c r="M989" t="s">
        <v>297</v>
      </c>
      <c r="N989" t="s">
        <v>1096</v>
      </c>
      <c r="O989" t="s">
        <v>259</v>
      </c>
      <c r="P989" t="s">
        <v>261</v>
      </c>
    </row>
    <row r="990" spans="1:16" ht="12.75" customHeight="1">
      <c r="A990">
        <v>12</v>
      </c>
      <c r="B990" t="s">
        <v>149</v>
      </c>
      <c r="C990">
        <v>257</v>
      </c>
      <c r="D990" t="s">
        <v>295</v>
      </c>
      <c r="E990" t="s">
        <v>296</v>
      </c>
      <c r="F990" s="2">
        <v>29276</v>
      </c>
      <c r="G990" s="2">
        <v>30077</v>
      </c>
      <c r="H990" s="2">
        <v>39386</v>
      </c>
      <c r="I990" s="5">
        <v>39629</v>
      </c>
      <c r="K990" s="2">
        <v>38568</v>
      </c>
      <c r="L990" t="s">
        <v>297</v>
      </c>
      <c r="M990" t="s">
        <v>297</v>
      </c>
      <c r="N990" t="s">
        <v>1097</v>
      </c>
      <c r="O990" t="s">
        <v>259</v>
      </c>
      <c r="P990" t="s">
        <v>261</v>
      </c>
    </row>
    <row r="991" spans="1:16" ht="12.75" customHeight="1">
      <c r="A991">
        <v>12</v>
      </c>
      <c r="B991" t="s">
        <v>149</v>
      </c>
      <c r="C991">
        <v>273</v>
      </c>
      <c r="D991" t="s">
        <v>295</v>
      </c>
      <c r="E991" t="s">
        <v>296</v>
      </c>
      <c r="F991" s="2">
        <v>29462</v>
      </c>
      <c r="G991" s="2">
        <v>30028</v>
      </c>
      <c r="H991" s="2">
        <v>39316</v>
      </c>
      <c r="I991" s="5">
        <v>31901</v>
      </c>
      <c r="K991" s="2">
        <v>36298</v>
      </c>
      <c r="L991" t="s">
        <v>297</v>
      </c>
      <c r="N991" t="s">
        <v>1098</v>
      </c>
      <c r="O991" t="s">
        <v>259</v>
      </c>
      <c r="P991" t="s">
        <v>261</v>
      </c>
    </row>
    <row r="992" spans="1:16" ht="12.75" customHeight="1">
      <c r="A992">
        <v>12</v>
      </c>
      <c r="B992" t="s">
        <v>149</v>
      </c>
      <c r="C992">
        <v>427</v>
      </c>
      <c r="D992" t="s">
        <v>295</v>
      </c>
      <c r="E992" t="s">
        <v>296</v>
      </c>
      <c r="F992" s="2">
        <v>30758</v>
      </c>
      <c r="G992" s="2">
        <v>31129</v>
      </c>
      <c r="H992" s="2">
        <v>36086</v>
      </c>
      <c r="I992" s="5">
        <v>34699</v>
      </c>
      <c r="K992" s="2">
        <v>34248</v>
      </c>
      <c r="L992" t="s">
        <v>322</v>
      </c>
      <c r="M992" t="s">
        <v>297</v>
      </c>
      <c r="N992" t="s">
        <v>1099</v>
      </c>
      <c r="O992" t="s">
        <v>259</v>
      </c>
      <c r="P992" t="s">
        <v>261</v>
      </c>
    </row>
    <row r="993" spans="1:16" ht="12.75" customHeight="1">
      <c r="A993">
        <v>12</v>
      </c>
      <c r="B993" t="s">
        <v>149</v>
      </c>
      <c r="C993">
        <v>446</v>
      </c>
      <c r="D993" t="s">
        <v>295</v>
      </c>
      <c r="E993" t="s">
        <v>299</v>
      </c>
      <c r="F993" s="2">
        <v>34918</v>
      </c>
      <c r="H993" s="2">
        <v>38960</v>
      </c>
      <c r="I993" s="5">
        <v>35064</v>
      </c>
      <c r="K993" s="2">
        <v>34927</v>
      </c>
      <c r="L993" t="s">
        <v>297</v>
      </c>
      <c r="N993" t="s">
        <v>1100</v>
      </c>
      <c r="O993" t="s">
        <v>259</v>
      </c>
      <c r="P993" t="s">
        <v>261</v>
      </c>
    </row>
    <row r="994" spans="1:16" ht="12.75" customHeight="1">
      <c r="A994">
        <v>12</v>
      </c>
      <c r="B994" t="s">
        <v>149</v>
      </c>
      <c r="C994">
        <v>470</v>
      </c>
      <c r="D994" t="s">
        <v>295</v>
      </c>
      <c r="E994" t="s">
        <v>296</v>
      </c>
      <c r="F994" s="2">
        <v>31192</v>
      </c>
      <c r="G994" s="2">
        <v>32424</v>
      </c>
      <c r="H994" s="2">
        <v>39238</v>
      </c>
      <c r="I994" s="5">
        <v>39569</v>
      </c>
      <c r="K994" s="2">
        <v>39259</v>
      </c>
      <c r="L994" t="s">
        <v>297</v>
      </c>
      <c r="M994" t="s">
        <v>297</v>
      </c>
      <c r="N994" t="s">
        <v>1101</v>
      </c>
      <c r="O994" t="s">
        <v>259</v>
      </c>
      <c r="P994" t="s">
        <v>261</v>
      </c>
    </row>
    <row r="995" spans="1:16" ht="12.75" customHeight="1">
      <c r="A995">
        <v>12</v>
      </c>
      <c r="B995" t="s">
        <v>149</v>
      </c>
      <c r="C995">
        <v>547</v>
      </c>
      <c r="D995" t="s">
        <v>295</v>
      </c>
      <c r="E995" t="s">
        <v>299</v>
      </c>
      <c r="F995" s="2">
        <v>31674</v>
      </c>
      <c r="H995" s="2">
        <v>39193</v>
      </c>
      <c r="I995" s="5">
        <v>35064</v>
      </c>
      <c r="K995" s="2">
        <v>35297</v>
      </c>
      <c r="L995" t="s">
        <v>297</v>
      </c>
      <c r="N995" t="s">
        <v>1102</v>
      </c>
      <c r="O995" t="s">
        <v>259</v>
      </c>
      <c r="P995" t="s">
        <v>261</v>
      </c>
    </row>
    <row r="996" spans="1:16" ht="12.75" customHeight="1">
      <c r="A996">
        <v>12</v>
      </c>
      <c r="B996" t="s">
        <v>149</v>
      </c>
      <c r="C996">
        <v>1020</v>
      </c>
      <c r="D996" t="s">
        <v>295</v>
      </c>
      <c r="E996" t="s">
        <v>296</v>
      </c>
      <c r="F996" s="2">
        <v>34715</v>
      </c>
      <c r="G996" s="2">
        <v>35272</v>
      </c>
      <c r="H996" s="2">
        <v>39372</v>
      </c>
      <c r="I996" s="5">
        <v>39660</v>
      </c>
      <c r="J996" s="2">
        <v>35583</v>
      </c>
      <c r="K996" s="2">
        <v>39227</v>
      </c>
      <c r="L996" t="s">
        <v>297</v>
      </c>
      <c r="M996" t="s">
        <v>297</v>
      </c>
      <c r="N996" t="s">
        <v>1103</v>
      </c>
      <c r="O996" t="s">
        <v>259</v>
      </c>
      <c r="P996" t="s">
        <v>261</v>
      </c>
    </row>
    <row r="997" spans="1:16" ht="12.75" customHeight="1">
      <c r="A997">
        <v>12</v>
      </c>
      <c r="B997" t="s">
        <v>149</v>
      </c>
      <c r="C997">
        <v>1363</v>
      </c>
      <c r="D997" t="s">
        <v>348</v>
      </c>
      <c r="E997" t="s">
        <v>376</v>
      </c>
      <c r="F997" s="2">
        <v>37019</v>
      </c>
      <c r="L997" t="s">
        <v>297</v>
      </c>
      <c r="M997" t="s">
        <v>297</v>
      </c>
      <c r="O997" t="s">
        <v>259</v>
      </c>
      <c r="P997" t="s">
        <v>261</v>
      </c>
    </row>
    <row r="998" spans="1:16" ht="12.75" customHeight="1">
      <c r="A998">
        <v>12</v>
      </c>
      <c r="B998" t="s">
        <v>149</v>
      </c>
      <c r="C998">
        <v>1410</v>
      </c>
      <c r="D998" t="s">
        <v>295</v>
      </c>
      <c r="E998" t="s">
        <v>296</v>
      </c>
      <c r="F998" s="2">
        <v>37350</v>
      </c>
      <c r="G998" s="2">
        <v>38734</v>
      </c>
      <c r="H998" s="2">
        <v>39351</v>
      </c>
      <c r="I998" s="5">
        <v>39263</v>
      </c>
      <c r="K998" s="2">
        <v>39385</v>
      </c>
      <c r="L998" t="s">
        <v>297</v>
      </c>
      <c r="M998" t="s">
        <v>297</v>
      </c>
      <c r="N998" t="s">
        <v>1104</v>
      </c>
      <c r="O998" t="s">
        <v>259</v>
      </c>
      <c r="P998" t="s">
        <v>261</v>
      </c>
    </row>
    <row r="999" spans="1:16" ht="12.75" customHeight="1">
      <c r="A999">
        <v>12</v>
      </c>
      <c r="B999" t="s">
        <v>149</v>
      </c>
      <c r="C999">
        <v>1440</v>
      </c>
      <c r="D999" t="s">
        <v>295</v>
      </c>
      <c r="E999" t="s">
        <v>296</v>
      </c>
      <c r="F999" s="2">
        <v>37694</v>
      </c>
      <c r="G999" s="2">
        <v>38548</v>
      </c>
      <c r="H999" s="2">
        <v>39391</v>
      </c>
      <c r="I999" s="5">
        <v>39629</v>
      </c>
      <c r="K999" s="2">
        <v>39391</v>
      </c>
      <c r="L999" t="s">
        <v>297</v>
      </c>
      <c r="M999" t="s">
        <v>297</v>
      </c>
      <c r="N999" t="s">
        <v>1105</v>
      </c>
      <c r="O999" t="s">
        <v>259</v>
      </c>
      <c r="P999" t="s">
        <v>261</v>
      </c>
    </row>
    <row r="1000" spans="1:16" ht="12.75" customHeight="1">
      <c r="A1000">
        <v>12</v>
      </c>
      <c r="B1000" t="s">
        <v>149</v>
      </c>
      <c r="C1000">
        <v>1474</v>
      </c>
      <c r="D1000" t="s">
        <v>295</v>
      </c>
      <c r="E1000" t="s">
        <v>299</v>
      </c>
      <c r="F1000" s="2">
        <v>38142</v>
      </c>
      <c r="H1000" s="2">
        <v>38935</v>
      </c>
      <c r="I1000" s="5">
        <v>39263</v>
      </c>
      <c r="J1000" s="2">
        <v>38142</v>
      </c>
      <c r="L1000" t="s">
        <v>297</v>
      </c>
      <c r="M1000" t="s">
        <v>322</v>
      </c>
      <c r="N1000" t="s">
        <v>1106</v>
      </c>
      <c r="O1000" t="s">
        <v>259</v>
      </c>
      <c r="P1000" t="s">
        <v>261</v>
      </c>
    </row>
    <row r="1001" spans="1:16" ht="12.75" customHeight="1">
      <c r="A1001">
        <v>12</v>
      </c>
      <c r="B1001" t="s">
        <v>149</v>
      </c>
      <c r="C1001">
        <v>1498</v>
      </c>
      <c r="D1001" t="s">
        <v>393</v>
      </c>
      <c r="E1001" t="s">
        <v>316</v>
      </c>
      <c r="F1001" s="2">
        <v>38363</v>
      </c>
      <c r="H1001" s="2">
        <v>38467</v>
      </c>
      <c r="I1001" s="5">
        <v>38929</v>
      </c>
      <c r="L1001" t="s">
        <v>297</v>
      </c>
      <c r="M1001" t="s">
        <v>297</v>
      </c>
      <c r="N1001" t="s">
        <v>1107</v>
      </c>
      <c r="O1001" t="s">
        <v>259</v>
      </c>
      <c r="P1001" t="s">
        <v>261</v>
      </c>
    </row>
    <row r="1002" spans="1:16" ht="12.75" customHeight="1">
      <c r="A1002" t="s">
        <v>259</v>
      </c>
      <c r="B1002" t="s">
        <v>261</v>
      </c>
    </row>
    <row r="1003" spans="1:16" ht="12.75" customHeight="1">
      <c r="A1003">
        <v>12</v>
      </c>
      <c r="B1003" t="s">
        <v>296</v>
      </c>
      <c r="C1003">
        <v>104</v>
      </c>
      <c r="D1003" t="s">
        <v>295</v>
      </c>
      <c r="E1003" t="s">
        <v>296</v>
      </c>
      <c r="F1003" s="2">
        <v>27785</v>
      </c>
      <c r="G1003" s="2">
        <v>28990</v>
      </c>
      <c r="H1003" s="2">
        <v>39342</v>
      </c>
      <c r="I1003" s="5">
        <v>37652</v>
      </c>
      <c r="J1003" s="2">
        <v>37559</v>
      </c>
      <c r="K1003" s="2">
        <v>38686</v>
      </c>
      <c r="L1003" t="s">
        <v>297</v>
      </c>
      <c r="M1003" t="s">
        <v>297</v>
      </c>
      <c r="N1003" t="s">
        <v>1108</v>
      </c>
      <c r="O1003" t="s">
        <v>259</v>
      </c>
      <c r="P1003" t="s">
        <v>262</v>
      </c>
    </row>
    <row r="1004" spans="1:16" ht="12.75" customHeight="1">
      <c r="A1004">
        <v>12</v>
      </c>
      <c r="B1004" t="s">
        <v>296</v>
      </c>
      <c r="C1004">
        <v>309</v>
      </c>
      <c r="D1004" t="s">
        <v>295</v>
      </c>
      <c r="E1004" t="s">
        <v>296</v>
      </c>
      <c r="F1004" s="2">
        <v>29687</v>
      </c>
      <c r="G1004" s="2">
        <v>30691</v>
      </c>
      <c r="H1004" s="2">
        <v>39509</v>
      </c>
      <c r="I1004" s="5">
        <v>37621</v>
      </c>
      <c r="K1004" s="2">
        <v>34737</v>
      </c>
      <c r="L1004" t="s">
        <v>297</v>
      </c>
      <c r="N1004" t="s">
        <v>1109</v>
      </c>
      <c r="O1004" t="s">
        <v>259</v>
      </c>
      <c r="P1004" t="s">
        <v>262</v>
      </c>
    </row>
    <row r="1005" spans="1:16" ht="12.75" customHeight="1">
      <c r="A1005">
        <v>12</v>
      </c>
      <c r="B1005" t="s">
        <v>296</v>
      </c>
      <c r="C1005">
        <v>319</v>
      </c>
      <c r="D1005" t="s">
        <v>295</v>
      </c>
      <c r="E1005" t="s">
        <v>296</v>
      </c>
      <c r="F1005" s="2">
        <v>29791</v>
      </c>
      <c r="G1005" s="2">
        <v>30830</v>
      </c>
      <c r="H1005" s="2">
        <v>39353</v>
      </c>
      <c r="I1005" s="5">
        <v>38168</v>
      </c>
      <c r="J1005" s="2">
        <v>36301</v>
      </c>
      <c r="K1005" s="2">
        <v>39352</v>
      </c>
      <c r="L1005" t="s">
        <v>297</v>
      </c>
      <c r="M1005" t="s">
        <v>297</v>
      </c>
      <c r="N1005" t="s">
        <v>1110</v>
      </c>
      <c r="O1005" t="s">
        <v>259</v>
      </c>
      <c r="P1005" t="s">
        <v>262</v>
      </c>
    </row>
    <row r="1006" spans="1:16" ht="12.75" customHeight="1">
      <c r="A1006">
        <v>12</v>
      </c>
      <c r="B1006" t="s">
        <v>296</v>
      </c>
      <c r="C1006">
        <v>364</v>
      </c>
      <c r="D1006" t="s">
        <v>295</v>
      </c>
      <c r="E1006" t="s">
        <v>296</v>
      </c>
      <c r="F1006" s="2">
        <v>30141</v>
      </c>
      <c r="G1006" s="2">
        <v>30758</v>
      </c>
      <c r="H1006" s="2">
        <v>39330</v>
      </c>
      <c r="I1006" s="5">
        <v>38596</v>
      </c>
      <c r="J1006" s="2">
        <v>30743</v>
      </c>
      <c r="K1006" s="2">
        <v>36402</v>
      </c>
      <c r="L1006" t="s">
        <v>297</v>
      </c>
      <c r="M1006" t="s">
        <v>297</v>
      </c>
      <c r="N1006" t="s">
        <v>1111</v>
      </c>
      <c r="O1006" t="s">
        <v>259</v>
      </c>
      <c r="P1006" t="s">
        <v>262</v>
      </c>
    </row>
    <row r="1007" spans="1:16" ht="12.75" customHeight="1">
      <c r="A1007">
        <v>12</v>
      </c>
      <c r="B1007" t="s">
        <v>296</v>
      </c>
      <c r="C1007">
        <v>515</v>
      </c>
      <c r="D1007" t="s">
        <v>295</v>
      </c>
      <c r="E1007" t="s">
        <v>296</v>
      </c>
      <c r="F1007" s="2">
        <v>31437</v>
      </c>
      <c r="G1007" s="2">
        <v>31857</v>
      </c>
      <c r="H1007" s="2">
        <v>39245</v>
      </c>
      <c r="I1007" s="5">
        <v>36707</v>
      </c>
      <c r="J1007" s="2">
        <v>31867</v>
      </c>
      <c r="K1007" s="2">
        <v>39344</v>
      </c>
      <c r="L1007" t="s">
        <v>297</v>
      </c>
      <c r="M1007" t="s">
        <v>297</v>
      </c>
      <c r="N1007" t="s">
        <v>1112</v>
      </c>
      <c r="O1007" t="s">
        <v>259</v>
      </c>
      <c r="P1007" t="s">
        <v>262</v>
      </c>
    </row>
    <row r="1008" spans="1:16" ht="12.75" customHeight="1">
      <c r="A1008">
        <v>12</v>
      </c>
      <c r="B1008" t="s">
        <v>296</v>
      </c>
      <c r="C1008">
        <v>617</v>
      </c>
      <c r="D1008" t="s">
        <v>393</v>
      </c>
      <c r="E1008" t="s">
        <v>316</v>
      </c>
      <c r="F1008" s="2">
        <v>32039</v>
      </c>
      <c r="G1008" s="2">
        <v>32893</v>
      </c>
      <c r="H1008" s="2">
        <v>38506</v>
      </c>
      <c r="I1008" s="5">
        <v>36525</v>
      </c>
      <c r="J1008" s="2">
        <v>34150</v>
      </c>
      <c r="L1008" t="s">
        <v>297</v>
      </c>
      <c r="M1008" t="s">
        <v>297</v>
      </c>
      <c r="N1008" t="s">
        <v>318</v>
      </c>
      <c r="O1008" t="s">
        <v>259</v>
      </c>
      <c r="P1008" t="s">
        <v>262</v>
      </c>
    </row>
    <row r="1009" spans="1:16" ht="12.75" customHeight="1">
      <c r="A1009">
        <v>12</v>
      </c>
      <c r="B1009" t="s">
        <v>296</v>
      </c>
      <c r="C1009">
        <v>671</v>
      </c>
      <c r="D1009" t="s">
        <v>295</v>
      </c>
      <c r="E1009" t="s">
        <v>296</v>
      </c>
      <c r="F1009" s="2">
        <v>32521</v>
      </c>
      <c r="G1009" s="2">
        <v>32944</v>
      </c>
      <c r="H1009" s="2">
        <v>39337</v>
      </c>
      <c r="I1009" s="5">
        <v>36341</v>
      </c>
      <c r="J1009" s="2">
        <v>33694</v>
      </c>
      <c r="K1009" s="2">
        <v>36389</v>
      </c>
      <c r="L1009" t="s">
        <v>297</v>
      </c>
      <c r="M1009" t="s">
        <v>297</v>
      </c>
      <c r="N1009" t="s">
        <v>1113</v>
      </c>
      <c r="O1009" t="s">
        <v>259</v>
      </c>
      <c r="P1009" t="s">
        <v>262</v>
      </c>
    </row>
    <row r="1010" spans="1:16" ht="12.75" customHeight="1">
      <c r="A1010">
        <v>12</v>
      </c>
      <c r="B1010" t="s">
        <v>296</v>
      </c>
      <c r="C1010">
        <v>757</v>
      </c>
      <c r="D1010" t="s">
        <v>295</v>
      </c>
      <c r="E1010" t="s">
        <v>296</v>
      </c>
      <c r="F1010" s="2">
        <v>33181</v>
      </c>
      <c r="G1010" s="2">
        <v>34593</v>
      </c>
      <c r="H1010" s="2">
        <v>39141</v>
      </c>
      <c r="I1010" s="5">
        <v>36525</v>
      </c>
      <c r="K1010" s="2">
        <v>35879</v>
      </c>
      <c r="L1010" t="s">
        <v>297</v>
      </c>
      <c r="M1010" t="s">
        <v>297</v>
      </c>
      <c r="N1010" t="s">
        <v>1114</v>
      </c>
      <c r="O1010" t="s">
        <v>259</v>
      </c>
      <c r="P1010" t="s">
        <v>262</v>
      </c>
    </row>
    <row r="1011" spans="1:16" ht="12.75" customHeight="1">
      <c r="A1011">
        <v>12</v>
      </c>
      <c r="B1011" t="s">
        <v>296</v>
      </c>
      <c r="C1011">
        <v>800</v>
      </c>
      <c r="D1011" t="s">
        <v>295</v>
      </c>
      <c r="E1011" t="s">
        <v>296</v>
      </c>
      <c r="F1011" s="2">
        <v>33452</v>
      </c>
      <c r="G1011" s="2">
        <v>35511</v>
      </c>
      <c r="H1011" s="2">
        <v>38729</v>
      </c>
      <c r="I1011" s="5">
        <v>36007</v>
      </c>
      <c r="K1011" s="2">
        <v>35634</v>
      </c>
      <c r="L1011" t="s">
        <v>297</v>
      </c>
      <c r="M1011" t="s">
        <v>297</v>
      </c>
      <c r="N1011" t="s">
        <v>1115</v>
      </c>
      <c r="O1011" t="s">
        <v>259</v>
      </c>
      <c r="P1011" t="s">
        <v>262</v>
      </c>
    </row>
    <row r="1012" spans="1:16" ht="12.75" customHeight="1">
      <c r="A1012">
        <v>12</v>
      </c>
      <c r="B1012" t="s">
        <v>296</v>
      </c>
      <c r="C1012">
        <v>874</v>
      </c>
      <c r="E1012" t="s">
        <v>296</v>
      </c>
      <c r="F1012" s="2">
        <v>33959</v>
      </c>
      <c r="G1012" s="2">
        <v>35573</v>
      </c>
      <c r="H1012" s="2">
        <v>37373</v>
      </c>
      <c r="I1012" s="5">
        <v>37621</v>
      </c>
      <c r="K1012" s="2">
        <v>35499</v>
      </c>
      <c r="L1012" t="s">
        <v>297</v>
      </c>
      <c r="N1012" t="s">
        <v>1116</v>
      </c>
      <c r="O1012" t="s">
        <v>259</v>
      </c>
      <c r="P1012" t="s">
        <v>262</v>
      </c>
    </row>
    <row r="1013" spans="1:16" ht="12.75" customHeight="1">
      <c r="A1013">
        <v>12</v>
      </c>
      <c r="B1013" t="s">
        <v>296</v>
      </c>
      <c r="C1013">
        <v>928</v>
      </c>
      <c r="D1013" t="s">
        <v>295</v>
      </c>
      <c r="E1013" t="s">
        <v>296</v>
      </c>
      <c r="F1013" s="2">
        <v>34317</v>
      </c>
      <c r="G1013" s="2">
        <v>35140</v>
      </c>
      <c r="H1013" s="2">
        <v>39296</v>
      </c>
      <c r="I1013" s="5">
        <v>35642</v>
      </c>
      <c r="J1013" s="2">
        <v>34624</v>
      </c>
      <c r="K1013" s="2">
        <v>36209</v>
      </c>
      <c r="L1013" t="s">
        <v>297</v>
      </c>
      <c r="N1013" t="s">
        <v>1117</v>
      </c>
      <c r="O1013" t="s">
        <v>259</v>
      </c>
      <c r="P1013" t="s">
        <v>262</v>
      </c>
    </row>
    <row r="1014" spans="1:16" ht="12.75" customHeight="1">
      <c r="A1014">
        <v>12</v>
      </c>
      <c r="B1014" t="s">
        <v>296</v>
      </c>
      <c r="C1014">
        <v>1075</v>
      </c>
      <c r="D1014" t="s">
        <v>295</v>
      </c>
      <c r="E1014" t="s">
        <v>296</v>
      </c>
      <c r="F1014" s="2">
        <v>34941</v>
      </c>
      <c r="G1014" s="2">
        <v>35874</v>
      </c>
      <c r="H1014" s="2">
        <v>39120</v>
      </c>
      <c r="I1014" s="5">
        <v>39263</v>
      </c>
      <c r="K1014" s="2">
        <v>38755</v>
      </c>
      <c r="L1014" t="s">
        <v>297</v>
      </c>
      <c r="M1014" t="s">
        <v>297</v>
      </c>
      <c r="N1014" t="s">
        <v>1118</v>
      </c>
      <c r="O1014" t="s">
        <v>259</v>
      </c>
      <c r="P1014" t="s">
        <v>262</v>
      </c>
    </row>
    <row r="1015" spans="1:16" ht="12.75" customHeight="1">
      <c r="A1015">
        <v>12</v>
      </c>
      <c r="B1015" t="s">
        <v>296</v>
      </c>
      <c r="C1015">
        <v>1341</v>
      </c>
      <c r="D1015" t="s">
        <v>295</v>
      </c>
      <c r="E1015" t="s">
        <v>296</v>
      </c>
      <c r="F1015" s="2">
        <v>36656</v>
      </c>
      <c r="G1015" s="2">
        <v>36847</v>
      </c>
      <c r="H1015" s="2">
        <v>39525</v>
      </c>
      <c r="I1015" s="5">
        <v>38929</v>
      </c>
      <c r="K1015" s="2">
        <v>37679</v>
      </c>
      <c r="L1015" t="s">
        <v>297</v>
      </c>
      <c r="M1015" t="s">
        <v>297</v>
      </c>
      <c r="N1015" t="s">
        <v>1119</v>
      </c>
      <c r="O1015" t="s">
        <v>259</v>
      </c>
      <c r="P1015" t="s">
        <v>262</v>
      </c>
    </row>
    <row r="1016" spans="1:16" ht="12.75" customHeight="1">
      <c r="A1016">
        <v>12</v>
      </c>
      <c r="B1016" t="s">
        <v>296</v>
      </c>
      <c r="C1016">
        <v>1447</v>
      </c>
      <c r="D1016" t="s">
        <v>295</v>
      </c>
      <c r="E1016" t="s">
        <v>296</v>
      </c>
      <c r="F1016" s="2">
        <v>37736</v>
      </c>
      <c r="G1016" s="2">
        <v>38776</v>
      </c>
      <c r="H1016" s="2">
        <v>39337</v>
      </c>
      <c r="I1016" s="5">
        <v>39263</v>
      </c>
      <c r="K1016" s="2">
        <v>38785</v>
      </c>
      <c r="L1016" t="s">
        <v>297</v>
      </c>
      <c r="M1016" t="s">
        <v>322</v>
      </c>
      <c r="N1016" t="s">
        <v>1120</v>
      </c>
      <c r="O1016" t="s">
        <v>259</v>
      </c>
      <c r="P1016" t="s">
        <v>262</v>
      </c>
    </row>
    <row r="1017" spans="1:16" ht="12.75" customHeight="1">
      <c r="A1017">
        <v>12</v>
      </c>
      <c r="B1017" t="s">
        <v>296</v>
      </c>
      <c r="C1017">
        <v>1522</v>
      </c>
      <c r="D1017" t="s">
        <v>295</v>
      </c>
      <c r="E1017" t="s">
        <v>299</v>
      </c>
      <c r="F1017" s="2">
        <v>38890</v>
      </c>
      <c r="H1017" s="2">
        <v>38912</v>
      </c>
      <c r="I1017" s="5">
        <v>39263</v>
      </c>
      <c r="L1017" t="s">
        <v>297</v>
      </c>
      <c r="M1017" t="s">
        <v>297</v>
      </c>
      <c r="N1017" t="s">
        <v>1121</v>
      </c>
      <c r="O1017" t="s">
        <v>259</v>
      </c>
      <c r="P1017" t="s">
        <v>262</v>
      </c>
    </row>
    <row r="1018" spans="1:16" ht="12.75" customHeight="1">
      <c r="A1018" t="s">
        <v>259</v>
      </c>
      <c r="B1018" t="s">
        <v>262</v>
      </c>
    </row>
    <row r="1019" spans="1:16" ht="12.75" customHeight="1">
      <c r="A1019">
        <v>12</v>
      </c>
      <c r="B1019" t="s">
        <v>153</v>
      </c>
      <c r="C1019">
        <v>72</v>
      </c>
      <c r="D1019" t="s">
        <v>380</v>
      </c>
      <c r="E1019" t="s">
        <v>316</v>
      </c>
      <c r="F1019" s="2">
        <v>27591</v>
      </c>
      <c r="G1019" s="2">
        <v>27886</v>
      </c>
      <c r="H1019" s="2">
        <v>38030</v>
      </c>
      <c r="I1019" s="5">
        <v>36738</v>
      </c>
      <c r="K1019" s="2">
        <v>36438</v>
      </c>
      <c r="L1019" t="s">
        <v>297</v>
      </c>
      <c r="M1019" t="s">
        <v>297</v>
      </c>
      <c r="O1019" t="s">
        <v>259</v>
      </c>
      <c r="P1019" t="s">
        <v>263</v>
      </c>
    </row>
    <row r="1020" spans="1:16" ht="12.75" customHeight="1">
      <c r="A1020">
        <v>12</v>
      </c>
      <c r="B1020" t="s">
        <v>153</v>
      </c>
      <c r="C1020">
        <v>225</v>
      </c>
      <c r="D1020" t="s">
        <v>295</v>
      </c>
      <c r="E1020" t="s">
        <v>296</v>
      </c>
      <c r="F1020" s="2">
        <v>29005</v>
      </c>
      <c r="G1020" s="2">
        <v>28937</v>
      </c>
      <c r="H1020" s="2">
        <v>39508</v>
      </c>
      <c r="I1020" s="5">
        <v>36738</v>
      </c>
      <c r="K1020" s="2">
        <v>39008</v>
      </c>
      <c r="L1020" t="s">
        <v>297</v>
      </c>
      <c r="M1020" t="s">
        <v>297</v>
      </c>
      <c r="N1020" t="s">
        <v>1122</v>
      </c>
      <c r="O1020" t="s">
        <v>259</v>
      </c>
      <c r="P1020" t="s">
        <v>263</v>
      </c>
    </row>
    <row r="1021" spans="1:16" ht="12.75" customHeight="1">
      <c r="A1021">
        <v>12</v>
      </c>
      <c r="B1021" t="s">
        <v>153</v>
      </c>
      <c r="C1021">
        <v>310</v>
      </c>
      <c r="D1021" t="s">
        <v>295</v>
      </c>
      <c r="E1021" t="s">
        <v>296</v>
      </c>
      <c r="F1021" s="2">
        <v>29687</v>
      </c>
      <c r="G1021" s="2">
        <v>30077</v>
      </c>
      <c r="H1021" s="2">
        <v>39200</v>
      </c>
      <c r="I1021" s="5">
        <v>39263</v>
      </c>
      <c r="J1021" s="2">
        <v>37176</v>
      </c>
      <c r="K1021" s="2">
        <v>35843</v>
      </c>
      <c r="L1021" t="s">
        <v>297</v>
      </c>
      <c r="M1021" t="s">
        <v>297</v>
      </c>
      <c r="N1021" t="s">
        <v>1123</v>
      </c>
      <c r="O1021" t="s">
        <v>259</v>
      </c>
      <c r="P1021" t="s">
        <v>263</v>
      </c>
    </row>
    <row r="1022" spans="1:16" ht="12.75" customHeight="1">
      <c r="A1022">
        <v>12</v>
      </c>
      <c r="B1022" t="s">
        <v>153</v>
      </c>
      <c r="C1022">
        <v>503</v>
      </c>
      <c r="D1022" t="s">
        <v>295</v>
      </c>
      <c r="E1022" t="s">
        <v>296</v>
      </c>
      <c r="F1022" s="2">
        <v>31310</v>
      </c>
      <c r="G1022" s="2">
        <v>32123</v>
      </c>
      <c r="H1022" s="2">
        <v>39290</v>
      </c>
      <c r="I1022" s="5">
        <v>39629</v>
      </c>
      <c r="K1022" s="2">
        <v>39279</v>
      </c>
      <c r="L1022" t="s">
        <v>297</v>
      </c>
      <c r="M1022" t="s">
        <v>297</v>
      </c>
      <c r="N1022" t="s">
        <v>1124</v>
      </c>
      <c r="O1022" t="s">
        <v>259</v>
      </c>
      <c r="P1022" t="s">
        <v>263</v>
      </c>
    </row>
    <row r="1023" spans="1:16" ht="12.75" customHeight="1">
      <c r="A1023">
        <v>12</v>
      </c>
      <c r="B1023" t="s">
        <v>153</v>
      </c>
      <c r="C1023">
        <v>508</v>
      </c>
      <c r="D1023" t="s">
        <v>295</v>
      </c>
      <c r="E1023" t="s">
        <v>296</v>
      </c>
      <c r="F1023" s="2">
        <v>31374</v>
      </c>
      <c r="G1023" s="2">
        <v>32220</v>
      </c>
      <c r="H1023" s="2">
        <v>39318</v>
      </c>
      <c r="I1023" s="5">
        <v>37437</v>
      </c>
      <c r="K1023" s="2">
        <v>36413</v>
      </c>
      <c r="L1023" t="s">
        <v>297</v>
      </c>
      <c r="N1023" t="s">
        <v>1125</v>
      </c>
      <c r="O1023" t="s">
        <v>259</v>
      </c>
      <c r="P1023" t="s">
        <v>263</v>
      </c>
    </row>
    <row r="1024" spans="1:16" ht="12.75" customHeight="1">
      <c r="A1024">
        <v>12</v>
      </c>
      <c r="B1024" t="s">
        <v>153</v>
      </c>
      <c r="C1024">
        <v>534</v>
      </c>
      <c r="D1024" t="s">
        <v>618</v>
      </c>
      <c r="E1024" t="s">
        <v>316</v>
      </c>
      <c r="F1024" s="2">
        <v>31558</v>
      </c>
      <c r="G1024" s="2">
        <v>32220</v>
      </c>
      <c r="H1024" s="2">
        <v>38180</v>
      </c>
      <c r="I1024" s="5">
        <v>36707</v>
      </c>
      <c r="K1024" s="2">
        <v>36333</v>
      </c>
      <c r="L1024" t="s">
        <v>297</v>
      </c>
      <c r="M1024" t="s">
        <v>297</v>
      </c>
      <c r="N1024" t="s">
        <v>1126</v>
      </c>
      <c r="O1024" t="s">
        <v>259</v>
      </c>
      <c r="P1024" t="s">
        <v>263</v>
      </c>
    </row>
    <row r="1025" spans="1:16" ht="12.75" customHeight="1">
      <c r="A1025">
        <v>12</v>
      </c>
      <c r="B1025" t="s">
        <v>153</v>
      </c>
      <c r="C1025">
        <v>543</v>
      </c>
      <c r="D1025" t="s">
        <v>295</v>
      </c>
      <c r="E1025" t="s">
        <v>296</v>
      </c>
      <c r="F1025" s="2">
        <v>31612</v>
      </c>
      <c r="G1025" s="2">
        <v>33124</v>
      </c>
      <c r="H1025" s="2">
        <v>39312</v>
      </c>
      <c r="I1025" s="5">
        <v>39263</v>
      </c>
      <c r="J1025" s="2">
        <v>39062</v>
      </c>
      <c r="K1025" s="2">
        <v>35066</v>
      </c>
      <c r="L1025" t="s">
        <v>297</v>
      </c>
      <c r="M1025" t="s">
        <v>297</v>
      </c>
      <c r="N1025" t="s">
        <v>1127</v>
      </c>
      <c r="O1025" t="s">
        <v>259</v>
      </c>
      <c r="P1025" t="s">
        <v>263</v>
      </c>
    </row>
    <row r="1026" spans="1:16" ht="12.75" customHeight="1">
      <c r="A1026">
        <v>12</v>
      </c>
      <c r="B1026" t="s">
        <v>153</v>
      </c>
      <c r="C1026">
        <v>688</v>
      </c>
      <c r="D1026" t="s">
        <v>295</v>
      </c>
      <c r="E1026" t="s">
        <v>296</v>
      </c>
      <c r="F1026" s="2">
        <v>32647</v>
      </c>
      <c r="G1026" s="2">
        <v>32648</v>
      </c>
      <c r="H1026" s="2">
        <v>38918</v>
      </c>
      <c r="I1026" s="5">
        <v>39263</v>
      </c>
      <c r="J1026" s="2">
        <v>33146</v>
      </c>
      <c r="K1026" s="2">
        <v>38918</v>
      </c>
      <c r="L1026" t="s">
        <v>297</v>
      </c>
      <c r="M1026" t="s">
        <v>297</v>
      </c>
      <c r="N1026" t="s">
        <v>1128</v>
      </c>
      <c r="O1026" t="s">
        <v>259</v>
      </c>
      <c r="P1026" t="s">
        <v>263</v>
      </c>
    </row>
    <row r="1027" spans="1:16" ht="12.75" customHeight="1">
      <c r="A1027">
        <v>12</v>
      </c>
      <c r="B1027" t="s">
        <v>153</v>
      </c>
      <c r="C1027">
        <v>1046</v>
      </c>
      <c r="D1027" t="s">
        <v>295</v>
      </c>
      <c r="E1027" t="s">
        <v>296</v>
      </c>
      <c r="F1027" s="2">
        <v>34787</v>
      </c>
      <c r="G1027" s="2">
        <v>35573</v>
      </c>
      <c r="H1027" s="2">
        <v>39281</v>
      </c>
      <c r="I1027" s="5">
        <v>39263</v>
      </c>
      <c r="J1027" s="2">
        <v>35692</v>
      </c>
      <c r="K1027" s="2">
        <v>35711</v>
      </c>
      <c r="L1027" t="s">
        <v>297</v>
      </c>
      <c r="M1027" t="s">
        <v>297</v>
      </c>
      <c r="N1027" t="s">
        <v>1129</v>
      </c>
      <c r="O1027" t="s">
        <v>259</v>
      </c>
      <c r="P1027" t="s">
        <v>263</v>
      </c>
    </row>
    <row r="1028" spans="1:16" ht="12.75" customHeight="1">
      <c r="A1028">
        <v>12</v>
      </c>
      <c r="B1028" t="s">
        <v>153</v>
      </c>
      <c r="C1028">
        <v>1079</v>
      </c>
      <c r="D1028" t="s">
        <v>295</v>
      </c>
      <c r="E1028" t="s">
        <v>296</v>
      </c>
      <c r="F1028" s="2">
        <v>34997</v>
      </c>
      <c r="G1028" s="2">
        <v>35511</v>
      </c>
      <c r="H1028" s="2">
        <v>38923</v>
      </c>
      <c r="I1028" s="5">
        <v>39263</v>
      </c>
      <c r="J1028" s="2">
        <v>37925</v>
      </c>
      <c r="K1028" s="2">
        <v>38229</v>
      </c>
      <c r="L1028" t="s">
        <v>297</v>
      </c>
      <c r="M1028" t="s">
        <v>297</v>
      </c>
      <c r="N1028" t="s">
        <v>1130</v>
      </c>
      <c r="O1028" t="s">
        <v>259</v>
      </c>
      <c r="P1028" t="s">
        <v>263</v>
      </c>
    </row>
    <row r="1029" spans="1:16" ht="12.75" customHeight="1">
      <c r="A1029" t="s">
        <v>259</v>
      </c>
      <c r="B1029" t="s">
        <v>263</v>
      </c>
    </row>
    <row r="1030" spans="1:16" ht="12.75" customHeight="1">
      <c r="A1030">
        <v>12</v>
      </c>
      <c r="B1030" t="s">
        <v>317</v>
      </c>
      <c r="C1030">
        <v>272</v>
      </c>
      <c r="D1030" t="s">
        <v>295</v>
      </c>
      <c r="E1030" t="s">
        <v>296</v>
      </c>
      <c r="F1030" s="2">
        <v>29462</v>
      </c>
      <c r="G1030" s="2">
        <v>30025</v>
      </c>
      <c r="H1030" s="2">
        <v>39353</v>
      </c>
      <c r="I1030" s="5">
        <v>37802</v>
      </c>
      <c r="K1030" s="2">
        <v>35499</v>
      </c>
      <c r="L1030" t="s">
        <v>297</v>
      </c>
      <c r="M1030" t="s">
        <v>297</v>
      </c>
      <c r="N1030" t="s">
        <v>1131</v>
      </c>
      <c r="O1030" t="s">
        <v>259</v>
      </c>
      <c r="P1030" t="s">
        <v>264</v>
      </c>
    </row>
    <row r="1031" spans="1:16" ht="12.75" customHeight="1">
      <c r="A1031">
        <v>12</v>
      </c>
      <c r="B1031" t="s">
        <v>317</v>
      </c>
      <c r="C1031">
        <v>368</v>
      </c>
      <c r="D1031" t="s">
        <v>295</v>
      </c>
      <c r="E1031" t="s">
        <v>296</v>
      </c>
      <c r="F1031" s="2">
        <v>30188</v>
      </c>
      <c r="G1031" s="2">
        <v>30702</v>
      </c>
      <c r="H1031" s="2">
        <v>39183</v>
      </c>
      <c r="I1031" s="5">
        <v>38929</v>
      </c>
      <c r="K1031" s="2">
        <v>36227</v>
      </c>
      <c r="L1031" t="s">
        <v>297</v>
      </c>
      <c r="M1031" t="s">
        <v>297</v>
      </c>
      <c r="N1031" t="s">
        <v>1132</v>
      </c>
      <c r="O1031" t="s">
        <v>259</v>
      </c>
      <c r="P1031" t="s">
        <v>264</v>
      </c>
    </row>
    <row r="1032" spans="1:16" ht="12.75" customHeight="1">
      <c r="A1032">
        <v>12</v>
      </c>
      <c r="B1032" t="s">
        <v>317</v>
      </c>
      <c r="C1032">
        <v>369</v>
      </c>
      <c r="D1032" t="s">
        <v>408</v>
      </c>
      <c r="E1032" t="s">
        <v>316</v>
      </c>
      <c r="F1032" s="2">
        <v>30209</v>
      </c>
      <c r="G1032" s="2">
        <v>30919</v>
      </c>
      <c r="H1032" s="2">
        <v>38245</v>
      </c>
      <c r="I1032" s="5">
        <v>34153</v>
      </c>
      <c r="K1032" s="2">
        <v>35689</v>
      </c>
      <c r="L1032" t="s">
        <v>297</v>
      </c>
      <c r="M1032" t="s">
        <v>297</v>
      </c>
      <c r="N1032" t="s">
        <v>318</v>
      </c>
      <c r="O1032" t="s">
        <v>259</v>
      </c>
      <c r="P1032" t="s">
        <v>264</v>
      </c>
    </row>
    <row r="1033" spans="1:16" ht="12.75" customHeight="1">
      <c r="A1033">
        <v>12</v>
      </c>
      <c r="B1033" t="s">
        <v>317</v>
      </c>
      <c r="C1033">
        <v>528</v>
      </c>
      <c r="D1033" t="s">
        <v>295</v>
      </c>
      <c r="E1033" t="s">
        <v>296</v>
      </c>
      <c r="F1033" s="2">
        <v>31493</v>
      </c>
      <c r="G1033" s="2">
        <v>31969</v>
      </c>
      <c r="H1033" s="2">
        <v>39380</v>
      </c>
      <c r="I1033" s="5">
        <v>36525</v>
      </c>
      <c r="K1033" s="2">
        <v>36416</v>
      </c>
      <c r="L1033" t="s">
        <v>297</v>
      </c>
      <c r="M1033" t="s">
        <v>297</v>
      </c>
      <c r="N1033" t="s">
        <v>1133</v>
      </c>
      <c r="O1033" t="s">
        <v>259</v>
      </c>
      <c r="P1033" t="s">
        <v>264</v>
      </c>
    </row>
    <row r="1034" spans="1:16" ht="12.75" customHeight="1">
      <c r="A1034">
        <v>12</v>
      </c>
      <c r="B1034" t="s">
        <v>317</v>
      </c>
      <c r="C1034">
        <v>654</v>
      </c>
      <c r="D1034" t="s">
        <v>380</v>
      </c>
      <c r="E1034" t="s">
        <v>376</v>
      </c>
      <c r="F1034" s="2">
        <v>32423</v>
      </c>
      <c r="G1034" s="2">
        <v>36091</v>
      </c>
      <c r="H1034" s="2">
        <v>37358</v>
      </c>
      <c r="I1034" s="5">
        <v>36707</v>
      </c>
      <c r="K1034" s="2">
        <v>36243</v>
      </c>
      <c r="L1034" t="s">
        <v>297</v>
      </c>
      <c r="M1034" t="s">
        <v>297</v>
      </c>
      <c r="O1034" t="s">
        <v>259</v>
      </c>
      <c r="P1034" t="s">
        <v>264</v>
      </c>
    </row>
    <row r="1035" spans="1:16" ht="12.75" customHeight="1">
      <c r="A1035">
        <v>12</v>
      </c>
      <c r="B1035" t="s">
        <v>317</v>
      </c>
      <c r="C1035">
        <v>714</v>
      </c>
      <c r="D1035" t="s">
        <v>295</v>
      </c>
      <c r="E1035" t="s">
        <v>296</v>
      </c>
      <c r="F1035" s="2">
        <v>32892</v>
      </c>
      <c r="G1035" s="2">
        <v>33318</v>
      </c>
      <c r="H1035" s="2">
        <v>38846</v>
      </c>
      <c r="I1035" s="5">
        <v>38352</v>
      </c>
      <c r="K1035" s="2">
        <v>38810</v>
      </c>
      <c r="L1035" t="s">
        <v>297</v>
      </c>
      <c r="M1035" t="s">
        <v>297</v>
      </c>
      <c r="N1035" t="s">
        <v>1134</v>
      </c>
      <c r="O1035" t="s">
        <v>259</v>
      </c>
      <c r="P1035" t="s">
        <v>264</v>
      </c>
    </row>
    <row r="1036" spans="1:16" ht="12.75" customHeight="1">
      <c r="A1036">
        <v>12</v>
      </c>
      <c r="B1036" t="s">
        <v>317</v>
      </c>
      <c r="C1036">
        <v>1326</v>
      </c>
      <c r="D1036" t="s">
        <v>295</v>
      </c>
      <c r="E1036" t="s">
        <v>296</v>
      </c>
      <c r="F1036" s="2">
        <v>36574</v>
      </c>
      <c r="G1036" s="2">
        <v>39227</v>
      </c>
      <c r="H1036" s="2">
        <v>39259</v>
      </c>
      <c r="L1036" t="s">
        <v>297</v>
      </c>
      <c r="M1036" t="s">
        <v>297</v>
      </c>
      <c r="N1036" t="s">
        <v>0</v>
      </c>
      <c r="O1036" t="s">
        <v>259</v>
      </c>
      <c r="P1036" t="s">
        <v>264</v>
      </c>
    </row>
    <row r="1037" spans="1:16" ht="12.75" customHeight="1">
      <c r="A1037">
        <v>12</v>
      </c>
      <c r="B1037" t="s">
        <v>317</v>
      </c>
      <c r="C1037">
        <v>1372</v>
      </c>
      <c r="D1037" t="s">
        <v>408</v>
      </c>
      <c r="E1037" t="s">
        <v>316</v>
      </c>
      <c r="F1037" s="2">
        <v>36957</v>
      </c>
      <c r="H1037" s="2">
        <v>37341</v>
      </c>
      <c r="I1037" s="5">
        <v>37833</v>
      </c>
      <c r="L1037" t="s">
        <v>297</v>
      </c>
      <c r="M1037" t="s">
        <v>297</v>
      </c>
      <c r="N1037" t="s">
        <v>1</v>
      </c>
      <c r="O1037" t="s">
        <v>259</v>
      </c>
      <c r="P1037" t="s">
        <v>264</v>
      </c>
    </row>
    <row r="1038" spans="1:16" ht="12.75" customHeight="1">
      <c r="A1038">
        <v>12</v>
      </c>
      <c r="B1038" t="s">
        <v>317</v>
      </c>
      <c r="C1038">
        <v>1393</v>
      </c>
      <c r="D1038" t="s">
        <v>348</v>
      </c>
      <c r="E1038" t="s">
        <v>376</v>
      </c>
      <c r="F1038" s="2">
        <v>37144</v>
      </c>
      <c r="H1038" s="2">
        <v>37155</v>
      </c>
      <c r="I1038" s="5">
        <v>37509</v>
      </c>
      <c r="L1038" t="s">
        <v>297</v>
      </c>
      <c r="M1038" t="s">
        <v>297</v>
      </c>
      <c r="O1038" t="s">
        <v>259</v>
      </c>
      <c r="P1038" t="s">
        <v>264</v>
      </c>
    </row>
    <row r="1039" spans="1:16" ht="12.75" customHeight="1">
      <c r="A1039">
        <v>12</v>
      </c>
      <c r="B1039" t="s">
        <v>317</v>
      </c>
      <c r="C1039">
        <v>1404</v>
      </c>
      <c r="D1039" t="s">
        <v>315</v>
      </c>
      <c r="E1039" t="s">
        <v>316</v>
      </c>
      <c r="F1039" s="2">
        <v>37390</v>
      </c>
      <c r="H1039" s="2">
        <v>37390</v>
      </c>
      <c r="I1039" s="5">
        <v>37681</v>
      </c>
      <c r="L1039" t="s">
        <v>297</v>
      </c>
      <c r="M1039" t="s">
        <v>297</v>
      </c>
      <c r="O1039" t="s">
        <v>259</v>
      </c>
      <c r="P1039" t="s">
        <v>264</v>
      </c>
    </row>
    <row r="1040" spans="1:16" ht="12.75" customHeight="1">
      <c r="A1040">
        <v>12</v>
      </c>
      <c r="B1040" t="s">
        <v>317</v>
      </c>
      <c r="C1040">
        <v>1434</v>
      </c>
      <c r="D1040" t="s">
        <v>295</v>
      </c>
      <c r="E1040" t="s">
        <v>299</v>
      </c>
      <c r="F1040" s="2">
        <v>37575</v>
      </c>
      <c r="H1040" s="2">
        <v>39356</v>
      </c>
      <c r="I1040" s="5">
        <v>37986</v>
      </c>
      <c r="L1040" t="s">
        <v>297</v>
      </c>
      <c r="M1040" t="s">
        <v>297</v>
      </c>
      <c r="N1040" t="s">
        <v>2</v>
      </c>
      <c r="O1040" t="s">
        <v>259</v>
      </c>
      <c r="P1040" t="s">
        <v>264</v>
      </c>
    </row>
    <row r="1041" spans="1:16" ht="12.75" customHeight="1">
      <c r="A1041">
        <v>12</v>
      </c>
      <c r="B1041" t="s">
        <v>317</v>
      </c>
      <c r="C1041">
        <v>1443</v>
      </c>
      <c r="D1041" t="s">
        <v>408</v>
      </c>
      <c r="E1041" t="s">
        <v>376</v>
      </c>
      <c r="F1041" s="2">
        <v>37694</v>
      </c>
      <c r="H1041" s="2">
        <v>37694</v>
      </c>
      <c r="I1041" s="5">
        <v>38060</v>
      </c>
      <c r="L1041" t="s">
        <v>297</v>
      </c>
      <c r="M1041" t="s">
        <v>297</v>
      </c>
      <c r="O1041" t="s">
        <v>259</v>
      </c>
      <c r="P1041" t="s">
        <v>264</v>
      </c>
    </row>
    <row r="1042" spans="1:16" ht="12.75" customHeight="1">
      <c r="A1042">
        <v>12</v>
      </c>
      <c r="B1042" t="s">
        <v>317</v>
      </c>
      <c r="C1042">
        <v>1494</v>
      </c>
      <c r="D1042" t="s">
        <v>393</v>
      </c>
      <c r="E1042" t="s">
        <v>376</v>
      </c>
      <c r="F1042" s="2">
        <v>38364</v>
      </c>
      <c r="H1042" s="2">
        <v>38364</v>
      </c>
      <c r="I1042" s="5">
        <v>38717</v>
      </c>
      <c r="L1042" t="s">
        <v>297</v>
      </c>
      <c r="M1042" t="s">
        <v>297</v>
      </c>
      <c r="O1042" t="s">
        <v>259</v>
      </c>
      <c r="P1042" t="s">
        <v>264</v>
      </c>
    </row>
    <row r="1043" spans="1:16" ht="12.75" customHeight="1">
      <c r="A1043">
        <v>12</v>
      </c>
      <c r="B1043" t="s">
        <v>317</v>
      </c>
      <c r="C1043">
        <v>1524</v>
      </c>
      <c r="D1043" t="s">
        <v>618</v>
      </c>
      <c r="E1043" t="s">
        <v>316</v>
      </c>
      <c r="F1043" s="2">
        <v>38888</v>
      </c>
      <c r="H1043" s="2">
        <v>39162</v>
      </c>
      <c r="I1043" s="5">
        <v>38898</v>
      </c>
      <c r="L1043" t="s">
        <v>297</v>
      </c>
      <c r="M1043" t="s">
        <v>297</v>
      </c>
      <c r="N1043" t="s">
        <v>3</v>
      </c>
      <c r="O1043" t="s">
        <v>259</v>
      </c>
      <c r="P1043" t="s">
        <v>264</v>
      </c>
    </row>
    <row r="1044" spans="1:16" ht="12.75" customHeight="1">
      <c r="A1044">
        <v>12</v>
      </c>
      <c r="B1044" t="s">
        <v>317</v>
      </c>
      <c r="C1044">
        <v>1542</v>
      </c>
      <c r="D1044" t="s">
        <v>295</v>
      </c>
      <c r="E1044" t="s">
        <v>299</v>
      </c>
      <c r="F1044" s="2">
        <v>39142</v>
      </c>
      <c r="H1044" s="2">
        <v>39311</v>
      </c>
      <c r="L1044" t="s">
        <v>297</v>
      </c>
      <c r="M1044" t="s">
        <v>297</v>
      </c>
      <c r="N1044" t="s">
        <v>4</v>
      </c>
      <c r="O1044" t="s">
        <v>259</v>
      </c>
      <c r="P1044" t="s">
        <v>264</v>
      </c>
    </row>
    <row r="1045" spans="1:16" ht="12.75" customHeight="1">
      <c r="A1045">
        <v>12</v>
      </c>
      <c r="B1045" t="s">
        <v>317</v>
      </c>
      <c r="C1045">
        <v>1543</v>
      </c>
      <c r="D1045" t="s">
        <v>295</v>
      </c>
      <c r="E1045" t="s">
        <v>299</v>
      </c>
      <c r="F1045" s="2">
        <v>39212</v>
      </c>
      <c r="H1045" s="2">
        <v>39225</v>
      </c>
      <c r="I1045" s="5">
        <v>39629</v>
      </c>
      <c r="L1045" t="s">
        <v>297</v>
      </c>
      <c r="M1045" t="s">
        <v>297</v>
      </c>
      <c r="N1045" t="s">
        <v>5</v>
      </c>
      <c r="O1045" t="s">
        <v>259</v>
      </c>
      <c r="P1045" t="s">
        <v>264</v>
      </c>
    </row>
    <row r="1046" spans="1:16" ht="12.75" customHeight="1">
      <c r="A1046">
        <v>12</v>
      </c>
      <c r="B1046" t="s">
        <v>317</v>
      </c>
      <c r="C1046">
        <v>1545</v>
      </c>
      <c r="D1046" t="s">
        <v>295</v>
      </c>
      <c r="E1046" t="s">
        <v>299</v>
      </c>
      <c r="F1046" s="2">
        <v>39234</v>
      </c>
      <c r="H1046" s="2">
        <v>39337</v>
      </c>
      <c r="I1046" s="5">
        <v>39629</v>
      </c>
      <c r="L1046" t="s">
        <v>297</v>
      </c>
      <c r="M1046" t="s">
        <v>297</v>
      </c>
      <c r="N1046" t="s">
        <v>6</v>
      </c>
      <c r="O1046" t="s">
        <v>259</v>
      </c>
      <c r="P1046" t="s">
        <v>264</v>
      </c>
    </row>
    <row r="1047" spans="1:16" ht="12.75" customHeight="1">
      <c r="A1047" t="s">
        <v>259</v>
      </c>
      <c r="B1047" t="s">
        <v>264</v>
      </c>
    </row>
    <row r="1048" spans="1:16" ht="12.75" customHeight="1">
      <c r="A1048">
        <v>12</v>
      </c>
      <c r="B1048" t="s">
        <v>155</v>
      </c>
      <c r="C1048">
        <v>1010</v>
      </c>
      <c r="D1048" t="s">
        <v>393</v>
      </c>
      <c r="E1048" t="s">
        <v>316</v>
      </c>
      <c r="F1048" s="2">
        <v>34835</v>
      </c>
      <c r="H1048" s="2">
        <v>38420</v>
      </c>
      <c r="I1048" s="5">
        <v>34633</v>
      </c>
      <c r="L1048" t="s">
        <v>297</v>
      </c>
      <c r="M1048" t="s">
        <v>297</v>
      </c>
      <c r="N1048" t="s">
        <v>7</v>
      </c>
      <c r="O1048" t="s">
        <v>259</v>
      </c>
      <c r="P1048" t="s">
        <v>265</v>
      </c>
    </row>
    <row r="1049" spans="1:16" ht="12.75" customHeight="1">
      <c r="A1049" t="s">
        <v>259</v>
      </c>
      <c r="B1049" t="s">
        <v>265</v>
      </c>
    </row>
    <row r="1050" spans="1:16" ht="12.75" customHeight="1">
      <c r="A1050" t="s">
        <v>8</v>
      </c>
    </row>
    <row r="1051" spans="1:16" ht="12.75" customHeight="1">
      <c r="A1051">
        <v>13</v>
      </c>
      <c r="B1051" t="s">
        <v>140</v>
      </c>
      <c r="C1051">
        <v>452</v>
      </c>
      <c r="D1051" t="s">
        <v>295</v>
      </c>
      <c r="E1051" t="s">
        <v>296</v>
      </c>
      <c r="F1051" s="2">
        <v>31052</v>
      </c>
      <c r="G1051" s="2">
        <v>31738</v>
      </c>
      <c r="H1051" s="2">
        <v>39279</v>
      </c>
      <c r="I1051" s="5">
        <v>37986</v>
      </c>
      <c r="J1051" s="2">
        <v>37844</v>
      </c>
      <c r="K1051" s="2">
        <v>37592</v>
      </c>
      <c r="L1051" t="s">
        <v>297</v>
      </c>
      <c r="M1051" t="s">
        <v>297</v>
      </c>
      <c r="N1051" t="s">
        <v>9</v>
      </c>
      <c r="O1051" t="s">
        <v>266</v>
      </c>
      <c r="P1051" t="s">
        <v>267</v>
      </c>
    </row>
    <row r="1052" spans="1:16" ht="12.75" customHeight="1">
      <c r="A1052">
        <v>13</v>
      </c>
      <c r="B1052" t="s">
        <v>140</v>
      </c>
      <c r="C1052">
        <v>659</v>
      </c>
      <c r="D1052" t="s">
        <v>295</v>
      </c>
      <c r="E1052" t="s">
        <v>296</v>
      </c>
      <c r="F1052" s="2">
        <v>32522</v>
      </c>
      <c r="G1052" s="2">
        <v>33313</v>
      </c>
      <c r="H1052" s="2">
        <v>39141</v>
      </c>
      <c r="I1052" s="5">
        <v>39812</v>
      </c>
      <c r="K1052" s="2">
        <v>35475</v>
      </c>
      <c r="L1052" t="s">
        <v>297</v>
      </c>
      <c r="M1052" t="s">
        <v>297</v>
      </c>
      <c r="N1052" t="s">
        <v>10</v>
      </c>
      <c r="O1052" t="s">
        <v>266</v>
      </c>
      <c r="P1052" t="s">
        <v>267</v>
      </c>
    </row>
    <row r="1053" spans="1:16" ht="12.75" customHeight="1">
      <c r="A1053">
        <v>13</v>
      </c>
      <c r="B1053" t="s">
        <v>140</v>
      </c>
      <c r="C1053">
        <v>703</v>
      </c>
      <c r="D1053" t="s">
        <v>295</v>
      </c>
      <c r="E1053" t="s">
        <v>296</v>
      </c>
      <c r="F1053" s="2">
        <v>32760</v>
      </c>
      <c r="G1053" s="2">
        <v>33264</v>
      </c>
      <c r="H1053" s="2">
        <v>39524</v>
      </c>
      <c r="I1053" s="5">
        <v>38898</v>
      </c>
      <c r="K1053" s="2">
        <v>38785</v>
      </c>
      <c r="L1053" t="s">
        <v>297</v>
      </c>
      <c r="M1053" t="s">
        <v>297</v>
      </c>
      <c r="N1053" t="s">
        <v>11</v>
      </c>
      <c r="O1053" t="s">
        <v>266</v>
      </c>
      <c r="P1053" t="s">
        <v>267</v>
      </c>
    </row>
    <row r="1054" spans="1:16" ht="12.75" customHeight="1">
      <c r="A1054">
        <v>13</v>
      </c>
      <c r="B1054" t="s">
        <v>140</v>
      </c>
      <c r="C1054">
        <v>775</v>
      </c>
      <c r="D1054" t="s">
        <v>295</v>
      </c>
      <c r="E1054" t="s">
        <v>296</v>
      </c>
      <c r="F1054" s="2">
        <v>33264</v>
      </c>
      <c r="G1054" s="2">
        <v>33279</v>
      </c>
      <c r="H1054" s="2">
        <v>38124</v>
      </c>
      <c r="I1054" s="5">
        <v>36707</v>
      </c>
      <c r="K1054" s="2">
        <v>36453</v>
      </c>
      <c r="L1054" t="s">
        <v>297</v>
      </c>
      <c r="M1054" t="s">
        <v>297</v>
      </c>
      <c r="N1054" t="s">
        <v>12</v>
      </c>
      <c r="O1054" t="s">
        <v>266</v>
      </c>
      <c r="P1054" t="s">
        <v>267</v>
      </c>
    </row>
    <row r="1055" spans="1:16" ht="12.75" customHeight="1">
      <c r="A1055">
        <v>13</v>
      </c>
      <c r="B1055" t="s">
        <v>140</v>
      </c>
      <c r="C1055">
        <v>879</v>
      </c>
      <c r="D1055" t="s">
        <v>295</v>
      </c>
      <c r="E1055" t="s">
        <v>296</v>
      </c>
      <c r="F1055" s="2">
        <v>33995</v>
      </c>
      <c r="G1055" s="2">
        <v>34593</v>
      </c>
      <c r="H1055" s="2">
        <v>38817</v>
      </c>
      <c r="I1055" s="5">
        <v>39629</v>
      </c>
      <c r="K1055" s="2">
        <v>38633</v>
      </c>
      <c r="L1055" t="s">
        <v>297</v>
      </c>
      <c r="M1055" t="s">
        <v>297</v>
      </c>
      <c r="N1055" t="s">
        <v>13</v>
      </c>
      <c r="O1055" t="s">
        <v>266</v>
      </c>
      <c r="P1055" t="s">
        <v>267</v>
      </c>
    </row>
    <row r="1056" spans="1:16" ht="12.75" customHeight="1">
      <c r="A1056">
        <v>13</v>
      </c>
      <c r="B1056" t="s">
        <v>140</v>
      </c>
      <c r="C1056">
        <v>1003</v>
      </c>
      <c r="D1056" t="s">
        <v>295</v>
      </c>
      <c r="E1056" t="s">
        <v>296</v>
      </c>
      <c r="F1056" s="2">
        <v>34349</v>
      </c>
      <c r="G1056" s="2">
        <v>34985</v>
      </c>
      <c r="H1056" s="2">
        <v>39142</v>
      </c>
      <c r="I1056" s="5">
        <v>38199</v>
      </c>
      <c r="K1056" s="2">
        <v>35506</v>
      </c>
      <c r="L1056" t="s">
        <v>297</v>
      </c>
      <c r="M1056" t="s">
        <v>297</v>
      </c>
      <c r="N1056" t="s">
        <v>14</v>
      </c>
      <c r="O1056" t="s">
        <v>266</v>
      </c>
      <c r="P1056" t="s">
        <v>267</v>
      </c>
    </row>
    <row r="1057" spans="1:16" ht="12.75" customHeight="1">
      <c r="A1057">
        <v>13</v>
      </c>
      <c r="B1057" t="s">
        <v>140</v>
      </c>
      <c r="C1057">
        <v>1004</v>
      </c>
      <c r="D1057" t="s">
        <v>295</v>
      </c>
      <c r="E1057" t="s">
        <v>296</v>
      </c>
      <c r="F1057" s="2">
        <v>34592</v>
      </c>
      <c r="G1057" s="2">
        <v>34985</v>
      </c>
      <c r="H1057" s="2">
        <v>39420</v>
      </c>
      <c r="I1057" s="5">
        <v>39263</v>
      </c>
      <c r="L1057" t="s">
        <v>297</v>
      </c>
      <c r="M1057" t="s">
        <v>297</v>
      </c>
      <c r="N1057" t="s">
        <v>15</v>
      </c>
      <c r="O1057" t="s">
        <v>266</v>
      </c>
      <c r="P1057" t="s">
        <v>267</v>
      </c>
    </row>
    <row r="1058" spans="1:16" ht="12.75" customHeight="1">
      <c r="A1058">
        <v>13</v>
      </c>
      <c r="B1058" t="s">
        <v>140</v>
      </c>
      <c r="C1058">
        <v>1203</v>
      </c>
      <c r="D1058" t="s">
        <v>295</v>
      </c>
      <c r="E1058" t="s">
        <v>296</v>
      </c>
      <c r="F1058" s="2">
        <v>35605</v>
      </c>
      <c r="G1058" s="2">
        <v>37092</v>
      </c>
      <c r="H1058" s="2">
        <v>39310</v>
      </c>
      <c r="I1058" s="5">
        <v>38411</v>
      </c>
      <c r="J1058" s="2">
        <v>37988</v>
      </c>
      <c r="K1058" s="2">
        <v>37325</v>
      </c>
      <c r="L1058" t="s">
        <v>297</v>
      </c>
      <c r="M1058" t="s">
        <v>297</v>
      </c>
      <c r="N1058" t="s">
        <v>16</v>
      </c>
      <c r="O1058" t="s">
        <v>266</v>
      </c>
      <c r="P1058" t="s">
        <v>267</v>
      </c>
    </row>
    <row r="1059" spans="1:16" ht="12.75" customHeight="1">
      <c r="A1059">
        <v>13</v>
      </c>
      <c r="B1059" t="s">
        <v>140</v>
      </c>
      <c r="C1059">
        <v>1388</v>
      </c>
      <c r="D1059" t="s">
        <v>295</v>
      </c>
      <c r="E1059" t="s">
        <v>296</v>
      </c>
      <c r="F1059" s="2">
        <v>37110</v>
      </c>
      <c r="G1059" s="2">
        <v>37764</v>
      </c>
      <c r="H1059" s="2">
        <v>39483</v>
      </c>
      <c r="I1059" s="5">
        <v>39629</v>
      </c>
      <c r="J1059" s="2">
        <v>37988</v>
      </c>
      <c r="K1059" s="2">
        <v>37988</v>
      </c>
      <c r="L1059" t="s">
        <v>297</v>
      </c>
      <c r="M1059" t="s">
        <v>322</v>
      </c>
      <c r="N1059" t="s">
        <v>17</v>
      </c>
      <c r="O1059" t="s">
        <v>266</v>
      </c>
      <c r="P1059" t="s">
        <v>267</v>
      </c>
    </row>
    <row r="1060" spans="1:16" ht="12.75" customHeight="1">
      <c r="A1060">
        <v>13</v>
      </c>
      <c r="B1060" t="s">
        <v>140</v>
      </c>
      <c r="C1060">
        <v>1392</v>
      </c>
      <c r="D1060" t="s">
        <v>295</v>
      </c>
      <c r="E1060" t="s">
        <v>296</v>
      </c>
      <c r="F1060" s="2">
        <v>37144</v>
      </c>
      <c r="G1060" s="2">
        <v>38061</v>
      </c>
      <c r="H1060" s="2">
        <v>39353</v>
      </c>
      <c r="I1060" s="5">
        <v>38352</v>
      </c>
      <c r="J1060" s="2">
        <v>38309</v>
      </c>
      <c r="L1060" t="s">
        <v>297</v>
      </c>
      <c r="M1060" t="s">
        <v>297</v>
      </c>
      <c r="N1060" t="s">
        <v>18</v>
      </c>
      <c r="O1060" t="s">
        <v>266</v>
      </c>
      <c r="P1060" t="s">
        <v>267</v>
      </c>
    </row>
    <row r="1061" spans="1:16" ht="12.75" customHeight="1">
      <c r="A1061">
        <v>13</v>
      </c>
      <c r="B1061" t="s">
        <v>140</v>
      </c>
      <c r="C1061">
        <v>1451</v>
      </c>
      <c r="D1061" t="s">
        <v>295</v>
      </c>
      <c r="E1061" t="s">
        <v>296</v>
      </c>
      <c r="F1061" s="2">
        <v>37759</v>
      </c>
      <c r="G1061" s="2">
        <v>38366</v>
      </c>
      <c r="H1061" s="2">
        <v>39219</v>
      </c>
      <c r="I1061" s="5">
        <v>39447</v>
      </c>
      <c r="K1061" s="2">
        <v>38783</v>
      </c>
      <c r="L1061" t="s">
        <v>297</v>
      </c>
      <c r="M1061" t="s">
        <v>297</v>
      </c>
      <c r="N1061" t="s">
        <v>19</v>
      </c>
      <c r="O1061" t="s">
        <v>266</v>
      </c>
      <c r="P1061" t="s">
        <v>267</v>
      </c>
    </row>
    <row r="1062" spans="1:16" ht="12.75" customHeight="1">
      <c r="A1062">
        <v>13</v>
      </c>
      <c r="B1062" t="s">
        <v>140</v>
      </c>
      <c r="C1062">
        <v>1499</v>
      </c>
      <c r="D1062" t="s">
        <v>295</v>
      </c>
      <c r="E1062" t="s">
        <v>296</v>
      </c>
      <c r="F1062" s="2">
        <v>38412</v>
      </c>
      <c r="G1062" s="2">
        <v>39108</v>
      </c>
      <c r="H1062" s="2">
        <v>39507</v>
      </c>
      <c r="I1062" s="5">
        <v>39629</v>
      </c>
      <c r="L1062" t="s">
        <v>297</v>
      </c>
      <c r="M1062" t="s">
        <v>297</v>
      </c>
      <c r="N1062" t="s">
        <v>20</v>
      </c>
      <c r="O1062" t="s">
        <v>266</v>
      </c>
      <c r="P1062" t="s">
        <v>267</v>
      </c>
    </row>
    <row r="1063" spans="1:16" ht="12.75" customHeight="1">
      <c r="A1063">
        <v>13</v>
      </c>
      <c r="B1063" t="s">
        <v>140</v>
      </c>
      <c r="C1063">
        <v>1500</v>
      </c>
      <c r="D1063" t="s">
        <v>295</v>
      </c>
      <c r="E1063" t="s">
        <v>299</v>
      </c>
      <c r="F1063" s="2">
        <v>38414</v>
      </c>
      <c r="H1063" s="2">
        <v>38824</v>
      </c>
      <c r="I1063" s="5">
        <v>39082</v>
      </c>
      <c r="K1063" s="2">
        <v>38797</v>
      </c>
      <c r="L1063" t="s">
        <v>297</v>
      </c>
      <c r="M1063" t="s">
        <v>297</v>
      </c>
      <c r="N1063" t="s">
        <v>21</v>
      </c>
      <c r="O1063" t="s">
        <v>266</v>
      </c>
      <c r="P1063" t="s">
        <v>267</v>
      </c>
    </row>
    <row r="1064" spans="1:16" ht="12.75" customHeight="1">
      <c r="A1064">
        <v>13</v>
      </c>
      <c r="B1064" t="s">
        <v>140</v>
      </c>
      <c r="C1064">
        <v>1539</v>
      </c>
      <c r="D1064" t="s">
        <v>295</v>
      </c>
      <c r="E1064" t="s">
        <v>299</v>
      </c>
      <c r="F1064" s="2">
        <v>39149</v>
      </c>
      <c r="H1064" s="2">
        <v>39149</v>
      </c>
      <c r="I1064" s="5">
        <v>39263</v>
      </c>
      <c r="L1064" t="s">
        <v>297</v>
      </c>
      <c r="M1064" t="s">
        <v>297</v>
      </c>
      <c r="N1064" t="s">
        <v>22</v>
      </c>
      <c r="O1064" t="s">
        <v>266</v>
      </c>
      <c r="P1064" t="s">
        <v>267</v>
      </c>
    </row>
    <row r="1065" spans="1:16" ht="12.75" customHeight="1">
      <c r="A1065">
        <v>13</v>
      </c>
      <c r="B1065" t="s">
        <v>140</v>
      </c>
      <c r="C1065">
        <v>1540</v>
      </c>
      <c r="D1065" t="s">
        <v>295</v>
      </c>
      <c r="E1065" t="s">
        <v>299</v>
      </c>
      <c r="F1065" s="2">
        <v>39149</v>
      </c>
      <c r="H1065" s="2">
        <v>39159</v>
      </c>
      <c r="I1065" s="5">
        <v>39629</v>
      </c>
      <c r="L1065" t="s">
        <v>297</v>
      </c>
      <c r="M1065" t="s">
        <v>297</v>
      </c>
      <c r="N1065" t="s">
        <v>23</v>
      </c>
      <c r="O1065" t="s">
        <v>266</v>
      </c>
      <c r="P1065" t="s">
        <v>267</v>
      </c>
    </row>
    <row r="1066" spans="1:16" ht="12.75" customHeight="1">
      <c r="A1066">
        <v>13</v>
      </c>
      <c r="B1066" t="s">
        <v>140</v>
      </c>
      <c r="C1066">
        <v>1557</v>
      </c>
      <c r="D1066" t="s">
        <v>295</v>
      </c>
      <c r="E1066" t="s">
        <v>299</v>
      </c>
      <c r="F1066" s="2">
        <v>39448</v>
      </c>
      <c r="H1066" s="2">
        <v>39525</v>
      </c>
      <c r="I1066" s="5">
        <v>39629</v>
      </c>
      <c r="L1066" t="s">
        <v>297</v>
      </c>
      <c r="M1066" t="s">
        <v>297</v>
      </c>
      <c r="N1066" t="s">
        <v>24</v>
      </c>
      <c r="O1066" t="s">
        <v>266</v>
      </c>
      <c r="P1066" t="s">
        <v>267</v>
      </c>
    </row>
    <row r="1067" spans="1:16" ht="12.75" customHeight="1">
      <c r="A1067" t="s">
        <v>266</v>
      </c>
      <c r="B1067" t="s">
        <v>267</v>
      </c>
    </row>
    <row r="1068" spans="1:16" ht="12.75" customHeight="1">
      <c r="A1068">
        <v>13</v>
      </c>
      <c r="B1068" t="s">
        <v>149</v>
      </c>
      <c r="C1068">
        <v>445</v>
      </c>
      <c r="D1068" t="s">
        <v>295</v>
      </c>
      <c r="E1068" t="s">
        <v>296</v>
      </c>
      <c r="F1068" s="2">
        <v>31738</v>
      </c>
      <c r="G1068" s="2">
        <v>31738</v>
      </c>
      <c r="H1068" s="2">
        <v>38429</v>
      </c>
      <c r="I1068" s="5">
        <v>31712</v>
      </c>
      <c r="J1068" s="2">
        <v>35702</v>
      </c>
      <c r="K1068" s="2">
        <v>32886</v>
      </c>
      <c r="L1068" t="s">
        <v>297</v>
      </c>
      <c r="N1068" t="s">
        <v>25</v>
      </c>
      <c r="O1068" t="s">
        <v>266</v>
      </c>
      <c r="P1068" t="s">
        <v>268</v>
      </c>
    </row>
    <row r="1069" spans="1:16" ht="12.75" customHeight="1">
      <c r="A1069">
        <v>13</v>
      </c>
      <c r="B1069" t="s">
        <v>149</v>
      </c>
      <c r="C1069">
        <v>968</v>
      </c>
      <c r="D1069" t="s">
        <v>295</v>
      </c>
      <c r="E1069" t="s">
        <v>299</v>
      </c>
      <c r="F1069" s="2">
        <v>34526</v>
      </c>
      <c r="H1069" s="2">
        <v>38272</v>
      </c>
      <c r="I1069" s="5">
        <v>36708</v>
      </c>
      <c r="J1069" s="2">
        <v>36053</v>
      </c>
      <c r="K1069" s="2">
        <v>36389</v>
      </c>
      <c r="L1069" t="s">
        <v>297</v>
      </c>
      <c r="M1069" t="s">
        <v>297</v>
      </c>
      <c r="N1069" t="s">
        <v>26</v>
      </c>
      <c r="O1069" t="s">
        <v>266</v>
      </c>
      <c r="P1069" t="s">
        <v>268</v>
      </c>
    </row>
    <row r="1070" spans="1:16" ht="12.75" customHeight="1">
      <c r="A1070">
        <v>13</v>
      </c>
      <c r="B1070" t="s">
        <v>149</v>
      </c>
      <c r="C1070">
        <v>974</v>
      </c>
      <c r="D1070" t="s">
        <v>295</v>
      </c>
      <c r="E1070" t="s">
        <v>299</v>
      </c>
      <c r="F1070" s="2">
        <v>34526</v>
      </c>
      <c r="H1070" s="2">
        <v>36678</v>
      </c>
      <c r="I1070" s="5">
        <v>34880</v>
      </c>
      <c r="K1070" s="2">
        <v>36321</v>
      </c>
      <c r="L1070" t="s">
        <v>297</v>
      </c>
      <c r="N1070" t="s">
        <v>27</v>
      </c>
      <c r="O1070" t="s">
        <v>266</v>
      </c>
      <c r="P1070" t="s">
        <v>268</v>
      </c>
    </row>
    <row r="1071" spans="1:16" ht="12.75" customHeight="1">
      <c r="A1071">
        <v>13</v>
      </c>
      <c r="B1071" t="s">
        <v>149</v>
      </c>
      <c r="C1071">
        <v>975</v>
      </c>
      <c r="D1071" t="s">
        <v>295</v>
      </c>
      <c r="E1071" t="s">
        <v>299</v>
      </c>
      <c r="F1071" s="2">
        <v>34526</v>
      </c>
      <c r="H1071" s="2">
        <v>39461</v>
      </c>
      <c r="I1071" s="5">
        <v>38837</v>
      </c>
      <c r="L1071" t="s">
        <v>297</v>
      </c>
      <c r="M1071" t="s">
        <v>297</v>
      </c>
      <c r="N1071" t="s">
        <v>28</v>
      </c>
      <c r="O1071" t="s">
        <v>266</v>
      </c>
      <c r="P1071" t="s">
        <v>268</v>
      </c>
    </row>
    <row r="1072" spans="1:16" ht="12.75" customHeight="1">
      <c r="A1072">
        <v>13</v>
      </c>
      <c r="B1072" t="s">
        <v>149</v>
      </c>
      <c r="C1072">
        <v>976</v>
      </c>
      <c r="D1072" t="s">
        <v>295</v>
      </c>
      <c r="E1072" t="s">
        <v>299</v>
      </c>
      <c r="F1072" s="2">
        <v>34526</v>
      </c>
      <c r="H1072" s="2">
        <v>36691</v>
      </c>
      <c r="I1072" s="5">
        <v>34880</v>
      </c>
      <c r="K1072" s="2">
        <v>34943</v>
      </c>
      <c r="L1072" t="s">
        <v>297</v>
      </c>
      <c r="N1072" t="s">
        <v>29</v>
      </c>
      <c r="O1072" t="s">
        <v>266</v>
      </c>
      <c r="P1072" t="s">
        <v>268</v>
      </c>
    </row>
    <row r="1073" spans="1:16" ht="12.75" customHeight="1">
      <c r="A1073">
        <v>13</v>
      </c>
      <c r="B1073" t="s">
        <v>149</v>
      </c>
      <c r="C1073">
        <v>977</v>
      </c>
      <c r="D1073" t="s">
        <v>295</v>
      </c>
      <c r="E1073" t="s">
        <v>296</v>
      </c>
      <c r="F1073" s="2">
        <v>34526</v>
      </c>
      <c r="G1073" s="2">
        <v>36175</v>
      </c>
      <c r="H1073" s="2">
        <v>38293</v>
      </c>
      <c r="I1073" s="5">
        <v>36433</v>
      </c>
      <c r="K1073" s="2">
        <v>36055</v>
      </c>
      <c r="L1073" t="s">
        <v>297</v>
      </c>
      <c r="N1073" t="s">
        <v>30</v>
      </c>
      <c r="O1073" t="s">
        <v>266</v>
      </c>
      <c r="P1073" t="s">
        <v>268</v>
      </c>
    </row>
    <row r="1074" spans="1:16" ht="12.75" customHeight="1">
      <c r="A1074">
        <v>13</v>
      </c>
      <c r="B1074" t="s">
        <v>149</v>
      </c>
      <c r="C1074">
        <v>978</v>
      </c>
      <c r="D1074" t="s">
        <v>295</v>
      </c>
      <c r="E1074" t="s">
        <v>299</v>
      </c>
      <c r="F1074" s="2">
        <v>34526</v>
      </c>
      <c r="H1074" s="2">
        <v>38509</v>
      </c>
      <c r="I1074" s="5">
        <v>37376</v>
      </c>
      <c r="K1074" s="2">
        <v>36389</v>
      </c>
      <c r="L1074" t="s">
        <v>297</v>
      </c>
      <c r="N1074" t="s">
        <v>31</v>
      </c>
      <c r="O1074" t="s">
        <v>266</v>
      </c>
      <c r="P1074" t="s">
        <v>268</v>
      </c>
    </row>
    <row r="1075" spans="1:16" ht="12.75" customHeight="1">
      <c r="A1075">
        <v>13</v>
      </c>
      <c r="B1075" t="s">
        <v>149</v>
      </c>
      <c r="C1075">
        <v>979</v>
      </c>
      <c r="D1075" t="s">
        <v>295</v>
      </c>
      <c r="E1075" t="s">
        <v>296</v>
      </c>
      <c r="F1075" s="2">
        <v>34526</v>
      </c>
      <c r="G1075" s="2">
        <v>35084</v>
      </c>
      <c r="H1075" s="2">
        <v>38936</v>
      </c>
      <c r="I1075" s="5">
        <v>38199</v>
      </c>
      <c r="J1075" s="2">
        <v>35024</v>
      </c>
      <c r="K1075" s="2">
        <v>35646</v>
      </c>
      <c r="L1075" t="s">
        <v>297</v>
      </c>
      <c r="M1075" t="s">
        <v>297</v>
      </c>
      <c r="N1075" t="s">
        <v>32</v>
      </c>
      <c r="O1075" t="s">
        <v>266</v>
      </c>
      <c r="P1075" t="s">
        <v>268</v>
      </c>
    </row>
    <row r="1076" spans="1:16" ht="12.75" customHeight="1">
      <c r="A1076">
        <v>13</v>
      </c>
      <c r="B1076" t="s">
        <v>149</v>
      </c>
      <c r="C1076">
        <v>1181</v>
      </c>
      <c r="D1076" t="s">
        <v>295</v>
      </c>
      <c r="E1076" t="s">
        <v>296</v>
      </c>
      <c r="F1076" s="2">
        <v>35502</v>
      </c>
      <c r="G1076" s="2">
        <v>36091</v>
      </c>
      <c r="H1076" s="2">
        <v>38954</v>
      </c>
      <c r="I1076" s="5">
        <v>39263</v>
      </c>
      <c r="K1076" s="2">
        <v>36431</v>
      </c>
      <c r="L1076" t="s">
        <v>297</v>
      </c>
      <c r="M1076" t="s">
        <v>297</v>
      </c>
      <c r="N1076" t="s">
        <v>33</v>
      </c>
      <c r="O1076" t="s">
        <v>266</v>
      </c>
      <c r="P1076" t="s">
        <v>268</v>
      </c>
    </row>
    <row r="1077" spans="1:16" ht="12.75" customHeight="1">
      <c r="A1077">
        <v>13</v>
      </c>
      <c r="B1077" t="s">
        <v>149</v>
      </c>
      <c r="C1077">
        <v>1247</v>
      </c>
      <c r="D1077" t="s">
        <v>658</v>
      </c>
      <c r="E1077" t="s">
        <v>376</v>
      </c>
      <c r="F1077" s="2">
        <v>35913</v>
      </c>
      <c r="L1077" t="s">
        <v>297</v>
      </c>
      <c r="N1077" t="s">
        <v>369</v>
      </c>
      <c r="O1077" t="s">
        <v>266</v>
      </c>
      <c r="P1077" t="s">
        <v>268</v>
      </c>
    </row>
    <row r="1078" spans="1:16" ht="12.75" customHeight="1">
      <c r="A1078" t="s">
        <v>266</v>
      </c>
      <c r="B1078" t="s">
        <v>268</v>
      </c>
    </row>
    <row r="1079" spans="1:16" ht="12.75" customHeight="1">
      <c r="A1079">
        <v>13</v>
      </c>
      <c r="B1079" t="s">
        <v>296</v>
      </c>
      <c r="C1079">
        <v>322</v>
      </c>
      <c r="D1079" t="s">
        <v>295</v>
      </c>
      <c r="E1079" t="s">
        <v>296</v>
      </c>
      <c r="F1079" s="2">
        <v>29791</v>
      </c>
      <c r="G1079" s="2">
        <v>30702</v>
      </c>
      <c r="H1079" s="2">
        <v>39474</v>
      </c>
      <c r="I1079" s="5">
        <v>38929</v>
      </c>
      <c r="J1079" s="2">
        <v>33481</v>
      </c>
      <c r="K1079" s="2">
        <v>36185</v>
      </c>
      <c r="L1079" t="s">
        <v>297</v>
      </c>
      <c r="M1079" t="s">
        <v>297</v>
      </c>
      <c r="N1079" t="s">
        <v>34</v>
      </c>
      <c r="O1079" t="s">
        <v>266</v>
      </c>
      <c r="P1079" t="s">
        <v>269</v>
      </c>
    </row>
    <row r="1080" spans="1:16" ht="12.75" customHeight="1">
      <c r="A1080">
        <v>13</v>
      </c>
      <c r="B1080" t="s">
        <v>296</v>
      </c>
      <c r="C1080">
        <v>482</v>
      </c>
      <c r="D1080" t="s">
        <v>295</v>
      </c>
      <c r="E1080" t="s">
        <v>296</v>
      </c>
      <c r="F1080" s="2">
        <v>31241</v>
      </c>
      <c r="G1080" s="2">
        <v>33264</v>
      </c>
      <c r="H1080" s="2">
        <v>38169</v>
      </c>
      <c r="I1080" s="5">
        <v>38898</v>
      </c>
      <c r="K1080" s="2">
        <v>34289</v>
      </c>
      <c r="L1080" t="s">
        <v>297</v>
      </c>
      <c r="M1080" t="s">
        <v>297</v>
      </c>
      <c r="N1080" t="s">
        <v>35</v>
      </c>
      <c r="O1080" t="s">
        <v>266</v>
      </c>
      <c r="P1080" t="s">
        <v>269</v>
      </c>
    </row>
    <row r="1081" spans="1:16" ht="12.75" customHeight="1">
      <c r="A1081">
        <v>13</v>
      </c>
      <c r="B1081" t="s">
        <v>296</v>
      </c>
      <c r="C1081">
        <v>627</v>
      </c>
      <c r="D1081" t="s">
        <v>295</v>
      </c>
      <c r="E1081" t="s">
        <v>296</v>
      </c>
      <c r="F1081" s="2">
        <v>32220</v>
      </c>
      <c r="G1081" s="2">
        <v>33124</v>
      </c>
      <c r="H1081" s="2">
        <v>39197</v>
      </c>
      <c r="I1081" s="5">
        <v>39263</v>
      </c>
      <c r="K1081" s="2">
        <v>38833</v>
      </c>
      <c r="L1081" t="s">
        <v>297</v>
      </c>
      <c r="M1081" t="s">
        <v>297</v>
      </c>
      <c r="N1081" t="s">
        <v>36</v>
      </c>
      <c r="O1081" t="s">
        <v>266</v>
      </c>
      <c r="P1081" t="s">
        <v>269</v>
      </c>
    </row>
    <row r="1082" spans="1:16" ht="12.75" customHeight="1">
      <c r="A1082">
        <v>13</v>
      </c>
      <c r="B1082" t="s">
        <v>296</v>
      </c>
      <c r="C1082">
        <v>816</v>
      </c>
      <c r="D1082" t="s">
        <v>295</v>
      </c>
      <c r="E1082" t="s">
        <v>296</v>
      </c>
      <c r="F1082" s="2">
        <v>33621</v>
      </c>
      <c r="G1082" s="2">
        <v>34051</v>
      </c>
      <c r="H1082" s="2">
        <v>39512</v>
      </c>
      <c r="I1082" s="5">
        <v>36769</v>
      </c>
      <c r="K1082" s="2">
        <v>35555</v>
      </c>
      <c r="L1082" t="s">
        <v>297</v>
      </c>
      <c r="M1082" t="s">
        <v>297</v>
      </c>
      <c r="N1082" t="s">
        <v>37</v>
      </c>
      <c r="O1082" t="s">
        <v>266</v>
      </c>
      <c r="P1082" t="s">
        <v>269</v>
      </c>
    </row>
    <row r="1083" spans="1:16" ht="12.75" customHeight="1">
      <c r="A1083">
        <v>13</v>
      </c>
      <c r="B1083" t="s">
        <v>296</v>
      </c>
      <c r="C1083">
        <v>967</v>
      </c>
      <c r="D1083" t="s">
        <v>464</v>
      </c>
      <c r="E1083" t="s">
        <v>316</v>
      </c>
      <c r="F1083" s="2">
        <v>34526</v>
      </c>
      <c r="G1083" s="2">
        <v>35743</v>
      </c>
      <c r="H1083" s="2">
        <v>35643</v>
      </c>
      <c r="K1083" s="2">
        <v>34526</v>
      </c>
      <c r="L1083" t="s">
        <v>317</v>
      </c>
      <c r="M1083" t="s">
        <v>297</v>
      </c>
      <c r="O1083" t="s">
        <v>266</v>
      </c>
      <c r="P1083" t="s">
        <v>269</v>
      </c>
    </row>
    <row r="1084" spans="1:16" ht="12.75" customHeight="1">
      <c r="A1084">
        <v>13</v>
      </c>
      <c r="B1084" t="s">
        <v>296</v>
      </c>
      <c r="C1084">
        <v>1117</v>
      </c>
      <c r="D1084" t="s">
        <v>295</v>
      </c>
      <c r="E1084" t="s">
        <v>296</v>
      </c>
      <c r="F1084" s="2">
        <v>35230</v>
      </c>
      <c r="G1084" s="2">
        <v>36175</v>
      </c>
      <c r="H1084" s="2">
        <v>39501</v>
      </c>
      <c r="I1084" s="5">
        <v>38533</v>
      </c>
      <c r="J1084" s="2">
        <v>37846</v>
      </c>
      <c r="K1084" s="2">
        <v>36374</v>
      </c>
      <c r="L1084" t="s">
        <v>297</v>
      </c>
      <c r="M1084" t="s">
        <v>297</v>
      </c>
      <c r="N1084" t="s">
        <v>38</v>
      </c>
      <c r="O1084" t="s">
        <v>266</v>
      </c>
      <c r="P1084" t="s">
        <v>269</v>
      </c>
    </row>
    <row r="1085" spans="1:16" ht="12.75" customHeight="1">
      <c r="A1085">
        <v>13</v>
      </c>
      <c r="B1085" t="s">
        <v>296</v>
      </c>
      <c r="C1085">
        <v>1184</v>
      </c>
      <c r="D1085" t="s">
        <v>295</v>
      </c>
      <c r="E1085" t="s">
        <v>296</v>
      </c>
      <c r="F1085" s="2">
        <v>35542</v>
      </c>
      <c r="G1085" s="2">
        <v>36238</v>
      </c>
      <c r="H1085" s="2">
        <v>39320</v>
      </c>
      <c r="I1085" s="5">
        <v>39629</v>
      </c>
      <c r="J1085" s="2">
        <v>37853</v>
      </c>
      <c r="K1085" s="2">
        <v>38968</v>
      </c>
      <c r="L1085" t="s">
        <v>297</v>
      </c>
      <c r="M1085" t="s">
        <v>297</v>
      </c>
      <c r="N1085" t="s">
        <v>39</v>
      </c>
      <c r="O1085" t="s">
        <v>266</v>
      </c>
      <c r="P1085" t="s">
        <v>269</v>
      </c>
    </row>
    <row r="1086" spans="1:16" ht="12.75" customHeight="1">
      <c r="A1086">
        <v>13</v>
      </c>
      <c r="B1086" t="s">
        <v>296</v>
      </c>
      <c r="C1086">
        <v>1287</v>
      </c>
      <c r="D1086" t="s">
        <v>380</v>
      </c>
      <c r="E1086" t="s">
        <v>316</v>
      </c>
      <c r="F1086" s="2">
        <v>36222</v>
      </c>
      <c r="H1086" s="2">
        <v>37592</v>
      </c>
      <c r="I1086" s="5">
        <v>36161</v>
      </c>
      <c r="K1086" s="2">
        <v>36487</v>
      </c>
      <c r="L1086" t="s">
        <v>297</v>
      </c>
      <c r="M1086" t="s">
        <v>297</v>
      </c>
      <c r="O1086" t="s">
        <v>266</v>
      </c>
      <c r="P1086" t="s">
        <v>269</v>
      </c>
    </row>
    <row r="1087" spans="1:16" ht="12.75" customHeight="1">
      <c r="A1087">
        <v>13</v>
      </c>
      <c r="B1087" t="s">
        <v>296</v>
      </c>
      <c r="C1087">
        <v>1417</v>
      </c>
      <c r="D1087" t="s">
        <v>315</v>
      </c>
      <c r="E1087" t="s">
        <v>316</v>
      </c>
      <c r="F1087" s="2">
        <v>37421</v>
      </c>
      <c r="G1087" s="2">
        <v>37764</v>
      </c>
      <c r="H1087" s="2">
        <v>37410</v>
      </c>
      <c r="I1087" s="5">
        <v>37786</v>
      </c>
      <c r="L1087" t="s">
        <v>297</v>
      </c>
      <c r="M1087" t="s">
        <v>322</v>
      </c>
      <c r="O1087" t="s">
        <v>266</v>
      </c>
      <c r="P1087" t="s">
        <v>269</v>
      </c>
    </row>
    <row r="1088" spans="1:16" ht="12.75" customHeight="1">
      <c r="A1088" t="s">
        <v>266</v>
      </c>
      <c r="B1088" t="s">
        <v>269</v>
      </c>
    </row>
    <row r="1089" spans="1:16" ht="12.75" customHeight="1">
      <c r="A1089">
        <v>13</v>
      </c>
      <c r="B1089" t="s">
        <v>153</v>
      </c>
      <c r="C1089">
        <v>142</v>
      </c>
      <c r="D1089" t="s">
        <v>295</v>
      </c>
      <c r="E1089" t="s">
        <v>296</v>
      </c>
      <c r="F1089" s="2">
        <v>28093</v>
      </c>
      <c r="G1089" s="2">
        <v>28901</v>
      </c>
      <c r="H1089" s="2">
        <v>38414</v>
      </c>
      <c r="I1089" s="5">
        <v>39629</v>
      </c>
      <c r="K1089" s="2">
        <v>38118</v>
      </c>
      <c r="L1089" t="s">
        <v>297</v>
      </c>
      <c r="M1089" t="s">
        <v>297</v>
      </c>
      <c r="N1089" t="s">
        <v>40</v>
      </c>
      <c r="O1089" t="s">
        <v>266</v>
      </c>
      <c r="P1089" t="s">
        <v>270</v>
      </c>
    </row>
    <row r="1090" spans="1:16" ht="12.75" customHeight="1">
      <c r="A1090">
        <v>13</v>
      </c>
      <c r="B1090" t="s">
        <v>153</v>
      </c>
      <c r="C1090">
        <v>415</v>
      </c>
      <c r="D1090" t="s">
        <v>295</v>
      </c>
      <c r="E1090" t="s">
        <v>296</v>
      </c>
      <c r="F1090" s="2">
        <v>30640</v>
      </c>
      <c r="G1090" s="2">
        <v>30638</v>
      </c>
      <c r="H1090" s="2">
        <v>39476</v>
      </c>
      <c r="I1090" s="5">
        <v>39263</v>
      </c>
      <c r="K1090" s="2">
        <v>38633</v>
      </c>
      <c r="L1090" t="s">
        <v>297</v>
      </c>
      <c r="M1090" t="s">
        <v>297</v>
      </c>
      <c r="N1090" t="s">
        <v>41</v>
      </c>
      <c r="O1090" t="s">
        <v>266</v>
      </c>
      <c r="P1090" t="s">
        <v>270</v>
      </c>
    </row>
    <row r="1091" spans="1:16" ht="12.75" customHeight="1">
      <c r="A1091">
        <v>13</v>
      </c>
      <c r="B1091" t="s">
        <v>153</v>
      </c>
      <c r="C1091">
        <v>416</v>
      </c>
      <c r="D1091" t="s">
        <v>295</v>
      </c>
      <c r="E1091" t="s">
        <v>296</v>
      </c>
      <c r="F1091" s="2">
        <v>30640</v>
      </c>
      <c r="G1091" s="2">
        <v>30639</v>
      </c>
      <c r="H1091" s="2">
        <v>39391</v>
      </c>
      <c r="I1091" s="5">
        <v>38898</v>
      </c>
      <c r="J1091" s="2">
        <v>35890</v>
      </c>
      <c r="K1091" s="2">
        <v>38804</v>
      </c>
      <c r="L1091" t="s">
        <v>297</v>
      </c>
      <c r="M1091" t="s">
        <v>297</v>
      </c>
      <c r="N1091" t="s">
        <v>42</v>
      </c>
      <c r="O1091" t="s">
        <v>266</v>
      </c>
      <c r="P1091" t="s">
        <v>270</v>
      </c>
    </row>
    <row r="1092" spans="1:16" ht="12.75" customHeight="1">
      <c r="A1092">
        <v>13</v>
      </c>
      <c r="B1092" t="s">
        <v>153</v>
      </c>
      <c r="C1092">
        <v>430</v>
      </c>
      <c r="D1092" t="s">
        <v>295</v>
      </c>
      <c r="E1092" t="s">
        <v>296</v>
      </c>
      <c r="F1092" s="2">
        <v>30830</v>
      </c>
      <c r="G1092" s="2">
        <v>30830</v>
      </c>
      <c r="H1092" s="2">
        <v>39489</v>
      </c>
      <c r="I1092" s="5">
        <v>39022</v>
      </c>
      <c r="J1092" s="2">
        <v>32278</v>
      </c>
      <c r="K1092" s="2">
        <v>38691</v>
      </c>
      <c r="L1092" t="s">
        <v>297</v>
      </c>
      <c r="M1092" t="s">
        <v>297</v>
      </c>
      <c r="N1092" t="s">
        <v>43</v>
      </c>
      <c r="O1092" t="s">
        <v>266</v>
      </c>
      <c r="P1092" t="s">
        <v>270</v>
      </c>
    </row>
    <row r="1093" spans="1:16" ht="12.75" customHeight="1">
      <c r="A1093">
        <v>13</v>
      </c>
      <c r="B1093" t="s">
        <v>153</v>
      </c>
      <c r="C1093">
        <v>567</v>
      </c>
      <c r="D1093" t="s">
        <v>295</v>
      </c>
      <c r="E1093" t="s">
        <v>296</v>
      </c>
      <c r="F1093" s="2">
        <v>31738</v>
      </c>
      <c r="G1093" s="2">
        <v>32220</v>
      </c>
      <c r="H1093" s="2">
        <v>39462</v>
      </c>
      <c r="I1093" s="5">
        <v>38564</v>
      </c>
      <c r="J1093" s="2">
        <v>36539</v>
      </c>
      <c r="K1093" s="2">
        <v>38400</v>
      </c>
      <c r="L1093" t="s">
        <v>297</v>
      </c>
      <c r="M1093" t="s">
        <v>297</v>
      </c>
      <c r="N1093" t="s">
        <v>44</v>
      </c>
      <c r="O1093" t="s">
        <v>266</v>
      </c>
      <c r="P1093" t="s">
        <v>270</v>
      </c>
    </row>
    <row r="1094" spans="1:16" ht="12.75" customHeight="1">
      <c r="A1094">
        <v>13</v>
      </c>
      <c r="B1094" t="s">
        <v>153</v>
      </c>
      <c r="C1094">
        <v>670</v>
      </c>
      <c r="D1094" t="s">
        <v>295</v>
      </c>
      <c r="E1094" t="s">
        <v>296</v>
      </c>
      <c r="F1094" s="2">
        <v>32577</v>
      </c>
      <c r="G1094" s="2">
        <v>33313</v>
      </c>
      <c r="H1094" s="2">
        <v>38737</v>
      </c>
      <c r="I1094" s="5">
        <v>39263</v>
      </c>
      <c r="K1094" s="2">
        <v>38723</v>
      </c>
      <c r="L1094" t="s">
        <v>297</v>
      </c>
      <c r="M1094" t="s">
        <v>297</v>
      </c>
      <c r="N1094" t="s">
        <v>45</v>
      </c>
      <c r="O1094" t="s">
        <v>266</v>
      </c>
      <c r="P1094" t="s">
        <v>270</v>
      </c>
    </row>
    <row r="1095" spans="1:16" ht="12.75" customHeight="1">
      <c r="A1095">
        <v>13</v>
      </c>
      <c r="B1095" t="s">
        <v>153</v>
      </c>
      <c r="C1095">
        <v>728</v>
      </c>
      <c r="D1095" t="s">
        <v>295</v>
      </c>
      <c r="E1095" t="s">
        <v>296</v>
      </c>
      <c r="F1095" s="2">
        <v>32949</v>
      </c>
      <c r="G1095" s="2">
        <v>33313</v>
      </c>
      <c r="H1095" s="2">
        <v>39119</v>
      </c>
      <c r="I1095" s="5">
        <v>39813</v>
      </c>
      <c r="K1095" s="2">
        <v>35466</v>
      </c>
      <c r="L1095" t="s">
        <v>297</v>
      </c>
      <c r="M1095" t="s">
        <v>297</v>
      </c>
      <c r="N1095" t="s">
        <v>46</v>
      </c>
      <c r="O1095" t="s">
        <v>266</v>
      </c>
      <c r="P1095" t="s">
        <v>270</v>
      </c>
    </row>
    <row r="1096" spans="1:16" ht="12.75" customHeight="1">
      <c r="A1096">
        <v>13</v>
      </c>
      <c r="B1096" t="s">
        <v>153</v>
      </c>
      <c r="C1096">
        <v>734</v>
      </c>
      <c r="D1096" t="s">
        <v>295</v>
      </c>
      <c r="E1096" t="s">
        <v>296</v>
      </c>
      <c r="F1096" s="2">
        <v>32949</v>
      </c>
      <c r="G1096" s="2">
        <v>33313</v>
      </c>
      <c r="H1096" s="2">
        <v>39135</v>
      </c>
      <c r="I1096" s="5">
        <v>38898</v>
      </c>
      <c r="J1096" s="2">
        <v>38090</v>
      </c>
      <c r="K1096" s="2">
        <v>38658</v>
      </c>
      <c r="L1096" t="s">
        <v>297</v>
      </c>
      <c r="M1096" t="s">
        <v>297</v>
      </c>
      <c r="N1096" t="s">
        <v>47</v>
      </c>
      <c r="O1096" t="s">
        <v>266</v>
      </c>
      <c r="P1096" t="s">
        <v>270</v>
      </c>
    </row>
    <row r="1097" spans="1:16" ht="12.75" customHeight="1">
      <c r="A1097">
        <v>13</v>
      </c>
      <c r="B1097" t="s">
        <v>153</v>
      </c>
      <c r="C1097">
        <v>861</v>
      </c>
      <c r="D1097" t="s">
        <v>295</v>
      </c>
      <c r="E1097" t="s">
        <v>296</v>
      </c>
      <c r="F1097" s="2">
        <v>33879</v>
      </c>
      <c r="G1097" s="2">
        <v>34484</v>
      </c>
      <c r="H1097" s="2">
        <v>39466</v>
      </c>
      <c r="I1097" s="5">
        <v>35246</v>
      </c>
      <c r="K1097" s="2">
        <v>35836</v>
      </c>
      <c r="L1097" t="s">
        <v>297</v>
      </c>
      <c r="N1097" t="s">
        <v>48</v>
      </c>
      <c r="O1097" t="s">
        <v>266</v>
      </c>
      <c r="P1097" t="s">
        <v>270</v>
      </c>
    </row>
    <row r="1098" spans="1:16" ht="12.75" customHeight="1">
      <c r="A1098">
        <v>13</v>
      </c>
      <c r="B1098" t="s">
        <v>153</v>
      </c>
      <c r="C1098">
        <v>996</v>
      </c>
      <c r="D1098" t="s">
        <v>295</v>
      </c>
      <c r="E1098" t="s">
        <v>296</v>
      </c>
      <c r="F1098" s="2">
        <v>34584</v>
      </c>
      <c r="G1098" s="2">
        <v>34985</v>
      </c>
      <c r="H1098" s="2">
        <v>38994</v>
      </c>
      <c r="I1098" s="5">
        <v>39629</v>
      </c>
      <c r="K1098" s="2">
        <v>36200</v>
      </c>
      <c r="L1098" t="s">
        <v>297</v>
      </c>
      <c r="M1098" t="s">
        <v>297</v>
      </c>
      <c r="N1098" t="s">
        <v>49</v>
      </c>
      <c r="O1098" t="s">
        <v>266</v>
      </c>
      <c r="P1098" t="s">
        <v>270</v>
      </c>
    </row>
    <row r="1099" spans="1:16" ht="12.75" customHeight="1">
      <c r="A1099">
        <v>13</v>
      </c>
      <c r="B1099" t="s">
        <v>153</v>
      </c>
      <c r="C1099">
        <v>1088</v>
      </c>
      <c r="D1099" t="s">
        <v>295</v>
      </c>
      <c r="E1099" t="s">
        <v>296</v>
      </c>
      <c r="F1099" s="2">
        <v>35089</v>
      </c>
      <c r="G1099" s="2">
        <v>35573</v>
      </c>
      <c r="H1099" s="2">
        <v>39479</v>
      </c>
      <c r="I1099" s="5">
        <v>39263</v>
      </c>
      <c r="K1099" s="2">
        <v>37601</v>
      </c>
      <c r="L1099" t="s">
        <v>297</v>
      </c>
      <c r="M1099" t="s">
        <v>297</v>
      </c>
      <c r="N1099" t="s">
        <v>50</v>
      </c>
      <c r="O1099" t="s">
        <v>266</v>
      </c>
      <c r="P1099" t="s">
        <v>270</v>
      </c>
    </row>
    <row r="1100" spans="1:16" ht="12.75" customHeight="1">
      <c r="A1100">
        <v>13</v>
      </c>
      <c r="B1100" t="s">
        <v>153</v>
      </c>
      <c r="C1100">
        <v>1259</v>
      </c>
      <c r="D1100" t="s">
        <v>295</v>
      </c>
      <c r="E1100" t="s">
        <v>299</v>
      </c>
      <c r="F1100" s="2">
        <v>35977</v>
      </c>
      <c r="H1100" s="2">
        <v>37194</v>
      </c>
      <c r="L1100" t="s">
        <v>317</v>
      </c>
      <c r="N1100" t="s">
        <v>318</v>
      </c>
      <c r="O1100" t="s">
        <v>266</v>
      </c>
      <c r="P1100" t="s">
        <v>270</v>
      </c>
    </row>
    <row r="1101" spans="1:16" ht="12.75" customHeight="1">
      <c r="A1101">
        <v>13</v>
      </c>
      <c r="B1101" t="s">
        <v>153</v>
      </c>
      <c r="C1101">
        <v>1332</v>
      </c>
      <c r="D1101" t="s">
        <v>295</v>
      </c>
      <c r="E1101" t="s">
        <v>296</v>
      </c>
      <c r="F1101" s="2">
        <v>36598</v>
      </c>
      <c r="G1101" s="2">
        <v>38996</v>
      </c>
      <c r="H1101" s="2">
        <v>38574</v>
      </c>
      <c r="I1101" s="5">
        <v>38929</v>
      </c>
      <c r="K1101" s="2">
        <v>38574</v>
      </c>
      <c r="L1101" t="s">
        <v>297</v>
      </c>
      <c r="M1101" t="s">
        <v>297</v>
      </c>
      <c r="N1101" t="s">
        <v>51</v>
      </c>
      <c r="O1101" t="s">
        <v>266</v>
      </c>
      <c r="P1101" t="s">
        <v>270</v>
      </c>
    </row>
    <row r="1102" spans="1:16" ht="12.75" customHeight="1">
      <c r="A1102" t="s">
        <v>266</v>
      </c>
      <c r="B1102" t="s">
        <v>270</v>
      </c>
    </row>
    <row r="1103" spans="1:16" ht="12.75" customHeight="1">
      <c r="A1103">
        <v>13</v>
      </c>
      <c r="B1103" t="s">
        <v>317</v>
      </c>
      <c r="C1103">
        <v>828</v>
      </c>
      <c r="D1103" t="s">
        <v>295</v>
      </c>
      <c r="E1103" t="s">
        <v>296</v>
      </c>
      <c r="F1103" s="2">
        <v>33684</v>
      </c>
      <c r="G1103" s="2">
        <v>35272</v>
      </c>
      <c r="H1103" s="2">
        <v>39503</v>
      </c>
      <c r="I1103" s="5">
        <v>35976</v>
      </c>
      <c r="K1103" s="2">
        <v>35549</v>
      </c>
      <c r="L1103" t="s">
        <v>297</v>
      </c>
      <c r="M1103" t="s">
        <v>297</v>
      </c>
      <c r="N1103" t="s">
        <v>52</v>
      </c>
      <c r="O1103" t="s">
        <v>266</v>
      </c>
      <c r="P1103" t="s">
        <v>271</v>
      </c>
    </row>
    <row r="1104" spans="1:16" ht="12.75" customHeight="1">
      <c r="A1104">
        <v>13</v>
      </c>
      <c r="B1104" t="s">
        <v>317</v>
      </c>
      <c r="C1104">
        <v>831</v>
      </c>
      <c r="D1104" t="s">
        <v>295</v>
      </c>
      <c r="E1104" t="s">
        <v>296</v>
      </c>
      <c r="F1104" s="2">
        <v>33684</v>
      </c>
      <c r="G1104" s="2">
        <v>37330</v>
      </c>
      <c r="H1104" s="2">
        <v>38230</v>
      </c>
      <c r="I1104" s="5">
        <v>33678</v>
      </c>
      <c r="K1104" s="2">
        <v>36487</v>
      </c>
      <c r="L1104" t="s">
        <v>297</v>
      </c>
      <c r="N1104" t="s">
        <v>53</v>
      </c>
      <c r="O1104" t="s">
        <v>266</v>
      </c>
      <c r="P1104" t="s">
        <v>271</v>
      </c>
    </row>
    <row r="1105" spans="1:16" ht="12.75" customHeight="1">
      <c r="A1105">
        <v>13</v>
      </c>
      <c r="B1105" t="s">
        <v>317</v>
      </c>
      <c r="C1105">
        <v>849</v>
      </c>
      <c r="D1105" t="s">
        <v>295</v>
      </c>
      <c r="E1105" t="s">
        <v>296</v>
      </c>
      <c r="F1105" s="2">
        <v>33879</v>
      </c>
      <c r="G1105" s="2">
        <v>34342</v>
      </c>
      <c r="H1105" s="2">
        <v>39303</v>
      </c>
      <c r="I1105" s="5">
        <v>39629</v>
      </c>
      <c r="K1105" s="2">
        <v>38629</v>
      </c>
      <c r="L1105" t="s">
        <v>297</v>
      </c>
      <c r="M1105" t="s">
        <v>297</v>
      </c>
      <c r="N1105" t="s">
        <v>54</v>
      </c>
      <c r="O1105" t="s">
        <v>266</v>
      </c>
      <c r="P1105" t="s">
        <v>271</v>
      </c>
    </row>
    <row r="1106" spans="1:16" ht="12.75" customHeight="1">
      <c r="A1106">
        <v>13</v>
      </c>
      <c r="B1106" t="s">
        <v>317</v>
      </c>
      <c r="C1106">
        <v>886</v>
      </c>
      <c r="D1106" t="s">
        <v>295</v>
      </c>
      <c r="E1106" t="s">
        <v>296</v>
      </c>
      <c r="F1106" s="2">
        <v>34085</v>
      </c>
      <c r="G1106" s="2">
        <v>35511</v>
      </c>
      <c r="H1106" s="2">
        <v>36461</v>
      </c>
      <c r="I1106" s="5">
        <v>35764</v>
      </c>
      <c r="K1106" s="2">
        <v>36461</v>
      </c>
      <c r="L1106" t="s">
        <v>297</v>
      </c>
      <c r="N1106" t="s">
        <v>55</v>
      </c>
      <c r="O1106" t="s">
        <v>266</v>
      </c>
      <c r="P1106" t="s">
        <v>271</v>
      </c>
    </row>
    <row r="1107" spans="1:16" ht="12.75" customHeight="1">
      <c r="A1107">
        <v>13</v>
      </c>
      <c r="B1107" t="s">
        <v>317</v>
      </c>
      <c r="C1107">
        <v>1033</v>
      </c>
      <c r="D1107" t="s">
        <v>295</v>
      </c>
      <c r="E1107" t="s">
        <v>296</v>
      </c>
      <c r="F1107" s="2">
        <v>34750</v>
      </c>
      <c r="G1107" s="2">
        <v>37526</v>
      </c>
      <c r="H1107" s="2">
        <v>39287</v>
      </c>
      <c r="I1107" s="5">
        <v>38352</v>
      </c>
      <c r="L1107" t="s">
        <v>297</v>
      </c>
      <c r="M1107" t="s">
        <v>297</v>
      </c>
      <c r="N1107" t="s">
        <v>56</v>
      </c>
      <c r="O1107" t="s">
        <v>266</v>
      </c>
      <c r="P1107" t="s">
        <v>271</v>
      </c>
    </row>
    <row r="1108" spans="1:16" ht="12.75" customHeight="1">
      <c r="A1108">
        <v>13</v>
      </c>
      <c r="B1108" t="s">
        <v>317</v>
      </c>
      <c r="C1108">
        <v>1037</v>
      </c>
      <c r="D1108" t="s">
        <v>295</v>
      </c>
      <c r="E1108" t="s">
        <v>296</v>
      </c>
      <c r="F1108" s="2">
        <v>34761</v>
      </c>
      <c r="G1108" s="2">
        <v>35511</v>
      </c>
      <c r="H1108" s="2">
        <v>36570</v>
      </c>
      <c r="I1108" s="5">
        <v>36677</v>
      </c>
      <c r="K1108" s="2">
        <v>34974</v>
      </c>
      <c r="L1108" t="s">
        <v>317</v>
      </c>
      <c r="N1108" t="s">
        <v>57</v>
      </c>
      <c r="O1108" t="s">
        <v>266</v>
      </c>
      <c r="P1108" t="s">
        <v>271</v>
      </c>
    </row>
    <row r="1109" spans="1:16" ht="12.75" customHeight="1">
      <c r="A1109">
        <v>13</v>
      </c>
      <c r="B1109" t="s">
        <v>317</v>
      </c>
      <c r="C1109">
        <v>1043</v>
      </c>
      <c r="D1109" t="s">
        <v>295</v>
      </c>
      <c r="E1109" t="s">
        <v>299</v>
      </c>
      <c r="F1109" s="2">
        <v>34780</v>
      </c>
      <c r="H1109" s="2">
        <v>37087</v>
      </c>
      <c r="I1109" s="5">
        <v>37438</v>
      </c>
      <c r="J1109" s="2">
        <v>39238</v>
      </c>
      <c r="L1109" t="s">
        <v>317</v>
      </c>
      <c r="M1109" t="s">
        <v>297</v>
      </c>
      <c r="N1109" t="s">
        <v>58</v>
      </c>
      <c r="O1109" t="s">
        <v>266</v>
      </c>
      <c r="P1109" t="s">
        <v>271</v>
      </c>
    </row>
    <row r="1110" spans="1:16" ht="12.75" customHeight="1">
      <c r="A1110">
        <v>13</v>
      </c>
      <c r="B1110" t="s">
        <v>317</v>
      </c>
      <c r="C1110">
        <v>1044</v>
      </c>
      <c r="D1110" t="s">
        <v>295</v>
      </c>
      <c r="E1110" t="s">
        <v>296</v>
      </c>
      <c r="F1110" s="2">
        <v>34780</v>
      </c>
      <c r="G1110" s="2">
        <v>38366</v>
      </c>
      <c r="H1110" s="2">
        <v>39183</v>
      </c>
      <c r="I1110" s="5">
        <v>38898</v>
      </c>
      <c r="K1110" s="2">
        <v>39051</v>
      </c>
      <c r="L1110" t="s">
        <v>297</v>
      </c>
      <c r="M1110" t="s">
        <v>297</v>
      </c>
      <c r="N1110" t="s">
        <v>59</v>
      </c>
      <c r="O1110" t="s">
        <v>266</v>
      </c>
      <c r="P1110" t="s">
        <v>271</v>
      </c>
    </row>
    <row r="1111" spans="1:16" ht="12.75" customHeight="1">
      <c r="A1111">
        <v>13</v>
      </c>
      <c r="B1111" t="s">
        <v>317</v>
      </c>
      <c r="C1111">
        <v>1045</v>
      </c>
      <c r="D1111" t="s">
        <v>295</v>
      </c>
      <c r="E1111" t="s">
        <v>296</v>
      </c>
      <c r="F1111" s="2">
        <v>34787</v>
      </c>
      <c r="G1111" s="2">
        <v>35743</v>
      </c>
      <c r="H1111" s="2">
        <v>37165</v>
      </c>
      <c r="I1111" s="5">
        <v>37256</v>
      </c>
      <c r="K1111" s="2">
        <v>38652</v>
      </c>
      <c r="L1111" t="s">
        <v>297</v>
      </c>
      <c r="M1111" t="s">
        <v>297</v>
      </c>
      <c r="N1111" t="s">
        <v>60</v>
      </c>
      <c r="O1111" t="s">
        <v>266</v>
      </c>
      <c r="P1111" t="s">
        <v>271</v>
      </c>
    </row>
    <row r="1112" spans="1:16" ht="12.75" customHeight="1">
      <c r="A1112">
        <v>13</v>
      </c>
      <c r="B1112" t="s">
        <v>317</v>
      </c>
      <c r="C1112">
        <v>1090</v>
      </c>
      <c r="D1112" t="s">
        <v>295</v>
      </c>
      <c r="E1112" t="s">
        <v>299</v>
      </c>
      <c r="F1112" s="2">
        <v>35115</v>
      </c>
      <c r="H1112" s="2">
        <v>39496</v>
      </c>
      <c r="I1112" s="5">
        <v>39568</v>
      </c>
      <c r="J1112" s="2">
        <v>39238</v>
      </c>
      <c r="K1112" s="2">
        <v>38259</v>
      </c>
      <c r="L1112" t="s">
        <v>322</v>
      </c>
      <c r="M1112" t="s">
        <v>297</v>
      </c>
      <c r="N1112" t="s">
        <v>61</v>
      </c>
      <c r="O1112" t="s">
        <v>266</v>
      </c>
      <c r="P1112" t="s">
        <v>271</v>
      </c>
    </row>
    <row r="1113" spans="1:16" ht="12.75" customHeight="1">
      <c r="A1113">
        <v>13</v>
      </c>
      <c r="B1113" t="s">
        <v>317</v>
      </c>
      <c r="C1113">
        <v>1114</v>
      </c>
      <c r="D1113" t="s">
        <v>295</v>
      </c>
      <c r="E1113" t="s">
        <v>299</v>
      </c>
      <c r="F1113" s="2">
        <v>35209</v>
      </c>
      <c r="H1113" s="2">
        <v>38839</v>
      </c>
      <c r="I1113" s="5">
        <v>35430</v>
      </c>
      <c r="K1113" s="2">
        <v>35209</v>
      </c>
      <c r="L1113" t="s">
        <v>317</v>
      </c>
      <c r="M1113" t="s">
        <v>297</v>
      </c>
      <c r="N1113" t="s">
        <v>62</v>
      </c>
      <c r="O1113" t="s">
        <v>266</v>
      </c>
      <c r="P1113" t="s">
        <v>271</v>
      </c>
    </row>
    <row r="1114" spans="1:16" ht="12.75" customHeight="1">
      <c r="A1114">
        <v>13</v>
      </c>
      <c r="B1114" t="s">
        <v>317</v>
      </c>
      <c r="C1114">
        <v>1260</v>
      </c>
      <c r="D1114" t="s">
        <v>377</v>
      </c>
      <c r="E1114" t="s">
        <v>316</v>
      </c>
      <c r="F1114" s="2">
        <v>35983</v>
      </c>
      <c r="H1114" s="2">
        <v>36307</v>
      </c>
      <c r="I1114" s="5">
        <v>36341</v>
      </c>
      <c r="L1114" t="s">
        <v>297</v>
      </c>
      <c r="M1114" t="s">
        <v>297</v>
      </c>
      <c r="O1114" t="s">
        <v>266</v>
      </c>
      <c r="P1114" t="s">
        <v>271</v>
      </c>
    </row>
    <row r="1115" spans="1:16" ht="12.75" customHeight="1">
      <c r="A1115">
        <v>13</v>
      </c>
      <c r="B1115" t="s">
        <v>317</v>
      </c>
      <c r="C1115">
        <v>1432</v>
      </c>
      <c r="D1115" t="s">
        <v>295</v>
      </c>
      <c r="E1115" t="s">
        <v>296</v>
      </c>
      <c r="F1115" s="2">
        <v>37603</v>
      </c>
      <c r="G1115" s="2">
        <v>37939</v>
      </c>
      <c r="H1115" s="2">
        <v>38029</v>
      </c>
      <c r="I1115" s="5">
        <v>38199</v>
      </c>
      <c r="K1115" s="2">
        <v>38029</v>
      </c>
      <c r="L1115" t="s">
        <v>297</v>
      </c>
      <c r="M1115" t="s">
        <v>297</v>
      </c>
      <c r="N1115" t="s">
        <v>63</v>
      </c>
      <c r="O1115" t="s">
        <v>266</v>
      </c>
      <c r="P1115" t="s">
        <v>271</v>
      </c>
    </row>
    <row r="1116" spans="1:16" ht="12.75" customHeight="1">
      <c r="A1116" t="s">
        <v>266</v>
      </c>
      <c r="B1116" t="s">
        <v>271</v>
      </c>
    </row>
    <row r="1117" spans="1:16" ht="12.75" customHeight="1">
      <c r="A1117">
        <v>13</v>
      </c>
      <c r="B1117" t="s">
        <v>155</v>
      </c>
      <c r="C1117">
        <v>959</v>
      </c>
      <c r="D1117" t="s">
        <v>348</v>
      </c>
      <c r="E1117" t="s">
        <v>316</v>
      </c>
      <c r="F1117" s="2">
        <v>34494</v>
      </c>
      <c r="H1117" s="2">
        <v>36438</v>
      </c>
      <c r="I1117" s="5">
        <v>35611</v>
      </c>
      <c r="J1117" s="2">
        <v>35882</v>
      </c>
      <c r="K1117" s="2">
        <v>36438</v>
      </c>
      <c r="L1117" t="s">
        <v>297</v>
      </c>
      <c r="M1117" t="s">
        <v>297</v>
      </c>
      <c r="O1117" t="s">
        <v>266</v>
      </c>
      <c r="P1117" t="s">
        <v>272</v>
      </c>
    </row>
    <row r="1118" spans="1:16" ht="12.75" customHeight="1">
      <c r="A1118">
        <v>13</v>
      </c>
      <c r="B1118" t="s">
        <v>155</v>
      </c>
      <c r="C1118">
        <v>1026</v>
      </c>
      <c r="D1118" t="s">
        <v>295</v>
      </c>
      <c r="E1118" t="s">
        <v>296</v>
      </c>
      <c r="F1118" s="2">
        <v>34729</v>
      </c>
      <c r="G1118" s="2">
        <v>35937</v>
      </c>
      <c r="H1118" s="2">
        <v>39317</v>
      </c>
      <c r="I1118" s="5">
        <v>36707</v>
      </c>
      <c r="J1118" s="2">
        <v>35422</v>
      </c>
      <c r="K1118" s="2">
        <v>38785</v>
      </c>
      <c r="L1118" t="s">
        <v>297</v>
      </c>
      <c r="M1118" t="s">
        <v>297</v>
      </c>
      <c r="N1118" t="s">
        <v>64</v>
      </c>
      <c r="O1118" t="s">
        <v>266</v>
      </c>
      <c r="P1118" t="s">
        <v>272</v>
      </c>
    </row>
    <row r="1119" spans="1:16" ht="12.75" customHeight="1">
      <c r="A1119">
        <v>13</v>
      </c>
      <c r="B1119" t="s">
        <v>155</v>
      </c>
      <c r="C1119">
        <v>1040</v>
      </c>
      <c r="D1119" t="s">
        <v>377</v>
      </c>
      <c r="E1119" t="s">
        <v>316</v>
      </c>
      <c r="F1119" s="2">
        <v>34775</v>
      </c>
      <c r="H1119" s="2">
        <v>36013</v>
      </c>
      <c r="I1119" s="5">
        <v>35064</v>
      </c>
      <c r="J1119" s="2">
        <v>34935</v>
      </c>
      <c r="K1119" s="2">
        <v>34964</v>
      </c>
      <c r="L1119" t="s">
        <v>297</v>
      </c>
      <c r="M1119" t="s">
        <v>297</v>
      </c>
      <c r="O1119" t="s">
        <v>266</v>
      </c>
      <c r="P1119" t="s">
        <v>272</v>
      </c>
    </row>
    <row r="1120" spans="1:16" ht="12.75" customHeight="1">
      <c r="A1120">
        <v>13</v>
      </c>
      <c r="B1120" t="s">
        <v>155</v>
      </c>
      <c r="C1120">
        <v>1182</v>
      </c>
      <c r="D1120" t="s">
        <v>295</v>
      </c>
      <c r="E1120" t="s">
        <v>296</v>
      </c>
      <c r="F1120" s="2">
        <v>35514</v>
      </c>
      <c r="G1120" s="2">
        <v>36091</v>
      </c>
      <c r="H1120" s="2">
        <v>38965</v>
      </c>
      <c r="I1120" s="5">
        <v>36341</v>
      </c>
      <c r="K1120" s="2">
        <v>38611</v>
      </c>
      <c r="L1120" t="s">
        <v>297</v>
      </c>
      <c r="M1120" t="s">
        <v>297</v>
      </c>
      <c r="N1120" t="s">
        <v>65</v>
      </c>
      <c r="O1120" t="s">
        <v>266</v>
      </c>
      <c r="P1120" t="s">
        <v>272</v>
      </c>
    </row>
    <row r="1121" spans="1:16" ht="12.75" customHeight="1">
      <c r="A1121">
        <v>13</v>
      </c>
      <c r="B1121" t="s">
        <v>155</v>
      </c>
      <c r="C1121">
        <v>1314</v>
      </c>
      <c r="D1121" t="s">
        <v>66</v>
      </c>
      <c r="E1121" t="s">
        <v>316</v>
      </c>
      <c r="F1121" s="2">
        <v>36474</v>
      </c>
      <c r="H1121" s="2">
        <v>36474</v>
      </c>
      <c r="L1121" t="s">
        <v>322</v>
      </c>
      <c r="M1121" t="s">
        <v>297</v>
      </c>
      <c r="O1121" t="s">
        <v>266</v>
      </c>
      <c r="P1121" t="s">
        <v>272</v>
      </c>
    </row>
    <row r="1122" spans="1:16" ht="12.75" customHeight="1">
      <c r="A1122">
        <v>13</v>
      </c>
      <c r="B1122" t="s">
        <v>155</v>
      </c>
      <c r="C1122">
        <v>1325</v>
      </c>
      <c r="D1122" t="s">
        <v>377</v>
      </c>
      <c r="E1122" t="s">
        <v>316</v>
      </c>
      <c r="F1122" s="2">
        <v>36573</v>
      </c>
      <c r="H1122" s="2">
        <v>36882</v>
      </c>
      <c r="I1122" s="5">
        <v>36525</v>
      </c>
      <c r="L1122" t="s">
        <v>317</v>
      </c>
      <c r="M1122" t="s">
        <v>297</v>
      </c>
      <c r="N1122" t="s">
        <v>318</v>
      </c>
      <c r="O1122" t="s">
        <v>266</v>
      </c>
      <c r="P1122" t="s">
        <v>272</v>
      </c>
    </row>
    <row r="1123" spans="1:16" ht="12.75" customHeight="1">
      <c r="A1123">
        <v>13</v>
      </c>
      <c r="B1123" t="s">
        <v>155</v>
      </c>
      <c r="C1123">
        <v>1369</v>
      </c>
      <c r="D1123" t="s">
        <v>348</v>
      </c>
      <c r="E1123" t="s">
        <v>316</v>
      </c>
      <c r="F1123" s="2">
        <v>36922</v>
      </c>
      <c r="H1123" s="2">
        <v>37050</v>
      </c>
      <c r="I1123" s="5">
        <v>36922</v>
      </c>
      <c r="L1123" t="s">
        <v>322</v>
      </c>
      <c r="M1123" t="s">
        <v>297</v>
      </c>
      <c r="O1123" t="s">
        <v>266</v>
      </c>
      <c r="P1123" t="s">
        <v>272</v>
      </c>
    </row>
    <row r="1124" spans="1:16" ht="12.75" customHeight="1">
      <c r="A1124">
        <v>13</v>
      </c>
      <c r="B1124" t="s">
        <v>155</v>
      </c>
      <c r="C1124">
        <v>1445</v>
      </c>
      <c r="D1124" t="s">
        <v>380</v>
      </c>
      <c r="E1124" t="s">
        <v>316</v>
      </c>
      <c r="F1124" s="2">
        <v>37729</v>
      </c>
      <c r="H1124" s="2">
        <v>38121</v>
      </c>
      <c r="I1124" s="5">
        <v>37986</v>
      </c>
      <c r="L1124" t="s">
        <v>297</v>
      </c>
      <c r="M1124" t="s">
        <v>322</v>
      </c>
      <c r="O1124" t="s">
        <v>266</v>
      </c>
      <c r="P1124" t="s">
        <v>272</v>
      </c>
    </row>
    <row r="1125" spans="1:16" ht="12.75" customHeight="1">
      <c r="A1125" t="s">
        <v>266</v>
      </c>
      <c r="B1125" t="s">
        <v>272</v>
      </c>
    </row>
    <row r="1126" spans="1:16" ht="12.75" customHeight="1">
      <c r="A1126">
        <v>13</v>
      </c>
      <c r="B1126" t="s">
        <v>157</v>
      </c>
      <c r="C1126">
        <v>1052</v>
      </c>
      <c r="D1126" t="s">
        <v>295</v>
      </c>
      <c r="E1126" t="s">
        <v>296</v>
      </c>
      <c r="F1126" s="2">
        <v>34814</v>
      </c>
      <c r="G1126" s="2">
        <v>35511</v>
      </c>
      <c r="H1126" s="2">
        <v>39483</v>
      </c>
      <c r="I1126" s="5">
        <v>38533</v>
      </c>
      <c r="L1126" t="s">
        <v>297</v>
      </c>
      <c r="M1126" t="s">
        <v>297</v>
      </c>
      <c r="N1126" t="s">
        <v>67</v>
      </c>
      <c r="O1126" t="s">
        <v>266</v>
      </c>
      <c r="P1126" t="s">
        <v>273</v>
      </c>
    </row>
    <row r="1127" spans="1:16" ht="12.75" customHeight="1">
      <c r="A1127">
        <v>13</v>
      </c>
      <c r="B1127" t="s">
        <v>157</v>
      </c>
      <c r="C1127">
        <v>1091</v>
      </c>
      <c r="D1127" t="s">
        <v>295</v>
      </c>
      <c r="E1127" t="s">
        <v>296</v>
      </c>
      <c r="F1127" s="2">
        <v>35117</v>
      </c>
      <c r="G1127" s="2">
        <v>35874</v>
      </c>
      <c r="H1127" s="2">
        <v>38777</v>
      </c>
      <c r="I1127" s="5">
        <v>38868</v>
      </c>
      <c r="J1127" s="2">
        <v>36860</v>
      </c>
      <c r="K1127" s="2">
        <v>38482</v>
      </c>
      <c r="L1127" t="s">
        <v>297</v>
      </c>
      <c r="M1127" t="s">
        <v>297</v>
      </c>
      <c r="N1127" t="s">
        <v>68</v>
      </c>
      <c r="O1127" t="s">
        <v>266</v>
      </c>
      <c r="P1127" t="s">
        <v>273</v>
      </c>
    </row>
    <row r="1128" spans="1:16" ht="12.75" customHeight="1">
      <c r="A1128">
        <v>13</v>
      </c>
      <c r="B1128" t="s">
        <v>157</v>
      </c>
      <c r="C1128">
        <v>1208</v>
      </c>
      <c r="D1128" t="s">
        <v>464</v>
      </c>
      <c r="E1128" t="s">
        <v>316</v>
      </c>
      <c r="F1128" s="2">
        <v>35646</v>
      </c>
      <c r="H1128" s="2">
        <v>36024</v>
      </c>
      <c r="L1128" t="s">
        <v>322</v>
      </c>
      <c r="M1128" t="s">
        <v>297</v>
      </c>
      <c r="O1128" t="s">
        <v>266</v>
      </c>
      <c r="P1128" t="s">
        <v>273</v>
      </c>
    </row>
    <row r="1129" spans="1:16" ht="12.75" customHeight="1">
      <c r="A1129">
        <v>13</v>
      </c>
      <c r="B1129" t="s">
        <v>157</v>
      </c>
      <c r="C1129">
        <v>1292</v>
      </c>
      <c r="D1129" t="s">
        <v>295</v>
      </c>
      <c r="E1129" t="s">
        <v>299</v>
      </c>
      <c r="F1129" s="2">
        <v>36252</v>
      </c>
      <c r="H1129" s="2">
        <v>38307</v>
      </c>
      <c r="I1129" s="5">
        <v>38898</v>
      </c>
      <c r="K1129" s="2">
        <v>38615</v>
      </c>
      <c r="L1129" t="s">
        <v>297</v>
      </c>
      <c r="M1129" t="s">
        <v>297</v>
      </c>
      <c r="N1129" t="s">
        <v>69</v>
      </c>
      <c r="O1129" t="s">
        <v>266</v>
      </c>
      <c r="P1129" t="s">
        <v>273</v>
      </c>
    </row>
    <row r="1130" spans="1:16" ht="12.75" customHeight="1">
      <c r="A1130">
        <v>13</v>
      </c>
      <c r="B1130" t="s">
        <v>157</v>
      </c>
      <c r="C1130">
        <v>1305</v>
      </c>
      <c r="D1130" t="s">
        <v>380</v>
      </c>
      <c r="E1130" t="s">
        <v>316</v>
      </c>
      <c r="F1130" s="2">
        <v>36353</v>
      </c>
      <c r="L1130" t="s">
        <v>317</v>
      </c>
      <c r="M1130" t="s">
        <v>297</v>
      </c>
      <c r="O1130" t="s">
        <v>266</v>
      </c>
      <c r="P1130" t="s">
        <v>273</v>
      </c>
    </row>
    <row r="1131" spans="1:16" ht="12.75" customHeight="1">
      <c r="A1131">
        <v>13</v>
      </c>
      <c r="B1131" t="s">
        <v>157</v>
      </c>
      <c r="C1131">
        <v>1310</v>
      </c>
      <c r="D1131" t="s">
        <v>295</v>
      </c>
      <c r="E1131" t="s">
        <v>299</v>
      </c>
      <c r="F1131" s="2">
        <v>36403</v>
      </c>
      <c r="H1131" s="2">
        <v>39358</v>
      </c>
      <c r="I1131" s="5">
        <v>37073</v>
      </c>
      <c r="K1131" s="2">
        <v>38750</v>
      </c>
      <c r="L1131" t="s">
        <v>297</v>
      </c>
      <c r="M1131" t="s">
        <v>297</v>
      </c>
      <c r="N1131" t="s">
        <v>70</v>
      </c>
      <c r="O1131" t="s">
        <v>266</v>
      </c>
      <c r="P1131" t="s">
        <v>273</v>
      </c>
    </row>
    <row r="1132" spans="1:16" ht="12.75" customHeight="1">
      <c r="A1132">
        <v>13</v>
      </c>
      <c r="B1132" t="s">
        <v>157</v>
      </c>
      <c r="C1132">
        <v>1475</v>
      </c>
      <c r="D1132" t="s">
        <v>295</v>
      </c>
      <c r="E1132" t="s">
        <v>296</v>
      </c>
      <c r="F1132" s="2">
        <v>38157</v>
      </c>
      <c r="G1132" s="2">
        <v>38776</v>
      </c>
      <c r="H1132" s="2">
        <v>39112</v>
      </c>
      <c r="I1132" s="5">
        <v>38564</v>
      </c>
      <c r="L1132" t="s">
        <v>297</v>
      </c>
      <c r="M1132" t="s">
        <v>297</v>
      </c>
      <c r="N1132" t="s">
        <v>71</v>
      </c>
      <c r="O1132" t="s">
        <v>266</v>
      </c>
      <c r="P1132" t="s">
        <v>273</v>
      </c>
    </row>
    <row r="1133" spans="1:16" ht="12.75" customHeight="1">
      <c r="A1133" t="s">
        <v>266</v>
      </c>
      <c r="B1133" t="s">
        <v>273</v>
      </c>
    </row>
    <row r="1134" spans="1:16" ht="12.75" customHeight="1">
      <c r="A1134">
        <v>13</v>
      </c>
      <c r="B1134" t="s">
        <v>159</v>
      </c>
      <c r="C1134">
        <v>292</v>
      </c>
      <c r="D1134" t="s">
        <v>295</v>
      </c>
      <c r="E1134" t="s">
        <v>296</v>
      </c>
      <c r="F1134" s="2">
        <v>29637</v>
      </c>
      <c r="G1134" s="2">
        <v>30702</v>
      </c>
      <c r="H1134" s="2">
        <v>39471</v>
      </c>
      <c r="I1134" s="5">
        <v>37802</v>
      </c>
      <c r="K1134" s="2">
        <v>39471</v>
      </c>
      <c r="L1134" t="s">
        <v>297</v>
      </c>
      <c r="M1134" t="s">
        <v>297</v>
      </c>
      <c r="N1134" t="s">
        <v>72</v>
      </c>
      <c r="O1134" t="s">
        <v>266</v>
      </c>
      <c r="P1134" t="s">
        <v>274</v>
      </c>
    </row>
    <row r="1135" spans="1:16" ht="12.75" customHeight="1">
      <c r="A1135">
        <v>13</v>
      </c>
      <c r="B1135" t="s">
        <v>159</v>
      </c>
      <c r="C1135">
        <v>475</v>
      </c>
      <c r="D1135" t="s">
        <v>295</v>
      </c>
      <c r="E1135" t="s">
        <v>296</v>
      </c>
      <c r="F1135" s="2">
        <v>31192</v>
      </c>
      <c r="G1135" s="2">
        <v>31606</v>
      </c>
      <c r="H1135" s="2">
        <v>39486</v>
      </c>
      <c r="I1135" s="5">
        <v>38929</v>
      </c>
      <c r="K1135" s="2">
        <v>34435</v>
      </c>
      <c r="L1135" t="s">
        <v>297</v>
      </c>
      <c r="M1135" t="s">
        <v>297</v>
      </c>
      <c r="N1135" t="s">
        <v>73</v>
      </c>
      <c r="O1135" t="s">
        <v>266</v>
      </c>
      <c r="P1135" t="s">
        <v>274</v>
      </c>
    </row>
    <row r="1136" spans="1:16" ht="12.75" customHeight="1">
      <c r="A1136">
        <v>13</v>
      </c>
      <c r="B1136" t="s">
        <v>159</v>
      </c>
      <c r="C1136">
        <v>504</v>
      </c>
      <c r="D1136" t="s">
        <v>295</v>
      </c>
      <c r="E1136" t="s">
        <v>296</v>
      </c>
      <c r="F1136" s="2">
        <v>31374</v>
      </c>
      <c r="G1136" s="2">
        <v>32220</v>
      </c>
      <c r="H1136" s="2">
        <v>39486</v>
      </c>
      <c r="I1136" s="5">
        <v>37072</v>
      </c>
      <c r="K1136" s="2">
        <v>35094</v>
      </c>
      <c r="L1136" t="s">
        <v>297</v>
      </c>
      <c r="M1136" t="s">
        <v>297</v>
      </c>
      <c r="N1136" t="s">
        <v>74</v>
      </c>
      <c r="O1136" t="s">
        <v>266</v>
      </c>
      <c r="P1136" t="s">
        <v>274</v>
      </c>
    </row>
    <row r="1137" spans="1:16" ht="12.75" customHeight="1">
      <c r="A1137">
        <v>13</v>
      </c>
      <c r="B1137" t="s">
        <v>159</v>
      </c>
      <c r="C1137">
        <v>510</v>
      </c>
      <c r="D1137" t="s">
        <v>295</v>
      </c>
      <c r="E1137" t="s">
        <v>296</v>
      </c>
      <c r="F1137" s="2">
        <v>31374</v>
      </c>
      <c r="G1137" s="2">
        <v>31437</v>
      </c>
      <c r="H1137" s="2">
        <v>39119</v>
      </c>
      <c r="I1137" s="5">
        <v>37802</v>
      </c>
      <c r="K1137" s="2">
        <v>38777</v>
      </c>
      <c r="L1137" t="s">
        <v>297</v>
      </c>
      <c r="M1137" t="s">
        <v>297</v>
      </c>
      <c r="N1137" t="s">
        <v>75</v>
      </c>
      <c r="O1137" t="s">
        <v>266</v>
      </c>
      <c r="P1137" t="s">
        <v>274</v>
      </c>
    </row>
    <row r="1138" spans="1:16" ht="12.75" customHeight="1">
      <c r="A1138">
        <v>13</v>
      </c>
      <c r="B1138" t="s">
        <v>159</v>
      </c>
      <c r="C1138">
        <v>576</v>
      </c>
      <c r="D1138" t="s">
        <v>295</v>
      </c>
      <c r="E1138" t="s">
        <v>296</v>
      </c>
      <c r="F1138" s="2">
        <v>31867</v>
      </c>
      <c r="G1138" s="2">
        <v>31867</v>
      </c>
      <c r="H1138" s="2">
        <v>39280</v>
      </c>
      <c r="I1138" s="5">
        <v>32420</v>
      </c>
      <c r="K1138" s="2">
        <v>38841</v>
      </c>
      <c r="L1138" t="s">
        <v>297</v>
      </c>
      <c r="M1138" t="s">
        <v>297</v>
      </c>
      <c r="N1138" t="s">
        <v>76</v>
      </c>
      <c r="O1138" t="s">
        <v>266</v>
      </c>
      <c r="P1138" t="s">
        <v>274</v>
      </c>
    </row>
    <row r="1139" spans="1:16" ht="12.75" customHeight="1">
      <c r="A1139">
        <v>13</v>
      </c>
      <c r="B1139" t="s">
        <v>159</v>
      </c>
      <c r="C1139">
        <v>663</v>
      </c>
      <c r="D1139" t="s">
        <v>295</v>
      </c>
      <c r="E1139" t="s">
        <v>296</v>
      </c>
      <c r="F1139" s="2">
        <v>32521</v>
      </c>
      <c r="G1139" s="2">
        <v>32522</v>
      </c>
      <c r="H1139" s="2">
        <v>39280</v>
      </c>
      <c r="I1139" s="5">
        <v>37833</v>
      </c>
      <c r="K1139" s="2">
        <v>38140</v>
      </c>
      <c r="L1139" t="s">
        <v>297</v>
      </c>
      <c r="M1139" t="s">
        <v>297</v>
      </c>
      <c r="N1139" t="s">
        <v>77</v>
      </c>
      <c r="O1139" t="s">
        <v>266</v>
      </c>
      <c r="P1139" t="s">
        <v>274</v>
      </c>
    </row>
    <row r="1140" spans="1:16" ht="12.75" customHeight="1">
      <c r="A1140">
        <v>13</v>
      </c>
      <c r="B1140" t="s">
        <v>159</v>
      </c>
      <c r="C1140">
        <v>711</v>
      </c>
      <c r="D1140" t="s">
        <v>295</v>
      </c>
      <c r="E1140" t="s">
        <v>296</v>
      </c>
      <c r="F1140" s="2">
        <v>32892</v>
      </c>
      <c r="G1140" s="2">
        <v>33313</v>
      </c>
      <c r="H1140" s="2">
        <v>39352</v>
      </c>
      <c r="I1140" s="5">
        <v>38564</v>
      </c>
      <c r="J1140" s="2">
        <v>39318</v>
      </c>
      <c r="K1140" s="2">
        <v>39290</v>
      </c>
      <c r="L1140" t="s">
        <v>297</v>
      </c>
      <c r="M1140" t="s">
        <v>297</v>
      </c>
      <c r="N1140" t="s">
        <v>78</v>
      </c>
      <c r="O1140" t="s">
        <v>266</v>
      </c>
      <c r="P1140" t="s">
        <v>274</v>
      </c>
    </row>
    <row r="1141" spans="1:16" ht="12.75" customHeight="1">
      <c r="A1141">
        <v>13</v>
      </c>
      <c r="B1141" t="s">
        <v>159</v>
      </c>
      <c r="C1141">
        <v>724</v>
      </c>
      <c r="D1141" t="s">
        <v>295</v>
      </c>
      <c r="E1141" t="s">
        <v>296</v>
      </c>
      <c r="F1141" s="2">
        <v>32892</v>
      </c>
      <c r="G1141" s="2">
        <v>32893</v>
      </c>
      <c r="H1141" s="2">
        <v>39274</v>
      </c>
      <c r="I1141" s="5">
        <v>37802</v>
      </c>
      <c r="J1141" s="2">
        <v>33385</v>
      </c>
      <c r="K1141" s="2">
        <v>34738</v>
      </c>
      <c r="L1141" t="s">
        <v>297</v>
      </c>
      <c r="N1141" t="s">
        <v>79</v>
      </c>
      <c r="O1141" t="s">
        <v>266</v>
      </c>
      <c r="P1141" t="s">
        <v>274</v>
      </c>
    </row>
    <row r="1142" spans="1:16" ht="12.75" customHeight="1">
      <c r="A1142">
        <v>13</v>
      </c>
      <c r="B1142" t="s">
        <v>159</v>
      </c>
      <c r="C1142">
        <v>971</v>
      </c>
      <c r="D1142" t="s">
        <v>295</v>
      </c>
      <c r="E1142" t="s">
        <v>296</v>
      </c>
      <c r="F1142" s="2">
        <v>34526</v>
      </c>
      <c r="G1142" s="2">
        <v>35209</v>
      </c>
      <c r="H1142" s="2">
        <v>39007</v>
      </c>
      <c r="I1142" s="5">
        <v>38472</v>
      </c>
      <c r="K1142" s="2">
        <v>35935</v>
      </c>
      <c r="L1142" t="s">
        <v>297</v>
      </c>
      <c r="M1142" t="s">
        <v>297</v>
      </c>
      <c r="N1142" t="s">
        <v>80</v>
      </c>
      <c r="O1142" t="s">
        <v>266</v>
      </c>
      <c r="P1142" t="s">
        <v>274</v>
      </c>
    </row>
    <row r="1143" spans="1:16" ht="12.75" customHeight="1">
      <c r="A1143">
        <v>13</v>
      </c>
      <c r="B1143" t="s">
        <v>159</v>
      </c>
      <c r="C1143">
        <v>1050</v>
      </c>
      <c r="D1143" t="s">
        <v>315</v>
      </c>
      <c r="E1143" t="s">
        <v>316</v>
      </c>
      <c r="F1143" s="2">
        <v>34806</v>
      </c>
      <c r="H1143" s="2">
        <v>35249</v>
      </c>
      <c r="I1143" s="5">
        <v>34806</v>
      </c>
      <c r="K1143" s="2">
        <v>35249</v>
      </c>
      <c r="L1143" t="s">
        <v>322</v>
      </c>
      <c r="M1143" t="s">
        <v>297</v>
      </c>
      <c r="O1143" t="s">
        <v>266</v>
      </c>
      <c r="P1143" t="s">
        <v>274</v>
      </c>
    </row>
    <row r="1144" spans="1:16" ht="12.75" customHeight="1">
      <c r="A1144">
        <v>13</v>
      </c>
      <c r="B1144" t="s">
        <v>159</v>
      </c>
      <c r="C1144">
        <v>1515</v>
      </c>
      <c r="D1144" t="s">
        <v>295</v>
      </c>
      <c r="E1144" t="s">
        <v>299</v>
      </c>
      <c r="F1144" s="2">
        <v>38763</v>
      </c>
      <c r="H1144" s="2">
        <v>38882</v>
      </c>
      <c r="I1144" s="5">
        <v>39294</v>
      </c>
      <c r="L1144" t="s">
        <v>297</v>
      </c>
      <c r="M1144" t="s">
        <v>297</v>
      </c>
      <c r="N1144" t="s">
        <v>81</v>
      </c>
      <c r="O1144" t="s">
        <v>266</v>
      </c>
      <c r="P1144" t="s">
        <v>274</v>
      </c>
    </row>
    <row r="1145" spans="1:16" ht="12.75" customHeight="1">
      <c r="A1145" t="s">
        <v>266</v>
      </c>
      <c r="B1145" t="s">
        <v>274</v>
      </c>
    </row>
    <row r="1146" spans="1:16" ht="12.75" customHeight="1">
      <c r="A1146">
        <v>13</v>
      </c>
      <c r="B1146" t="s">
        <v>376</v>
      </c>
      <c r="C1146">
        <v>194</v>
      </c>
      <c r="D1146" t="s">
        <v>295</v>
      </c>
      <c r="E1146" t="s">
        <v>296</v>
      </c>
      <c r="F1146" s="2">
        <v>28684</v>
      </c>
      <c r="G1146" s="2">
        <v>28986</v>
      </c>
      <c r="H1146" s="2">
        <v>39154</v>
      </c>
      <c r="I1146" s="5">
        <v>34699</v>
      </c>
      <c r="K1146" s="2">
        <v>35859</v>
      </c>
      <c r="L1146" t="s">
        <v>297</v>
      </c>
      <c r="M1146" t="s">
        <v>297</v>
      </c>
      <c r="N1146" t="s">
        <v>82</v>
      </c>
      <c r="O1146" t="s">
        <v>266</v>
      </c>
      <c r="P1146" t="s">
        <v>275</v>
      </c>
    </row>
    <row r="1147" spans="1:16" ht="12.75" customHeight="1">
      <c r="A1147">
        <v>13</v>
      </c>
      <c r="B1147" t="s">
        <v>376</v>
      </c>
      <c r="C1147">
        <v>681</v>
      </c>
      <c r="D1147" t="s">
        <v>295</v>
      </c>
      <c r="E1147" t="s">
        <v>296</v>
      </c>
      <c r="F1147" s="2">
        <v>32647</v>
      </c>
      <c r="G1147" s="2">
        <v>38366</v>
      </c>
      <c r="H1147" s="2">
        <v>39274</v>
      </c>
      <c r="K1147" s="2">
        <v>35759</v>
      </c>
      <c r="L1147" t="s">
        <v>297</v>
      </c>
      <c r="M1147" t="s">
        <v>297</v>
      </c>
      <c r="N1147" t="s">
        <v>83</v>
      </c>
      <c r="O1147" t="s">
        <v>266</v>
      </c>
      <c r="P1147" t="s">
        <v>275</v>
      </c>
    </row>
    <row r="1148" spans="1:16" ht="12.75" customHeight="1">
      <c r="A1148">
        <v>13</v>
      </c>
      <c r="B1148" t="s">
        <v>376</v>
      </c>
      <c r="C1148">
        <v>709</v>
      </c>
      <c r="D1148" t="s">
        <v>295</v>
      </c>
      <c r="E1148" t="s">
        <v>296</v>
      </c>
      <c r="F1148" s="2">
        <v>32892</v>
      </c>
      <c r="G1148" s="2">
        <v>33684</v>
      </c>
      <c r="H1148" s="2">
        <v>39353</v>
      </c>
      <c r="I1148" s="5">
        <v>38168</v>
      </c>
      <c r="J1148" s="2">
        <v>33662</v>
      </c>
      <c r="K1148" s="2">
        <v>35705</v>
      </c>
      <c r="L1148" t="s">
        <v>297</v>
      </c>
      <c r="M1148" t="s">
        <v>297</v>
      </c>
      <c r="N1148" t="s">
        <v>84</v>
      </c>
      <c r="O1148" t="s">
        <v>266</v>
      </c>
      <c r="P1148" t="s">
        <v>275</v>
      </c>
    </row>
    <row r="1149" spans="1:16" ht="12.75" customHeight="1">
      <c r="A1149">
        <v>13</v>
      </c>
      <c r="B1149" t="s">
        <v>376</v>
      </c>
      <c r="C1149">
        <v>763</v>
      </c>
      <c r="D1149" t="s">
        <v>295</v>
      </c>
      <c r="E1149" t="s">
        <v>296</v>
      </c>
      <c r="F1149" s="2">
        <v>33181</v>
      </c>
      <c r="G1149" s="2">
        <v>36238</v>
      </c>
      <c r="H1149" s="2">
        <v>38908</v>
      </c>
      <c r="I1149" s="5">
        <v>36565</v>
      </c>
      <c r="K1149" s="2">
        <v>36347</v>
      </c>
      <c r="L1149" t="s">
        <v>297</v>
      </c>
      <c r="M1149" t="s">
        <v>297</v>
      </c>
      <c r="N1149" t="s">
        <v>85</v>
      </c>
      <c r="O1149" t="s">
        <v>266</v>
      </c>
      <c r="P1149" t="s">
        <v>275</v>
      </c>
    </row>
    <row r="1150" spans="1:16" ht="12.75" customHeight="1">
      <c r="A1150">
        <v>13</v>
      </c>
      <c r="B1150" t="s">
        <v>376</v>
      </c>
      <c r="C1150">
        <v>781</v>
      </c>
      <c r="D1150" t="s">
        <v>295</v>
      </c>
      <c r="E1150" t="s">
        <v>296</v>
      </c>
      <c r="F1150" s="2">
        <v>33313</v>
      </c>
      <c r="G1150" s="2">
        <v>33684</v>
      </c>
      <c r="H1150" s="2">
        <v>39036</v>
      </c>
      <c r="I1150" s="5">
        <v>38898</v>
      </c>
      <c r="K1150" s="2">
        <v>38534</v>
      </c>
      <c r="L1150" t="s">
        <v>297</v>
      </c>
      <c r="M1150" t="s">
        <v>297</v>
      </c>
      <c r="N1150" t="s">
        <v>86</v>
      </c>
      <c r="O1150" t="s">
        <v>266</v>
      </c>
      <c r="P1150" t="s">
        <v>275</v>
      </c>
    </row>
    <row r="1151" spans="1:16" ht="12.75" customHeight="1">
      <c r="A1151">
        <v>13</v>
      </c>
      <c r="B1151" t="s">
        <v>376</v>
      </c>
      <c r="C1151">
        <v>801</v>
      </c>
      <c r="D1151" t="s">
        <v>295</v>
      </c>
      <c r="E1151" t="s">
        <v>296</v>
      </c>
      <c r="F1151" s="2">
        <v>33487</v>
      </c>
      <c r="G1151" s="2">
        <v>34051</v>
      </c>
      <c r="H1151" s="2">
        <v>39471</v>
      </c>
      <c r="I1151" s="5">
        <v>37802</v>
      </c>
      <c r="K1151" s="2">
        <v>38034</v>
      </c>
      <c r="L1151" t="s">
        <v>297</v>
      </c>
      <c r="M1151" t="s">
        <v>297</v>
      </c>
      <c r="N1151" t="s">
        <v>87</v>
      </c>
      <c r="O1151" t="s">
        <v>266</v>
      </c>
      <c r="P1151" t="s">
        <v>275</v>
      </c>
    </row>
    <row r="1152" spans="1:16" ht="12.75" customHeight="1">
      <c r="A1152">
        <v>13</v>
      </c>
      <c r="B1152" t="s">
        <v>376</v>
      </c>
      <c r="C1152">
        <v>854</v>
      </c>
      <c r="D1152" t="s">
        <v>295</v>
      </c>
      <c r="E1152" t="s">
        <v>296</v>
      </c>
      <c r="F1152" s="2">
        <v>33879</v>
      </c>
      <c r="G1152" s="2">
        <v>34484</v>
      </c>
      <c r="H1152" s="2">
        <v>39497</v>
      </c>
      <c r="I1152" s="5">
        <v>39629</v>
      </c>
      <c r="K1152" s="2">
        <v>38432</v>
      </c>
      <c r="L1152" t="s">
        <v>297</v>
      </c>
      <c r="M1152" t="s">
        <v>297</v>
      </c>
      <c r="N1152" t="s">
        <v>88</v>
      </c>
      <c r="O1152" t="s">
        <v>266</v>
      </c>
      <c r="P1152" t="s">
        <v>275</v>
      </c>
    </row>
    <row r="1153" spans="1:16" ht="12.75" customHeight="1">
      <c r="A1153">
        <v>13</v>
      </c>
      <c r="B1153" t="s">
        <v>376</v>
      </c>
      <c r="C1153">
        <v>859</v>
      </c>
      <c r="D1153" t="s">
        <v>295</v>
      </c>
      <c r="E1153" t="s">
        <v>296</v>
      </c>
      <c r="F1153" s="2">
        <v>33879</v>
      </c>
      <c r="G1153" s="2">
        <v>35743</v>
      </c>
      <c r="H1153" s="2">
        <v>39227</v>
      </c>
      <c r="I1153" s="5">
        <v>38929</v>
      </c>
      <c r="K1153" s="2">
        <v>35171</v>
      </c>
      <c r="L1153" t="s">
        <v>297</v>
      </c>
      <c r="M1153" t="s">
        <v>297</v>
      </c>
      <c r="N1153" t="s">
        <v>89</v>
      </c>
      <c r="O1153" t="s">
        <v>266</v>
      </c>
      <c r="P1153" t="s">
        <v>275</v>
      </c>
    </row>
    <row r="1154" spans="1:16" ht="12.75" customHeight="1">
      <c r="A1154">
        <v>13</v>
      </c>
      <c r="B1154" t="s">
        <v>376</v>
      </c>
      <c r="C1154">
        <v>860</v>
      </c>
      <c r="D1154" t="s">
        <v>295</v>
      </c>
      <c r="E1154" t="s">
        <v>296</v>
      </c>
      <c r="F1154" s="2">
        <v>33879</v>
      </c>
      <c r="G1154" s="2">
        <v>34484</v>
      </c>
      <c r="H1154" s="2">
        <v>39065</v>
      </c>
      <c r="I1154" s="5">
        <v>39629</v>
      </c>
      <c r="K1154" s="2">
        <v>39065</v>
      </c>
      <c r="L1154" t="s">
        <v>297</v>
      </c>
      <c r="M1154" t="s">
        <v>297</v>
      </c>
      <c r="N1154" t="s">
        <v>90</v>
      </c>
      <c r="O1154" t="s">
        <v>266</v>
      </c>
      <c r="P1154" t="s">
        <v>275</v>
      </c>
    </row>
    <row r="1155" spans="1:16" ht="12.75" customHeight="1">
      <c r="A1155">
        <v>13</v>
      </c>
      <c r="B1155" t="s">
        <v>376</v>
      </c>
      <c r="C1155">
        <v>909</v>
      </c>
      <c r="D1155" t="s">
        <v>295</v>
      </c>
      <c r="E1155" t="s">
        <v>296</v>
      </c>
      <c r="F1155" s="2">
        <v>34208</v>
      </c>
      <c r="G1155" s="2">
        <v>36175</v>
      </c>
      <c r="H1155" s="2">
        <v>38961</v>
      </c>
      <c r="I1155" s="5">
        <v>39263</v>
      </c>
      <c r="K1155" s="2">
        <v>35279</v>
      </c>
      <c r="L1155" t="s">
        <v>297</v>
      </c>
      <c r="M1155" t="s">
        <v>297</v>
      </c>
      <c r="N1155" t="s">
        <v>91</v>
      </c>
      <c r="O1155" t="s">
        <v>266</v>
      </c>
      <c r="P1155" t="s">
        <v>275</v>
      </c>
    </row>
    <row r="1156" spans="1:16" ht="12.75" customHeight="1">
      <c r="A1156">
        <v>13</v>
      </c>
      <c r="B1156" t="s">
        <v>376</v>
      </c>
      <c r="C1156">
        <v>998</v>
      </c>
      <c r="D1156" t="s">
        <v>295</v>
      </c>
      <c r="E1156" t="s">
        <v>296</v>
      </c>
      <c r="F1156" s="2">
        <v>34584</v>
      </c>
      <c r="G1156" s="2">
        <v>36363</v>
      </c>
      <c r="H1156" s="2">
        <v>38911</v>
      </c>
      <c r="I1156" s="5">
        <v>38898</v>
      </c>
      <c r="K1156" s="2">
        <v>38546</v>
      </c>
      <c r="L1156" t="s">
        <v>297</v>
      </c>
      <c r="M1156" t="s">
        <v>297</v>
      </c>
      <c r="N1156" t="s">
        <v>92</v>
      </c>
      <c r="O1156" t="s">
        <v>266</v>
      </c>
      <c r="P1156" t="s">
        <v>275</v>
      </c>
    </row>
    <row r="1157" spans="1:16" ht="12.75" customHeight="1">
      <c r="A1157">
        <v>13</v>
      </c>
      <c r="B1157" t="s">
        <v>376</v>
      </c>
      <c r="C1157">
        <v>1389</v>
      </c>
      <c r="D1157" t="s">
        <v>295</v>
      </c>
      <c r="E1157" t="s">
        <v>296</v>
      </c>
      <c r="F1157" s="2">
        <v>37110</v>
      </c>
      <c r="G1157" s="2">
        <v>38846</v>
      </c>
      <c r="H1157" s="2">
        <v>39490</v>
      </c>
      <c r="L1157" t="s">
        <v>297</v>
      </c>
      <c r="M1157" t="s">
        <v>297</v>
      </c>
      <c r="N1157" t="s">
        <v>93</v>
      </c>
      <c r="O1157" t="s">
        <v>266</v>
      </c>
      <c r="P1157" t="s">
        <v>275</v>
      </c>
    </row>
    <row r="1158" spans="1:16" ht="12.75" customHeight="1">
      <c r="A1158">
        <v>13</v>
      </c>
      <c r="B1158" t="s">
        <v>376</v>
      </c>
      <c r="C1158">
        <v>1462</v>
      </c>
      <c r="D1158" t="s">
        <v>295</v>
      </c>
      <c r="E1158" t="s">
        <v>296</v>
      </c>
      <c r="F1158" s="2">
        <v>37867</v>
      </c>
      <c r="G1158" s="2">
        <v>38855</v>
      </c>
      <c r="H1158" s="2">
        <v>39453</v>
      </c>
      <c r="I1158" s="5">
        <v>38898</v>
      </c>
      <c r="L1158" t="s">
        <v>297</v>
      </c>
      <c r="M1158" t="s">
        <v>297</v>
      </c>
      <c r="N1158" t="s">
        <v>94</v>
      </c>
      <c r="O1158" t="s">
        <v>266</v>
      </c>
      <c r="P1158" t="s">
        <v>275</v>
      </c>
    </row>
    <row r="1159" spans="1:16" ht="12.75" customHeight="1">
      <c r="A1159" t="s">
        <v>266</v>
      </c>
      <c r="B1159" t="s">
        <v>275</v>
      </c>
    </row>
    <row r="1160" spans="1:16" ht="12.75" customHeight="1">
      <c r="A1160">
        <v>13</v>
      </c>
      <c r="B1160" t="s">
        <v>196</v>
      </c>
      <c r="C1160">
        <v>424</v>
      </c>
      <c r="D1160" t="s">
        <v>295</v>
      </c>
      <c r="E1160" t="s">
        <v>296</v>
      </c>
      <c r="F1160" s="2">
        <v>30701</v>
      </c>
      <c r="G1160" s="2">
        <v>30702</v>
      </c>
      <c r="H1160" s="2">
        <v>39516</v>
      </c>
      <c r="I1160" s="5">
        <v>39263</v>
      </c>
      <c r="J1160" s="2">
        <v>30726</v>
      </c>
      <c r="K1160" s="2">
        <v>38972</v>
      </c>
      <c r="L1160" t="s">
        <v>297</v>
      </c>
      <c r="M1160" t="s">
        <v>297</v>
      </c>
      <c r="N1160" t="s">
        <v>95</v>
      </c>
      <c r="O1160" t="s">
        <v>266</v>
      </c>
      <c r="P1160" t="s">
        <v>276</v>
      </c>
    </row>
    <row r="1161" spans="1:16" ht="12.75" customHeight="1">
      <c r="A1161">
        <v>13</v>
      </c>
      <c r="B1161" t="s">
        <v>196</v>
      </c>
      <c r="C1161">
        <v>506</v>
      </c>
      <c r="D1161" t="s">
        <v>295</v>
      </c>
      <c r="E1161" t="s">
        <v>296</v>
      </c>
      <c r="F1161" s="2">
        <v>31374</v>
      </c>
      <c r="G1161" s="2">
        <v>36238</v>
      </c>
      <c r="H1161" s="2">
        <v>39309</v>
      </c>
      <c r="I1161" s="5">
        <v>38837</v>
      </c>
      <c r="K1161" s="2">
        <v>37897</v>
      </c>
      <c r="L1161" t="s">
        <v>297</v>
      </c>
      <c r="M1161" t="s">
        <v>297</v>
      </c>
      <c r="N1161" t="s">
        <v>96</v>
      </c>
      <c r="O1161" t="s">
        <v>266</v>
      </c>
      <c r="P1161" t="s">
        <v>276</v>
      </c>
    </row>
    <row r="1162" spans="1:16" ht="12.75" customHeight="1">
      <c r="A1162">
        <v>13</v>
      </c>
      <c r="B1162" t="s">
        <v>196</v>
      </c>
      <c r="C1162">
        <v>509</v>
      </c>
      <c r="D1162" t="s">
        <v>295</v>
      </c>
      <c r="E1162" t="s">
        <v>296</v>
      </c>
      <c r="F1162" s="2">
        <v>31374</v>
      </c>
      <c r="G1162" s="2">
        <v>31437</v>
      </c>
      <c r="H1162" s="2">
        <v>39405</v>
      </c>
      <c r="I1162" s="5">
        <v>39629</v>
      </c>
      <c r="K1162" s="2">
        <v>38408</v>
      </c>
      <c r="L1162" t="s">
        <v>297</v>
      </c>
      <c r="M1162" t="s">
        <v>297</v>
      </c>
      <c r="N1162" t="s">
        <v>97</v>
      </c>
      <c r="O1162" t="s">
        <v>266</v>
      </c>
      <c r="P1162" t="s">
        <v>276</v>
      </c>
    </row>
    <row r="1163" spans="1:16" ht="12.75" customHeight="1">
      <c r="A1163">
        <v>13</v>
      </c>
      <c r="B1163" t="s">
        <v>196</v>
      </c>
      <c r="C1163">
        <v>522</v>
      </c>
      <c r="D1163" t="s">
        <v>295</v>
      </c>
      <c r="E1163" t="s">
        <v>296</v>
      </c>
      <c r="F1163" s="2">
        <v>31493</v>
      </c>
      <c r="G1163" s="2">
        <v>33021</v>
      </c>
      <c r="H1163" s="2">
        <v>39490</v>
      </c>
      <c r="I1163" s="5">
        <v>38564</v>
      </c>
      <c r="K1163" s="2">
        <v>39293</v>
      </c>
      <c r="L1163" t="s">
        <v>297</v>
      </c>
      <c r="M1163" t="s">
        <v>297</v>
      </c>
      <c r="N1163" t="s">
        <v>98</v>
      </c>
      <c r="O1163" t="s">
        <v>266</v>
      </c>
      <c r="P1163" t="s">
        <v>276</v>
      </c>
    </row>
    <row r="1164" spans="1:16" ht="12.75" customHeight="1">
      <c r="A1164">
        <v>13</v>
      </c>
      <c r="B1164" t="s">
        <v>196</v>
      </c>
      <c r="C1164">
        <v>577</v>
      </c>
      <c r="D1164" t="s">
        <v>295</v>
      </c>
      <c r="E1164" t="s">
        <v>296</v>
      </c>
      <c r="F1164" s="2">
        <v>31857</v>
      </c>
      <c r="G1164" s="2">
        <v>31857</v>
      </c>
      <c r="H1164" s="2">
        <v>38336</v>
      </c>
      <c r="I1164" s="5">
        <v>39629</v>
      </c>
      <c r="K1164" s="2">
        <v>32392</v>
      </c>
      <c r="L1164" t="s">
        <v>297</v>
      </c>
      <c r="M1164" t="s">
        <v>297</v>
      </c>
      <c r="N1164" t="s">
        <v>99</v>
      </c>
      <c r="O1164" t="s">
        <v>266</v>
      </c>
      <c r="P1164" t="s">
        <v>276</v>
      </c>
    </row>
    <row r="1165" spans="1:16" ht="12.75" customHeight="1">
      <c r="A1165">
        <v>13</v>
      </c>
      <c r="B1165" t="s">
        <v>196</v>
      </c>
      <c r="C1165">
        <v>607</v>
      </c>
      <c r="D1165" t="s">
        <v>295</v>
      </c>
      <c r="E1165" t="s">
        <v>296</v>
      </c>
      <c r="F1165" s="2">
        <v>31969</v>
      </c>
      <c r="G1165" s="2">
        <v>31969</v>
      </c>
      <c r="H1165" s="2">
        <v>39323</v>
      </c>
      <c r="I1165" s="5">
        <v>36341</v>
      </c>
      <c r="K1165" s="2">
        <v>37336</v>
      </c>
      <c r="L1165" t="s">
        <v>297</v>
      </c>
      <c r="M1165" t="s">
        <v>297</v>
      </c>
      <c r="N1165" t="s">
        <v>100</v>
      </c>
      <c r="O1165" t="s">
        <v>266</v>
      </c>
      <c r="P1165" t="s">
        <v>276</v>
      </c>
    </row>
    <row r="1166" spans="1:16" ht="12.75" customHeight="1">
      <c r="A1166">
        <v>13</v>
      </c>
      <c r="B1166" t="s">
        <v>196</v>
      </c>
      <c r="C1166">
        <v>615</v>
      </c>
      <c r="D1166" t="s">
        <v>295</v>
      </c>
      <c r="E1166" t="s">
        <v>296</v>
      </c>
      <c r="F1166" s="2">
        <v>32039</v>
      </c>
      <c r="G1166" s="2">
        <v>32039</v>
      </c>
      <c r="H1166" s="2">
        <v>39282</v>
      </c>
      <c r="I1166" s="5">
        <v>37072</v>
      </c>
      <c r="K1166" s="2">
        <v>35242</v>
      </c>
      <c r="L1166" t="s">
        <v>297</v>
      </c>
      <c r="N1166" t="s">
        <v>101</v>
      </c>
      <c r="O1166" t="s">
        <v>266</v>
      </c>
      <c r="P1166" t="s">
        <v>276</v>
      </c>
    </row>
    <row r="1167" spans="1:16" ht="12.75" customHeight="1">
      <c r="A1167">
        <v>13</v>
      </c>
      <c r="B1167" t="s">
        <v>196</v>
      </c>
      <c r="C1167">
        <v>633</v>
      </c>
      <c r="D1167" t="s">
        <v>295</v>
      </c>
      <c r="E1167" t="s">
        <v>296</v>
      </c>
      <c r="F1167" s="2">
        <v>32220</v>
      </c>
      <c r="G1167" s="2">
        <v>32220</v>
      </c>
      <c r="H1167" s="2">
        <v>39466</v>
      </c>
      <c r="I1167" s="5">
        <v>32176</v>
      </c>
      <c r="K1167" s="2">
        <v>38035</v>
      </c>
      <c r="L1167" t="s">
        <v>297</v>
      </c>
      <c r="M1167" t="s">
        <v>297</v>
      </c>
      <c r="N1167" t="s">
        <v>102</v>
      </c>
      <c r="O1167" t="s">
        <v>266</v>
      </c>
      <c r="P1167" t="s">
        <v>276</v>
      </c>
    </row>
    <row r="1168" spans="1:16" ht="12.75" customHeight="1">
      <c r="A1168">
        <v>13</v>
      </c>
      <c r="B1168" t="s">
        <v>196</v>
      </c>
      <c r="C1168">
        <v>929</v>
      </c>
      <c r="D1168" t="s">
        <v>295</v>
      </c>
      <c r="E1168" t="s">
        <v>296</v>
      </c>
      <c r="F1168" s="2">
        <v>34317</v>
      </c>
      <c r="G1168" s="2">
        <v>35511</v>
      </c>
      <c r="H1168" s="2">
        <v>39495</v>
      </c>
      <c r="I1168" s="5">
        <v>39629</v>
      </c>
      <c r="J1168" s="2">
        <v>37932</v>
      </c>
      <c r="K1168" s="2">
        <v>38587</v>
      </c>
      <c r="L1168" t="s">
        <v>297</v>
      </c>
      <c r="M1168" t="s">
        <v>297</v>
      </c>
      <c r="N1168" t="s">
        <v>103</v>
      </c>
      <c r="O1168" t="s">
        <v>266</v>
      </c>
      <c r="P1168" t="s">
        <v>276</v>
      </c>
    </row>
    <row r="1169" spans="1:16" ht="12.75" customHeight="1">
      <c r="A1169" t="s">
        <v>266</v>
      </c>
      <c r="B1169" t="s">
        <v>276</v>
      </c>
    </row>
    <row r="1170" spans="1:16" ht="12.75" customHeight="1">
      <c r="A1170">
        <v>13</v>
      </c>
      <c r="B1170" t="s">
        <v>297</v>
      </c>
      <c r="C1170">
        <v>90</v>
      </c>
      <c r="D1170" t="s">
        <v>295</v>
      </c>
      <c r="E1170" t="s">
        <v>296</v>
      </c>
      <c r="F1170" s="2">
        <v>27591</v>
      </c>
      <c r="G1170" s="2">
        <v>28565</v>
      </c>
      <c r="H1170" s="2">
        <v>39304</v>
      </c>
      <c r="I1170" s="5">
        <v>37011</v>
      </c>
      <c r="K1170" s="2">
        <v>32896</v>
      </c>
      <c r="L1170" t="s">
        <v>297</v>
      </c>
      <c r="N1170" t="s">
        <v>104</v>
      </c>
      <c r="O1170" t="s">
        <v>266</v>
      </c>
      <c r="P1170" t="s">
        <v>277</v>
      </c>
    </row>
    <row r="1171" spans="1:16" ht="12.75" customHeight="1">
      <c r="A1171">
        <v>13</v>
      </c>
      <c r="B1171" t="s">
        <v>297</v>
      </c>
      <c r="C1171">
        <v>293</v>
      </c>
      <c r="D1171" t="s">
        <v>295</v>
      </c>
      <c r="E1171" t="s">
        <v>296</v>
      </c>
      <c r="F1171" s="2">
        <v>29637</v>
      </c>
      <c r="G1171" s="2">
        <v>30394</v>
      </c>
      <c r="H1171" s="2">
        <v>39301</v>
      </c>
      <c r="I1171" s="5">
        <v>38533</v>
      </c>
      <c r="J1171" s="2">
        <v>34212</v>
      </c>
      <c r="K1171" s="2">
        <v>34150</v>
      </c>
      <c r="L1171" t="s">
        <v>339</v>
      </c>
      <c r="M1171" t="s">
        <v>297</v>
      </c>
      <c r="N1171" t="s">
        <v>105</v>
      </c>
      <c r="O1171" t="s">
        <v>266</v>
      </c>
      <c r="P1171" t="s">
        <v>277</v>
      </c>
    </row>
    <row r="1172" spans="1:16" ht="12.75" customHeight="1">
      <c r="A1172">
        <v>13</v>
      </c>
      <c r="B1172" t="s">
        <v>297</v>
      </c>
      <c r="C1172">
        <v>516</v>
      </c>
      <c r="D1172" t="s">
        <v>295</v>
      </c>
      <c r="E1172" t="s">
        <v>296</v>
      </c>
      <c r="F1172" s="2">
        <v>31437</v>
      </c>
      <c r="G1172" s="2">
        <v>31437</v>
      </c>
      <c r="H1172" s="2">
        <v>39322</v>
      </c>
      <c r="I1172" s="5">
        <v>38898</v>
      </c>
      <c r="K1172" s="2">
        <v>36389</v>
      </c>
      <c r="L1172" t="s">
        <v>297</v>
      </c>
      <c r="M1172" t="s">
        <v>297</v>
      </c>
      <c r="N1172" t="s">
        <v>106</v>
      </c>
      <c r="O1172" t="s">
        <v>266</v>
      </c>
      <c r="P1172" t="s">
        <v>277</v>
      </c>
    </row>
    <row r="1173" spans="1:16" ht="12.75" customHeight="1">
      <c r="A1173">
        <v>13</v>
      </c>
      <c r="B1173" t="s">
        <v>297</v>
      </c>
      <c r="C1173">
        <v>519</v>
      </c>
      <c r="D1173" t="s">
        <v>295</v>
      </c>
      <c r="E1173" t="s">
        <v>296</v>
      </c>
      <c r="F1173" s="2">
        <v>31437</v>
      </c>
      <c r="G1173" s="2">
        <v>31437</v>
      </c>
      <c r="H1173" s="2">
        <v>39302</v>
      </c>
      <c r="I1173" s="5">
        <v>37437</v>
      </c>
      <c r="K1173" s="2">
        <v>34068</v>
      </c>
      <c r="L1173" t="s">
        <v>297</v>
      </c>
      <c r="M1173" t="s">
        <v>297</v>
      </c>
      <c r="N1173" t="s">
        <v>107</v>
      </c>
      <c r="O1173" t="s">
        <v>266</v>
      </c>
      <c r="P1173" t="s">
        <v>277</v>
      </c>
    </row>
    <row r="1174" spans="1:16" ht="12.75" customHeight="1">
      <c r="A1174">
        <v>13</v>
      </c>
      <c r="B1174" t="s">
        <v>297</v>
      </c>
      <c r="C1174">
        <v>578</v>
      </c>
      <c r="D1174" t="s">
        <v>295</v>
      </c>
      <c r="E1174" t="s">
        <v>296</v>
      </c>
      <c r="F1174" s="2">
        <v>31857</v>
      </c>
      <c r="G1174" s="2">
        <v>31857</v>
      </c>
      <c r="H1174" s="2">
        <v>39310</v>
      </c>
      <c r="I1174" s="5">
        <v>38168</v>
      </c>
      <c r="K1174" s="2">
        <v>38020</v>
      </c>
      <c r="L1174" t="s">
        <v>297</v>
      </c>
      <c r="M1174" t="s">
        <v>297</v>
      </c>
      <c r="N1174" t="s">
        <v>108</v>
      </c>
      <c r="O1174" t="s">
        <v>266</v>
      </c>
      <c r="P1174" t="s">
        <v>277</v>
      </c>
    </row>
    <row r="1175" spans="1:16" ht="12.75" customHeight="1">
      <c r="A1175">
        <v>13</v>
      </c>
      <c r="B1175" t="s">
        <v>297</v>
      </c>
      <c r="C1175">
        <v>684</v>
      </c>
      <c r="D1175" t="s">
        <v>295</v>
      </c>
      <c r="E1175" t="s">
        <v>296</v>
      </c>
      <c r="F1175" s="2">
        <v>32647</v>
      </c>
      <c r="G1175" s="2">
        <v>32648</v>
      </c>
      <c r="H1175" s="2">
        <v>39485</v>
      </c>
      <c r="I1175" s="5">
        <v>38352</v>
      </c>
      <c r="K1175" s="2">
        <v>39190</v>
      </c>
      <c r="L1175" t="s">
        <v>297</v>
      </c>
      <c r="M1175" t="s">
        <v>297</v>
      </c>
      <c r="N1175" t="s">
        <v>109</v>
      </c>
      <c r="O1175" t="s">
        <v>266</v>
      </c>
      <c r="P1175" t="s">
        <v>277</v>
      </c>
    </row>
    <row r="1176" spans="1:16" ht="12.75" customHeight="1">
      <c r="A1176">
        <v>13</v>
      </c>
      <c r="B1176" t="s">
        <v>297</v>
      </c>
      <c r="C1176">
        <v>687</v>
      </c>
      <c r="D1176" t="s">
        <v>295</v>
      </c>
      <c r="E1176" t="s">
        <v>296</v>
      </c>
      <c r="F1176" s="2">
        <v>32647</v>
      </c>
      <c r="G1176" s="2">
        <v>32648</v>
      </c>
      <c r="H1176" s="2">
        <v>39009</v>
      </c>
      <c r="I1176" s="5">
        <v>37301</v>
      </c>
      <c r="K1176" s="2">
        <v>36328</v>
      </c>
      <c r="L1176" t="s">
        <v>297</v>
      </c>
      <c r="N1176" t="s">
        <v>110</v>
      </c>
      <c r="O1176" t="s">
        <v>266</v>
      </c>
      <c r="P1176" t="s">
        <v>277</v>
      </c>
    </row>
    <row r="1177" spans="1:16" ht="12.75" customHeight="1">
      <c r="A1177">
        <v>13</v>
      </c>
      <c r="B1177" t="s">
        <v>297</v>
      </c>
      <c r="C1177">
        <v>690</v>
      </c>
      <c r="D1177" t="s">
        <v>295</v>
      </c>
      <c r="E1177" t="s">
        <v>296</v>
      </c>
      <c r="F1177" s="2">
        <v>32647</v>
      </c>
      <c r="G1177" s="2">
        <v>32648</v>
      </c>
      <c r="H1177" s="2">
        <v>39396</v>
      </c>
      <c r="I1177" s="5">
        <v>39629</v>
      </c>
      <c r="K1177" s="2">
        <v>36175</v>
      </c>
      <c r="L1177" t="s">
        <v>297</v>
      </c>
      <c r="M1177" t="s">
        <v>297</v>
      </c>
      <c r="N1177" t="s">
        <v>111</v>
      </c>
      <c r="O1177" t="s">
        <v>266</v>
      </c>
      <c r="P1177" t="s">
        <v>277</v>
      </c>
    </row>
    <row r="1178" spans="1:16" ht="12.75" customHeight="1">
      <c r="A1178">
        <v>13</v>
      </c>
      <c r="B1178" t="s">
        <v>297</v>
      </c>
      <c r="C1178">
        <v>692</v>
      </c>
      <c r="D1178" t="s">
        <v>295</v>
      </c>
      <c r="E1178" t="s">
        <v>296</v>
      </c>
      <c r="F1178" s="2">
        <v>32646</v>
      </c>
      <c r="G1178" s="2">
        <v>32648</v>
      </c>
      <c r="H1178" s="2">
        <v>39423</v>
      </c>
      <c r="I1178" s="5">
        <v>33633</v>
      </c>
      <c r="K1178" s="2">
        <v>39423</v>
      </c>
      <c r="L1178" t="s">
        <v>297</v>
      </c>
      <c r="M1178" t="s">
        <v>297</v>
      </c>
      <c r="N1178" t="s">
        <v>112</v>
      </c>
      <c r="O1178" t="s">
        <v>266</v>
      </c>
      <c r="P1178" t="s">
        <v>277</v>
      </c>
    </row>
    <row r="1179" spans="1:16" ht="12.75" customHeight="1">
      <c r="A1179">
        <v>13</v>
      </c>
      <c r="B1179" t="s">
        <v>297</v>
      </c>
      <c r="C1179">
        <v>1100</v>
      </c>
      <c r="D1179" t="s">
        <v>295</v>
      </c>
      <c r="E1179" t="s">
        <v>299</v>
      </c>
      <c r="F1179" s="2">
        <v>35149</v>
      </c>
      <c r="H1179" s="2">
        <v>36570</v>
      </c>
      <c r="I1179" s="5">
        <v>35611</v>
      </c>
      <c r="K1179" s="2">
        <v>35171</v>
      </c>
      <c r="L1179" t="s">
        <v>297</v>
      </c>
      <c r="N1179" t="s">
        <v>113</v>
      </c>
      <c r="O1179" t="s">
        <v>266</v>
      </c>
      <c r="P1179" t="s">
        <v>277</v>
      </c>
    </row>
    <row r="1180" spans="1:16" ht="12.75" customHeight="1">
      <c r="A1180">
        <v>13</v>
      </c>
      <c r="B1180" t="s">
        <v>297</v>
      </c>
      <c r="C1180">
        <v>1138</v>
      </c>
      <c r="D1180" t="s">
        <v>295</v>
      </c>
      <c r="E1180" t="s">
        <v>299</v>
      </c>
      <c r="F1180" s="2">
        <v>35290</v>
      </c>
      <c r="H1180" s="2">
        <v>39359</v>
      </c>
      <c r="I1180" s="5">
        <v>37865</v>
      </c>
      <c r="K1180" s="2">
        <v>38800</v>
      </c>
      <c r="L1180" t="s">
        <v>297</v>
      </c>
      <c r="M1180" t="s">
        <v>297</v>
      </c>
      <c r="N1180" t="s">
        <v>114</v>
      </c>
      <c r="O1180" t="s">
        <v>266</v>
      </c>
      <c r="P1180" t="s">
        <v>277</v>
      </c>
    </row>
    <row r="1181" spans="1:16" ht="12.75" customHeight="1">
      <c r="A1181" t="s">
        <v>266</v>
      </c>
      <c r="B1181" t="s">
        <v>277</v>
      </c>
    </row>
    <row r="1182" spans="1:16" ht="12.75" customHeight="1">
      <c r="A1182" t="s">
        <v>115</v>
      </c>
    </row>
    <row r="1183" spans="1:16" ht="12.75" customHeight="1">
      <c r="A1183">
        <v>14</v>
      </c>
      <c r="B1183" t="s">
        <v>140</v>
      </c>
      <c r="C1183">
        <v>191</v>
      </c>
      <c r="D1183" t="s">
        <v>295</v>
      </c>
      <c r="E1183" t="s">
        <v>296</v>
      </c>
      <c r="F1183" s="2">
        <v>28684</v>
      </c>
      <c r="G1183" s="2">
        <v>32980</v>
      </c>
      <c r="H1183" s="2">
        <v>39183</v>
      </c>
      <c r="I1183" s="5">
        <v>39629</v>
      </c>
      <c r="J1183" s="2">
        <v>38775</v>
      </c>
      <c r="K1183" s="2">
        <v>33543</v>
      </c>
      <c r="L1183" t="s">
        <v>297</v>
      </c>
      <c r="M1183" t="s">
        <v>297</v>
      </c>
      <c r="N1183" t="s">
        <v>116</v>
      </c>
      <c r="O1183" t="s">
        <v>278</v>
      </c>
      <c r="P1183" t="s">
        <v>279</v>
      </c>
    </row>
    <row r="1184" spans="1:16" ht="12.75" customHeight="1">
      <c r="A1184">
        <v>14</v>
      </c>
      <c r="B1184" t="s">
        <v>140</v>
      </c>
      <c r="C1184">
        <v>450</v>
      </c>
      <c r="D1184" t="s">
        <v>295</v>
      </c>
      <c r="E1184" t="s">
        <v>296</v>
      </c>
      <c r="F1184" s="2">
        <v>31052</v>
      </c>
      <c r="G1184" s="2">
        <v>31556</v>
      </c>
      <c r="H1184" s="2">
        <v>38554</v>
      </c>
      <c r="I1184" s="5">
        <v>39263</v>
      </c>
      <c r="J1184" s="2">
        <v>38355</v>
      </c>
      <c r="K1184" s="2">
        <v>36356</v>
      </c>
      <c r="L1184" t="s">
        <v>297</v>
      </c>
      <c r="M1184" t="s">
        <v>297</v>
      </c>
      <c r="N1184" t="s">
        <v>117</v>
      </c>
      <c r="O1184" t="s">
        <v>278</v>
      </c>
      <c r="P1184" t="s">
        <v>279</v>
      </c>
    </row>
    <row r="1185" spans="1:16" ht="12.75" customHeight="1">
      <c r="A1185">
        <v>14</v>
      </c>
      <c r="B1185" t="s">
        <v>140</v>
      </c>
      <c r="C1185">
        <v>520</v>
      </c>
      <c r="D1185" t="s">
        <v>348</v>
      </c>
      <c r="E1185" t="s">
        <v>316</v>
      </c>
      <c r="F1185" s="2">
        <v>31493</v>
      </c>
      <c r="G1185" s="2">
        <v>33452</v>
      </c>
      <c r="H1185" s="2">
        <v>34631</v>
      </c>
      <c r="I1185" s="5">
        <v>34745</v>
      </c>
      <c r="K1185" s="2">
        <v>33941</v>
      </c>
      <c r="L1185" t="s">
        <v>317</v>
      </c>
      <c r="M1185" t="s">
        <v>297</v>
      </c>
      <c r="O1185" t="s">
        <v>278</v>
      </c>
      <c r="P1185" t="s">
        <v>279</v>
      </c>
    </row>
    <row r="1186" spans="1:16" ht="12.75" customHeight="1">
      <c r="A1186">
        <v>14</v>
      </c>
      <c r="B1186" t="s">
        <v>140</v>
      </c>
      <c r="C1186">
        <v>614</v>
      </c>
      <c r="D1186" t="s">
        <v>295</v>
      </c>
      <c r="E1186" t="s">
        <v>299</v>
      </c>
      <c r="F1186" s="2">
        <v>32039</v>
      </c>
      <c r="G1186" s="2">
        <v>38723</v>
      </c>
      <c r="H1186" s="2">
        <v>38734</v>
      </c>
      <c r="I1186" s="5">
        <v>39082</v>
      </c>
      <c r="J1186" s="2">
        <v>38728</v>
      </c>
      <c r="K1186" s="2">
        <v>38728</v>
      </c>
      <c r="L1186" t="s">
        <v>297</v>
      </c>
      <c r="M1186" t="s">
        <v>297</v>
      </c>
      <c r="N1186" t="s">
        <v>118</v>
      </c>
      <c r="O1186" t="s">
        <v>278</v>
      </c>
      <c r="P1186" t="s">
        <v>279</v>
      </c>
    </row>
    <row r="1187" spans="1:16" ht="12.75" customHeight="1">
      <c r="A1187">
        <v>14</v>
      </c>
      <c r="B1187" t="s">
        <v>140</v>
      </c>
      <c r="C1187">
        <v>838</v>
      </c>
      <c r="D1187" t="s">
        <v>295</v>
      </c>
      <c r="E1187" t="s">
        <v>296</v>
      </c>
      <c r="F1187" s="2">
        <v>36213</v>
      </c>
      <c r="G1187" s="2">
        <v>38734</v>
      </c>
      <c r="H1187" s="2">
        <v>38979</v>
      </c>
      <c r="I1187" s="5">
        <v>39263</v>
      </c>
      <c r="J1187" s="2">
        <v>38973</v>
      </c>
      <c r="L1187" t="s">
        <v>322</v>
      </c>
      <c r="M1187" t="s">
        <v>297</v>
      </c>
      <c r="N1187" t="s">
        <v>119</v>
      </c>
      <c r="O1187" t="s">
        <v>278</v>
      </c>
      <c r="P1187" t="s">
        <v>279</v>
      </c>
    </row>
    <row r="1188" spans="1:16" ht="12.75" customHeight="1">
      <c r="A1188">
        <v>14</v>
      </c>
      <c r="B1188" t="s">
        <v>140</v>
      </c>
      <c r="C1188">
        <v>1223</v>
      </c>
      <c r="D1188" t="s">
        <v>380</v>
      </c>
      <c r="E1188" t="s">
        <v>316</v>
      </c>
      <c r="F1188" s="2">
        <v>35737</v>
      </c>
      <c r="H1188" s="2">
        <v>36508</v>
      </c>
      <c r="L1188" t="s">
        <v>297</v>
      </c>
      <c r="M1188" t="s">
        <v>297</v>
      </c>
      <c r="O1188" t="s">
        <v>278</v>
      </c>
      <c r="P1188" t="s">
        <v>279</v>
      </c>
    </row>
    <row r="1189" spans="1:16" ht="12.75" customHeight="1">
      <c r="A1189" t="s">
        <v>278</v>
      </c>
      <c r="B1189" t="s">
        <v>279</v>
      </c>
    </row>
    <row r="1190" spans="1:16" ht="12.75" customHeight="1">
      <c r="A1190">
        <v>14</v>
      </c>
      <c r="B1190" t="s">
        <v>376</v>
      </c>
      <c r="C1190">
        <v>345</v>
      </c>
      <c r="D1190" t="s">
        <v>295</v>
      </c>
      <c r="E1190" t="s">
        <v>296</v>
      </c>
      <c r="F1190" s="2">
        <v>30029</v>
      </c>
      <c r="G1190" s="2">
        <v>30394</v>
      </c>
      <c r="H1190" s="2">
        <v>39115</v>
      </c>
      <c r="I1190" s="5">
        <v>39629</v>
      </c>
      <c r="J1190" s="2">
        <v>35748</v>
      </c>
      <c r="K1190" s="2">
        <v>39051</v>
      </c>
      <c r="L1190" t="s">
        <v>297</v>
      </c>
      <c r="M1190" t="s">
        <v>297</v>
      </c>
      <c r="N1190" t="s">
        <v>120</v>
      </c>
      <c r="O1190" t="s">
        <v>278</v>
      </c>
      <c r="P1190" t="s">
        <v>280</v>
      </c>
    </row>
    <row r="1191" spans="1:16" ht="12.75" customHeight="1">
      <c r="A1191">
        <v>14</v>
      </c>
      <c r="B1191" t="s">
        <v>376</v>
      </c>
      <c r="C1191">
        <v>644</v>
      </c>
      <c r="D1191" t="s">
        <v>295</v>
      </c>
      <c r="E1191" t="s">
        <v>296</v>
      </c>
      <c r="F1191" s="2">
        <v>32423</v>
      </c>
      <c r="G1191" s="2">
        <v>32424</v>
      </c>
      <c r="H1191" s="2">
        <v>39358</v>
      </c>
      <c r="I1191" s="5">
        <v>39629</v>
      </c>
      <c r="J1191" s="2">
        <v>38525</v>
      </c>
      <c r="K1191" s="2">
        <v>38526</v>
      </c>
      <c r="L1191" t="s">
        <v>297</v>
      </c>
      <c r="M1191" t="s">
        <v>297</v>
      </c>
      <c r="N1191" t="s">
        <v>121</v>
      </c>
      <c r="O1191" t="s">
        <v>278</v>
      </c>
      <c r="P1191" t="s">
        <v>280</v>
      </c>
    </row>
    <row r="1192" spans="1:16" ht="12.75" customHeight="1">
      <c r="A1192">
        <v>14</v>
      </c>
      <c r="B1192" t="s">
        <v>376</v>
      </c>
      <c r="C1192">
        <v>1267</v>
      </c>
      <c r="D1192" t="s">
        <v>295</v>
      </c>
      <c r="E1192" t="s">
        <v>296</v>
      </c>
      <c r="F1192" s="2">
        <v>36017</v>
      </c>
      <c r="G1192" s="2">
        <v>36675</v>
      </c>
      <c r="H1192" s="2">
        <v>38946</v>
      </c>
      <c r="I1192" s="5">
        <v>39263</v>
      </c>
      <c r="J1192" s="2">
        <v>38946</v>
      </c>
      <c r="K1192" s="2">
        <v>38946</v>
      </c>
      <c r="L1192" t="s">
        <v>297</v>
      </c>
      <c r="M1192" t="s">
        <v>297</v>
      </c>
      <c r="N1192" t="s">
        <v>122</v>
      </c>
      <c r="O1192" t="s">
        <v>278</v>
      </c>
      <c r="P1192" t="s">
        <v>280</v>
      </c>
    </row>
    <row r="1193" spans="1:16" ht="12.75" customHeight="1">
      <c r="A1193">
        <v>14</v>
      </c>
      <c r="B1193" t="s">
        <v>376</v>
      </c>
      <c r="C1193">
        <v>1370</v>
      </c>
      <c r="D1193" t="s">
        <v>295</v>
      </c>
      <c r="E1193" t="s">
        <v>296</v>
      </c>
      <c r="F1193" s="2">
        <v>36958</v>
      </c>
      <c r="G1193" s="2">
        <v>38548</v>
      </c>
      <c r="H1193" s="2">
        <v>39469</v>
      </c>
      <c r="I1193" s="5">
        <v>39082</v>
      </c>
      <c r="L1193" t="s">
        <v>297</v>
      </c>
      <c r="M1193" t="s">
        <v>297</v>
      </c>
      <c r="N1193" t="s">
        <v>123</v>
      </c>
      <c r="O1193" t="s">
        <v>278</v>
      </c>
      <c r="P1193" t="s">
        <v>280</v>
      </c>
    </row>
    <row r="1194" spans="1:16" ht="12.75" customHeight="1">
      <c r="A1194">
        <v>14</v>
      </c>
      <c r="B1194" t="s">
        <v>376</v>
      </c>
      <c r="C1194">
        <v>1396</v>
      </c>
      <c r="D1194" t="s">
        <v>380</v>
      </c>
      <c r="E1194" t="s">
        <v>376</v>
      </c>
      <c r="F1194" s="2">
        <v>37194</v>
      </c>
      <c r="H1194" s="2">
        <v>37194</v>
      </c>
      <c r="I1194" s="5">
        <v>37407</v>
      </c>
      <c r="L1194" t="s">
        <v>322</v>
      </c>
      <c r="M1194" t="s">
        <v>297</v>
      </c>
      <c r="N1194" t="s">
        <v>318</v>
      </c>
      <c r="O1194" t="s">
        <v>278</v>
      </c>
      <c r="P1194" t="s">
        <v>280</v>
      </c>
    </row>
    <row r="1195" spans="1:16" ht="12.75" customHeight="1">
      <c r="A1195">
        <v>14</v>
      </c>
      <c r="B1195" t="s">
        <v>376</v>
      </c>
      <c r="C1195">
        <v>1427</v>
      </c>
      <c r="D1195" t="s">
        <v>315</v>
      </c>
      <c r="E1195" t="s">
        <v>316</v>
      </c>
      <c r="F1195" s="2">
        <v>37524</v>
      </c>
      <c r="H1195" s="2">
        <v>37524</v>
      </c>
      <c r="I1195" s="5">
        <v>37909</v>
      </c>
      <c r="L1195" t="s">
        <v>297</v>
      </c>
      <c r="M1195" t="s">
        <v>297</v>
      </c>
      <c r="O1195" t="s">
        <v>278</v>
      </c>
      <c r="P1195" t="s">
        <v>280</v>
      </c>
    </row>
    <row r="1196" spans="1:16" ht="12.75" customHeight="1">
      <c r="A1196">
        <v>14</v>
      </c>
      <c r="B1196" t="s">
        <v>376</v>
      </c>
      <c r="C1196">
        <v>1452</v>
      </c>
      <c r="D1196" t="s">
        <v>295</v>
      </c>
      <c r="E1196" t="s">
        <v>299</v>
      </c>
      <c r="F1196" s="2">
        <v>37760</v>
      </c>
      <c r="H1196" s="2">
        <v>39351</v>
      </c>
      <c r="I1196" s="5">
        <v>39629</v>
      </c>
      <c r="J1196" s="2">
        <v>39350</v>
      </c>
      <c r="K1196" s="2">
        <v>39350</v>
      </c>
      <c r="L1196" t="s">
        <v>297</v>
      </c>
      <c r="M1196" t="s">
        <v>322</v>
      </c>
      <c r="N1196" t="s">
        <v>124</v>
      </c>
      <c r="O1196" t="s">
        <v>278</v>
      </c>
      <c r="P1196" t="s">
        <v>280</v>
      </c>
    </row>
    <row r="1197" spans="1:16" ht="12.75" customHeight="1">
      <c r="A1197">
        <v>14</v>
      </c>
      <c r="B1197" t="s">
        <v>376</v>
      </c>
      <c r="C1197">
        <v>1470</v>
      </c>
      <c r="D1197" t="s">
        <v>408</v>
      </c>
      <c r="E1197" t="s">
        <v>376</v>
      </c>
      <c r="F1197" s="2">
        <v>38056</v>
      </c>
      <c r="H1197" s="2">
        <v>38056</v>
      </c>
      <c r="I1197" s="5">
        <v>38504</v>
      </c>
      <c r="L1197" t="s">
        <v>322</v>
      </c>
      <c r="M1197" t="s">
        <v>322</v>
      </c>
      <c r="O1197" t="s">
        <v>278</v>
      </c>
      <c r="P1197" t="s">
        <v>280</v>
      </c>
    </row>
    <row r="1198" spans="1:16" ht="12.75" customHeight="1">
      <c r="A1198">
        <v>14</v>
      </c>
      <c r="B1198" t="s">
        <v>376</v>
      </c>
      <c r="C1198">
        <v>1521</v>
      </c>
      <c r="D1198" t="s">
        <v>295</v>
      </c>
      <c r="E1198" t="s">
        <v>299</v>
      </c>
      <c r="F1198" s="2">
        <v>38869</v>
      </c>
      <c r="H1198" s="2">
        <v>39358</v>
      </c>
      <c r="I1198" s="5">
        <v>39629</v>
      </c>
      <c r="L1198" t="s">
        <v>297</v>
      </c>
      <c r="M1198" t="s">
        <v>322</v>
      </c>
      <c r="N1198" t="s">
        <v>125</v>
      </c>
      <c r="O1198" t="s">
        <v>278</v>
      </c>
      <c r="P1198" t="s">
        <v>280</v>
      </c>
    </row>
    <row r="1199" spans="1:16" ht="12.75" customHeight="1">
      <c r="A1199">
        <v>14</v>
      </c>
      <c r="B1199" t="s">
        <v>376</v>
      </c>
      <c r="C1199">
        <v>1531</v>
      </c>
      <c r="D1199" t="s">
        <v>295</v>
      </c>
      <c r="E1199" t="s">
        <v>299</v>
      </c>
      <c r="F1199" s="2">
        <v>38887</v>
      </c>
      <c r="H1199" s="2">
        <v>38979</v>
      </c>
      <c r="I1199" s="5">
        <v>39263</v>
      </c>
      <c r="J1199" s="2">
        <v>38898</v>
      </c>
      <c r="L1199" t="s">
        <v>297</v>
      </c>
      <c r="M1199" t="s">
        <v>297</v>
      </c>
      <c r="N1199" t="s">
        <v>126</v>
      </c>
      <c r="O1199" t="s">
        <v>278</v>
      </c>
      <c r="P1199" t="s">
        <v>280</v>
      </c>
    </row>
    <row r="1200" spans="1:16" ht="12.75" customHeight="1">
      <c r="A1200">
        <v>14</v>
      </c>
      <c r="B1200" t="s">
        <v>376</v>
      </c>
      <c r="C1200">
        <v>1548</v>
      </c>
      <c r="D1200" t="s">
        <v>295</v>
      </c>
      <c r="E1200" t="s">
        <v>299</v>
      </c>
      <c r="F1200" s="2">
        <v>39264</v>
      </c>
      <c r="H1200" s="2">
        <v>39260</v>
      </c>
      <c r="I1200" s="5">
        <v>39629</v>
      </c>
      <c r="L1200" t="s">
        <v>297</v>
      </c>
      <c r="M1200" t="s">
        <v>297</v>
      </c>
      <c r="N1200" t="s">
        <v>127</v>
      </c>
      <c r="O1200" t="s">
        <v>278</v>
      </c>
      <c r="P1200" t="s">
        <v>280</v>
      </c>
    </row>
    <row r="1201" spans="1:16" ht="12.75" customHeight="1">
      <c r="A1201" t="s">
        <v>278</v>
      </c>
      <c r="B1201" t="s">
        <v>280</v>
      </c>
    </row>
    <row r="1202" spans="1:16" ht="12.75" customHeight="1">
      <c r="A1202">
        <v>14</v>
      </c>
      <c r="B1202" t="s">
        <v>176</v>
      </c>
      <c r="C1202">
        <v>660</v>
      </c>
      <c r="D1202" t="s">
        <v>295</v>
      </c>
      <c r="E1202" t="s">
        <v>296</v>
      </c>
      <c r="F1202" s="2">
        <v>32612</v>
      </c>
      <c r="G1202" s="2">
        <v>33067</v>
      </c>
      <c r="H1202" s="2">
        <v>38850</v>
      </c>
      <c r="I1202" s="5">
        <v>39263</v>
      </c>
      <c r="J1202" s="2">
        <v>38775</v>
      </c>
      <c r="K1202" s="2">
        <v>38777</v>
      </c>
      <c r="L1202" t="s">
        <v>297</v>
      </c>
      <c r="M1202" t="s">
        <v>297</v>
      </c>
      <c r="N1202" t="s">
        <v>128</v>
      </c>
      <c r="O1202" t="s">
        <v>278</v>
      </c>
      <c r="P1202" t="s">
        <v>281</v>
      </c>
    </row>
    <row r="1203" spans="1:16" ht="12.75" customHeight="1">
      <c r="A1203">
        <v>14</v>
      </c>
      <c r="B1203" t="s">
        <v>176</v>
      </c>
      <c r="C1203">
        <v>705</v>
      </c>
      <c r="D1203" t="s">
        <v>295</v>
      </c>
      <c r="E1203" t="s">
        <v>296</v>
      </c>
      <c r="F1203" s="2">
        <v>32816</v>
      </c>
      <c r="G1203" s="2">
        <v>33684</v>
      </c>
      <c r="H1203" s="2">
        <v>39413</v>
      </c>
      <c r="I1203" s="5">
        <v>39629</v>
      </c>
      <c r="K1203" s="2">
        <v>35670</v>
      </c>
      <c r="L1203" t="s">
        <v>297</v>
      </c>
      <c r="M1203" t="s">
        <v>297</v>
      </c>
      <c r="N1203" t="s">
        <v>129</v>
      </c>
      <c r="O1203" t="s">
        <v>278</v>
      </c>
      <c r="P1203" t="s">
        <v>281</v>
      </c>
    </row>
    <row r="1204" spans="1:16" ht="12.75" customHeight="1">
      <c r="A1204">
        <v>14</v>
      </c>
      <c r="B1204" t="s">
        <v>176</v>
      </c>
      <c r="C1204">
        <v>805</v>
      </c>
      <c r="D1204" t="s">
        <v>295</v>
      </c>
      <c r="E1204" t="s">
        <v>296</v>
      </c>
      <c r="F1204" s="2">
        <v>33487</v>
      </c>
      <c r="G1204" s="2">
        <v>33675</v>
      </c>
      <c r="H1204" s="2">
        <v>39491</v>
      </c>
      <c r="I1204" s="5">
        <v>39263</v>
      </c>
      <c r="K1204" s="2">
        <v>36238</v>
      </c>
      <c r="L1204" t="s">
        <v>297</v>
      </c>
      <c r="M1204" t="s">
        <v>297</v>
      </c>
      <c r="N1204" t="s">
        <v>130</v>
      </c>
      <c r="O1204" t="s">
        <v>278</v>
      </c>
      <c r="P1204" t="s">
        <v>281</v>
      </c>
    </row>
    <row r="1205" spans="1:16" ht="12.75" customHeight="1">
      <c r="A1205">
        <v>14</v>
      </c>
      <c r="B1205" t="s">
        <v>176</v>
      </c>
      <c r="C1205">
        <v>864</v>
      </c>
      <c r="D1205" t="s">
        <v>295</v>
      </c>
      <c r="E1205" t="s">
        <v>296</v>
      </c>
      <c r="F1205" s="2">
        <v>33879</v>
      </c>
      <c r="G1205" s="2">
        <v>33994</v>
      </c>
      <c r="H1205" s="2">
        <v>39513</v>
      </c>
      <c r="I1205" s="5">
        <v>39629</v>
      </c>
      <c r="J1205" s="2">
        <v>39232</v>
      </c>
      <c r="K1205" s="2">
        <v>39315</v>
      </c>
      <c r="L1205" t="s">
        <v>297</v>
      </c>
      <c r="M1205" t="s">
        <v>297</v>
      </c>
      <c r="N1205" t="s">
        <v>131</v>
      </c>
      <c r="O1205" t="s">
        <v>278</v>
      </c>
      <c r="P1205" t="s">
        <v>281</v>
      </c>
    </row>
    <row r="1206" spans="1:16" ht="12.75" customHeight="1">
      <c r="A1206">
        <v>14</v>
      </c>
      <c r="B1206" t="s">
        <v>176</v>
      </c>
      <c r="C1206">
        <v>901</v>
      </c>
      <c r="D1206" t="s">
        <v>295</v>
      </c>
      <c r="E1206" t="s">
        <v>296</v>
      </c>
      <c r="F1206" s="2">
        <v>34178</v>
      </c>
      <c r="G1206" s="2">
        <v>37036</v>
      </c>
      <c r="H1206" s="2">
        <v>39319</v>
      </c>
      <c r="I1206" s="5">
        <v>39629</v>
      </c>
      <c r="K1206" s="2">
        <v>38548</v>
      </c>
      <c r="L1206" t="s">
        <v>297</v>
      </c>
      <c r="M1206" t="s">
        <v>297</v>
      </c>
      <c r="N1206" t="s">
        <v>132</v>
      </c>
      <c r="O1206" t="s">
        <v>278</v>
      </c>
      <c r="P1206" t="s">
        <v>281</v>
      </c>
    </row>
    <row r="1207" spans="1:16" ht="12.75" customHeight="1">
      <c r="A1207" t="s">
        <v>278</v>
      </c>
      <c r="B1207" t="s">
        <v>281</v>
      </c>
    </row>
    <row r="1208" spans="1:16" ht="12.75" customHeight="1">
      <c r="A1208">
        <v>14</v>
      </c>
      <c r="B1208" t="s">
        <v>186</v>
      </c>
      <c r="C1208">
        <v>1212</v>
      </c>
      <c r="D1208" t="s">
        <v>295</v>
      </c>
      <c r="E1208" t="s">
        <v>296</v>
      </c>
      <c r="F1208" s="2">
        <v>35657</v>
      </c>
      <c r="G1208" s="2">
        <v>39136</v>
      </c>
      <c r="H1208" s="2">
        <v>39051</v>
      </c>
      <c r="I1208" s="5">
        <v>39629</v>
      </c>
      <c r="J1208" s="2">
        <v>38560</v>
      </c>
      <c r="L1208" t="s">
        <v>322</v>
      </c>
      <c r="M1208" t="s">
        <v>297</v>
      </c>
      <c r="N1208" t="s">
        <v>133</v>
      </c>
      <c r="O1208" t="s">
        <v>278</v>
      </c>
      <c r="P1208" t="s">
        <v>282</v>
      </c>
    </row>
    <row r="1209" spans="1:16" ht="12.75" customHeight="1">
      <c r="A1209">
        <v>14</v>
      </c>
      <c r="B1209" t="s">
        <v>186</v>
      </c>
      <c r="C1209">
        <v>1242</v>
      </c>
      <c r="D1209" t="s">
        <v>295</v>
      </c>
      <c r="E1209" t="s">
        <v>296</v>
      </c>
      <c r="F1209" s="2">
        <v>35894</v>
      </c>
      <c r="G1209" s="2">
        <v>38064</v>
      </c>
      <c r="H1209" s="2">
        <v>39461</v>
      </c>
      <c r="I1209" s="5">
        <v>37256</v>
      </c>
      <c r="J1209" s="2">
        <v>37291</v>
      </c>
      <c r="K1209" s="2">
        <v>35928</v>
      </c>
      <c r="L1209" t="s">
        <v>339</v>
      </c>
      <c r="M1209" t="s">
        <v>297</v>
      </c>
      <c r="N1209" t="s">
        <v>134</v>
      </c>
      <c r="O1209" t="s">
        <v>278</v>
      </c>
      <c r="P1209" t="s">
        <v>282</v>
      </c>
    </row>
    <row r="1210" spans="1:16" ht="12.75" customHeight="1">
      <c r="A1210">
        <v>14</v>
      </c>
      <c r="B1210" t="s">
        <v>186</v>
      </c>
      <c r="C1210">
        <v>1295</v>
      </c>
      <c r="D1210" t="s">
        <v>315</v>
      </c>
      <c r="E1210" t="s">
        <v>316</v>
      </c>
      <c r="F1210" s="2">
        <v>36273</v>
      </c>
      <c r="H1210" s="2">
        <v>37805</v>
      </c>
      <c r="I1210" s="5">
        <v>36525</v>
      </c>
      <c r="J1210" s="2">
        <v>37798</v>
      </c>
      <c r="K1210" s="2">
        <v>37805</v>
      </c>
      <c r="L1210" t="s">
        <v>297</v>
      </c>
      <c r="M1210" t="s">
        <v>297</v>
      </c>
      <c r="O1210" t="s">
        <v>278</v>
      </c>
      <c r="P1210" t="s">
        <v>282</v>
      </c>
    </row>
    <row r="1211" spans="1:16" ht="12.75" customHeight="1">
      <c r="A1211">
        <v>14</v>
      </c>
      <c r="B1211" t="s">
        <v>186</v>
      </c>
      <c r="C1211">
        <v>1322</v>
      </c>
      <c r="D1211" t="s">
        <v>618</v>
      </c>
      <c r="E1211" t="s">
        <v>376</v>
      </c>
      <c r="F1211" s="2">
        <v>36556</v>
      </c>
      <c r="H1211" s="2">
        <v>38929</v>
      </c>
      <c r="I1211" s="5">
        <v>36923</v>
      </c>
      <c r="L1211" t="s">
        <v>317</v>
      </c>
      <c r="M1211" t="s">
        <v>297</v>
      </c>
      <c r="N1211" t="s">
        <v>318</v>
      </c>
      <c r="O1211" t="s">
        <v>278</v>
      </c>
      <c r="P1211" t="s">
        <v>282</v>
      </c>
    </row>
    <row r="1212" spans="1:16" ht="12.75" customHeight="1">
      <c r="A1212">
        <v>14</v>
      </c>
      <c r="B1212" t="s">
        <v>186</v>
      </c>
      <c r="C1212">
        <v>1357</v>
      </c>
      <c r="D1212" t="s">
        <v>295</v>
      </c>
      <c r="E1212" t="s">
        <v>299</v>
      </c>
      <c r="F1212" s="2">
        <v>36746</v>
      </c>
      <c r="H1212" s="2">
        <v>39006</v>
      </c>
      <c r="I1212" s="5">
        <v>39629</v>
      </c>
      <c r="J1212" s="2">
        <v>38722</v>
      </c>
      <c r="K1212" s="2">
        <v>39356</v>
      </c>
      <c r="L1212" t="s">
        <v>317</v>
      </c>
      <c r="M1212" t="s">
        <v>297</v>
      </c>
      <c r="N1212" t="s">
        <v>135</v>
      </c>
      <c r="O1212" t="s">
        <v>278</v>
      </c>
      <c r="P1212" t="s">
        <v>282</v>
      </c>
    </row>
    <row r="1213" spans="1:16" ht="12.75" customHeight="1">
      <c r="A1213">
        <v>14</v>
      </c>
      <c r="B1213" t="s">
        <v>186</v>
      </c>
      <c r="C1213">
        <v>1408</v>
      </c>
      <c r="D1213" t="s">
        <v>295</v>
      </c>
      <c r="E1213" t="s">
        <v>296</v>
      </c>
      <c r="F1213" s="2">
        <v>37414</v>
      </c>
      <c r="G1213" s="2">
        <v>38996</v>
      </c>
      <c r="H1213" s="2">
        <v>39427</v>
      </c>
      <c r="I1213" s="5">
        <v>39629</v>
      </c>
      <c r="J1213" s="2">
        <v>38574</v>
      </c>
      <c r="L1213" t="s">
        <v>297</v>
      </c>
      <c r="M1213" t="s">
        <v>297</v>
      </c>
      <c r="N1213" t="s">
        <v>136</v>
      </c>
      <c r="O1213" t="s">
        <v>278</v>
      </c>
      <c r="P1213" t="s">
        <v>282</v>
      </c>
    </row>
    <row r="1214" spans="1:16" ht="12.75" customHeight="1">
      <c r="A1214">
        <v>14</v>
      </c>
      <c r="B1214" t="s">
        <v>186</v>
      </c>
      <c r="C1214">
        <v>1487</v>
      </c>
      <c r="D1214" t="s">
        <v>295</v>
      </c>
      <c r="E1214" t="s">
        <v>299</v>
      </c>
      <c r="F1214" s="2">
        <v>38223</v>
      </c>
      <c r="H1214" s="2">
        <v>39069</v>
      </c>
      <c r="I1214" s="5">
        <v>39629</v>
      </c>
      <c r="K1214" s="2">
        <v>39133</v>
      </c>
      <c r="L1214" t="s">
        <v>297</v>
      </c>
      <c r="M1214" t="s">
        <v>322</v>
      </c>
      <c r="N1214" t="s">
        <v>137</v>
      </c>
      <c r="O1214" t="s">
        <v>278</v>
      </c>
      <c r="P1214" t="s">
        <v>282</v>
      </c>
    </row>
    <row r="1215" spans="1:16" ht="12.75" customHeight="1">
      <c r="A1215">
        <v>14</v>
      </c>
      <c r="B1215" t="s">
        <v>186</v>
      </c>
      <c r="C1215">
        <v>1558</v>
      </c>
      <c r="D1215" t="s">
        <v>295</v>
      </c>
      <c r="E1215" t="s">
        <v>299</v>
      </c>
      <c r="F1215" s="2">
        <v>39508</v>
      </c>
      <c r="H1215" s="2">
        <v>39517</v>
      </c>
      <c r="I1215" s="5">
        <v>39994</v>
      </c>
      <c r="L1215" t="s">
        <v>297</v>
      </c>
      <c r="M1215" t="s">
        <v>297</v>
      </c>
      <c r="N1215" t="s">
        <v>138</v>
      </c>
      <c r="O1215" t="s">
        <v>278</v>
      </c>
      <c r="P1215" t="s">
        <v>282</v>
      </c>
    </row>
    <row r="1216" spans="1:16" ht="12.75" customHeight="1">
      <c r="A1216" t="s">
        <v>278</v>
      </c>
      <c r="B1216" t="s">
        <v>282</v>
      </c>
    </row>
    <row r="1217" spans="1:16" ht="12.75" customHeight="1">
      <c r="A1217" t="s">
        <v>139</v>
      </c>
    </row>
    <row r="1219" spans="1:16" ht="12.75" customHeight="1">
      <c r="A1219">
        <v>99</v>
      </c>
      <c r="B1219" t="s">
        <v>140</v>
      </c>
      <c r="C1219">
        <v>1244</v>
      </c>
      <c r="D1219" t="s">
        <v>295</v>
      </c>
      <c r="E1219" t="s">
        <v>299</v>
      </c>
      <c r="F1219" s="2">
        <v>35899</v>
      </c>
      <c r="H1219" s="2">
        <v>37175</v>
      </c>
      <c r="L1219" t="s">
        <v>297</v>
      </c>
      <c r="N1219" t="s">
        <v>141</v>
      </c>
      <c r="O1219" t="s">
        <v>283</v>
      </c>
      <c r="P1219" t="s">
        <v>284</v>
      </c>
    </row>
    <row r="1220" spans="1:16" ht="12.75" customHeight="1">
      <c r="A1220">
        <v>99</v>
      </c>
      <c r="B1220" t="s">
        <v>140</v>
      </c>
      <c r="C1220">
        <v>1384</v>
      </c>
      <c r="D1220" t="s">
        <v>348</v>
      </c>
      <c r="E1220" t="s">
        <v>316</v>
      </c>
      <c r="F1220" s="2">
        <v>37064</v>
      </c>
      <c r="H1220" s="2">
        <v>37064</v>
      </c>
      <c r="L1220" t="s">
        <v>317</v>
      </c>
      <c r="M1220" t="s">
        <v>297</v>
      </c>
      <c r="O1220" t="s">
        <v>283</v>
      </c>
      <c r="P1220" t="s">
        <v>284</v>
      </c>
    </row>
    <row r="1221" spans="1:16" ht="12.75" customHeight="1">
      <c r="A1221" t="s">
        <v>283</v>
      </c>
      <c r="B1221" t="s">
        <v>284</v>
      </c>
    </row>
    <row r="1222" spans="1:16" ht="12.75" customHeight="1">
      <c r="A1222">
        <v>99</v>
      </c>
      <c r="B1222" t="s">
        <v>149</v>
      </c>
      <c r="C1222">
        <v>1032</v>
      </c>
      <c r="D1222" t="s">
        <v>377</v>
      </c>
      <c r="E1222" t="s">
        <v>376</v>
      </c>
      <c r="F1222" s="2">
        <v>34744</v>
      </c>
      <c r="H1222" s="2">
        <v>36315</v>
      </c>
      <c r="I1222" s="5">
        <v>36091</v>
      </c>
      <c r="K1222" s="2">
        <v>36315</v>
      </c>
      <c r="L1222" t="s">
        <v>317</v>
      </c>
      <c r="M1222" t="s">
        <v>297</v>
      </c>
      <c r="N1222" t="s">
        <v>369</v>
      </c>
      <c r="O1222" t="s">
        <v>283</v>
      </c>
      <c r="P1222" t="s">
        <v>285</v>
      </c>
    </row>
    <row r="1223" spans="1:16" ht="12.75" customHeight="1">
      <c r="A1223">
        <v>99</v>
      </c>
      <c r="B1223" t="s">
        <v>149</v>
      </c>
      <c r="C1223">
        <v>1107</v>
      </c>
      <c r="D1223" t="s">
        <v>375</v>
      </c>
      <c r="E1223" t="s">
        <v>316</v>
      </c>
      <c r="F1223" s="2">
        <v>35191</v>
      </c>
      <c r="H1223" s="2">
        <v>35191</v>
      </c>
      <c r="L1223" t="s">
        <v>322</v>
      </c>
      <c r="M1223" t="s">
        <v>297</v>
      </c>
      <c r="O1223" t="s">
        <v>283</v>
      </c>
      <c r="P1223" t="s">
        <v>285</v>
      </c>
    </row>
    <row r="1224" spans="1:16" ht="12.75" customHeight="1">
      <c r="A1224">
        <v>99</v>
      </c>
      <c r="B1224" t="s">
        <v>149</v>
      </c>
      <c r="C1224">
        <v>1299</v>
      </c>
      <c r="D1224" t="s">
        <v>377</v>
      </c>
      <c r="E1224" t="s">
        <v>316</v>
      </c>
      <c r="F1224" s="2">
        <v>36301</v>
      </c>
      <c r="H1224" s="2">
        <v>36627</v>
      </c>
      <c r="L1224" t="s">
        <v>317</v>
      </c>
      <c r="M1224" t="s">
        <v>297</v>
      </c>
      <c r="O1224" t="s">
        <v>283</v>
      </c>
      <c r="P1224" t="s">
        <v>285</v>
      </c>
    </row>
    <row r="1225" spans="1:16" ht="12.75" customHeight="1">
      <c r="A1225">
        <v>99</v>
      </c>
      <c r="B1225" t="s">
        <v>149</v>
      </c>
      <c r="C1225">
        <v>1321</v>
      </c>
      <c r="D1225" t="s">
        <v>464</v>
      </c>
      <c r="E1225" t="s">
        <v>376</v>
      </c>
      <c r="F1225" s="2">
        <v>36542</v>
      </c>
      <c r="H1225" s="2">
        <v>36542</v>
      </c>
      <c r="L1225" t="s">
        <v>317</v>
      </c>
      <c r="M1225" t="s">
        <v>297</v>
      </c>
      <c r="N1225" t="s">
        <v>369</v>
      </c>
      <c r="O1225" t="s">
        <v>283</v>
      </c>
      <c r="P1225" t="s">
        <v>285</v>
      </c>
    </row>
    <row r="1226" spans="1:16" ht="12.75" customHeight="1">
      <c r="A1226">
        <v>99</v>
      </c>
      <c r="B1226" t="s">
        <v>149</v>
      </c>
      <c r="C1226">
        <v>1383</v>
      </c>
      <c r="D1226" t="s">
        <v>295</v>
      </c>
      <c r="E1226" t="s">
        <v>296</v>
      </c>
      <c r="F1226" s="2">
        <v>37064</v>
      </c>
      <c r="G1226" s="2">
        <v>37764</v>
      </c>
      <c r="H1226" s="2">
        <v>39464</v>
      </c>
      <c r="I1226" s="5">
        <v>37429</v>
      </c>
      <c r="L1226" t="s">
        <v>317</v>
      </c>
      <c r="M1226" t="s">
        <v>322</v>
      </c>
      <c r="N1226" t="s">
        <v>142</v>
      </c>
      <c r="O1226" t="s">
        <v>283</v>
      </c>
      <c r="P1226" t="s">
        <v>285</v>
      </c>
    </row>
    <row r="1227" spans="1:16" ht="12.75" customHeight="1">
      <c r="A1227">
        <v>99</v>
      </c>
      <c r="B1227" t="s">
        <v>149</v>
      </c>
      <c r="C1227">
        <v>1450</v>
      </c>
      <c r="D1227" t="s">
        <v>295</v>
      </c>
      <c r="E1227" t="s">
        <v>299</v>
      </c>
      <c r="F1227" s="2">
        <v>37767</v>
      </c>
      <c r="H1227" s="2">
        <v>39101</v>
      </c>
      <c r="I1227" s="5">
        <v>38107</v>
      </c>
      <c r="L1227" t="s">
        <v>317</v>
      </c>
      <c r="M1227" t="s">
        <v>322</v>
      </c>
      <c r="N1227" t="s">
        <v>143</v>
      </c>
      <c r="O1227" t="s">
        <v>283</v>
      </c>
      <c r="P1227" t="s">
        <v>285</v>
      </c>
    </row>
    <row r="1228" spans="1:16" ht="12.75" customHeight="1">
      <c r="A1228" t="s">
        <v>283</v>
      </c>
      <c r="B1228" t="s">
        <v>285</v>
      </c>
    </row>
    <row r="1229" spans="1:16" ht="12.75" customHeight="1">
      <c r="A1229">
        <v>99</v>
      </c>
      <c r="B1229" t="s">
        <v>296</v>
      </c>
      <c r="C1229">
        <v>5001</v>
      </c>
      <c r="D1229" t="s">
        <v>295</v>
      </c>
      <c r="E1229" t="s">
        <v>299</v>
      </c>
      <c r="F1229" s="2">
        <v>37267</v>
      </c>
      <c r="H1229" s="2">
        <v>37581</v>
      </c>
      <c r="I1229" s="5">
        <v>38596</v>
      </c>
      <c r="L1229" t="s">
        <v>297</v>
      </c>
      <c r="M1229" t="s">
        <v>297</v>
      </c>
      <c r="O1229" t="s">
        <v>1136</v>
      </c>
    </row>
    <row r="1230" spans="1:16" ht="12.75" customHeight="1">
      <c r="A1230">
        <v>99</v>
      </c>
      <c r="B1230" t="s">
        <v>296</v>
      </c>
      <c r="C1230">
        <v>5002</v>
      </c>
      <c r="D1230" t="s">
        <v>295</v>
      </c>
      <c r="E1230" t="s">
        <v>299</v>
      </c>
      <c r="F1230" s="2">
        <v>37221</v>
      </c>
      <c r="H1230" s="2">
        <v>38525</v>
      </c>
      <c r="I1230" s="5">
        <v>39629</v>
      </c>
      <c r="L1230" t="s">
        <v>297</v>
      </c>
      <c r="M1230" t="s">
        <v>297</v>
      </c>
      <c r="O1230" t="str">
        <f>O1229</f>
        <v>Tom Tobin</v>
      </c>
    </row>
    <row r="1231" spans="1:16" ht="12.75" customHeight="1">
      <c r="A1231">
        <v>99</v>
      </c>
      <c r="B1231" t="s">
        <v>296</v>
      </c>
      <c r="C1231">
        <v>5003</v>
      </c>
      <c r="D1231" t="s">
        <v>295</v>
      </c>
      <c r="E1231" t="s">
        <v>299</v>
      </c>
      <c r="F1231" s="2">
        <v>37333</v>
      </c>
      <c r="H1231" s="2">
        <v>38525</v>
      </c>
      <c r="I1231" s="5">
        <v>37333</v>
      </c>
      <c r="L1231" t="s">
        <v>297</v>
      </c>
      <c r="M1231" t="s">
        <v>297</v>
      </c>
      <c r="O1231" t="str">
        <f t="shared" ref="O1231:O1270" si="0">O1230</f>
        <v>Tom Tobin</v>
      </c>
    </row>
    <row r="1232" spans="1:16" ht="12.75" customHeight="1">
      <c r="A1232">
        <v>99</v>
      </c>
      <c r="B1232" t="s">
        <v>296</v>
      </c>
      <c r="C1232">
        <v>5004</v>
      </c>
      <c r="D1232" t="s">
        <v>295</v>
      </c>
      <c r="E1232" t="s">
        <v>299</v>
      </c>
      <c r="F1232" s="2">
        <v>38027</v>
      </c>
      <c r="H1232" s="2">
        <v>38525</v>
      </c>
      <c r="L1232" t="s">
        <v>322</v>
      </c>
      <c r="M1232" t="s">
        <v>297</v>
      </c>
      <c r="O1232" t="str">
        <f t="shared" si="0"/>
        <v>Tom Tobin</v>
      </c>
    </row>
    <row r="1233" spans="1:15" ht="12.75" customHeight="1">
      <c r="A1233">
        <v>99</v>
      </c>
      <c r="B1233" t="s">
        <v>296</v>
      </c>
      <c r="C1233">
        <v>5005</v>
      </c>
      <c r="D1233" t="s">
        <v>295</v>
      </c>
      <c r="E1233" t="s">
        <v>299</v>
      </c>
      <c r="F1233" s="2">
        <v>37536</v>
      </c>
      <c r="H1233" s="2">
        <v>38524</v>
      </c>
      <c r="I1233" s="5">
        <v>37536</v>
      </c>
      <c r="L1233" t="s">
        <v>297</v>
      </c>
      <c r="M1233" t="s">
        <v>297</v>
      </c>
      <c r="O1233" t="str">
        <f t="shared" si="0"/>
        <v>Tom Tobin</v>
      </c>
    </row>
    <row r="1234" spans="1:15" ht="12.75" customHeight="1">
      <c r="A1234">
        <v>99</v>
      </c>
      <c r="B1234" t="s">
        <v>296</v>
      </c>
      <c r="C1234">
        <v>5006</v>
      </c>
      <c r="D1234" t="s">
        <v>295</v>
      </c>
      <c r="E1234" t="s">
        <v>299</v>
      </c>
      <c r="F1234" s="2">
        <v>37526</v>
      </c>
      <c r="H1234" s="2">
        <v>38524</v>
      </c>
      <c r="I1234" s="5">
        <v>37526</v>
      </c>
      <c r="L1234" t="s">
        <v>297</v>
      </c>
      <c r="M1234" t="s">
        <v>297</v>
      </c>
      <c r="O1234" t="str">
        <f t="shared" si="0"/>
        <v>Tom Tobin</v>
      </c>
    </row>
    <row r="1235" spans="1:15" ht="12.75" customHeight="1">
      <c r="A1235">
        <v>99</v>
      </c>
      <c r="B1235" t="s">
        <v>296</v>
      </c>
      <c r="C1235">
        <v>5007</v>
      </c>
      <c r="D1235" t="s">
        <v>295</v>
      </c>
      <c r="E1235" t="s">
        <v>299</v>
      </c>
      <c r="F1235" s="2">
        <v>37539</v>
      </c>
      <c r="H1235" s="2">
        <v>38524</v>
      </c>
      <c r="I1235" s="5">
        <v>37539</v>
      </c>
      <c r="K1235" s="2">
        <v>37539</v>
      </c>
      <c r="L1235" t="s">
        <v>297</v>
      </c>
      <c r="M1235" t="s">
        <v>322</v>
      </c>
      <c r="O1235" t="str">
        <f t="shared" si="0"/>
        <v>Tom Tobin</v>
      </c>
    </row>
    <row r="1236" spans="1:15" ht="12.75" customHeight="1">
      <c r="A1236">
        <v>99</v>
      </c>
      <c r="B1236" t="s">
        <v>296</v>
      </c>
      <c r="C1236">
        <v>5008</v>
      </c>
      <c r="D1236" t="s">
        <v>295</v>
      </c>
      <c r="E1236" t="s">
        <v>299</v>
      </c>
      <c r="F1236" s="2">
        <v>37747</v>
      </c>
      <c r="H1236" s="2">
        <v>38524</v>
      </c>
      <c r="I1236" s="5">
        <v>37802</v>
      </c>
      <c r="L1236" t="s">
        <v>297</v>
      </c>
      <c r="M1236" t="s">
        <v>297</v>
      </c>
      <c r="O1236" t="str">
        <f t="shared" si="0"/>
        <v>Tom Tobin</v>
      </c>
    </row>
    <row r="1237" spans="1:15" ht="12.75" customHeight="1">
      <c r="A1237">
        <v>99</v>
      </c>
      <c r="B1237" t="s">
        <v>296</v>
      </c>
      <c r="C1237">
        <v>5009</v>
      </c>
      <c r="D1237" t="s">
        <v>295</v>
      </c>
      <c r="E1237" t="s">
        <v>299</v>
      </c>
      <c r="F1237" s="2">
        <v>37774</v>
      </c>
      <c r="H1237" s="2">
        <v>38524</v>
      </c>
      <c r="I1237" s="5">
        <v>37774</v>
      </c>
      <c r="K1237" s="2">
        <v>37774</v>
      </c>
      <c r="L1237" t="s">
        <v>297</v>
      </c>
      <c r="M1237" t="s">
        <v>297</v>
      </c>
      <c r="O1237" t="str">
        <f t="shared" si="0"/>
        <v>Tom Tobin</v>
      </c>
    </row>
    <row r="1238" spans="1:15" ht="12.75" customHeight="1">
      <c r="A1238">
        <v>99</v>
      </c>
      <c r="B1238" t="s">
        <v>296</v>
      </c>
      <c r="C1238">
        <v>5010</v>
      </c>
      <c r="D1238" t="s">
        <v>295</v>
      </c>
      <c r="E1238" t="s">
        <v>299</v>
      </c>
      <c r="F1238" s="2">
        <v>37887</v>
      </c>
      <c r="H1238" s="2">
        <v>38524</v>
      </c>
      <c r="I1238" s="5">
        <v>37792</v>
      </c>
      <c r="L1238" t="s">
        <v>297</v>
      </c>
      <c r="M1238" t="s">
        <v>297</v>
      </c>
      <c r="O1238" t="str">
        <f t="shared" si="0"/>
        <v>Tom Tobin</v>
      </c>
    </row>
    <row r="1239" spans="1:15" ht="12.75" customHeight="1">
      <c r="A1239">
        <v>99</v>
      </c>
      <c r="B1239" t="s">
        <v>296</v>
      </c>
      <c r="C1239">
        <v>5011</v>
      </c>
      <c r="D1239" t="s">
        <v>295</v>
      </c>
      <c r="E1239" t="s">
        <v>299</v>
      </c>
      <c r="F1239" s="2">
        <v>38077</v>
      </c>
      <c r="H1239" s="2">
        <v>38524</v>
      </c>
      <c r="L1239" t="s">
        <v>297</v>
      </c>
      <c r="M1239" t="s">
        <v>322</v>
      </c>
      <c r="O1239" t="str">
        <f t="shared" si="0"/>
        <v>Tom Tobin</v>
      </c>
    </row>
    <row r="1240" spans="1:15" ht="12.75" customHeight="1">
      <c r="A1240">
        <v>99</v>
      </c>
      <c r="B1240" t="s">
        <v>296</v>
      </c>
      <c r="C1240">
        <v>5012</v>
      </c>
      <c r="D1240" t="s">
        <v>295</v>
      </c>
      <c r="E1240" t="s">
        <v>299</v>
      </c>
      <c r="F1240" s="2">
        <v>38077</v>
      </c>
      <c r="H1240" s="2">
        <v>38524</v>
      </c>
      <c r="I1240" s="5">
        <v>38077</v>
      </c>
      <c r="L1240" t="s">
        <v>297</v>
      </c>
      <c r="M1240" t="s">
        <v>322</v>
      </c>
      <c r="O1240" t="str">
        <f t="shared" si="0"/>
        <v>Tom Tobin</v>
      </c>
    </row>
    <row r="1241" spans="1:15" ht="12.75" customHeight="1">
      <c r="A1241">
        <v>99</v>
      </c>
      <c r="B1241" t="s">
        <v>296</v>
      </c>
      <c r="C1241">
        <v>5013</v>
      </c>
      <c r="D1241" t="s">
        <v>295</v>
      </c>
      <c r="E1241" t="s">
        <v>299</v>
      </c>
      <c r="F1241" s="2">
        <v>38126</v>
      </c>
      <c r="H1241" s="2">
        <v>38524</v>
      </c>
      <c r="I1241" s="5">
        <v>38126</v>
      </c>
      <c r="L1241" t="s">
        <v>297</v>
      </c>
      <c r="M1241" t="s">
        <v>297</v>
      </c>
      <c r="O1241" t="str">
        <f t="shared" si="0"/>
        <v>Tom Tobin</v>
      </c>
    </row>
    <row r="1242" spans="1:15" ht="12.75" customHeight="1">
      <c r="A1242">
        <v>99</v>
      </c>
      <c r="B1242" t="s">
        <v>296</v>
      </c>
      <c r="C1242">
        <v>5014</v>
      </c>
      <c r="D1242" t="s">
        <v>295</v>
      </c>
      <c r="E1242" t="s">
        <v>299</v>
      </c>
      <c r="F1242" s="2">
        <v>38189</v>
      </c>
      <c r="H1242" s="2">
        <v>38189</v>
      </c>
      <c r="I1242" s="5">
        <v>38189</v>
      </c>
      <c r="L1242" t="s">
        <v>297</v>
      </c>
      <c r="M1242" t="s">
        <v>322</v>
      </c>
      <c r="O1242" t="str">
        <f t="shared" si="0"/>
        <v>Tom Tobin</v>
      </c>
    </row>
    <row r="1243" spans="1:15" ht="12.75" customHeight="1">
      <c r="A1243">
        <v>99</v>
      </c>
      <c r="B1243" t="s">
        <v>296</v>
      </c>
      <c r="C1243">
        <v>5015</v>
      </c>
      <c r="D1243" t="s">
        <v>295</v>
      </c>
      <c r="E1243" t="s">
        <v>299</v>
      </c>
      <c r="F1243" s="2">
        <v>38189</v>
      </c>
      <c r="H1243" s="2">
        <v>38189</v>
      </c>
      <c r="I1243" s="5">
        <v>38189</v>
      </c>
      <c r="L1243" t="s">
        <v>297</v>
      </c>
      <c r="M1243" t="s">
        <v>322</v>
      </c>
      <c r="O1243" t="str">
        <f t="shared" si="0"/>
        <v>Tom Tobin</v>
      </c>
    </row>
    <row r="1244" spans="1:15" ht="12.75" customHeight="1">
      <c r="A1244">
        <v>99</v>
      </c>
      <c r="B1244" t="s">
        <v>296</v>
      </c>
      <c r="C1244">
        <v>5016</v>
      </c>
      <c r="D1244" t="s">
        <v>295</v>
      </c>
      <c r="E1244" t="s">
        <v>299</v>
      </c>
      <c r="F1244" s="2">
        <v>38189</v>
      </c>
      <c r="H1244" s="2">
        <v>38189</v>
      </c>
      <c r="I1244" s="5">
        <v>38189</v>
      </c>
      <c r="L1244" t="s">
        <v>297</v>
      </c>
      <c r="M1244" t="s">
        <v>322</v>
      </c>
      <c r="O1244" t="str">
        <f t="shared" si="0"/>
        <v>Tom Tobin</v>
      </c>
    </row>
    <row r="1245" spans="1:15" ht="12.75" customHeight="1">
      <c r="A1245">
        <v>99</v>
      </c>
      <c r="B1245" t="s">
        <v>296</v>
      </c>
      <c r="C1245">
        <v>5017</v>
      </c>
      <c r="D1245" t="s">
        <v>295</v>
      </c>
      <c r="E1245" t="s">
        <v>299</v>
      </c>
      <c r="F1245" s="2">
        <v>38216</v>
      </c>
      <c r="H1245" s="2">
        <v>38524</v>
      </c>
      <c r="L1245" t="s">
        <v>297</v>
      </c>
      <c r="M1245" t="s">
        <v>322</v>
      </c>
      <c r="O1245" t="str">
        <f t="shared" si="0"/>
        <v>Tom Tobin</v>
      </c>
    </row>
    <row r="1246" spans="1:15" ht="12.75" customHeight="1">
      <c r="A1246">
        <v>99</v>
      </c>
      <c r="B1246" t="s">
        <v>296</v>
      </c>
      <c r="C1246">
        <v>5018</v>
      </c>
      <c r="D1246" t="s">
        <v>295</v>
      </c>
      <c r="E1246" t="s">
        <v>299</v>
      </c>
      <c r="F1246" s="2">
        <v>38216</v>
      </c>
      <c r="H1246" s="2">
        <v>38216</v>
      </c>
      <c r="I1246" s="5">
        <v>38216</v>
      </c>
      <c r="L1246" t="s">
        <v>297</v>
      </c>
      <c r="M1246" t="s">
        <v>322</v>
      </c>
      <c r="O1246" t="str">
        <f t="shared" si="0"/>
        <v>Tom Tobin</v>
      </c>
    </row>
    <row r="1247" spans="1:15" ht="12.75" customHeight="1">
      <c r="A1247">
        <v>99</v>
      </c>
      <c r="B1247" t="s">
        <v>296</v>
      </c>
      <c r="C1247">
        <v>5019</v>
      </c>
      <c r="D1247" t="s">
        <v>295</v>
      </c>
      <c r="E1247" t="s">
        <v>299</v>
      </c>
      <c r="F1247" s="2">
        <v>38216</v>
      </c>
      <c r="H1247" s="2">
        <v>38216</v>
      </c>
      <c r="I1247" s="5">
        <v>38216</v>
      </c>
      <c r="L1247" t="s">
        <v>297</v>
      </c>
      <c r="M1247" t="s">
        <v>322</v>
      </c>
      <c r="O1247" t="str">
        <f t="shared" si="0"/>
        <v>Tom Tobin</v>
      </c>
    </row>
    <row r="1248" spans="1:15" ht="12.75" customHeight="1">
      <c r="A1248">
        <v>99</v>
      </c>
      <c r="B1248" t="s">
        <v>296</v>
      </c>
      <c r="C1248">
        <v>5020</v>
      </c>
      <c r="D1248" t="s">
        <v>295</v>
      </c>
      <c r="E1248" t="s">
        <v>299</v>
      </c>
      <c r="F1248" s="2">
        <v>38280</v>
      </c>
      <c r="H1248" s="2">
        <v>38524</v>
      </c>
      <c r="L1248" t="s">
        <v>322</v>
      </c>
      <c r="M1248" t="s">
        <v>297</v>
      </c>
      <c r="O1248" t="str">
        <f t="shared" si="0"/>
        <v>Tom Tobin</v>
      </c>
    </row>
    <row r="1249" spans="1:15" ht="12.75" customHeight="1">
      <c r="A1249">
        <v>99</v>
      </c>
      <c r="B1249" t="s">
        <v>296</v>
      </c>
      <c r="C1249">
        <v>5021</v>
      </c>
      <c r="D1249" t="s">
        <v>295</v>
      </c>
      <c r="E1249" t="s">
        <v>299</v>
      </c>
      <c r="F1249" s="2">
        <v>38531</v>
      </c>
      <c r="H1249" s="2">
        <v>38531</v>
      </c>
      <c r="I1249" s="5">
        <v>38531</v>
      </c>
      <c r="L1249" t="s">
        <v>297</v>
      </c>
      <c r="M1249" t="s">
        <v>322</v>
      </c>
      <c r="O1249" t="str">
        <f t="shared" si="0"/>
        <v>Tom Tobin</v>
      </c>
    </row>
    <row r="1250" spans="1:15" ht="12.75" customHeight="1">
      <c r="A1250">
        <v>99</v>
      </c>
      <c r="B1250" t="s">
        <v>296</v>
      </c>
      <c r="C1250">
        <v>5022</v>
      </c>
      <c r="D1250" t="s">
        <v>295</v>
      </c>
      <c r="E1250" t="s">
        <v>299</v>
      </c>
      <c r="F1250" s="2">
        <v>38365</v>
      </c>
      <c r="H1250" s="2">
        <v>38524</v>
      </c>
      <c r="L1250" t="s">
        <v>297</v>
      </c>
      <c r="M1250" t="s">
        <v>297</v>
      </c>
      <c r="O1250" t="str">
        <f t="shared" si="0"/>
        <v>Tom Tobin</v>
      </c>
    </row>
    <row r="1251" spans="1:15" ht="12.75" customHeight="1">
      <c r="A1251">
        <v>99</v>
      </c>
      <c r="B1251" t="s">
        <v>296</v>
      </c>
      <c r="C1251">
        <v>5023</v>
      </c>
      <c r="D1251" t="s">
        <v>295</v>
      </c>
      <c r="E1251" t="s">
        <v>299</v>
      </c>
      <c r="F1251" s="2">
        <v>38397</v>
      </c>
      <c r="H1251" s="2">
        <v>38524</v>
      </c>
      <c r="I1251" s="5">
        <v>38397</v>
      </c>
      <c r="L1251" t="s">
        <v>297</v>
      </c>
      <c r="M1251" t="s">
        <v>322</v>
      </c>
      <c r="O1251" t="str">
        <f t="shared" si="0"/>
        <v>Tom Tobin</v>
      </c>
    </row>
    <row r="1252" spans="1:15" ht="12.75" customHeight="1">
      <c r="A1252">
        <v>99</v>
      </c>
      <c r="B1252" t="s">
        <v>296</v>
      </c>
      <c r="C1252">
        <v>5024</v>
      </c>
      <c r="D1252" t="s">
        <v>295</v>
      </c>
      <c r="E1252" t="s">
        <v>299</v>
      </c>
      <c r="F1252" s="2">
        <v>38390</v>
      </c>
      <c r="H1252" s="2">
        <v>38400</v>
      </c>
      <c r="L1252" t="s">
        <v>297</v>
      </c>
      <c r="M1252" t="s">
        <v>297</v>
      </c>
      <c r="O1252" t="str">
        <f t="shared" si="0"/>
        <v>Tom Tobin</v>
      </c>
    </row>
    <row r="1253" spans="1:15" ht="12.75" customHeight="1">
      <c r="A1253">
        <v>99</v>
      </c>
      <c r="B1253" t="s">
        <v>296</v>
      </c>
      <c r="C1253">
        <v>5025</v>
      </c>
      <c r="D1253" t="s">
        <v>295</v>
      </c>
      <c r="E1253" t="s">
        <v>299</v>
      </c>
      <c r="F1253" s="2">
        <v>38551</v>
      </c>
      <c r="H1253" s="2">
        <v>38551</v>
      </c>
      <c r="L1253" t="s">
        <v>297</v>
      </c>
      <c r="M1253" t="s">
        <v>322</v>
      </c>
      <c r="O1253" t="str">
        <f t="shared" si="0"/>
        <v>Tom Tobin</v>
      </c>
    </row>
    <row r="1254" spans="1:15" ht="12.75" customHeight="1">
      <c r="A1254">
        <v>99</v>
      </c>
      <c r="B1254" t="s">
        <v>296</v>
      </c>
      <c r="C1254">
        <v>5026</v>
      </c>
      <c r="D1254" t="s">
        <v>295</v>
      </c>
      <c r="E1254" t="s">
        <v>299</v>
      </c>
      <c r="F1254" s="2">
        <v>38609</v>
      </c>
      <c r="H1254" s="2">
        <v>38609</v>
      </c>
      <c r="L1254" t="s">
        <v>297</v>
      </c>
      <c r="M1254" t="s">
        <v>322</v>
      </c>
      <c r="O1254" t="str">
        <f t="shared" si="0"/>
        <v>Tom Tobin</v>
      </c>
    </row>
    <row r="1255" spans="1:15" ht="12.75" customHeight="1">
      <c r="A1255">
        <v>99</v>
      </c>
      <c r="B1255" t="s">
        <v>296</v>
      </c>
      <c r="C1255">
        <v>5027</v>
      </c>
      <c r="D1255" t="s">
        <v>295</v>
      </c>
      <c r="E1255" t="s">
        <v>299</v>
      </c>
      <c r="F1255" s="2">
        <v>38652</v>
      </c>
      <c r="H1255" s="2">
        <v>38652</v>
      </c>
      <c r="I1255" s="5">
        <v>38652</v>
      </c>
      <c r="L1255" t="s">
        <v>297</v>
      </c>
      <c r="M1255" t="s">
        <v>322</v>
      </c>
      <c r="O1255" t="str">
        <f t="shared" si="0"/>
        <v>Tom Tobin</v>
      </c>
    </row>
    <row r="1256" spans="1:15" ht="12.75" customHeight="1">
      <c r="A1256">
        <v>99</v>
      </c>
      <c r="B1256" t="s">
        <v>296</v>
      </c>
      <c r="C1256">
        <v>5028</v>
      </c>
      <c r="D1256" t="s">
        <v>295</v>
      </c>
      <c r="E1256" t="s">
        <v>299</v>
      </c>
      <c r="F1256" s="2">
        <v>38904</v>
      </c>
      <c r="H1256" s="2">
        <v>38904</v>
      </c>
      <c r="I1256" s="5">
        <v>38904</v>
      </c>
      <c r="L1256" t="s">
        <v>297</v>
      </c>
      <c r="M1256" t="s">
        <v>322</v>
      </c>
      <c r="O1256" t="str">
        <f t="shared" si="0"/>
        <v>Tom Tobin</v>
      </c>
    </row>
    <row r="1257" spans="1:15" ht="12.75" customHeight="1">
      <c r="A1257">
        <v>99</v>
      </c>
      <c r="B1257" t="s">
        <v>296</v>
      </c>
      <c r="C1257">
        <v>5029</v>
      </c>
      <c r="D1257" t="s">
        <v>295</v>
      </c>
      <c r="E1257" t="s">
        <v>299</v>
      </c>
      <c r="F1257" s="2">
        <v>38904</v>
      </c>
      <c r="H1257" s="2">
        <v>38904</v>
      </c>
      <c r="I1257" s="5">
        <v>38904</v>
      </c>
      <c r="L1257" t="s">
        <v>297</v>
      </c>
      <c r="M1257" t="s">
        <v>322</v>
      </c>
      <c r="O1257" t="str">
        <f t="shared" si="0"/>
        <v>Tom Tobin</v>
      </c>
    </row>
    <row r="1258" spans="1:15" ht="12.75" customHeight="1">
      <c r="A1258">
        <v>99</v>
      </c>
      <c r="B1258" t="s">
        <v>296</v>
      </c>
      <c r="C1258">
        <v>5030</v>
      </c>
      <c r="D1258" t="s">
        <v>295</v>
      </c>
      <c r="E1258" t="s">
        <v>299</v>
      </c>
      <c r="F1258" s="2">
        <v>38908</v>
      </c>
      <c r="H1258" s="2">
        <v>38908</v>
      </c>
      <c r="L1258" t="s">
        <v>297</v>
      </c>
      <c r="M1258" t="s">
        <v>322</v>
      </c>
      <c r="O1258" t="str">
        <f t="shared" si="0"/>
        <v>Tom Tobin</v>
      </c>
    </row>
    <row r="1259" spans="1:15" ht="12.75" customHeight="1">
      <c r="A1259">
        <v>99</v>
      </c>
      <c r="B1259" t="s">
        <v>296</v>
      </c>
      <c r="C1259">
        <v>5031</v>
      </c>
      <c r="D1259" t="s">
        <v>295</v>
      </c>
      <c r="E1259" t="s">
        <v>299</v>
      </c>
      <c r="F1259" s="2">
        <v>38961</v>
      </c>
      <c r="H1259" s="2">
        <v>38961</v>
      </c>
      <c r="L1259" t="s">
        <v>297</v>
      </c>
      <c r="M1259" t="s">
        <v>322</v>
      </c>
      <c r="O1259" t="str">
        <f t="shared" si="0"/>
        <v>Tom Tobin</v>
      </c>
    </row>
    <row r="1260" spans="1:15" ht="12.75" customHeight="1">
      <c r="A1260">
        <v>99</v>
      </c>
      <c r="B1260" t="s">
        <v>296</v>
      </c>
      <c r="C1260">
        <v>5032</v>
      </c>
      <c r="D1260" t="s">
        <v>295</v>
      </c>
      <c r="E1260" t="s">
        <v>299</v>
      </c>
      <c r="F1260" s="2">
        <v>38967</v>
      </c>
      <c r="H1260" s="2">
        <v>38967</v>
      </c>
      <c r="L1260" t="s">
        <v>297</v>
      </c>
      <c r="M1260" t="s">
        <v>322</v>
      </c>
      <c r="O1260" t="str">
        <f t="shared" si="0"/>
        <v>Tom Tobin</v>
      </c>
    </row>
    <row r="1261" spans="1:15" ht="12.75" customHeight="1">
      <c r="A1261">
        <v>99</v>
      </c>
      <c r="B1261" t="s">
        <v>296</v>
      </c>
      <c r="C1261">
        <v>5033</v>
      </c>
      <c r="D1261" t="s">
        <v>295</v>
      </c>
      <c r="E1261" t="s">
        <v>299</v>
      </c>
      <c r="F1261" s="2">
        <v>39146</v>
      </c>
      <c r="H1261" s="2">
        <v>39146</v>
      </c>
      <c r="I1261" s="5">
        <v>39146</v>
      </c>
      <c r="L1261" t="s">
        <v>297</v>
      </c>
      <c r="M1261" t="s">
        <v>322</v>
      </c>
      <c r="O1261" t="str">
        <f t="shared" si="0"/>
        <v>Tom Tobin</v>
      </c>
    </row>
    <row r="1262" spans="1:15" ht="12.75" customHeight="1">
      <c r="A1262">
        <v>99</v>
      </c>
      <c r="B1262" t="s">
        <v>296</v>
      </c>
      <c r="C1262">
        <v>5034</v>
      </c>
      <c r="D1262" t="s">
        <v>295</v>
      </c>
      <c r="E1262" t="s">
        <v>299</v>
      </c>
      <c r="F1262" s="2">
        <v>39157</v>
      </c>
      <c r="H1262" s="2">
        <v>39157</v>
      </c>
      <c r="L1262" t="s">
        <v>297</v>
      </c>
      <c r="M1262" t="s">
        <v>297</v>
      </c>
      <c r="O1262" t="str">
        <f t="shared" si="0"/>
        <v>Tom Tobin</v>
      </c>
    </row>
    <row r="1263" spans="1:15" ht="12.75" customHeight="1">
      <c r="A1263">
        <v>99</v>
      </c>
      <c r="B1263" t="s">
        <v>296</v>
      </c>
      <c r="C1263">
        <v>5035</v>
      </c>
      <c r="D1263" t="s">
        <v>295</v>
      </c>
      <c r="E1263" t="s">
        <v>299</v>
      </c>
      <c r="F1263" s="2">
        <v>39182</v>
      </c>
      <c r="H1263" s="2">
        <v>39182</v>
      </c>
      <c r="L1263" t="s">
        <v>297</v>
      </c>
      <c r="M1263" t="s">
        <v>322</v>
      </c>
      <c r="O1263" t="str">
        <f t="shared" si="0"/>
        <v>Tom Tobin</v>
      </c>
    </row>
    <row r="1264" spans="1:15" ht="12.75" customHeight="1">
      <c r="A1264">
        <v>99</v>
      </c>
      <c r="B1264" t="s">
        <v>296</v>
      </c>
      <c r="C1264">
        <v>5036</v>
      </c>
      <c r="D1264" t="s">
        <v>295</v>
      </c>
      <c r="E1264" t="s">
        <v>299</v>
      </c>
      <c r="F1264" s="2">
        <v>39195</v>
      </c>
      <c r="H1264" s="2">
        <v>39195</v>
      </c>
      <c r="L1264" t="s">
        <v>297</v>
      </c>
      <c r="M1264" t="s">
        <v>322</v>
      </c>
      <c r="O1264" t="str">
        <f t="shared" si="0"/>
        <v>Tom Tobin</v>
      </c>
    </row>
    <row r="1265" spans="1:15" ht="12.75" customHeight="1">
      <c r="A1265">
        <v>99</v>
      </c>
      <c r="B1265" t="s">
        <v>296</v>
      </c>
      <c r="C1265">
        <v>5037</v>
      </c>
      <c r="D1265" t="s">
        <v>295</v>
      </c>
      <c r="E1265" t="s">
        <v>299</v>
      </c>
      <c r="F1265" s="2">
        <v>39195</v>
      </c>
      <c r="H1265" s="2">
        <v>39195</v>
      </c>
      <c r="I1265" s="5">
        <v>39195</v>
      </c>
      <c r="L1265" t="s">
        <v>297</v>
      </c>
      <c r="M1265" t="s">
        <v>322</v>
      </c>
      <c r="O1265" t="str">
        <f t="shared" si="0"/>
        <v>Tom Tobin</v>
      </c>
    </row>
    <row r="1266" spans="1:15" ht="12.75" customHeight="1">
      <c r="A1266">
        <v>99</v>
      </c>
      <c r="B1266" t="s">
        <v>296</v>
      </c>
      <c r="C1266">
        <v>5038</v>
      </c>
      <c r="D1266" t="s">
        <v>295</v>
      </c>
      <c r="E1266" t="s">
        <v>299</v>
      </c>
      <c r="F1266" s="2">
        <v>39205</v>
      </c>
      <c r="H1266" s="2">
        <v>39196</v>
      </c>
      <c r="L1266" t="s">
        <v>297</v>
      </c>
      <c r="M1266" t="s">
        <v>322</v>
      </c>
      <c r="O1266" t="str">
        <f t="shared" si="0"/>
        <v>Tom Tobin</v>
      </c>
    </row>
    <row r="1267" spans="1:15" ht="12.75" customHeight="1">
      <c r="A1267">
        <v>99</v>
      </c>
      <c r="B1267" t="s">
        <v>296</v>
      </c>
      <c r="C1267">
        <v>5039</v>
      </c>
      <c r="D1267" t="s">
        <v>295</v>
      </c>
      <c r="E1267" t="s">
        <v>299</v>
      </c>
      <c r="F1267" s="2">
        <v>39322</v>
      </c>
      <c r="H1267" s="2">
        <v>39322</v>
      </c>
      <c r="I1267" s="5">
        <v>39322</v>
      </c>
      <c r="J1267" s="2">
        <v>39322</v>
      </c>
      <c r="L1267" t="s">
        <v>297</v>
      </c>
      <c r="M1267" t="s">
        <v>322</v>
      </c>
      <c r="O1267" t="str">
        <f t="shared" si="0"/>
        <v>Tom Tobin</v>
      </c>
    </row>
    <row r="1268" spans="1:15" ht="12.75" customHeight="1">
      <c r="A1268">
        <v>99</v>
      </c>
      <c r="B1268" t="s">
        <v>296</v>
      </c>
      <c r="C1268">
        <v>5040</v>
      </c>
      <c r="D1268" t="s">
        <v>295</v>
      </c>
      <c r="E1268" t="s">
        <v>299</v>
      </c>
      <c r="F1268" s="2">
        <v>39330</v>
      </c>
      <c r="H1268" s="2">
        <v>39330</v>
      </c>
      <c r="I1268" s="5">
        <v>39330</v>
      </c>
      <c r="L1268" t="s">
        <v>297</v>
      </c>
      <c r="M1268" t="s">
        <v>322</v>
      </c>
      <c r="O1268" t="str">
        <f t="shared" si="0"/>
        <v>Tom Tobin</v>
      </c>
    </row>
    <row r="1269" spans="1:15" ht="12.75" customHeight="1">
      <c r="A1269">
        <v>99</v>
      </c>
      <c r="B1269" t="s">
        <v>296</v>
      </c>
      <c r="C1269">
        <v>5041</v>
      </c>
      <c r="D1269" t="s">
        <v>295</v>
      </c>
      <c r="E1269" t="s">
        <v>299</v>
      </c>
      <c r="F1269" s="2">
        <v>39388</v>
      </c>
      <c r="H1269" s="2">
        <v>39388</v>
      </c>
      <c r="I1269" s="5">
        <v>39388</v>
      </c>
      <c r="L1269" t="s">
        <v>297</v>
      </c>
      <c r="M1269" t="s">
        <v>322</v>
      </c>
      <c r="O1269" t="str">
        <f t="shared" si="0"/>
        <v>Tom Tobin</v>
      </c>
    </row>
    <row r="1270" spans="1:15" ht="12.75" customHeight="1">
      <c r="A1270">
        <v>99</v>
      </c>
      <c r="B1270" t="s">
        <v>296</v>
      </c>
      <c r="C1270">
        <v>5042</v>
      </c>
      <c r="D1270" t="s">
        <v>295</v>
      </c>
      <c r="E1270" t="s">
        <v>299</v>
      </c>
      <c r="F1270" s="2">
        <v>39475</v>
      </c>
      <c r="L1270" t="s">
        <v>297</v>
      </c>
      <c r="M1270" t="s">
        <v>297</v>
      </c>
      <c r="O1270" t="str">
        <f t="shared" si="0"/>
        <v>Tom Tobin</v>
      </c>
    </row>
    <row r="1273" spans="1:15" ht="12.75" customHeight="1">
      <c r="D1273" s="1"/>
    </row>
  </sheetData>
  <phoneticPr fontId="0" type="noConversion"/>
  <pageMargins left="0" right="0" top="0" bottom="0" header="0" footer="0"/>
  <pageSetup scale="92" fitToWidth="0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F1"/>
    </sheetView>
  </sheetViews>
  <sheetFormatPr defaultRowHeight="12.75"/>
  <sheetData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32"/>
  <sheetViews>
    <sheetView workbookViewId="0"/>
  </sheetViews>
  <sheetFormatPr defaultRowHeight="12.75"/>
  <cols>
    <col min="1" max="1" width="7.85546875" bestFit="1" customWidth="1"/>
    <col min="2" max="2" width="5.28515625" bestFit="1" customWidth="1"/>
    <col min="3" max="3" width="7.42578125" bestFit="1" customWidth="1"/>
    <col min="4" max="4" width="6.5703125" bestFit="1" customWidth="1"/>
    <col min="5" max="5" width="12.140625" bestFit="1" customWidth="1"/>
    <col min="6" max="6" width="17.28515625" customWidth="1"/>
    <col min="7" max="7" width="23" bestFit="1" customWidth="1"/>
    <col min="8" max="8" width="42.85546875" bestFit="1" customWidth="1"/>
  </cols>
  <sheetData>
    <row r="1" spans="1:6">
      <c r="A1" s="35"/>
      <c r="B1" s="35"/>
      <c r="C1" s="35"/>
      <c r="D1" s="35"/>
      <c r="E1" s="36"/>
      <c r="F1" s="37"/>
    </row>
    <row r="2" spans="1:6">
      <c r="A2" s="15"/>
      <c r="B2" s="15"/>
      <c r="C2" s="15"/>
      <c r="D2" s="15"/>
      <c r="E2" s="38"/>
      <c r="F2" s="23"/>
    </row>
    <row r="3" spans="1:6">
      <c r="A3" s="15"/>
      <c r="B3" s="15"/>
      <c r="C3" s="15"/>
      <c r="D3" s="15"/>
      <c r="E3" s="38"/>
      <c r="F3" s="23"/>
    </row>
    <row r="4" spans="1:6">
      <c r="A4" s="15"/>
      <c r="B4" s="15"/>
      <c r="C4" s="15"/>
      <c r="D4" s="15"/>
      <c r="E4" s="38"/>
      <c r="F4" s="23"/>
    </row>
    <row r="5" spans="1:6">
      <c r="A5" s="15"/>
      <c r="B5" s="15"/>
      <c r="C5" s="15"/>
      <c r="D5" s="15"/>
      <c r="E5" s="38"/>
      <c r="F5" s="23"/>
    </row>
    <row r="6" spans="1:6">
      <c r="A6" s="15"/>
      <c r="B6" s="15"/>
      <c r="C6" s="15"/>
      <c r="D6" s="15"/>
      <c r="E6" s="38"/>
      <c r="F6" s="23"/>
    </row>
    <row r="7" spans="1:6">
      <c r="A7" s="15"/>
      <c r="B7" s="15"/>
      <c r="C7" s="15"/>
      <c r="D7" s="15"/>
      <c r="E7" s="38"/>
      <c r="F7" s="23"/>
    </row>
    <row r="8" spans="1:6">
      <c r="A8" s="15"/>
      <c r="B8" s="15"/>
      <c r="C8" s="15"/>
      <c r="D8" s="39"/>
      <c r="E8" s="38"/>
      <c r="F8" s="23"/>
    </row>
    <row r="9" spans="1:6">
      <c r="A9" s="15"/>
      <c r="B9" s="15"/>
      <c r="C9" s="15"/>
      <c r="D9" s="15"/>
      <c r="E9" s="38"/>
      <c r="F9" s="23"/>
    </row>
    <row r="10" spans="1:6">
      <c r="A10" s="15"/>
      <c r="B10" s="15"/>
      <c r="C10" s="15"/>
      <c r="D10" s="15"/>
      <c r="E10" s="38"/>
      <c r="F10" s="23"/>
    </row>
    <row r="11" spans="1:6">
      <c r="A11" s="15"/>
      <c r="B11" s="15"/>
      <c r="C11" s="15"/>
      <c r="D11" s="15"/>
      <c r="E11" s="38"/>
      <c r="F11" s="23"/>
    </row>
    <row r="12" spans="1:6">
      <c r="A12" s="15"/>
      <c r="B12" s="15"/>
      <c r="C12" s="15"/>
      <c r="D12" s="15"/>
      <c r="E12" s="38"/>
      <c r="F12" s="23"/>
    </row>
    <row r="13" spans="1:6">
      <c r="A13" s="15"/>
      <c r="B13" s="15"/>
      <c r="C13" s="15"/>
      <c r="D13" s="15"/>
      <c r="E13" s="38"/>
      <c r="F13" s="23"/>
    </row>
    <row r="14" spans="1:6">
      <c r="A14" s="15"/>
      <c r="B14" s="15"/>
      <c r="C14" s="15"/>
      <c r="D14" s="15"/>
      <c r="E14" s="38"/>
      <c r="F14" s="23"/>
    </row>
    <row r="15" spans="1:6">
      <c r="A15" s="15"/>
      <c r="B15" s="15"/>
      <c r="C15" s="15"/>
      <c r="D15" s="15"/>
      <c r="E15" s="38"/>
      <c r="F15" s="23"/>
    </row>
    <row r="16" spans="1:6">
      <c r="A16" s="15"/>
      <c r="B16" s="15"/>
      <c r="C16" s="15"/>
      <c r="D16" s="15"/>
      <c r="E16" s="38"/>
      <c r="F16" s="23"/>
    </row>
    <row r="17" spans="1:6">
      <c r="A17" s="15"/>
      <c r="B17" s="15"/>
      <c r="C17" s="15"/>
      <c r="D17" s="15"/>
      <c r="E17" s="38"/>
      <c r="F17" s="23"/>
    </row>
    <row r="18" spans="1:6">
      <c r="A18" s="16"/>
      <c r="B18" s="16"/>
      <c r="C18" s="16"/>
      <c r="D18" s="30"/>
      <c r="E18" s="25"/>
      <c r="F18" s="23"/>
    </row>
    <row r="19" spans="1:6">
      <c r="A19" s="16"/>
      <c r="B19" s="16"/>
      <c r="C19" s="16"/>
      <c r="D19" s="16"/>
      <c r="E19" s="25"/>
      <c r="F19" s="23"/>
    </row>
    <row r="20" spans="1:6">
      <c r="A20" s="16"/>
      <c r="B20" s="16"/>
      <c r="C20" s="16"/>
      <c r="D20" s="16"/>
      <c r="E20" s="25"/>
      <c r="F20" s="23"/>
    </row>
    <row r="21" spans="1:6">
      <c r="A21" s="16"/>
      <c r="B21" s="16"/>
      <c r="C21" s="16"/>
      <c r="D21" s="16"/>
      <c r="E21" s="25"/>
      <c r="F21" s="23"/>
    </row>
    <row r="22" spans="1:6">
      <c r="A22" s="16"/>
      <c r="B22" s="16"/>
      <c r="C22" s="16"/>
      <c r="D22" s="16"/>
      <c r="E22" s="25"/>
      <c r="F22" s="23"/>
    </row>
    <row r="23" spans="1:6">
      <c r="A23" s="16"/>
      <c r="B23" s="16"/>
      <c r="C23" s="16"/>
      <c r="D23" s="16"/>
      <c r="E23" s="25"/>
      <c r="F23" s="23"/>
    </row>
    <row r="24" spans="1:6">
      <c r="A24" s="16"/>
      <c r="B24" s="16"/>
      <c r="C24" s="16"/>
      <c r="D24" s="16"/>
      <c r="E24" s="25"/>
      <c r="F24" s="23"/>
    </row>
    <row r="25" spans="1:6">
      <c r="A25" s="16"/>
      <c r="B25" s="16"/>
      <c r="C25" s="16"/>
      <c r="D25" s="16"/>
      <c r="E25" s="25"/>
      <c r="F25" s="23"/>
    </row>
    <row r="26" spans="1:6">
      <c r="A26" s="16"/>
      <c r="B26" s="16"/>
      <c r="C26" s="16"/>
      <c r="D26" s="16"/>
      <c r="E26" s="25"/>
      <c r="F26" s="23"/>
    </row>
    <row r="27" spans="1:6">
      <c r="A27" s="16"/>
      <c r="B27" s="16"/>
      <c r="C27" s="16"/>
      <c r="D27" s="30"/>
      <c r="E27" s="25"/>
      <c r="F27" s="23"/>
    </row>
    <row r="28" spans="1:6">
      <c r="A28" s="16"/>
      <c r="B28" s="16"/>
      <c r="C28" s="16"/>
      <c r="D28" s="16"/>
      <c r="E28" s="25"/>
      <c r="F28" s="23"/>
    </row>
    <row r="29" spans="1:6">
      <c r="A29" s="16"/>
      <c r="B29" s="16"/>
      <c r="C29" s="16"/>
      <c r="D29" s="16"/>
      <c r="E29" s="25"/>
      <c r="F29" s="23"/>
    </row>
    <row r="30" spans="1:6">
      <c r="A30" s="16"/>
      <c r="B30" s="16"/>
      <c r="C30" s="16"/>
      <c r="D30" s="16"/>
      <c r="E30" s="25"/>
      <c r="F30" s="23"/>
    </row>
    <row r="31" spans="1:6">
      <c r="A31" s="16"/>
      <c r="B31" s="16"/>
      <c r="C31" s="16"/>
      <c r="D31" s="30"/>
      <c r="E31" s="25"/>
      <c r="F31" s="23"/>
    </row>
    <row r="32" spans="1:6">
      <c r="A32" s="16"/>
      <c r="B32" s="16"/>
      <c r="C32" s="16"/>
      <c r="D32" s="16"/>
      <c r="E32" s="25"/>
      <c r="F32" s="23"/>
    </row>
    <row r="33" spans="1:6">
      <c r="A33" s="16"/>
      <c r="B33" s="16"/>
      <c r="C33" s="16"/>
      <c r="D33" s="16"/>
      <c r="E33" s="25"/>
      <c r="F33" s="23"/>
    </row>
    <row r="34" spans="1:6">
      <c r="A34" s="16"/>
      <c r="B34" s="16"/>
      <c r="C34" s="16"/>
      <c r="D34" s="16"/>
      <c r="E34" s="25"/>
      <c r="F34" s="23"/>
    </row>
    <row r="35" spans="1:6">
      <c r="A35" s="16"/>
      <c r="B35" s="16"/>
      <c r="C35" s="16"/>
      <c r="D35" s="16"/>
      <c r="E35" s="25"/>
      <c r="F35" s="23"/>
    </row>
    <row r="36" spans="1:6">
      <c r="A36" s="16"/>
      <c r="B36" s="16"/>
      <c r="C36" s="16"/>
      <c r="D36" s="16"/>
      <c r="E36" s="25"/>
      <c r="F36" s="23"/>
    </row>
    <row r="37" spans="1:6">
      <c r="A37" s="16"/>
      <c r="B37" s="16"/>
      <c r="C37" s="16"/>
      <c r="D37" s="16"/>
      <c r="E37" s="25"/>
      <c r="F37" s="23"/>
    </row>
    <row r="38" spans="1:6">
      <c r="A38" s="16"/>
      <c r="B38" s="16"/>
      <c r="C38" s="16"/>
      <c r="D38" s="16"/>
      <c r="E38" s="25"/>
      <c r="F38" s="23"/>
    </row>
    <row r="39" spans="1:6">
      <c r="A39" s="16"/>
      <c r="B39" s="16"/>
      <c r="C39" s="16"/>
      <c r="D39" s="16"/>
      <c r="E39" s="25"/>
      <c r="F39" s="23"/>
    </row>
    <row r="40" spans="1:6">
      <c r="A40" s="16"/>
      <c r="B40" s="16"/>
      <c r="C40" s="16"/>
      <c r="D40" s="16"/>
      <c r="E40" s="25"/>
      <c r="F40" s="23"/>
    </row>
    <row r="41" spans="1:6">
      <c r="A41" s="16"/>
      <c r="B41" s="16"/>
      <c r="C41" s="16"/>
      <c r="D41" s="16"/>
      <c r="E41" s="25"/>
      <c r="F41" s="23"/>
    </row>
    <row r="42" spans="1:6">
      <c r="A42" s="16"/>
      <c r="B42" s="16"/>
      <c r="C42" s="16"/>
      <c r="D42" s="16"/>
      <c r="E42" s="25"/>
      <c r="F42" s="23"/>
    </row>
    <row r="43" spans="1:6">
      <c r="A43" s="16"/>
      <c r="B43" s="16"/>
      <c r="C43" s="16"/>
      <c r="D43" s="16"/>
      <c r="E43" s="25"/>
      <c r="F43" s="23"/>
    </row>
    <row r="44" spans="1:6">
      <c r="A44" s="16"/>
      <c r="B44" s="16"/>
      <c r="C44" s="16"/>
      <c r="D44" s="16"/>
      <c r="E44" s="25"/>
      <c r="F44" s="23"/>
    </row>
    <row r="45" spans="1:6">
      <c r="A45" s="16"/>
      <c r="B45" s="16"/>
      <c r="C45" s="16"/>
      <c r="D45" s="16"/>
      <c r="E45" s="25"/>
      <c r="F45" s="23"/>
    </row>
    <row r="46" spans="1:6">
      <c r="A46" s="16"/>
      <c r="B46" s="16"/>
      <c r="C46" s="16"/>
      <c r="D46" s="30"/>
      <c r="E46" s="25"/>
      <c r="F46" s="23"/>
    </row>
    <row r="47" spans="1:6">
      <c r="A47" s="16"/>
      <c r="B47" s="16"/>
      <c r="C47" s="16"/>
      <c r="D47" s="16"/>
      <c r="E47" s="25"/>
      <c r="F47" s="23"/>
    </row>
    <row r="48" spans="1:6">
      <c r="A48" s="16"/>
      <c r="B48" s="16"/>
      <c r="C48" s="16"/>
      <c r="D48" s="30"/>
      <c r="E48" s="25"/>
      <c r="F48" s="23"/>
    </row>
    <row r="49" spans="1:6">
      <c r="A49" s="16"/>
      <c r="B49" s="16"/>
      <c r="C49" s="16"/>
      <c r="D49" s="16"/>
      <c r="E49" s="25"/>
      <c r="F49" s="23"/>
    </row>
    <row r="50" spans="1:6">
      <c r="A50" s="16"/>
      <c r="B50" s="16"/>
      <c r="C50" s="16"/>
      <c r="D50" s="16"/>
      <c r="E50" s="25"/>
      <c r="F50" s="23"/>
    </row>
    <row r="51" spans="1:6">
      <c r="A51" s="16"/>
      <c r="B51" s="16"/>
      <c r="C51" s="16"/>
      <c r="D51" s="30"/>
      <c r="E51" s="25"/>
      <c r="F51" s="23"/>
    </row>
    <row r="52" spans="1:6">
      <c r="A52" s="16"/>
      <c r="B52" s="16"/>
      <c r="C52" s="16"/>
      <c r="D52" s="16"/>
      <c r="E52" s="25"/>
      <c r="F52" s="23"/>
    </row>
    <row r="53" spans="1:6">
      <c r="A53" s="16"/>
      <c r="B53" s="16"/>
      <c r="C53" s="16"/>
      <c r="D53" s="16"/>
      <c r="E53" s="25"/>
      <c r="F53" s="23"/>
    </row>
    <row r="54" spans="1:6">
      <c r="A54" s="16"/>
      <c r="B54" s="16"/>
      <c r="C54" s="16"/>
      <c r="D54" s="16"/>
      <c r="E54" s="25"/>
      <c r="F54" s="23"/>
    </row>
    <row r="55" spans="1:6">
      <c r="A55" s="16"/>
      <c r="B55" s="16"/>
      <c r="C55" s="16"/>
      <c r="D55" s="16"/>
      <c r="E55" s="25"/>
      <c r="F55" s="23"/>
    </row>
    <row r="56" spans="1:6">
      <c r="A56" s="16"/>
      <c r="B56" s="16"/>
      <c r="C56" s="16"/>
      <c r="D56" s="16"/>
      <c r="E56" s="25"/>
      <c r="F56" s="23"/>
    </row>
    <row r="57" spans="1:6">
      <c r="A57" s="16"/>
      <c r="B57" s="16"/>
      <c r="C57" s="16"/>
      <c r="D57" s="30"/>
      <c r="E57" s="25"/>
      <c r="F57" s="23"/>
    </row>
    <row r="58" spans="1:6">
      <c r="A58" s="16"/>
      <c r="B58" s="16"/>
      <c r="C58" s="16"/>
      <c r="D58" s="30"/>
      <c r="E58" s="25"/>
      <c r="F58" s="23"/>
    </row>
    <row r="59" spans="1:6">
      <c r="A59" s="16"/>
      <c r="B59" s="16"/>
      <c r="C59" s="16"/>
      <c r="D59" s="16"/>
      <c r="E59" s="25"/>
      <c r="F59" s="23"/>
    </row>
    <row r="60" spans="1:6">
      <c r="A60" s="16"/>
      <c r="B60" s="16"/>
      <c r="C60" s="16"/>
      <c r="D60" s="16"/>
      <c r="E60" s="25"/>
      <c r="F60" s="23"/>
    </row>
    <row r="61" spans="1:6">
      <c r="A61" s="16"/>
      <c r="B61" s="16"/>
      <c r="C61" s="16"/>
      <c r="D61" s="30"/>
      <c r="E61" s="25"/>
      <c r="F61" s="23"/>
    </row>
    <row r="62" spans="1:6">
      <c r="A62" s="16"/>
      <c r="B62" s="16"/>
      <c r="C62" s="16"/>
      <c r="D62" s="16"/>
      <c r="E62" s="25"/>
      <c r="F62" s="23"/>
    </row>
    <row r="63" spans="1:6">
      <c r="A63" s="16"/>
      <c r="B63" s="16"/>
      <c r="C63" s="16"/>
      <c r="D63" s="16"/>
      <c r="E63" s="25"/>
      <c r="F63" s="23"/>
    </row>
    <row r="64" spans="1:6">
      <c r="A64" s="16"/>
      <c r="B64" s="16"/>
      <c r="C64" s="16"/>
      <c r="D64" s="16"/>
      <c r="E64" s="25"/>
      <c r="F64" s="23"/>
    </row>
    <row r="65" spans="1:6">
      <c r="A65" s="16"/>
      <c r="B65" s="16"/>
      <c r="C65" s="16"/>
      <c r="D65" s="16"/>
      <c r="E65" s="25"/>
      <c r="F65" s="23"/>
    </row>
    <row r="66" spans="1:6">
      <c r="A66" s="16"/>
      <c r="B66" s="16"/>
      <c r="C66" s="16"/>
      <c r="D66" s="16"/>
      <c r="E66" s="25"/>
      <c r="F66" s="23"/>
    </row>
    <row r="67" spans="1:6">
      <c r="A67" s="16"/>
      <c r="B67" s="16"/>
      <c r="C67" s="16"/>
      <c r="D67" s="16"/>
      <c r="E67" s="25"/>
      <c r="F67" s="23"/>
    </row>
    <row r="68" spans="1:6">
      <c r="A68" s="16"/>
      <c r="B68" s="16"/>
      <c r="C68" s="16"/>
      <c r="D68" s="16"/>
      <c r="E68" s="25"/>
      <c r="F68" s="23"/>
    </row>
    <row r="69" spans="1:6">
      <c r="A69" s="16"/>
      <c r="B69" s="16"/>
      <c r="C69" s="16"/>
      <c r="D69" s="16"/>
      <c r="E69" s="25"/>
      <c r="F69" s="23"/>
    </row>
    <row r="70" spans="1:6">
      <c r="A70" s="16"/>
      <c r="B70" s="16"/>
      <c r="C70" s="16"/>
      <c r="D70" s="16"/>
      <c r="E70" s="25"/>
      <c r="F70" s="23"/>
    </row>
    <row r="71" spans="1:6">
      <c r="A71" s="16"/>
      <c r="B71" s="16"/>
      <c r="C71" s="16"/>
      <c r="D71" s="16"/>
      <c r="E71" s="25"/>
      <c r="F71" s="23"/>
    </row>
    <row r="72" spans="1:6">
      <c r="A72" s="16"/>
      <c r="B72" s="16"/>
      <c r="C72" s="16"/>
      <c r="D72" s="16"/>
      <c r="E72" s="25"/>
      <c r="F72" s="23"/>
    </row>
    <row r="73" spans="1:6">
      <c r="A73" s="16"/>
      <c r="B73" s="16"/>
      <c r="C73" s="16"/>
      <c r="D73" s="16"/>
      <c r="E73" s="25"/>
      <c r="F73" s="23"/>
    </row>
    <row r="74" spans="1:6">
      <c r="A74" s="16"/>
      <c r="B74" s="16"/>
      <c r="C74" s="16"/>
      <c r="D74" s="16"/>
      <c r="E74" s="25"/>
      <c r="F74" s="23"/>
    </row>
    <row r="75" spans="1:6">
      <c r="A75" s="16"/>
      <c r="B75" s="16"/>
      <c r="C75" s="16"/>
      <c r="D75" s="16"/>
      <c r="E75" s="25"/>
      <c r="F75" s="23"/>
    </row>
    <row r="76" spans="1:6">
      <c r="A76" s="16"/>
      <c r="B76" s="16"/>
      <c r="C76" s="16"/>
      <c r="D76" s="16"/>
      <c r="E76" s="25"/>
      <c r="F76" s="23"/>
    </row>
    <row r="77" spans="1:6">
      <c r="A77" s="16"/>
      <c r="B77" s="16"/>
      <c r="C77" s="16"/>
      <c r="D77" s="16"/>
      <c r="E77" s="25"/>
      <c r="F77" s="23"/>
    </row>
    <row r="78" spans="1:6">
      <c r="A78" s="16"/>
      <c r="B78" s="16"/>
      <c r="C78" s="16"/>
      <c r="D78" s="16"/>
      <c r="E78" s="25"/>
      <c r="F78" s="23"/>
    </row>
    <row r="79" spans="1:6">
      <c r="A79" s="16"/>
      <c r="B79" s="16"/>
      <c r="C79" s="16"/>
      <c r="D79" s="16"/>
      <c r="E79" s="25"/>
      <c r="F79" s="23"/>
    </row>
    <row r="80" spans="1:6">
      <c r="A80" s="16"/>
      <c r="B80" s="16"/>
      <c r="C80" s="16"/>
      <c r="D80" s="16"/>
      <c r="E80" s="25"/>
      <c r="F80" s="23"/>
    </row>
    <row r="81" spans="1:6">
      <c r="A81" s="16"/>
      <c r="B81" s="16"/>
      <c r="C81" s="16"/>
      <c r="D81" s="16"/>
      <c r="E81" s="25"/>
      <c r="F81" s="23"/>
    </row>
    <row r="82" spans="1:6">
      <c r="A82" s="16"/>
      <c r="B82" s="16"/>
      <c r="C82" s="16"/>
      <c r="D82" s="16"/>
      <c r="E82" s="25"/>
      <c r="F82" s="23"/>
    </row>
    <row r="83" spans="1:6">
      <c r="A83" s="16"/>
      <c r="B83" s="16"/>
      <c r="C83" s="16"/>
      <c r="D83" s="16"/>
      <c r="E83" s="25"/>
      <c r="F83" s="23"/>
    </row>
    <row r="84" spans="1:6">
      <c r="A84" s="16"/>
      <c r="B84" s="16"/>
      <c r="C84" s="16"/>
      <c r="D84" s="16"/>
      <c r="E84" s="25"/>
      <c r="F84" s="23"/>
    </row>
    <row r="85" spans="1:6">
      <c r="A85" s="16"/>
      <c r="B85" s="16"/>
      <c r="C85" s="16"/>
      <c r="D85" s="16"/>
      <c r="E85" s="25"/>
      <c r="F85" s="23"/>
    </row>
    <row r="86" spans="1:6">
      <c r="A86" s="16"/>
      <c r="B86" s="16"/>
      <c r="C86" s="16"/>
      <c r="D86" s="16"/>
      <c r="E86" s="25"/>
      <c r="F86" s="23"/>
    </row>
    <row r="87" spans="1:6">
      <c r="A87" s="16"/>
      <c r="B87" s="16"/>
      <c r="C87" s="16"/>
      <c r="D87" s="16"/>
      <c r="E87" s="25"/>
      <c r="F87" s="23"/>
    </row>
    <row r="88" spans="1:6">
      <c r="A88" s="16"/>
      <c r="B88" s="16"/>
      <c r="C88" s="16"/>
      <c r="D88" s="16"/>
      <c r="E88" s="25"/>
      <c r="F88" s="23"/>
    </row>
    <row r="89" spans="1:6">
      <c r="A89" s="16"/>
      <c r="B89" s="16"/>
      <c r="C89" s="16"/>
      <c r="D89" s="16"/>
      <c r="E89" s="25"/>
      <c r="F89" s="23"/>
    </row>
    <row r="90" spans="1:6">
      <c r="A90" s="16"/>
      <c r="B90" s="16"/>
      <c r="C90" s="16"/>
      <c r="D90" s="16"/>
      <c r="E90" s="25"/>
      <c r="F90" s="23"/>
    </row>
    <row r="91" spans="1:6">
      <c r="A91" s="16"/>
      <c r="B91" s="16"/>
      <c r="C91" s="16"/>
      <c r="D91" s="16"/>
      <c r="E91" s="25"/>
      <c r="F91" s="23"/>
    </row>
    <row r="92" spans="1:6">
      <c r="A92" s="16"/>
      <c r="B92" s="16"/>
      <c r="C92" s="16"/>
      <c r="D92" s="16"/>
      <c r="E92" s="25"/>
      <c r="F92" s="23"/>
    </row>
    <row r="93" spans="1:6">
      <c r="A93" s="16"/>
      <c r="B93" s="16"/>
      <c r="C93" s="16"/>
      <c r="D93" s="16"/>
      <c r="E93" s="25"/>
      <c r="F93" s="23"/>
    </row>
    <row r="94" spans="1:6">
      <c r="A94" s="16"/>
      <c r="B94" s="16"/>
      <c r="C94" s="16"/>
      <c r="D94" s="16"/>
      <c r="E94" s="25"/>
      <c r="F94" s="23"/>
    </row>
    <row r="95" spans="1:6">
      <c r="A95" s="16"/>
      <c r="B95" s="16"/>
      <c r="C95" s="16"/>
      <c r="D95" s="16"/>
      <c r="E95" s="25"/>
      <c r="F95" s="23"/>
    </row>
    <row r="96" spans="1:6">
      <c r="A96" s="16"/>
      <c r="B96" s="16"/>
      <c r="C96" s="16"/>
      <c r="D96" s="16"/>
      <c r="E96" s="25"/>
      <c r="F96" s="23"/>
    </row>
    <row r="97" spans="1:6">
      <c r="A97" s="16"/>
      <c r="B97" s="16"/>
      <c r="C97" s="16"/>
      <c r="D97" s="16"/>
      <c r="E97" s="25"/>
      <c r="F97" s="23"/>
    </row>
    <row r="98" spans="1:6">
      <c r="A98" s="16"/>
      <c r="B98" s="16"/>
      <c r="C98" s="16"/>
      <c r="D98" s="16"/>
      <c r="E98" s="25"/>
      <c r="F98" s="23"/>
    </row>
    <row r="99" spans="1:6">
      <c r="A99" s="16"/>
      <c r="B99" s="16"/>
      <c r="C99" s="16"/>
      <c r="D99" s="30"/>
      <c r="E99" s="25"/>
      <c r="F99" s="23"/>
    </row>
    <row r="100" spans="1:6">
      <c r="A100" s="16"/>
      <c r="B100" s="16"/>
      <c r="C100" s="16"/>
      <c r="D100" s="16"/>
      <c r="E100" s="25"/>
      <c r="F100" s="23"/>
    </row>
    <row r="101" spans="1:6">
      <c r="A101" s="16"/>
      <c r="B101" s="16"/>
      <c r="C101" s="16"/>
      <c r="D101" s="16"/>
      <c r="E101" s="25"/>
      <c r="F101" s="23"/>
    </row>
    <row r="102" spans="1:6">
      <c r="A102" s="16"/>
      <c r="B102" s="16"/>
      <c r="C102" s="16"/>
      <c r="D102" s="16"/>
      <c r="E102" s="25"/>
      <c r="F102" s="23"/>
    </row>
    <row r="103" spans="1:6">
      <c r="A103" s="16"/>
      <c r="B103" s="16"/>
      <c r="C103" s="16"/>
      <c r="D103" s="16"/>
      <c r="E103" s="25"/>
      <c r="F103" s="23"/>
    </row>
    <row r="104" spans="1:6">
      <c r="A104" s="16"/>
      <c r="B104" s="16"/>
      <c r="C104" s="16"/>
      <c r="D104" s="16"/>
      <c r="E104" s="25"/>
      <c r="F104" s="23"/>
    </row>
    <row r="105" spans="1:6">
      <c r="A105" s="16"/>
      <c r="B105" s="16"/>
      <c r="C105" s="16"/>
      <c r="D105" s="16"/>
      <c r="E105" s="25"/>
      <c r="F105" s="23"/>
    </row>
    <row r="106" spans="1:6">
      <c r="A106" s="16"/>
      <c r="B106" s="16"/>
      <c r="C106" s="16"/>
      <c r="D106" s="16"/>
      <c r="E106" s="25"/>
      <c r="F106" s="23"/>
    </row>
    <row r="107" spans="1:6">
      <c r="A107" s="16"/>
      <c r="B107" s="16"/>
      <c r="C107" s="16"/>
      <c r="D107" s="30"/>
      <c r="E107" s="25"/>
      <c r="F107" s="23"/>
    </row>
    <row r="108" spans="1:6">
      <c r="A108" s="16"/>
      <c r="B108" s="16"/>
      <c r="C108" s="16"/>
      <c r="D108" s="16"/>
      <c r="E108" s="25"/>
      <c r="F108" s="23"/>
    </row>
    <row r="109" spans="1:6">
      <c r="A109" s="16"/>
      <c r="B109" s="16"/>
      <c r="C109" s="16"/>
      <c r="D109" s="16"/>
      <c r="E109" s="25"/>
      <c r="F109" s="23"/>
    </row>
    <row r="110" spans="1:6">
      <c r="A110" s="16"/>
      <c r="B110" s="16"/>
      <c r="C110" s="16"/>
      <c r="D110" s="30"/>
      <c r="E110" s="25"/>
      <c r="F110" s="23"/>
    </row>
    <row r="111" spans="1:6">
      <c r="A111" s="16"/>
      <c r="B111" s="16"/>
      <c r="C111" s="16"/>
      <c r="D111" s="16"/>
      <c r="E111" s="25"/>
      <c r="F111" s="23"/>
    </row>
    <row r="112" spans="1:6">
      <c r="A112" s="16"/>
      <c r="B112" s="16"/>
      <c r="C112" s="16"/>
      <c r="D112" s="16"/>
      <c r="E112" s="25"/>
      <c r="F112" s="23"/>
    </row>
    <row r="113" spans="1:6">
      <c r="A113" s="16"/>
      <c r="B113" s="16"/>
      <c r="C113" s="16"/>
      <c r="D113" s="16"/>
      <c r="E113" s="25"/>
      <c r="F113" s="23"/>
    </row>
    <row r="114" spans="1:6">
      <c r="A114" s="16"/>
      <c r="B114" s="16"/>
      <c r="C114" s="16"/>
      <c r="D114" s="16"/>
      <c r="E114" s="25"/>
      <c r="F114" s="23"/>
    </row>
    <row r="115" spans="1:6">
      <c r="A115" s="16"/>
      <c r="B115" s="16"/>
      <c r="C115" s="16"/>
      <c r="D115" s="16"/>
      <c r="E115" s="25"/>
      <c r="F115" s="23"/>
    </row>
    <row r="116" spans="1:6">
      <c r="A116" s="16"/>
      <c r="B116" s="16"/>
      <c r="C116" s="16"/>
      <c r="D116" s="16"/>
      <c r="E116" s="25"/>
      <c r="F116" s="23"/>
    </row>
    <row r="117" spans="1:6">
      <c r="A117" s="16"/>
      <c r="B117" s="16"/>
      <c r="C117" s="16"/>
      <c r="D117" s="16"/>
      <c r="E117" s="25"/>
      <c r="F117" s="23"/>
    </row>
    <row r="118" spans="1:6">
      <c r="A118" s="16"/>
      <c r="B118" s="16"/>
      <c r="C118" s="16"/>
      <c r="D118" s="16"/>
      <c r="E118" s="25"/>
      <c r="F118" s="23"/>
    </row>
    <row r="119" spans="1:6">
      <c r="A119" s="16"/>
      <c r="B119" s="16"/>
      <c r="C119" s="16"/>
      <c r="D119" s="16"/>
      <c r="E119" s="25"/>
      <c r="F119" s="23"/>
    </row>
    <row r="120" spans="1:6">
      <c r="A120" s="16"/>
      <c r="B120" s="16"/>
      <c r="C120" s="16"/>
      <c r="D120" s="16"/>
      <c r="E120" s="25"/>
      <c r="F120" s="23"/>
    </row>
    <row r="121" spans="1:6">
      <c r="A121" s="16"/>
      <c r="B121" s="16"/>
      <c r="C121" s="16"/>
      <c r="D121" s="16"/>
      <c r="E121" s="25"/>
      <c r="F121" s="23"/>
    </row>
    <row r="122" spans="1:6">
      <c r="A122" s="16"/>
      <c r="B122" s="16"/>
      <c r="C122" s="16"/>
      <c r="D122" s="16"/>
      <c r="E122" s="25"/>
      <c r="F122" s="23"/>
    </row>
    <row r="123" spans="1:6">
      <c r="A123" s="16"/>
      <c r="B123" s="16"/>
      <c r="C123" s="16"/>
      <c r="D123" s="16"/>
      <c r="E123" s="25"/>
      <c r="F123" s="23"/>
    </row>
    <row r="124" spans="1:6">
      <c r="A124" s="16"/>
      <c r="B124" s="16"/>
      <c r="C124" s="16"/>
      <c r="D124" s="16"/>
      <c r="E124" s="25"/>
      <c r="F124" s="23"/>
    </row>
    <row r="125" spans="1:6">
      <c r="A125" s="16"/>
      <c r="B125" s="16"/>
      <c r="C125" s="16"/>
      <c r="D125" s="16"/>
      <c r="E125" s="25"/>
      <c r="F125" s="23"/>
    </row>
    <row r="126" spans="1:6">
      <c r="A126" s="16"/>
      <c r="B126" s="16"/>
      <c r="C126" s="16"/>
      <c r="D126" s="16"/>
      <c r="E126" s="25"/>
      <c r="F126" s="23"/>
    </row>
    <row r="127" spans="1:6">
      <c r="A127" s="16"/>
      <c r="B127" s="16"/>
      <c r="C127" s="16"/>
      <c r="D127" s="16"/>
      <c r="E127" s="25"/>
      <c r="F127" s="23"/>
    </row>
    <row r="128" spans="1:6">
      <c r="A128" s="16"/>
      <c r="B128" s="16"/>
      <c r="C128" s="16"/>
      <c r="D128" s="16"/>
      <c r="E128" s="25"/>
      <c r="F128" s="23"/>
    </row>
    <row r="129" spans="1:6">
      <c r="A129" s="16"/>
      <c r="B129" s="16"/>
      <c r="C129" s="16"/>
      <c r="D129" s="16"/>
      <c r="E129" s="25"/>
      <c r="F129" s="23"/>
    </row>
    <row r="130" spans="1:6">
      <c r="A130" s="16"/>
      <c r="B130" s="16"/>
      <c r="C130" s="16"/>
      <c r="D130" s="16"/>
      <c r="E130" s="25"/>
      <c r="F130" s="23"/>
    </row>
    <row r="131" spans="1:6">
      <c r="A131" s="16"/>
      <c r="B131" s="16"/>
      <c r="C131" s="16"/>
      <c r="D131" s="16"/>
      <c r="E131" s="25"/>
      <c r="F131" s="23"/>
    </row>
    <row r="132" spans="1:6">
      <c r="A132" s="16"/>
      <c r="B132" s="16"/>
      <c r="C132" s="16"/>
      <c r="D132" s="16"/>
      <c r="E132" s="25"/>
      <c r="F132" s="23"/>
    </row>
    <row r="133" spans="1:6">
      <c r="A133" s="16"/>
      <c r="B133" s="16"/>
      <c r="C133" s="16"/>
      <c r="D133" s="16"/>
      <c r="E133" s="25"/>
      <c r="F133" s="23"/>
    </row>
    <row r="134" spans="1:6">
      <c r="A134" s="16"/>
      <c r="B134" s="16"/>
      <c r="C134" s="16"/>
      <c r="D134" s="16"/>
      <c r="E134" s="25"/>
      <c r="F134" s="23"/>
    </row>
    <row r="135" spans="1:6">
      <c r="A135" s="16"/>
      <c r="B135" s="16"/>
      <c r="C135" s="16"/>
      <c r="D135" s="16"/>
      <c r="E135" s="25"/>
      <c r="F135" s="23"/>
    </row>
    <row r="136" spans="1:6">
      <c r="A136" s="16"/>
      <c r="B136" s="16"/>
      <c r="C136" s="16"/>
      <c r="D136" s="16"/>
      <c r="E136" s="25"/>
      <c r="F136" s="23"/>
    </row>
    <row r="137" spans="1:6">
      <c r="A137" s="16"/>
      <c r="B137" s="16"/>
      <c r="C137" s="16"/>
      <c r="D137" s="16"/>
      <c r="E137" s="25"/>
      <c r="F137" s="23"/>
    </row>
    <row r="138" spans="1:6">
      <c r="A138" s="16"/>
      <c r="B138" s="16"/>
      <c r="C138" s="16"/>
      <c r="D138" s="16"/>
      <c r="E138" s="25"/>
      <c r="F138" s="23"/>
    </row>
    <row r="139" spans="1:6">
      <c r="A139" s="16"/>
      <c r="B139" s="16"/>
      <c r="C139" s="16"/>
      <c r="D139" s="16"/>
      <c r="E139" s="25"/>
      <c r="F139" s="23"/>
    </row>
    <row r="140" spans="1:6">
      <c r="A140" s="16"/>
      <c r="B140" s="16"/>
      <c r="C140" s="16"/>
      <c r="D140" s="16"/>
      <c r="E140" s="25"/>
      <c r="F140" s="23"/>
    </row>
    <row r="141" spans="1:6">
      <c r="A141" s="16"/>
      <c r="B141" s="16"/>
      <c r="C141" s="16"/>
      <c r="D141" s="16"/>
      <c r="E141" s="25"/>
      <c r="F141" s="23"/>
    </row>
    <row r="142" spans="1:6">
      <c r="A142" s="16"/>
      <c r="B142" s="16"/>
      <c r="C142" s="16"/>
      <c r="D142" s="16"/>
      <c r="E142" s="25"/>
      <c r="F142" s="23"/>
    </row>
    <row r="143" spans="1:6">
      <c r="A143" s="16"/>
      <c r="B143" s="16"/>
      <c r="C143" s="16"/>
      <c r="D143" s="16"/>
      <c r="E143" s="25"/>
      <c r="F143" s="23"/>
    </row>
    <row r="144" spans="1:6">
      <c r="A144" s="16"/>
      <c r="B144" s="16"/>
      <c r="C144" s="16"/>
      <c r="D144" s="30"/>
      <c r="E144" s="25"/>
      <c r="F144" s="23"/>
    </row>
    <row r="145" spans="1:6">
      <c r="A145" s="16"/>
      <c r="B145" s="16"/>
      <c r="C145" s="16"/>
      <c r="D145" s="16"/>
      <c r="E145" s="25"/>
      <c r="F145" s="23"/>
    </row>
    <row r="146" spans="1:6">
      <c r="A146" s="16"/>
      <c r="B146" s="16"/>
      <c r="C146" s="16"/>
      <c r="D146" s="16"/>
      <c r="E146" s="25"/>
      <c r="F146" s="23"/>
    </row>
    <row r="147" spans="1:6">
      <c r="A147" s="16"/>
      <c r="B147" s="16"/>
      <c r="C147" s="16"/>
      <c r="D147" s="16"/>
      <c r="E147" s="25"/>
      <c r="F147" s="23"/>
    </row>
    <row r="148" spans="1:6">
      <c r="A148" s="16"/>
      <c r="B148" s="16"/>
      <c r="C148" s="16"/>
      <c r="D148" s="16"/>
      <c r="E148" s="25"/>
      <c r="F148" s="23"/>
    </row>
    <row r="149" spans="1:6">
      <c r="A149" s="16"/>
      <c r="B149" s="16"/>
      <c r="C149" s="16"/>
      <c r="D149" s="16"/>
      <c r="E149" s="25"/>
      <c r="F149" s="23"/>
    </row>
    <row r="150" spans="1:6">
      <c r="A150" s="16"/>
      <c r="B150" s="16"/>
      <c r="C150" s="16"/>
      <c r="D150" s="16"/>
      <c r="E150" s="25"/>
      <c r="F150" s="23"/>
    </row>
    <row r="151" spans="1:6">
      <c r="A151" s="16"/>
      <c r="B151" s="16"/>
      <c r="C151" s="16"/>
      <c r="D151" s="16"/>
      <c r="E151" s="25"/>
      <c r="F151" s="23"/>
    </row>
    <row r="152" spans="1:6">
      <c r="A152" s="16"/>
      <c r="B152" s="16"/>
      <c r="C152" s="16"/>
      <c r="D152" s="16"/>
      <c r="E152" s="25"/>
      <c r="F152" s="23"/>
    </row>
    <row r="153" spans="1:6">
      <c r="A153" s="16"/>
      <c r="B153" s="16"/>
      <c r="C153" s="16"/>
      <c r="D153" s="16"/>
      <c r="E153" s="25"/>
      <c r="F153" s="23"/>
    </row>
    <row r="154" spans="1:6">
      <c r="A154" s="16"/>
      <c r="B154" s="16"/>
      <c r="C154" s="16"/>
      <c r="D154" s="16"/>
      <c r="E154" s="25"/>
      <c r="F154" s="23"/>
    </row>
    <row r="155" spans="1:6">
      <c r="A155" s="16"/>
      <c r="B155" s="16"/>
      <c r="C155" s="16"/>
      <c r="D155" s="16"/>
      <c r="E155" s="25"/>
      <c r="F155" s="23"/>
    </row>
    <row r="156" spans="1:6">
      <c r="A156" s="16"/>
      <c r="B156" s="16"/>
      <c r="C156" s="16"/>
      <c r="D156" s="16"/>
      <c r="E156" s="25"/>
      <c r="F156" s="23"/>
    </row>
    <row r="157" spans="1:6">
      <c r="A157" s="16"/>
      <c r="B157" s="16"/>
      <c r="C157" s="16"/>
      <c r="D157" s="16"/>
      <c r="E157" s="25"/>
      <c r="F157" s="23"/>
    </row>
    <row r="158" spans="1:6">
      <c r="A158" s="16"/>
      <c r="B158" s="16"/>
      <c r="C158" s="16"/>
      <c r="D158" s="16"/>
      <c r="E158" s="25"/>
      <c r="F158" s="23"/>
    </row>
    <row r="159" spans="1:6">
      <c r="A159" s="16"/>
      <c r="B159" s="16"/>
      <c r="C159" s="16"/>
      <c r="D159" s="16"/>
      <c r="E159" s="25"/>
      <c r="F159" s="23"/>
    </row>
    <row r="160" spans="1:6">
      <c r="A160" s="16"/>
      <c r="B160" s="16"/>
      <c r="C160" s="16"/>
      <c r="D160" s="16"/>
      <c r="E160" s="25"/>
      <c r="F160" s="23"/>
    </row>
    <row r="161" spans="1:6">
      <c r="A161" s="16"/>
      <c r="B161" s="16"/>
      <c r="C161" s="16"/>
      <c r="D161" s="16"/>
      <c r="E161" s="25"/>
      <c r="F161" s="23"/>
    </row>
    <row r="162" spans="1:6">
      <c r="A162" s="16"/>
      <c r="B162" s="16"/>
      <c r="C162" s="16"/>
      <c r="D162" s="16"/>
      <c r="E162" s="25"/>
      <c r="F162" s="23"/>
    </row>
    <row r="163" spans="1:6">
      <c r="A163" s="16"/>
      <c r="B163" s="16"/>
      <c r="C163" s="16"/>
      <c r="D163" s="16"/>
      <c r="E163" s="25"/>
      <c r="F163" s="23"/>
    </row>
    <row r="164" spans="1:6">
      <c r="A164" s="16"/>
      <c r="B164" s="16"/>
      <c r="C164" s="16"/>
      <c r="D164" s="16"/>
      <c r="E164" s="25"/>
      <c r="F164" s="23"/>
    </row>
    <row r="165" spans="1:6">
      <c r="A165" s="16"/>
      <c r="B165" s="16"/>
      <c r="C165" s="16"/>
      <c r="D165" s="16"/>
      <c r="E165" s="25"/>
      <c r="F165" s="23"/>
    </row>
    <row r="166" spans="1:6">
      <c r="A166" s="16"/>
      <c r="B166" s="16"/>
      <c r="C166" s="16"/>
      <c r="D166" s="16"/>
      <c r="E166" s="25"/>
      <c r="F166" s="23"/>
    </row>
    <row r="167" spans="1:6">
      <c r="A167" s="16"/>
      <c r="B167" s="16"/>
      <c r="C167" s="16"/>
      <c r="D167" s="16"/>
      <c r="E167" s="25"/>
      <c r="F167" s="23"/>
    </row>
    <row r="168" spans="1:6">
      <c r="A168" s="16"/>
      <c r="B168" s="16"/>
      <c r="C168" s="16"/>
      <c r="D168" s="16"/>
      <c r="E168" s="25"/>
      <c r="F168" s="23"/>
    </row>
    <row r="169" spans="1:6">
      <c r="A169" s="16"/>
      <c r="B169" s="16"/>
      <c r="C169" s="16"/>
      <c r="D169" s="16"/>
      <c r="E169" s="25"/>
      <c r="F169" s="23"/>
    </row>
    <row r="170" spans="1:6">
      <c r="A170" s="16"/>
      <c r="B170" s="16"/>
      <c r="C170" s="16"/>
      <c r="D170" s="16"/>
      <c r="E170" s="25"/>
      <c r="F170" s="23"/>
    </row>
    <row r="171" spans="1:6">
      <c r="A171" s="16"/>
      <c r="B171" s="16"/>
      <c r="C171" s="16"/>
      <c r="D171" s="16"/>
      <c r="E171" s="25"/>
      <c r="F171" s="23"/>
    </row>
    <row r="172" spans="1:6">
      <c r="A172" s="16"/>
      <c r="B172" s="16"/>
      <c r="C172" s="16"/>
      <c r="D172" s="16"/>
      <c r="E172" s="25"/>
      <c r="F172" s="23"/>
    </row>
    <row r="173" spans="1:6">
      <c r="A173" s="16"/>
      <c r="B173" s="16"/>
      <c r="C173" s="16"/>
      <c r="D173" s="16"/>
      <c r="E173" s="25"/>
      <c r="F173" s="23"/>
    </row>
    <row r="174" spans="1:6">
      <c r="A174" s="16"/>
      <c r="B174" s="16"/>
      <c r="C174" s="16"/>
      <c r="D174" s="16"/>
      <c r="E174" s="25"/>
      <c r="F174" s="23"/>
    </row>
    <row r="175" spans="1:6">
      <c r="A175" s="16"/>
      <c r="B175" s="16"/>
      <c r="C175" s="16"/>
      <c r="D175" s="16"/>
      <c r="E175" s="25"/>
      <c r="F175" s="23"/>
    </row>
    <row r="176" spans="1:6">
      <c r="A176" s="16"/>
      <c r="B176" s="16"/>
      <c r="C176" s="16"/>
      <c r="D176" s="16"/>
      <c r="E176" s="25"/>
      <c r="F176" s="23"/>
    </row>
    <row r="177" spans="1:6">
      <c r="A177" s="16"/>
      <c r="B177" s="16"/>
      <c r="C177" s="16"/>
      <c r="D177" s="16"/>
      <c r="E177" s="25"/>
      <c r="F177" s="23"/>
    </row>
    <row r="178" spans="1:6">
      <c r="A178" s="16"/>
      <c r="B178" s="16"/>
      <c r="C178" s="16"/>
      <c r="D178" s="16"/>
      <c r="E178" s="25"/>
      <c r="F178" s="23"/>
    </row>
    <row r="179" spans="1:6">
      <c r="A179" s="16"/>
      <c r="B179" s="16"/>
      <c r="C179" s="16"/>
      <c r="D179" s="16"/>
      <c r="E179" s="25"/>
      <c r="F179" s="23"/>
    </row>
    <row r="180" spans="1:6">
      <c r="A180" s="16"/>
      <c r="B180" s="16"/>
      <c r="C180" s="16"/>
      <c r="D180" s="16"/>
      <c r="E180" s="25"/>
      <c r="F180" s="23"/>
    </row>
    <row r="181" spans="1:6">
      <c r="A181" s="16"/>
      <c r="B181" s="16"/>
      <c r="C181" s="16"/>
      <c r="D181" s="16"/>
      <c r="E181" s="25"/>
      <c r="F181" s="23"/>
    </row>
    <row r="182" spans="1:6">
      <c r="A182" s="16"/>
      <c r="B182" s="16"/>
      <c r="C182" s="16"/>
      <c r="D182" s="16"/>
      <c r="E182" s="25"/>
      <c r="F182" s="23"/>
    </row>
    <row r="183" spans="1:6">
      <c r="A183" s="16"/>
      <c r="B183" s="16"/>
      <c r="C183" s="16"/>
      <c r="D183" s="16"/>
      <c r="E183" s="25"/>
      <c r="F183" s="23"/>
    </row>
    <row r="184" spans="1:6">
      <c r="A184" s="16"/>
      <c r="B184" s="16"/>
      <c r="C184" s="16"/>
      <c r="D184" s="16"/>
      <c r="E184" s="25"/>
      <c r="F184" s="23"/>
    </row>
    <row r="185" spans="1:6">
      <c r="A185" s="16"/>
      <c r="B185" s="16"/>
      <c r="C185" s="16"/>
      <c r="D185" s="16"/>
      <c r="E185" s="25"/>
      <c r="F185" s="23"/>
    </row>
    <row r="186" spans="1:6">
      <c r="A186" s="16"/>
      <c r="B186" s="16"/>
      <c r="C186" s="16"/>
      <c r="D186" s="16"/>
      <c r="E186" s="25"/>
      <c r="F186" s="23"/>
    </row>
    <row r="187" spans="1:6">
      <c r="A187" s="16"/>
      <c r="B187" s="16"/>
      <c r="C187" s="16"/>
      <c r="D187" s="16"/>
      <c r="E187" s="25"/>
      <c r="F187" s="23"/>
    </row>
    <row r="188" spans="1:6">
      <c r="A188" s="16"/>
      <c r="B188" s="16"/>
      <c r="C188" s="16"/>
      <c r="D188" s="16"/>
      <c r="E188" s="25"/>
      <c r="F188" s="23"/>
    </row>
    <row r="189" spans="1:6">
      <c r="A189" s="16"/>
      <c r="B189" s="16"/>
      <c r="C189" s="16"/>
      <c r="D189" s="16"/>
      <c r="E189" s="25"/>
      <c r="F189" s="23"/>
    </row>
    <row r="190" spans="1:6">
      <c r="A190" s="16"/>
      <c r="B190" s="16"/>
      <c r="C190" s="16"/>
      <c r="D190" s="16"/>
      <c r="E190" s="25"/>
      <c r="F190" s="23"/>
    </row>
    <row r="191" spans="1:6">
      <c r="A191" s="16"/>
      <c r="B191" s="16"/>
      <c r="C191" s="16"/>
      <c r="D191" s="16"/>
      <c r="E191" s="25"/>
      <c r="F191" s="23"/>
    </row>
    <row r="192" spans="1:6">
      <c r="A192" s="16"/>
      <c r="B192" s="16"/>
      <c r="C192" s="16"/>
      <c r="D192" s="16"/>
      <c r="E192" s="25"/>
      <c r="F192" s="23"/>
    </row>
    <row r="193" spans="1:6">
      <c r="A193" s="16"/>
      <c r="B193" s="16"/>
      <c r="C193" s="16"/>
      <c r="D193" s="16"/>
      <c r="E193" s="25"/>
      <c r="F193" s="23"/>
    </row>
    <row r="194" spans="1:6">
      <c r="A194" s="16"/>
      <c r="B194" s="16"/>
      <c r="C194" s="16"/>
      <c r="D194" s="16"/>
      <c r="E194" s="25"/>
      <c r="F194" s="23"/>
    </row>
    <row r="195" spans="1:6">
      <c r="A195" s="16"/>
      <c r="B195" s="16"/>
      <c r="C195" s="16"/>
      <c r="D195" s="16"/>
      <c r="E195" s="25"/>
      <c r="F195" s="23"/>
    </row>
    <row r="196" spans="1:6">
      <c r="A196" s="16"/>
      <c r="B196" s="16"/>
      <c r="C196" s="16"/>
      <c r="D196" s="16"/>
      <c r="E196" s="25"/>
      <c r="F196" s="23"/>
    </row>
    <row r="197" spans="1:6">
      <c r="A197" s="16"/>
      <c r="B197" s="16"/>
      <c r="C197" s="16"/>
      <c r="D197" s="16"/>
      <c r="E197" s="25"/>
      <c r="F197" s="23"/>
    </row>
    <row r="198" spans="1:6">
      <c r="A198" s="16"/>
      <c r="B198" s="16"/>
      <c r="C198" s="16"/>
      <c r="D198" s="16"/>
      <c r="E198" s="25"/>
      <c r="F198" s="23"/>
    </row>
    <row r="199" spans="1:6">
      <c r="A199" s="16"/>
      <c r="B199" s="16"/>
      <c r="C199" s="16"/>
      <c r="D199" s="16"/>
      <c r="E199" s="25"/>
      <c r="F199" s="23"/>
    </row>
    <row r="200" spans="1:6">
      <c r="A200" s="16"/>
      <c r="B200" s="16"/>
      <c r="C200" s="16"/>
      <c r="D200" s="16"/>
      <c r="E200" s="25"/>
      <c r="F200" s="23"/>
    </row>
    <row r="201" spans="1:6">
      <c r="A201" s="16"/>
      <c r="B201" s="16"/>
      <c r="C201" s="16"/>
      <c r="D201" s="16"/>
      <c r="E201" s="25"/>
      <c r="F201" s="23"/>
    </row>
    <row r="202" spans="1:6">
      <c r="A202" s="16"/>
      <c r="B202" s="16"/>
      <c r="C202" s="16"/>
      <c r="D202" s="16"/>
      <c r="E202" s="25"/>
      <c r="F202" s="23"/>
    </row>
    <row r="203" spans="1:6">
      <c r="A203" s="16"/>
      <c r="B203" s="16"/>
      <c r="C203" s="16"/>
      <c r="D203" s="16"/>
      <c r="E203" s="25"/>
      <c r="F203" s="23"/>
    </row>
    <row r="204" spans="1:6">
      <c r="A204" s="16"/>
      <c r="B204" s="16"/>
      <c r="C204" s="16"/>
      <c r="D204" s="16"/>
      <c r="E204" s="25"/>
      <c r="F204" s="23"/>
    </row>
    <row r="205" spans="1:6">
      <c r="A205" s="16"/>
      <c r="B205" s="16"/>
      <c r="C205" s="16"/>
      <c r="D205" s="16"/>
      <c r="E205" s="25"/>
      <c r="F205" s="23"/>
    </row>
    <row r="206" spans="1:6">
      <c r="A206" s="16"/>
      <c r="B206" s="16"/>
      <c r="C206" s="16"/>
      <c r="D206" s="16"/>
      <c r="E206" s="25"/>
      <c r="F206" s="23"/>
    </row>
    <row r="207" spans="1:6">
      <c r="A207" s="16"/>
      <c r="B207" s="16"/>
      <c r="C207" s="16"/>
      <c r="D207" s="16"/>
      <c r="E207" s="25"/>
      <c r="F207" s="23"/>
    </row>
    <row r="208" spans="1:6">
      <c r="A208" s="16"/>
      <c r="B208" s="16"/>
      <c r="C208" s="16"/>
      <c r="D208" s="16"/>
      <c r="E208" s="25"/>
      <c r="F208" s="23"/>
    </row>
    <row r="209" spans="1:6">
      <c r="A209" s="16"/>
      <c r="B209" s="16"/>
      <c r="C209" s="16"/>
      <c r="D209" s="16"/>
      <c r="E209" s="25"/>
      <c r="F209" s="23"/>
    </row>
    <row r="210" spans="1:6">
      <c r="A210" s="16"/>
      <c r="B210" s="16"/>
      <c r="C210" s="16"/>
      <c r="D210" s="16"/>
      <c r="E210" s="25"/>
      <c r="F210" s="23"/>
    </row>
    <row r="211" spans="1:6">
      <c r="A211" s="16"/>
      <c r="B211" s="16"/>
      <c r="C211" s="16"/>
      <c r="D211" s="16"/>
      <c r="E211" s="25"/>
      <c r="F211" s="23"/>
    </row>
    <row r="212" spans="1:6">
      <c r="A212" s="16"/>
      <c r="B212" s="16"/>
      <c r="C212" s="16"/>
      <c r="D212" s="16"/>
      <c r="E212" s="25"/>
      <c r="F212" s="23"/>
    </row>
    <row r="213" spans="1:6">
      <c r="A213" s="16"/>
      <c r="B213" s="16"/>
      <c r="C213" s="16"/>
      <c r="D213" s="16"/>
      <c r="E213" s="25"/>
      <c r="F213" s="23"/>
    </row>
    <row r="214" spans="1:6">
      <c r="A214" s="16"/>
      <c r="B214" s="16"/>
      <c r="C214" s="16"/>
      <c r="D214" s="16"/>
      <c r="E214" s="25"/>
      <c r="F214" s="23"/>
    </row>
    <row r="215" spans="1:6">
      <c r="A215" s="16"/>
      <c r="B215" s="16"/>
      <c r="C215" s="16"/>
      <c r="D215" s="16"/>
      <c r="E215" s="25"/>
      <c r="F215" s="23"/>
    </row>
    <row r="216" spans="1:6">
      <c r="A216" s="16"/>
      <c r="B216" s="16"/>
      <c r="C216" s="16"/>
      <c r="D216" s="16"/>
      <c r="E216" s="25"/>
      <c r="F216" s="23"/>
    </row>
    <row r="217" spans="1:6">
      <c r="A217" s="16"/>
      <c r="B217" s="16"/>
      <c r="C217" s="16"/>
      <c r="D217" s="16"/>
      <c r="E217" s="25"/>
      <c r="F217" s="23"/>
    </row>
    <row r="218" spans="1:6">
      <c r="A218" s="16"/>
      <c r="B218" s="16"/>
      <c r="C218" s="16"/>
      <c r="D218" s="16"/>
      <c r="E218" s="25"/>
      <c r="F218" s="23"/>
    </row>
    <row r="219" spans="1:6">
      <c r="A219" s="16"/>
      <c r="B219" s="16"/>
      <c r="C219" s="16"/>
      <c r="D219" s="16"/>
      <c r="E219" s="25"/>
      <c r="F219" s="23"/>
    </row>
    <row r="220" spans="1:6">
      <c r="A220" s="16"/>
      <c r="B220" s="16"/>
      <c r="C220" s="16"/>
      <c r="D220" s="16"/>
      <c r="E220" s="25"/>
      <c r="F220" s="23"/>
    </row>
    <row r="221" spans="1:6">
      <c r="A221" s="16"/>
      <c r="B221" s="16"/>
      <c r="C221" s="16"/>
      <c r="D221" s="16"/>
      <c r="E221" s="25"/>
      <c r="F221" s="23"/>
    </row>
    <row r="222" spans="1:6">
      <c r="A222" s="16"/>
      <c r="B222" s="16"/>
      <c r="C222" s="16"/>
      <c r="D222" s="16"/>
      <c r="E222" s="25"/>
      <c r="F222" s="23"/>
    </row>
    <row r="223" spans="1:6">
      <c r="A223" s="16"/>
      <c r="B223" s="16"/>
      <c r="C223" s="16"/>
      <c r="D223" s="16"/>
      <c r="E223" s="25"/>
      <c r="F223" s="23"/>
    </row>
    <row r="224" spans="1:6">
      <c r="A224" s="16"/>
      <c r="B224" s="16"/>
      <c r="C224" s="16"/>
      <c r="D224" s="16"/>
      <c r="E224" s="25"/>
      <c r="F224" s="23"/>
    </row>
    <row r="225" spans="1:6">
      <c r="A225" s="16"/>
      <c r="B225" s="16"/>
      <c r="C225" s="16"/>
      <c r="D225" s="16"/>
      <c r="E225" s="25"/>
      <c r="F225" s="23"/>
    </row>
    <row r="226" spans="1:6">
      <c r="A226" s="16"/>
      <c r="B226" s="16"/>
      <c r="C226" s="16"/>
      <c r="D226" s="16"/>
      <c r="E226" s="25"/>
      <c r="F226" s="23"/>
    </row>
    <row r="227" spans="1:6">
      <c r="A227" s="16"/>
      <c r="B227" s="16"/>
      <c r="C227" s="16"/>
      <c r="D227" s="16"/>
      <c r="E227" s="25"/>
      <c r="F227" s="23"/>
    </row>
    <row r="228" spans="1:6">
      <c r="A228" s="16"/>
      <c r="B228" s="16"/>
      <c r="C228" s="16"/>
      <c r="D228" s="16"/>
      <c r="E228" s="25"/>
      <c r="F228" s="23"/>
    </row>
    <row r="229" spans="1:6">
      <c r="A229" s="16"/>
      <c r="B229" s="16"/>
      <c r="C229" s="16"/>
      <c r="D229" s="16"/>
      <c r="E229" s="25"/>
      <c r="F229" s="23"/>
    </row>
    <row r="230" spans="1:6">
      <c r="A230" s="16"/>
      <c r="B230" s="16"/>
      <c r="C230" s="16"/>
      <c r="D230" s="16"/>
      <c r="E230" s="25"/>
      <c r="F230" s="23"/>
    </row>
    <row r="231" spans="1:6">
      <c r="A231" s="16"/>
      <c r="B231" s="16"/>
      <c r="C231" s="16"/>
      <c r="D231" s="16"/>
      <c r="E231" s="25"/>
      <c r="F231" s="23"/>
    </row>
    <row r="232" spans="1:6">
      <c r="A232" s="16"/>
      <c r="B232" s="16"/>
      <c r="C232" s="16"/>
      <c r="D232" s="16"/>
      <c r="E232" s="25"/>
      <c r="F232" s="23"/>
    </row>
    <row r="233" spans="1:6">
      <c r="A233" s="16"/>
      <c r="B233" s="16"/>
      <c r="C233" s="16"/>
      <c r="D233" s="16"/>
      <c r="E233" s="25"/>
      <c r="F233" s="23"/>
    </row>
    <row r="234" spans="1:6">
      <c r="A234" s="16"/>
      <c r="B234" s="16"/>
      <c r="C234" s="16"/>
      <c r="D234" s="16"/>
      <c r="E234" s="25"/>
      <c r="F234" s="23"/>
    </row>
    <row r="235" spans="1:6">
      <c r="A235" s="16"/>
      <c r="B235" s="16"/>
      <c r="C235" s="16"/>
      <c r="D235" s="16"/>
      <c r="E235" s="25"/>
      <c r="F235" s="23"/>
    </row>
    <row r="236" spans="1:6">
      <c r="A236" s="16"/>
      <c r="B236" s="16"/>
      <c r="C236" s="16"/>
      <c r="D236" s="16"/>
      <c r="E236" s="25"/>
      <c r="F236" s="23"/>
    </row>
    <row r="237" spans="1:6">
      <c r="A237" s="16"/>
      <c r="B237" s="16"/>
      <c r="C237" s="16"/>
      <c r="D237" s="16"/>
      <c r="E237" s="25"/>
      <c r="F237" s="23"/>
    </row>
    <row r="238" spans="1:6">
      <c r="A238" s="16"/>
      <c r="B238" s="16"/>
      <c r="C238" s="16"/>
      <c r="D238" s="16"/>
      <c r="E238" s="25"/>
      <c r="F238" s="23"/>
    </row>
    <row r="239" spans="1:6">
      <c r="A239" s="16"/>
      <c r="B239" s="16"/>
      <c r="C239" s="16"/>
      <c r="D239" s="16"/>
      <c r="E239" s="25"/>
      <c r="F239" s="23"/>
    </row>
    <row r="240" spans="1:6">
      <c r="A240" s="16"/>
      <c r="B240" s="16"/>
      <c r="C240" s="16"/>
      <c r="D240" s="16"/>
      <c r="E240" s="25"/>
      <c r="F240" s="23"/>
    </row>
    <row r="241" spans="1:6">
      <c r="A241" s="16"/>
      <c r="B241" s="16"/>
      <c r="C241" s="16"/>
      <c r="D241" s="16"/>
      <c r="E241" s="25"/>
      <c r="F241" s="23"/>
    </row>
    <row r="242" spans="1:6">
      <c r="A242" s="16"/>
      <c r="B242" s="16"/>
      <c r="C242" s="16"/>
      <c r="D242" s="16"/>
      <c r="E242" s="25"/>
      <c r="F242" s="23"/>
    </row>
    <row r="243" spans="1:6">
      <c r="A243" s="16"/>
      <c r="B243" s="16"/>
      <c r="C243" s="16"/>
      <c r="D243" s="16"/>
      <c r="E243" s="25"/>
      <c r="F243" s="23"/>
    </row>
    <row r="244" spans="1:6">
      <c r="A244" s="16"/>
      <c r="B244" s="16"/>
      <c r="C244" s="16"/>
      <c r="D244" s="16"/>
      <c r="E244" s="25"/>
      <c r="F244" s="23"/>
    </row>
    <row r="245" spans="1:6">
      <c r="A245" s="16"/>
      <c r="B245" s="16"/>
      <c r="C245" s="16"/>
      <c r="D245" s="16"/>
      <c r="E245" s="25"/>
      <c r="F245" s="23"/>
    </row>
    <row r="246" spans="1:6">
      <c r="A246" s="16"/>
      <c r="B246" s="16"/>
      <c r="C246" s="16"/>
      <c r="D246" s="16"/>
      <c r="E246" s="25"/>
      <c r="F246" s="23"/>
    </row>
    <row r="247" spans="1:6">
      <c r="A247" s="16"/>
      <c r="B247" s="16"/>
      <c r="C247" s="16"/>
      <c r="D247" s="16"/>
      <c r="E247" s="25"/>
      <c r="F247" s="23"/>
    </row>
    <row r="248" spans="1:6">
      <c r="A248" s="16"/>
      <c r="B248" s="16"/>
      <c r="C248" s="16"/>
      <c r="D248" s="16"/>
      <c r="E248" s="25"/>
      <c r="F248" s="23"/>
    </row>
    <row r="249" spans="1:6">
      <c r="A249" s="16"/>
      <c r="B249" s="16"/>
      <c r="C249" s="16"/>
      <c r="D249" s="16"/>
      <c r="E249" s="25"/>
      <c r="F249" s="23"/>
    </row>
    <row r="250" spans="1:6">
      <c r="A250" s="16"/>
      <c r="B250" s="16"/>
      <c r="C250" s="16"/>
      <c r="D250" s="16"/>
      <c r="E250" s="25"/>
      <c r="F250" s="23"/>
    </row>
    <row r="251" spans="1:6">
      <c r="A251" s="16"/>
      <c r="B251" s="16"/>
      <c r="C251" s="16"/>
      <c r="D251" s="16"/>
      <c r="E251" s="25"/>
      <c r="F251" s="23"/>
    </row>
    <row r="252" spans="1:6">
      <c r="A252" s="16"/>
      <c r="B252" s="16"/>
      <c r="C252" s="16"/>
      <c r="D252" s="16"/>
      <c r="E252" s="25"/>
      <c r="F252" s="23"/>
    </row>
    <row r="253" spans="1:6">
      <c r="A253" s="16"/>
      <c r="B253" s="16"/>
      <c r="C253" s="16"/>
      <c r="D253" s="16"/>
      <c r="E253" s="25"/>
      <c r="F253" s="23"/>
    </row>
    <row r="254" spans="1:6">
      <c r="A254" s="16"/>
      <c r="B254" s="16"/>
      <c r="C254" s="16"/>
      <c r="D254" s="16"/>
      <c r="E254" s="25"/>
      <c r="F254" s="23"/>
    </row>
    <row r="255" spans="1:6">
      <c r="A255" s="16"/>
      <c r="B255" s="16"/>
      <c r="C255" s="16"/>
      <c r="D255" s="16"/>
      <c r="E255" s="25"/>
      <c r="F255" s="23"/>
    </row>
    <row r="256" spans="1:6">
      <c r="A256" s="16"/>
      <c r="B256" s="16"/>
      <c r="C256" s="16"/>
      <c r="D256" s="16"/>
      <c r="E256" s="25"/>
      <c r="F256" s="23"/>
    </row>
    <row r="257" spans="1:6">
      <c r="A257" s="16"/>
      <c r="B257" s="16"/>
      <c r="C257" s="16"/>
      <c r="D257" s="16"/>
      <c r="E257" s="25"/>
      <c r="F257" s="23"/>
    </row>
    <row r="258" spans="1:6">
      <c r="A258" s="16"/>
      <c r="B258" s="16"/>
      <c r="C258" s="16"/>
      <c r="D258" s="16"/>
      <c r="E258" s="25"/>
      <c r="F258" s="23"/>
    </row>
    <row r="259" spans="1:6">
      <c r="A259" s="16"/>
      <c r="B259" s="16"/>
      <c r="C259" s="16"/>
      <c r="D259" s="16"/>
      <c r="E259" s="25"/>
      <c r="F259" s="23"/>
    </row>
    <row r="260" spans="1:6">
      <c r="A260" s="16"/>
      <c r="B260" s="16"/>
      <c r="C260" s="16"/>
      <c r="D260" s="16"/>
      <c r="E260" s="25"/>
      <c r="F260" s="23"/>
    </row>
    <row r="261" spans="1:6">
      <c r="A261" s="16"/>
      <c r="B261" s="16"/>
      <c r="C261" s="16"/>
      <c r="D261" s="16"/>
      <c r="E261" s="25"/>
      <c r="F261" s="23"/>
    </row>
    <row r="262" spans="1:6">
      <c r="A262" s="16"/>
      <c r="B262" s="16"/>
      <c r="C262" s="16"/>
      <c r="D262" s="16"/>
      <c r="E262" s="25"/>
      <c r="F262" s="23"/>
    </row>
    <row r="263" spans="1:6">
      <c r="A263" s="16"/>
      <c r="B263" s="16"/>
      <c r="C263" s="16"/>
      <c r="D263" s="16"/>
      <c r="E263" s="25"/>
      <c r="F263" s="23"/>
    </row>
    <row r="264" spans="1:6">
      <c r="A264" s="16"/>
      <c r="B264" s="16"/>
      <c r="C264" s="16"/>
      <c r="D264" s="16"/>
      <c r="E264" s="25"/>
      <c r="F264" s="23"/>
    </row>
    <row r="265" spans="1:6">
      <c r="A265" s="16"/>
      <c r="B265" s="16"/>
      <c r="C265" s="16"/>
      <c r="D265" s="16"/>
      <c r="E265" s="25"/>
      <c r="F265" s="23"/>
    </row>
    <row r="266" spans="1:6">
      <c r="A266" s="16"/>
      <c r="B266" s="16"/>
      <c r="C266" s="16"/>
      <c r="D266" s="16"/>
      <c r="E266" s="25"/>
      <c r="F266" s="23"/>
    </row>
    <row r="267" spans="1:6">
      <c r="A267" s="16"/>
      <c r="B267" s="16"/>
      <c r="C267" s="16"/>
      <c r="D267" s="16"/>
      <c r="E267" s="25"/>
      <c r="F267" s="23"/>
    </row>
    <row r="268" spans="1:6">
      <c r="A268" s="16"/>
      <c r="B268" s="16"/>
      <c r="C268" s="16"/>
      <c r="D268" s="16"/>
      <c r="E268" s="25"/>
      <c r="F268" s="23"/>
    </row>
    <row r="269" spans="1:6">
      <c r="A269" s="16"/>
      <c r="B269" s="16"/>
      <c r="C269" s="16"/>
      <c r="D269" s="16"/>
      <c r="E269" s="25"/>
      <c r="F269" s="23"/>
    </row>
    <row r="270" spans="1:6">
      <c r="A270" s="16"/>
      <c r="B270" s="16"/>
      <c r="C270" s="16"/>
      <c r="D270" s="16"/>
      <c r="E270" s="25"/>
      <c r="F270" s="23"/>
    </row>
    <row r="271" spans="1:6">
      <c r="A271" s="16"/>
      <c r="B271" s="16"/>
      <c r="C271" s="16"/>
      <c r="D271" s="16"/>
      <c r="E271" s="25"/>
      <c r="F271" s="23"/>
    </row>
    <row r="272" spans="1:6">
      <c r="A272" s="16"/>
      <c r="B272" s="16"/>
      <c r="C272" s="16"/>
      <c r="D272" s="16"/>
      <c r="E272" s="25"/>
      <c r="F272" s="23"/>
    </row>
    <row r="273" spans="1:6">
      <c r="A273" s="16"/>
      <c r="B273" s="16"/>
      <c r="C273" s="16"/>
      <c r="D273" s="16"/>
      <c r="E273" s="25"/>
      <c r="F273" s="23"/>
    </row>
    <row r="274" spans="1:6">
      <c r="A274" s="16"/>
      <c r="B274" s="16"/>
      <c r="C274" s="16"/>
      <c r="D274" s="16"/>
      <c r="E274" s="25"/>
      <c r="F274" s="23"/>
    </row>
    <row r="275" spans="1:6">
      <c r="A275" s="16"/>
      <c r="B275" s="16"/>
      <c r="C275" s="16"/>
      <c r="D275" s="16"/>
      <c r="E275" s="25"/>
      <c r="F275" s="23"/>
    </row>
    <row r="276" spans="1:6">
      <c r="A276" s="16"/>
      <c r="B276" s="16"/>
      <c r="C276" s="16"/>
      <c r="D276" s="16"/>
      <c r="E276" s="25"/>
      <c r="F276" s="23"/>
    </row>
    <row r="277" spans="1:6">
      <c r="A277" s="16"/>
      <c r="B277" s="16"/>
      <c r="C277" s="16"/>
      <c r="D277" s="16"/>
      <c r="E277" s="25"/>
      <c r="F277" s="23"/>
    </row>
    <row r="278" spans="1:6">
      <c r="A278" s="16"/>
      <c r="B278" s="16"/>
      <c r="C278" s="16"/>
      <c r="D278" s="16"/>
      <c r="E278" s="25"/>
      <c r="F278" s="23"/>
    </row>
    <row r="279" spans="1:6">
      <c r="A279" s="16"/>
      <c r="B279" s="16"/>
      <c r="C279" s="16"/>
      <c r="D279" s="16"/>
      <c r="E279" s="25"/>
      <c r="F279" s="23"/>
    </row>
    <row r="280" spans="1:6">
      <c r="A280" s="16"/>
      <c r="B280" s="16"/>
      <c r="C280" s="16"/>
      <c r="D280" s="16"/>
      <c r="E280" s="25"/>
      <c r="F280" s="23"/>
    </row>
    <row r="281" spans="1:6">
      <c r="A281" s="16"/>
      <c r="B281" s="16"/>
      <c r="C281" s="16"/>
      <c r="D281" s="16"/>
      <c r="E281" s="25"/>
      <c r="F281" s="23"/>
    </row>
    <row r="282" spans="1:6">
      <c r="A282" s="16"/>
      <c r="B282" s="16"/>
      <c r="C282" s="16"/>
      <c r="D282" s="16"/>
      <c r="E282" s="25"/>
      <c r="F282" s="23"/>
    </row>
    <row r="283" spans="1:6">
      <c r="A283" s="16"/>
      <c r="B283" s="16"/>
      <c r="C283" s="16"/>
      <c r="D283" s="16"/>
      <c r="E283" s="25"/>
      <c r="F283" s="23"/>
    </row>
    <row r="284" spans="1:6">
      <c r="A284" s="16"/>
      <c r="B284" s="16"/>
      <c r="C284" s="16"/>
      <c r="D284" s="16"/>
      <c r="E284" s="25"/>
      <c r="F284" s="23"/>
    </row>
    <row r="285" spans="1:6">
      <c r="A285" s="16"/>
      <c r="B285" s="16"/>
      <c r="C285" s="16"/>
      <c r="D285" s="16"/>
      <c r="E285" s="25"/>
      <c r="F285" s="23"/>
    </row>
    <row r="286" spans="1:6">
      <c r="A286" s="16"/>
      <c r="B286" s="16"/>
      <c r="C286" s="16"/>
      <c r="D286" s="16"/>
      <c r="E286" s="25"/>
      <c r="F286" s="23"/>
    </row>
    <row r="287" spans="1:6">
      <c r="A287" s="16"/>
      <c r="B287" s="16"/>
      <c r="C287" s="16"/>
      <c r="D287" s="16"/>
      <c r="E287" s="25"/>
      <c r="F287" s="23"/>
    </row>
    <row r="288" spans="1:6">
      <c r="A288" s="16"/>
      <c r="B288" s="16"/>
      <c r="C288" s="16"/>
      <c r="D288" s="16"/>
      <c r="E288" s="25"/>
      <c r="F288" s="23"/>
    </row>
    <row r="289" spans="1:6">
      <c r="A289" s="16"/>
      <c r="B289" s="16"/>
      <c r="C289" s="16"/>
      <c r="D289" s="16"/>
      <c r="E289" s="25"/>
      <c r="F289" s="23"/>
    </row>
    <row r="290" spans="1:6">
      <c r="A290" s="16"/>
      <c r="B290" s="16"/>
      <c r="C290" s="16"/>
      <c r="D290" s="16"/>
      <c r="E290" s="25"/>
      <c r="F290" s="23"/>
    </row>
    <row r="291" spans="1:6">
      <c r="A291" s="16"/>
      <c r="B291" s="16"/>
      <c r="C291" s="16"/>
      <c r="D291" s="30"/>
      <c r="E291" s="25"/>
      <c r="F291" s="23"/>
    </row>
    <row r="292" spans="1:6">
      <c r="A292" s="16"/>
      <c r="B292" s="16"/>
      <c r="C292" s="16"/>
      <c r="D292" s="16"/>
      <c r="E292" s="25"/>
      <c r="F292" s="23"/>
    </row>
    <row r="293" spans="1:6">
      <c r="A293" s="16"/>
      <c r="B293" s="16"/>
      <c r="C293" s="16"/>
      <c r="D293" s="30"/>
      <c r="E293" s="25"/>
      <c r="F293" s="23"/>
    </row>
    <row r="294" spans="1:6">
      <c r="A294" s="16"/>
      <c r="B294" s="16"/>
      <c r="C294" s="16"/>
      <c r="D294" s="16"/>
      <c r="E294" s="25"/>
      <c r="F294" s="23"/>
    </row>
    <row r="295" spans="1:6">
      <c r="A295" s="16"/>
      <c r="B295" s="16"/>
      <c r="C295" s="16"/>
      <c r="D295" s="16"/>
      <c r="E295" s="25"/>
      <c r="F295" s="23"/>
    </row>
    <row r="296" spans="1:6">
      <c r="A296" s="16"/>
      <c r="B296" s="16"/>
      <c r="C296" s="16"/>
      <c r="D296" s="16"/>
      <c r="E296" s="25"/>
      <c r="F296" s="23"/>
    </row>
    <row r="297" spans="1:6">
      <c r="A297" s="16"/>
      <c r="B297" s="16"/>
      <c r="C297" s="16"/>
      <c r="D297" s="16"/>
      <c r="E297" s="25"/>
      <c r="F297" s="23"/>
    </row>
    <row r="298" spans="1:6">
      <c r="A298" s="16"/>
      <c r="B298" s="16"/>
      <c r="C298" s="16"/>
      <c r="D298" s="16"/>
      <c r="E298" s="25"/>
      <c r="F298" s="23"/>
    </row>
    <row r="299" spans="1:6">
      <c r="A299" s="16"/>
      <c r="B299" s="16"/>
      <c r="C299" s="16"/>
      <c r="D299" s="16"/>
      <c r="E299" s="25"/>
      <c r="F299" s="23"/>
    </row>
    <row r="300" spans="1:6">
      <c r="A300" s="16"/>
      <c r="B300" s="16"/>
      <c r="C300" s="16"/>
      <c r="D300" s="16"/>
      <c r="E300" s="25"/>
      <c r="F300" s="23"/>
    </row>
    <row r="301" spans="1:6">
      <c r="A301" s="16"/>
      <c r="B301" s="16"/>
      <c r="C301" s="16"/>
      <c r="D301" s="16"/>
      <c r="E301" s="25"/>
      <c r="F301" s="23"/>
    </row>
    <row r="302" spans="1:6">
      <c r="A302" s="16"/>
      <c r="B302" s="16"/>
      <c r="C302" s="16"/>
      <c r="D302" s="16"/>
      <c r="E302" s="25"/>
      <c r="F302" s="23"/>
    </row>
    <row r="303" spans="1:6">
      <c r="A303" s="16"/>
      <c r="B303" s="16"/>
      <c r="C303" s="16"/>
      <c r="D303" s="16"/>
      <c r="E303" s="25"/>
      <c r="F303" s="23"/>
    </row>
    <row r="304" spans="1:6">
      <c r="A304" s="16"/>
      <c r="B304" s="16"/>
      <c r="C304" s="16"/>
      <c r="D304" s="16"/>
      <c r="E304" s="25"/>
      <c r="F304" s="23"/>
    </row>
    <row r="305" spans="1:6">
      <c r="A305" s="16"/>
      <c r="B305" s="16"/>
      <c r="C305" s="16"/>
      <c r="D305" s="16"/>
      <c r="E305" s="25"/>
      <c r="F305" s="23"/>
    </row>
    <row r="306" spans="1:6">
      <c r="A306" s="16"/>
      <c r="B306" s="16"/>
      <c r="C306" s="16"/>
      <c r="D306" s="30"/>
      <c r="E306" s="25"/>
      <c r="F306" s="23"/>
    </row>
    <row r="307" spans="1:6">
      <c r="A307" s="16"/>
      <c r="B307" s="16"/>
      <c r="C307" s="16"/>
      <c r="D307" s="30"/>
      <c r="E307" s="25"/>
      <c r="F307" s="23"/>
    </row>
    <row r="308" spans="1:6">
      <c r="A308" s="16"/>
      <c r="B308" s="16"/>
      <c r="C308" s="16"/>
      <c r="D308" s="16"/>
      <c r="E308" s="25"/>
      <c r="F308" s="23"/>
    </row>
    <row r="309" spans="1:6">
      <c r="A309" s="16"/>
      <c r="B309" s="16"/>
      <c r="C309" s="16"/>
      <c r="D309" s="16"/>
      <c r="E309" s="25"/>
      <c r="F309" s="23"/>
    </row>
    <row r="310" spans="1:6">
      <c r="A310" s="16"/>
      <c r="B310" s="16"/>
      <c r="C310" s="16"/>
      <c r="D310" s="16"/>
      <c r="E310" s="25"/>
      <c r="F310" s="23"/>
    </row>
    <row r="311" spans="1:6">
      <c r="A311" s="16"/>
      <c r="B311" s="16"/>
      <c r="C311" s="16"/>
      <c r="D311" s="16"/>
      <c r="E311" s="25"/>
      <c r="F311" s="23"/>
    </row>
    <row r="312" spans="1:6">
      <c r="A312" s="16"/>
      <c r="B312" s="16"/>
      <c r="C312" s="16"/>
      <c r="D312" s="16"/>
      <c r="E312" s="25"/>
      <c r="F312" s="23"/>
    </row>
    <row r="313" spans="1:6">
      <c r="A313" s="16"/>
      <c r="B313" s="16"/>
      <c r="C313" s="16"/>
      <c r="D313" s="16"/>
      <c r="E313" s="25"/>
      <c r="F313" s="23"/>
    </row>
    <row r="314" spans="1:6">
      <c r="A314" s="16"/>
      <c r="B314" s="16"/>
      <c r="C314" s="16"/>
      <c r="D314" s="16"/>
      <c r="E314" s="25"/>
      <c r="F314" s="23"/>
    </row>
    <row r="315" spans="1:6">
      <c r="A315" s="16"/>
      <c r="B315" s="16"/>
      <c r="C315" s="16"/>
      <c r="D315" s="16"/>
      <c r="E315" s="25"/>
      <c r="F315" s="23"/>
    </row>
    <row r="316" spans="1:6">
      <c r="A316" s="16"/>
      <c r="B316" s="16"/>
      <c r="C316" s="16"/>
      <c r="D316" s="16"/>
      <c r="E316" s="25"/>
      <c r="F316" s="23"/>
    </row>
    <row r="317" spans="1:6">
      <c r="A317" s="16"/>
      <c r="B317" s="16"/>
      <c r="C317" s="16"/>
      <c r="D317" s="16"/>
      <c r="E317" s="25"/>
      <c r="F317" s="23"/>
    </row>
    <row r="318" spans="1:6">
      <c r="A318" s="16"/>
      <c r="B318" s="16"/>
      <c r="C318" s="16"/>
      <c r="D318" s="16"/>
      <c r="E318" s="25"/>
      <c r="F318" s="23"/>
    </row>
    <row r="319" spans="1:6">
      <c r="A319" s="16"/>
      <c r="B319" s="16"/>
      <c r="C319" s="16"/>
      <c r="D319" s="16"/>
      <c r="E319" s="25"/>
      <c r="F319" s="23"/>
    </row>
    <row r="320" spans="1:6">
      <c r="A320" s="16"/>
      <c r="B320" s="16"/>
      <c r="C320" s="16"/>
      <c r="D320" s="16"/>
      <c r="E320" s="25"/>
      <c r="F320" s="23"/>
    </row>
    <row r="321" spans="1:6">
      <c r="A321" s="16"/>
      <c r="B321" s="16"/>
      <c r="C321" s="16"/>
      <c r="D321" s="16"/>
      <c r="E321" s="25"/>
      <c r="F321" s="23"/>
    </row>
    <row r="322" spans="1:6">
      <c r="A322" s="16"/>
      <c r="B322" s="16"/>
      <c r="C322" s="16"/>
      <c r="D322" s="16"/>
      <c r="E322" s="25"/>
      <c r="F322" s="23"/>
    </row>
    <row r="323" spans="1:6">
      <c r="A323" s="16"/>
      <c r="B323" s="16"/>
      <c r="C323" s="16"/>
      <c r="D323" s="16"/>
      <c r="E323" s="25"/>
      <c r="F323" s="23"/>
    </row>
    <row r="324" spans="1:6">
      <c r="A324" s="16"/>
      <c r="B324" s="16"/>
      <c r="C324" s="16"/>
      <c r="D324" s="16"/>
      <c r="E324" s="25"/>
      <c r="F324" s="23"/>
    </row>
    <row r="325" spans="1:6">
      <c r="A325" s="16"/>
      <c r="B325" s="16"/>
      <c r="C325" s="16"/>
      <c r="D325" s="16"/>
      <c r="E325" s="25"/>
      <c r="F325" s="23"/>
    </row>
    <row r="326" spans="1:6">
      <c r="A326" s="16"/>
      <c r="B326" s="16"/>
      <c r="C326" s="16"/>
      <c r="D326" s="16"/>
      <c r="E326" s="25"/>
      <c r="F326" s="23"/>
    </row>
    <row r="327" spans="1:6">
      <c r="A327" s="16"/>
      <c r="B327" s="16"/>
      <c r="C327" s="16"/>
      <c r="D327" s="16"/>
      <c r="E327" s="25"/>
      <c r="F327" s="23"/>
    </row>
    <row r="328" spans="1:6">
      <c r="A328" s="16"/>
      <c r="B328" s="16"/>
      <c r="C328" s="16"/>
      <c r="D328" s="16"/>
      <c r="E328" s="25"/>
      <c r="F328" s="23"/>
    </row>
    <row r="329" spans="1:6">
      <c r="A329" s="16"/>
      <c r="B329" s="16"/>
      <c r="C329" s="16"/>
      <c r="D329" s="16"/>
      <c r="E329" s="25"/>
      <c r="F329" s="23"/>
    </row>
    <row r="330" spans="1:6">
      <c r="A330" s="16"/>
      <c r="B330" s="16"/>
      <c r="C330" s="16"/>
      <c r="D330" s="16"/>
      <c r="E330" s="25"/>
      <c r="F330" s="23"/>
    </row>
    <row r="331" spans="1:6">
      <c r="A331" s="16"/>
      <c r="B331" s="16"/>
      <c r="C331" s="16"/>
      <c r="D331" s="16"/>
      <c r="E331" s="25"/>
      <c r="F331" s="23"/>
    </row>
    <row r="332" spans="1:6">
      <c r="A332" s="16"/>
      <c r="B332" s="16"/>
      <c r="C332" s="16"/>
      <c r="D332" s="16"/>
      <c r="E332" s="25"/>
      <c r="F332" s="23"/>
    </row>
  </sheetData>
  <pageMargins left="0.7" right="0.7" top="0.75" bottom="0.25" header="0.3" footer="0.3"/>
  <pageSetup orientation="portrait" r:id="rId1"/>
  <headerFooter>
    <oddHeader>&amp;CRegions Budgets Out of Compliance&amp;R&amp;D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final</vt:lpstr>
      <vt:lpstr>raw data</vt:lpstr>
      <vt:lpstr>Sheet1</vt:lpstr>
      <vt:lpstr>Sheet2</vt:lpstr>
      <vt:lpstr>final!Print_Area</vt:lpstr>
      <vt:lpstr>'raw data'!Print_Area</vt:lpstr>
      <vt:lpstr>final!Print_Titles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dc:description>Powered by Crystal</dc:description>
  <cp:lastModifiedBy>Sandram</cp:lastModifiedBy>
  <cp:lastPrinted>2010-10-28T21:49:51Z</cp:lastPrinted>
  <dcterms:created xsi:type="dcterms:W3CDTF">2008-03-19T23:41:10Z</dcterms:created>
  <dcterms:modified xsi:type="dcterms:W3CDTF">2013-08-01T18:34:23Z</dcterms:modified>
</cp:coreProperties>
</file>