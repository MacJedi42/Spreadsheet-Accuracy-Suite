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23820" windowHeight="1470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H26" i="1" l="1"/>
  <c r="H27" i="1"/>
  <c r="H21" i="1"/>
</calcChain>
</file>

<file path=xl/sharedStrings.xml><?xml version="1.0" encoding="utf-8"?>
<sst xmlns="http://schemas.openxmlformats.org/spreadsheetml/2006/main" count="99" uniqueCount="86">
  <si>
    <t>MC WRLD UTILITIES</t>
  </si>
  <si>
    <t>MC ENH UTILITIES</t>
  </si>
  <si>
    <t>MC HV UTILITIES</t>
  </si>
  <si>
    <t>MC ASSOC NABU/LICENSE FEE</t>
  </si>
  <si>
    <t>MC UTILITIES MCB</t>
  </si>
  <si>
    <t>MC UTILITIES MWB</t>
  </si>
  <si>
    <t>MC BENH UTILITIES</t>
  </si>
  <si>
    <t>MC REG DB FA</t>
  </si>
  <si>
    <t>MC CORP DATAT RT 1</t>
  </si>
  <si>
    <t>DISC UTILITIES RW</t>
  </si>
  <si>
    <t>DISC UTILITIES PR</t>
  </si>
  <si>
    <t>DISC COMM UTILITIES</t>
  </si>
  <si>
    <t>TRANSACTION/NETWORK ACCESS FEE</t>
  </si>
  <si>
    <t>TRANSACTION/NETWORK ACCESS FEE DISC</t>
  </si>
  <si>
    <t>MC ASSESSMENTS</t>
  </si>
  <si>
    <t>VISA ASSESSMENTS</t>
  </si>
  <si>
    <t>VISA ACQUIRER NETWORK FEE</t>
  </si>
  <si>
    <t>VISA ASSOC APF FEE</t>
  </si>
  <si>
    <t>VISA UTILITY BUS</t>
  </si>
  <si>
    <t>VISA CPS/UTILITY CR</t>
  </si>
  <si>
    <t>VISA CPS/UTILITY  DB</t>
  </si>
  <si>
    <t xml:space="preserve">VISA PURCH CNP </t>
  </si>
  <si>
    <t>VISA US REG</t>
  </si>
  <si>
    <t>VISA/DS KILOBYTE FEES</t>
  </si>
  <si>
    <t>VISA INTERNATIONAL INTERCHANGE</t>
  </si>
  <si>
    <t>VISA INTERNATIONAL ASSESSMENT</t>
  </si>
  <si>
    <t>100,000 BREACH SECURITY COVERAGE</t>
  </si>
  <si>
    <t>DISC PS CORE</t>
  </si>
  <si>
    <t>VARIOUS DIFFERENT CARD TYPES</t>
  </si>
  <si>
    <t>TOTAL AMOUNT OF BID</t>
  </si>
  <si>
    <t>TRANSACTION/NETWORK ACCESS FEE AMEX</t>
  </si>
  <si>
    <t>VISA I/R PREMUIM</t>
  </si>
  <si>
    <t>BATCH CLOSE/SETTLEMENT FEE</t>
  </si>
  <si>
    <t>STATEMENT MAILING OR MONTHLY STATEMENT FEE</t>
  </si>
  <si>
    <t>MC SALES TRANS FEE</t>
  </si>
  <si>
    <t>MC NON-QUAL SALES TRANS FEE</t>
  </si>
  <si>
    <t>MC SALES DISCOUNT</t>
  </si>
  <si>
    <t>MC NON-QUAL SALES DISC</t>
  </si>
  <si>
    <t>UTILTIES ONLY</t>
  </si>
  <si>
    <t>TOTAL FEE</t>
  </si>
  <si>
    <t>ITEM</t>
  </si>
  <si>
    <t>FEE</t>
  </si>
  <si>
    <t>AUGUST 2012</t>
  </si>
  <si>
    <t>VOLUME</t>
  </si>
  <si>
    <t>INTERCHANGE</t>
  </si>
  <si>
    <t>RATE</t>
  </si>
  <si>
    <t>MC ASSESSMENT FEE</t>
  </si>
  <si>
    <t>VISA SALES TRANS FEE</t>
  </si>
  <si>
    <t>VISA NON-QUAL SALES TRANS FEE</t>
  </si>
  <si>
    <t>VISA SALES DISCOUNT</t>
  </si>
  <si>
    <t>VISA NON-QUAL SALES DISC</t>
  </si>
  <si>
    <t>VISA ASSESMENT FEE</t>
  </si>
  <si>
    <t>PCI COMPLIANCE FEE</t>
  </si>
  <si>
    <t>MC REG INCENT FRF ADJ POS (DB)</t>
  </si>
  <si>
    <t>MC REG NON INCENT FRD ADJ (DB)</t>
  </si>
  <si>
    <t>MC UTILITY CREDIT</t>
  </si>
  <si>
    <t>MC WORLD UTILITY</t>
  </si>
  <si>
    <t>MC WORLD ELITE UTILITIES</t>
  </si>
  <si>
    <t>MC CORP DATA RATE I (US) BUS</t>
  </si>
  <si>
    <t>MC WORLD ELITE CORP DR I BUS</t>
  </si>
  <si>
    <t>MC ENHANCED STANDARD</t>
  </si>
  <si>
    <t>MC ENHANCED UTILITIES</t>
  </si>
  <si>
    <t>MC DOMESTIC STANDARD (DB)</t>
  </si>
  <si>
    <t>TOTAL INTERCHANGE</t>
  </si>
  <si>
    <t>MC LICENSE VOLUME FEE</t>
  </si>
  <si>
    <t>VISA CPS/RETAIL ALL OTHER</t>
  </si>
  <si>
    <t>VISA CPS CARD NOT PRESENT</t>
  </si>
  <si>
    <t>VISA CPS SMALL TICKET</t>
  </si>
  <si>
    <t>VISA CPS/REWARDS 1</t>
  </si>
  <si>
    <t>VISA CPS/REWARDS 2</t>
  </si>
  <si>
    <t>VISA CORPORATE CARD RETAIL</t>
  </si>
  <si>
    <t>VISA SIGNATURE PREFERRED CNP</t>
  </si>
  <si>
    <t>VISA SIGNATURE PREFERRED RETAIL</t>
  </si>
  <si>
    <t>VISA US REGULATED (DB)</t>
  </si>
  <si>
    <t>VISA US CPS SMALL TICKET (DB)</t>
  </si>
  <si>
    <t>VISA REG CONSUMER MQ (DB)</t>
  </si>
  <si>
    <t>VISA BUSINESS CARD CP (DB)</t>
  </si>
  <si>
    <t>VISA BUSINESS CARD CNP (DB)</t>
  </si>
  <si>
    <t>VISA CPS CNP (PP)</t>
  </si>
  <si>
    <t>VISA CPS RETAIL ALL OTHER (PP)</t>
  </si>
  <si>
    <t>VISA CPS CNP (DB)</t>
  </si>
  <si>
    <t>VISA CPS SMALL TICKET (DB)</t>
  </si>
  <si>
    <t>VISA CPS SMALL TICKET (PP)</t>
  </si>
  <si>
    <t>VISA CPS/RETAIL ALL OTHER (DB)</t>
  </si>
  <si>
    <t>LIBRARIES - SAMPLE LOCATION</t>
  </si>
  <si>
    <t>Attachment V - Merchant Card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</si>
</sst>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7" xfId="0" applyBorder="1" applyAlignment="1"/>
    <xf numFmtId="0" fontId="0" fillId="0" borderId="8" xfId="0" applyBorder="1" applyAlignment="1"/>
    <xf numFmtId="0" fontId="0" fillId="0" borderId="1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0" fillId="0" borderId="10" xfId="0" applyBorder="1"/>
    <xf numFmtId="0" fontId="0" fillId="2" borderId="10" xfId="0" applyFill="1" applyBorder="1" applyAlignment="1"/>
    <xf numFmtId="0" fontId="0" fillId="2" borderId="10" xfId="0" applyFill="1" applyBorder="1"/>
    <xf numFmtId="0" fontId="0" fillId="2" borderId="4" xfId="0" applyFill="1" applyBorder="1"/>
    <xf numFmtId="0" fontId="0" fillId="2" borderId="6" xfId="0" applyFill="1" applyBorder="1"/>
    <xf numFmtId="0" fontId="3" fillId="0" borderId="0" xfId="0" applyFo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1" fillId="2" borderId="7" xfId="0" applyFont="1" applyFill="1" applyBorder="1" applyAlignment="1"/>
    <xf numFmtId="0" fontId="1" fillId="2" borderId="8" xfId="0" applyFont="1" applyFill="1" applyBorder="1" applyAlignment="1"/>
    <xf numFmtId="0" fontId="2" fillId="2" borderId="2" xfId="0" applyFont="1" applyFill="1" applyBorder="1" applyAlignment="1"/>
    <xf numFmtId="0" fontId="2" fillId="2" borderId="3" xfId="0" applyFont="1" applyFill="1" applyBorder="1" applyAlignment="1"/>
    <xf numFmtId="0" fontId="0" fillId="2" borderId="4" xfId="0" applyFill="1" applyBorder="1" applyAlignment="1"/>
    <xf numFmtId="0" fontId="0" fillId="2" borderId="6" xfId="0" applyFill="1" applyBorder="1" applyAlignment="1"/>
    <xf numFmtId="0" fontId="1" fillId="2" borderId="4" xfId="0" applyFont="1" applyFill="1" applyBorder="1" applyAlignment="1"/>
    <xf numFmtId="0" fontId="1" fillId="2" borderId="5" xfId="0" applyFont="1" applyFill="1" applyBorder="1" applyAlignment="1"/>
    <xf numFmtId="0" fontId="1" fillId="2" borderId="9" xfId="0" applyFont="1" applyFill="1" applyBorder="1" applyAlignment="1"/>
    <xf numFmtId="0" fontId="0" fillId="2" borderId="2" xfId="0" applyFill="1" applyBorder="1" applyAlignment="1"/>
    <xf numFmtId="0" fontId="0" fillId="2" borderId="11" xfId="0" applyFill="1" applyBorder="1" applyAlignment="1"/>
    <xf numFmtId="0" fontId="0" fillId="2" borderId="12" xfId="0" applyFill="1" applyBorder="1" applyAlignment="1"/>
    <xf numFmtId="0" fontId="0" fillId="2" borderId="12" xfId="0" applyFill="1" applyBorder="1"/>
    <xf numFmtId="0" fontId="0" fillId="2" borderId="2" xfId="0" applyFill="1" applyBorder="1"/>
    <xf numFmtId="0" fontId="0" fillId="2" borderId="1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"/>
  <sheetViews>
    <sheetView tabSelected="1" workbookViewId="0">
      <selection activeCell="M88" sqref="M88"/>
    </sheetView>
  </sheetViews>
  <sheetFormatPr defaultRowHeight="15" x14ac:dyDescent="0.25"/>
  <cols>
    <col min="7" max="7" width="4.28515625" customWidth="1"/>
    <col min="8" max="8" width="12.28515625" customWidth="1"/>
    <col min="9" max="9" width="6.85546875" customWidth="1"/>
    <col min="11" max="11" width="2" customWidth="1"/>
    <col min="12" max="12" width="4.7109375" customWidth="1"/>
    <col min="19" max="19" width="4.140625" customWidth="1"/>
    <col min="20" max="20" width="12.5703125" customWidth="1"/>
    <col min="23" max="23" width="12.42578125" customWidth="1"/>
  </cols>
  <sheetData>
    <row r="1" spans="1:11" ht="28.5" x14ac:dyDescent="0.45">
      <c r="A1" s="12" t="s">
        <v>85</v>
      </c>
      <c r="B1" s="12"/>
      <c r="C1" s="12"/>
    </row>
    <row r="3" spans="1:11" ht="21" x14ac:dyDescent="0.35">
      <c r="A3" s="21" t="s">
        <v>38</v>
      </c>
      <c r="B3" s="22"/>
      <c r="C3" s="22"/>
      <c r="D3" s="22"/>
      <c r="E3" s="22"/>
      <c r="F3" s="28" t="s">
        <v>44</v>
      </c>
      <c r="G3" s="29"/>
      <c r="H3" s="30" t="s">
        <v>42</v>
      </c>
      <c r="I3" s="31" t="s">
        <v>40</v>
      </c>
      <c r="J3" s="32" t="s">
        <v>39</v>
      </c>
      <c r="K3" s="33"/>
    </row>
    <row r="4" spans="1:11" x14ac:dyDescent="0.25">
      <c r="A4" s="25" t="s">
        <v>28</v>
      </c>
      <c r="B4" s="26"/>
      <c r="C4" s="26"/>
      <c r="D4" s="26"/>
      <c r="E4" s="26"/>
      <c r="F4" s="23" t="s">
        <v>45</v>
      </c>
      <c r="G4" s="24"/>
      <c r="H4" s="8" t="s">
        <v>43</v>
      </c>
      <c r="I4" s="9" t="s">
        <v>41</v>
      </c>
      <c r="J4" s="10"/>
      <c r="K4" s="11"/>
    </row>
    <row r="5" spans="1:11" x14ac:dyDescent="0.25">
      <c r="A5" s="13" t="s">
        <v>0</v>
      </c>
      <c r="B5" s="14"/>
      <c r="C5" s="14"/>
      <c r="D5" s="14"/>
      <c r="E5" s="15"/>
      <c r="F5" s="13"/>
      <c r="G5" s="14"/>
      <c r="H5" s="6">
        <v>65</v>
      </c>
      <c r="I5" s="7"/>
      <c r="J5" s="13"/>
      <c r="K5" s="15"/>
    </row>
    <row r="6" spans="1:11" x14ac:dyDescent="0.25">
      <c r="A6" s="16" t="s">
        <v>1</v>
      </c>
      <c r="B6" s="17"/>
      <c r="C6" s="17"/>
      <c r="D6" s="17"/>
      <c r="E6" s="18"/>
      <c r="F6" s="16"/>
      <c r="G6" s="17"/>
      <c r="H6" s="4">
        <v>37</v>
      </c>
      <c r="I6" s="1"/>
      <c r="J6" s="16"/>
      <c r="K6" s="18"/>
    </row>
    <row r="7" spans="1:11" x14ac:dyDescent="0.25">
      <c r="A7" s="16" t="s">
        <v>2</v>
      </c>
      <c r="B7" s="17"/>
      <c r="C7" s="17"/>
      <c r="D7" s="17"/>
      <c r="E7" s="18"/>
      <c r="F7" s="16"/>
      <c r="G7" s="17"/>
      <c r="H7" s="4">
        <v>2</v>
      </c>
      <c r="I7" s="1"/>
      <c r="J7" s="16"/>
      <c r="K7" s="18"/>
    </row>
    <row r="8" spans="1:11" x14ac:dyDescent="0.25">
      <c r="A8" s="16" t="s">
        <v>3</v>
      </c>
      <c r="B8" s="17"/>
      <c r="C8" s="17"/>
      <c r="D8" s="17"/>
      <c r="E8" s="18"/>
      <c r="F8" s="16"/>
      <c r="G8" s="17"/>
      <c r="H8" s="4">
        <v>545</v>
      </c>
      <c r="I8" s="1"/>
      <c r="J8" s="16"/>
      <c r="K8" s="18"/>
    </row>
    <row r="9" spans="1:11" x14ac:dyDescent="0.25">
      <c r="A9" s="16" t="s">
        <v>4</v>
      </c>
      <c r="B9" s="17"/>
      <c r="C9" s="17"/>
      <c r="D9" s="17"/>
      <c r="E9" s="18"/>
      <c r="F9" s="16"/>
      <c r="G9" s="17"/>
      <c r="H9" s="4">
        <v>26</v>
      </c>
      <c r="I9" s="1"/>
      <c r="J9" s="16"/>
      <c r="K9" s="18"/>
    </row>
    <row r="10" spans="1:11" x14ac:dyDescent="0.25">
      <c r="A10" s="16" t="s">
        <v>5</v>
      </c>
      <c r="B10" s="17"/>
      <c r="C10" s="17"/>
      <c r="D10" s="17"/>
      <c r="E10" s="18"/>
      <c r="F10" s="16"/>
      <c r="G10" s="17"/>
      <c r="H10" s="4">
        <v>3</v>
      </c>
      <c r="I10" s="1"/>
      <c r="J10" s="16"/>
      <c r="K10" s="18"/>
    </row>
    <row r="11" spans="1:11" x14ac:dyDescent="0.25">
      <c r="A11" s="16" t="s">
        <v>6</v>
      </c>
      <c r="B11" s="17"/>
      <c r="C11" s="17"/>
      <c r="D11" s="17"/>
      <c r="E11" s="18"/>
      <c r="F11" s="16"/>
      <c r="G11" s="17"/>
      <c r="H11" s="4">
        <v>2</v>
      </c>
      <c r="I11" s="1"/>
      <c r="J11" s="16"/>
      <c r="K11" s="18"/>
    </row>
    <row r="12" spans="1:11" x14ac:dyDescent="0.25">
      <c r="A12" s="16" t="s">
        <v>7</v>
      </c>
      <c r="B12" s="17"/>
      <c r="C12" s="17"/>
      <c r="D12" s="17"/>
      <c r="E12" s="18"/>
      <c r="F12" s="16"/>
      <c r="G12" s="17"/>
      <c r="H12" s="4">
        <v>240</v>
      </c>
      <c r="I12" s="1"/>
      <c r="J12" s="16"/>
      <c r="K12" s="18"/>
    </row>
    <row r="13" spans="1:11" x14ac:dyDescent="0.25">
      <c r="A13" s="16" t="s">
        <v>8</v>
      </c>
      <c r="B13" s="17"/>
      <c r="C13" s="17"/>
      <c r="D13" s="17"/>
      <c r="E13" s="18"/>
      <c r="F13" s="16"/>
      <c r="G13" s="17"/>
      <c r="H13" s="4">
        <v>10</v>
      </c>
      <c r="I13" s="1"/>
      <c r="J13" s="16"/>
      <c r="K13" s="18"/>
    </row>
    <row r="14" spans="1:11" x14ac:dyDescent="0.25">
      <c r="A14" s="16" t="s">
        <v>34</v>
      </c>
      <c r="B14" s="17"/>
      <c r="C14" s="17"/>
      <c r="D14" s="17"/>
      <c r="E14" s="18"/>
      <c r="F14" s="16"/>
      <c r="G14" s="17"/>
      <c r="H14" s="4">
        <v>2</v>
      </c>
      <c r="I14" s="1"/>
      <c r="J14" s="16"/>
      <c r="K14" s="18"/>
    </row>
    <row r="15" spans="1:11" x14ac:dyDescent="0.25">
      <c r="A15" s="16" t="s">
        <v>35</v>
      </c>
      <c r="B15" s="17"/>
      <c r="C15" s="17"/>
      <c r="D15" s="17"/>
      <c r="E15" s="18"/>
      <c r="F15" s="16"/>
      <c r="G15" s="17"/>
      <c r="H15" s="4">
        <v>15</v>
      </c>
      <c r="I15" s="1"/>
      <c r="J15" s="16"/>
      <c r="K15" s="18"/>
    </row>
    <row r="16" spans="1:11" x14ac:dyDescent="0.25">
      <c r="A16" s="16" t="s">
        <v>9</v>
      </c>
      <c r="B16" s="17"/>
      <c r="C16" s="17"/>
      <c r="D16" s="17"/>
      <c r="E16" s="18"/>
      <c r="F16" s="16"/>
      <c r="G16" s="17"/>
      <c r="H16" s="4">
        <v>11</v>
      </c>
      <c r="I16" s="1"/>
      <c r="J16" s="16"/>
      <c r="K16" s="18"/>
    </row>
    <row r="17" spans="1:11" x14ac:dyDescent="0.25">
      <c r="A17" s="16" t="s">
        <v>10</v>
      </c>
      <c r="B17" s="17"/>
      <c r="C17" s="17"/>
      <c r="D17" s="17"/>
      <c r="E17" s="18"/>
      <c r="F17" s="16"/>
      <c r="G17" s="17"/>
      <c r="H17" s="4">
        <v>6</v>
      </c>
      <c r="I17" s="1"/>
      <c r="J17" s="16"/>
      <c r="K17" s="18"/>
    </row>
    <row r="18" spans="1:11" x14ac:dyDescent="0.25">
      <c r="A18" s="16" t="s">
        <v>11</v>
      </c>
      <c r="B18" s="17"/>
      <c r="C18" s="17"/>
      <c r="D18" s="17"/>
      <c r="E18" s="18"/>
      <c r="F18" s="16"/>
      <c r="G18" s="17"/>
      <c r="H18" s="4">
        <v>4</v>
      </c>
      <c r="I18" s="1"/>
      <c r="J18" s="16"/>
      <c r="K18" s="18"/>
    </row>
    <row r="19" spans="1:11" x14ac:dyDescent="0.25">
      <c r="A19" s="16" t="s">
        <v>27</v>
      </c>
      <c r="B19" s="17"/>
      <c r="C19" s="17"/>
      <c r="D19" s="17"/>
      <c r="E19" s="18"/>
      <c r="F19" s="16"/>
      <c r="G19" s="17"/>
      <c r="H19" s="4">
        <v>2</v>
      </c>
      <c r="I19" s="1"/>
      <c r="J19" s="16"/>
      <c r="K19" s="18"/>
    </row>
    <row r="20" spans="1:11" x14ac:dyDescent="0.25">
      <c r="A20" s="16" t="s">
        <v>32</v>
      </c>
      <c r="B20" s="17"/>
      <c r="C20" s="17"/>
      <c r="D20" s="17"/>
      <c r="E20" s="18"/>
      <c r="F20" s="16"/>
      <c r="G20" s="17"/>
      <c r="H20" s="4">
        <v>23</v>
      </c>
      <c r="I20" s="1"/>
      <c r="J20" s="16"/>
      <c r="K20" s="18"/>
    </row>
    <row r="21" spans="1:11" x14ac:dyDescent="0.25">
      <c r="A21" s="16" t="s">
        <v>12</v>
      </c>
      <c r="B21" s="17"/>
      <c r="C21" s="17"/>
      <c r="D21" s="17"/>
      <c r="E21" s="18"/>
      <c r="F21" s="16"/>
      <c r="G21" s="17"/>
      <c r="H21" s="4">
        <f>4623+2693</f>
        <v>7316</v>
      </c>
      <c r="I21" s="1"/>
      <c r="J21" s="16"/>
      <c r="K21" s="18"/>
    </row>
    <row r="22" spans="1:11" x14ac:dyDescent="0.25">
      <c r="A22" s="16" t="s">
        <v>13</v>
      </c>
      <c r="B22" s="17"/>
      <c r="C22" s="17"/>
      <c r="D22" s="17"/>
      <c r="E22" s="18"/>
      <c r="F22" s="16"/>
      <c r="G22" s="17"/>
      <c r="H22" s="4">
        <v>24</v>
      </c>
      <c r="I22" s="1"/>
      <c r="J22" s="16"/>
      <c r="K22" s="18"/>
    </row>
    <row r="23" spans="1:11" x14ac:dyDescent="0.25">
      <c r="A23" s="16" t="s">
        <v>30</v>
      </c>
      <c r="B23" s="17"/>
      <c r="C23" s="17"/>
      <c r="D23" s="17"/>
      <c r="E23" s="18"/>
      <c r="F23" s="16"/>
      <c r="G23" s="17"/>
      <c r="H23" s="4">
        <v>4</v>
      </c>
      <c r="I23" s="1"/>
      <c r="J23" s="16"/>
      <c r="K23" s="18"/>
    </row>
    <row r="24" spans="1:11" x14ac:dyDescent="0.25">
      <c r="A24" s="16" t="s">
        <v>14</v>
      </c>
      <c r="B24" s="17"/>
      <c r="C24" s="17"/>
      <c r="D24" s="17"/>
      <c r="E24" s="18"/>
      <c r="F24" s="16"/>
      <c r="G24" s="17"/>
      <c r="H24" s="4">
        <v>545</v>
      </c>
      <c r="I24" s="1"/>
      <c r="J24" s="16"/>
      <c r="K24" s="18"/>
    </row>
    <row r="25" spans="1:11" x14ac:dyDescent="0.25">
      <c r="A25" s="16" t="s">
        <v>15</v>
      </c>
      <c r="B25" s="17"/>
      <c r="C25" s="17"/>
      <c r="D25" s="17"/>
      <c r="E25" s="18"/>
      <c r="F25" s="16"/>
      <c r="G25" s="17"/>
      <c r="H25" s="4"/>
      <c r="I25" s="1"/>
      <c r="J25" s="16"/>
      <c r="K25" s="18"/>
    </row>
    <row r="26" spans="1:11" x14ac:dyDescent="0.25">
      <c r="A26" s="16" t="s">
        <v>16</v>
      </c>
      <c r="B26" s="17"/>
      <c r="C26" s="17"/>
      <c r="D26" s="17"/>
      <c r="E26" s="18"/>
      <c r="F26" s="16"/>
      <c r="G26" s="17"/>
      <c r="H26" s="4">
        <f>3975+4623</f>
        <v>8598</v>
      </c>
      <c r="I26" s="1"/>
      <c r="J26" s="16"/>
      <c r="K26" s="18"/>
    </row>
    <row r="27" spans="1:11" x14ac:dyDescent="0.25">
      <c r="A27" s="16" t="s">
        <v>17</v>
      </c>
      <c r="B27" s="17"/>
      <c r="C27" s="17"/>
      <c r="D27" s="17"/>
      <c r="E27" s="18"/>
      <c r="F27" s="16"/>
      <c r="G27" s="17"/>
      <c r="H27" s="4">
        <f>92</f>
        <v>92</v>
      </c>
      <c r="I27" s="1"/>
      <c r="J27" s="16"/>
      <c r="K27" s="18"/>
    </row>
    <row r="28" spans="1:11" x14ac:dyDescent="0.25">
      <c r="A28" s="16" t="s">
        <v>18</v>
      </c>
      <c r="B28" s="17"/>
      <c r="C28" s="17"/>
      <c r="D28" s="17"/>
      <c r="E28" s="18"/>
      <c r="F28" s="16"/>
      <c r="G28" s="17"/>
      <c r="H28" s="4">
        <v>2255</v>
      </c>
      <c r="I28" s="1"/>
      <c r="J28" s="16"/>
      <c r="K28" s="18"/>
    </row>
    <row r="29" spans="1:11" x14ac:dyDescent="0.25">
      <c r="A29" s="16" t="s">
        <v>19</v>
      </c>
      <c r="B29" s="17"/>
      <c r="C29" s="17"/>
      <c r="D29" s="17"/>
      <c r="E29" s="18"/>
      <c r="F29" s="16"/>
      <c r="G29" s="17"/>
      <c r="H29" s="4">
        <v>845</v>
      </c>
      <c r="I29" s="1"/>
      <c r="J29" s="16"/>
      <c r="K29" s="18"/>
    </row>
    <row r="30" spans="1:11" x14ac:dyDescent="0.25">
      <c r="A30" s="16" t="s">
        <v>20</v>
      </c>
      <c r="B30" s="17"/>
      <c r="C30" s="17"/>
      <c r="D30" s="17"/>
      <c r="E30" s="18"/>
      <c r="F30" s="16"/>
      <c r="G30" s="17"/>
      <c r="H30" s="4">
        <v>3</v>
      </c>
      <c r="I30" s="1"/>
      <c r="J30" s="16"/>
      <c r="K30" s="18"/>
    </row>
    <row r="31" spans="1:11" x14ac:dyDescent="0.25">
      <c r="A31" s="16" t="s">
        <v>21</v>
      </c>
      <c r="B31" s="17"/>
      <c r="C31" s="17"/>
      <c r="D31" s="17"/>
      <c r="E31" s="18"/>
      <c r="F31" s="16"/>
      <c r="G31" s="17"/>
      <c r="H31" s="4">
        <v>1</v>
      </c>
      <c r="I31" s="1"/>
      <c r="J31" s="16"/>
      <c r="K31" s="18"/>
    </row>
    <row r="32" spans="1:11" x14ac:dyDescent="0.25">
      <c r="A32" s="16" t="s">
        <v>31</v>
      </c>
      <c r="B32" s="17"/>
      <c r="C32" s="17"/>
      <c r="D32" s="17"/>
      <c r="E32" s="18"/>
      <c r="F32" s="16"/>
      <c r="G32" s="17"/>
      <c r="H32" s="4">
        <v>1271</v>
      </c>
      <c r="I32" s="1"/>
      <c r="J32" s="16"/>
      <c r="K32" s="18"/>
    </row>
    <row r="33" spans="1:11" x14ac:dyDescent="0.25">
      <c r="A33" s="16" t="s">
        <v>22</v>
      </c>
      <c r="B33" s="17"/>
      <c r="C33" s="17"/>
      <c r="D33" s="17"/>
      <c r="E33" s="18"/>
      <c r="F33" s="16"/>
      <c r="G33" s="17"/>
      <c r="H33" s="4">
        <v>4467</v>
      </c>
      <c r="I33" s="1"/>
      <c r="J33" s="16"/>
      <c r="K33" s="18"/>
    </row>
    <row r="34" spans="1:11" x14ac:dyDescent="0.25">
      <c r="A34" s="16" t="s">
        <v>23</v>
      </c>
      <c r="B34" s="17"/>
      <c r="C34" s="17"/>
      <c r="D34" s="17"/>
      <c r="E34" s="18"/>
      <c r="F34" s="16"/>
      <c r="G34" s="17"/>
      <c r="H34" s="4">
        <v>1</v>
      </c>
      <c r="I34" s="1"/>
      <c r="J34" s="16"/>
      <c r="K34" s="18"/>
    </row>
    <row r="35" spans="1:11" x14ac:dyDescent="0.25">
      <c r="A35" s="16" t="s">
        <v>24</v>
      </c>
      <c r="B35" s="17"/>
      <c r="C35" s="17"/>
      <c r="D35" s="17"/>
      <c r="E35" s="18"/>
      <c r="F35" s="16"/>
      <c r="G35" s="17"/>
      <c r="H35" s="4">
        <v>1</v>
      </c>
      <c r="I35" s="1"/>
      <c r="J35" s="16"/>
      <c r="K35" s="18"/>
    </row>
    <row r="36" spans="1:11" x14ac:dyDescent="0.25">
      <c r="A36" s="16" t="s">
        <v>25</v>
      </c>
      <c r="B36" s="17"/>
      <c r="C36" s="17"/>
      <c r="D36" s="17"/>
      <c r="E36" s="18"/>
      <c r="F36" s="16"/>
      <c r="G36" s="17"/>
      <c r="H36" s="4"/>
      <c r="I36" s="1"/>
      <c r="J36" s="16"/>
      <c r="K36" s="18"/>
    </row>
    <row r="37" spans="1:11" x14ac:dyDescent="0.25">
      <c r="A37" s="16" t="s">
        <v>33</v>
      </c>
      <c r="B37" s="17"/>
      <c r="C37" s="17"/>
      <c r="D37" s="17"/>
      <c r="E37" s="18"/>
      <c r="F37" s="16"/>
      <c r="G37" s="17"/>
      <c r="H37" s="4"/>
      <c r="I37" s="1"/>
      <c r="J37" s="16"/>
      <c r="K37" s="18"/>
    </row>
    <row r="38" spans="1:11" x14ac:dyDescent="0.25">
      <c r="A38" s="16" t="s">
        <v>26</v>
      </c>
      <c r="B38" s="17"/>
      <c r="C38" s="17"/>
      <c r="D38" s="17"/>
      <c r="E38" s="18"/>
      <c r="F38" s="16"/>
      <c r="G38" s="17"/>
      <c r="H38" s="4"/>
      <c r="I38" s="1"/>
      <c r="J38" s="16"/>
      <c r="K38" s="18"/>
    </row>
    <row r="39" spans="1:11" x14ac:dyDescent="0.25">
      <c r="A39" s="19" t="s">
        <v>29</v>
      </c>
      <c r="B39" s="20"/>
      <c r="C39" s="20"/>
      <c r="D39" s="20"/>
      <c r="E39" s="27"/>
      <c r="F39" s="16"/>
      <c r="G39" s="17"/>
      <c r="H39" s="4"/>
      <c r="I39" s="1"/>
      <c r="J39" s="19"/>
      <c r="K39" s="27"/>
    </row>
    <row r="47" spans="1:11" ht="21" x14ac:dyDescent="0.35">
      <c r="A47" s="21" t="s">
        <v>84</v>
      </c>
      <c r="B47" s="22"/>
      <c r="C47" s="22"/>
      <c r="D47" s="22"/>
      <c r="E47" s="22"/>
      <c r="F47" s="28" t="s">
        <v>44</v>
      </c>
      <c r="G47" s="29"/>
      <c r="H47" s="30" t="s">
        <v>42</v>
      </c>
      <c r="I47" s="31" t="s">
        <v>40</v>
      </c>
      <c r="J47" s="32" t="s">
        <v>39</v>
      </c>
      <c r="K47" s="33"/>
    </row>
    <row r="48" spans="1:11" x14ac:dyDescent="0.25">
      <c r="A48" s="25" t="s">
        <v>28</v>
      </c>
      <c r="B48" s="26"/>
      <c r="C48" s="26"/>
      <c r="D48" s="26"/>
      <c r="E48" s="26"/>
      <c r="F48" s="23" t="s">
        <v>45</v>
      </c>
      <c r="G48" s="24"/>
      <c r="H48" s="8" t="s">
        <v>43</v>
      </c>
      <c r="I48" s="9" t="s">
        <v>41</v>
      </c>
      <c r="J48" s="10"/>
      <c r="K48" s="11"/>
    </row>
    <row r="49" spans="1:11" x14ac:dyDescent="0.25">
      <c r="A49" s="16" t="s">
        <v>55</v>
      </c>
      <c r="B49" s="17"/>
      <c r="C49" s="17"/>
      <c r="D49" s="17"/>
      <c r="E49" s="18"/>
      <c r="F49" s="13"/>
      <c r="G49" s="14"/>
      <c r="H49" s="6">
        <v>4</v>
      </c>
      <c r="I49" s="7"/>
      <c r="J49" s="13"/>
      <c r="K49" s="15"/>
    </row>
    <row r="50" spans="1:11" x14ac:dyDescent="0.25">
      <c r="A50" s="16" t="s">
        <v>56</v>
      </c>
      <c r="B50" s="17"/>
      <c r="C50" s="17"/>
      <c r="D50" s="17"/>
      <c r="E50" s="18"/>
      <c r="F50" s="16"/>
      <c r="G50" s="17"/>
      <c r="H50" s="4">
        <v>13</v>
      </c>
      <c r="I50" s="1"/>
      <c r="J50" s="16"/>
      <c r="K50" s="18"/>
    </row>
    <row r="51" spans="1:11" x14ac:dyDescent="0.25">
      <c r="A51" s="16" t="s">
        <v>57</v>
      </c>
      <c r="B51" s="17"/>
      <c r="C51" s="17"/>
      <c r="D51" s="17"/>
      <c r="E51" s="18"/>
      <c r="F51" s="16"/>
      <c r="G51" s="17"/>
      <c r="H51" s="4">
        <v>3</v>
      </c>
      <c r="I51" s="1"/>
      <c r="J51" s="16"/>
      <c r="K51" s="18"/>
    </row>
    <row r="52" spans="1:11" x14ac:dyDescent="0.25">
      <c r="A52" s="16" t="s">
        <v>58</v>
      </c>
      <c r="B52" s="17"/>
      <c r="C52" s="17"/>
      <c r="D52" s="17"/>
      <c r="E52" s="18"/>
      <c r="F52" s="16"/>
      <c r="G52" s="17"/>
      <c r="H52" s="4">
        <v>1</v>
      </c>
      <c r="I52" s="1"/>
      <c r="J52" s="16"/>
      <c r="K52" s="18"/>
    </row>
    <row r="53" spans="1:11" x14ac:dyDescent="0.25">
      <c r="A53" s="16" t="s">
        <v>59</v>
      </c>
      <c r="B53" s="17"/>
      <c r="C53" s="17"/>
      <c r="D53" s="17"/>
      <c r="E53" s="18"/>
      <c r="F53" s="16"/>
      <c r="G53" s="17"/>
      <c r="H53" s="4">
        <v>1</v>
      </c>
      <c r="I53" s="1"/>
      <c r="J53" s="16"/>
      <c r="K53" s="18"/>
    </row>
    <row r="54" spans="1:11" x14ac:dyDescent="0.25">
      <c r="A54" s="16" t="s">
        <v>60</v>
      </c>
      <c r="B54" s="17"/>
      <c r="C54" s="17"/>
      <c r="D54" s="17"/>
      <c r="E54" s="18"/>
      <c r="F54" s="16"/>
      <c r="G54" s="17"/>
      <c r="H54" s="4">
        <v>2</v>
      </c>
      <c r="I54" s="1"/>
      <c r="J54" s="16"/>
      <c r="K54" s="18"/>
    </row>
    <row r="55" spans="1:11" x14ac:dyDescent="0.25">
      <c r="A55" s="16" t="s">
        <v>61</v>
      </c>
      <c r="B55" s="17"/>
      <c r="C55" s="17"/>
      <c r="D55" s="17"/>
      <c r="E55" s="18"/>
      <c r="F55" s="16"/>
      <c r="G55" s="17"/>
      <c r="H55" s="4">
        <v>4</v>
      </c>
      <c r="I55" s="1"/>
      <c r="J55" s="16"/>
      <c r="K55" s="18"/>
    </row>
    <row r="56" spans="1:11" x14ac:dyDescent="0.25">
      <c r="A56" s="16" t="s">
        <v>53</v>
      </c>
      <c r="B56" s="17"/>
      <c r="C56" s="17"/>
      <c r="D56" s="17"/>
      <c r="E56" s="18"/>
      <c r="F56" s="16"/>
      <c r="G56" s="17"/>
      <c r="H56" s="4">
        <v>16</v>
      </c>
      <c r="I56" s="1"/>
      <c r="J56" s="16"/>
      <c r="K56" s="18"/>
    </row>
    <row r="57" spans="1:11" x14ac:dyDescent="0.25">
      <c r="A57" s="16" t="s">
        <v>54</v>
      </c>
      <c r="B57" s="17"/>
      <c r="C57" s="17"/>
      <c r="D57" s="17"/>
      <c r="E57" s="18"/>
      <c r="F57" s="16"/>
      <c r="G57" s="17"/>
      <c r="H57" s="4">
        <v>2</v>
      </c>
      <c r="I57" s="1"/>
      <c r="J57" s="16"/>
      <c r="K57" s="18"/>
    </row>
    <row r="58" spans="1:11" x14ac:dyDescent="0.25">
      <c r="A58" s="16" t="s">
        <v>62</v>
      </c>
      <c r="B58" s="17"/>
      <c r="C58" s="17"/>
      <c r="D58" s="17"/>
      <c r="E58" s="18"/>
      <c r="F58" s="16"/>
      <c r="G58" s="17"/>
      <c r="H58" s="4">
        <v>1</v>
      </c>
      <c r="I58" s="1"/>
      <c r="J58" s="16"/>
      <c r="K58" s="18"/>
    </row>
    <row r="59" spans="1:11" x14ac:dyDescent="0.25">
      <c r="A59" s="16" t="s">
        <v>34</v>
      </c>
      <c r="B59" s="17"/>
      <c r="C59" s="17"/>
      <c r="D59" s="17"/>
      <c r="E59" s="18"/>
      <c r="F59" s="16"/>
      <c r="G59" s="17"/>
      <c r="H59" s="4"/>
      <c r="I59" s="1"/>
      <c r="J59" s="16"/>
      <c r="K59" s="18"/>
    </row>
    <row r="60" spans="1:11" x14ac:dyDescent="0.25">
      <c r="A60" s="16" t="s">
        <v>35</v>
      </c>
      <c r="B60" s="17"/>
      <c r="C60" s="17"/>
      <c r="D60" s="17"/>
      <c r="E60" s="18"/>
      <c r="F60" s="16"/>
      <c r="G60" s="17"/>
      <c r="H60" s="4"/>
      <c r="I60" s="1"/>
      <c r="J60" s="16"/>
      <c r="K60" s="18"/>
    </row>
    <row r="61" spans="1:11" x14ac:dyDescent="0.25">
      <c r="A61" s="16" t="s">
        <v>36</v>
      </c>
      <c r="B61" s="17"/>
      <c r="C61" s="17"/>
      <c r="D61" s="17"/>
      <c r="E61" s="18"/>
      <c r="F61" s="16"/>
      <c r="G61" s="17"/>
      <c r="H61" s="4"/>
      <c r="I61" s="1"/>
      <c r="J61" s="16"/>
      <c r="K61" s="18"/>
    </row>
    <row r="62" spans="1:11" x14ac:dyDescent="0.25">
      <c r="A62" s="16" t="s">
        <v>37</v>
      </c>
      <c r="B62" s="17"/>
      <c r="C62" s="17"/>
      <c r="D62" s="17"/>
      <c r="E62" s="18"/>
      <c r="F62" s="16"/>
      <c r="G62" s="17"/>
      <c r="H62" s="4"/>
      <c r="I62" s="1"/>
      <c r="J62" s="16"/>
      <c r="K62" s="18"/>
    </row>
    <row r="63" spans="1:11" x14ac:dyDescent="0.25">
      <c r="A63" s="16" t="s">
        <v>46</v>
      </c>
      <c r="B63" s="17"/>
      <c r="C63" s="17"/>
      <c r="D63" s="17"/>
      <c r="E63" s="18"/>
      <c r="F63" s="16"/>
      <c r="G63" s="17"/>
      <c r="H63" s="4"/>
      <c r="I63" s="1"/>
      <c r="J63" s="16"/>
      <c r="K63" s="18"/>
    </row>
    <row r="64" spans="1:11" x14ac:dyDescent="0.25">
      <c r="A64" s="16" t="s">
        <v>64</v>
      </c>
      <c r="B64" s="17"/>
      <c r="C64" s="17"/>
      <c r="D64" s="17"/>
      <c r="E64" s="18"/>
      <c r="F64" s="16"/>
      <c r="G64" s="17"/>
      <c r="H64" s="4"/>
      <c r="I64" s="1"/>
      <c r="J64" s="16"/>
      <c r="K64" s="18"/>
    </row>
    <row r="65" spans="1:11" x14ac:dyDescent="0.25">
      <c r="A65" s="16" t="s">
        <v>63</v>
      </c>
      <c r="B65" s="17"/>
      <c r="C65" s="17"/>
      <c r="D65" s="17"/>
      <c r="E65" s="18"/>
      <c r="F65" s="16"/>
      <c r="G65" s="17"/>
      <c r="H65" s="4"/>
      <c r="I65" s="1"/>
      <c r="J65" s="16"/>
      <c r="K65" s="18"/>
    </row>
    <row r="66" spans="1:11" x14ac:dyDescent="0.25">
      <c r="A66" s="16" t="s">
        <v>65</v>
      </c>
      <c r="B66" s="17"/>
      <c r="C66" s="17"/>
      <c r="D66" s="17"/>
      <c r="E66" s="18"/>
      <c r="F66" s="16"/>
      <c r="G66" s="17"/>
      <c r="H66" s="4">
        <v>1</v>
      </c>
      <c r="I66" s="1"/>
      <c r="J66" s="16"/>
      <c r="K66" s="18"/>
    </row>
    <row r="67" spans="1:11" x14ac:dyDescent="0.25">
      <c r="A67" s="16" t="s">
        <v>66</v>
      </c>
      <c r="B67" s="17"/>
      <c r="C67" s="17"/>
      <c r="D67" s="17"/>
      <c r="E67" s="18"/>
      <c r="F67" s="16"/>
      <c r="G67" s="17"/>
      <c r="H67" s="4">
        <v>2</v>
      </c>
      <c r="I67" s="1"/>
      <c r="J67" s="16"/>
      <c r="K67" s="18"/>
    </row>
    <row r="68" spans="1:11" x14ac:dyDescent="0.25">
      <c r="A68" s="16" t="s">
        <v>67</v>
      </c>
      <c r="B68" s="17"/>
      <c r="C68" s="17"/>
      <c r="D68" s="17"/>
      <c r="E68" s="18"/>
      <c r="F68" s="16"/>
      <c r="G68" s="17"/>
      <c r="H68" s="4">
        <v>48</v>
      </c>
      <c r="I68" s="1"/>
      <c r="J68" s="16"/>
      <c r="K68" s="18"/>
    </row>
    <row r="69" spans="1:11" x14ac:dyDescent="0.25">
      <c r="A69" s="16" t="s">
        <v>68</v>
      </c>
      <c r="B69" s="17"/>
      <c r="C69" s="17"/>
      <c r="D69" s="17"/>
      <c r="E69" s="18"/>
      <c r="F69" s="16"/>
      <c r="G69" s="17"/>
      <c r="H69" s="4">
        <v>9</v>
      </c>
      <c r="I69" s="1"/>
      <c r="J69" s="16"/>
      <c r="K69" s="18"/>
    </row>
    <row r="70" spans="1:11" x14ac:dyDescent="0.25">
      <c r="A70" s="16" t="s">
        <v>69</v>
      </c>
      <c r="B70" s="17"/>
      <c r="C70" s="17"/>
      <c r="D70" s="17"/>
      <c r="E70" s="18"/>
      <c r="F70" s="16"/>
      <c r="G70" s="17"/>
      <c r="H70" s="4">
        <v>18</v>
      </c>
      <c r="I70" s="1"/>
      <c r="J70" s="16"/>
      <c r="K70" s="18"/>
    </row>
    <row r="71" spans="1:11" x14ac:dyDescent="0.25">
      <c r="A71" s="16" t="s">
        <v>70</v>
      </c>
      <c r="B71" s="17"/>
      <c r="C71" s="17"/>
      <c r="D71" s="17"/>
      <c r="E71" s="18"/>
      <c r="F71" s="16"/>
      <c r="G71" s="17"/>
      <c r="H71" s="4">
        <v>1</v>
      </c>
      <c r="I71" s="1"/>
      <c r="J71" s="16"/>
      <c r="K71" s="18"/>
    </row>
    <row r="72" spans="1:11" x14ac:dyDescent="0.25">
      <c r="A72" s="16" t="s">
        <v>71</v>
      </c>
      <c r="B72" s="17"/>
      <c r="C72" s="17"/>
      <c r="D72" s="17"/>
      <c r="E72" s="18"/>
      <c r="F72" s="16"/>
      <c r="G72" s="17"/>
      <c r="H72" s="4">
        <v>1</v>
      </c>
      <c r="I72" s="1"/>
      <c r="J72" s="16"/>
      <c r="K72" s="18"/>
    </row>
    <row r="73" spans="1:11" x14ac:dyDescent="0.25">
      <c r="A73" s="2" t="s">
        <v>72</v>
      </c>
      <c r="B73" s="3"/>
      <c r="C73" s="3"/>
      <c r="D73" s="3"/>
      <c r="E73" s="5"/>
      <c r="F73" s="16"/>
      <c r="G73" s="17"/>
      <c r="H73" s="4">
        <v>5</v>
      </c>
      <c r="I73" s="1"/>
      <c r="J73" s="16"/>
      <c r="K73" s="18"/>
    </row>
    <row r="74" spans="1:11" x14ac:dyDescent="0.25">
      <c r="A74" s="2" t="s">
        <v>73</v>
      </c>
      <c r="B74" s="3"/>
      <c r="C74" s="3"/>
      <c r="D74" s="3"/>
      <c r="E74" s="5"/>
      <c r="F74" s="16"/>
      <c r="G74" s="17"/>
      <c r="H74" s="4">
        <v>20</v>
      </c>
      <c r="I74" s="1"/>
      <c r="J74" s="16"/>
      <c r="K74" s="18"/>
    </row>
    <row r="75" spans="1:11" x14ac:dyDescent="0.25">
      <c r="A75" s="2" t="s">
        <v>74</v>
      </c>
      <c r="B75" s="3"/>
      <c r="C75" s="3"/>
      <c r="D75" s="3"/>
      <c r="E75" s="5"/>
      <c r="F75" s="16"/>
      <c r="G75" s="17"/>
      <c r="H75" s="4">
        <v>138</v>
      </c>
      <c r="I75" s="1"/>
      <c r="J75" s="16"/>
      <c r="K75" s="18"/>
    </row>
    <row r="76" spans="1:11" x14ac:dyDescent="0.25">
      <c r="A76" s="2" t="s">
        <v>73</v>
      </c>
      <c r="B76" s="3"/>
      <c r="C76" s="3"/>
      <c r="D76" s="3"/>
      <c r="E76" s="5"/>
      <c r="F76" s="16"/>
      <c r="G76" s="17"/>
      <c r="H76" s="4">
        <v>6</v>
      </c>
      <c r="I76" s="1"/>
      <c r="J76" s="16"/>
      <c r="K76" s="18"/>
    </row>
    <row r="77" spans="1:11" x14ac:dyDescent="0.25">
      <c r="A77" s="2" t="s">
        <v>75</v>
      </c>
      <c r="B77" s="3"/>
      <c r="C77" s="3"/>
      <c r="D77" s="3"/>
      <c r="E77" s="5"/>
      <c r="F77" s="16"/>
      <c r="G77" s="17"/>
      <c r="H77" s="4">
        <v>29</v>
      </c>
      <c r="I77" s="1"/>
      <c r="J77" s="16"/>
      <c r="K77" s="18"/>
    </row>
    <row r="78" spans="1:11" x14ac:dyDescent="0.25">
      <c r="A78" s="2" t="s">
        <v>76</v>
      </c>
      <c r="B78" s="3"/>
      <c r="C78" s="3"/>
      <c r="D78" s="3"/>
      <c r="E78" s="5"/>
      <c r="F78" s="16"/>
      <c r="G78" s="17"/>
      <c r="H78" s="4">
        <v>1</v>
      </c>
      <c r="I78" s="1"/>
      <c r="J78" s="16"/>
      <c r="K78" s="18"/>
    </row>
    <row r="79" spans="1:11" x14ac:dyDescent="0.25">
      <c r="A79" s="2" t="s">
        <v>77</v>
      </c>
      <c r="B79" s="3"/>
      <c r="C79" s="3"/>
      <c r="D79" s="3"/>
      <c r="E79" s="5"/>
      <c r="F79" s="16"/>
      <c r="G79" s="17"/>
      <c r="H79" s="4">
        <v>1</v>
      </c>
      <c r="I79" s="1"/>
      <c r="J79" s="16"/>
      <c r="K79" s="18"/>
    </row>
    <row r="80" spans="1:11" x14ac:dyDescent="0.25">
      <c r="A80" s="2" t="s">
        <v>78</v>
      </c>
      <c r="B80" s="3"/>
      <c r="C80" s="3"/>
      <c r="D80" s="3"/>
      <c r="E80" s="5"/>
      <c r="F80" s="16"/>
      <c r="G80" s="17"/>
      <c r="H80" s="4">
        <v>1</v>
      </c>
      <c r="I80" s="1"/>
      <c r="J80" s="16"/>
      <c r="K80" s="18"/>
    </row>
    <row r="81" spans="1:11" x14ac:dyDescent="0.25">
      <c r="A81" s="2" t="s">
        <v>82</v>
      </c>
      <c r="B81" s="3"/>
      <c r="C81" s="3"/>
      <c r="D81" s="3"/>
      <c r="E81" s="5"/>
      <c r="F81" s="16"/>
      <c r="G81" s="17"/>
      <c r="H81" s="4">
        <v>8</v>
      </c>
      <c r="I81" s="1"/>
      <c r="J81" s="16"/>
      <c r="K81" s="18"/>
    </row>
    <row r="82" spans="1:11" x14ac:dyDescent="0.25">
      <c r="A82" s="2" t="s">
        <v>79</v>
      </c>
      <c r="B82" s="3"/>
      <c r="C82" s="3"/>
      <c r="D82" s="3"/>
      <c r="E82" s="5"/>
      <c r="F82" s="16"/>
      <c r="G82" s="17"/>
      <c r="H82" s="4">
        <v>3</v>
      </c>
      <c r="I82" s="1"/>
      <c r="J82" s="16"/>
      <c r="K82" s="18"/>
    </row>
    <row r="83" spans="1:11" x14ac:dyDescent="0.25">
      <c r="A83" s="2" t="s">
        <v>80</v>
      </c>
      <c r="B83" s="3"/>
      <c r="C83" s="3"/>
      <c r="D83" s="3"/>
      <c r="E83" s="5"/>
      <c r="F83" s="16"/>
      <c r="G83" s="17"/>
      <c r="H83" s="4">
        <v>12</v>
      </c>
      <c r="I83" s="1"/>
      <c r="J83" s="16"/>
      <c r="K83" s="18"/>
    </row>
    <row r="84" spans="1:11" x14ac:dyDescent="0.25">
      <c r="A84" s="2" t="s">
        <v>81</v>
      </c>
      <c r="B84" s="3"/>
      <c r="C84" s="3"/>
      <c r="D84" s="3"/>
      <c r="E84" s="5"/>
      <c r="F84" s="16"/>
      <c r="G84" s="17"/>
      <c r="H84" s="4">
        <v>105</v>
      </c>
      <c r="I84" s="1"/>
      <c r="J84" s="16"/>
      <c r="K84" s="18"/>
    </row>
    <row r="85" spans="1:11" x14ac:dyDescent="0.25">
      <c r="A85" s="2" t="s">
        <v>83</v>
      </c>
      <c r="B85" s="3"/>
      <c r="C85" s="3"/>
      <c r="D85" s="3"/>
      <c r="E85" s="5"/>
      <c r="F85" s="16"/>
      <c r="G85" s="17"/>
      <c r="H85" s="4">
        <v>17</v>
      </c>
      <c r="I85" s="1"/>
      <c r="J85" s="16"/>
      <c r="K85" s="18"/>
    </row>
    <row r="86" spans="1:11" x14ac:dyDescent="0.25">
      <c r="A86" s="16" t="s">
        <v>47</v>
      </c>
      <c r="B86" s="17"/>
      <c r="C86" s="17"/>
      <c r="D86" s="17"/>
      <c r="E86" s="18"/>
      <c r="F86" s="16"/>
      <c r="G86" s="17"/>
      <c r="H86" s="4"/>
      <c r="I86" s="1"/>
      <c r="J86" s="16"/>
      <c r="K86" s="18"/>
    </row>
    <row r="87" spans="1:11" x14ac:dyDescent="0.25">
      <c r="A87" s="16" t="s">
        <v>48</v>
      </c>
      <c r="B87" s="17"/>
      <c r="C87" s="17"/>
      <c r="D87" s="17"/>
      <c r="E87" s="18"/>
      <c r="F87" s="16"/>
      <c r="G87" s="17"/>
      <c r="H87" s="4"/>
      <c r="I87" s="1"/>
      <c r="J87" s="16"/>
      <c r="K87" s="18"/>
    </row>
    <row r="88" spans="1:11" x14ac:dyDescent="0.25">
      <c r="A88" s="16" t="s">
        <v>49</v>
      </c>
      <c r="B88" s="17"/>
      <c r="C88" s="17"/>
      <c r="D88" s="17"/>
      <c r="E88" s="18"/>
      <c r="F88" s="16"/>
      <c r="G88" s="17"/>
      <c r="H88" s="4"/>
      <c r="I88" s="1"/>
      <c r="J88" s="16"/>
      <c r="K88" s="18"/>
    </row>
    <row r="89" spans="1:11" x14ac:dyDescent="0.25">
      <c r="A89" s="16" t="s">
        <v>50</v>
      </c>
      <c r="B89" s="17"/>
      <c r="C89" s="17"/>
      <c r="D89" s="17"/>
      <c r="E89" s="18"/>
      <c r="F89" s="16"/>
      <c r="G89" s="17"/>
      <c r="H89" s="4"/>
      <c r="I89" s="1"/>
      <c r="J89" s="16"/>
      <c r="K89" s="18"/>
    </row>
    <row r="90" spans="1:11" x14ac:dyDescent="0.25">
      <c r="A90" s="16" t="s">
        <v>51</v>
      </c>
      <c r="B90" s="17"/>
      <c r="C90" s="17"/>
      <c r="D90" s="17"/>
      <c r="E90" s="18"/>
      <c r="F90" s="16"/>
      <c r="G90" s="17"/>
      <c r="H90" s="4"/>
      <c r="I90" s="1"/>
      <c r="J90" s="16"/>
      <c r="K90" s="18"/>
    </row>
    <row r="91" spans="1:11" x14ac:dyDescent="0.25">
      <c r="A91" s="16" t="s">
        <v>33</v>
      </c>
      <c r="B91" s="17"/>
      <c r="C91" s="17"/>
      <c r="D91" s="17"/>
      <c r="E91" s="18"/>
      <c r="F91" s="16"/>
      <c r="G91" s="17"/>
      <c r="H91" s="4"/>
      <c r="I91" s="1"/>
      <c r="J91" s="16"/>
      <c r="K91" s="18"/>
    </row>
    <row r="92" spans="1:11" x14ac:dyDescent="0.25">
      <c r="A92" s="16" t="s">
        <v>52</v>
      </c>
      <c r="B92" s="17"/>
      <c r="C92" s="17"/>
      <c r="D92" s="17"/>
      <c r="E92" s="18"/>
      <c r="F92" s="16"/>
      <c r="G92" s="17"/>
      <c r="H92" s="4"/>
      <c r="I92" s="1"/>
      <c r="J92" s="16"/>
      <c r="K92" s="18"/>
    </row>
    <row r="93" spans="1:11" x14ac:dyDescent="0.25">
      <c r="A93" s="19" t="s">
        <v>29</v>
      </c>
      <c r="B93" s="20"/>
      <c r="C93" s="20"/>
      <c r="D93" s="20"/>
      <c r="E93" s="27"/>
      <c r="F93" s="16"/>
      <c r="G93" s="17"/>
      <c r="H93" s="4"/>
      <c r="I93" s="1"/>
      <c r="J93" s="19"/>
      <c r="K93" s="27"/>
    </row>
  </sheetData>
  <mergeCells count="235">
    <mergeCell ref="A92:E92"/>
    <mergeCell ref="A93:E93"/>
    <mergeCell ref="F92:G92"/>
    <mergeCell ref="J92:K92"/>
    <mergeCell ref="A91:E91"/>
    <mergeCell ref="F93:G93"/>
    <mergeCell ref="J93:K93"/>
    <mergeCell ref="A66:E66"/>
    <mergeCell ref="A67:E67"/>
    <mergeCell ref="A68:E68"/>
    <mergeCell ref="A69:E69"/>
    <mergeCell ref="A90:E90"/>
    <mergeCell ref="F90:G90"/>
    <mergeCell ref="J90:K90"/>
    <mergeCell ref="F91:G91"/>
    <mergeCell ref="J91:K91"/>
    <mergeCell ref="A88:E88"/>
    <mergeCell ref="F88:G88"/>
    <mergeCell ref="J88:K88"/>
    <mergeCell ref="A89:E89"/>
    <mergeCell ref="F89:G89"/>
    <mergeCell ref="J89:K89"/>
    <mergeCell ref="A86:E86"/>
    <mergeCell ref="F86:G86"/>
    <mergeCell ref="J86:K86"/>
    <mergeCell ref="A87:E87"/>
    <mergeCell ref="F87:G87"/>
    <mergeCell ref="J87:K87"/>
    <mergeCell ref="A64:E64"/>
    <mergeCell ref="F84:G84"/>
    <mergeCell ref="J84:K84"/>
    <mergeCell ref="A65:E65"/>
    <mergeCell ref="F85:G85"/>
    <mergeCell ref="J85:K85"/>
    <mergeCell ref="F82:G82"/>
    <mergeCell ref="J82:K82"/>
    <mergeCell ref="J69:K69"/>
    <mergeCell ref="F70:G70"/>
    <mergeCell ref="J70:K70"/>
    <mergeCell ref="F67:G67"/>
    <mergeCell ref="J67:K67"/>
    <mergeCell ref="F68:G68"/>
    <mergeCell ref="F79:G79"/>
    <mergeCell ref="J79:K79"/>
    <mergeCell ref="F76:G76"/>
    <mergeCell ref="J76:K76"/>
    <mergeCell ref="F77:G77"/>
    <mergeCell ref="J77:K77"/>
    <mergeCell ref="F83:G83"/>
    <mergeCell ref="J83:K83"/>
    <mergeCell ref="A60:E60"/>
    <mergeCell ref="F80:G80"/>
    <mergeCell ref="J80:K80"/>
    <mergeCell ref="A61:E61"/>
    <mergeCell ref="F81:G81"/>
    <mergeCell ref="J81:K81"/>
    <mergeCell ref="F78:G78"/>
    <mergeCell ref="J78:K78"/>
    <mergeCell ref="J68:K68"/>
    <mergeCell ref="F65:G65"/>
    <mergeCell ref="J65:K65"/>
    <mergeCell ref="F66:G66"/>
    <mergeCell ref="J66:K66"/>
    <mergeCell ref="A72:E72"/>
    <mergeCell ref="F63:G63"/>
    <mergeCell ref="J63:K63"/>
    <mergeCell ref="F64:G64"/>
    <mergeCell ref="J64:K64"/>
    <mergeCell ref="F72:G72"/>
    <mergeCell ref="J72:K72"/>
    <mergeCell ref="F69:G69"/>
    <mergeCell ref="F73:G73"/>
    <mergeCell ref="J73:K73"/>
    <mergeCell ref="F74:G74"/>
    <mergeCell ref="J74:K74"/>
    <mergeCell ref="F75:G75"/>
    <mergeCell ref="J75:K75"/>
    <mergeCell ref="A70:E70"/>
    <mergeCell ref="A71:E71"/>
    <mergeCell ref="A54:E54"/>
    <mergeCell ref="F61:G61"/>
    <mergeCell ref="J61:K61"/>
    <mergeCell ref="A55:E55"/>
    <mergeCell ref="F62:G62"/>
    <mergeCell ref="J62:K62"/>
    <mergeCell ref="A59:E59"/>
    <mergeCell ref="F71:G71"/>
    <mergeCell ref="J71:K71"/>
    <mergeCell ref="A62:E62"/>
    <mergeCell ref="F59:G59"/>
    <mergeCell ref="J59:K59"/>
    <mergeCell ref="A63:E63"/>
    <mergeCell ref="F60:G60"/>
    <mergeCell ref="J60:K60"/>
    <mergeCell ref="F57:G57"/>
    <mergeCell ref="J57:K57"/>
    <mergeCell ref="F58:G58"/>
    <mergeCell ref="J58:K58"/>
    <mergeCell ref="A58:E58"/>
    <mergeCell ref="A50:E50"/>
    <mergeCell ref="A51:E51"/>
    <mergeCell ref="F55:G55"/>
    <mergeCell ref="J55:K55"/>
    <mergeCell ref="F56:G56"/>
    <mergeCell ref="J56:K56"/>
    <mergeCell ref="A57:E57"/>
    <mergeCell ref="A49:E49"/>
    <mergeCell ref="F53:G53"/>
    <mergeCell ref="J53:K53"/>
    <mergeCell ref="F54:G54"/>
    <mergeCell ref="J54:K54"/>
    <mergeCell ref="A56:E56"/>
    <mergeCell ref="F51:G51"/>
    <mergeCell ref="J51:K51"/>
    <mergeCell ref="F52:G52"/>
    <mergeCell ref="J52:K52"/>
    <mergeCell ref="F49:G49"/>
    <mergeCell ref="J49:K49"/>
    <mergeCell ref="F50:G50"/>
    <mergeCell ref="J50:K50"/>
    <mergeCell ref="A52:E52"/>
    <mergeCell ref="A53:E53"/>
    <mergeCell ref="J19:K19"/>
    <mergeCell ref="J20:K20"/>
    <mergeCell ref="J21:K21"/>
    <mergeCell ref="J22:K22"/>
    <mergeCell ref="J23:K23"/>
    <mergeCell ref="J24:K24"/>
    <mergeCell ref="J13:K13"/>
    <mergeCell ref="J14:K14"/>
    <mergeCell ref="J15:K15"/>
    <mergeCell ref="J16:K16"/>
    <mergeCell ref="J17:K17"/>
    <mergeCell ref="J18:K18"/>
    <mergeCell ref="A3:E3"/>
    <mergeCell ref="F3:G3"/>
    <mergeCell ref="F4:G4"/>
    <mergeCell ref="A47:E47"/>
    <mergeCell ref="F47:G47"/>
    <mergeCell ref="A48:E48"/>
    <mergeCell ref="F48:G48"/>
    <mergeCell ref="A26:E26"/>
    <mergeCell ref="A21:E21"/>
    <mergeCell ref="A22:E22"/>
    <mergeCell ref="A23:E23"/>
    <mergeCell ref="A24:E24"/>
    <mergeCell ref="A14:E14"/>
    <mergeCell ref="A15:E15"/>
    <mergeCell ref="A20:E20"/>
    <mergeCell ref="A39:E39"/>
    <mergeCell ref="F34:G34"/>
    <mergeCell ref="F35:G35"/>
    <mergeCell ref="F28:G28"/>
    <mergeCell ref="F29:G29"/>
    <mergeCell ref="F30:G30"/>
    <mergeCell ref="F31:G31"/>
    <mergeCell ref="A38:E38"/>
    <mergeCell ref="A4:E4"/>
    <mergeCell ref="J34:K34"/>
    <mergeCell ref="A32:E32"/>
    <mergeCell ref="J36:K36"/>
    <mergeCell ref="J37:K37"/>
    <mergeCell ref="J38:K38"/>
    <mergeCell ref="J39:K39"/>
    <mergeCell ref="J25:K25"/>
    <mergeCell ref="J26:K26"/>
    <mergeCell ref="J27:K27"/>
    <mergeCell ref="J32:K32"/>
    <mergeCell ref="J33:K33"/>
    <mergeCell ref="J35:K35"/>
    <mergeCell ref="J28:K28"/>
    <mergeCell ref="J29:K29"/>
    <mergeCell ref="J30:K30"/>
    <mergeCell ref="J31:K31"/>
    <mergeCell ref="F36:G36"/>
    <mergeCell ref="F37:G37"/>
    <mergeCell ref="F38:G38"/>
    <mergeCell ref="F39:G39"/>
    <mergeCell ref="F25:G25"/>
    <mergeCell ref="F26:G26"/>
    <mergeCell ref="F32:G32"/>
    <mergeCell ref="F33:G33"/>
    <mergeCell ref="J5:K5"/>
    <mergeCell ref="J6:K6"/>
    <mergeCell ref="J7:K7"/>
    <mergeCell ref="J8:K8"/>
    <mergeCell ref="J9:K9"/>
    <mergeCell ref="J10:K10"/>
    <mergeCell ref="J11:K11"/>
    <mergeCell ref="J12:K12"/>
    <mergeCell ref="F27:G27"/>
    <mergeCell ref="F19:G19"/>
    <mergeCell ref="F20:G20"/>
    <mergeCell ref="F21:G21"/>
    <mergeCell ref="F22:G22"/>
    <mergeCell ref="F23:G23"/>
    <mergeCell ref="F24:G24"/>
    <mergeCell ref="F13:G13"/>
    <mergeCell ref="F14:G14"/>
    <mergeCell ref="F15:G15"/>
    <mergeCell ref="F16:G16"/>
    <mergeCell ref="F17:G17"/>
    <mergeCell ref="F18:G18"/>
    <mergeCell ref="F5:G5"/>
    <mergeCell ref="F6:G6"/>
    <mergeCell ref="F7:G7"/>
    <mergeCell ref="F8:G8"/>
    <mergeCell ref="F9:G9"/>
    <mergeCell ref="F10:G10"/>
    <mergeCell ref="F11:G11"/>
    <mergeCell ref="F12:G12"/>
    <mergeCell ref="A31:E31"/>
    <mergeCell ref="A33:E33"/>
    <mergeCell ref="A34:E34"/>
    <mergeCell ref="A35:E35"/>
    <mergeCell ref="A16:E16"/>
    <mergeCell ref="A17:E17"/>
    <mergeCell ref="A36:E36"/>
    <mergeCell ref="A37:E37"/>
    <mergeCell ref="A27:E27"/>
    <mergeCell ref="A28:E28"/>
    <mergeCell ref="A29:E29"/>
    <mergeCell ref="A30:E30"/>
    <mergeCell ref="A25:E25"/>
    <mergeCell ref="A18:E18"/>
    <mergeCell ref="A19:E19"/>
    <mergeCell ref="A5:E5"/>
    <mergeCell ref="A6:E6"/>
    <mergeCell ref="A7:E7"/>
    <mergeCell ref="A8:E8"/>
    <mergeCell ref="A9:E9"/>
    <mergeCell ref="A10:E10"/>
    <mergeCell ref="A11:E11"/>
    <mergeCell ref="A12:E12"/>
    <mergeCell ref="A13:E13"/>
  </mergeCells>
  <pageMargins left="0.2" right="0.2" top="0.75" bottom="0.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City of Roseville I.T.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Clarizio, Jacquie</dc:creator>
  <cp:lastModifiedBy>Clarizio, Jacquie</cp:lastModifiedBy>
  <cp:lastPrinted>2012-10-12T15:54:08Z</cp:lastPrinted>
  <dcterms:created xsi:type="dcterms:W3CDTF">2012-10-09T23:20:53Z</dcterms:created>
  <dcterms:modified xsi:type="dcterms:W3CDTF">2012-10-12T15:56:30Z</dcterms:modified>
</cp:coreProperties>
</file>