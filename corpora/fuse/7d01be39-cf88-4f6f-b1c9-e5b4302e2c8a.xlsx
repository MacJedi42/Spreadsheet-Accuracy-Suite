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60" windowWidth="6000" windowHeight="4800" tabRatio="633" activeTab="3"/>
  </bookViews>
  <sheets>
    <sheet name="Information" sheetId="2" r:id="rId1"/>
    <sheet name="BSTFA-Sugars" sheetId="1" r:id="rId2"/>
    <sheet name="BSTFA-Sterols, ROHs" sheetId="5" r:id="rId3"/>
    <sheet name="BSTFA-Acids" sheetId="7" r:id="rId4"/>
  </sheets>
  <externalReferences>
    <externalReference r:id="rId5"/>
  </externalReferences>
  <definedNames>
    <definedName name="RF">[1]Hopanes!$A$21</definedName>
  </definedNames>
  <calcPr calcId="125725"/>
</workbook>
</file>

<file path=xl/calcChain.xml><?xml version="1.0" encoding="utf-8"?>
<calcChain xmlns="http://schemas.openxmlformats.org/spreadsheetml/2006/main">
  <c r="HS7" i="7"/>
  <c r="HS8"/>
  <c r="HS9"/>
  <c r="HS10"/>
  <c r="HS11"/>
  <c r="HS12"/>
  <c r="HS13"/>
  <c r="HS14"/>
  <c r="HS6"/>
  <c r="HP7"/>
  <c r="HP8"/>
  <c r="HP9"/>
  <c r="HP10"/>
  <c r="HP11"/>
  <c r="HP12"/>
  <c r="HP13"/>
  <c r="HP14"/>
  <c r="HP6"/>
  <c r="HM7"/>
  <c r="HM8"/>
  <c r="HM9"/>
  <c r="HM10"/>
  <c r="HM11"/>
  <c r="HM12"/>
  <c r="HM13"/>
  <c r="HM14"/>
  <c r="HM6"/>
  <c r="HJ7"/>
  <c r="HJ8"/>
  <c r="HJ9"/>
  <c r="HJ10"/>
  <c r="HJ11"/>
  <c r="HJ12"/>
  <c r="HJ13"/>
  <c r="HJ14"/>
  <c r="HJ6"/>
  <c r="HG7"/>
  <c r="HG8"/>
  <c r="HG9"/>
  <c r="HG10"/>
  <c r="HG11"/>
  <c r="HG12"/>
  <c r="HG13"/>
  <c r="HG14"/>
  <c r="HG6"/>
  <c r="HD7"/>
  <c r="HD8"/>
  <c r="HD9"/>
  <c r="HD10"/>
  <c r="HD11"/>
  <c r="HD12"/>
  <c r="HD13"/>
  <c r="HD14"/>
  <c r="HD6"/>
  <c r="HA7"/>
  <c r="HA8"/>
  <c r="HA9"/>
  <c r="HA10"/>
  <c r="HA11"/>
  <c r="HA12"/>
  <c r="HA13"/>
  <c r="HA14"/>
  <c r="HA6"/>
  <c r="GX7"/>
  <c r="GX8"/>
  <c r="GX9"/>
  <c r="GX10"/>
  <c r="GX11"/>
  <c r="GX12"/>
  <c r="GX13"/>
  <c r="GX14"/>
  <c r="GX6"/>
  <c r="GU7"/>
  <c r="GU8"/>
  <c r="GU9"/>
  <c r="GU10"/>
  <c r="GU11"/>
  <c r="GU12"/>
  <c r="GU13"/>
  <c r="GU14"/>
  <c r="GU6"/>
  <c r="GR7"/>
  <c r="GR8"/>
  <c r="GR9"/>
  <c r="GR10"/>
  <c r="GR11"/>
  <c r="GR12"/>
  <c r="GR13"/>
  <c r="GR14"/>
  <c r="GR6"/>
  <c r="GO7"/>
  <c r="GO8"/>
  <c r="GO9"/>
  <c r="GO10"/>
  <c r="GO11"/>
  <c r="GO12"/>
  <c r="GO13"/>
  <c r="GO14"/>
  <c r="GO6"/>
  <c r="GL7"/>
  <c r="GL8"/>
  <c r="GL9"/>
  <c r="GL10"/>
  <c r="GL11"/>
  <c r="GL12"/>
  <c r="GL13"/>
  <c r="GL14"/>
  <c r="GL6"/>
  <c r="GI7"/>
  <c r="GI8"/>
  <c r="GI9"/>
  <c r="GI10"/>
  <c r="GI11"/>
  <c r="GI12"/>
  <c r="GI13"/>
  <c r="GI14"/>
  <c r="GI6"/>
  <c r="GF7"/>
  <c r="GF8"/>
  <c r="GF9"/>
  <c r="GF10"/>
  <c r="GF11"/>
  <c r="GF12"/>
  <c r="GF13"/>
  <c r="GF14"/>
  <c r="GF6"/>
  <c r="GC7"/>
  <c r="GC8"/>
  <c r="GC9"/>
  <c r="GC10"/>
  <c r="GC11"/>
  <c r="GC12"/>
  <c r="GC13"/>
  <c r="GC14"/>
  <c r="GC6"/>
  <c r="FZ7"/>
  <c r="FZ8"/>
  <c r="FZ9"/>
  <c r="FZ10"/>
  <c r="FZ11"/>
  <c r="FZ12"/>
  <c r="FZ13"/>
  <c r="FZ14"/>
  <c r="FZ6"/>
  <c r="FW7"/>
  <c r="FW8"/>
  <c r="FW9"/>
  <c r="FW10"/>
  <c r="FW11"/>
  <c r="FW12"/>
  <c r="FW13"/>
  <c r="FW14"/>
  <c r="FW6"/>
  <c r="FT7"/>
  <c r="FT8"/>
  <c r="FT9"/>
  <c r="FT10"/>
  <c r="FT11"/>
  <c r="FT12"/>
  <c r="FT13"/>
  <c r="FT14"/>
  <c r="FT6"/>
  <c r="FQ7"/>
  <c r="FQ8"/>
  <c r="FQ9"/>
  <c r="FQ10"/>
  <c r="FQ11"/>
  <c r="FQ12"/>
  <c r="FQ13"/>
  <c r="FQ14"/>
  <c r="FQ6"/>
  <c r="FN7"/>
  <c r="FN8"/>
  <c r="FN9"/>
  <c r="FN10"/>
  <c r="FN11"/>
  <c r="FN12"/>
  <c r="FN13"/>
  <c r="FN14"/>
  <c r="FN6"/>
  <c r="FK7"/>
  <c r="FK8"/>
  <c r="FK9"/>
  <c r="FK10"/>
  <c r="FK11"/>
  <c r="FK12"/>
  <c r="FK13"/>
  <c r="FK14"/>
  <c r="FK6"/>
  <c r="FH7"/>
  <c r="FH8"/>
  <c r="FH9"/>
  <c r="FH10"/>
  <c r="FH11"/>
  <c r="FH12"/>
  <c r="FH13"/>
  <c r="FH14"/>
  <c r="FH6"/>
  <c r="FE7"/>
  <c r="FE8"/>
  <c r="FE9"/>
  <c r="FE10"/>
  <c r="FE11"/>
  <c r="FE12"/>
  <c r="FE13"/>
  <c r="FE14"/>
  <c r="FE6"/>
  <c r="FB7"/>
  <c r="FB8"/>
  <c r="FB9"/>
  <c r="FB10"/>
  <c r="FB11"/>
  <c r="FB12"/>
  <c r="FB13"/>
  <c r="FB14"/>
  <c r="FB6"/>
  <c r="EY7"/>
  <c r="EY8"/>
  <c r="EY9"/>
  <c r="EY10"/>
  <c r="EY11"/>
  <c r="EY12"/>
  <c r="EY13"/>
  <c r="EY14"/>
  <c r="EY6"/>
  <c r="EV7"/>
  <c r="EV8"/>
  <c r="EV9"/>
  <c r="EV10"/>
  <c r="EV11"/>
  <c r="EV12"/>
  <c r="EV13"/>
  <c r="EV14"/>
  <c r="EV6"/>
  <c r="ES7"/>
  <c r="ES8"/>
  <c r="ES9"/>
  <c r="ES10"/>
  <c r="ES11"/>
  <c r="ES12"/>
  <c r="ES13"/>
  <c r="ES14"/>
  <c r="ES6"/>
  <c r="EP7"/>
  <c r="EP8"/>
  <c r="EP9"/>
  <c r="EP10"/>
  <c r="EP11"/>
  <c r="EP12"/>
  <c r="EP13"/>
  <c r="EP14"/>
  <c r="EP6"/>
  <c r="EM7"/>
  <c r="EM8"/>
  <c r="EM9"/>
  <c r="EM10"/>
  <c r="EM11"/>
  <c r="EM12"/>
  <c r="EM13"/>
  <c r="EM14"/>
  <c r="EM6"/>
  <c r="EJ7"/>
  <c r="EJ8"/>
  <c r="EJ9"/>
  <c r="EJ10"/>
  <c r="EJ11"/>
  <c r="EJ12"/>
  <c r="EJ13"/>
  <c r="EJ14"/>
  <c r="EJ6"/>
  <c r="EG7"/>
  <c r="EG8"/>
  <c r="EG9"/>
  <c r="EG10"/>
  <c r="EG11"/>
  <c r="EG12"/>
  <c r="EG13"/>
  <c r="EG14"/>
  <c r="EG6"/>
  <c r="ED7"/>
  <c r="ED8"/>
  <c r="ED9"/>
  <c r="ED10"/>
  <c r="ED11"/>
  <c r="ED12"/>
  <c r="ED13"/>
  <c r="ED14"/>
  <c r="ED6"/>
  <c r="EA7"/>
  <c r="EA8"/>
  <c r="EA9"/>
  <c r="EA10"/>
  <c r="EA11"/>
  <c r="EA12"/>
  <c r="EA13"/>
  <c r="EA14"/>
  <c r="EA6"/>
  <c r="DX7"/>
  <c r="DX8"/>
  <c r="DX9"/>
  <c r="DX10"/>
  <c r="DX11"/>
  <c r="DX12"/>
  <c r="DX13"/>
  <c r="DX14"/>
  <c r="DX6"/>
  <c r="IQ7" i="5"/>
  <c r="IQ8"/>
  <c r="IQ9"/>
  <c r="IQ10"/>
  <c r="IQ11"/>
  <c r="IQ12"/>
  <c r="IQ13"/>
  <c r="IQ14"/>
  <c r="IQ15"/>
  <c r="IQ6"/>
  <c r="IN7"/>
  <c r="IN8"/>
  <c r="IN9"/>
  <c r="IN10"/>
  <c r="IN11"/>
  <c r="IN12"/>
  <c r="IN13"/>
  <c r="IN14"/>
  <c r="IN15"/>
  <c r="IN6"/>
  <c r="IK7"/>
  <c r="IK8"/>
  <c r="IK9"/>
  <c r="IK10"/>
  <c r="IK11"/>
  <c r="IK12"/>
  <c r="IK13"/>
  <c r="IK14"/>
  <c r="IK15"/>
  <c r="IK6"/>
  <c r="IH7"/>
  <c r="IH8"/>
  <c r="IH9"/>
  <c r="IH10"/>
  <c r="IH11"/>
  <c r="IH12"/>
  <c r="IH13"/>
  <c r="IH14"/>
  <c r="IH15"/>
  <c r="IH6"/>
  <c r="IE7"/>
  <c r="IE8"/>
  <c r="IE9"/>
  <c r="IE10"/>
  <c r="IE11"/>
  <c r="IE12"/>
  <c r="IE13"/>
  <c r="IE14"/>
  <c r="IE15"/>
  <c r="IE6"/>
  <c r="IB7"/>
  <c r="IB8"/>
  <c r="IB9"/>
  <c r="IB10"/>
  <c r="IB11"/>
  <c r="IB12"/>
  <c r="IB13"/>
  <c r="IB14"/>
  <c r="IB15"/>
  <c r="IB6"/>
  <c r="HY7"/>
  <c r="HY8"/>
  <c r="HY9"/>
  <c r="HY10"/>
  <c r="HY11"/>
  <c r="HY12"/>
  <c r="HY13"/>
  <c r="HY14"/>
  <c r="HY15"/>
  <c r="HY6"/>
  <c r="HV7"/>
  <c r="HV8"/>
  <c r="HV9"/>
  <c r="HV10"/>
  <c r="HV11"/>
  <c r="HV12"/>
  <c r="HV13"/>
  <c r="HV14"/>
  <c r="HV15"/>
  <c r="HV6"/>
  <c r="HS7"/>
  <c r="HS8"/>
  <c r="HS9"/>
  <c r="HS10"/>
  <c r="HS11"/>
  <c r="HS12"/>
  <c r="HS13"/>
  <c r="HS14"/>
  <c r="HS15"/>
  <c r="HS6"/>
  <c r="HP7"/>
  <c r="HP8"/>
  <c r="HP9"/>
  <c r="HP10"/>
  <c r="HP11"/>
  <c r="HP12"/>
  <c r="HP13"/>
  <c r="HP14"/>
  <c r="HP15"/>
  <c r="HP6"/>
  <c r="HM7"/>
  <c r="HM8"/>
  <c r="HM9"/>
  <c r="HM10"/>
  <c r="HM11"/>
  <c r="HM12"/>
  <c r="HM13"/>
  <c r="HM14"/>
  <c r="HM15"/>
  <c r="HM6"/>
  <c r="HJ7"/>
  <c r="HJ8"/>
  <c r="HJ9"/>
  <c r="HJ10"/>
  <c r="HJ11"/>
  <c r="HJ12"/>
  <c r="HJ13"/>
  <c r="HJ14"/>
  <c r="HJ15"/>
  <c r="HJ6"/>
  <c r="HG7"/>
  <c r="HG8"/>
  <c r="HG9"/>
  <c r="HG10"/>
  <c r="HG11"/>
  <c r="HG12"/>
  <c r="HG13"/>
  <c r="HG14"/>
  <c r="HG15"/>
  <c r="HG6"/>
  <c r="HD15"/>
  <c r="HD7"/>
  <c r="HD8"/>
  <c r="HD9"/>
  <c r="HD10"/>
  <c r="HD11"/>
  <c r="HD12"/>
  <c r="HD13"/>
  <c r="HD14"/>
  <c r="HD6"/>
  <c r="HA7"/>
  <c r="HA8"/>
  <c r="HA9"/>
  <c r="HA10"/>
  <c r="HA11"/>
  <c r="HA12"/>
  <c r="HA13"/>
  <c r="HA14"/>
  <c r="HA15"/>
  <c r="HA6"/>
  <c r="GX7"/>
  <c r="GX8"/>
  <c r="GX9"/>
  <c r="GX10"/>
  <c r="GX11"/>
  <c r="GX12"/>
  <c r="GX13"/>
  <c r="GX14"/>
  <c r="GX15"/>
  <c r="GX6"/>
  <c r="GU7"/>
  <c r="GU8"/>
  <c r="GU9"/>
  <c r="GU10"/>
  <c r="GU11"/>
  <c r="GU12"/>
  <c r="GU13"/>
  <c r="GU14"/>
  <c r="GU15"/>
  <c r="GU6"/>
  <c r="GR7"/>
  <c r="GR8"/>
  <c r="GR9"/>
  <c r="GR10"/>
  <c r="GR11"/>
  <c r="GR12"/>
  <c r="GR13"/>
  <c r="GR14"/>
  <c r="GR15"/>
  <c r="GR6"/>
  <c r="GO7"/>
  <c r="GO8"/>
  <c r="GO9"/>
  <c r="GO10"/>
  <c r="GO11"/>
  <c r="GO12"/>
  <c r="GO13"/>
  <c r="GO14"/>
  <c r="GO15"/>
  <c r="GO6"/>
  <c r="GL7"/>
  <c r="GL8"/>
  <c r="GL9"/>
  <c r="GL10"/>
  <c r="GL11"/>
  <c r="GL12"/>
  <c r="GL13"/>
  <c r="GL14"/>
  <c r="GL15"/>
  <c r="GL6"/>
  <c r="GI15"/>
  <c r="GI7"/>
  <c r="GI8"/>
  <c r="GI9"/>
  <c r="GI10"/>
  <c r="GI11"/>
  <c r="GI12"/>
  <c r="GI13"/>
  <c r="GI14"/>
  <c r="GI6"/>
  <c r="GF7"/>
  <c r="GF8"/>
  <c r="GF9"/>
  <c r="GF10"/>
  <c r="GF11"/>
  <c r="GF12"/>
  <c r="GF13"/>
  <c r="GF14"/>
  <c r="GF15"/>
  <c r="GF6"/>
  <c r="GC7"/>
  <c r="GC8"/>
  <c r="GC9"/>
  <c r="GC10"/>
  <c r="GC11"/>
  <c r="GC12"/>
  <c r="GC13"/>
  <c r="GC14"/>
  <c r="GC15"/>
  <c r="GC6"/>
  <c r="FZ7"/>
  <c r="FZ8"/>
  <c r="FZ9"/>
  <c r="FZ10"/>
  <c r="FZ11"/>
  <c r="FZ12"/>
  <c r="FZ13"/>
  <c r="FZ14"/>
  <c r="FZ15"/>
  <c r="FZ6"/>
  <c r="FW7"/>
  <c r="FW8"/>
  <c r="FW9"/>
  <c r="FW10"/>
  <c r="FW11"/>
  <c r="FW12"/>
  <c r="FW13"/>
  <c r="FW14"/>
  <c r="FW15"/>
  <c r="FW6"/>
  <c r="FT7"/>
  <c r="FT8"/>
  <c r="FT9"/>
  <c r="FT10"/>
  <c r="FT11"/>
  <c r="FT12"/>
  <c r="FT13"/>
  <c r="FT14"/>
  <c r="FT15"/>
  <c r="FT6"/>
  <c r="FQ7"/>
  <c r="FQ8"/>
  <c r="FQ9"/>
  <c r="FQ10"/>
  <c r="FQ11"/>
  <c r="FQ12"/>
  <c r="FQ13"/>
  <c r="FQ14"/>
  <c r="FQ15"/>
  <c r="FQ6"/>
  <c r="FN7"/>
  <c r="FN8"/>
  <c r="FN9"/>
  <c r="FN10"/>
  <c r="FN11"/>
  <c r="FN12"/>
  <c r="FN13"/>
  <c r="FN14"/>
  <c r="FN15"/>
  <c r="FN6"/>
  <c r="FK7"/>
  <c r="FK8"/>
  <c r="FK9"/>
  <c r="FK10"/>
  <c r="FK11"/>
  <c r="FK12"/>
  <c r="FK13"/>
  <c r="FK14"/>
  <c r="FK15"/>
  <c r="FK6"/>
  <c r="FH7"/>
  <c r="FH8"/>
  <c r="FH9"/>
  <c r="FH10"/>
  <c r="FH11"/>
  <c r="FH12"/>
  <c r="FH13"/>
  <c r="FH14"/>
  <c r="FH15"/>
  <c r="FH6"/>
  <c r="FE7"/>
  <c r="FE8"/>
  <c r="FE9"/>
  <c r="FE10"/>
  <c r="FE11"/>
  <c r="FE12"/>
  <c r="FE13"/>
  <c r="FE14"/>
  <c r="FE15"/>
  <c r="FE6"/>
  <c r="FB7"/>
  <c r="FB8"/>
  <c r="FB9"/>
  <c r="FB10"/>
  <c r="FB11"/>
  <c r="FB12"/>
  <c r="FB13"/>
  <c r="FB14"/>
  <c r="FB15"/>
  <c r="FB6"/>
  <c r="EY7"/>
  <c r="EY8"/>
  <c r="EY16" s="1"/>
  <c r="EY9"/>
  <c r="EY10"/>
  <c r="EY11"/>
  <c r="EY12"/>
  <c r="EY13"/>
  <c r="EY14"/>
  <c r="EY15"/>
  <c r="EY6"/>
  <c r="EV7"/>
  <c r="EV8"/>
  <c r="EV16" s="1"/>
  <c r="EV9"/>
  <c r="EV10"/>
  <c r="EV11"/>
  <c r="EV12"/>
  <c r="EV13"/>
  <c r="EV14"/>
  <c r="EV15"/>
  <c r="EV6"/>
  <c r="IQ16"/>
  <c r="IN16"/>
  <c r="IK16"/>
  <c r="IH16"/>
  <c r="IE16"/>
  <c r="IB16"/>
  <c r="HY16"/>
  <c r="HV16"/>
  <c r="HS16"/>
  <c r="HP16"/>
  <c r="HM16"/>
  <c r="HJ16"/>
  <c r="HG16"/>
  <c r="HD16"/>
  <c r="HA16"/>
  <c r="GX16"/>
  <c r="GU16"/>
  <c r="GR16"/>
  <c r="GO16"/>
  <c r="GL16"/>
  <c r="GI16"/>
  <c r="GF16"/>
  <c r="GC16"/>
  <c r="FZ16"/>
  <c r="FW16"/>
  <c r="FT16"/>
  <c r="FQ16"/>
  <c r="FN16"/>
  <c r="FK16"/>
  <c r="FH16"/>
  <c r="FE16"/>
  <c r="FB16"/>
  <c r="IQ7" i="1"/>
  <c r="IQ8"/>
  <c r="IQ9"/>
  <c r="IQ10"/>
  <c r="IQ11"/>
  <c r="IQ12"/>
  <c r="IQ13"/>
  <c r="IQ14"/>
  <c r="IQ15"/>
  <c r="IQ16"/>
  <c r="IQ17"/>
  <c r="IQ6"/>
  <c r="IN7"/>
  <c r="IN8"/>
  <c r="IN9"/>
  <c r="IN10"/>
  <c r="IN11"/>
  <c r="IN12"/>
  <c r="IN13"/>
  <c r="IN14"/>
  <c r="IN15"/>
  <c r="IN16"/>
  <c r="IN17"/>
  <c r="IN6"/>
  <c r="IK7"/>
  <c r="IK8"/>
  <c r="IK9"/>
  <c r="IK10"/>
  <c r="IK11"/>
  <c r="IK12"/>
  <c r="IK13"/>
  <c r="IK14"/>
  <c r="IK15"/>
  <c r="IK16"/>
  <c r="IK17"/>
  <c r="IK6"/>
  <c r="IH7"/>
  <c r="IH8"/>
  <c r="IH9"/>
  <c r="IH10"/>
  <c r="IH11"/>
  <c r="IH12"/>
  <c r="IH13"/>
  <c r="IH14"/>
  <c r="IH15"/>
  <c r="IH16"/>
  <c r="IH17"/>
  <c r="IH6"/>
  <c r="IE7"/>
  <c r="IE8"/>
  <c r="IE9"/>
  <c r="IE10"/>
  <c r="IE11"/>
  <c r="IE12"/>
  <c r="IE13"/>
  <c r="IE14"/>
  <c r="IE15"/>
  <c r="IE16"/>
  <c r="IE17"/>
  <c r="IE6"/>
  <c r="IB7"/>
  <c r="IB8"/>
  <c r="IB9"/>
  <c r="IB10"/>
  <c r="IB11"/>
  <c r="IB12"/>
  <c r="IB13"/>
  <c r="IB14"/>
  <c r="IB15"/>
  <c r="IB16"/>
  <c r="IB17"/>
  <c r="IB6"/>
  <c r="HY7"/>
  <c r="HY8"/>
  <c r="HY9"/>
  <c r="HY10"/>
  <c r="HY11"/>
  <c r="HY12"/>
  <c r="HY13"/>
  <c r="HY14"/>
  <c r="HY15"/>
  <c r="HY16"/>
  <c r="HY17"/>
  <c r="HY6"/>
  <c r="HV7"/>
  <c r="HV8"/>
  <c r="HV9"/>
  <c r="HV10"/>
  <c r="HV11"/>
  <c r="HV12"/>
  <c r="HV13"/>
  <c r="HV14"/>
  <c r="HV15"/>
  <c r="HV16"/>
  <c r="HV17"/>
  <c r="HV6"/>
  <c r="HS7"/>
  <c r="HS8"/>
  <c r="HS9"/>
  <c r="HS10"/>
  <c r="HS11"/>
  <c r="HS12"/>
  <c r="HS13"/>
  <c r="HS14"/>
  <c r="HS15"/>
  <c r="HS16"/>
  <c r="HS17"/>
  <c r="HS6"/>
  <c r="HP7"/>
  <c r="HP8"/>
  <c r="HP9"/>
  <c r="HP10"/>
  <c r="HP11"/>
  <c r="HP12"/>
  <c r="HP13"/>
  <c r="HP14"/>
  <c r="HP15"/>
  <c r="HP16"/>
  <c r="HP17"/>
  <c r="HP6"/>
  <c r="HM7"/>
  <c r="HM8"/>
  <c r="HM9"/>
  <c r="HM10"/>
  <c r="HM11"/>
  <c r="HM12"/>
  <c r="HM13"/>
  <c r="HM14"/>
  <c r="HM15"/>
  <c r="HM16"/>
  <c r="HM17"/>
  <c r="HM6"/>
  <c r="HJ7"/>
  <c r="HJ8"/>
  <c r="HJ9"/>
  <c r="HJ10"/>
  <c r="HJ11"/>
  <c r="HJ12"/>
  <c r="HJ13"/>
  <c r="HJ14"/>
  <c r="HJ15"/>
  <c r="HJ16"/>
  <c r="HJ17"/>
  <c r="HJ6"/>
  <c r="HG7"/>
  <c r="HG8"/>
  <c r="HG9"/>
  <c r="HG10"/>
  <c r="HG11"/>
  <c r="HG12"/>
  <c r="HG13"/>
  <c r="HG14"/>
  <c r="HG15"/>
  <c r="HG16"/>
  <c r="HG17"/>
  <c r="HG6"/>
  <c r="HD7"/>
  <c r="HD8"/>
  <c r="HD9"/>
  <c r="HD10"/>
  <c r="HD11"/>
  <c r="HD12"/>
  <c r="HD13"/>
  <c r="HD14"/>
  <c r="HD15"/>
  <c r="HD16"/>
  <c r="HD17"/>
  <c r="HD6"/>
  <c r="HA7"/>
  <c r="HA8"/>
  <c r="HA9"/>
  <c r="HA10"/>
  <c r="HA11"/>
  <c r="HA12"/>
  <c r="HA13"/>
  <c r="HA14"/>
  <c r="HA15"/>
  <c r="HA16"/>
  <c r="HA17"/>
  <c r="HA6"/>
  <c r="GX7"/>
  <c r="GX8"/>
  <c r="GX9"/>
  <c r="GX10"/>
  <c r="GX11"/>
  <c r="GX12"/>
  <c r="GX13"/>
  <c r="GX14"/>
  <c r="GX15"/>
  <c r="GX16"/>
  <c r="GX17"/>
  <c r="GX6"/>
  <c r="GU7"/>
  <c r="GU8"/>
  <c r="GU9"/>
  <c r="GU10"/>
  <c r="GU11"/>
  <c r="GU12"/>
  <c r="GU13"/>
  <c r="GU14"/>
  <c r="GU15"/>
  <c r="GU16"/>
  <c r="GU17"/>
  <c r="GU6"/>
  <c r="GR7"/>
  <c r="GR8"/>
  <c r="GR9"/>
  <c r="GR10"/>
  <c r="GR11"/>
  <c r="GR12"/>
  <c r="GR13"/>
  <c r="GR14"/>
  <c r="GR15"/>
  <c r="GR16"/>
  <c r="GR17"/>
  <c r="GR6"/>
  <c r="GO7"/>
  <c r="GO8"/>
  <c r="GO9"/>
  <c r="GO10"/>
  <c r="GO11"/>
  <c r="GO12"/>
  <c r="GO13"/>
  <c r="GO14"/>
  <c r="GO15"/>
  <c r="GO16"/>
  <c r="GO17"/>
  <c r="GO6"/>
  <c r="GL7"/>
  <c r="GL8"/>
  <c r="GL9"/>
  <c r="GL10"/>
  <c r="GL11"/>
  <c r="GL12"/>
  <c r="GL13"/>
  <c r="GL14"/>
  <c r="GL15"/>
  <c r="GL16"/>
  <c r="GL17"/>
  <c r="GL6"/>
  <c r="GI7"/>
  <c r="GI8"/>
  <c r="GI9"/>
  <c r="GI10"/>
  <c r="GI11"/>
  <c r="GI12"/>
  <c r="GI13"/>
  <c r="GI14"/>
  <c r="GI15"/>
  <c r="GI16"/>
  <c r="GI17"/>
  <c r="GI6"/>
  <c r="GF7"/>
  <c r="GF8"/>
  <c r="GF9"/>
  <c r="GF10"/>
  <c r="GF11"/>
  <c r="GF12"/>
  <c r="GF13"/>
  <c r="GF14"/>
  <c r="GF15"/>
  <c r="GF16"/>
  <c r="GF17"/>
  <c r="GF6"/>
  <c r="GC7"/>
  <c r="GC8"/>
  <c r="GC9"/>
  <c r="GC10"/>
  <c r="GC11"/>
  <c r="GC12"/>
  <c r="GC13"/>
  <c r="GC14"/>
  <c r="GC15"/>
  <c r="GC16"/>
  <c r="GC17"/>
  <c r="GC6"/>
  <c r="FZ7"/>
  <c r="FZ8"/>
  <c r="FZ9"/>
  <c r="FZ10"/>
  <c r="FZ11"/>
  <c r="FZ12"/>
  <c r="FZ13"/>
  <c r="FZ14"/>
  <c r="FZ15"/>
  <c r="FZ16"/>
  <c r="FZ17"/>
  <c r="FZ6"/>
  <c r="FW7"/>
  <c r="FW8"/>
  <c r="FW9"/>
  <c r="FW10"/>
  <c r="FW11"/>
  <c r="FW12"/>
  <c r="FW13"/>
  <c r="FW14"/>
  <c r="FW15"/>
  <c r="FW16"/>
  <c r="FW17"/>
  <c r="FW6"/>
  <c r="FT7"/>
  <c r="FT8"/>
  <c r="FT9"/>
  <c r="FT10"/>
  <c r="FT11"/>
  <c r="FT12"/>
  <c r="FT13"/>
  <c r="FT14"/>
  <c r="FT15"/>
  <c r="FT16"/>
  <c r="FT17"/>
  <c r="FT6"/>
  <c r="FQ7"/>
  <c r="FQ8"/>
  <c r="FQ9"/>
  <c r="FQ10"/>
  <c r="FQ11"/>
  <c r="FQ12"/>
  <c r="FQ13"/>
  <c r="FQ14"/>
  <c r="FQ15"/>
  <c r="FQ16"/>
  <c r="FQ17"/>
  <c r="FQ6"/>
  <c r="FN7"/>
  <c r="FN8"/>
  <c r="FN9"/>
  <c r="FN10"/>
  <c r="FN11"/>
  <c r="FN12"/>
  <c r="FN13"/>
  <c r="FN14"/>
  <c r="FN15"/>
  <c r="FN16"/>
  <c r="FN17"/>
  <c r="FN6"/>
  <c r="FK7"/>
  <c r="FK8"/>
  <c r="FK9"/>
  <c r="FK10"/>
  <c r="FK11"/>
  <c r="FK12"/>
  <c r="FK13"/>
  <c r="FK14"/>
  <c r="FK15"/>
  <c r="FK16"/>
  <c r="FK17"/>
  <c r="FK6"/>
  <c r="FH7"/>
  <c r="FH8"/>
  <c r="FH9"/>
  <c r="FH10"/>
  <c r="FH11"/>
  <c r="FH12"/>
  <c r="FH13"/>
  <c r="FH14"/>
  <c r="FH15"/>
  <c r="FH16"/>
  <c r="FH17"/>
  <c r="FH6"/>
  <c r="FE7"/>
  <c r="FE8"/>
  <c r="FE9"/>
  <c r="FE10"/>
  <c r="FE11"/>
  <c r="FE12"/>
  <c r="FE13"/>
  <c r="FE14"/>
  <c r="FE15"/>
  <c r="FE16"/>
  <c r="FE17"/>
  <c r="FE6"/>
  <c r="FB7"/>
  <c r="FB8"/>
  <c r="FB9"/>
  <c r="FB10"/>
  <c r="FB11"/>
  <c r="FB12"/>
  <c r="FB13"/>
  <c r="FB14"/>
  <c r="FB15"/>
  <c r="FB16"/>
  <c r="FB17"/>
  <c r="FB6"/>
  <c r="EY7"/>
  <c r="EY8"/>
  <c r="EY9"/>
  <c r="EY10"/>
  <c r="EY11"/>
  <c r="EY12"/>
  <c r="EY13"/>
  <c r="EY14"/>
  <c r="EY15"/>
  <c r="EY16"/>
  <c r="EY17"/>
  <c r="EY6"/>
  <c r="EV7"/>
  <c r="EV8"/>
  <c r="EV9"/>
  <c r="EV10"/>
  <c r="EV11"/>
  <c r="EV12"/>
  <c r="EV13"/>
  <c r="EV14"/>
  <c r="EV15"/>
  <c r="EV16"/>
  <c r="EV17"/>
  <c r="EV6"/>
  <c r="DQ14" i="7"/>
  <c r="DN14"/>
  <c r="DK14"/>
  <c r="DH14"/>
  <c r="DE14"/>
  <c r="DB14"/>
  <c r="CY14"/>
  <c r="CV14"/>
  <c r="CS14"/>
  <c r="CP14"/>
  <c r="CM14"/>
  <c r="CJ14"/>
  <c r="CG14"/>
  <c r="CD14"/>
  <c r="CA14"/>
  <c r="BX14"/>
  <c r="BU14"/>
  <c r="BR14"/>
  <c r="BO14"/>
  <c r="BL14"/>
  <c r="BI14"/>
  <c r="BF14"/>
  <c r="BC14"/>
  <c r="AZ14"/>
  <c r="AW14"/>
  <c r="AT14"/>
  <c r="AQ14"/>
  <c r="AN14"/>
  <c r="AK14"/>
  <c r="AH14"/>
  <c r="AE14"/>
  <c r="AB14"/>
  <c r="Y14"/>
  <c r="V14"/>
  <c r="S14"/>
  <c r="P14"/>
  <c r="M14"/>
  <c r="J14"/>
  <c r="G14"/>
  <c r="D14"/>
  <c r="DQ13"/>
  <c r="DN13"/>
  <c r="DK13"/>
  <c r="DH13"/>
  <c r="DE13"/>
  <c r="DB13"/>
  <c r="CY13"/>
  <c r="CV13"/>
  <c r="CS13"/>
  <c r="CP13"/>
  <c r="CM13"/>
  <c r="CJ13"/>
  <c r="CG13"/>
  <c r="CD13"/>
  <c r="CA13"/>
  <c r="BX13"/>
  <c r="BU13"/>
  <c r="BR13"/>
  <c r="BO13"/>
  <c r="BL13"/>
  <c r="BI13"/>
  <c r="BF13"/>
  <c r="BC13"/>
  <c r="AZ13"/>
  <c r="AW13"/>
  <c r="AT13"/>
  <c r="AQ13"/>
  <c r="AN13"/>
  <c r="AK13"/>
  <c r="AH13"/>
  <c r="AE13"/>
  <c r="AB13"/>
  <c r="Y13"/>
  <c r="V13"/>
  <c r="S13"/>
  <c r="P13"/>
  <c r="M13"/>
  <c r="J13"/>
  <c r="G13"/>
  <c r="D13"/>
  <c r="DQ12"/>
  <c r="DN12"/>
  <c r="DK12"/>
  <c r="DH12"/>
  <c r="DE12"/>
  <c r="DB12"/>
  <c r="CY12"/>
  <c r="CV12"/>
  <c r="CS12"/>
  <c r="CP12"/>
  <c r="CM12"/>
  <c r="CJ12"/>
  <c r="CG12"/>
  <c r="CD12"/>
  <c r="CA12"/>
  <c r="BX12"/>
  <c r="BU12"/>
  <c r="BR12"/>
  <c r="BO12"/>
  <c r="BL12"/>
  <c r="BI12"/>
  <c r="BF12"/>
  <c r="BC12"/>
  <c r="AZ12"/>
  <c r="AW12"/>
  <c r="AT12"/>
  <c r="AQ12"/>
  <c r="AN12"/>
  <c r="AK12"/>
  <c r="AH12"/>
  <c r="AE12"/>
  <c r="AB12"/>
  <c r="Y12"/>
  <c r="V12"/>
  <c r="S12"/>
  <c r="P12"/>
  <c r="M12"/>
  <c r="J12"/>
  <c r="G12"/>
  <c r="D12"/>
  <c r="DQ11"/>
  <c r="DN11"/>
  <c r="DK11"/>
  <c r="DH11"/>
  <c r="DE11"/>
  <c r="DB11"/>
  <c r="CY11"/>
  <c r="CV11"/>
  <c r="CS11"/>
  <c r="CP11"/>
  <c r="CM11"/>
  <c r="CJ11"/>
  <c r="CG11"/>
  <c r="CD11"/>
  <c r="CA11"/>
  <c r="BX11"/>
  <c r="BU11"/>
  <c r="BR11"/>
  <c r="BO11"/>
  <c r="BL11"/>
  <c r="BI11"/>
  <c r="BF11"/>
  <c r="BC11"/>
  <c r="AZ11"/>
  <c r="AW11"/>
  <c r="AT11"/>
  <c r="AQ11"/>
  <c r="AN11"/>
  <c r="AK11"/>
  <c r="AH11"/>
  <c r="AE11"/>
  <c r="AB11"/>
  <c r="Y11"/>
  <c r="V11"/>
  <c r="S11"/>
  <c r="P11"/>
  <c r="M11"/>
  <c r="J11"/>
  <c r="G11"/>
  <c r="D11"/>
  <c r="DQ10"/>
  <c r="DN10"/>
  <c r="DK10"/>
  <c r="DH10"/>
  <c r="DE10"/>
  <c r="DB10"/>
  <c r="CY10"/>
  <c r="CV10"/>
  <c r="CS10"/>
  <c r="CP10"/>
  <c r="CM10"/>
  <c r="CJ10"/>
  <c r="CG10"/>
  <c r="CD10"/>
  <c r="CA10"/>
  <c r="BX10"/>
  <c r="BU10"/>
  <c r="BR10"/>
  <c r="BO10"/>
  <c r="BL10"/>
  <c r="BI10"/>
  <c r="BF10"/>
  <c r="BC10"/>
  <c r="AZ10"/>
  <c r="AW10"/>
  <c r="AT10"/>
  <c r="AQ10"/>
  <c r="AN10"/>
  <c r="AK10"/>
  <c r="AH10"/>
  <c r="AE10"/>
  <c r="AB10"/>
  <c r="Y10"/>
  <c r="V10"/>
  <c r="S10"/>
  <c r="P10"/>
  <c r="M10"/>
  <c r="J10"/>
  <c r="G10"/>
  <c r="D10"/>
  <c r="DQ9"/>
  <c r="DN9"/>
  <c r="DK9"/>
  <c r="DH9"/>
  <c r="DE9"/>
  <c r="DB9"/>
  <c r="CY9"/>
  <c r="CV9"/>
  <c r="CS9"/>
  <c r="CP9"/>
  <c r="CM9"/>
  <c r="CJ9"/>
  <c r="CG9"/>
  <c r="CD9"/>
  <c r="CA9"/>
  <c r="BX9"/>
  <c r="BU9"/>
  <c r="BR9"/>
  <c r="BO9"/>
  <c r="BL9"/>
  <c r="BI9"/>
  <c r="BF9"/>
  <c r="BC9"/>
  <c r="AZ9"/>
  <c r="AW9"/>
  <c r="AT9"/>
  <c r="AQ9"/>
  <c r="AN9"/>
  <c r="AK9"/>
  <c r="AH9"/>
  <c r="AE9"/>
  <c r="AB9"/>
  <c r="Y9"/>
  <c r="V9"/>
  <c r="S9"/>
  <c r="P9"/>
  <c r="M9"/>
  <c r="J9"/>
  <c r="G9"/>
  <c r="D9"/>
  <c r="DQ8"/>
  <c r="DN8"/>
  <c r="DK8"/>
  <c r="DH8"/>
  <c r="DE8"/>
  <c r="DB8"/>
  <c r="CY8"/>
  <c r="CV8"/>
  <c r="CS8"/>
  <c r="CP8"/>
  <c r="CM8"/>
  <c r="CJ8"/>
  <c r="CG8"/>
  <c r="CD8"/>
  <c r="CA8"/>
  <c r="BX8"/>
  <c r="BU8"/>
  <c r="BR8"/>
  <c r="BO8"/>
  <c r="BL8"/>
  <c r="BI8"/>
  <c r="BF8"/>
  <c r="BC8"/>
  <c r="AZ8"/>
  <c r="AW8"/>
  <c r="AT8"/>
  <c r="AQ8"/>
  <c r="AN8"/>
  <c r="AK8"/>
  <c r="AH8"/>
  <c r="AE8"/>
  <c r="AB8"/>
  <c r="Y8"/>
  <c r="V8"/>
  <c r="S8"/>
  <c r="P8"/>
  <c r="M8"/>
  <c r="J8"/>
  <c r="G8"/>
  <c r="D8"/>
  <c r="DQ7"/>
  <c r="DN7"/>
  <c r="DK7"/>
  <c r="DH7"/>
  <c r="DE7"/>
  <c r="DB7"/>
  <c r="CY7"/>
  <c r="CV7"/>
  <c r="CS7"/>
  <c r="CP7"/>
  <c r="CM7"/>
  <c r="CJ7"/>
  <c r="CG7"/>
  <c r="CD7"/>
  <c r="CA7"/>
  <c r="BX7"/>
  <c r="BU7"/>
  <c r="BR7"/>
  <c r="BO7"/>
  <c r="BL7"/>
  <c r="BI7"/>
  <c r="BF7"/>
  <c r="BC7"/>
  <c r="AZ7"/>
  <c r="AW7"/>
  <c r="AT7"/>
  <c r="AQ7"/>
  <c r="AN7"/>
  <c r="AK7"/>
  <c r="AH7"/>
  <c r="AE7"/>
  <c r="AB7"/>
  <c r="Y7"/>
  <c r="V7"/>
  <c r="S7"/>
  <c r="P7"/>
  <c r="M7"/>
  <c r="J7"/>
  <c r="G7"/>
  <c r="D7"/>
  <c r="DQ6"/>
  <c r="DN6"/>
  <c r="DK6"/>
  <c r="DH6"/>
  <c r="DE6"/>
  <c r="DB6"/>
  <c r="CY6"/>
  <c r="CV6"/>
  <c r="CS6"/>
  <c r="CP6"/>
  <c r="CM6"/>
  <c r="CJ6"/>
  <c r="CG6"/>
  <c r="CD6"/>
  <c r="CA6"/>
  <c r="BX6"/>
  <c r="BU6"/>
  <c r="BR6"/>
  <c r="BO6"/>
  <c r="BL6"/>
  <c r="BI6"/>
  <c r="BF6"/>
  <c r="BC6"/>
  <c r="AZ6"/>
  <c r="AW6"/>
  <c r="AT6"/>
  <c r="AQ6"/>
  <c r="AN6"/>
  <c r="AK6"/>
  <c r="AH6"/>
  <c r="AE6"/>
  <c r="AB6"/>
  <c r="Y6"/>
  <c r="V6"/>
  <c r="S6"/>
  <c r="P6"/>
  <c r="M6"/>
  <c r="J6"/>
  <c r="G6"/>
  <c r="D6"/>
  <c r="AE12" i="5"/>
  <c r="EO15"/>
  <c r="EL15"/>
  <c r="EI15"/>
  <c r="EF15"/>
  <c r="EC15"/>
  <c r="DZ15"/>
  <c r="DW15"/>
  <c r="DT15"/>
  <c r="DQ15"/>
  <c r="DN15"/>
  <c r="DK15"/>
  <c r="DH15"/>
  <c r="DE15"/>
  <c r="DB15"/>
  <c r="CY15"/>
  <c r="CV15"/>
  <c r="CS15"/>
  <c r="CP15"/>
  <c r="CM15"/>
  <c r="CJ15"/>
  <c r="CG15"/>
  <c r="CD15"/>
  <c r="CA15"/>
  <c r="BX15"/>
  <c r="BU15"/>
  <c r="BR15"/>
  <c r="BO15"/>
  <c r="BL15"/>
  <c r="BI15"/>
  <c r="BF15"/>
  <c r="BC15"/>
  <c r="AZ15"/>
  <c r="AW15"/>
  <c r="AT15"/>
  <c r="AQ15"/>
  <c r="AN15"/>
  <c r="AK15"/>
  <c r="AH15"/>
  <c r="AE15"/>
  <c r="AB15"/>
  <c r="Y15"/>
  <c r="V15"/>
  <c r="S15"/>
  <c r="P15"/>
  <c r="M15"/>
  <c r="J15"/>
  <c r="G15"/>
  <c r="D15"/>
  <c r="EO14"/>
  <c r="EL14"/>
  <c r="EI14"/>
  <c r="EF14"/>
  <c r="EC14"/>
  <c r="DZ14"/>
  <c r="DW14"/>
  <c r="DT14"/>
  <c r="DQ14"/>
  <c r="DN14"/>
  <c r="DK14"/>
  <c r="DH14"/>
  <c r="DE14"/>
  <c r="DB14"/>
  <c r="CY14"/>
  <c r="CV14"/>
  <c r="CS14"/>
  <c r="CP14"/>
  <c r="CM14"/>
  <c r="CJ14"/>
  <c r="CG14"/>
  <c r="CD14"/>
  <c r="CA14"/>
  <c r="BX14"/>
  <c r="BU14"/>
  <c r="BR14"/>
  <c r="BO14"/>
  <c r="BL14"/>
  <c r="BI14"/>
  <c r="BF14"/>
  <c r="BC14"/>
  <c r="AZ14"/>
  <c r="AW14"/>
  <c r="AT14"/>
  <c r="AQ14"/>
  <c r="AN14"/>
  <c r="AK14"/>
  <c r="AH14"/>
  <c r="AE14"/>
  <c r="AB14"/>
  <c r="Y14"/>
  <c r="V14"/>
  <c r="S14"/>
  <c r="P14"/>
  <c r="M14"/>
  <c r="J14"/>
  <c r="G14"/>
  <c r="D14"/>
  <c r="EO13"/>
  <c r="EL13"/>
  <c r="EI13"/>
  <c r="EF13"/>
  <c r="EC13"/>
  <c r="DZ13"/>
  <c r="DW13"/>
  <c r="DT13"/>
  <c r="DQ13"/>
  <c r="DN13"/>
  <c r="DK13"/>
  <c r="DH13"/>
  <c r="DE13"/>
  <c r="DB13"/>
  <c r="CY13"/>
  <c r="CV13"/>
  <c r="CS13"/>
  <c r="CP13"/>
  <c r="CM13"/>
  <c r="CJ13"/>
  <c r="CG13"/>
  <c r="CD13"/>
  <c r="CA13"/>
  <c r="BX13"/>
  <c r="BU13"/>
  <c r="BR13"/>
  <c r="BO13"/>
  <c r="BL13"/>
  <c r="BI13"/>
  <c r="BF13"/>
  <c r="BC13"/>
  <c r="AZ13"/>
  <c r="AW13"/>
  <c r="AT13"/>
  <c r="AQ13"/>
  <c r="AN13"/>
  <c r="AK13"/>
  <c r="AH13"/>
  <c r="AE13"/>
  <c r="AB13"/>
  <c r="Y13"/>
  <c r="V13"/>
  <c r="S13"/>
  <c r="P13"/>
  <c r="M13"/>
  <c r="J13"/>
  <c r="G13"/>
  <c r="D13"/>
  <c r="EO12"/>
  <c r="EL12"/>
  <c r="EI12"/>
  <c r="EF12"/>
  <c r="EC12"/>
  <c r="DZ12"/>
  <c r="DW12"/>
  <c r="DT12"/>
  <c r="DQ12"/>
  <c r="DN12"/>
  <c r="DK12"/>
  <c r="DH12"/>
  <c r="DE12"/>
  <c r="DB12"/>
  <c r="CY12"/>
  <c r="CV12"/>
  <c r="CS12"/>
  <c r="CP12"/>
  <c r="CM12"/>
  <c r="CJ12"/>
  <c r="CG12"/>
  <c r="CD12"/>
  <c r="CA12"/>
  <c r="BX12"/>
  <c r="BU12"/>
  <c r="BR12"/>
  <c r="BO12"/>
  <c r="BL12"/>
  <c r="BI12"/>
  <c r="BF12"/>
  <c r="BC12"/>
  <c r="AZ12"/>
  <c r="AW12"/>
  <c r="AT12"/>
  <c r="AQ12"/>
  <c r="AN12"/>
  <c r="AK12"/>
  <c r="AH12"/>
  <c r="AB12"/>
  <c r="Y12"/>
  <c r="V12"/>
  <c r="S12"/>
  <c r="P12"/>
  <c r="M12"/>
  <c r="J12"/>
  <c r="G12"/>
  <c r="D12"/>
  <c r="EO11"/>
  <c r="EL11"/>
  <c r="EI11"/>
  <c r="EF11"/>
  <c r="EC11"/>
  <c r="DZ11"/>
  <c r="DW11"/>
  <c r="DT11"/>
  <c r="DQ11"/>
  <c r="DN11"/>
  <c r="DK11"/>
  <c r="DH11"/>
  <c r="DE11"/>
  <c r="DB11"/>
  <c r="CY11"/>
  <c r="CV11"/>
  <c r="CS11"/>
  <c r="CP11"/>
  <c r="CM11"/>
  <c r="CJ11"/>
  <c r="CG11"/>
  <c r="CD11"/>
  <c r="CA11"/>
  <c r="BX11"/>
  <c r="BU11"/>
  <c r="BR11"/>
  <c r="BO11"/>
  <c r="BL11"/>
  <c r="BI11"/>
  <c r="BF11"/>
  <c r="BC11"/>
  <c r="AZ11"/>
  <c r="AW11"/>
  <c r="AT11"/>
  <c r="AQ11"/>
  <c r="AN11"/>
  <c r="AK11"/>
  <c r="AH11"/>
  <c r="AE11"/>
  <c r="AB11"/>
  <c r="Y11"/>
  <c r="V11"/>
  <c r="S11"/>
  <c r="P11"/>
  <c r="M11"/>
  <c r="J11"/>
  <c r="G11"/>
  <c r="D11"/>
  <c r="EO10"/>
  <c r="EL10"/>
  <c r="EI10"/>
  <c r="EF10"/>
  <c r="EC10"/>
  <c r="DZ10"/>
  <c r="DW10"/>
  <c r="DT10"/>
  <c r="DQ10"/>
  <c r="DN10"/>
  <c r="DK10"/>
  <c r="DH10"/>
  <c r="DE10"/>
  <c r="DB10"/>
  <c r="CY10"/>
  <c r="CV10"/>
  <c r="CS10"/>
  <c r="CP10"/>
  <c r="CM10"/>
  <c r="CJ10"/>
  <c r="CG10"/>
  <c r="CD10"/>
  <c r="CA10"/>
  <c r="BX10"/>
  <c r="BU10"/>
  <c r="BR10"/>
  <c r="BO10"/>
  <c r="BL10"/>
  <c r="BI10"/>
  <c r="BF10"/>
  <c r="BC10"/>
  <c r="AZ10"/>
  <c r="AW10"/>
  <c r="AT10"/>
  <c r="AQ10"/>
  <c r="AN10"/>
  <c r="AK10"/>
  <c r="AH10"/>
  <c r="AE10"/>
  <c r="AB10"/>
  <c r="Y10"/>
  <c r="V10"/>
  <c r="S10"/>
  <c r="P10"/>
  <c r="M10"/>
  <c r="J10"/>
  <c r="G10"/>
  <c r="D10"/>
  <c r="EO9"/>
  <c r="EL9"/>
  <c r="EI9"/>
  <c r="EF9"/>
  <c r="EC9"/>
  <c r="DZ9"/>
  <c r="DW9"/>
  <c r="DT9"/>
  <c r="DQ9"/>
  <c r="DN9"/>
  <c r="DK9"/>
  <c r="DH9"/>
  <c r="DE9"/>
  <c r="DB9"/>
  <c r="CY9"/>
  <c r="CV9"/>
  <c r="CS9"/>
  <c r="CP9"/>
  <c r="CM9"/>
  <c r="CJ9"/>
  <c r="CG9"/>
  <c r="CD9"/>
  <c r="CA9"/>
  <c r="BX9"/>
  <c r="BU9"/>
  <c r="BR9"/>
  <c r="BO9"/>
  <c r="BL9"/>
  <c r="BI9"/>
  <c r="BF9"/>
  <c r="BC9"/>
  <c r="AZ9"/>
  <c r="AW9"/>
  <c r="AT9"/>
  <c r="AQ9"/>
  <c r="AN9"/>
  <c r="AK9"/>
  <c r="AH9"/>
  <c r="AE9"/>
  <c r="AB9"/>
  <c r="Y9"/>
  <c r="V9"/>
  <c r="S9"/>
  <c r="P9"/>
  <c r="M9"/>
  <c r="J9"/>
  <c r="G9"/>
  <c r="D9"/>
  <c r="EO8"/>
  <c r="EL8"/>
  <c r="EI8"/>
  <c r="EF8"/>
  <c r="EC8"/>
  <c r="DZ8"/>
  <c r="DW8"/>
  <c r="DT8"/>
  <c r="DQ8"/>
  <c r="DN8"/>
  <c r="DK8"/>
  <c r="DH8"/>
  <c r="DE8"/>
  <c r="DB8"/>
  <c r="CY8"/>
  <c r="CV8"/>
  <c r="CS8"/>
  <c r="CP8"/>
  <c r="CM8"/>
  <c r="CJ8"/>
  <c r="CG8"/>
  <c r="CD8"/>
  <c r="CA8"/>
  <c r="BX8"/>
  <c r="BU8"/>
  <c r="BR8"/>
  <c r="BO8"/>
  <c r="BL8"/>
  <c r="BI8"/>
  <c r="BF8"/>
  <c r="BC8"/>
  <c r="AZ8"/>
  <c r="AW8"/>
  <c r="AT8"/>
  <c r="AQ8"/>
  <c r="AN8"/>
  <c r="AK8"/>
  <c r="AH8"/>
  <c r="AE8"/>
  <c r="AB8"/>
  <c r="Y8"/>
  <c r="V8"/>
  <c r="S8"/>
  <c r="P8"/>
  <c r="M8"/>
  <c r="J8"/>
  <c r="G8"/>
  <c r="D8"/>
  <c r="EO7"/>
  <c r="EL7"/>
  <c r="EI7"/>
  <c r="EF7"/>
  <c r="EC7"/>
  <c r="DZ7"/>
  <c r="DW7"/>
  <c r="DT7"/>
  <c r="DQ7"/>
  <c r="DN7"/>
  <c r="DK7"/>
  <c r="DH7"/>
  <c r="DE7"/>
  <c r="DB7"/>
  <c r="CY7"/>
  <c r="CV7"/>
  <c r="CS7"/>
  <c r="CP7"/>
  <c r="CM7"/>
  <c r="CJ7"/>
  <c r="CG7"/>
  <c r="CD7"/>
  <c r="CA7"/>
  <c r="BX7"/>
  <c r="BU7"/>
  <c r="BR7"/>
  <c r="BO7"/>
  <c r="BL7"/>
  <c r="BI7"/>
  <c r="BF7"/>
  <c r="BC7"/>
  <c r="AZ7"/>
  <c r="AW7"/>
  <c r="AT7"/>
  <c r="AQ7"/>
  <c r="AN7"/>
  <c r="AK7"/>
  <c r="AH7"/>
  <c r="AE7"/>
  <c r="AB7"/>
  <c r="Y7"/>
  <c r="V7"/>
  <c r="S7"/>
  <c r="P7"/>
  <c r="M7"/>
  <c r="J7"/>
  <c r="G7"/>
  <c r="D7"/>
  <c r="EO6"/>
  <c r="EO16" s="1"/>
  <c r="EL6"/>
  <c r="EL16" s="1"/>
  <c r="EI6"/>
  <c r="EI16" s="1"/>
  <c r="EF6"/>
  <c r="EF16" s="1"/>
  <c r="EC6"/>
  <c r="EC16" s="1"/>
  <c r="DZ6"/>
  <c r="DZ16" s="1"/>
  <c r="DW6"/>
  <c r="DW16" s="1"/>
  <c r="DT6"/>
  <c r="DT16" s="1"/>
  <c r="DQ6"/>
  <c r="DQ16" s="1"/>
  <c r="DN6"/>
  <c r="DN16" s="1"/>
  <c r="DK6"/>
  <c r="DK16" s="1"/>
  <c r="DH6"/>
  <c r="DH16" s="1"/>
  <c r="DE6"/>
  <c r="DE16" s="1"/>
  <c r="DB6"/>
  <c r="DB16" s="1"/>
  <c r="CY6"/>
  <c r="CY16" s="1"/>
  <c r="CV6"/>
  <c r="CV16" s="1"/>
  <c r="CS6"/>
  <c r="CS16" s="1"/>
  <c r="CP6"/>
  <c r="CP16" s="1"/>
  <c r="CM6"/>
  <c r="CM16" s="1"/>
  <c r="CJ6"/>
  <c r="CJ16" s="1"/>
  <c r="CG6"/>
  <c r="CG16" s="1"/>
  <c r="CD6"/>
  <c r="CD16" s="1"/>
  <c r="CA6"/>
  <c r="CA16" s="1"/>
  <c r="BX6"/>
  <c r="BX16" s="1"/>
  <c r="BU6"/>
  <c r="BU16" s="1"/>
  <c r="BR6"/>
  <c r="BR16" s="1"/>
  <c r="BO6"/>
  <c r="BO16" s="1"/>
  <c r="BL6"/>
  <c r="BL16" s="1"/>
  <c r="BI6"/>
  <c r="BI16" s="1"/>
  <c r="BF6"/>
  <c r="BF16" s="1"/>
  <c r="BC6"/>
  <c r="BC16" s="1"/>
  <c r="AZ6"/>
  <c r="AZ16" s="1"/>
  <c r="AW6"/>
  <c r="AW16" s="1"/>
  <c r="AT6"/>
  <c r="AT16" s="1"/>
  <c r="AQ6"/>
  <c r="AQ16" s="1"/>
  <c r="AN6"/>
  <c r="AN16" s="1"/>
  <c r="AK6"/>
  <c r="AK16" s="1"/>
  <c r="AH6"/>
  <c r="AH16" s="1"/>
  <c r="AE6"/>
  <c r="AE16" s="1"/>
  <c r="AB6"/>
  <c r="AB16" s="1"/>
  <c r="Y6"/>
  <c r="Y16" s="1"/>
  <c r="V6"/>
  <c r="V16" s="1"/>
  <c r="S6"/>
  <c r="S16" s="1"/>
  <c r="P6"/>
  <c r="P16" s="1"/>
  <c r="M6"/>
  <c r="M16" s="1"/>
  <c r="J6"/>
  <c r="J16" s="1"/>
  <c r="G6"/>
  <c r="G16" s="1"/>
  <c r="D6"/>
  <c r="D16" s="1"/>
  <c r="DK6" i="1"/>
  <c r="DK7"/>
  <c r="DK8"/>
  <c r="DK10"/>
  <c r="DK12"/>
  <c r="DK9"/>
  <c r="DK11"/>
  <c r="DK13"/>
  <c r="DK14"/>
  <c r="DK15"/>
  <c r="DK16"/>
  <c r="DK17"/>
  <c r="DK18"/>
  <c r="DE6"/>
  <c r="DE8"/>
  <c r="DE18" s="1"/>
  <c r="DE10"/>
  <c r="DE12"/>
  <c r="DE7"/>
  <c r="DE9"/>
  <c r="DE11"/>
  <c r="DE13"/>
  <c r="DE14"/>
  <c r="DE15"/>
  <c r="DE16"/>
  <c r="DE17"/>
  <c r="J6"/>
  <c r="J18" s="1"/>
  <c r="J8"/>
  <c r="J10"/>
  <c r="J12"/>
  <c r="J7"/>
  <c r="J9"/>
  <c r="J11"/>
  <c r="J13"/>
  <c r="J17"/>
  <c r="J16"/>
  <c r="J15"/>
  <c r="J14"/>
  <c r="G13"/>
  <c r="G14"/>
  <c r="G15"/>
  <c r="G16"/>
  <c r="G17"/>
  <c r="CA6"/>
  <c r="CA8"/>
  <c r="CA10"/>
  <c r="CA12"/>
  <c r="CA7"/>
  <c r="CA9"/>
  <c r="CA11"/>
  <c r="CA13"/>
  <c r="CA14"/>
  <c r="CA15"/>
  <c r="CA16"/>
  <c r="CA17"/>
  <c r="CA18"/>
  <c r="BU6"/>
  <c r="BU7"/>
  <c r="BU18" s="1"/>
  <c r="BU8"/>
  <c r="BU10"/>
  <c r="BU12"/>
  <c r="BU9"/>
  <c r="BU11"/>
  <c r="BU13"/>
  <c r="BU14"/>
  <c r="BU15"/>
  <c r="BU16"/>
  <c r="BU17"/>
  <c r="EC6"/>
  <c r="EC7"/>
  <c r="EC8"/>
  <c r="EC10"/>
  <c r="EC12"/>
  <c r="EC9"/>
  <c r="EC11"/>
  <c r="EC13"/>
  <c r="EC14"/>
  <c r="EC15"/>
  <c r="EC16"/>
  <c r="EC17"/>
  <c r="EC18"/>
  <c r="P6"/>
  <c r="P8"/>
  <c r="P10"/>
  <c r="P12"/>
  <c r="P7"/>
  <c r="P9"/>
  <c r="P11"/>
  <c r="P18" s="1"/>
  <c r="P13"/>
  <c r="P17"/>
  <c r="P16"/>
  <c r="P15"/>
  <c r="P14"/>
  <c r="M13"/>
  <c r="M14"/>
  <c r="M15"/>
  <c r="M16"/>
  <c r="M17"/>
  <c r="AN6"/>
  <c r="AN8"/>
  <c r="AN18" s="1"/>
  <c r="AN10"/>
  <c r="AN12"/>
  <c r="AN7"/>
  <c r="AN9"/>
  <c r="AN11"/>
  <c r="AN13"/>
  <c r="AN14"/>
  <c r="AN15"/>
  <c r="AN16"/>
  <c r="AN17"/>
  <c r="S13"/>
  <c r="S14"/>
  <c r="S15"/>
  <c r="S16"/>
  <c r="S17"/>
  <c r="V17"/>
  <c r="V6"/>
  <c r="V7"/>
  <c r="V8"/>
  <c r="V9"/>
  <c r="V18" s="1"/>
  <c r="V10"/>
  <c r="V11"/>
  <c r="V12"/>
  <c r="V13"/>
  <c r="V14"/>
  <c r="V15"/>
  <c r="V16"/>
  <c r="Y17"/>
  <c r="Y6"/>
  <c r="Y7"/>
  <c r="Y8"/>
  <c r="Y9"/>
  <c r="Y10"/>
  <c r="Y11"/>
  <c r="Y12"/>
  <c r="Y13"/>
  <c r="Y14"/>
  <c r="Y15"/>
  <c r="Y16"/>
  <c r="Y18"/>
  <c r="AB17"/>
  <c r="AB6"/>
  <c r="AB18" s="1"/>
  <c r="AB7"/>
  <c r="AB8"/>
  <c r="AB9"/>
  <c r="AB10"/>
  <c r="AB11"/>
  <c r="AB12"/>
  <c r="AB13"/>
  <c r="AB14"/>
  <c r="AB15"/>
  <c r="AB16"/>
  <c r="AE17"/>
  <c r="AE6"/>
  <c r="AE7"/>
  <c r="AE8"/>
  <c r="AE9"/>
  <c r="AE10"/>
  <c r="AE11"/>
  <c r="AE12"/>
  <c r="AE13"/>
  <c r="AE14"/>
  <c r="AE15"/>
  <c r="AE16"/>
  <c r="AE18"/>
  <c r="AH17"/>
  <c r="AH6"/>
  <c r="AH18" s="1"/>
  <c r="AH7"/>
  <c r="AH8"/>
  <c r="AH9"/>
  <c r="AH10"/>
  <c r="AH11"/>
  <c r="AH12"/>
  <c r="AH13"/>
  <c r="AH14"/>
  <c r="AH15"/>
  <c r="AH16"/>
  <c r="AK17"/>
  <c r="AK6"/>
  <c r="AK7"/>
  <c r="AK8"/>
  <c r="AK9"/>
  <c r="AK10"/>
  <c r="AK11"/>
  <c r="AK12"/>
  <c r="AK13"/>
  <c r="AK14"/>
  <c r="AK15"/>
  <c r="AK16"/>
  <c r="AK18"/>
  <c r="AQ17"/>
  <c r="AQ6"/>
  <c r="AQ18" s="1"/>
  <c r="AQ7"/>
  <c r="AQ8"/>
  <c r="AQ9"/>
  <c r="AQ10"/>
  <c r="AQ11"/>
  <c r="AQ12"/>
  <c r="AQ13"/>
  <c r="AQ14"/>
  <c r="AQ15"/>
  <c r="AQ16"/>
  <c r="AT17"/>
  <c r="AT6"/>
  <c r="AT7"/>
  <c r="AT8"/>
  <c r="AT9"/>
  <c r="AT10"/>
  <c r="AT11"/>
  <c r="AT12"/>
  <c r="AT13"/>
  <c r="AT14"/>
  <c r="AT15"/>
  <c r="AT16"/>
  <c r="AT18"/>
  <c r="AW17"/>
  <c r="AW6"/>
  <c r="AW18" s="1"/>
  <c r="AW7"/>
  <c r="AW8"/>
  <c r="AW9"/>
  <c r="AW10"/>
  <c r="AW11"/>
  <c r="AW12"/>
  <c r="AW13"/>
  <c r="AW14"/>
  <c r="AW15"/>
  <c r="AW16"/>
  <c r="AZ17"/>
  <c r="AZ6"/>
  <c r="AZ7"/>
  <c r="AZ8"/>
  <c r="AZ9"/>
  <c r="AZ10"/>
  <c r="AZ11"/>
  <c r="AZ12"/>
  <c r="AZ13"/>
  <c r="AZ14"/>
  <c r="AZ15"/>
  <c r="AZ16"/>
  <c r="AZ18"/>
  <c r="BC17"/>
  <c r="BC6"/>
  <c r="BC18" s="1"/>
  <c r="BC7"/>
  <c r="BC8"/>
  <c r="BC9"/>
  <c r="BC10"/>
  <c r="BC11"/>
  <c r="BC12"/>
  <c r="BC13"/>
  <c r="BC14"/>
  <c r="BC15"/>
  <c r="BC16"/>
  <c r="BF17"/>
  <c r="BF6"/>
  <c r="BF7"/>
  <c r="BF8"/>
  <c r="BF9"/>
  <c r="BF10"/>
  <c r="BF11"/>
  <c r="BF12"/>
  <c r="BF13"/>
  <c r="BF14"/>
  <c r="BF15"/>
  <c r="BF16"/>
  <c r="BF18"/>
  <c r="BI17"/>
  <c r="BI6"/>
  <c r="BI18" s="1"/>
  <c r="BI7"/>
  <c r="BI8"/>
  <c r="BI9"/>
  <c r="BI10"/>
  <c r="BI11"/>
  <c r="BI12"/>
  <c r="BI13"/>
  <c r="BI14"/>
  <c r="BI15"/>
  <c r="BI16"/>
  <c r="BL17"/>
  <c r="BL6"/>
  <c r="BL7"/>
  <c r="BL8"/>
  <c r="BL9"/>
  <c r="BL10"/>
  <c r="BL11"/>
  <c r="BL12"/>
  <c r="BL13"/>
  <c r="BL14"/>
  <c r="BL15"/>
  <c r="BL16"/>
  <c r="BL18"/>
  <c r="BO17"/>
  <c r="BO6"/>
  <c r="BO18" s="1"/>
  <c r="BO7"/>
  <c r="BO8"/>
  <c r="BO9"/>
  <c r="BO10"/>
  <c r="BO11"/>
  <c r="BO12"/>
  <c r="BO13"/>
  <c r="BO14"/>
  <c r="BO15"/>
  <c r="BO16"/>
  <c r="BR17"/>
  <c r="BR6"/>
  <c r="BR7"/>
  <c r="BR8"/>
  <c r="BR9"/>
  <c r="BR10"/>
  <c r="BR11"/>
  <c r="BR12"/>
  <c r="BR13"/>
  <c r="BR14"/>
  <c r="BR15"/>
  <c r="BR16"/>
  <c r="BR18"/>
  <c r="BX17"/>
  <c r="BX6"/>
  <c r="BX18" s="1"/>
  <c r="BX7"/>
  <c r="BX8"/>
  <c r="BX9"/>
  <c r="BX10"/>
  <c r="BX11"/>
  <c r="BX12"/>
  <c r="BX13"/>
  <c r="BX14"/>
  <c r="BX15"/>
  <c r="BX16"/>
  <c r="CD17"/>
  <c r="CD6"/>
  <c r="CD7"/>
  <c r="CD8"/>
  <c r="CD9"/>
  <c r="CD10"/>
  <c r="CD11"/>
  <c r="CD12"/>
  <c r="CD13"/>
  <c r="CD14"/>
  <c r="CD15"/>
  <c r="CD16"/>
  <c r="CD18"/>
  <c r="CG17"/>
  <c r="CG6"/>
  <c r="CG18" s="1"/>
  <c r="CG7"/>
  <c r="CG8"/>
  <c r="CG9"/>
  <c r="CG10"/>
  <c r="CG11"/>
  <c r="CG12"/>
  <c r="CG13"/>
  <c r="CG14"/>
  <c r="CG15"/>
  <c r="CG16"/>
  <c r="CJ17"/>
  <c r="CJ6"/>
  <c r="CJ7"/>
  <c r="CJ8"/>
  <c r="CJ9"/>
  <c r="CJ10"/>
  <c r="CJ11"/>
  <c r="CJ12"/>
  <c r="CJ13"/>
  <c r="CJ14"/>
  <c r="CJ15"/>
  <c r="CJ16"/>
  <c r="CJ18"/>
  <c r="CM17"/>
  <c r="CM6"/>
  <c r="CM18" s="1"/>
  <c r="CM7"/>
  <c r="CM8"/>
  <c r="CM9"/>
  <c r="CM10"/>
  <c r="CM11"/>
  <c r="CM12"/>
  <c r="CM13"/>
  <c r="CM14"/>
  <c r="CM15"/>
  <c r="CM16"/>
  <c r="CP17"/>
  <c r="CP6"/>
  <c r="CP7"/>
  <c r="CP8"/>
  <c r="CP9"/>
  <c r="CP10"/>
  <c r="CP11"/>
  <c r="CP12"/>
  <c r="CP13"/>
  <c r="CP14"/>
  <c r="CP15"/>
  <c r="CP16"/>
  <c r="CP18"/>
  <c r="CS17"/>
  <c r="CS6"/>
  <c r="CS18" s="1"/>
  <c r="CS7"/>
  <c r="CS8"/>
  <c r="CS9"/>
  <c r="CS10"/>
  <c r="CS11"/>
  <c r="CS12"/>
  <c r="CS13"/>
  <c r="CS14"/>
  <c r="CS15"/>
  <c r="CS16"/>
  <c r="CV17"/>
  <c r="CV6"/>
  <c r="CV7"/>
  <c r="CV8"/>
  <c r="CV9"/>
  <c r="CV10"/>
  <c r="CV11"/>
  <c r="CV12"/>
  <c r="CV13"/>
  <c r="CV14"/>
  <c r="CV15"/>
  <c r="CV16"/>
  <c r="CV18"/>
  <c r="CY17"/>
  <c r="CY6"/>
  <c r="CY18" s="1"/>
  <c r="CY7"/>
  <c r="CY8"/>
  <c r="CY9"/>
  <c r="CY10"/>
  <c r="CY11"/>
  <c r="CY12"/>
  <c r="CY13"/>
  <c r="CY14"/>
  <c r="CY15"/>
  <c r="CY16"/>
  <c r="DB17"/>
  <c r="DB6"/>
  <c r="DB7"/>
  <c r="DB8"/>
  <c r="DB9"/>
  <c r="DB10"/>
  <c r="DB11"/>
  <c r="DB12"/>
  <c r="DB13"/>
  <c r="DB14"/>
  <c r="DB15"/>
  <c r="DB16"/>
  <c r="DB18"/>
  <c r="DH17"/>
  <c r="DH6"/>
  <c r="DH18" s="1"/>
  <c r="DH7"/>
  <c r="DH8"/>
  <c r="DH9"/>
  <c r="DH10"/>
  <c r="DH11"/>
  <c r="DH12"/>
  <c r="DH13"/>
  <c r="DH14"/>
  <c r="DH15"/>
  <c r="DH16"/>
  <c r="DN17"/>
  <c r="DN6"/>
  <c r="DN7"/>
  <c r="DN8"/>
  <c r="DN9"/>
  <c r="DN10"/>
  <c r="DN11"/>
  <c r="DN12"/>
  <c r="DN13"/>
  <c r="DN14"/>
  <c r="DN15"/>
  <c r="DN16"/>
  <c r="DN18"/>
  <c r="DQ17"/>
  <c r="DQ6"/>
  <c r="DQ18" s="1"/>
  <c r="DQ7"/>
  <c r="DQ8"/>
  <c r="DQ9"/>
  <c r="DQ10"/>
  <c r="DQ11"/>
  <c r="DQ12"/>
  <c r="DQ13"/>
  <c r="DQ14"/>
  <c r="DQ15"/>
  <c r="DQ16"/>
  <c r="DT17"/>
  <c r="DT6"/>
  <c r="DT7"/>
  <c r="DT8"/>
  <c r="DT9"/>
  <c r="DT10"/>
  <c r="DT11"/>
  <c r="DT12"/>
  <c r="DT13"/>
  <c r="DT14"/>
  <c r="DT15"/>
  <c r="DT16"/>
  <c r="DT18"/>
  <c r="DW17"/>
  <c r="DW6"/>
  <c r="DW18" s="1"/>
  <c r="DW7"/>
  <c r="DW8"/>
  <c r="DW9"/>
  <c r="DW10"/>
  <c r="DW11"/>
  <c r="DW12"/>
  <c r="DW13"/>
  <c r="DW14"/>
  <c r="DW15"/>
  <c r="DW16"/>
  <c r="DZ17"/>
  <c r="DZ6"/>
  <c r="DZ7"/>
  <c r="DZ8"/>
  <c r="DZ9"/>
  <c r="DZ10"/>
  <c r="DZ11"/>
  <c r="DZ12"/>
  <c r="DZ13"/>
  <c r="DZ14"/>
  <c r="DZ15"/>
  <c r="DZ16"/>
  <c r="DZ18"/>
  <c r="EF17"/>
  <c r="EF6"/>
  <c r="EF18" s="1"/>
  <c r="EF7"/>
  <c r="EF8"/>
  <c r="EF9"/>
  <c r="EF10"/>
  <c r="EF11"/>
  <c r="EF12"/>
  <c r="EF13"/>
  <c r="EF14"/>
  <c r="EF15"/>
  <c r="EF16"/>
  <c r="EI17"/>
  <c r="EI6"/>
  <c r="EI7"/>
  <c r="EI8"/>
  <c r="EI9"/>
  <c r="EI10"/>
  <c r="EI11"/>
  <c r="EI12"/>
  <c r="EI13"/>
  <c r="EI14"/>
  <c r="EI15"/>
  <c r="EI16"/>
  <c r="EI18"/>
  <c r="EL17"/>
  <c r="EL6"/>
  <c r="EL18" s="1"/>
  <c r="EL7"/>
  <c r="EL8"/>
  <c r="EL9"/>
  <c r="EL10"/>
  <c r="EL11"/>
  <c r="EL12"/>
  <c r="EL13"/>
  <c r="EL14"/>
  <c r="EL15"/>
  <c r="EL16"/>
  <c r="EO17"/>
  <c r="EO6"/>
  <c r="EO7"/>
  <c r="EO8"/>
  <c r="EO9"/>
  <c r="EO10"/>
  <c r="EO11"/>
  <c r="EO12"/>
  <c r="EO13"/>
  <c r="EO14"/>
  <c r="EO15"/>
  <c r="EO16"/>
  <c r="EO18"/>
  <c r="D15"/>
  <c r="D16"/>
  <c r="D17"/>
  <c r="D13"/>
  <c r="D14"/>
  <c r="D6"/>
  <c r="D18" s="1"/>
  <c r="G6"/>
  <c r="M6"/>
  <c r="M18" s="1"/>
  <c r="S6"/>
  <c r="D7"/>
  <c r="G7"/>
  <c r="G18" s="1"/>
  <c r="M7"/>
  <c r="S7"/>
  <c r="S18" s="1"/>
  <c r="D8"/>
  <c r="G8"/>
  <c r="M8"/>
  <c r="S8"/>
  <c r="D9"/>
  <c r="G9"/>
  <c r="M9"/>
  <c r="S9"/>
  <c r="D10"/>
  <c r="G10"/>
  <c r="M10"/>
  <c r="S10"/>
  <c r="D11"/>
  <c r="G11"/>
  <c r="M11"/>
  <c r="S11"/>
  <c r="D12"/>
  <c r="G12"/>
  <c r="M12"/>
  <c r="S12"/>
</calcChain>
</file>

<file path=xl/sharedStrings.xml><?xml version="1.0" encoding="utf-8"?>
<sst xmlns="http://schemas.openxmlformats.org/spreadsheetml/2006/main" count="943" uniqueCount="156">
  <si>
    <t>Conc. To 50 ul in each vial</t>
  </si>
  <si>
    <t>RF</t>
  </si>
  <si>
    <t>Conc.(ng/m3)</t>
  </si>
  <si>
    <t>Area</t>
  </si>
  <si>
    <t>C24 d50 IS</t>
  </si>
  <si>
    <t>Total</t>
  </si>
  <si>
    <t>Sugar</t>
  </si>
  <si>
    <t>21 I35 Elz (9) BSTFA061019</t>
  </si>
  <si>
    <t>levoglucosan</t>
  </si>
  <si>
    <t>m/z</t>
  </si>
  <si>
    <t>galactopyranose</t>
  </si>
  <si>
    <t>mannopyranose</t>
  </si>
  <si>
    <t>a-xylose</t>
  </si>
  <si>
    <t>b-xylose</t>
  </si>
  <si>
    <t>a-mannose</t>
  </si>
  <si>
    <t>a-glucose</t>
  </si>
  <si>
    <t>b-mannose</t>
  </si>
  <si>
    <t>b-glucose</t>
  </si>
  <si>
    <t>sucrose</t>
  </si>
  <si>
    <t>trehalose</t>
  </si>
  <si>
    <t>maltose</t>
  </si>
  <si>
    <t>24 I35 Elz (8) BSTFA 061019</t>
  </si>
  <si>
    <t>25 I35 Qns (8)BSTFA 061023</t>
  </si>
  <si>
    <t>28 I35 Elz (6) BSTFA 061019</t>
  </si>
  <si>
    <t>31 I35 Chs (6) BSTFA 061024</t>
  </si>
  <si>
    <t>32 I35 Elz (7) BSTFA 061024</t>
  </si>
  <si>
    <t>33 I35 Qns (7) BSTFA 061023</t>
  </si>
  <si>
    <t>35 I35 Chs (7) BSTFA 061023</t>
  </si>
  <si>
    <t>36 I35 Elz (7) BSTFA 061023</t>
  </si>
  <si>
    <t>37 I35 Qns (7) BSTFA 061019</t>
  </si>
  <si>
    <t>38 I35 Wpt (6) BSTFA 061024</t>
  </si>
  <si>
    <t>44 I35 Chs (6) BSTFA 061024</t>
  </si>
  <si>
    <t>47 I35 Wpt (8) BSTFA 061019</t>
  </si>
  <si>
    <t>48 I35 Chs (8) BSTFA 061023</t>
  </si>
  <si>
    <t>49 I35 Elz (10) BSTFA 061023</t>
  </si>
  <si>
    <t>52 I35 Chs (10) BSTFA 061019</t>
  </si>
  <si>
    <t>53 I35 Elz (10) BSTFA 061024</t>
  </si>
  <si>
    <t>55 I35 Wpt (10) BSTFA 061019</t>
  </si>
  <si>
    <t>58 I35 Qns (7) BSTFA 061024</t>
  </si>
  <si>
    <t>30 I35 Wpt (5) BSTFA 070325</t>
  </si>
  <si>
    <t>30 I35 Wpt (5) BSTFA 070325 Duplicate</t>
  </si>
  <si>
    <t>23 I35 Chs (9) BSTFA 070324</t>
  </si>
  <si>
    <t>23 I35 Chs (9) BSTFA 070324 Duplicate</t>
  </si>
  <si>
    <t>27 I35 Chs (8) BSTFA 070324</t>
  </si>
  <si>
    <t>39 I35 Chs (7) 04-27-04 BSTFA 070325</t>
  </si>
  <si>
    <t>56 I35 Chs (10) BSTFA 070327</t>
  </si>
  <si>
    <t>56 I35 Chs (10) BSTFA 070327 Duplicate</t>
  </si>
  <si>
    <t>60 I35 Chs (7) BSTFA 070327</t>
  </si>
  <si>
    <t>40 I35 COLOChs (7) BSTFA 070325</t>
  </si>
  <si>
    <t>40 I35 COLOChs (7) BSTFA 070325 Duplicate</t>
  </si>
  <si>
    <t>41 I35 Elz (6) BSTFA 070325</t>
  </si>
  <si>
    <t>41 I35 Elz (6) BSTFA 070325 Duplicate</t>
  </si>
  <si>
    <t>45 I35 Elz (8) BSTFA 070325</t>
  </si>
  <si>
    <t>57 I35 Elz (5) BSTFA 070327</t>
  </si>
  <si>
    <t>22 I35 Qns (9) BSTFA 070324</t>
  </si>
  <si>
    <t>22 I35 Qns (9) BSTFA 070324 Duplicate</t>
  </si>
  <si>
    <t>29 I35 Qns (6) BSTFA 070324</t>
  </si>
  <si>
    <t>42 I35 Qns (6) BSTFA 070325</t>
  </si>
  <si>
    <t>46 I35 Qns (8) BSTFA 070326</t>
  </si>
  <si>
    <t>50 I35 Qns (10) BSTFA 070326</t>
  </si>
  <si>
    <t>50 I35 Qns (10) BSTFA 070326 Duplicate</t>
  </si>
  <si>
    <t>54 I35 Qns (10) BSTFA 070326</t>
  </si>
  <si>
    <t>26 I35 Wpt (8) BSTFA 070324</t>
  </si>
  <si>
    <t>34 I35 Wpt (7) BSTFA 070325</t>
  </si>
  <si>
    <t>43 I35 Wpt (9) BSTFA 070325</t>
  </si>
  <si>
    <t>51 I35 Wpt (10) BSTFA 070326</t>
  </si>
  <si>
    <t>51 I35 Wpt (10) BSTFA 070326 Duplicate</t>
  </si>
  <si>
    <t>59 I35 Wpt (7) BSTFA 070327</t>
  </si>
  <si>
    <t>summer early</t>
  </si>
  <si>
    <t>summer</t>
  </si>
  <si>
    <t>fall early</t>
  </si>
  <si>
    <t xml:space="preserve">fall </t>
  </si>
  <si>
    <t>fall</t>
  </si>
  <si>
    <t>precision</t>
  </si>
  <si>
    <t>winter early</t>
  </si>
  <si>
    <t>winter</t>
  </si>
  <si>
    <t>spring early</t>
  </si>
  <si>
    <t>spring</t>
  </si>
  <si>
    <t>spring 3rd</t>
  </si>
  <si>
    <t>Initials</t>
  </si>
  <si>
    <t xml:space="preserve">Date </t>
  </si>
  <si>
    <t>Note</t>
  </si>
  <si>
    <t>HAH</t>
  </si>
  <si>
    <t>cis-Pinonic Acid</t>
  </si>
  <si>
    <t>Dehydroabietic Acid</t>
  </si>
  <si>
    <t>Tetracosanol</t>
  </si>
  <si>
    <t>Hexacosanol</t>
  </si>
  <si>
    <t>Octacosanol</t>
  </si>
  <si>
    <t>Cholesterol</t>
  </si>
  <si>
    <t>B-sitosterol</t>
  </si>
  <si>
    <t>Campesterol</t>
  </si>
  <si>
    <t>Stigmasterol</t>
  </si>
  <si>
    <t>Triacosanol</t>
  </si>
  <si>
    <t>Compound</t>
  </si>
  <si>
    <t>Levulinic Acid</t>
  </si>
  <si>
    <t>Catechol</t>
  </si>
  <si>
    <t>Glyoxylic Acid</t>
  </si>
  <si>
    <t>Pyruvic Acid</t>
  </si>
  <si>
    <t>Anisic Acid</t>
  </si>
  <si>
    <t>4-Acetylbutyric Acid</t>
  </si>
  <si>
    <t>Oxalacetic Acid</t>
  </si>
  <si>
    <t>Vanillic Acid</t>
  </si>
  <si>
    <t>Syringic Acid</t>
  </si>
  <si>
    <t>Total n-alkanols</t>
  </si>
  <si>
    <t xml:space="preserve">This is a spreadsheet to contain all of the SOAP samples from the </t>
  </si>
  <si>
    <t>2002-2003 sampling and 2005-2007 sampling.  It is a compilation of the</t>
  </si>
  <si>
    <t>two individual spreadsheets SOAPNY_Samples_FractionIII080311 and</t>
  </si>
  <si>
    <t>SOAP_Samples_WoodsmokeMarkers_080305.</t>
  </si>
  <si>
    <t>All work was done on Shimadzu GCMS with BSTFA-TMS derivatives.</t>
  </si>
  <si>
    <t>C24D50</t>
  </si>
  <si>
    <t>01 NYB01 (4) BSTFA 070811</t>
  </si>
  <si>
    <t>02 NYB02 (5) BSTFA 070811</t>
  </si>
  <si>
    <t>03 NYB03 (5) BSTFA 070811</t>
  </si>
  <si>
    <t>04 NYB04 (4) BSTFA 070812</t>
  </si>
  <si>
    <t>05 NYB05 (5) BSTFA 070812</t>
  </si>
  <si>
    <t>06 NYB06 (5) BSTFA 070812</t>
  </si>
  <si>
    <t>07 NYB07 (5) BSTFA 070812</t>
  </si>
  <si>
    <t>08 NYB08 (5) BSTFA 070812</t>
  </si>
  <si>
    <t>09 NYB09 (5) BSTFA 070812</t>
  </si>
  <si>
    <t>10 NYB10 (4) BSTFA 070817</t>
  </si>
  <si>
    <t>11 NYB11 (5) BSTFA 070817</t>
  </si>
  <si>
    <t>12 NYB12 (3) BSTFA 070817</t>
  </si>
  <si>
    <t>13 NYB13 (4) BSTFA 070817</t>
  </si>
  <si>
    <t>14 NYB14 (5) BSTFA 070817</t>
  </si>
  <si>
    <t>15 NYB15 (6) BSTFA 070817</t>
  </si>
  <si>
    <t>16 NYB16 (5) BSTFA 070817</t>
  </si>
  <si>
    <t>17 NYB17 (4) BSTFA 070817</t>
  </si>
  <si>
    <t>18 NYP01 (10) BSTFA 070818</t>
  </si>
  <si>
    <t>19 NYP02 (10) BSTFA 070818</t>
  </si>
  <si>
    <t>20 NYP03 (6) BSTFA 070818</t>
  </si>
  <si>
    <t>21 NYP04 (10) BSTFA 070818</t>
  </si>
  <si>
    <t>22 NYP05 (10) BSTFA 070818</t>
  </si>
  <si>
    <t>23 NYP06 (10) BSTFA 070818</t>
  </si>
  <si>
    <t>24 NYP07 (10) BSTFA 070818</t>
  </si>
  <si>
    <t>25 NYP08 (9) BSTFA 070818</t>
  </si>
  <si>
    <t>26 NYP09 (10) BSTFA 070825</t>
  </si>
  <si>
    <t>27 NYP10 (10) BSTFA 070825</t>
  </si>
  <si>
    <t>28 NYP11 (10) BSTFA 070825</t>
  </si>
  <si>
    <t>29 NYP12 (08) BSTFA 070825</t>
  </si>
  <si>
    <t>30 NYP13 (10) BSTFA 070825</t>
  </si>
  <si>
    <t>31 NYP14 (10) BSTFA 070825</t>
  </si>
  <si>
    <t>32 NYP15 (11) BSTFA 070825</t>
  </si>
  <si>
    <t>33 NYP16 (10) BSTFA 070907</t>
  </si>
  <si>
    <t>34 NYP17 (10) BSTFA 070826</t>
  </si>
  <si>
    <t>Conc ng/m3</t>
  </si>
  <si>
    <t>area counts</t>
  </si>
  <si>
    <t>SOAP NY</t>
  </si>
  <si>
    <t>2005-2007</t>
  </si>
  <si>
    <t>10 NYB10 (4) BSTFA 0708017</t>
  </si>
  <si>
    <t xml:space="preserve">29 NYP12 (08) BSTFA 0708025 </t>
  </si>
  <si>
    <t xml:space="preserve">31 NYP14 (10) BSTFA 070825 </t>
  </si>
  <si>
    <t>02NYB02 (5) BSTFA 070811</t>
  </si>
  <si>
    <t xml:space="preserve">03 NYB03 (5) BSTFA 070811 </t>
  </si>
  <si>
    <t>05 NYB05 (5) BSTFA 0708012</t>
  </si>
  <si>
    <t xml:space="preserve">06 NYB06 (5) BSTFA 070812 </t>
  </si>
  <si>
    <t>23 NYP06 (10) BSTFA 0700818</t>
  </si>
</sst>
</file>

<file path=xl/styles.xml><?xml version="1.0" encoding="utf-8"?>
<styleSheet xmlns="http://schemas.openxmlformats.org/spreadsheetml/2006/main">
  <numFmts count="1">
    <numFmt numFmtId="164" formatCode="0.000"/>
  </numFmts>
  <fonts count="27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2"/>
      <name val="Times New Roman"/>
      <family val="1"/>
    </font>
    <font>
      <sz val="10"/>
      <name val="Arial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6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53">
    <xf numFmtId="0" fontId="0" fillId="0" borderId="0" xfId="0"/>
    <xf numFmtId="0" fontId="0" fillId="0" borderId="0" xfId="0" applyBorder="1"/>
    <xf numFmtId="0" fontId="0" fillId="0" borderId="0" xfId="0" applyFill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2" fillId="0" borderId="0" xfId="0" applyFont="1" applyBorder="1" applyAlignment="1">
      <alignment horizontal="right"/>
    </xf>
    <xf numFmtId="0" fontId="23" fillId="0" borderId="0" xfId="0" applyFont="1" applyBorder="1" applyAlignment="1">
      <alignment horizontal="right"/>
    </xf>
    <xf numFmtId="0" fontId="0" fillId="0" borderId="0" xfId="0" applyFill="1" applyBorder="1"/>
    <xf numFmtId="0" fontId="22" fillId="0" borderId="0" xfId="0" applyFont="1" applyAlignment="1">
      <alignment horizontal="left"/>
    </xf>
    <xf numFmtId="2" fontId="23" fillId="0" borderId="0" xfId="0" applyNumberFormat="1" applyFont="1" applyAlignment="1">
      <alignment horizontal="right"/>
    </xf>
    <xf numFmtId="2" fontId="22" fillId="0" borderId="0" xfId="0" applyNumberFormat="1" applyFont="1" applyAlignment="1">
      <alignment horizontal="right"/>
    </xf>
    <xf numFmtId="2" fontId="25" fillId="0" borderId="0" xfId="0" applyNumberFormat="1" applyFont="1" applyAlignment="1">
      <alignment horizontal="center"/>
    </xf>
    <xf numFmtId="0" fontId="25" fillId="0" borderId="0" xfId="0" applyFont="1"/>
    <xf numFmtId="0" fontId="24" fillId="0" borderId="0" xfId="0" applyFont="1" applyFill="1"/>
    <xf numFmtId="0" fontId="19" fillId="0" borderId="0" xfId="0" applyFont="1" applyFill="1"/>
    <xf numFmtId="0" fontId="19" fillId="0" borderId="10" xfId="0" applyFont="1" applyFill="1" applyBorder="1" applyAlignment="1">
      <alignment horizontal="left"/>
    </xf>
    <xf numFmtId="2" fontId="0" fillId="0" borderId="0" xfId="0" applyNumberFormat="1" applyFill="1" applyAlignment="1">
      <alignment horizontal="center"/>
    </xf>
    <xf numFmtId="2" fontId="25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right"/>
    </xf>
    <xf numFmtId="0" fontId="25" fillId="0" borderId="0" xfId="0" applyFont="1" applyFill="1"/>
    <xf numFmtId="0" fontId="19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right"/>
    </xf>
    <xf numFmtId="2" fontId="0" fillId="0" borderId="0" xfId="0" applyNumberFormat="1" applyFill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26" fillId="0" borderId="0" xfId="0" applyFont="1"/>
    <xf numFmtId="2" fontId="26" fillId="0" borderId="0" xfId="0" applyNumberFormat="1" applyFont="1" applyAlignment="1">
      <alignment horizontal="center"/>
    </xf>
    <xf numFmtId="0" fontId="26" fillId="0" borderId="0" xfId="0" applyFont="1" applyFill="1"/>
    <xf numFmtId="0" fontId="23" fillId="0" borderId="0" xfId="0" applyFont="1"/>
    <xf numFmtId="2" fontId="23" fillId="0" borderId="0" xfId="0" applyNumberFormat="1" applyFont="1" applyFill="1"/>
    <xf numFmtId="2" fontId="23" fillId="0" borderId="0" xfId="0" applyNumberFormat="1" applyFont="1" applyFill="1" applyAlignment="1">
      <alignment horizontal="center"/>
    </xf>
    <xf numFmtId="2" fontId="23" fillId="0" borderId="0" xfId="0" applyNumberFormat="1" applyFont="1"/>
    <xf numFmtId="2" fontId="23" fillId="0" borderId="0" xfId="0" applyNumberFormat="1" applyFont="1" applyAlignment="1">
      <alignment horizontal="center"/>
    </xf>
    <xf numFmtId="14" fontId="0" fillId="0" borderId="0" xfId="0" applyNumberFormat="1"/>
    <xf numFmtId="2" fontId="0" fillId="0" borderId="0" xfId="0" applyNumberFormat="1"/>
    <xf numFmtId="2" fontId="0" fillId="0" borderId="0" xfId="0" applyNumberFormat="1" applyFill="1"/>
    <xf numFmtId="0" fontId="6" fillId="0" borderId="0" xfId="0" applyFont="1" applyFill="1"/>
    <xf numFmtId="0" fontId="6" fillId="0" borderId="0" xfId="0" applyFont="1"/>
    <xf numFmtId="0" fontId="6" fillId="0" borderId="0" xfId="0" applyFont="1" applyAlignment="1">
      <alignment horizontal="right"/>
    </xf>
    <xf numFmtId="164" fontId="0" fillId="0" borderId="0" xfId="0" applyNumberFormat="1"/>
    <xf numFmtId="0" fontId="0" fillId="24" borderId="0" xfId="0" applyFill="1"/>
    <xf numFmtId="17" fontId="0" fillId="0" borderId="0" xfId="0" applyNumberFormat="1"/>
    <xf numFmtId="0" fontId="6" fillId="24" borderId="0" xfId="0" applyFont="1" applyFill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armonie/My%20Documents/070418_SOAP02_03_Markers_070419_CB_0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 Provenance"/>
      <sheetName val="MAZUREK"/>
      <sheetName val="Plots"/>
      <sheetName val="Hopanes"/>
      <sheetName val="n-Alkanes"/>
      <sheetName val="PAH"/>
      <sheetName val="PAH_SHIM"/>
      <sheetName val="acids"/>
      <sheetName val="TMS ROH"/>
    </sheetNames>
    <sheetDataSet>
      <sheetData sheetId="0" refreshError="1"/>
      <sheetData sheetId="1" refreshError="1"/>
      <sheetData sheetId="2" refreshError="1"/>
      <sheetData sheetId="3">
        <row r="21">
          <cell r="A21">
            <v>1.2924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selection activeCell="F18" sqref="F18"/>
    </sheetView>
  </sheetViews>
  <sheetFormatPr defaultRowHeight="12.75"/>
  <sheetData>
    <row r="1" spans="1:3">
      <c r="A1" t="s">
        <v>79</v>
      </c>
      <c r="B1" t="s">
        <v>80</v>
      </c>
      <c r="C1" t="s">
        <v>81</v>
      </c>
    </row>
    <row r="2" spans="1:3">
      <c r="A2" t="s">
        <v>82</v>
      </c>
      <c r="B2" s="43">
        <v>39532</v>
      </c>
      <c r="C2" t="s">
        <v>104</v>
      </c>
    </row>
    <row r="3" spans="1:3">
      <c r="C3" t="s">
        <v>105</v>
      </c>
    </row>
    <row r="4" spans="1:3">
      <c r="C4" t="s">
        <v>106</v>
      </c>
    </row>
    <row r="5" spans="1:3">
      <c r="B5" s="43"/>
      <c r="C5" t="s">
        <v>107</v>
      </c>
    </row>
    <row r="6" spans="1:3">
      <c r="C6" t="s">
        <v>108</v>
      </c>
    </row>
    <row r="7" spans="1:3">
      <c r="A7" s="38"/>
      <c r="B7" s="43"/>
      <c r="C7" s="38"/>
    </row>
    <row r="8" spans="1:3">
      <c r="C8" s="38"/>
    </row>
    <row r="9" spans="1:3">
      <c r="B9" s="43"/>
      <c r="C9" s="38"/>
    </row>
    <row r="10" spans="1:3">
      <c r="C10" s="38"/>
    </row>
    <row r="11" spans="1:3">
      <c r="C11" s="38"/>
    </row>
    <row r="12" spans="1:3">
      <c r="B12" s="43"/>
      <c r="C12" s="38"/>
    </row>
    <row r="13" spans="1:3">
      <c r="C13" s="38"/>
    </row>
    <row r="14" spans="1:3">
      <c r="C14" s="38"/>
    </row>
    <row r="15" spans="1:3">
      <c r="C15" s="38"/>
    </row>
  </sheetData>
  <phoneticPr fontId="0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R41"/>
  <sheetViews>
    <sheetView zoomScaleNormal="100" workbookViewId="0">
      <pane xSplit="3" topLeftCell="D1" activePane="topRight" state="frozen"/>
      <selection pane="topRight" activeCell="D25" sqref="D25"/>
    </sheetView>
  </sheetViews>
  <sheetFormatPr defaultRowHeight="12.75"/>
  <cols>
    <col min="3" max="3" width="11.5703125" bestFit="1" customWidth="1"/>
    <col min="4" max="4" width="11.28515625" customWidth="1"/>
    <col min="7" max="7" width="10.7109375" customWidth="1"/>
    <col min="8" max="8" width="11.5703125" customWidth="1"/>
    <col min="9" max="9" width="7.7109375" customWidth="1"/>
    <col min="10" max="11" width="11.5703125" customWidth="1"/>
    <col min="12" max="12" width="9.5703125" bestFit="1" customWidth="1"/>
    <col min="13" max="13" width="9.28515625" bestFit="1" customWidth="1"/>
    <col min="18" max="18" width="11.5703125" customWidth="1"/>
    <col min="22" max="22" width="11.85546875" customWidth="1"/>
    <col min="93" max="93" width="12.85546875" customWidth="1"/>
    <col min="107" max="110" width="9.140625" style="1"/>
    <col min="148" max="148" width="9.140625" style="50"/>
    <col min="151" max="151" width="14.7109375" bestFit="1" customWidth="1"/>
  </cols>
  <sheetData>
    <row r="1" spans="1:252">
      <c r="D1" t="s">
        <v>68</v>
      </c>
      <c r="G1" t="s">
        <v>68</v>
      </c>
      <c r="M1" t="s">
        <v>68</v>
      </c>
      <c r="S1" t="s">
        <v>69</v>
      </c>
      <c r="V1" t="s">
        <v>69</v>
      </c>
      <c r="Y1" t="s">
        <v>69</v>
      </c>
      <c r="AB1" t="s">
        <v>69</v>
      </c>
      <c r="AE1" t="s">
        <v>70</v>
      </c>
      <c r="AH1" t="s">
        <v>70</v>
      </c>
      <c r="AK1" t="s">
        <v>70</v>
      </c>
      <c r="AQ1" t="s">
        <v>70</v>
      </c>
      <c r="AT1" t="s">
        <v>71</v>
      </c>
      <c r="AW1" t="s">
        <v>72</v>
      </c>
      <c r="AZ1" t="s">
        <v>72</v>
      </c>
      <c r="BC1" t="s">
        <v>72</v>
      </c>
      <c r="BF1" t="s">
        <v>73</v>
      </c>
      <c r="BI1" t="s">
        <v>73</v>
      </c>
      <c r="BL1" t="s">
        <v>73</v>
      </c>
      <c r="BO1" t="s">
        <v>73</v>
      </c>
      <c r="BR1" t="s">
        <v>73</v>
      </c>
      <c r="BX1" t="s">
        <v>74</v>
      </c>
      <c r="CD1" t="s">
        <v>74</v>
      </c>
      <c r="CG1" t="s">
        <v>74</v>
      </c>
      <c r="CJ1" t="s">
        <v>74</v>
      </c>
      <c r="CM1" t="s">
        <v>75</v>
      </c>
      <c r="CP1" t="s">
        <v>75</v>
      </c>
      <c r="CS1" t="s">
        <v>75</v>
      </c>
      <c r="CV1" t="s">
        <v>75</v>
      </c>
      <c r="CY1" t="s">
        <v>76</v>
      </c>
      <c r="DB1" t="s">
        <v>76</v>
      </c>
      <c r="DH1" t="s">
        <v>76</v>
      </c>
      <c r="DN1" t="s">
        <v>76</v>
      </c>
      <c r="DQ1" t="s">
        <v>77</v>
      </c>
      <c r="DT1" t="s">
        <v>77</v>
      </c>
      <c r="DW1" t="s">
        <v>77</v>
      </c>
      <c r="DZ1" t="s">
        <v>77</v>
      </c>
      <c r="EF1" t="s">
        <v>78</v>
      </c>
      <c r="EI1" t="s">
        <v>78</v>
      </c>
      <c r="EL1" t="s">
        <v>78</v>
      </c>
      <c r="EO1" t="s">
        <v>78</v>
      </c>
      <c r="EV1" s="51">
        <v>38626</v>
      </c>
      <c r="EY1" s="51">
        <v>38657</v>
      </c>
      <c r="FB1" s="51">
        <v>38687</v>
      </c>
      <c r="FE1" s="51">
        <v>38718</v>
      </c>
      <c r="FH1" s="51">
        <v>38749</v>
      </c>
      <c r="FK1" s="51">
        <v>38777</v>
      </c>
      <c r="FN1" s="51">
        <v>38808</v>
      </c>
      <c r="FQ1" s="51">
        <v>38838</v>
      </c>
      <c r="FT1" s="51">
        <v>38869</v>
      </c>
      <c r="FW1" s="51">
        <v>38899</v>
      </c>
      <c r="FZ1" s="51">
        <v>38930</v>
      </c>
      <c r="GC1" s="51">
        <v>38961</v>
      </c>
      <c r="GF1" s="51">
        <v>38991</v>
      </c>
      <c r="GI1" s="51">
        <v>39022</v>
      </c>
      <c r="GL1" s="51">
        <v>39052</v>
      </c>
      <c r="GO1" s="51">
        <v>39083</v>
      </c>
      <c r="GR1" s="51">
        <v>39114</v>
      </c>
      <c r="GU1" s="51">
        <v>38626</v>
      </c>
      <c r="GX1" s="51">
        <v>38657</v>
      </c>
      <c r="HA1" s="51">
        <v>38687</v>
      </c>
      <c r="HD1" s="51">
        <v>38718</v>
      </c>
      <c r="HG1" s="51">
        <v>38749</v>
      </c>
      <c r="HJ1" s="51">
        <v>38777</v>
      </c>
      <c r="HM1" s="51">
        <v>38808</v>
      </c>
      <c r="HP1" s="51">
        <v>38838</v>
      </c>
      <c r="HS1" s="51">
        <v>38869</v>
      </c>
      <c r="HV1" s="51">
        <v>38899</v>
      </c>
      <c r="HY1" s="51">
        <v>38930</v>
      </c>
      <c r="IB1" s="51">
        <v>38961</v>
      </c>
      <c r="IE1" s="51">
        <v>38991</v>
      </c>
      <c r="IH1" s="51">
        <v>39022</v>
      </c>
      <c r="IK1" s="51">
        <v>39052</v>
      </c>
      <c r="IN1" s="51">
        <v>39083</v>
      </c>
      <c r="IQ1" s="51">
        <v>39114</v>
      </c>
    </row>
    <row r="2" spans="1:252">
      <c r="D2" t="s">
        <v>0</v>
      </c>
      <c r="AB2" s="2"/>
      <c r="DZ2" s="2"/>
      <c r="ER2" s="50" t="s">
        <v>146</v>
      </c>
    </row>
    <row r="3" spans="1:252">
      <c r="D3" s="3" t="s">
        <v>7</v>
      </c>
      <c r="G3" s="3" t="s">
        <v>54</v>
      </c>
      <c r="J3" s="3" t="s">
        <v>55</v>
      </c>
      <c r="M3" s="3" t="s">
        <v>41</v>
      </c>
      <c r="P3" s="3" t="s">
        <v>42</v>
      </c>
      <c r="S3" s="3" t="s">
        <v>21</v>
      </c>
      <c r="V3" s="3" t="s">
        <v>22</v>
      </c>
      <c r="Y3" s="3" t="s">
        <v>62</v>
      </c>
      <c r="AB3" s="3" t="s">
        <v>43</v>
      </c>
      <c r="AE3" s="3" t="s">
        <v>23</v>
      </c>
      <c r="AH3" s="3" t="s">
        <v>56</v>
      </c>
      <c r="AK3" s="3" t="s">
        <v>39</v>
      </c>
      <c r="AN3" s="3" t="s">
        <v>40</v>
      </c>
      <c r="AQ3" s="3" t="s">
        <v>24</v>
      </c>
      <c r="AT3" s="3" t="s">
        <v>25</v>
      </c>
      <c r="AW3" s="3" t="s">
        <v>26</v>
      </c>
      <c r="AZ3" s="3" t="s">
        <v>63</v>
      </c>
      <c r="BC3" s="3" t="s">
        <v>27</v>
      </c>
      <c r="BF3" s="3" t="s">
        <v>28</v>
      </c>
      <c r="BI3" s="3" t="s">
        <v>29</v>
      </c>
      <c r="BL3" s="3" t="s">
        <v>30</v>
      </c>
      <c r="BO3" s="3" t="s">
        <v>44</v>
      </c>
      <c r="BR3" s="3" t="s">
        <v>48</v>
      </c>
      <c r="BU3" s="3" t="s">
        <v>49</v>
      </c>
      <c r="BX3" s="3" t="s">
        <v>50</v>
      </c>
      <c r="CA3" s="3" t="s">
        <v>51</v>
      </c>
      <c r="CD3" s="3" t="s">
        <v>57</v>
      </c>
      <c r="CG3" s="3" t="s">
        <v>64</v>
      </c>
      <c r="CJ3" s="3" t="s">
        <v>31</v>
      </c>
      <c r="CM3" s="3" t="s">
        <v>52</v>
      </c>
      <c r="CN3" s="4"/>
      <c r="CO3" s="4"/>
      <c r="CP3" s="3" t="s">
        <v>58</v>
      </c>
      <c r="CQ3" s="4"/>
      <c r="CR3" s="4"/>
      <c r="CS3" s="3" t="s">
        <v>32</v>
      </c>
      <c r="CT3" s="4"/>
      <c r="CU3" s="4"/>
      <c r="CV3" s="3" t="s">
        <v>33</v>
      </c>
      <c r="CW3" s="4"/>
      <c r="CX3" s="4"/>
      <c r="CY3" s="3" t="s">
        <v>34</v>
      </c>
      <c r="CZ3" s="4"/>
      <c r="DA3" s="4"/>
      <c r="DB3" s="3" t="s">
        <v>59</v>
      </c>
      <c r="DC3" s="4"/>
      <c r="DD3" s="4"/>
      <c r="DE3" s="3" t="s">
        <v>60</v>
      </c>
      <c r="DF3" s="4"/>
      <c r="DG3" s="4"/>
      <c r="DH3" s="3" t="s">
        <v>65</v>
      </c>
      <c r="DI3" s="4"/>
      <c r="DJ3" s="4"/>
      <c r="DK3" s="3" t="s">
        <v>66</v>
      </c>
      <c r="DL3" s="4"/>
      <c r="DM3" s="4"/>
      <c r="DN3" s="3" t="s">
        <v>35</v>
      </c>
      <c r="DO3" s="4"/>
      <c r="DP3" s="4"/>
      <c r="DQ3" s="3" t="s">
        <v>36</v>
      </c>
      <c r="DR3" s="4"/>
      <c r="DS3" s="4"/>
      <c r="DT3" s="3" t="s">
        <v>61</v>
      </c>
      <c r="DU3" s="4"/>
      <c r="DV3" s="4"/>
      <c r="DW3" s="3" t="s">
        <v>37</v>
      </c>
      <c r="DX3" s="4"/>
      <c r="DY3" s="4"/>
      <c r="DZ3" s="3" t="s">
        <v>45</v>
      </c>
      <c r="EA3" s="4"/>
      <c r="EB3" s="4"/>
      <c r="EC3" s="3" t="s">
        <v>46</v>
      </c>
      <c r="ED3" s="4"/>
      <c r="EE3" s="4"/>
      <c r="EF3" s="3" t="s">
        <v>53</v>
      </c>
      <c r="EG3" s="4"/>
      <c r="EH3" s="4"/>
      <c r="EI3" s="3" t="s">
        <v>38</v>
      </c>
      <c r="EJ3" s="4"/>
      <c r="EK3" s="4"/>
      <c r="EL3" s="3" t="s">
        <v>67</v>
      </c>
      <c r="EM3" s="4"/>
      <c r="EO3" s="5" t="s">
        <v>47</v>
      </c>
      <c r="ER3" s="50" t="s">
        <v>147</v>
      </c>
      <c r="ES3" t="s">
        <v>109</v>
      </c>
      <c r="EV3" t="s">
        <v>110</v>
      </c>
      <c r="EY3" t="s">
        <v>111</v>
      </c>
      <c r="FB3" t="s">
        <v>112</v>
      </c>
      <c r="FE3" t="s">
        <v>113</v>
      </c>
      <c r="FH3" t="s">
        <v>114</v>
      </c>
      <c r="FK3" t="s">
        <v>115</v>
      </c>
      <c r="FN3" t="s">
        <v>116</v>
      </c>
      <c r="FQ3" t="s">
        <v>117</v>
      </c>
      <c r="FT3" t="s">
        <v>118</v>
      </c>
      <c r="FW3" t="s">
        <v>119</v>
      </c>
      <c r="FZ3" t="s">
        <v>120</v>
      </c>
      <c r="GC3" t="s">
        <v>121</v>
      </c>
      <c r="GF3" t="s">
        <v>122</v>
      </c>
      <c r="GI3" t="s">
        <v>123</v>
      </c>
      <c r="GL3" t="s">
        <v>124</v>
      </c>
      <c r="GO3" t="s">
        <v>125</v>
      </c>
      <c r="GR3" t="s">
        <v>126</v>
      </c>
      <c r="GU3" t="s">
        <v>127</v>
      </c>
      <c r="GX3" t="s">
        <v>128</v>
      </c>
      <c r="HA3" t="s">
        <v>129</v>
      </c>
      <c r="HD3" t="s">
        <v>130</v>
      </c>
      <c r="HG3" t="s">
        <v>131</v>
      </c>
      <c r="HJ3" t="s">
        <v>132</v>
      </c>
      <c r="HM3" t="s">
        <v>133</v>
      </c>
      <c r="HP3" t="s">
        <v>134</v>
      </c>
      <c r="HS3" s="38" t="s">
        <v>135</v>
      </c>
      <c r="HV3" t="s">
        <v>136</v>
      </c>
      <c r="HY3" t="s">
        <v>137</v>
      </c>
      <c r="IB3" t="s">
        <v>138</v>
      </c>
      <c r="IE3" t="s">
        <v>139</v>
      </c>
      <c r="IH3" t="s">
        <v>140</v>
      </c>
      <c r="IK3" t="s">
        <v>141</v>
      </c>
      <c r="IN3" t="s">
        <v>142</v>
      </c>
      <c r="IQ3" t="s">
        <v>143</v>
      </c>
    </row>
    <row r="4" spans="1:252">
      <c r="A4" t="s">
        <v>1</v>
      </c>
      <c r="B4" t="s">
        <v>9</v>
      </c>
      <c r="C4" s="6" t="s">
        <v>6</v>
      </c>
      <c r="D4" s="6" t="s">
        <v>2</v>
      </c>
      <c r="E4" s="7" t="s">
        <v>3</v>
      </c>
      <c r="F4" s="6"/>
      <c r="G4" s="6" t="s">
        <v>2</v>
      </c>
      <c r="H4" s="7" t="s">
        <v>3</v>
      </c>
      <c r="I4" s="7"/>
      <c r="J4" s="6" t="s">
        <v>2</v>
      </c>
      <c r="K4" s="7" t="s">
        <v>3</v>
      </c>
      <c r="L4" s="6"/>
      <c r="M4" s="6" t="s">
        <v>2</v>
      </c>
      <c r="N4" s="7" t="s">
        <v>3</v>
      </c>
      <c r="O4" s="7"/>
      <c r="P4" s="6" t="s">
        <v>2</v>
      </c>
      <c r="Q4" s="7" t="s">
        <v>3</v>
      </c>
      <c r="R4" s="6"/>
      <c r="S4" s="6" t="s">
        <v>2</v>
      </c>
      <c r="T4" s="7" t="s">
        <v>3</v>
      </c>
      <c r="U4" s="6"/>
      <c r="V4" s="6" t="s">
        <v>2</v>
      </c>
      <c r="W4" s="7" t="s">
        <v>3</v>
      </c>
      <c r="X4" s="6"/>
      <c r="Y4" s="6" t="s">
        <v>2</v>
      </c>
      <c r="Z4" s="7" t="s">
        <v>3</v>
      </c>
      <c r="AA4" s="6"/>
      <c r="AB4" s="6" t="s">
        <v>2</v>
      </c>
      <c r="AC4" s="7" t="s">
        <v>3</v>
      </c>
      <c r="AD4" s="6"/>
      <c r="AE4" s="6" t="s">
        <v>2</v>
      </c>
      <c r="AF4" s="7" t="s">
        <v>3</v>
      </c>
      <c r="AG4" s="6"/>
      <c r="AH4" s="6" t="s">
        <v>2</v>
      </c>
      <c r="AI4" s="7" t="s">
        <v>3</v>
      </c>
      <c r="AJ4" s="6"/>
      <c r="AK4" s="6" t="s">
        <v>2</v>
      </c>
      <c r="AL4" s="7" t="s">
        <v>3</v>
      </c>
      <c r="AM4" s="7"/>
      <c r="AN4" s="6" t="s">
        <v>2</v>
      </c>
      <c r="AO4" s="7" t="s">
        <v>3</v>
      </c>
      <c r="AP4" s="6"/>
      <c r="AQ4" s="6" t="s">
        <v>2</v>
      </c>
      <c r="AR4" s="7" t="s">
        <v>3</v>
      </c>
      <c r="AS4" s="6"/>
      <c r="AT4" s="6" t="s">
        <v>2</v>
      </c>
      <c r="AU4" s="7" t="s">
        <v>3</v>
      </c>
      <c r="AV4" s="6"/>
      <c r="AW4" s="6" t="s">
        <v>2</v>
      </c>
      <c r="AX4" s="7" t="s">
        <v>3</v>
      </c>
      <c r="AY4" s="6"/>
      <c r="AZ4" s="6" t="s">
        <v>2</v>
      </c>
      <c r="BA4" s="7" t="s">
        <v>3</v>
      </c>
      <c r="BB4" s="6"/>
      <c r="BC4" s="6" t="s">
        <v>2</v>
      </c>
      <c r="BD4" s="7" t="s">
        <v>3</v>
      </c>
      <c r="BE4" s="6"/>
      <c r="BF4" s="6" t="s">
        <v>2</v>
      </c>
      <c r="BG4" s="7" t="s">
        <v>3</v>
      </c>
      <c r="BH4" s="6"/>
      <c r="BI4" s="6" t="s">
        <v>2</v>
      </c>
      <c r="BJ4" s="7" t="s">
        <v>3</v>
      </c>
      <c r="BK4" s="6"/>
      <c r="BL4" s="6" t="s">
        <v>2</v>
      </c>
      <c r="BM4" s="7" t="s">
        <v>3</v>
      </c>
      <c r="BN4" s="6"/>
      <c r="BO4" s="6" t="s">
        <v>2</v>
      </c>
      <c r="BP4" s="7" t="s">
        <v>3</v>
      </c>
      <c r="BQ4" s="6"/>
      <c r="BR4" s="6" t="s">
        <v>2</v>
      </c>
      <c r="BS4" s="7" t="s">
        <v>3</v>
      </c>
      <c r="BT4" s="7"/>
      <c r="BU4" s="6" t="s">
        <v>2</v>
      </c>
      <c r="BV4" s="7" t="s">
        <v>3</v>
      </c>
      <c r="BW4" s="6"/>
      <c r="BX4" s="6" t="s">
        <v>2</v>
      </c>
      <c r="BY4" s="7" t="s">
        <v>3</v>
      </c>
      <c r="BZ4" s="7"/>
      <c r="CA4" s="6" t="s">
        <v>2</v>
      </c>
      <c r="CB4" s="7" t="s">
        <v>3</v>
      </c>
      <c r="CC4" s="6"/>
      <c r="CD4" s="6" t="s">
        <v>2</v>
      </c>
      <c r="CE4" s="7" t="s">
        <v>3</v>
      </c>
      <c r="CF4" s="6"/>
      <c r="CG4" s="6" t="s">
        <v>2</v>
      </c>
      <c r="CH4" s="7" t="s">
        <v>3</v>
      </c>
      <c r="CI4" s="6"/>
      <c r="CJ4" s="6" t="s">
        <v>2</v>
      </c>
      <c r="CK4" s="7" t="s">
        <v>3</v>
      </c>
      <c r="CL4" s="6"/>
      <c r="CM4" s="8" t="s">
        <v>2</v>
      </c>
      <c r="CN4" s="9" t="s">
        <v>3</v>
      </c>
      <c r="CO4" s="4"/>
      <c r="CP4" s="8" t="s">
        <v>2</v>
      </c>
      <c r="CQ4" s="9" t="s">
        <v>3</v>
      </c>
      <c r="CR4" s="4"/>
      <c r="CS4" s="8" t="s">
        <v>2</v>
      </c>
      <c r="CT4" s="9" t="s">
        <v>3</v>
      </c>
      <c r="CU4" s="4"/>
      <c r="CV4" s="8" t="s">
        <v>2</v>
      </c>
      <c r="CW4" s="9" t="s">
        <v>3</v>
      </c>
      <c r="CX4" s="4"/>
      <c r="CY4" s="8" t="s">
        <v>2</v>
      </c>
      <c r="CZ4" s="9" t="s">
        <v>3</v>
      </c>
      <c r="DA4" s="4"/>
      <c r="DB4" s="8" t="s">
        <v>2</v>
      </c>
      <c r="DC4" s="9" t="s">
        <v>3</v>
      </c>
      <c r="DD4" s="9"/>
      <c r="DE4" s="8" t="s">
        <v>2</v>
      </c>
      <c r="DF4" s="9" t="s">
        <v>3</v>
      </c>
      <c r="DG4" s="4"/>
      <c r="DH4" s="8" t="s">
        <v>2</v>
      </c>
      <c r="DI4" s="9" t="s">
        <v>3</v>
      </c>
      <c r="DJ4" s="9"/>
      <c r="DK4" s="8" t="s">
        <v>2</v>
      </c>
      <c r="DL4" s="9" t="s">
        <v>3</v>
      </c>
      <c r="DM4" s="4"/>
      <c r="DN4" s="8" t="s">
        <v>2</v>
      </c>
      <c r="DO4" s="9" t="s">
        <v>3</v>
      </c>
      <c r="DP4" s="4"/>
      <c r="DQ4" s="8" t="s">
        <v>2</v>
      </c>
      <c r="DR4" s="9" t="s">
        <v>3</v>
      </c>
      <c r="DS4" s="4"/>
      <c r="DT4" s="8" t="s">
        <v>2</v>
      </c>
      <c r="DU4" s="9" t="s">
        <v>3</v>
      </c>
      <c r="DV4" s="4"/>
      <c r="DW4" s="8" t="s">
        <v>2</v>
      </c>
      <c r="DX4" s="9" t="s">
        <v>3</v>
      </c>
      <c r="DY4" s="4"/>
      <c r="DZ4" s="8" t="s">
        <v>2</v>
      </c>
      <c r="EA4" s="9" t="s">
        <v>3</v>
      </c>
      <c r="EB4" s="9"/>
      <c r="EC4" s="8" t="s">
        <v>2</v>
      </c>
      <c r="ED4" s="9" t="s">
        <v>3</v>
      </c>
      <c r="EE4" s="4"/>
      <c r="EF4" s="8" t="s">
        <v>2</v>
      </c>
      <c r="EG4" s="9" t="s">
        <v>3</v>
      </c>
      <c r="EH4" s="4"/>
      <c r="EI4" s="8" t="s">
        <v>2</v>
      </c>
      <c r="EJ4" s="9" t="s">
        <v>3</v>
      </c>
      <c r="EK4" s="4"/>
      <c r="EL4" s="8" t="s">
        <v>2</v>
      </c>
      <c r="EM4" s="9" t="s">
        <v>3</v>
      </c>
      <c r="EO4" s="8" t="s">
        <v>2</v>
      </c>
      <c r="EP4" t="s">
        <v>3</v>
      </c>
      <c r="ES4" t="s">
        <v>1</v>
      </c>
      <c r="ET4" t="s">
        <v>9</v>
      </c>
      <c r="EU4" s="6" t="s">
        <v>6</v>
      </c>
      <c r="EV4" t="s">
        <v>144</v>
      </c>
      <c r="EW4" t="s">
        <v>145</v>
      </c>
      <c r="EY4" t="s">
        <v>144</v>
      </c>
      <c r="EZ4" t="s">
        <v>145</v>
      </c>
      <c r="FB4" t="s">
        <v>144</v>
      </c>
      <c r="FC4" t="s">
        <v>145</v>
      </c>
      <c r="FE4" t="s">
        <v>144</v>
      </c>
      <c r="FF4" t="s">
        <v>145</v>
      </c>
      <c r="FH4" t="s">
        <v>144</v>
      </c>
      <c r="FI4" t="s">
        <v>145</v>
      </c>
      <c r="FK4" t="s">
        <v>144</v>
      </c>
      <c r="FL4" t="s">
        <v>145</v>
      </c>
      <c r="FN4" t="s">
        <v>144</v>
      </c>
      <c r="FO4" t="s">
        <v>145</v>
      </c>
      <c r="FQ4" t="s">
        <v>144</v>
      </c>
      <c r="FR4" t="s">
        <v>145</v>
      </c>
      <c r="FT4" t="s">
        <v>144</v>
      </c>
      <c r="FU4" t="s">
        <v>145</v>
      </c>
      <c r="FW4" t="s">
        <v>144</v>
      </c>
      <c r="FX4" t="s">
        <v>145</v>
      </c>
      <c r="FZ4" t="s">
        <v>144</v>
      </c>
      <c r="GA4" t="s">
        <v>145</v>
      </c>
      <c r="GC4" t="s">
        <v>144</v>
      </c>
      <c r="GD4" t="s">
        <v>145</v>
      </c>
      <c r="GF4" t="s">
        <v>144</v>
      </c>
      <c r="GG4" t="s">
        <v>145</v>
      </c>
      <c r="GI4" t="s">
        <v>144</v>
      </c>
      <c r="GJ4" t="s">
        <v>145</v>
      </c>
      <c r="GL4" t="s">
        <v>144</v>
      </c>
      <c r="GM4" t="s">
        <v>145</v>
      </c>
      <c r="GO4" t="s">
        <v>144</v>
      </c>
      <c r="GP4" t="s">
        <v>145</v>
      </c>
      <c r="GR4" t="s">
        <v>144</v>
      </c>
      <c r="GS4" t="s">
        <v>145</v>
      </c>
      <c r="GU4" t="s">
        <v>144</v>
      </c>
      <c r="GV4" t="s">
        <v>145</v>
      </c>
      <c r="GX4" t="s">
        <v>144</v>
      </c>
      <c r="GY4" t="s">
        <v>145</v>
      </c>
      <c r="HA4" t="s">
        <v>144</v>
      </c>
      <c r="HB4" t="s">
        <v>145</v>
      </c>
      <c r="HD4" t="s">
        <v>144</v>
      </c>
      <c r="HE4" t="s">
        <v>145</v>
      </c>
      <c r="HG4" t="s">
        <v>144</v>
      </c>
      <c r="HH4" t="s">
        <v>145</v>
      </c>
      <c r="HJ4" t="s">
        <v>144</v>
      </c>
      <c r="HK4" t="s">
        <v>145</v>
      </c>
      <c r="HM4" t="s">
        <v>144</v>
      </c>
      <c r="HN4" t="s">
        <v>145</v>
      </c>
      <c r="HP4" t="s">
        <v>144</v>
      </c>
      <c r="HQ4" t="s">
        <v>145</v>
      </c>
      <c r="HS4" t="s">
        <v>144</v>
      </c>
      <c r="HT4" t="s">
        <v>145</v>
      </c>
      <c r="HV4" t="s">
        <v>144</v>
      </c>
      <c r="HW4" t="s">
        <v>145</v>
      </c>
      <c r="HY4" t="s">
        <v>144</v>
      </c>
      <c r="HZ4" t="s">
        <v>145</v>
      </c>
      <c r="IB4" t="s">
        <v>144</v>
      </c>
      <c r="IC4" t="s">
        <v>145</v>
      </c>
      <c r="IE4" t="s">
        <v>144</v>
      </c>
      <c r="IF4" t="s">
        <v>145</v>
      </c>
      <c r="IH4" t="s">
        <v>144</v>
      </c>
      <c r="II4" t="s">
        <v>145</v>
      </c>
      <c r="IK4" t="s">
        <v>144</v>
      </c>
      <c r="IL4" t="s">
        <v>145</v>
      </c>
      <c r="IN4" t="s">
        <v>144</v>
      </c>
      <c r="IO4" t="s">
        <v>145</v>
      </c>
      <c r="IQ4" t="s">
        <v>144</v>
      </c>
      <c r="IR4" t="s">
        <v>145</v>
      </c>
    </row>
    <row r="5" spans="1:252">
      <c r="B5">
        <v>66</v>
      </c>
      <c r="C5" s="10" t="s">
        <v>4</v>
      </c>
      <c r="D5" s="10"/>
      <c r="E5" s="11">
        <v>618988</v>
      </c>
      <c r="F5" s="10"/>
      <c r="G5" s="10"/>
      <c r="H5" s="11">
        <v>276475</v>
      </c>
      <c r="I5" s="11"/>
      <c r="J5" s="10"/>
      <c r="K5" s="11">
        <v>287962</v>
      </c>
      <c r="L5" s="10"/>
      <c r="M5" s="10"/>
      <c r="N5" s="11">
        <v>454558</v>
      </c>
      <c r="O5" s="11"/>
      <c r="P5" s="10"/>
      <c r="Q5" s="11">
        <v>482454</v>
      </c>
      <c r="R5" s="10"/>
      <c r="S5" s="10"/>
      <c r="T5" s="11">
        <v>449058</v>
      </c>
      <c r="U5" s="10"/>
      <c r="V5" s="10"/>
      <c r="W5" s="11">
        <v>180040</v>
      </c>
      <c r="X5" s="10"/>
      <c r="Y5" s="10"/>
      <c r="Z5" s="11">
        <v>304849</v>
      </c>
      <c r="AA5" s="10"/>
      <c r="AB5" s="10"/>
      <c r="AC5" s="11">
        <v>183928</v>
      </c>
      <c r="AD5" s="10"/>
      <c r="AE5" s="10"/>
      <c r="AF5" s="11">
        <v>1209699</v>
      </c>
      <c r="AG5" s="10"/>
      <c r="AH5" s="10"/>
      <c r="AI5" s="11">
        <v>954852</v>
      </c>
      <c r="AJ5" s="10"/>
      <c r="AK5" s="10"/>
      <c r="AL5" s="11">
        <v>884076</v>
      </c>
      <c r="AM5" s="11"/>
      <c r="AN5" s="10"/>
      <c r="AO5" s="11">
        <v>799668</v>
      </c>
      <c r="AP5" s="10"/>
      <c r="AQ5" s="10"/>
      <c r="AR5" s="11">
        <v>897373</v>
      </c>
      <c r="AS5" s="10"/>
      <c r="AT5" s="10"/>
      <c r="AU5" s="11">
        <v>652900</v>
      </c>
      <c r="AV5" s="10"/>
      <c r="AW5" s="10"/>
      <c r="AX5" s="11">
        <v>1427387</v>
      </c>
      <c r="AY5" s="10"/>
      <c r="AZ5" s="10"/>
      <c r="BA5" s="11">
        <v>1537359</v>
      </c>
      <c r="BB5" s="10"/>
      <c r="BC5" s="10"/>
      <c r="BD5" s="11">
        <v>541604</v>
      </c>
      <c r="BE5" s="10"/>
      <c r="BF5" s="10"/>
      <c r="BG5" s="11">
        <v>1281709</v>
      </c>
      <c r="BH5" s="10"/>
      <c r="BI5" s="10"/>
      <c r="BJ5" s="11">
        <v>1297636</v>
      </c>
      <c r="BK5" s="10"/>
      <c r="BL5" s="10"/>
      <c r="BM5" s="11">
        <v>1192121</v>
      </c>
      <c r="BN5" s="10"/>
      <c r="BO5" s="10"/>
      <c r="BP5" s="11">
        <v>482240</v>
      </c>
      <c r="BQ5" s="10"/>
      <c r="BR5" s="10"/>
      <c r="BS5" s="11">
        <v>538543</v>
      </c>
      <c r="BT5" s="11"/>
      <c r="BU5" s="10"/>
      <c r="BV5" s="11">
        <v>535780</v>
      </c>
      <c r="BW5" s="10"/>
      <c r="BX5" s="10"/>
      <c r="BY5" s="11">
        <v>169028</v>
      </c>
      <c r="BZ5" s="11"/>
      <c r="CA5" s="10"/>
      <c r="CB5" s="11">
        <v>175520</v>
      </c>
      <c r="CC5" s="10"/>
      <c r="CD5" s="10"/>
      <c r="CE5" s="11">
        <v>253753</v>
      </c>
      <c r="CF5" s="10"/>
      <c r="CG5" s="10"/>
      <c r="CH5" s="11">
        <v>340040</v>
      </c>
      <c r="CI5" s="10"/>
      <c r="CJ5" s="10"/>
      <c r="CK5" s="11">
        <v>526578</v>
      </c>
      <c r="CL5" s="10"/>
      <c r="CM5" s="10"/>
      <c r="CN5" s="11">
        <v>1577091</v>
      </c>
      <c r="CP5" s="10"/>
      <c r="CQ5">
        <v>399674</v>
      </c>
      <c r="CS5" s="10"/>
      <c r="CT5">
        <v>1125264</v>
      </c>
      <c r="CV5" s="10"/>
      <c r="CW5">
        <v>2966427</v>
      </c>
      <c r="CZ5">
        <v>110262</v>
      </c>
      <c r="DC5" s="1">
        <v>454041</v>
      </c>
      <c r="DE5"/>
      <c r="DF5" s="1">
        <v>485994</v>
      </c>
      <c r="DI5">
        <v>558203</v>
      </c>
      <c r="DL5">
        <v>560683</v>
      </c>
      <c r="DO5">
        <v>263160</v>
      </c>
      <c r="DR5" s="1">
        <v>942345</v>
      </c>
      <c r="DT5" s="35"/>
      <c r="DU5" s="35">
        <v>3638961</v>
      </c>
      <c r="DX5">
        <v>3183830</v>
      </c>
      <c r="EA5">
        <v>1847129</v>
      </c>
      <c r="ED5">
        <v>1857925</v>
      </c>
      <c r="EG5">
        <v>1616164</v>
      </c>
      <c r="EJ5">
        <v>2374068</v>
      </c>
      <c r="EM5">
        <v>248992</v>
      </c>
      <c r="EP5">
        <v>651463</v>
      </c>
      <c r="ET5">
        <v>66</v>
      </c>
      <c r="EU5" s="10" t="s">
        <v>4</v>
      </c>
      <c r="EW5">
        <v>1068219</v>
      </c>
      <c r="EZ5">
        <v>1390291</v>
      </c>
      <c r="FC5">
        <v>1719170</v>
      </c>
      <c r="FF5">
        <v>1673097</v>
      </c>
      <c r="FH5" s="44"/>
      <c r="FI5">
        <v>2291647</v>
      </c>
      <c r="FL5">
        <v>904483</v>
      </c>
      <c r="FO5">
        <v>2777584</v>
      </c>
      <c r="FR5">
        <v>2785895</v>
      </c>
      <c r="FT5" s="44"/>
      <c r="FU5">
        <v>1971260</v>
      </c>
      <c r="FX5">
        <v>840868</v>
      </c>
      <c r="GA5">
        <v>1965601</v>
      </c>
      <c r="GC5" s="44"/>
      <c r="GD5">
        <v>1816655</v>
      </c>
      <c r="GF5" s="44"/>
      <c r="GG5">
        <v>2514624</v>
      </c>
      <c r="GI5" s="44"/>
      <c r="GJ5">
        <v>565700</v>
      </c>
      <c r="GL5" s="38"/>
      <c r="GM5">
        <v>1076223</v>
      </c>
      <c r="GP5">
        <v>1296516</v>
      </c>
      <c r="GR5" s="44"/>
      <c r="GS5">
        <v>3342313</v>
      </c>
      <c r="GV5">
        <v>1807988</v>
      </c>
      <c r="GY5">
        <v>2701054</v>
      </c>
      <c r="HA5" s="44"/>
      <c r="HB5">
        <v>712012</v>
      </c>
      <c r="HE5">
        <v>775014</v>
      </c>
      <c r="HG5" s="44"/>
      <c r="HH5">
        <v>596990</v>
      </c>
      <c r="HK5">
        <v>880236</v>
      </c>
      <c r="HM5" s="44"/>
      <c r="HN5">
        <v>3373093</v>
      </c>
      <c r="HQ5">
        <v>1220644</v>
      </c>
      <c r="HT5">
        <v>572688</v>
      </c>
      <c r="HW5">
        <v>2011131</v>
      </c>
      <c r="HZ5">
        <v>2422625</v>
      </c>
      <c r="IC5">
        <v>1003852</v>
      </c>
      <c r="IF5">
        <v>2306268</v>
      </c>
      <c r="II5">
        <v>2040358</v>
      </c>
      <c r="IL5">
        <v>2653556</v>
      </c>
      <c r="IN5" s="44"/>
      <c r="IO5">
        <v>2952465</v>
      </c>
      <c r="IR5">
        <v>5014208</v>
      </c>
    </row>
    <row r="6" spans="1:252">
      <c r="A6">
        <v>0.83</v>
      </c>
      <c r="B6">
        <v>217</v>
      </c>
      <c r="C6" s="10" t="s">
        <v>8</v>
      </c>
      <c r="D6" s="12">
        <f t="shared" ref="D6:D17" si="0">(E6/E$5)*(61.5/(9*0.5*$A6))</f>
        <v>28.502243965879483</v>
      </c>
      <c r="E6" s="11">
        <v>1071462</v>
      </c>
      <c r="F6" s="10"/>
      <c r="G6" s="12">
        <f t="shared" ref="G6:G17" si="1">(H6/H$5)*(61.5/(9*0.5*$A6))</f>
        <v>78.979446858779724</v>
      </c>
      <c r="H6" s="11">
        <v>1326128</v>
      </c>
      <c r="I6" s="11"/>
      <c r="J6" s="12">
        <f t="shared" ref="J6:J17" si="2">(K6/K$5)*(61.5/(9*0.5*$A6))</f>
        <v>76.872564817719564</v>
      </c>
      <c r="K6" s="11">
        <v>1344380</v>
      </c>
      <c r="L6" s="10"/>
      <c r="M6" s="12">
        <f t="shared" ref="M6:M17" si="3">(N6/N$5)*(61.5/(9*0.5*$A6))</f>
        <v>24.90048985491374</v>
      </c>
      <c r="N6" s="11">
        <v>687405</v>
      </c>
      <c r="O6" s="11"/>
      <c r="P6" s="12">
        <f t="shared" ref="P6:P17" si="4">(Q6/Q$5)*(61.5/(9*0.5*$A6))</f>
        <v>25.315001419366652</v>
      </c>
      <c r="Q6" s="11">
        <v>741736</v>
      </c>
      <c r="R6" s="10"/>
      <c r="S6" s="12">
        <f t="shared" ref="S6:S17" si="5">(T6/T$5)*(61.5/(8*0.5*$A6))</f>
        <v>55.279324478277339</v>
      </c>
      <c r="T6" s="11">
        <v>1340072</v>
      </c>
      <c r="U6" s="10"/>
      <c r="V6" s="12">
        <f t="shared" ref="V6:V17" si="6">(W6/W$5)*(61.5/(8*0.5*$A6))</f>
        <v>23.239900838635595</v>
      </c>
      <c r="W6" s="11">
        <v>225874</v>
      </c>
      <c r="X6" s="10"/>
      <c r="Y6" s="12">
        <f t="shared" ref="Y6:Y17" si="7">(Z6/Z$5)*(61.5/(8*0.5*$A6))</f>
        <v>3.3550690926698965</v>
      </c>
      <c r="Z6" s="11">
        <v>55214</v>
      </c>
      <c r="AA6" s="10"/>
      <c r="AB6" s="12">
        <f t="shared" ref="AB6:AB17" si="8">(AC6/AC$5)*(61.5/(8*0.5*$A6))</f>
        <v>25.154693193198177</v>
      </c>
      <c r="AC6" s="11">
        <v>249764</v>
      </c>
      <c r="AD6" s="10"/>
      <c r="AE6" s="12">
        <f t="shared" ref="AE6:AE17" si="9">(AF6/AF$5)*(61.5/(6*0.5*$A6))</f>
        <v>16.649496707918491</v>
      </c>
      <c r="AF6" s="11">
        <v>815460</v>
      </c>
      <c r="AG6" s="10"/>
      <c r="AH6" s="12">
        <f t="shared" ref="AH6:AH17" si="10">(AI6/AI$5)*(61.5/(6*0.5*$A6))</f>
        <v>9.8578211502555959</v>
      </c>
      <c r="AI6" s="11">
        <v>381102</v>
      </c>
      <c r="AJ6" s="10"/>
      <c r="AK6" s="12">
        <f t="shared" ref="AK6:AK17" si="11">(AL6/AL$5)*(61.5/(5*0.5*$A6))</f>
        <v>72.665710689322523</v>
      </c>
      <c r="AL6" s="11">
        <v>2167515</v>
      </c>
      <c r="AM6" s="11"/>
      <c r="AN6" s="12">
        <f t="shared" ref="AN6:AN17" si="12">(AO6/AO$5)*(61.5/(5*0.5*$A6))</f>
        <v>70.593914848155961</v>
      </c>
      <c r="AO6" s="11">
        <v>1904671</v>
      </c>
      <c r="AP6" s="10"/>
      <c r="AQ6" s="12">
        <f t="shared" ref="AQ6:AQ17" si="13">(AR6/AR$5)*(61.5/(6*0.5*$A6))</f>
        <v>11.665261113768505</v>
      </c>
      <c r="AR6" s="11">
        <v>423830</v>
      </c>
      <c r="AS6" s="10"/>
      <c r="AT6" s="12">
        <f t="shared" ref="AT6:AT17" si="14">(AU6/AU$5)*(61.5/(7*0.5*$A6))</f>
        <v>72.650709175454196</v>
      </c>
      <c r="AU6" s="11">
        <v>2240565</v>
      </c>
      <c r="AV6" s="10"/>
      <c r="AW6" s="12">
        <f t="shared" ref="AW6:AW17" si="15">(AX6/AX$5)*(61.5/(7*0.5*$A6))</f>
        <v>88.992365618527103</v>
      </c>
      <c r="AX6" s="11">
        <v>6000197</v>
      </c>
      <c r="AY6" s="10"/>
      <c r="AZ6" s="12">
        <f t="shared" ref="AZ6:AZ17" si="16">(BA6/BA$5)*(61.5/(7*0.5*$A6))</f>
        <v>69.737768957665679</v>
      </c>
      <c r="BA6" s="11">
        <v>5064241</v>
      </c>
      <c r="BB6" s="10"/>
      <c r="BC6" s="12">
        <f t="shared" ref="BC6:BC17" si="17">(BD6/BD$5)*(61.5/(7*0.5*$A6))</f>
        <v>25.643664351828225</v>
      </c>
      <c r="BD6" s="11">
        <v>656044</v>
      </c>
      <c r="BE6" s="10"/>
      <c r="BF6" s="12">
        <f t="shared" ref="BF6:BF17" si="18">(BG6/BG$5)*(61.5/(7*0.5*$A6))</f>
        <v>138.11431622486171</v>
      </c>
      <c r="BG6" s="11">
        <v>8361788</v>
      </c>
      <c r="BH6" s="10"/>
      <c r="BI6" s="12">
        <f t="shared" ref="BI6:BI17" si="19">(BJ6/BJ$5)*(61.5/(7*0.5*$A6))</f>
        <v>146.92153843810422</v>
      </c>
      <c r="BJ6" s="11">
        <v>9005532</v>
      </c>
      <c r="BK6" s="10"/>
      <c r="BL6" s="12">
        <f t="shared" ref="BL6:BL17" si="20">(BM6/BM$5)*(61.5/(6*0.5*$A6))</f>
        <v>189.47172601940233</v>
      </c>
      <c r="BM6" s="11">
        <v>9145111</v>
      </c>
      <c r="BN6" s="10"/>
      <c r="BO6" s="12">
        <f t="shared" ref="BO6:BO17" si="21">(BP6/BP$5)*(61.5/(7*0.5*$A6))</f>
        <v>80.154427074113116</v>
      </c>
      <c r="BP6" s="11">
        <v>1825836</v>
      </c>
      <c r="BQ6" s="10"/>
      <c r="BR6" s="12">
        <f t="shared" ref="BR6:BR17" si="22">(BS6/BS$5)*(61.5/(7*0.5*$A6))</f>
        <v>3.3516920517005464</v>
      </c>
      <c r="BS6" s="11">
        <v>85262</v>
      </c>
      <c r="BT6" s="11"/>
      <c r="BU6" s="12">
        <f t="shared" ref="BU6:BU17" si="23">(BV6/BV$5)*(61.5/(7*0.5*$A6))</f>
        <v>3.3404085564700852</v>
      </c>
      <c r="BV6" s="11">
        <v>84539</v>
      </c>
      <c r="BW6" s="10"/>
      <c r="BX6" s="12">
        <f t="shared" ref="BX6:BX17" si="24">(BY6/BY$5)*(61.5/(6*0.5*$A6))</f>
        <v>24.122341889031862</v>
      </c>
      <c r="BY6" s="11">
        <v>165083</v>
      </c>
      <c r="BZ6" s="11"/>
      <c r="CA6" s="12">
        <f t="shared" ref="CA6:CA17" si="25">(CB6/CB$5)*(61.5/(6*0.5*$A6))</f>
        <v>24.360790930357712</v>
      </c>
      <c r="CB6" s="11">
        <v>173118</v>
      </c>
      <c r="CC6" s="10"/>
      <c r="CD6" s="12">
        <f t="shared" ref="CD6:CD17" si="26">(CE6/CE$5)*(61.5/(6*0.5*$A6))</f>
        <v>104.32745076691836</v>
      </c>
      <c r="CE6" s="11">
        <v>1071850</v>
      </c>
      <c r="CF6" s="10"/>
      <c r="CG6" s="12">
        <f t="shared" ref="CG6:CG17" si="27">(CH6/CH$5)*(61.5/(9*0.5*$A6))</f>
        <v>149.58789516376294</v>
      </c>
      <c r="CH6" s="11">
        <v>3089171</v>
      </c>
      <c r="CI6" s="10"/>
      <c r="CJ6" s="12">
        <f t="shared" ref="CJ6:CJ17" si="28">(CK6/CK$5)*(61.5/(6*0.5*$A6))</f>
        <v>70.144272496936011</v>
      </c>
      <c r="CK6" s="11">
        <v>1495475</v>
      </c>
      <c r="CL6" s="10"/>
      <c r="CM6" s="12">
        <f t="shared" ref="CM6:CM17" si="29">(CN6/CN$5)*(61.5/(8*0.5*$A6))</f>
        <v>6.6644138151779266</v>
      </c>
      <c r="CN6" s="11">
        <v>567390</v>
      </c>
      <c r="CP6" s="12">
        <f t="shared" ref="CP6:CP17" si="30">(CQ6/CQ$5)*(61.5/(8*0.5*$A6))</f>
        <v>37.655259066259482</v>
      </c>
      <c r="CQ6">
        <v>812446</v>
      </c>
      <c r="CS6" s="12">
        <f t="shared" ref="CS6:CS17" si="31">(CT6/CT$5)*(61.5/(8*0.5*$A6))</f>
        <v>120.89209089696671</v>
      </c>
      <c r="CT6">
        <v>7343706</v>
      </c>
      <c r="CV6" s="12">
        <f t="shared" ref="CV6:CV17" si="32">(CW6/CW$5)*(61.5/(8*0.5*$A6))</f>
        <v>24.179289677771898</v>
      </c>
      <c r="CW6">
        <v>3872043</v>
      </c>
      <c r="CY6" s="12">
        <f t="shared" ref="CY6:CY17" si="33">(CZ6/CZ$5)*(61.5/(10*0.5*$A6))</f>
        <v>21.5159205685997</v>
      </c>
      <c r="CZ6">
        <v>160088</v>
      </c>
      <c r="DB6" s="12">
        <f t="shared" ref="DB6:DB17" si="34">(DC6/DC$5)*(61.5/(10*0.5*$A6))</f>
        <v>12.384565716333192</v>
      </c>
      <c r="DC6" s="1">
        <v>379445</v>
      </c>
      <c r="DE6" s="12">
        <f t="shared" ref="DE6:DE17" si="35">(DF6/DF$5)*(61.5/(10*0.5*$A6))</f>
        <v>12.34256722193655</v>
      </c>
      <c r="DF6" s="1">
        <v>404771</v>
      </c>
      <c r="DH6" s="12">
        <f t="shared" ref="DH6:DH17" si="36">(DI6/DI$5)*(61.5/(10*0.5*$A6))</f>
        <v>78.794750771780599</v>
      </c>
      <c r="DI6">
        <v>2967990</v>
      </c>
      <c r="DK6" s="12">
        <f t="shared" ref="DK6:DK17" si="37">(DL6/DL$5)*(61.5/(10*0.5*$A6))</f>
        <v>79.818169057966287</v>
      </c>
      <c r="DL6">
        <v>3019897</v>
      </c>
      <c r="DN6" s="12">
        <f t="shared" ref="DN6:DN17" si="38">(DO6/DO$5)*(61.5/(10*0.5*$A6))</f>
        <v>26.889025321532369</v>
      </c>
      <c r="DO6">
        <v>477494</v>
      </c>
      <c r="DQ6" s="12">
        <f t="shared" ref="DQ6:DQ17" si="39">(DR6/DR$5)*(61.5/(10*0.5*$A6))</f>
        <v>4.3419996781932184</v>
      </c>
      <c r="DR6" s="1">
        <v>276104</v>
      </c>
      <c r="DS6" s="13"/>
      <c r="DT6" s="36">
        <f t="shared" ref="DT6:DT17" si="40">(DU6/DU$5)*(61.5/(10*0.5*$A6))</f>
        <v>2.3637020673082834</v>
      </c>
      <c r="DU6" s="35">
        <v>580421</v>
      </c>
      <c r="DV6" s="13"/>
      <c r="DW6" s="12">
        <f t="shared" ref="DW6:DW17" si="41">(DX6/DX$5)*(61.5/(10*0.5*$A6))</f>
        <v>5.0597128433894643</v>
      </c>
      <c r="DX6">
        <v>1087048</v>
      </c>
      <c r="DY6" s="13"/>
      <c r="DZ6" s="12">
        <f t="shared" ref="DZ6:DZ17" si="42">(EA6/EA$5)*(61.5/(10*0.5*$A6))</f>
        <v>2.7255216067746217</v>
      </c>
      <c r="EA6">
        <v>339719</v>
      </c>
      <c r="EC6" s="12">
        <f t="shared" ref="EC6:EC17" si="43">(ED6/ED$5)*(61.5/(10*0.5*$A6))</f>
        <v>2.7396190626575088</v>
      </c>
      <c r="ED6">
        <v>343472</v>
      </c>
      <c r="EF6" s="12">
        <f t="shared" ref="EF6:EF17" si="44">(EG6/EG$5)*(61.5/(5*0.5*$A6))</f>
        <v>5.3908636493797317</v>
      </c>
      <c r="EG6">
        <v>293959</v>
      </c>
      <c r="EI6" s="12">
        <f t="shared" ref="EI6:EI17" si="45">(EJ6/EJ$5)*(61.5/(7*0.5*$A6))</f>
        <v>5.6965816855947802</v>
      </c>
      <c r="EJ6">
        <v>638820</v>
      </c>
      <c r="EL6" s="12">
        <f t="shared" ref="EL6:EL17" si="46">(EM6/EM$5)*(61.5/(7*0.5*$A6))</f>
        <v>9.0664070440795257</v>
      </c>
      <c r="EM6">
        <v>106633</v>
      </c>
      <c r="EO6" s="12">
        <f t="shared" ref="EO6:EO17" si="47">(EP6/EP$5)*(61.5/(7*0.5*$A6))</f>
        <v>12.829468590519404</v>
      </c>
      <c r="EP6">
        <v>394793</v>
      </c>
      <c r="ES6">
        <v>0.95599999999999996</v>
      </c>
      <c r="ET6">
        <v>217</v>
      </c>
      <c r="EU6" s="10" t="s">
        <v>8</v>
      </c>
      <c r="EV6" s="44">
        <f>(EW6/EW$5)*((61.5/(0.71+(3*0.73)))/ES6)</f>
        <v>25.8613623038428</v>
      </c>
      <c r="EW6">
        <v>1245353</v>
      </c>
      <c r="EY6" s="44">
        <f>(EZ6/EZ$5)*((61.5/((4*0.73)+0.71))/ES6)</f>
        <v>63.257861836248289</v>
      </c>
      <c r="EZ6">
        <v>4962604</v>
      </c>
      <c r="FB6" s="44">
        <f>(FC6/FC$5)*((61.5/(5*0.73))/ES6)</f>
        <v>95.992007979231033</v>
      </c>
      <c r="FC6">
        <v>9363313</v>
      </c>
      <c r="FE6" s="44">
        <f>(FF6/FF$5)*((61.5/(4*0.73))/ES6)</f>
        <v>84.266196313900778</v>
      </c>
      <c r="FF6">
        <v>6399413</v>
      </c>
      <c r="FH6" s="44">
        <f>(FI6/FI$5)*((61.5/(5*0.73))/ES6)</f>
        <v>98.771401825699343</v>
      </c>
      <c r="FI6">
        <v>12842648</v>
      </c>
      <c r="FK6" s="44">
        <f>(FL6/FL$5)*((61.5/(5*0.73))/ES6)</f>
        <v>50.455128365269303</v>
      </c>
      <c r="FL6">
        <v>2589294</v>
      </c>
      <c r="FN6" s="44">
        <f>(FO6/FO$5)*((61.5/(0.71+(3*0.73)))/ES6)</f>
        <v>21.170084724403406</v>
      </c>
      <c r="FO6">
        <v>2650761</v>
      </c>
      <c r="FQ6" s="44">
        <f>(FR6/FR$5)*((61.5/(0.71+(4*0.73)))/ES6)</f>
        <v>12.201831532230003</v>
      </c>
      <c r="FR6">
        <v>1918135</v>
      </c>
      <c r="FT6" s="44">
        <f>(FU6/FU$5)*((61.5/(5*0.73))/ES6)</f>
        <v>8.9965586616842277</v>
      </c>
      <c r="FU6">
        <v>1006227</v>
      </c>
      <c r="FW6" s="44">
        <f>(FX6/FX$5)*((61.5/(4*0.73))/ES6)</f>
        <v>7.3057488065417671</v>
      </c>
      <c r="FX6">
        <v>278842</v>
      </c>
      <c r="FZ6" s="44">
        <f>(GA6/GA$5)*((61.5/(0.71+(4*0.73)))/ES6)</f>
        <v>7.2138589486674718</v>
      </c>
      <c r="GA6">
        <v>800115</v>
      </c>
      <c r="GC6" s="44">
        <f>(GD6/GD$5)*((61.5/(0.75+(2*0.73)))/ES6)</f>
        <v>18.432906237238477</v>
      </c>
      <c r="GD6">
        <v>1150380</v>
      </c>
      <c r="GF6" s="44">
        <f>(GG6/GG$5)*((61.5/(0.71+(3*0.73)))/ES6)</f>
        <v>43.235804401837498</v>
      </c>
      <c r="GG6">
        <v>4901143</v>
      </c>
      <c r="GI6" s="44">
        <f>(GJ6/GJ$5)*((61.5/(5*0.73))/ES6)</f>
        <v>60.83240772055035</v>
      </c>
      <c r="GJ6">
        <v>1952526</v>
      </c>
      <c r="GL6" s="44">
        <f>(GM6/GM$5)*((10.6397612)/ES6)</f>
        <v>37.045244034607059</v>
      </c>
      <c r="GM6">
        <v>3582290</v>
      </c>
      <c r="GO6" s="44">
        <f>(GP6/GP$5)*((61.5/(0.71+(4*0.73)))/ES6)</f>
        <v>85.57649633736591</v>
      </c>
      <c r="GP6">
        <v>6260684</v>
      </c>
      <c r="GR6" s="44">
        <f>(GS6/GS$5)*((61.5/(4*0.73))/ES6)</f>
        <v>48.896671125511922</v>
      </c>
      <c r="GS6">
        <v>7418089</v>
      </c>
      <c r="GU6" s="44">
        <f>(GV6/GV$5)*((61.5/((5*0.98)+(5*0.48)))/ES6)</f>
        <v>65.252350829933832</v>
      </c>
      <c r="GV6">
        <v>13387434</v>
      </c>
      <c r="GX6" s="44">
        <f>(GY6/GY$5)*((61.5/(0.96+0.46+(4*0.98)+(4*0.48)))/ES6)</f>
        <v>39.961478281305517</v>
      </c>
      <c r="GY6">
        <v>12181316</v>
      </c>
      <c r="HA6" s="44">
        <f>(HB6/HB$5)*((61.5/(0.98+0.48+(4*0.73)))/ES6)</f>
        <v>118.78469723881634</v>
      </c>
      <c r="HB6">
        <v>5758438</v>
      </c>
      <c r="HD6" s="44">
        <f>(HE6/HE$5)*((61.5/((5*0.48)+(5*0.98)))/ES6)</f>
        <v>113.04374007637036</v>
      </c>
      <c r="HE6">
        <v>9941724</v>
      </c>
      <c r="HG6" s="44">
        <f>(HH6/HH$5)*((61.5/((5*0.48)+(5*0.98)))/ES6)</f>
        <v>95.780545280205388</v>
      </c>
      <c r="HH6">
        <v>6488585</v>
      </c>
      <c r="HJ6" s="44">
        <f>(HK6/HK$5)*((61.5/((5*0.48)+(5*0.98)))/ES6)</f>
        <v>80.268490016810887</v>
      </c>
      <c r="HK6">
        <v>8017701</v>
      </c>
      <c r="HM6" s="44">
        <f>(HN6/HN$5)*((61.5/(0.96+0.46+(4*0.48)+(4*0.98)))/ES6)</f>
        <v>31.687503864331667</v>
      </c>
      <c r="HN6">
        <v>12062456</v>
      </c>
      <c r="HP6" s="44">
        <f>(HQ6/HQ$5)*((61.5/(0.96+0.46+(4*0.48)+(3*0.98)))/ES6)</f>
        <v>3.1124974132839514</v>
      </c>
      <c r="HQ6">
        <v>370886</v>
      </c>
      <c r="HS6" s="44">
        <f>(HT6/HT$5)*((61.5/((5*0.48)+(5*0.98)))/ES6)</f>
        <v>1.8028028233568247</v>
      </c>
      <c r="HT6">
        <v>117158</v>
      </c>
      <c r="HV6" s="44">
        <f>(HW6/HW$5)*((61.5/(0.46+(5*0.98)+(4*0.48)))/ES6)</f>
        <v>7.3574666376291109</v>
      </c>
      <c r="HW6">
        <v>1674491</v>
      </c>
      <c r="HY6" s="44">
        <f>(HZ6/HZ$5)*((61.5/((5*0.98)+(3*0.48)+(2*0.46)))/ES6)</f>
        <v>17.343586984064363</v>
      </c>
      <c r="HZ6">
        <v>4741814</v>
      </c>
      <c r="IB6" s="44">
        <f>(IC6/IC$5)*((61.5/(0.46+(4*0.98)+(3*0.48)))/ES6)</f>
        <v>12.020383201889329</v>
      </c>
      <c r="IC6">
        <v>1091676</v>
      </c>
      <c r="IE6" s="44">
        <f>(IF6/IF$5)*((61.5/(0.46+(5*0.98)+(4*0.48)))/ES6)</f>
        <v>28.993321306721025</v>
      </c>
      <c r="IF6">
        <v>7566968</v>
      </c>
      <c r="IH6" s="44">
        <f>(II6/II$5)*((61.5/((5*0.98)+(3*0.48)+(2*0.46)))/ES6)</f>
        <v>57.060700928339536</v>
      </c>
      <c r="II6">
        <v>13139017</v>
      </c>
      <c r="IK6" s="44">
        <f>(IL6/IL$5)*((61.5/(0.46+(5*0.98)+(5*0.48)))/ES6)</f>
        <v>36.328640799511462</v>
      </c>
      <c r="IL6">
        <v>11628452</v>
      </c>
      <c r="IN6" s="44">
        <f>(IO6/IO$5)*((61.5/((3*0.98)+(5*0.48)+(2*0.96)))/ES6)</f>
        <v>45.53179249252026</v>
      </c>
      <c r="IO6">
        <v>15171164</v>
      </c>
      <c r="IQ6" s="44">
        <f>(IR6/IR$5)*((61.5/((5*0.98)+(3*0.48)+(2*0.46)))/ES6)</f>
        <v>34.006841211019299</v>
      </c>
      <c r="IR6">
        <v>19243676</v>
      </c>
    </row>
    <row r="7" spans="1:252">
      <c r="A7">
        <v>2.5179999999999998</v>
      </c>
      <c r="B7">
        <v>217</v>
      </c>
      <c r="C7" s="10" t="s">
        <v>10</v>
      </c>
      <c r="D7" s="12">
        <f t="shared" si="0"/>
        <v>0</v>
      </c>
      <c r="E7" s="11">
        <v>0</v>
      </c>
      <c r="F7" s="11"/>
      <c r="G7" s="12">
        <f t="shared" si="1"/>
        <v>1.1004963557081122</v>
      </c>
      <c r="H7" s="11">
        <v>56058</v>
      </c>
      <c r="I7" s="11"/>
      <c r="J7" s="12">
        <f t="shared" si="2"/>
        <v>1.1043206494034858</v>
      </c>
      <c r="K7" s="11">
        <v>58590</v>
      </c>
      <c r="L7" s="10"/>
      <c r="M7" s="12">
        <f t="shared" si="3"/>
        <v>0.19834138836703771</v>
      </c>
      <c r="N7" s="11">
        <v>16611</v>
      </c>
      <c r="O7" s="11"/>
      <c r="P7" s="12">
        <f t="shared" si="4"/>
        <v>0.22281670082170882</v>
      </c>
      <c r="Q7" s="11">
        <v>19806</v>
      </c>
      <c r="R7" s="10"/>
      <c r="S7" s="12">
        <f t="shared" si="5"/>
        <v>0</v>
      </c>
      <c r="T7" s="11"/>
      <c r="U7" s="10"/>
      <c r="V7" s="12">
        <f t="shared" si="6"/>
        <v>0</v>
      </c>
      <c r="W7" s="11"/>
      <c r="X7" s="10"/>
      <c r="Y7" s="12">
        <f t="shared" si="7"/>
        <v>0.11034366286905918</v>
      </c>
      <c r="Z7" s="11">
        <v>5509</v>
      </c>
      <c r="AA7" s="10"/>
      <c r="AB7" s="12">
        <f t="shared" si="8"/>
        <v>2.4106375162722964</v>
      </c>
      <c r="AC7" s="11">
        <v>72614</v>
      </c>
      <c r="AD7" s="10"/>
      <c r="AE7" s="12">
        <f t="shared" si="9"/>
        <v>6.6372138663963895E-2</v>
      </c>
      <c r="AF7" s="11">
        <v>9862</v>
      </c>
      <c r="AG7" s="10"/>
      <c r="AH7" s="12">
        <f t="shared" si="10"/>
        <v>0</v>
      </c>
      <c r="AI7" s="11"/>
      <c r="AJ7" s="10"/>
      <c r="AK7" s="12">
        <f t="shared" si="11"/>
        <v>0.89779200226249345</v>
      </c>
      <c r="AL7" s="11">
        <v>81243</v>
      </c>
      <c r="AM7" s="11"/>
      <c r="AN7" s="12">
        <f t="shared" si="12"/>
        <v>0.96640046048021777</v>
      </c>
      <c r="AO7" s="11">
        <v>79102</v>
      </c>
      <c r="AP7" s="10"/>
      <c r="AQ7" s="12">
        <f t="shared" si="13"/>
        <v>0.17175984229112592</v>
      </c>
      <c r="AR7" s="11">
        <v>18932</v>
      </c>
      <c r="AS7" s="10"/>
      <c r="AT7" s="12">
        <f t="shared" si="14"/>
        <v>0.10932962428951913</v>
      </c>
      <c r="AU7" s="11">
        <v>10229</v>
      </c>
      <c r="AV7" s="10"/>
      <c r="AW7" s="12">
        <f t="shared" si="15"/>
        <v>0.16770822878287309</v>
      </c>
      <c r="AX7" s="11">
        <v>34304</v>
      </c>
      <c r="AY7" s="10"/>
      <c r="AZ7" s="12">
        <f t="shared" si="16"/>
        <v>1.3698657833025976</v>
      </c>
      <c r="BA7" s="11">
        <v>301788</v>
      </c>
      <c r="BB7" s="10"/>
      <c r="BC7" s="12">
        <f t="shared" si="17"/>
        <v>0.69634586922992159</v>
      </c>
      <c r="BD7" s="11">
        <v>54045</v>
      </c>
      <c r="BE7" s="10"/>
      <c r="BF7" s="12">
        <f t="shared" si="18"/>
        <v>0</v>
      </c>
      <c r="BG7" s="11"/>
      <c r="BH7" s="10"/>
      <c r="BI7" s="12">
        <f t="shared" si="19"/>
        <v>0</v>
      </c>
      <c r="BJ7" s="11"/>
      <c r="BK7" s="10"/>
      <c r="BL7" s="12">
        <f t="shared" si="20"/>
        <v>6.9416813114772902</v>
      </c>
      <c r="BM7" s="11">
        <v>1016452</v>
      </c>
      <c r="BN7" s="10"/>
      <c r="BO7" s="12">
        <f t="shared" si="21"/>
        <v>0.53605085191531399</v>
      </c>
      <c r="BP7" s="11">
        <v>37044</v>
      </c>
      <c r="BQ7" s="10"/>
      <c r="BR7" s="12">
        <f t="shared" si="22"/>
        <v>0.15623208233180297</v>
      </c>
      <c r="BS7" s="11">
        <v>12057</v>
      </c>
      <c r="BT7" s="11"/>
      <c r="BU7" s="12">
        <f t="shared" si="23"/>
        <v>0.13470055377734402</v>
      </c>
      <c r="BV7" s="11">
        <v>10342</v>
      </c>
      <c r="BW7" s="10"/>
      <c r="BX7" s="12">
        <f t="shared" si="24"/>
        <v>0.19401215712403036</v>
      </c>
      <c r="BY7" s="11">
        <v>4028</v>
      </c>
      <c r="BZ7" s="11"/>
      <c r="CA7" s="12">
        <f t="shared" si="25"/>
        <v>0.17125103991462021</v>
      </c>
      <c r="CB7" s="11">
        <v>3692</v>
      </c>
      <c r="CC7" s="10"/>
      <c r="CD7" s="12">
        <f t="shared" si="26"/>
        <v>0.46178335560481854</v>
      </c>
      <c r="CE7" s="11">
        <v>14393</v>
      </c>
      <c r="CF7" s="10"/>
      <c r="CG7" s="12">
        <f t="shared" si="27"/>
        <v>1.5801202132397201</v>
      </c>
      <c r="CH7" s="11">
        <v>98995</v>
      </c>
      <c r="CI7" s="10"/>
      <c r="CJ7" s="12">
        <f t="shared" si="28"/>
        <v>0.25001859006329147</v>
      </c>
      <c r="CK7" s="11">
        <v>16171</v>
      </c>
      <c r="CL7" s="10"/>
      <c r="CM7" s="12">
        <f t="shared" si="29"/>
        <v>0.45743848059637904</v>
      </c>
      <c r="CN7" s="11">
        <v>118149</v>
      </c>
      <c r="CP7" s="12">
        <f t="shared" si="30"/>
        <v>6.8183672353810301E-2</v>
      </c>
      <c r="CQ7">
        <v>4463</v>
      </c>
      <c r="CS7" s="12">
        <f t="shared" si="31"/>
        <v>5.4387951813699043E-2</v>
      </c>
      <c r="CT7">
        <v>10023</v>
      </c>
      <c r="CV7" s="12">
        <f t="shared" si="32"/>
        <v>5.1171347991432491E-2</v>
      </c>
      <c r="CW7">
        <v>24860</v>
      </c>
      <c r="CY7" s="12">
        <f t="shared" si="33"/>
        <v>0</v>
      </c>
      <c r="DB7" s="12">
        <f t="shared" si="34"/>
        <v>0</v>
      </c>
      <c r="DE7" s="12">
        <f t="shared" si="35"/>
        <v>0</v>
      </c>
      <c r="DH7" s="12">
        <f t="shared" si="36"/>
        <v>1.4446922941595219</v>
      </c>
      <c r="DI7">
        <v>165089</v>
      </c>
      <c r="DK7" s="12">
        <f t="shared" si="37"/>
        <v>1.4655803243444874</v>
      </c>
      <c r="DL7">
        <v>168220</v>
      </c>
      <c r="DN7" s="12">
        <f t="shared" si="38"/>
        <v>0.32435592778959121</v>
      </c>
      <c r="DO7">
        <v>17474</v>
      </c>
      <c r="DQ7" s="12">
        <f t="shared" si="39"/>
        <v>5.9301472800323302E-2</v>
      </c>
      <c r="DR7" s="1">
        <v>11440</v>
      </c>
      <c r="DS7" s="13"/>
      <c r="DT7" s="36">
        <f t="shared" si="40"/>
        <v>0</v>
      </c>
      <c r="DU7" s="35"/>
      <c r="DV7" s="13"/>
      <c r="DW7" s="12">
        <f t="shared" si="41"/>
        <v>2.6323332304596141E-2</v>
      </c>
      <c r="DX7">
        <v>17157</v>
      </c>
      <c r="DY7" s="13"/>
      <c r="DZ7" s="12">
        <f t="shared" si="42"/>
        <v>5.8722283631569269E-2</v>
      </c>
      <c r="EA7">
        <v>22205</v>
      </c>
      <c r="EC7" s="12">
        <f t="shared" si="43"/>
        <v>6.8842589742032348E-2</v>
      </c>
      <c r="ED7">
        <v>26184</v>
      </c>
      <c r="EF7" s="12">
        <f t="shared" si="44"/>
        <v>0.36078782566162682</v>
      </c>
      <c r="EG7">
        <v>59684</v>
      </c>
      <c r="EI7" s="12">
        <f t="shared" si="45"/>
        <v>3.9146884274533E-2</v>
      </c>
      <c r="EJ7">
        <v>13318</v>
      </c>
      <c r="EL7" s="12">
        <f t="shared" si="46"/>
        <v>0.2246028641516408</v>
      </c>
      <c r="EM7">
        <v>8014</v>
      </c>
      <c r="EO7" s="12">
        <f t="shared" si="47"/>
        <v>0.18177888411032883</v>
      </c>
      <c r="EP7">
        <v>16970</v>
      </c>
      <c r="ES7">
        <v>2.6930000000000001</v>
      </c>
      <c r="ET7">
        <v>217</v>
      </c>
      <c r="EU7" s="10" t="s">
        <v>10</v>
      </c>
      <c r="EV7" s="44">
        <f t="shared" ref="EV7:EV17" si="48">(EW7/EW$5)*((61.5/(0.71+(3*0.73)))/ES7)</f>
        <v>0.54044264359494354</v>
      </c>
      <c r="EW7">
        <v>73311</v>
      </c>
      <c r="EY7" s="44">
        <f t="shared" ref="EY7:EY17" si="49">(EZ7/EZ$5)*((61.5/((4*0.73)+0.71))/ES7)</f>
        <v>0.9896715711348445</v>
      </c>
      <c r="EZ7">
        <v>218708</v>
      </c>
      <c r="FB7" s="44">
        <f t="shared" ref="FB7:FB17" si="50">(FC7/FC$5)*((61.5/(5*0.73))/ES7)</f>
        <v>1.6814286754107357</v>
      </c>
      <c r="FC7">
        <v>462010</v>
      </c>
      <c r="FE7" s="44">
        <f t="shared" ref="FE7:FE17" si="51">(FF7/FF$5)*((61.5/(4*0.73))/ES7)</f>
        <v>1.2948587583414481</v>
      </c>
      <c r="FF7">
        <v>277005</v>
      </c>
      <c r="FH7" s="44">
        <f t="shared" ref="FH7:FH17" si="52">(FI7/FI$5)*((61.5/(5*0.73))/ES7)</f>
        <v>2.6907907377129749</v>
      </c>
      <c r="FI7">
        <v>985557</v>
      </c>
      <c r="FK7" s="44">
        <f t="shared" ref="FK7:FK17" si="53">(FL7/FL$5)*((61.5/(5*0.73))/ES7)</f>
        <v>0.24228338533829052</v>
      </c>
      <c r="FL7">
        <v>35025</v>
      </c>
      <c r="FN7" s="44">
        <f t="shared" ref="FN7:FN17" si="54">(FO7/FO$5)*((61.5/(0.71+(3*0.73)))/ES7)</f>
        <v>0.42227900682174779</v>
      </c>
      <c r="FO7">
        <v>148945</v>
      </c>
      <c r="FQ7" s="44">
        <f t="shared" ref="FQ7:FQ17" si="55">(FR7/FR$5)*((61.5/(0.71+(4*0.73)))/ES7)</f>
        <v>0.26320300897912241</v>
      </c>
      <c r="FR7">
        <v>116553</v>
      </c>
      <c r="FT7" s="44">
        <f t="shared" ref="FT7:FT17" si="56">(FU7/FU$5)*((61.5/(5*0.73))/ES7)</f>
        <v>1.4941847865880684</v>
      </c>
      <c r="FU7">
        <v>470763</v>
      </c>
      <c r="FW7" s="44">
        <f t="shared" ref="FW7:FW17" si="57">(FX7/FX$5)*((61.5/(4*0.73))/ES7)</f>
        <v>0</v>
      </c>
      <c r="FX7">
        <v>0</v>
      </c>
      <c r="FZ7" s="44">
        <f t="shared" ref="FZ7:FZ17" si="58">(GA7/GA$5)*((61.5/(0.71+(4*0.73)))/ES7)</f>
        <v>0</v>
      </c>
      <c r="GA7">
        <v>0</v>
      </c>
      <c r="GC7" s="44">
        <f t="shared" ref="GC7:GC17" si="59">(GD7/GD$5)*((61.5/(0.75+(2*0.73)))/ES7)</f>
        <v>2.6766399781405226</v>
      </c>
      <c r="GD7">
        <v>470561</v>
      </c>
      <c r="GF7" s="44">
        <f t="shared" ref="GF7:GF17" si="60">(GG7/GG$5)*((61.5/(0.71+(3*0.73)))/ES7)</f>
        <v>0.98268990698883107</v>
      </c>
      <c r="GG7">
        <v>313797</v>
      </c>
      <c r="GI7" s="44">
        <f t="shared" ref="GI7:GI17" si="61">(GJ7/GJ$5)*((61.5/(5*0.73))/ES7)</f>
        <v>0.57475003733306507</v>
      </c>
      <c r="GJ7">
        <v>51966</v>
      </c>
      <c r="GL7" s="44">
        <f t="shared" ref="GL7:GL17" si="62">(GM7/GM$5)*((10.6397612)/ES7)</f>
        <v>0.64281624712609142</v>
      </c>
      <c r="GM7">
        <v>175103</v>
      </c>
      <c r="GO7" s="44">
        <f t="shared" ref="GO7:GO17" si="63">(GP7/GP$5)*((61.5/(0.71+(4*0.73)))/ES7)</f>
        <v>2.2243378932774425</v>
      </c>
      <c r="GP7">
        <v>458402</v>
      </c>
      <c r="GR7" s="44">
        <f t="shared" ref="GR7:GR17" si="64">(GS7/GS$5)*((61.5/(4*0.73))/ES7)</f>
        <v>1.0901999656300283</v>
      </c>
      <c r="GS7">
        <v>465905</v>
      </c>
      <c r="GU7" s="44">
        <f t="shared" ref="GU7:GU17" si="65">(GV7/GV$5)*((61.5/((5*0.98)+(5*0.48)))/ES7)</f>
        <v>2.6833860148833915</v>
      </c>
      <c r="GV7">
        <v>1550825</v>
      </c>
      <c r="GX7" s="44">
        <f t="shared" ref="GX7:GX17" si="66">(GY7/GY$5)*((61.5/(0.96+0.46+(4*0.98)+(4*0.48)))/ES7)</f>
        <v>1.2859313897284532</v>
      </c>
      <c r="GY7">
        <v>1104203</v>
      </c>
      <c r="HA7" s="44">
        <f t="shared" ref="HA7:HA17" si="67">(HB7/HB$5)*((61.5/(0.98+0.48+(4*0.73)))/ES7)</f>
        <v>2.6844955683537259</v>
      </c>
      <c r="HB7">
        <v>366594</v>
      </c>
      <c r="HD7" s="44">
        <f t="shared" ref="HD7:HD17" si="68">(HE7/HE$5)*((61.5/((5*0.48)+(5*0.98)))/ES7)</f>
        <v>2.1747036657321899</v>
      </c>
      <c r="HE7">
        <v>538758</v>
      </c>
      <c r="HG7" s="44">
        <f t="shared" ref="HG7:HG17" si="69">(HH7/HH$5)*((61.5/((5*0.48)+(5*0.98)))/ES7)</f>
        <v>1.317871361311135</v>
      </c>
      <c r="HH7">
        <v>251492</v>
      </c>
      <c r="HJ7" s="44">
        <f t="shared" ref="HJ7:HJ17" si="70">(HK7/HK$5)*((61.5/((5*0.48)+(5*0.98)))/ES7)</f>
        <v>1.4808536336638569</v>
      </c>
      <c r="HK7">
        <v>416673</v>
      </c>
      <c r="HM7" s="44">
        <f t="shared" ref="HM7:HM17" si="71">(HN7/HN$5)*((61.5/(0.96+0.46+(4*0.48)+(4*0.98)))/ES7)</f>
        <v>0.21792473228866446</v>
      </c>
      <c r="HN7">
        <v>233686</v>
      </c>
      <c r="HP7" s="44">
        <f t="shared" ref="HP7:HP17" si="72">(HQ7/HQ$5)*((61.5/(0.96+0.46+(4*0.48)+(3*0.98)))/ES7)</f>
        <v>0</v>
      </c>
      <c r="HQ7">
        <v>0</v>
      </c>
      <c r="HS7" s="44">
        <f t="shared" ref="HS7:HS17" si="73">(HT7/HT$5)*((61.5/((5*0.48)+(5*0.98)))/ES7)</f>
        <v>2.5723289744391274E-2</v>
      </c>
      <c r="HT7">
        <v>4709</v>
      </c>
      <c r="HV7" s="44">
        <f t="shared" ref="HV7:HV17" si="74">(HW7/HW$5)*((61.5/(0.46+(5*0.98)+(4*0.48)))/ES7)</f>
        <v>0</v>
      </c>
      <c r="HW7">
        <v>0</v>
      </c>
      <c r="HY7" s="44">
        <f t="shared" ref="HY7:HY17" si="75">(HZ7/HZ$5)*((61.5/((5*0.98)+(3*0.48)+(2*0.46)))/ES7)</f>
        <v>0.97773402308755275</v>
      </c>
      <c r="HZ7">
        <v>753017</v>
      </c>
      <c r="IB7" s="44">
        <f t="shared" ref="IB7:IB17" si="76">(IC7/IC$5)*((61.5/(0.46+(4*0.98)+(3*0.48)))/ES7)</f>
        <v>0.35507755003879726</v>
      </c>
      <c r="IC7">
        <v>90840</v>
      </c>
      <c r="IE7" s="44">
        <f t="shared" ref="IE7:IE17" si="77">(IF7/IF$5)*((61.5/(0.46+(5*0.98)+(4*0.48)))/ES7)</f>
        <v>0.23336946133839712</v>
      </c>
      <c r="IF7">
        <v>171572</v>
      </c>
      <c r="IH7" s="44">
        <f t="shared" ref="IH7:IH17" si="78">(II7/II$5)*((61.5/((5*0.98)+(3*0.48)+(2*0.46)))/ES7)</f>
        <v>1.0828505501730261</v>
      </c>
      <c r="II7">
        <v>702381</v>
      </c>
      <c r="IK7" s="44">
        <f t="shared" ref="IK7:IK17" si="79">(IL7/IL$5)*((61.5/(0.46+(5*0.98)+(5*0.48)))/ES7)</f>
        <v>0.25827528004061312</v>
      </c>
      <c r="IL7">
        <v>232881</v>
      </c>
      <c r="IN7" s="44">
        <f t="shared" ref="IN7:IN17" si="80">(IO7/IO$5)*((61.5/((3*0.98)+(5*0.48)+(2*0.96)))/ES7)</f>
        <v>1.9271632146798252</v>
      </c>
      <c r="IO7">
        <v>1808844</v>
      </c>
      <c r="IQ7" s="44">
        <f t="shared" ref="IQ7:IQ17" si="81">(IR7/IR$5)*((61.5/((5*0.98)+(3*0.48)+(2*0.46)))/ES7)</f>
        <v>0.75101394870324567</v>
      </c>
      <c r="IR7">
        <v>1197149</v>
      </c>
    </row>
    <row r="8" spans="1:252">
      <c r="A8">
        <v>0.95099999999999996</v>
      </c>
      <c r="B8">
        <v>217</v>
      </c>
      <c r="C8" s="14" t="s">
        <v>11</v>
      </c>
      <c r="D8" s="12">
        <f t="shared" si="0"/>
        <v>0</v>
      </c>
      <c r="E8" s="15">
        <v>0</v>
      </c>
      <c r="F8" s="15"/>
      <c r="G8" s="12">
        <f t="shared" si="1"/>
        <v>9.2944325289392751</v>
      </c>
      <c r="H8" s="15">
        <v>178812</v>
      </c>
      <c r="I8" s="15"/>
      <c r="J8" s="12">
        <f t="shared" si="2"/>
        <v>9.0677479734158872</v>
      </c>
      <c r="K8" s="15">
        <v>181699</v>
      </c>
      <c r="L8" s="14"/>
      <c r="M8" s="12">
        <f t="shared" si="3"/>
        <v>1.7591517979186144</v>
      </c>
      <c r="N8" s="15">
        <v>55643</v>
      </c>
      <c r="O8" s="15"/>
      <c r="P8" s="12">
        <f t="shared" si="4"/>
        <v>2.0007900634992737</v>
      </c>
      <c r="Q8" s="15">
        <v>67170</v>
      </c>
      <c r="R8" s="14"/>
      <c r="S8" s="12">
        <f t="shared" si="5"/>
        <v>3.4153373118544841</v>
      </c>
      <c r="T8" s="15">
        <v>94864</v>
      </c>
      <c r="U8" s="14"/>
      <c r="V8" s="12">
        <f t="shared" si="6"/>
        <v>0</v>
      </c>
      <c r="W8" s="15"/>
      <c r="X8" s="14"/>
      <c r="Y8" s="12">
        <f t="shared" si="7"/>
        <v>0.26384138486393222</v>
      </c>
      <c r="Z8" s="15">
        <v>4975</v>
      </c>
      <c r="AA8" s="14"/>
      <c r="AB8" s="12">
        <f t="shared" si="8"/>
        <v>1.5358692168256214</v>
      </c>
      <c r="AC8" s="15">
        <v>17473</v>
      </c>
      <c r="AD8" s="14"/>
      <c r="AE8" s="12">
        <f t="shared" si="9"/>
        <v>0</v>
      </c>
      <c r="AF8" s="15"/>
      <c r="AG8" s="14"/>
      <c r="AH8" s="12">
        <f t="shared" si="10"/>
        <v>0.72708896814935953</v>
      </c>
      <c r="AI8" s="15">
        <v>32207</v>
      </c>
      <c r="AJ8" s="14"/>
      <c r="AK8" s="12">
        <f t="shared" si="11"/>
        <v>3.2181797237039</v>
      </c>
      <c r="AL8" s="15">
        <v>109988</v>
      </c>
      <c r="AM8" s="15"/>
      <c r="AN8" s="12">
        <f t="shared" si="12"/>
        <v>3.3590612028281952</v>
      </c>
      <c r="AO8" s="15">
        <v>103842</v>
      </c>
      <c r="AP8" s="14"/>
      <c r="AQ8" s="12">
        <f t="shared" si="13"/>
        <v>0</v>
      </c>
      <c r="AR8" s="15"/>
      <c r="AS8" s="14"/>
      <c r="AT8" s="12">
        <f t="shared" si="14"/>
        <v>0</v>
      </c>
      <c r="AU8" s="15"/>
      <c r="AV8" s="14"/>
      <c r="AW8" s="12">
        <f t="shared" si="15"/>
        <v>1.4916837581584634</v>
      </c>
      <c r="AX8" s="15">
        <v>115237</v>
      </c>
      <c r="AY8" s="14"/>
      <c r="AZ8" s="12">
        <f t="shared" si="16"/>
        <v>3.7111049441603958</v>
      </c>
      <c r="BA8" s="15">
        <v>308782</v>
      </c>
      <c r="BB8" s="14"/>
      <c r="BC8" s="12">
        <f t="shared" si="17"/>
        <v>0</v>
      </c>
      <c r="BD8" s="15"/>
      <c r="BE8" s="14"/>
      <c r="BF8" s="12">
        <f t="shared" si="18"/>
        <v>0.40509687741507583</v>
      </c>
      <c r="BG8" s="15">
        <v>28101</v>
      </c>
      <c r="BH8" s="14"/>
      <c r="BI8" s="12">
        <f t="shared" si="19"/>
        <v>0</v>
      </c>
      <c r="BJ8" s="15"/>
      <c r="BK8" s="14"/>
      <c r="BL8" s="12">
        <f t="shared" si="20"/>
        <v>0</v>
      </c>
      <c r="BM8" s="15"/>
      <c r="BN8" s="14"/>
      <c r="BO8" s="12">
        <f t="shared" si="21"/>
        <v>2.3589863272880383</v>
      </c>
      <c r="BP8" s="15">
        <v>61569</v>
      </c>
      <c r="BQ8" s="14"/>
      <c r="BR8" s="12">
        <f t="shared" si="22"/>
        <v>0.24294097134550149</v>
      </c>
      <c r="BS8" s="15">
        <v>7081</v>
      </c>
      <c r="BT8" s="15"/>
      <c r="BU8" s="12">
        <f t="shared" si="23"/>
        <v>0.2342619053030231</v>
      </c>
      <c r="BV8" s="15">
        <v>6793</v>
      </c>
      <c r="BW8" s="14"/>
      <c r="BX8" s="12">
        <f t="shared" si="24"/>
        <v>0</v>
      </c>
      <c r="BY8" s="15"/>
      <c r="BZ8" s="15"/>
      <c r="CA8" s="12">
        <f t="shared" si="25"/>
        <v>0</v>
      </c>
      <c r="CB8" s="15"/>
      <c r="CC8" s="14"/>
      <c r="CD8" s="12">
        <f t="shared" si="26"/>
        <v>0</v>
      </c>
      <c r="CE8" s="15"/>
      <c r="CF8" s="14"/>
      <c r="CG8" s="12">
        <f t="shared" si="27"/>
        <v>3.6428746573721167</v>
      </c>
      <c r="CH8" s="15">
        <v>86197</v>
      </c>
      <c r="CI8" s="14"/>
      <c r="CJ8" s="12">
        <f t="shared" si="28"/>
        <v>0</v>
      </c>
      <c r="CK8" s="15"/>
      <c r="CL8" s="14"/>
      <c r="CM8" s="12">
        <f t="shared" si="29"/>
        <v>0</v>
      </c>
      <c r="CN8" s="15"/>
      <c r="CP8" s="12">
        <f t="shared" si="30"/>
        <v>0</v>
      </c>
      <c r="CS8" s="12">
        <f t="shared" si="31"/>
        <v>0</v>
      </c>
      <c r="CV8" s="12">
        <f t="shared" si="32"/>
        <v>0</v>
      </c>
      <c r="CY8" s="12">
        <f t="shared" si="33"/>
        <v>0</v>
      </c>
      <c r="DB8" s="12">
        <f t="shared" si="34"/>
        <v>0</v>
      </c>
      <c r="DC8" s="16"/>
      <c r="DD8" s="16"/>
      <c r="DE8" s="12">
        <f t="shared" si="35"/>
        <v>0</v>
      </c>
      <c r="DF8" s="16"/>
      <c r="DH8" s="12">
        <f t="shared" si="36"/>
        <v>2.7336600196967114</v>
      </c>
      <c r="DI8">
        <v>117981</v>
      </c>
      <c r="DK8" s="12">
        <f t="shared" si="37"/>
        <v>2.8172770872046655</v>
      </c>
      <c r="DL8">
        <v>122130</v>
      </c>
      <c r="DN8" s="12">
        <f t="shared" si="38"/>
        <v>0</v>
      </c>
      <c r="DQ8" s="12">
        <f t="shared" si="39"/>
        <v>0</v>
      </c>
      <c r="DR8" s="16"/>
      <c r="DS8" s="13"/>
      <c r="DT8" s="36">
        <f t="shared" si="40"/>
        <v>0</v>
      </c>
      <c r="DU8" s="35"/>
      <c r="DV8" s="13"/>
      <c r="DW8" s="12">
        <f t="shared" si="41"/>
        <v>0</v>
      </c>
      <c r="DY8" s="13"/>
      <c r="DZ8" s="12">
        <f t="shared" si="42"/>
        <v>0</v>
      </c>
      <c r="EC8" s="12">
        <f t="shared" si="43"/>
        <v>0</v>
      </c>
      <c r="EF8" s="12">
        <f t="shared" si="44"/>
        <v>0.48027694537699445</v>
      </c>
      <c r="EG8">
        <v>30007</v>
      </c>
      <c r="EI8" s="12">
        <f t="shared" si="45"/>
        <v>0</v>
      </c>
      <c r="EL8" s="12">
        <f t="shared" si="46"/>
        <v>0</v>
      </c>
      <c r="EO8" s="12">
        <f t="shared" si="47"/>
        <v>0.30645137254032601</v>
      </c>
      <c r="EP8">
        <v>10805</v>
      </c>
      <c r="ES8">
        <v>0.94499999999999995</v>
      </c>
      <c r="ET8">
        <v>217</v>
      </c>
      <c r="EU8" s="14" t="s">
        <v>11</v>
      </c>
      <c r="EV8" s="44">
        <f t="shared" si="48"/>
        <v>1.769484063651368</v>
      </c>
      <c r="EW8">
        <v>84229</v>
      </c>
      <c r="EY8" s="44">
        <f t="shared" si="49"/>
        <v>4.0391516754117367</v>
      </c>
      <c r="EZ8">
        <v>313227</v>
      </c>
      <c r="FB8" s="44">
        <f t="shared" si="50"/>
        <v>6.8208680872278267</v>
      </c>
      <c r="FC8">
        <v>657670</v>
      </c>
      <c r="FE8" s="44">
        <f t="shared" si="51"/>
        <v>5.4143517050682055</v>
      </c>
      <c r="FF8">
        <v>406450</v>
      </c>
      <c r="FH8" s="44">
        <f t="shared" si="52"/>
        <v>11.895117488246834</v>
      </c>
      <c r="FI8">
        <v>1528854</v>
      </c>
      <c r="FK8" s="44">
        <f t="shared" si="53"/>
        <v>2.0590495332450018</v>
      </c>
      <c r="FL8">
        <v>104452</v>
      </c>
      <c r="FN8" s="44">
        <f t="shared" si="54"/>
        <v>1.2039490121136271</v>
      </c>
      <c r="FO8">
        <v>149015</v>
      </c>
      <c r="FQ8" s="44">
        <f t="shared" si="55"/>
        <v>0.9497606189643627</v>
      </c>
      <c r="FR8">
        <v>147585</v>
      </c>
      <c r="FT8" s="44">
        <f t="shared" si="56"/>
        <v>1.8729031816690516</v>
      </c>
      <c r="FU8">
        <v>207066</v>
      </c>
      <c r="FW8" s="44">
        <f t="shared" si="57"/>
        <v>0</v>
      </c>
      <c r="FX8">
        <v>0</v>
      </c>
      <c r="FZ8" s="44">
        <f t="shared" si="58"/>
        <v>0</v>
      </c>
      <c r="GA8">
        <v>0</v>
      </c>
      <c r="GC8" s="44">
        <f t="shared" si="59"/>
        <v>0</v>
      </c>
      <c r="GD8">
        <v>0</v>
      </c>
      <c r="GF8" s="44">
        <f t="shared" si="60"/>
        <v>3.6154768507844239</v>
      </c>
      <c r="GG8">
        <v>405129</v>
      </c>
      <c r="GI8" s="44">
        <f t="shared" si="61"/>
        <v>2.1486098287539588</v>
      </c>
      <c r="GJ8">
        <v>68170</v>
      </c>
      <c r="GL8" s="44">
        <f t="shared" si="62"/>
        <v>2.5538525980342182</v>
      </c>
      <c r="GM8">
        <v>244117</v>
      </c>
      <c r="GO8" s="44">
        <f t="shared" si="63"/>
        <v>6.9119305673270306</v>
      </c>
      <c r="GP8">
        <v>499851</v>
      </c>
      <c r="GR8" s="44">
        <f t="shared" si="64"/>
        <v>3.0634710596047681</v>
      </c>
      <c r="GS8">
        <v>459410</v>
      </c>
      <c r="GU8" s="44">
        <f t="shared" si="65"/>
        <v>14.647663326103457</v>
      </c>
      <c r="GV8">
        <v>2970595</v>
      </c>
      <c r="GX8" s="44">
        <f t="shared" si="66"/>
        <v>4.3827465548763982</v>
      </c>
      <c r="GY8">
        <v>1320605</v>
      </c>
      <c r="HA8" s="44">
        <f t="shared" si="67"/>
        <v>8.2986394660840048</v>
      </c>
      <c r="HB8">
        <v>397672</v>
      </c>
      <c r="HD8" s="44">
        <f t="shared" si="68"/>
        <v>7.5489434459741691</v>
      </c>
      <c r="HE8">
        <v>656259</v>
      </c>
      <c r="HG8" s="44">
        <f t="shared" si="69"/>
        <v>4.7439098705876068</v>
      </c>
      <c r="HH8">
        <v>317675</v>
      </c>
      <c r="HJ8" s="44">
        <f t="shared" si="70"/>
        <v>5.9367783595476693</v>
      </c>
      <c r="HK8">
        <v>586178</v>
      </c>
      <c r="HM8" s="44">
        <f t="shared" si="71"/>
        <v>1.3393425719630887</v>
      </c>
      <c r="HN8">
        <v>503980</v>
      </c>
      <c r="HP8" s="44">
        <f t="shared" si="72"/>
        <v>0</v>
      </c>
      <c r="HQ8">
        <v>0</v>
      </c>
      <c r="HS8" s="44">
        <f t="shared" si="73"/>
        <v>0</v>
      </c>
      <c r="HT8">
        <v>0</v>
      </c>
      <c r="HV8" s="44">
        <f t="shared" si="74"/>
        <v>0</v>
      </c>
      <c r="HW8">
        <v>0</v>
      </c>
      <c r="HY8" s="44">
        <f t="shared" si="75"/>
        <v>2.1609747840217235</v>
      </c>
      <c r="HZ8">
        <v>584022</v>
      </c>
      <c r="IB8" s="44">
        <f t="shared" si="76"/>
        <v>1.1816371734051307</v>
      </c>
      <c r="IC8">
        <v>106080</v>
      </c>
      <c r="IE8" s="44">
        <f t="shared" si="77"/>
        <v>1.2351668234214657</v>
      </c>
      <c r="IF8">
        <v>318657</v>
      </c>
      <c r="IH8" s="44">
        <f t="shared" si="78"/>
        <v>3.5616950645409555</v>
      </c>
      <c r="II8">
        <v>810693</v>
      </c>
      <c r="IK8" s="44">
        <f t="shared" si="79"/>
        <v>1.4411608539363161</v>
      </c>
      <c r="IL8">
        <v>455994</v>
      </c>
      <c r="IN8" s="44">
        <f t="shared" si="80"/>
        <v>6.4995337146203997</v>
      </c>
      <c r="IO8">
        <v>2140722</v>
      </c>
      <c r="IQ8" s="44">
        <f t="shared" si="81"/>
        <v>2.8790925909491976</v>
      </c>
      <c r="IR8">
        <v>1610465</v>
      </c>
    </row>
    <row r="9" spans="1:252">
      <c r="A9">
        <v>1.359</v>
      </c>
      <c r="B9">
        <v>204</v>
      </c>
      <c r="C9" s="10" t="s">
        <v>12</v>
      </c>
      <c r="D9" s="12">
        <f t="shared" si="0"/>
        <v>0</v>
      </c>
      <c r="E9" s="11">
        <v>0</v>
      </c>
      <c r="F9" s="11"/>
      <c r="G9" s="12">
        <f t="shared" si="1"/>
        <v>0</v>
      </c>
      <c r="H9" s="11"/>
      <c r="I9" s="11"/>
      <c r="J9" s="12">
        <f t="shared" si="2"/>
        <v>0</v>
      </c>
      <c r="K9" s="11"/>
      <c r="L9" s="10"/>
      <c r="M9" s="12">
        <f t="shared" si="3"/>
        <v>0</v>
      </c>
      <c r="N9" s="11"/>
      <c r="O9" s="11"/>
      <c r="P9" s="12">
        <f t="shared" si="4"/>
        <v>0</v>
      </c>
      <c r="Q9" s="11"/>
      <c r="R9" s="10"/>
      <c r="S9" s="12">
        <f t="shared" si="5"/>
        <v>0</v>
      </c>
      <c r="T9" s="11"/>
      <c r="U9" s="10"/>
      <c r="V9" s="12">
        <f t="shared" si="6"/>
        <v>0</v>
      </c>
      <c r="W9" s="11"/>
      <c r="X9" s="10"/>
      <c r="Y9" s="12">
        <f t="shared" si="7"/>
        <v>0</v>
      </c>
      <c r="Z9" s="11"/>
      <c r="AA9" s="10"/>
      <c r="AB9" s="12">
        <f t="shared" si="8"/>
        <v>0</v>
      </c>
      <c r="AC9" s="11"/>
      <c r="AD9" s="10"/>
      <c r="AE9" s="12">
        <f t="shared" si="9"/>
        <v>0</v>
      </c>
      <c r="AF9" s="11"/>
      <c r="AG9" s="10"/>
      <c r="AH9" s="12">
        <f t="shared" si="10"/>
        <v>0</v>
      </c>
      <c r="AI9" s="11"/>
      <c r="AJ9" s="10"/>
      <c r="AK9" s="12">
        <f t="shared" si="11"/>
        <v>0</v>
      </c>
      <c r="AL9" s="11"/>
      <c r="AM9" s="11"/>
      <c r="AN9" s="12">
        <f t="shared" si="12"/>
        <v>0</v>
      </c>
      <c r="AO9" s="11"/>
      <c r="AP9" s="10"/>
      <c r="AQ9" s="12">
        <f t="shared" si="13"/>
        <v>0</v>
      </c>
      <c r="AR9" s="11"/>
      <c r="AS9" s="10"/>
      <c r="AT9" s="12">
        <f t="shared" si="14"/>
        <v>0</v>
      </c>
      <c r="AU9" s="11"/>
      <c r="AV9" s="10"/>
      <c r="AW9" s="12">
        <f t="shared" si="15"/>
        <v>0</v>
      </c>
      <c r="AX9" s="11"/>
      <c r="AY9" s="10"/>
      <c r="AZ9" s="12">
        <f t="shared" si="16"/>
        <v>0</v>
      </c>
      <c r="BA9" s="11"/>
      <c r="BB9" s="10"/>
      <c r="BC9" s="12">
        <f t="shared" si="17"/>
        <v>0</v>
      </c>
      <c r="BD9" s="11"/>
      <c r="BE9" s="10"/>
      <c r="BF9" s="12">
        <f t="shared" si="18"/>
        <v>0</v>
      </c>
      <c r="BG9" s="11"/>
      <c r="BH9" s="10"/>
      <c r="BI9" s="12">
        <f t="shared" si="19"/>
        <v>0</v>
      </c>
      <c r="BJ9" s="11"/>
      <c r="BK9" s="10"/>
      <c r="BL9" s="12">
        <f t="shared" si="20"/>
        <v>0</v>
      </c>
      <c r="BM9" s="11"/>
      <c r="BN9" s="10"/>
      <c r="BO9" s="12">
        <f t="shared" si="21"/>
        <v>0</v>
      </c>
      <c r="BP9" s="11"/>
      <c r="BQ9" s="10"/>
      <c r="BR9" s="12">
        <f t="shared" si="22"/>
        <v>0</v>
      </c>
      <c r="BS9" s="11"/>
      <c r="BT9" s="11"/>
      <c r="BU9" s="12">
        <f t="shared" si="23"/>
        <v>0</v>
      </c>
      <c r="BV9" s="11"/>
      <c r="BW9" s="10"/>
      <c r="BX9" s="12">
        <f t="shared" si="24"/>
        <v>0</v>
      </c>
      <c r="BY9" s="11"/>
      <c r="BZ9" s="11"/>
      <c r="CA9" s="12">
        <f t="shared" si="25"/>
        <v>0</v>
      </c>
      <c r="CB9" s="11"/>
      <c r="CC9" s="10"/>
      <c r="CD9" s="12">
        <f t="shared" si="26"/>
        <v>0</v>
      </c>
      <c r="CE9" s="11"/>
      <c r="CF9" s="10"/>
      <c r="CG9" s="12">
        <f t="shared" si="27"/>
        <v>0</v>
      </c>
      <c r="CH9" s="11"/>
      <c r="CI9" s="10"/>
      <c r="CJ9" s="12">
        <f t="shared" si="28"/>
        <v>0</v>
      </c>
      <c r="CK9" s="11"/>
      <c r="CL9" s="10"/>
      <c r="CM9" s="12">
        <f t="shared" si="29"/>
        <v>0</v>
      </c>
      <c r="CN9" s="11"/>
      <c r="CP9" s="12">
        <f t="shared" si="30"/>
        <v>0</v>
      </c>
      <c r="CS9" s="12">
        <f t="shared" si="31"/>
        <v>0</v>
      </c>
      <c r="CV9" s="12">
        <f t="shared" si="32"/>
        <v>0</v>
      </c>
      <c r="CY9" s="12">
        <f t="shared" si="33"/>
        <v>0</v>
      </c>
      <c r="DB9" s="12">
        <f t="shared" si="34"/>
        <v>0</v>
      </c>
      <c r="DC9" s="16"/>
      <c r="DD9" s="16"/>
      <c r="DE9" s="12">
        <f t="shared" si="35"/>
        <v>0</v>
      </c>
      <c r="DF9" s="16"/>
      <c r="DH9" s="12">
        <f t="shared" si="36"/>
        <v>0</v>
      </c>
      <c r="DK9" s="12">
        <f t="shared" si="37"/>
        <v>0</v>
      </c>
      <c r="DN9" s="12">
        <f t="shared" si="38"/>
        <v>0</v>
      </c>
      <c r="DQ9" s="12">
        <f t="shared" si="39"/>
        <v>0</v>
      </c>
      <c r="DR9" s="16"/>
      <c r="DS9" s="13"/>
      <c r="DT9" s="36">
        <f t="shared" si="40"/>
        <v>0</v>
      </c>
      <c r="DU9" s="35"/>
      <c r="DV9" s="13"/>
      <c r="DW9" s="12">
        <f t="shared" si="41"/>
        <v>0</v>
      </c>
      <c r="DY9" s="13"/>
      <c r="DZ9" s="12">
        <f t="shared" si="42"/>
        <v>0</v>
      </c>
      <c r="EC9" s="12">
        <f t="shared" si="43"/>
        <v>0</v>
      </c>
      <c r="EF9" s="12">
        <f t="shared" si="44"/>
        <v>0</v>
      </c>
      <c r="EI9" s="12">
        <f t="shared" si="45"/>
        <v>0</v>
      </c>
      <c r="EL9" s="12">
        <f t="shared" si="46"/>
        <v>0</v>
      </c>
      <c r="EO9" s="12">
        <f t="shared" si="47"/>
        <v>0</v>
      </c>
      <c r="ES9">
        <v>1.3180000000000001</v>
      </c>
      <c r="ET9">
        <v>204</v>
      </c>
      <c r="EU9" s="10" t="s">
        <v>12</v>
      </c>
      <c r="EV9" s="44">
        <f t="shared" si="48"/>
        <v>0</v>
      </c>
      <c r="EW9">
        <v>0</v>
      </c>
      <c r="EY9" s="44">
        <f t="shared" si="49"/>
        <v>0.80855056125246838</v>
      </c>
      <c r="EZ9">
        <v>87450</v>
      </c>
      <c r="FB9" s="44">
        <f t="shared" si="50"/>
        <v>0.40667549068669218</v>
      </c>
      <c r="FC9">
        <v>54689</v>
      </c>
      <c r="FE9" s="44">
        <f t="shared" si="51"/>
        <v>0</v>
      </c>
      <c r="FF9">
        <v>0</v>
      </c>
      <c r="FH9" s="44">
        <f t="shared" si="52"/>
        <v>0.54218767300414261</v>
      </c>
      <c r="FI9">
        <v>97192</v>
      </c>
      <c r="FK9" s="44">
        <f t="shared" si="53"/>
        <v>0</v>
      </c>
      <c r="FL9">
        <v>0</v>
      </c>
      <c r="FN9" s="44">
        <f t="shared" si="54"/>
        <v>0</v>
      </c>
      <c r="FO9">
        <v>0</v>
      </c>
      <c r="FQ9" s="44">
        <f t="shared" si="55"/>
        <v>0</v>
      </c>
      <c r="FR9">
        <v>0</v>
      </c>
      <c r="FT9" s="44">
        <f t="shared" si="56"/>
        <v>0.55748667965372445</v>
      </c>
      <c r="FU9">
        <v>85963</v>
      </c>
      <c r="FW9" s="44">
        <f t="shared" si="57"/>
        <v>0</v>
      </c>
      <c r="FX9">
        <v>0</v>
      </c>
      <c r="FZ9" s="44">
        <f t="shared" si="58"/>
        <v>0</v>
      </c>
      <c r="GA9">
        <v>0</v>
      </c>
      <c r="GC9" s="44">
        <f t="shared" si="59"/>
        <v>0</v>
      </c>
      <c r="GD9">
        <v>0</v>
      </c>
      <c r="GF9" s="44">
        <f t="shared" si="60"/>
        <v>0</v>
      </c>
      <c r="GG9">
        <v>0</v>
      </c>
      <c r="GI9" s="44">
        <f t="shared" si="61"/>
        <v>0</v>
      </c>
      <c r="GJ9">
        <v>0</v>
      </c>
      <c r="GL9" s="44">
        <f t="shared" si="62"/>
        <v>0.10656548891195679</v>
      </c>
      <c r="GM9">
        <v>14207</v>
      </c>
      <c r="GO9" s="44">
        <f t="shared" si="63"/>
        <v>0.42848918510266726</v>
      </c>
      <c r="GP9">
        <v>43218</v>
      </c>
      <c r="GR9" s="44">
        <f t="shared" si="64"/>
        <v>0.18942801446223245</v>
      </c>
      <c r="GS9">
        <v>39620</v>
      </c>
      <c r="GU9" s="44">
        <f t="shared" si="65"/>
        <v>0</v>
      </c>
      <c r="GV9">
        <v>0</v>
      </c>
      <c r="GX9" s="44">
        <f t="shared" si="66"/>
        <v>0</v>
      </c>
      <c r="GY9">
        <v>0</v>
      </c>
      <c r="HA9" s="44">
        <f t="shared" si="67"/>
        <v>0</v>
      </c>
      <c r="HB9">
        <v>0</v>
      </c>
      <c r="HD9" s="44">
        <f t="shared" si="68"/>
        <v>0</v>
      </c>
      <c r="HE9">
        <v>0</v>
      </c>
      <c r="HG9" s="44">
        <f t="shared" si="69"/>
        <v>0</v>
      </c>
      <c r="HH9">
        <v>0</v>
      </c>
      <c r="HJ9" s="44">
        <f t="shared" si="70"/>
        <v>0</v>
      </c>
      <c r="HK9">
        <v>0</v>
      </c>
      <c r="HM9" s="44">
        <f t="shared" si="71"/>
        <v>0</v>
      </c>
      <c r="HN9">
        <v>0</v>
      </c>
      <c r="HP9" s="44">
        <f t="shared" si="72"/>
        <v>0</v>
      </c>
      <c r="HQ9">
        <v>0</v>
      </c>
      <c r="HS9" s="44">
        <f t="shared" si="73"/>
        <v>0</v>
      </c>
      <c r="HT9">
        <v>0</v>
      </c>
      <c r="HV9" s="44">
        <f t="shared" si="74"/>
        <v>0</v>
      </c>
      <c r="HW9">
        <v>0</v>
      </c>
      <c r="HY9" s="44">
        <f t="shared" si="75"/>
        <v>0</v>
      </c>
      <c r="HZ9">
        <v>0</v>
      </c>
      <c r="IB9" s="44">
        <f t="shared" si="76"/>
        <v>0</v>
      </c>
      <c r="IC9">
        <v>0</v>
      </c>
      <c r="IE9" s="44">
        <f t="shared" si="77"/>
        <v>0</v>
      </c>
      <c r="IF9">
        <v>0</v>
      </c>
      <c r="IH9" s="44">
        <f t="shared" si="78"/>
        <v>0</v>
      </c>
      <c r="II9">
        <v>0</v>
      </c>
      <c r="IK9" s="44">
        <f t="shared" si="79"/>
        <v>0</v>
      </c>
      <c r="IL9">
        <v>0</v>
      </c>
      <c r="IN9" s="44">
        <f t="shared" si="80"/>
        <v>0</v>
      </c>
      <c r="IO9">
        <v>0</v>
      </c>
      <c r="IQ9" s="44">
        <f t="shared" si="81"/>
        <v>0</v>
      </c>
      <c r="IR9">
        <v>0</v>
      </c>
    </row>
    <row r="10" spans="1:252">
      <c r="A10">
        <v>0.82899999999999996</v>
      </c>
      <c r="B10">
        <v>204</v>
      </c>
      <c r="C10" s="10" t="s">
        <v>13</v>
      </c>
      <c r="D10" s="12">
        <f t="shared" si="0"/>
        <v>0</v>
      </c>
      <c r="E10" s="11">
        <v>0</v>
      </c>
      <c r="F10" s="11"/>
      <c r="G10" s="12">
        <f t="shared" si="1"/>
        <v>0</v>
      </c>
      <c r="H10" s="11"/>
      <c r="I10" s="11"/>
      <c r="J10" s="12">
        <f t="shared" si="2"/>
        <v>0</v>
      </c>
      <c r="K10" s="11"/>
      <c r="L10" s="10"/>
      <c r="M10" s="12">
        <f t="shared" si="3"/>
        <v>0</v>
      </c>
      <c r="N10" s="11"/>
      <c r="O10" s="11"/>
      <c r="P10" s="12">
        <f t="shared" si="4"/>
        <v>0</v>
      </c>
      <c r="Q10" s="11"/>
      <c r="R10" s="10"/>
      <c r="S10" s="12">
        <f t="shared" si="5"/>
        <v>0</v>
      </c>
      <c r="T10" s="11"/>
      <c r="U10" s="10"/>
      <c r="V10" s="12">
        <f t="shared" si="6"/>
        <v>0</v>
      </c>
      <c r="W10" s="11"/>
      <c r="X10" s="10"/>
      <c r="Y10" s="12">
        <f t="shared" si="7"/>
        <v>0</v>
      </c>
      <c r="Z10" s="11"/>
      <c r="AA10" s="10"/>
      <c r="AB10" s="12">
        <f t="shared" si="8"/>
        <v>0</v>
      </c>
      <c r="AC10" s="11"/>
      <c r="AD10" s="10"/>
      <c r="AE10" s="12">
        <f t="shared" si="9"/>
        <v>0</v>
      </c>
      <c r="AF10" s="11"/>
      <c r="AG10" s="10"/>
      <c r="AH10" s="12">
        <f t="shared" si="10"/>
        <v>0</v>
      </c>
      <c r="AI10" s="11"/>
      <c r="AJ10" s="10"/>
      <c r="AK10" s="12">
        <f t="shared" si="11"/>
        <v>0</v>
      </c>
      <c r="AL10" s="11"/>
      <c r="AM10" s="11"/>
      <c r="AN10" s="12">
        <f t="shared" si="12"/>
        <v>0</v>
      </c>
      <c r="AO10" s="11"/>
      <c r="AP10" s="10"/>
      <c r="AQ10" s="12">
        <f t="shared" si="13"/>
        <v>0</v>
      </c>
      <c r="AR10" s="11"/>
      <c r="AS10" s="10"/>
      <c r="AT10" s="12">
        <f t="shared" si="14"/>
        <v>0</v>
      </c>
      <c r="AU10" s="11"/>
      <c r="AV10" s="10"/>
      <c r="AW10" s="12">
        <f t="shared" si="15"/>
        <v>0</v>
      </c>
      <c r="AX10" s="11"/>
      <c r="AY10" s="10"/>
      <c r="AZ10" s="12">
        <f t="shared" si="16"/>
        <v>0</v>
      </c>
      <c r="BA10" s="11"/>
      <c r="BB10" s="10"/>
      <c r="BC10" s="12">
        <f t="shared" si="17"/>
        <v>0</v>
      </c>
      <c r="BD10" s="11"/>
      <c r="BE10" s="10"/>
      <c r="BF10" s="12">
        <f t="shared" si="18"/>
        <v>0</v>
      </c>
      <c r="BG10" s="11"/>
      <c r="BH10" s="10"/>
      <c r="BI10" s="12">
        <f t="shared" si="19"/>
        <v>0</v>
      </c>
      <c r="BJ10" s="11"/>
      <c r="BK10" s="10"/>
      <c r="BL10" s="12">
        <f t="shared" si="20"/>
        <v>0</v>
      </c>
      <c r="BM10" s="11"/>
      <c r="BN10" s="10"/>
      <c r="BO10" s="12">
        <f t="shared" si="21"/>
        <v>0</v>
      </c>
      <c r="BP10" s="11"/>
      <c r="BQ10" s="10"/>
      <c r="BR10" s="12">
        <f t="shared" si="22"/>
        <v>0</v>
      </c>
      <c r="BS10" s="11"/>
      <c r="BT10" s="11"/>
      <c r="BU10" s="12">
        <f t="shared" si="23"/>
        <v>0</v>
      </c>
      <c r="BV10" s="11"/>
      <c r="BW10" s="10"/>
      <c r="BX10" s="12">
        <f t="shared" si="24"/>
        <v>0</v>
      </c>
      <c r="BY10" s="11"/>
      <c r="BZ10" s="11"/>
      <c r="CA10" s="12">
        <f t="shared" si="25"/>
        <v>0</v>
      </c>
      <c r="CB10" s="11"/>
      <c r="CC10" s="10"/>
      <c r="CD10" s="12">
        <f t="shared" si="26"/>
        <v>0</v>
      </c>
      <c r="CE10" s="11"/>
      <c r="CF10" s="10"/>
      <c r="CG10" s="12">
        <f t="shared" si="27"/>
        <v>0</v>
      </c>
      <c r="CH10" s="11"/>
      <c r="CI10" s="10"/>
      <c r="CJ10" s="12">
        <f t="shared" si="28"/>
        <v>0</v>
      </c>
      <c r="CK10" s="11"/>
      <c r="CL10" s="10"/>
      <c r="CM10" s="12">
        <f t="shared" si="29"/>
        <v>0.66983247076929731</v>
      </c>
      <c r="CN10" s="11">
        <v>56959</v>
      </c>
      <c r="CP10" s="12">
        <f t="shared" si="30"/>
        <v>0.29707791464035954</v>
      </c>
      <c r="CQ10">
        <v>6402</v>
      </c>
      <c r="CS10" s="12">
        <f t="shared" si="31"/>
        <v>0</v>
      </c>
      <c r="CV10" s="12">
        <f t="shared" si="32"/>
        <v>0</v>
      </c>
      <c r="CY10" s="12">
        <f t="shared" si="33"/>
        <v>0</v>
      </c>
      <c r="DB10" s="12">
        <f t="shared" si="34"/>
        <v>0.25449628799006158</v>
      </c>
      <c r="DC10" s="16">
        <v>7788</v>
      </c>
      <c r="DD10" s="16"/>
      <c r="DE10" s="12">
        <f t="shared" si="35"/>
        <v>0.2527842493282505</v>
      </c>
      <c r="DF10" s="16">
        <v>8280</v>
      </c>
      <c r="DH10" s="12">
        <f t="shared" si="36"/>
        <v>0</v>
      </c>
      <c r="DK10" s="12">
        <f t="shared" si="37"/>
        <v>0</v>
      </c>
      <c r="DN10" s="12">
        <f t="shared" si="38"/>
        <v>0</v>
      </c>
      <c r="DQ10" s="12">
        <f t="shared" si="39"/>
        <v>0</v>
      </c>
      <c r="DR10" s="16"/>
      <c r="DS10" s="13"/>
      <c r="DT10" s="36">
        <f t="shared" si="40"/>
        <v>0</v>
      </c>
      <c r="DU10" s="35"/>
      <c r="DV10" s="13"/>
      <c r="DW10" s="12">
        <f t="shared" si="41"/>
        <v>0</v>
      </c>
      <c r="DY10" s="13"/>
      <c r="DZ10" s="12">
        <f t="shared" si="42"/>
        <v>0</v>
      </c>
      <c r="EC10" s="12">
        <f t="shared" si="43"/>
        <v>0</v>
      </c>
      <c r="EF10" s="12">
        <f t="shared" si="44"/>
        <v>0.32899150207167199</v>
      </c>
      <c r="EG10">
        <v>17918</v>
      </c>
      <c r="EI10" s="12">
        <f t="shared" si="45"/>
        <v>0</v>
      </c>
      <c r="EL10" s="12">
        <f t="shared" si="46"/>
        <v>0</v>
      </c>
      <c r="EO10" s="12">
        <f t="shared" si="47"/>
        <v>0.19475988009182388</v>
      </c>
      <c r="EP10" s="38">
        <v>5986</v>
      </c>
      <c r="ES10">
        <v>0.91800000000000004</v>
      </c>
      <c r="ET10">
        <v>204</v>
      </c>
      <c r="EU10" s="10" t="s">
        <v>13</v>
      </c>
      <c r="EV10" s="44">
        <f t="shared" si="48"/>
        <v>0</v>
      </c>
      <c r="EW10">
        <v>0</v>
      </c>
      <c r="EY10" s="44">
        <f t="shared" si="49"/>
        <v>0</v>
      </c>
      <c r="EZ10">
        <v>0</v>
      </c>
      <c r="FB10" s="44">
        <f t="shared" si="50"/>
        <v>0</v>
      </c>
      <c r="FC10">
        <v>0</v>
      </c>
      <c r="FE10" s="44">
        <f t="shared" si="51"/>
        <v>0</v>
      </c>
      <c r="FF10">
        <v>0</v>
      </c>
      <c r="FH10" s="44">
        <f t="shared" si="52"/>
        <v>1.7167747262114537</v>
      </c>
      <c r="FI10">
        <v>214349</v>
      </c>
      <c r="FK10" s="44">
        <f t="shared" si="53"/>
        <v>0</v>
      </c>
      <c r="FL10">
        <v>0</v>
      </c>
      <c r="FN10" s="44">
        <f t="shared" si="54"/>
        <v>0</v>
      </c>
      <c r="FO10">
        <v>0</v>
      </c>
      <c r="FQ10" s="44">
        <f t="shared" si="55"/>
        <v>0</v>
      </c>
      <c r="FR10">
        <v>0</v>
      </c>
      <c r="FT10" s="44">
        <f t="shared" si="56"/>
        <v>0</v>
      </c>
      <c r="FU10">
        <v>0</v>
      </c>
      <c r="FW10" s="44">
        <f t="shared" si="57"/>
        <v>0</v>
      </c>
      <c r="FX10">
        <v>0</v>
      </c>
      <c r="FZ10" s="44">
        <f t="shared" si="58"/>
        <v>0</v>
      </c>
      <c r="GA10">
        <v>0</v>
      </c>
      <c r="GC10" s="44">
        <f t="shared" si="59"/>
        <v>0</v>
      </c>
      <c r="GD10">
        <v>0</v>
      </c>
      <c r="GF10" s="44">
        <f t="shared" si="60"/>
        <v>0</v>
      </c>
      <c r="GG10">
        <v>0</v>
      </c>
      <c r="GI10" s="44">
        <f t="shared" si="61"/>
        <v>0</v>
      </c>
      <c r="GJ10">
        <v>0</v>
      </c>
      <c r="GL10" s="44">
        <f t="shared" si="62"/>
        <v>0</v>
      </c>
      <c r="GM10">
        <v>0</v>
      </c>
      <c r="GO10" s="44">
        <f t="shared" si="63"/>
        <v>0</v>
      </c>
      <c r="GP10">
        <v>0</v>
      </c>
      <c r="GR10" s="44">
        <f t="shared" si="64"/>
        <v>0</v>
      </c>
      <c r="GS10">
        <v>0</v>
      </c>
      <c r="GU10" s="44">
        <f t="shared" si="65"/>
        <v>0</v>
      </c>
      <c r="GV10">
        <v>0</v>
      </c>
      <c r="GX10" s="44">
        <f t="shared" si="66"/>
        <v>0</v>
      </c>
      <c r="GY10">
        <v>0</v>
      </c>
      <c r="HA10" s="44">
        <f t="shared" si="67"/>
        <v>2.1528647278943032</v>
      </c>
      <c r="HB10">
        <v>100218</v>
      </c>
      <c r="HD10" s="44">
        <f t="shared" si="68"/>
        <v>0</v>
      </c>
      <c r="HE10">
        <v>0</v>
      </c>
      <c r="HG10" s="44">
        <f t="shared" si="69"/>
        <v>0</v>
      </c>
      <c r="HH10">
        <v>0</v>
      </c>
      <c r="HJ10" s="44">
        <f t="shared" si="70"/>
        <v>0</v>
      </c>
      <c r="HK10">
        <v>0</v>
      </c>
      <c r="HM10" s="44">
        <f t="shared" si="71"/>
        <v>0</v>
      </c>
      <c r="HN10">
        <v>0</v>
      </c>
      <c r="HP10" s="44">
        <f t="shared" si="72"/>
        <v>0</v>
      </c>
      <c r="HQ10">
        <v>0</v>
      </c>
      <c r="HS10" s="44">
        <f t="shared" si="73"/>
        <v>0</v>
      </c>
      <c r="HT10">
        <v>0</v>
      </c>
      <c r="HV10" s="44">
        <f t="shared" si="74"/>
        <v>0</v>
      </c>
      <c r="HW10">
        <v>0</v>
      </c>
      <c r="HY10" s="44">
        <f t="shared" si="75"/>
        <v>0</v>
      </c>
      <c r="HZ10">
        <v>0</v>
      </c>
      <c r="IB10" s="44">
        <f t="shared" si="76"/>
        <v>0</v>
      </c>
      <c r="IC10">
        <v>0</v>
      </c>
      <c r="IE10" s="44">
        <f t="shared" si="77"/>
        <v>0</v>
      </c>
      <c r="IF10">
        <v>0</v>
      </c>
      <c r="IH10" s="44">
        <f t="shared" si="78"/>
        <v>0</v>
      </c>
      <c r="II10">
        <v>0</v>
      </c>
      <c r="IK10" s="44">
        <f t="shared" si="79"/>
        <v>0</v>
      </c>
      <c r="IL10">
        <v>0</v>
      </c>
      <c r="IN10" s="44">
        <f t="shared" si="80"/>
        <v>0</v>
      </c>
      <c r="IO10">
        <v>0</v>
      </c>
      <c r="IQ10" s="44">
        <f t="shared" si="81"/>
        <v>0</v>
      </c>
      <c r="IR10">
        <v>0</v>
      </c>
    </row>
    <row r="11" spans="1:252">
      <c r="A11">
        <v>2.2389999999999999</v>
      </c>
      <c r="B11">
        <v>204</v>
      </c>
      <c r="C11" s="10" t="s">
        <v>14</v>
      </c>
      <c r="D11" s="12">
        <f t="shared" si="0"/>
        <v>0</v>
      </c>
      <c r="E11" s="11">
        <v>0</v>
      </c>
      <c r="F11" s="11"/>
      <c r="G11" s="12">
        <f t="shared" si="1"/>
        <v>0</v>
      </c>
      <c r="H11" s="11"/>
      <c r="I11" s="11"/>
      <c r="J11" s="12">
        <f t="shared" si="2"/>
        <v>0</v>
      </c>
      <c r="K11" s="11"/>
      <c r="L11" s="10"/>
      <c r="M11" s="12">
        <f t="shared" si="3"/>
        <v>0</v>
      </c>
      <c r="N11" s="11"/>
      <c r="O11" s="11"/>
      <c r="P11" s="12">
        <f t="shared" si="4"/>
        <v>0</v>
      </c>
      <c r="Q11" s="11"/>
      <c r="R11" s="10"/>
      <c r="S11" s="12">
        <f t="shared" si="5"/>
        <v>0</v>
      </c>
      <c r="T11" s="11"/>
      <c r="U11" s="10"/>
      <c r="V11" s="12">
        <f t="shared" si="6"/>
        <v>0</v>
      </c>
      <c r="W11" s="11"/>
      <c r="X11" s="10"/>
      <c r="Y11" s="12">
        <f t="shared" si="7"/>
        <v>0</v>
      </c>
      <c r="Z11" s="11"/>
      <c r="AA11" s="10"/>
      <c r="AB11" s="12">
        <f t="shared" si="8"/>
        <v>0</v>
      </c>
      <c r="AC11" s="11"/>
      <c r="AD11" s="10"/>
      <c r="AE11" s="12">
        <f t="shared" si="9"/>
        <v>0</v>
      </c>
      <c r="AF11" s="11"/>
      <c r="AG11" s="10"/>
      <c r="AH11" s="12">
        <f t="shared" si="10"/>
        <v>0</v>
      </c>
      <c r="AI11" s="11"/>
      <c r="AJ11" s="10"/>
      <c r="AK11" s="12">
        <f t="shared" si="11"/>
        <v>0</v>
      </c>
      <c r="AL11" s="11"/>
      <c r="AM11" s="11"/>
      <c r="AN11" s="12">
        <f t="shared" si="12"/>
        <v>0</v>
      </c>
      <c r="AO11" s="11"/>
      <c r="AP11" s="10"/>
      <c r="AQ11" s="12">
        <f t="shared" si="13"/>
        <v>0</v>
      </c>
      <c r="AR11" s="11"/>
      <c r="AS11" s="10"/>
      <c r="AT11" s="12">
        <f t="shared" si="14"/>
        <v>0.2212170180428881</v>
      </c>
      <c r="AU11" s="11">
        <v>18404</v>
      </c>
      <c r="AV11" s="10"/>
      <c r="AW11" s="12">
        <f t="shared" si="15"/>
        <v>0</v>
      </c>
      <c r="AX11" s="11"/>
      <c r="AY11" s="10"/>
      <c r="AZ11" s="12">
        <f t="shared" si="16"/>
        <v>0</v>
      </c>
      <c r="BA11" s="11"/>
      <c r="BB11" s="10"/>
      <c r="BC11" s="12">
        <f t="shared" si="17"/>
        <v>0.12549867866320422</v>
      </c>
      <c r="BD11" s="11">
        <v>8661</v>
      </c>
      <c r="BE11" s="10"/>
      <c r="BF11" s="12">
        <f t="shared" si="18"/>
        <v>0</v>
      </c>
      <c r="BG11" s="11"/>
      <c r="BH11" s="10"/>
      <c r="BI11" s="12">
        <f t="shared" si="19"/>
        <v>0</v>
      </c>
      <c r="BJ11" s="11"/>
      <c r="BK11" s="10"/>
      <c r="BL11" s="12">
        <f t="shared" si="20"/>
        <v>0.83577264138164264</v>
      </c>
      <c r="BM11" s="11">
        <v>108820</v>
      </c>
      <c r="BN11" s="10"/>
      <c r="BO11" s="12">
        <f t="shared" si="21"/>
        <v>0</v>
      </c>
      <c r="BP11" s="11"/>
      <c r="BQ11" s="17"/>
      <c r="BR11" s="12">
        <f t="shared" si="22"/>
        <v>0</v>
      </c>
      <c r="BS11" s="11"/>
      <c r="BT11" s="11"/>
      <c r="BU11" s="12">
        <f t="shared" si="23"/>
        <v>0</v>
      </c>
      <c r="BV11" s="11"/>
      <c r="BW11" s="10"/>
      <c r="BX11" s="12">
        <f t="shared" si="24"/>
        <v>0</v>
      </c>
      <c r="BY11" s="11"/>
      <c r="BZ11" s="11"/>
      <c r="CA11" s="12">
        <f t="shared" si="25"/>
        <v>0</v>
      </c>
      <c r="CB11" s="11"/>
      <c r="CC11" s="10"/>
      <c r="CD11" s="12">
        <f t="shared" si="26"/>
        <v>0</v>
      </c>
      <c r="CE11" s="11"/>
      <c r="CF11" s="10"/>
      <c r="CG11" s="12">
        <f t="shared" si="27"/>
        <v>0</v>
      </c>
      <c r="CH11" s="11"/>
      <c r="CI11" s="10"/>
      <c r="CJ11" s="12">
        <f t="shared" si="28"/>
        <v>0</v>
      </c>
      <c r="CK11" s="11"/>
      <c r="CL11" s="10"/>
      <c r="CM11" s="12">
        <f t="shared" si="29"/>
        <v>0</v>
      </c>
      <c r="CN11" s="11"/>
      <c r="CP11" s="12">
        <f t="shared" si="30"/>
        <v>0</v>
      </c>
      <c r="CS11" s="12">
        <f t="shared" si="31"/>
        <v>0</v>
      </c>
      <c r="CV11" s="12">
        <f t="shared" si="32"/>
        <v>0.21690138312847917</v>
      </c>
      <c r="CW11">
        <v>93699</v>
      </c>
      <c r="CY11" s="12">
        <f t="shared" si="33"/>
        <v>0</v>
      </c>
      <c r="DB11" s="12">
        <f t="shared" si="34"/>
        <v>0</v>
      </c>
      <c r="DC11" s="16"/>
      <c r="DD11" s="16"/>
      <c r="DE11" s="12">
        <f t="shared" si="35"/>
        <v>0</v>
      </c>
      <c r="DF11" s="16"/>
      <c r="DH11" s="12">
        <f t="shared" si="36"/>
        <v>0</v>
      </c>
      <c r="DK11" s="12">
        <f t="shared" si="37"/>
        <v>0</v>
      </c>
      <c r="DN11" s="12">
        <f t="shared" si="38"/>
        <v>0.30056147223890545</v>
      </c>
      <c r="DO11">
        <v>14398</v>
      </c>
      <c r="DQ11" s="12">
        <f t="shared" si="39"/>
        <v>3.0442334577653912E-2</v>
      </c>
      <c r="DR11" s="16">
        <v>5222</v>
      </c>
      <c r="DS11" s="13"/>
      <c r="DT11" s="36">
        <f t="shared" si="40"/>
        <v>0</v>
      </c>
      <c r="DU11" s="35"/>
      <c r="DV11" s="13"/>
      <c r="DW11" s="12">
        <f t="shared" si="41"/>
        <v>0</v>
      </c>
      <c r="DZ11" s="12">
        <f t="shared" si="42"/>
        <v>0</v>
      </c>
      <c r="EC11" s="12">
        <f t="shared" si="43"/>
        <v>0</v>
      </c>
      <c r="EF11" s="12">
        <f t="shared" si="44"/>
        <v>0</v>
      </c>
      <c r="EI11" s="12">
        <f t="shared" si="45"/>
        <v>3.1175797257181108E-2</v>
      </c>
      <c r="EJ11">
        <v>9431</v>
      </c>
      <c r="EL11" s="12">
        <f t="shared" si="46"/>
        <v>0</v>
      </c>
      <c r="EO11" s="12">
        <f t="shared" si="47"/>
        <v>0</v>
      </c>
      <c r="ES11">
        <v>2.077</v>
      </c>
      <c r="ET11">
        <v>204</v>
      </c>
      <c r="EU11" s="10" t="s">
        <v>14</v>
      </c>
      <c r="EV11" s="44">
        <f t="shared" si="48"/>
        <v>0</v>
      </c>
      <c r="EW11">
        <v>0</v>
      </c>
      <c r="EY11" s="44">
        <f t="shared" si="49"/>
        <v>0</v>
      </c>
      <c r="EZ11">
        <v>0</v>
      </c>
      <c r="FB11" s="44">
        <f t="shared" si="50"/>
        <v>0.74786518425645609</v>
      </c>
      <c r="FC11">
        <v>158488</v>
      </c>
      <c r="FE11" s="44">
        <f t="shared" si="51"/>
        <v>0</v>
      </c>
      <c r="FF11">
        <v>0</v>
      </c>
      <c r="FH11" s="44">
        <f t="shared" si="52"/>
        <v>0</v>
      </c>
      <c r="FI11">
        <v>0</v>
      </c>
      <c r="FK11" s="44">
        <f t="shared" si="53"/>
        <v>0</v>
      </c>
      <c r="FL11">
        <v>0</v>
      </c>
      <c r="FN11" s="44">
        <f t="shared" si="54"/>
        <v>0</v>
      </c>
      <c r="FO11">
        <v>0</v>
      </c>
      <c r="FQ11" s="44">
        <f t="shared" si="55"/>
        <v>0</v>
      </c>
      <c r="FR11">
        <v>0</v>
      </c>
      <c r="FT11" s="44">
        <f t="shared" si="56"/>
        <v>0.315063503061079</v>
      </c>
      <c r="FU11">
        <v>76559</v>
      </c>
      <c r="FW11" s="44">
        <f t="shared" si="57"/>
        <v>0</v>
      </c>
      <c r="FX11">
        <v>0</v>
      </c>
      <c r="FZ11" s="44">
        <f t="shared" si="58"/>
        <v>0</v>
      </c>
      <c r="GA11">
        <v>0</v>
      </c>
      <c r="GC11" s="44">
        <f t="shared" si="59"/>
        <v>0</v>
      </c>
      <c r="GD11">
        <v>0</v>
      </c>
      <c r="GF11" s="44">
        <f t="shared" si="60"/>
        <v>0</v>
      </c>
      <c r="GG11">
        <v>0</v>
      </c>
      <c r="GI11" s="44">
        <f t="shared" si="61"/>
        <v>0</v>
      </c>
      <c r="GJ11">
        <v>0</v>
      </c>
      <c r="GL11" s="44">
        <f t="shared" si="62"/>
        <v>0</v>
      </c>
      <c r="GM11">
        <v>0</v>
      </c>
      <c r="GO11" s="44">
        <f t="shared" si="63"/>
        <v>0</v>
      </c>
      <c r="GP11">
        <v>0</v>
      </c>
      <c r="GR11" s="44">
        <f t="shared" si="64"/>
        <v>0</v>
      </c>
      <c r="GS11">
        <v>0</v>
      </c>
      <c r="GU11" s="44">
        <f t="shared" si="65"/>
        <v>0</v>
      </c>
      <c r="GV11">
        <v>0</v>
      </c>
      <c r="GX11" s="44">
        <f t="shared" si="66"/>
        <v>0</v>
      </c>
      <c r="GY11">
        <v>0</v>
      </c>
      <c r="HA11" s="44">
        <f t="shared" si="67"/>
        <v>0</v>
      </c>
      <c r="HB11">
        <v>0</v>
      </c>
      <c r="HD11" s="44">
        <f t="shared" si="68"/>
        <v>0</v>
      </c>
      <c r="HE11">
        <v>0</v>
      </c>
      <c r="HG11" s="44">
        <f t="shared" si="69"/>
        <v>0</v>
      </c>
      <c r="HH11">
        <v>0</v>
      </c>
      <c r="HJ11" s="44">
        <f t="shared" si="70"/>
        <v>0</v>
      </c>
      <c r="HK11">
        <v>0</v>
      </c>
      <c r="HM11" s="44">
        <f t="shared" si="71"/>
        <v>0</v>
      </c>
      <c r="HN11">
        <v>0</v>
      </c>
      <c r="HP11" s="44">
        <f t="shared" si="72"/>
        <v>0</v>
      </c>
      <c r="HQ11">
        <v>0</v>
      </c>
      <c r="HS11" s="44">
        <f t="shared" si="73"/>
        <v>0</v>
      </c>
      <c r="HT11">
        <v>0</v>
      </c>
      <c r="HV11" s="44">
        <f t="shared" si="74"/>
        <v>0</v>
      </c>
      <c r="HW11">
        <v>0</v>
      </c>
      <c r="HY11" s="44">
        <f t="shared" si="75"/>
        <v>0</v>
      </c>
      <c r="HZ11">
        <v>0</v>
      </c>
      <c r="IB11" s="44">
        <f t="shared" si="76"/>
        <v>0</v>
      </c>
      <c r="IC11">
        <v>0</v>
      </c>
      <c r="IE11" s="44">
        <f t="shared" si="77"/>
        <v>0</v>
      </c>
      <c r="IF11">
        <v>0</v>
      </c>
      <c r="IH11" s="44">
        <f t="shared" si="78"/>
        <v>0</v>
      </c>
      <c r="II11">
        <v>0</v>
      </c>
      <c r="IK11" s="44">
        <f t="shared" si="79"/>
        <v>0</v>
      </c>
      <c r="IL11">
        <v>0</v>
      </c>
      <c r="IN11" s="44">
        <f t="shared" si="80"/>
        <v>0</v>
      </c>
      <c r="IO11">
        <v>0</v>
      </c>
      <c r="IQ11" s="44">
        <f t="shared" si="81"/>
        <v>0</v>
      </c>
      <c r="IR11">
        <v>0</v>
      </c>
    </row>
    <row r="12" spans="1:252">
      <c r="A12">
        <v>1.48</v>
      </c>
      <c r="B12">
        <v>204</v>
      </c>
      <c r="C12" s="10" t="s">
        <v>15</v>
      </c>
      <c r="D12" s="12">
        <f t="shared" si="0"/>
        <v>0</v>
      </c>
      <c r="E12" s="11">
        <v>0</v>
      </c>
      <c r="F12" s="11"/>
      <c r="G12" s="12">
        <f t="shared" si="1"/>
        <v>0.23733960925388725</v>
      </c>
      <c r="H12" s="11">
        <v>7106</v>
      </c>
      <c r="I12" s="11"/>
      <c r="J12" s="12">
        <f t="shared" si="2"/>
        <v>0.25342980376977919</v>
      </c>
      <c r="K12" s="11">
        <v>7903</v>
      </c>
      <c r="L12" s="10"/>
      <c r="M12" s="12">
        <f t="shared" si="3"/>
        <v>0</v>
      </c>
      <c r="N12" s="11"/>
      <c r="O12" s="11"/>
      <c r="P12" s="12">
        <f t="shared" si="4"/>
        <v>0</v>
      </c>
      <c r="Q12" s="11"/>
      <c r="R12" s="10"/>
      <c r="S12" s="12">
        <f t="shared" si="5"/>
        <v>0</v>
      </c>
      <c r="T12" s="11"/>
      <c r="U12" s="10"/>
      <c r="V12" s="12">
        <f t="shared" si="6"/>
        <v>0</v>
      </c>
      <c r="W12" s="11"/>
      <c r="X12" s="10"/>
      <c r="Y12" s="12">
        <f t="shared" si="7"/>
        <v>0</v>
      </c>
      <c r="Z12" s="11"/>
      <c r="AA12" s="10"/>
      <c r="AB12" s="12">
        <f t="shared" si="8"/>
        <v>1.5735157125232317</v>
      </c>
      <c r="AC12" s="11">
        <v>27859</v>
      </c>
      <c r="AD12" s="10"/>
      <c r="AE12" s="12">
        <f t="shared" si="9"/>
        <v>0.34603788974711003</v>
      </c>
      <c r="AF12" s="11">
        <v>30221</v>
      </c>
      <c r="AG12" s="10"/>
      <c r="AH12" s="12">
        <f t="shared" si="10"/>
        <v>0.36426722024332964</v>
      </c>
      <c r="AI12" s="11">
        <v>25111</v>
      </c>
      <c r="AJ12" s="10"/>
      <c r="AK12" s="12">
        <f t="shared" si="11"/>
        <v>0</v>
      </c>
      <c r="AL12" s="11"/>
      <c r="AM12" s="11"/>
      <c r="AN12" s="12">
        <f t="shared" si="12"/>
        <v>0</v>
      </c>
      <c r="AO12" s="11"/>
      <c r="AP12" s="10"/>
      <c r="AQ12" s="12">
        <f t="shared" si="13"/>
        <v>0</v>
      </c>
      <c r="AR12" s="11"/>
      <c r="AS12" s="10"/>
      <c r="AT12" s="12">
        <f t="shared" si="14"/>
        <v>0.18586262892435354</v>
      </c>
      <c r="AU12" s="11">
        <v>10221</v>
      </c>
      <c r="AV12" s="10"/>
      <c r="AW12" s="12">
        <f t="shared" si="15"/>
        <v>8.3493143083849752E-2</v>
      </c>
      <c r="AX12" s="11">
        <v>10038</v>
      </c>
      <c r="AY12" s="10"/>
      <c r="AZ12" s="12">
        <f t="shared" si="16"/>
        <v>0.32148121963187931</v>
      </c>
      <c r="BA12" s="11">
        <v>41628</v>
      </c>
      <c r="BB12" s="10"/>
      <c r="BC12" s="12">
        <f t="shared" si="17"/>
        <v>0</v>
      </c>
      <c r="BD12" s="11"/>
      <c r="BE12" s="10"/>
      <c r="BF12" s="12">
        <f t="shared" si="18"/>
        <v>0.32391175981491727</v>
      </c>
      <c r="BG12" s="11">
        <v>34968</v>
      </c>
      <c r="BH12" s="10"/>
      <c r="BI12" s="12">
        <f t="shared" si="19"/>
        <v>6.611354242739316E-2</v>
      </c>
      <c r="BJ12" s="11">
        <v>7226</v>
      </c>
      <c r="BK12" s="10"/>
      <c r="BL12" s="12">
        <f t="shared" si="20"/>
        <v>0.33438555359778122</v>
      </c>
      <c r="BM12" s="11">
        <v>28779</v>
      </c>
      <c r="BN12" s="10"/>
      <c r="BO12" s="12">
        <f t="shared" si="21"/>
        <v>0.1172634606713074</v>
      </c>
      <c r="BP12" s="11">
        <v>4763</v>
      </c>
      <c r="BQ12" s="10"/>
      <c r="BR12" s="12">
        <f t="shared" si="22"/>
        <v>6.5475891454504137E-2</v>
      </c>
      <c r="BS12" s="11">
        <v>2970</v>
      </c>
      <c r="BT12" s="11"/>
      <c r="BU12" s="12">
        <f t="shared" si="23"/>
        <v>8.1967783123108082E-2</v>
      </c>
      <c r="BV12" s="11">
        <v>3699</v>
      </c>
      <c r="BW12" s="10"/>
      <c r="BX12" s="12">
        <f t="shared" si="24"/>
        <v>0</v>
      </c>
      <c r="BY12" s="11"/>
      <c r="BZ12" s="11"/>
      <c r="CA12" s="12">
        <f t="shared" si="25"/>
        <v>0</v>
      </c>
      <c r="CB12" s="11"/>
      <c r="CC12" s="10"/>
      <c r="CD12" s="12">
        <f t="shared" si="26"/>
        <v>0</v>
      </c>
      <c r="CE12" s="11"/>
      <c r="CF12" s="10"/>
      <c r="CG12" s="12">
        <f t="shared" si="27"/>
        <v>0</v>
      </c>
      <c r="CH12" s="11"/>
      <c r="CI12" s="10"/>
      <c r="CJ12" s="12">
        <f t="shared" si="28"/>
        <v>0</v>
      </c>
      <c r="CK12" s="11"/>
      <c r="CL12" s="10"/>
      <c r="CM12" s="12">
        <f t="shared" si="29"/>
        <v>0</v>
      </c>
      <c r="CN12" s="11"/>
      <c r="CP12" s="12">
        <f t="shared" si="30"/>
        <v>0</v>
      </c>
      <c r="CS12" s="12">
        <f t="shared" si="31"/>
        <v>0</v>
      </c>
      <c r="CV12" s="12">
        <f t="shared" si="32"/>
        <v>0</v>
      </c>
      <c r="CY12" s="12">
        <f t="shared" si="33"/>
        <v>0</v>
      </c>
      <c r="DB12" s="12">
        <f t="shared" si="34"/>
        <v>0</v>
      </c>
      <c r="DC12" s="16"/>
      <c r="DD12" s="16"/>
      <c r="DE12" s="12">
        <f t="shared" si="35"/>
        <v>0</v>
      </c>
      <c r="DF12" s="16"/>
      <c r="DH12" s="12">
        <f t="shared" si="36"/>
        <v>0</v>
      </c>
      <c r="DK12" s="12">
        <f t="shared" si="37"/>
        <v>0</v>
      </c>
      <c r="DN12" s="12">
        <f t="shared" si="38"/>
        <v>0</v>
      </c>
      <c r="DQ12" s="12">
        <f t="shared" si="39"/>
        <v>0</v>
      </c>
      <c r="DR12" s="16"/>
      <c r="DS12" s="13"/>
      <c r="DT12" s="36">
        <f t="shared" si="40"/>
        <v>0</v>
      </c>
      <c r="DU12" s="35"/>
      <c r="DV12" s="13"/>
      <c r="DW12" s="12">
        <f t="shared" si="41"/>
        <v>0</v>
      </c>
      <c r="DZ12" s="12">
        <f t="shared" si="42"/>
        <v>0</v>
      </c>
      <c r="EC12" s="12">
        <f t="shared" si="43"/>
        <v>0</v>
      </c>
      <c r="EF12" s="12">
        <f t="shared" si="44"/>
        <v>0</v>
      </c>
      <c r="EI12" s="12">
        <f t="shared" si="45"/>
        <v>0</v>
      </c>
      <c r="EL12" s="12">
        <f t="shared" si="46"/>
        <v>0</v>
      </c>
      <c r="EO12" s="12">
        <f t="shared" si="47"/>
        <v>0</v>
      </c>
      <c r="ES12">
        <v>1.5269999999999999</v>
      </c>
      <c r="ET12">
        <v>204</v>
      </c>
      <c r="EU12" s="10" t="s">
        <v>15</v>
      </c>
      <c r="EV12" s="44">
        <f t="shared" si="48"/>
        <v>0.81701076875984779</v>
      </c>
      <c r="EW12">
        <v>62842</v>
      </c>
      <c r="EY12" s="44">
        <f t="shared" si="49"/>
        <v>0.60015673348611298</v>
      </c>
      <c r="EZ12">
        <v>75204</v>
      </c>
      <c r="FB12" s="44">
        <f t="shared" si="50"/>
        <v>0</v>
      </c>
      <c r="FC12">
        <v>0</v>
      </c>
      <c r="FE12" s="44">
        <f t="shared" si="51"/>
        <v>0</v>
      </c>
      <c r="FF12">
        <v>0</v>
      </c>
      <c r="FH12" s="44">
        <f t="shared" si="52"/>
        <v>0</v>
      </c>
      <c r="FI12">
        <v>0</v>
      </c>
      <c r="FK12" s="44">
        <f t="shared" si="53"/>
        <v>0</v>
      </c>
      <c r="FL12">
        <v>0</v>
      </c>
      <c r="FN12" s="44">
        <f t="shared" si="54"/>
        <v>0.54269109300633411</v>
      </c>
      <c r="FO12">
        <v>108538</v>
      </c>
      <c r="FQ12" s="44">
        <f t="shared" si="55"/>
        <v>0</v>
      </c>
      <c r="FR12">
        <v>0</v>
      </c>
      <c r="FT12" s="44">
        <f t="shared" si="56"/>
        <v>1.2001351691754643</v>
      </c>
      <c r="FU12">
        <v>214403</v>
      </c>
      <c r="FW12" s="44">
        <f t="shared" si="57"/>
        <v>0</v>
      </c>
      <c r="FX12">
        <v>0</v>
      </c>
      <c r="FZ12" s="44">
        <f t="shared" si="58"/>
        <v>1.4671305988311396</v>
      </c>
      <c r="GA12">
        <v>259917</v>
      </c>
      <c r="GC12" s="44">
        <f t="shared" si="59"/>
        <v>4.3155655193160003</v>
      </c>
      <c r="GD12">
        <v>430196</v>
      </c>
      <c r="GF12" s="44">
        <f t="shared" si="60"/>
        <v>1.2299989551608714</v>
      </c>
      <c r="GG12">
        <v>222710</v>
      </c>
      <c r="GI12" s="44">
        <f t="shared" si="61"/>
        <v>0</v>
      </c>
      <c r="GJ12">
        <v>0</v>
      </c>
      <c r="GL12" s="44">
        <f t="shared" si="62"/>
        <v>0</v>
      </c>
      <c r="GM12">
        <v>0</v>
      </c>
      <c r="GO12" s="44">
        <f t="shared" si="63"/>
        <v>0.2735519834902172</v>
      </c>
      <c r="GP12">
        <v>31966</v>
      </c>
      <c r="GR12" s="44">
        <f t="shared" si="64"/>
        <v>0</v>
      </c>
      <c r="GS12">
        <v>0</v>
      </c>
      <c r="GU12" s="44">
        <f t="shared" si="65"/>
        <v>3.9008473659935636</v>
      </c>
      <c r="GV12">
        <v>1278325</v>
      </c>
      <c r="GX12" s="44">
        <f t="shared" si="66"/>
        <v>0.37244914988441136</v>
      </c>
      <c r="GY12">
        <v>181343</v>
      </c>
      <c r="HA12" s="44">
        <f t="shared" si="67"/>
        <v>0</v>
      </c>
      <c r="HB12">
        <v>0</v>
      </c>
      <c r="HD12" s="44">
        <f t="shared" si="68"/>
        <v>4.4456586525097173E-2</v>
      </c>
      <c r="HE12">
        <v>6245</v>
      </c>
      <c r="HG12" s="44">
        <f t="shared" si="69"/>
        <v>0</v>
      </c>
      <c r="HH12">
        <v>0</v>
      </c>
      <c r="HJ12" s="44">
        <f t="shared" si="70"/>
        <v>0.13030725058974577</v>
      </c>
      <c r="HK12">
        <v>20790</v>
      </c>
      <c r="HM12" s="44">
        <f t="shared" si="71"/>
        <v>1.073128326360533E-2</v>
      </c>
      <c r="HN12">
        <v>6525</v>
      </c>
      <c r="HP12" s="44">
        <f t="shared" si="72"/>
        <v>0</v>
      </c>
      <c r="HQ12">
        <v>0</v>
      </c>
      <c r="HS12" s="44">
        <f t="shared" si="73"/>
        <v>0</v>
      </c>
      <c r="HT12">
        <v>0</v>
      </c>
      <c r="HV12" s="44">
        <f t="shared" si="74"/>
        <v>0.79815715416286337</v>
      </c>
      <c r="HW12">
        <v>290151</v>
      </c>
      <c r="HY12" s="44">
        <f t="shared" si="75"/>
        <v>2.7652648130394</v>
      </c>
      <c r="HZ12">
        <v>1207601</v>
      </c>
      <c r="IB12" s="44">
        <f t="shared" si="76"/>
        <v>0.3741202617020517</v>
      </c>
      <c r="IC12">
        <v>54271</v>
      </c>
      <c r="IE12" s="44">
        <f t="shared" si="77"/>
        <v>0</v>
      </c>
      <c r="IF12">
        <v>0</v>
      </c>
      <c r="IH12" s="44">
        <f t="shared" si="78"/>
        <v>0</v>
      </c>
      <c r="II12">
        <v>0</v>
      </c>
      <c r="IK12" s="44">
        <f t="shared" si="79"/>
        <v>0</v>
      </c>
      <c r="IL12">
        <v>0</v>
      </c>
      <c r="IN12" s="44">
        <f t="shared" si="80"/>
        <v>0</v>
      </c>
      <c r="IO12">
        <v>0</v>
      </c>
      <c r="IQ12" s="44">
        <f t="shared" si="81"/>
        <v>6.1006993995551102E-2</v>
      </c>
      <c r="IR12">
        <v>55142</v>
      </c>
    </row>
    <row r="13" spans="1:252">
      <c r="A13">
        <v>0.49</v>
      </c>
      <c r="B13">
        <v>204</v>
      </c>
      <c r="C13" s="10" t="s">
        <v>16</v>
      </c>
      <c r="D13" s="12">
        <f t="shared" si="0"/>
        <v>0</v>
      </c>
      <c r="E13" s="11">
        <v>0</v>
      </c>
      <c r="F13" s="11"/>
      <c r="G13" s="12">
        <f t="shared" si="1"/>
        <v>0</v>
      </c>
      <c r="H13" s="11"/>
      <c r="I13" s="11"/>
      <c r="J13" s="12">
        <f t="shared" si="2"/>
        <v>0</v>
      </c>
      <c r="K13" s="11"/>
      <c r="L13" s="10"/>
      <c r="M13" s="12">
        <f t="shared" si="3"/>
        <v>0</v>
      </c>
      <c r="N13" s="11"/>
      <c r="O13" s="11"/>
      <c r="P13" s="12">
        <f t="shared" si="4"/>
        <v>0</v>
      </c>
      <c r="Q13" s="11"/>
      <c r="R13" s="10"/>
      <c r="S13" s="12">
        <f t="shared" si="5"/>
        <v>0</v>
      </c>
      <c r="T13" s="11"/>
      <c r="U13" s="10"/>
      <c r="V13" s="12">
        <f t="shared" si="6"/>
        <v>0</v>
      </c>
      <c r="W13" s="11"/>
      <c r="X13" s="10"/>
      <c r="Y13" s="12">
        <f t="shared" si="7"/>
        <v>0.31681292062895505</v>
      </c>
      <c r="Z13" s="11">
        <v>3078</v>
      </c>
      <c r="AA13" s="10"/>
      <c r="AB13" s="12">
        <f t="shared" si="8"/>
        <v>0</v>
      </c>
      <c r="AC13" s="11"/>
      <c r="AD13" s="10"/>
      <c r="AE13" s="12">
        <f t="shared" si="9"/>
        <v>0</v>
      </c>
      <c r="AF13" s="11"/>
      <c r="AG13" s="10"/>
      <c r="AH13" s="12">
        <f t="shared" si="10"/>
        <v>0.37001674027995535</v>
      </c>
      <c r="AI13" s="11">
        <v>8445</v>
      </c>
      <c r="AJ13" s="10"/>
      <c r="AK13" s="12">
        <f t="shared" si="11"/>
        <v>0</v>
      </c>
      <c r="AL13" s="11"/>
      <c r="AM13" s="11"/>
      <c r="AN13" s="12">
        <f t="shared" si="12"/>
        <v>0</v>
      </c>
      <c r="AO13" s="11"/>
      <c r="AP13" s="10"/>
      <c r="AQ13" s="12">
        <f t="shared" si="13"/>
        <v>0</v>
      </c>
      <c r="AR13" s="11"/>
      <c r="AS13" s="10"/>
      <c r="AT13" s="12">
        <f t="shared" si="14"/>
        <v>0</v>
      </c>
      <c r="AU13" s="11"/>
      <c r="AV13" s="10"/>
      <c r="AW13" s="12">
        <f t="shared" si="15"/>
        <v>0</v>
      </c>
      <c r="AX13" s="11"/>
      <c r="AY13" s="10"/>
      <c r="AZ13" s="12">
        <f t="shared" si="16"/>
        <v>0.28609037652256231</v>
      </c>
      <c r="BA13" s="11">
        <v>12265</v>
      </c>
      <c r="BB13" s="10"/>
      <c r="BC13" s="12">
        <f t="shared" si="17"/>
        <v>0</v>
      </c>
      <c r="BD13" s="11"/>
      <c r="BE13" s="10"/>
      <c r="BF13" s="12">
        <f t="shared" si="18"/>
        <v>0</v>
      </c>
      <c r="BG13" s="11"/>
      <c r="BH13" s="10"/>
      <c r="BI13" s="12">
        <f t="shared" si="19"/>
        <v>0</v>
      </c>
      <c r="BJ13" s="11"/>
      <c r="BK13" s="10"/>
      <c r="BL13" s="12">
        <f t="shared" si="20"/>
        <v>0.28622967648692149</v>
      </c>
      <c r="BM13" s="11">
        <v>8156</v>
      </c>
      <c r="BN13" s="10"/>
      <c r="BO13" s="12">
        <f t="shared" si="21"/>
        <v>0</v>
      </c>
      <c r="BP13" s="11"/>
      <c r="BQ13" s="10"/>
      <c r="BR13" s="12">
        <f t="shared" si="22"/>
        <v>0</v>
      </c>
      <c r="BS13" s="11"/>
      <c r="BT13" s="11"/>
      <c r="BU13" s="12">
        <f t="shared" si="23"/>
        <v>0</v>
      </c>
      <c r="BV13" s="11"/>
      <c r="BW13" s="10"/>
      <c r="BX13" s="12">
        <f t="shared" si="24"/>
        <v>0</v>
      </c>
      <c r="BY13" s="11"/>
      <c r="BZ13" s="11"/>
      <c r="CA13" s="12">
        <f t="shared" si="25"/>
        <v>0</v>
      </c>
      <c r="CB13" s="11"/>
      <c r="CC13" s="10"/>
      <c r="CD13" s="12">
        <f t="shared" si="26"/>
        <v>0</v>
      </c>
      <c r="CE13" s="11"/>
      <c r="CF13" s="10"/>
      <c r="CG13" s="12">
        <f t="shared" si="27"/>
        <v>0.17241268934347059</v>
      </c>
      <c r="CH13" s="11">
        <v>2102</v>
      </c>
      <c r="CI13" s="10"/>
      <c r="CJ13" s="12">
        <f t="shared" si="28"/>
        <v>0</v>
      </c>
      <c r="CK13" s="11"/>
      <c r="CL13" s="10"/>
      <c r="CM13" s="12">
        <f t="shared" si="29"/>
        <v>0</v>
      </c>
      <c r="CN13" s="11"/>
      <c r="CP13" s="12">
        <f t="shared" si="30"/>
        <v>0</v>
      </c>
      <c r="CS13" s="12">
        <f t="shared" si="31"/>
        <v>0</v>
      </c>
      <c r="CV13" s="12">
        <f t="shared" si="32"/>
        <v>0</v>
      </c>
      <c r="CY13" s="12">
        <f t="shared" si="33"/>
        <v>0</v>
      </c>
      <c r="DB13" s="12">
        <f t="shared" si="34"/>
        <v>0</v>
      </c>
      <c r="DC13" s="16"/>
      <c r="DD13" s="16"/>
      <c r="DE13" s="12">
        <f t="shared" si="35"/>
        <v>0</v>
      </c>
      <c r="DF13" s="16"/>
      <c r="DH13" s="12">
        <f t="shared" si="36"/>
        <v>7.7572174295307023E-2</v>
      </c>
      <c r="DI13">
        <v>1725</v>
      </c>
      <c r="DK13" s="12">
        <f t="shared" si="37"/>
        <v>0.12065641369543929</v>
      </c>
      <c r="DL13">
        <v>2695</v>
      </c>
      <c r="DN13" s="12">
        <f t="shared" si="38"/>
        <v>0</v>
      </c>
      <c r="DQ13" s="12">
        <f t="shared" si="39"/>
        <v>0</v>
      </c>
      <c r="DR13" s="16"/>
      <c r="DS13" s="13"/>
      <c r="DT13" s="36">
        <f t="shared" si="40"/>
        <v>0</v>
      </c>
      <c r="DU13" s="35"/>
      <c r="DV13" s="13"/>
      <c r="DW13" s="12">
        <f t="shared" si="41"/>
        <v>0</v>
      </c>
      <c r="DZ13" s="12">
        <f t="shared" si="42"/>
        <v>0</v>
      </c>
      <c r="EC13" s="12">
        <f t="shared" si="43"/>
        <v>0</v>
      </c>
      <c r="EF13" s="12">
        <f t="shared" si="44"/>
        <v>0</v>
      </c>
      <c r="EI13" s="12">
        <f t="shared" si="45"/>
        <v>0</v>
      </c>
      <c r="EL13" s="12">
        <f t="shared" si="46"/>
        <v>0</v>
      </c>
      <c r="EO13" s="12">
        <f t="shared" si="47"/>
        <v>0</v>
      </c>
      <c r="ES13">
        <v>0.73499999999999999</v>
      </c>
      <c r="ET13">
        <v>204</v>
      </c>
      <c r="EU13" s="10" t="s">
        <v>16</v>
      </c>
      <c r="EV13" s="44">
        <f t="shared" si="48"/>
        <v>0</v>
      </c>
      <c r="EW13">
        <v>0</v>
      </c>
      <c r="EY13" s="44">
        <f t="shared" si="49"/>
        <v>0</v>
      </c>
      <c r="EZ13">
        <v>0</v>
      </c>
      <c r="FB13" s="44">
        <f t="shared" si="50"/>
        <v>0</v>
      </c>
      <c r="FC13">
        <v>0</v>
      </c>
      <c r="FE13" s="44">
        <f t="shared" si="51"/>
        <v>0</v>
      </c>
      <c r="FF13">
        <v>0</v>
      </c>
      <c r="FH13" s="44">
        <f t="shared" si="52"/>
        <v>0</v>
      </c>
      <c r="FI13">
        <v>0</v>
      </c>
      <c r="FK13" s="44">
        <f t="shared" si="53"/>
        <v>0</v>
      </c>
      <c r="FL13">
        <v>0</v>
      </c>
      <c r="FN13" s="44">
        <f t="shared" si="54"/>
        <v>0</v>
      </c>
      <c r="FO13">
        <v>0</v>
      </c>
      <c r="FQ13" s="44">
        <f t="shared" si="55"/>
        <v>0</v>
      </c>
      <c r="FR13">
        <v>0</v>
      </c>
      <c r="FT13" s="44">
        <f t="shared" si="56"/>
        <v>1.1001950417774597</v>
      </c>
      <c r="FU13">
        <v>94606</v>
      </c>
      <c r="FW13" s="44">
        <f t="shared" si="57"/>
        <v>0</v>
      </c>
      <c r="FX13">
        <v>0</v>
      </c>
      <c r="FZ13" s="44">
        <f t="shared" si="58"/>
        <v>0</v>
      </c>
      <c r="GA13">
        <v>0</v>
      </c>
      <c r="GC13" s="44">
        <f t="shared" si="59"/>
        <v>0</v>
      </c>
      <c r="GD13">
        <v>0</v>
      </c>
      <c r="GF13" s="44">
        <f t="shared" si="60"/>
        <v>0</v>
      </c>
      <c r="GG13">
        <v>0</v>
      </c>
      <c r="GI13" s="44">
        <f t="shared" si="61"/>
        <v>0</v>
      </c>
      <c r="GJ13">
        <v>0</v>
      </c>
      <c r="GL13" s="44">
        <f t="shared" si="62"/>
        <v>0</v>
      </c>
      <c r="GM13">
        <v>0</v>
      </c>
      <c r="GO13" s="44">
        <f t="shared" si="63"/>
        <v>0.21290153519853791</v>
      </c>
      <c r="GP13">
        <v>11975</v>
      </c>
      <c r="GR13" s="44">
        <f t="shared" si="64"/>
        <v>0</v>
      </c>
      <c r="GS13">
        <v>0</v>
      </c>
      <c r="GU13" s="44">
        <f t="shared" si="65"/>
        <v>0</v>
      </c>
      <c r="GV13">
        <v>0</v>
      </c>
      <c r="GX13" s="44">
        <f t="shared" si="66"/>
        <v>0</v>
      </c>
      <c r="GY13">
        <v>0</v>
      </c>
      <c r="HA13" s="44">
        <f t="shared" si="67"/>
        <v>0</v>
      </c>
      <c r="HB13">
        <v>0</v>
      </c>
      <c r="HD13" s="44">
        <f t="shared" si="68"/>
        <v>0</v>
      </c>
      <c r="HE13">
        <v>0</v>
      </c>
      <c r="HG13" s="44">
        <f t="shared" si="69"/>
        <v>0</v>
      </c>
      <c r="HH13">
        <v>0</v>
      </c>
      <c r="HJ13" s="44">
        <f t="shared" si="70"/>
        <v>0</v>
      </c>
      <c r="HK13">
        <v>0</v>
      </c>
      <c r="HM13" s="44">
        <f t="shared" si="71"/>
        <v>0</v>
      </c>
      <c r="HN13">
        <v>0</v>
      </c>
      <c r="HP13" s="44">
        <f t="shared" si="72"/>
        <v>0</v>
      </c>
      <c r="HQ13">
        <v>0</v>
      </c>
      <c r="HS13" s="44">
        <f t="shared" si="73"/>
        <v>0</v>
      </c>
      <c r="HT13">
        <v>0</v>
      </c>
      <c r="HV13" s="44">
        <f t="shared" si="74"/>
        <v>0</v>
      </c>
      <c r="HW13">
        <v>0</v>
      </c>
      <c r="HY13" s="44">
        <f t="shared" si="75"/>
        <v>0</v>
      </c>
      <c r="HZ13">
        <v>0</v>
      </c>
      <c r="IB13" s="44">
        <f t="shared" si="76"/>
        <v>0</v>
      </c>
      <c r="IC13">
        <v>0</v>
      </c>
      <c r="IE13" s="44">
        <f t="shared" si="77"/>
        <v>0</v>
      </c>
      <c r="IF13">
        <v>0</v>
      </c>
      <c r="IH13" s="44">
        <f t="shared" si="78"/>
        <v>0</v>
      </c>
      <c r="II13">
        <v>0</v>
      </c>
      <c r="IK13" s="44">
        <f t="shared" si="79"/>
        <v>5.6266965010224296E-2</v>
      </c>
      <c r="IL13">
        <v>13847</v>
      </c>
      <c r="IN13" s="44">
        <f t="shared" si="80"/>
        <v>0</v>
      </c>
      <c r="IO13">
        <v>0</v>
      </c>
      <c r="IQ13" s="44">
        <f t="shared" si="81"/>
        <v>6.6277904096038009E-2</v>
      </c>
      <c r="IR13">
        <v>28835</v>
      </c>
    </row>
    <row r="14" spans="1:252">
      <c r="A14">
        <v>1.4850000000000001</v>
      </c>
      <c r="B14">
        <v>204</v>
      </c>
      <c r="C14" s="10" t="s">
        <v>17</v>
      </c>
      <c r="D14" s="12">
        <f t="shared" si="0"/>
        <v>0</v>
      </c>
      <c r="E14" s="11">
        <v>0</v>
      </c>
      <c r="F14" s="11"/>
      <c r="G14" s="12">
        <f t="shared" si="1"/>
        <v>0.25168626717892773</v>
      </c>
      <c r="H14" s="11">
        <v>7561</v>
      </c>
      <c r="I14" s="11"/>
      <c r="J14" s="12">
        <f t="shared" si="2"/>
        <v>0.32918360105049094</v>
      </c>
      <c r="K14" s="11">
        <v>10300</v>
      </c>
      <c r="L14" s="10"/>
      <c r="M14" s="12">
        <f t="shared" si="3"/>
        <v>0.1599866954783159</v>
      </c>
      <c r="N14" s="11">
        <v>7902</v>
      </c>
      <c r="O14" s="11"/>
      <c r="P14" s="12">
        <f t="shared" si="4"/>
        <v>6.1652627354918839E-2</v>
      </c>
      <c r="Q14" s="11">
        <v>3232</v>
      </c>
      <c r="R14" s="10"/>
      <c r="S14" s="12">
        <f t="shared" si="5"/>
        <v>0</v>
      </c>
      <c r="T14" s="11"/>
      <c r="U14" s="10"/>
      <c r="V14" s="12">
        <f t="shared" si="6"/>
        <v>0</v>
      </c>
      <c r="W14" s="11"/>
      <c r="X14" s="10"/>
      <c r="Y14" s="12">
        <f t="shared" si="7"/>
        <v>0</v>
      </c>
      <c r="Z14" s="11"/>
      <c r="AA14" s="10"/>
      <c r="AB14" s="12">
        <f t="shared" si="8"/>
        <v>1.3874665053387163</v>
      </c>
      <c r="AC14" s="11">
        <v>24648</v>
      </c>
      <c r="AD14" s="10"/>
      <c r="AE14" s="12">
        <f t="shared" si="9"/>
        <v>0.50291331758870383</v>
      </c>
      <c r="AF14" s="11">
        <v>44070</v>
      </c>
      <c r="AG14" s="10"/>
      <c r="AH14" s="12">
        <f t="shared" si="10"/>
        <v>0.41338153118826981</v>
      </c>
      <c r="AI14" s="11">
        <v>28593</v>
      </c>
      <c r="AJ14" s="10"/>
      <c r="AK14" s="12">
        <f t="shared" si="11"/>
        <v>0.15097061219792748</v>
      </c>
      <c r="AL14" s="11">
        <v>8057</v>
      </c>
      <c r="AM14" s="11"/>
      <c r="AN14" s="12">
        <f t="shared" si="12"/>
        <v>0.16939201485788316</v>
      </c>
      <c r="AO14" s="11">
        <v>8177</v>
      </c>
      <c r="AP14" s="10"/>
      <c r="AQ14" s="12">
        <f t="shared" si="13"/>
        <v>0</v>
      </c>
      <c r="AR14" s="11"/>
      <c r="AS14" s="10"/>
      <c r="AT14" s="12">
        <f t="shared" si="14"/>
        <v>0.45615996297570804</v>
      </c>
      <c r="AU14" s="11">
        <v>25170</v>
      </c>
      <c r="AV14" s="10"/>
      <c r="AW14" s="12">
        <f t="shared" si="15"/>
        <v>0.16472465401872771</v>
      </c>
      <c r="AX14" s="11">
        <v>19871</v>
      </c>
      <c r="AY14" s="10"/>
      <c r="AZ14" s="12">
        <f t="shared" si="16"/>
        <v>0.31440305143454506</v>
      </c>
      <c r="BA14" s="11">
        <v>40849</v>
      </c>
      <c r="BB14" s="10"/>
      <c r="BC14" s="12">
        <f t="shared" si="17"/>
        <v>0</v>
      </c>
      <c r="BD14" s="11"/>
      <c r="BE14" s="10"/>
      <c r="BF14" s="12">
        <f t="shared" si="18"/>
        <v>0.42213794914290892</v>
      </c>
      <c r="BG14" s="11">
        <v>45726</v>
      </c>
      <c r="BH14" s="10"/>
      <c r="BI14" s="12">
        <f t="shared" si="19"/>
        <v>0.14789442595083005</v>
      </c>
      <c r="BJ14" s="11">
        <v>16219</v>
      </c>
      <c r="BK14" s="10"/>
      <c r="BL14" s="12">
        <f t="shared" si="20"/>
        <v>0.60824899259923892</v>
      </c>
      <c r="BM14" s="11">
        <v>52526</v>
      </c>
      <c r="BN14" s="10"/>
      <c r="BO14" s="12">
        <f t="shared" si="21"/>
        <v>0.15745245133101801</v>
      </c>
      <c r="BP14" s="11">
        <v>6417</v>
      </c>
      <c r="BQ14" s="10"/>
      <c r="BR14" s="12">
        <f t="shared" si="22"/>
        <v>7.9646783809682584E-2</v>
      </c>
      <c r="BS14" s="11">
        <v>3625</v>
      </c>
      <c r="BT14" s="11"/>
      <c r="BU14" s="12">
        <f t="shared" si="23"/>
        <v>7.9726247183039139E-2</v>
      </c>
      <c r="BV14" s="11">
        <v>3610</v>
      </c>
      <c r="BW14" s="10"/>
      <c r="BX14" s="12">
        <f t="shared" si="24"/>
        <v>0</v>
      </c>
      <c r="BY14" s="11"/>
      <c r="BZ14" s="11"/>
      <c r="CA14" s="12">
        <f t="shared" si="25"/>
        <v>0</v>
      </c>
      <c r="CB14" s="11"/>
      <c r="CC14" s="10"/>
      <c r="CD14" s="12">
        <f t="shared" si="26"/>
        <v>0</v>
      </c>
      <c r="CE14" s="11"/>
      <c r="CF14" s="10"/>
      <c r="CG14" s="12">
        <f t="shared" si="27"/>
        <v>0.13137293810155826</v>
      </c>
      <c r="CH14" s="11">
        <v>4854</v>
      </c>
      <c r="CI14" s="10"/>
      <c r="CJ14" s="12">
        <f t="shared" si="28"/>
        <v>0</v>
      </c>
      <c r="CK14" s="11"/>
      <c r="CL14" s="10"/>
      <c r="CM14" s="12">
        <f t="shared" si="29"/>
        <v>0</v>
      </c>
      <c r="CN14" s="11"/>
      <c r="CP14" s="12">
        <f t="shared" si="30"/>
        <v>0.2076022766635616</v>
      </c>
      <c r="CQ14">
        <v>8014</v>
      </c>
      <c r="CS14" s="12">
        <f t="shared" si="31"/>
        <v>0</v>
      </c>
      <c r="CV14" s="12">
        <f t="shared" si="32"/>
        <v>0</v>
      </c>
      <c r="CY14" s="12">
        <f t="shared" si="33"/>
        <v>0</v>
      </c>
      <c r="DB14" s="12">
        <f t="shared" si="34"/>
        <v>0</v>
      </c>
      <c r="DC14" s="16"/>
      <c r="DD14" s="16"/>
      <c r="DE14" s="12">
        <f t="shared" si="35"/>
        <v>0</v>
      </c>
      <c r="DF14" s="16"/>
      <c r="DH14" s="12">
        <f t="shared" si="36"/>
        <v>5.2572380668073453E-2</v>
      </c>
      <c r="DI14">
        <v>3543</v>
      </c>
      <c r="DK14" s="12">
        <f t="shared" si="37"/>
        <v>5.6727349689683119E-2</v>
      </c>
      <c r="DL14">
        <v>3840</v>
      </c>
      <c r="DN14" s="12">
        <f t="shared" si="38"/>
        <v>0</v>
      </c>
      <c r="DQ14" s="12">
        <f t="shared" si="39"/>
        <v>0</v>
      </c>
      <c r="DR14" s="16"/>
      <c r="DS14" s="13"/>
      <c r="DT14" s="36">
        <f t="shared" si="40"/>
        <v>0</v>
      </c>
      <c r="DU14" s="35"/>
      <c r="DV14" s="13"/>
      <c r="DW14" s="12">
        <f t="shared" si="41"/>
        <v>0</v>
      </c>
      <c r="DZ14" s="12">
        <f t="shared" si="42"/>
        <v>0</v>
      </c>
      <c r="EC14" s="12">
        <f t="shared" si="43"/>
        <v>0</v>
      </c>
      <c r="EF14" s="12">
        <f t="shared" si="44"/>
        <v>0</v>
      </c>
      <c r="EI14" s="12">
        <f t="shared" si="45"/>
        <v>0</v>
      </c>
      <c r="EL14" s="12">
        <f t="shared" si="46"/>
        <v>0</v>
      </c>
      <c r="EO14" s="12">
        <f t="shared" si="47"/>
        <v>2.4229624989760255E-2</v>
      </c>
      <c r="EP14">
        <v>1334</v>
      </c>
      <c r="ES14">
        <v>1.569</v>
      </c>
      <c r="ET14">
        <v>204</v>
      </c>
      <c r="EU14" s="10" t="s">
        <v>17</v>
      </c>
      <c r="EV14" s="44">
        <f t="shared" si="48"/>
        <v>0.83991950455043174</v>
      </c>
      <c r="EW14">
        <v>66381</v>
      </c>
      <c r="EY14" s="44">
        <f t="shared" si="49"/>
        <v>0.7296947856015622</v>
      </c>
      <c r="EZ14">
        <v>93951</v>
      </c>
      <c r="FB14" s="44">
        <f t="shared" si="50"/>
        <v>0</v>
      </c>
      <c r="FC14">
        <v>0</v>
      </c>
      <c r="FE14" s="44">
        <f t="shared" si="51"/>
        <v>0.24272619485005978</v>
      </c>
      <c r="FF14">
        <v>30253</v>
      </c>
      <c r="FH14" s="44">
        <f t="shared" si="52"/>
        <v>0</v>
      </c>
      <c r="FI14">
        <v>0</v>
      </c>
      <c r="FK14" s="44">
        <f t="shared" si="53"/>
        <v>0</v>
      </c>
      <c r="FL14">
        <v>0</v>
      </c>
      <c r="FN14" s="44">
        <f t="shared" si="54"/>
        <v>0.66711250994512949</v>
      </c>
      <c r="FO14">
        <v>137092</v>
      </c>
      <c r="FQ14" s="44">
        <f t="shared" si="55"/>
        <v>0.1832250210362652</v>
      </c>
      <c r="FR14">
        <v>47272</v>
      </c>
      <c r="FT14" s="44">
        <f t="shared" si="56"/>
        <v>1.2627342706409059</v>
      </c>
      <c r="FU14">
        <v>231791</v>
      </c>
      <c r="FW14" s="44">
        <f t="shared" si="57"/>
        <v>0.97579899739286291</v>
      </c>
      <c r="FX14">
        <v>61125</v>
      </c>
      <c r="FZ14" s="44">
        <f t="shared" si="58"/>
        <v>1.2691004626599254</v>
      </c>
      <c r="GA14">
        <v>231018</v>
      </c>
      <c r="GC14" s="44">
        <f t="shared" si="59"/>
        <v>5.6503023844916687</v>
      </c>
      <c r="GD14">
        <v>578741</v>
      </c>
      <c r="GF14" s="44">
        <f t="shared" si="60"/>
        <v>1.3587975395399243</v>
      </c>
      <c r="GG14">
        <v>252798</v>
      </c>
      <c r="GI14" s="44">
        <f t="shared" si="61"/>
        <v>0</v>
      </c>
      <c r="GJ14">
        <v>0</v>
      </c>
      <c r="GL14" s="44">
        <f t="shared" si="62"/>
        <v>0</v>
      </c>
      <c r="GM14">
        <v>0</v>
      </c>
      <c r="GO14" s="44">
        <f t="shared" si="63"/>
        <v>0.37693201365237172</v>
      </c>
      <c r="GP14">
        <v>45258</v>
      </c>
      <c r="GR14" s="44">
        <f t="shared" si="64"/>
        <v>0</v>
      </c>
      <c r="GS14">
        <v>0</v>
      </c>
      <c r="GU14" s="44">
        <f t="shared" si="65"/>
        <v>3.0973611270600387</v>
      </c>
      <c r="GV14">
        <v>1042937</v>
      </c>
      <c r="GX14" s="44">
        <f t="shared" si="66"/>
        <v>0.32841262803848675</v>
      </c>
      <c r="GY14">
        <v>164300</v>
      </c>
      <c r="HA14" s="44">
        <f t="shared" si="67"/>
        <v>0</v>
      </c>
      <c r="HB14">
        <v>0</v>
      </c>
      <c r="HD14" s="44">
        <f t="shared" si="68"/>
        <v>6.2665474937755941E-2</v>
      </c>
      <c r="HE14">
        <v>9045</v>
      </c>
      <c r="HG14" s="44">
        <f t="shared" si="69"/>
        <v>0</v>
      </c>
      <c r="HH14">
        <v>0</v>
      </c>
      <c r="HJ14" s="44">
        <f t="shared" si="70"/>
        <v>0.1230797993713879</v>
      </c>
      <c r="HK14">
        <v>20177</v>
      </c>
      <c r="HM14" s="44">
        <f t="shared" si="71"/>
        <v>0</v>
      </c>
      <c r="HN14">
        <v>0</v>
      </c>
      <c r="HP14" s="44">
        <f t="shared" si="72"/>
        <v>0</v>
      </c>
      <c r="HQ14">
        <v>0</v>
      </c>
      <c r="HS14" s="44">
        <f t="shared" si="73"/>
        <v>0</v>
      </c>
      <c r="HT14">
        <v>0</v>
      </c>
      <c r="HV14" s="44">
        <f t="shared" si="74"/>
        <v>0.77441957358255475</v>
      </c>
      <c r="HW14">
        <v>289265</v>
      </c>
      <c r="HY14" s="44">
        <f t="shared" si="75"/>
        <v>1.5897861873839412</v>
      </c>
      <c r="HZ14">
        <v>713361</v>
      </c>
      <c r="IB14" s="44">
        <f t="shared" si="76"/>
        <v>0.35991242870229739</v>
      </c>
      <c r="IC14">
        <v>53646</v>
      </c>
      <c r="IE14" s="44">
        <f t="shared" si="77"/>
        <v>0</v>
      </c>
      <c r="IF14">
        <v>0</v>
      </c>
      <c r="IH14" s="44">
        <f t="shared" si="78"/>
        <v>0</v>
      </c>
      <c r="II14">
        <v>0</v>
      </c>
      <c r="IK14" s="44">
        <f t="shared" si="79"/>
        <v>3.1798649343524957E-2</v>
      </c>
      <c r="IL14">
        <v>16705</v>
      </c>
      <c r="IN14" s="44">
        <f t="shared" si="80"/>
        <v>0.43647701541416467</v>
      </c>
      <c r="IO14">
        <v>238688</v>
      </c>
      <c r="IQ14" s="44">
        <f t="shared" si="81"/>
        <v>7.730927518752613E-2</v>
      </c>
      <c r="IR14">
        <v>71799</v>
      </c>
    </row>
    <row r="15" spans="1:252">
      <c r="A15">
        <v>2.0870000000000002</v>
      </c>
      <c r="B15">
        <v>361</v>
      </c>
      <c r="C15" s="10" t="s">
        <v>18</v>
      </c>
      <c r="D15" s="12">
        <f t="shared" si="0"/>
        <v>4.1798909637468781E-2</v>
      </c>
      <c r="E15" s="11">
        <v>3951</v>
      </c>
      <c r="F15" s="11"/>
      <c r="G15" s="12">
        <f t="shared" si="1"/>
        <v>0.23417947086064594</v>
      </c>
      <c r="H15" s="11">
        <v>9887</v>
      </c>
      <c r="I15" s="11"/>
      <c r="J15" s="12">
        <f t="shared" si="2"/>
        <v>0.23450271545250079</v>
      </c>
      <c r="K15" s="11">
        <v>10312</v>
      </c>
      <c r="L15" s="10"/>
      <c r="M15" s="12">
        <f t="shared" si="3"/>
        <v>5.3461581479996564E-2</v>
      </c>
      <c r="N15" s="11">
        <v>3711</v>
      </c>
      <c r="O15" s="11"/>
      <c r="P15" s="12">
        <f t="shared" si="4"/>
        <v>4.8470119635336331E-2</v>
      </c>
      <c r="Q15" s="11">
        <v>3571</v>
      </c>
      <c r="R15" s="10"/>
      <c r="S15" s="12">
        <f t="shared" si="5"/>
        <v>0.15688607336791988</v>
      </c>
      <c r="T15" s="11">
        <v>9563</v>
      </c>
      <c r="U15" s="10"/>
      <c r="V15" s="12">
        <f t="shared" si="6"/>
        <v>0.56598986095513881</v>
      </c>
      <c r="W15" s="11">
        <v>13832</v>
      </c>
      <c r="X15" s="10"/>
      <c r="Y15" s="12">
        <f t="shared" si="7"/>
        <v>1.9985426013019648E-2</v>
      </c>
      <c r="Z15" s="11">
        <v>827</v>
      </c>
      <c r="AA15" s="10"/>
      <c r="AB15" s="12">
        <f t="shared" si="8"/>
        <v>0.13782547552981969</v>
      </c>
      <c r="AC15" s="11">
        <v>3441</v>
      </c>
      <c r="AD15" s="10"/>
      <c r="AE15" s="12">
        <f t="shared" si="9"/>
        <v>0.12058146166812296</v>
      </c>
      <c r="AF15" s="11">
        <v>14850</v>
      </c>
      <c r="AG15" s="10"/>
      <c r="AH15" s="12">
        <f t="shared" si="10"/>
        <v>0.11295297915763265</v>
      </c>
      <c r="AI15" s="11">
        <v>10980</v>
      </c>
      <c r="AJ15" s="10"/>
      <c r="AK15" s="12">
        <f t="shared" si="11"/>
        <v>5.637129810032028E-2</v>
      </c>
      <c r="AL15" s="11">
        <v>4228</v>
      </c>
      <c r="AM15" s="11"/>
      <c r="AN15" s="12">
        <f t="shared" si="12"/>
        <v>6.4650452362263161E-2</v>
      </c>
      <c r="AO15" s="11">
        <v>4386</v>
      </c>
      <c r="AP15" s="10"/>
      <c r="AQ15" s="12">
        <f t="shared" si="13"/>
        <v>8.7678059552639215E-2</v>
      </c>
      <c r="AR15" s="11">
        <v>8010</v>
      </c>
      <c r="AS15" s="10"/>
      <c r="AT15" s="12">
        <f t="shared" si="14"/>
        <v>0.55119206200413084</v>
      </c>
      <c r="AU15" s="11">
        <v>42743</v>
      </c>
      <c r="AV15" s="10"/>
      <c r="AW15" s="12">
        <f t="shared" si="15"/>
        <v>6.4877795930486176E-2</v>
      </c>
      <c r="AX15" s="11">
        <v>10999</v>
      </c>
      <c r="AY15" s="10"/>
      <c r="AZ15" s="12">
        <f t="shared" si="16"/>
        <v>3.0548355618214583E-2</v>
      </c>
      <c r="BA15" s="11">
        <v>5578</v>
      </c>
      <c r="BB15" s="10"/>
      <c r="BC15" s="12">
        <f t="shared" si="17"/>
        <v>1.9478735582025668</v>
      </c>
      <c r="BD15" s="11">
        <v>125302</v>
      </c>
      <c r="BE15" s="10"/>
      <c r="BF15" s="12">
        <f t="shared" si="18"/>
        <v>0</v>
      </c>
      <c r="BG15" s="11"/>
      <c r="BH15" s="10"/>
      <c r="BI15" s="12">
        <f t="shared" si="19"/>
        <v>3.9338636689236935E-2</v>
      </c>
      <c r="BJ15" s="11">
        <v>6063</v>
      </c>
      <c r="BK15" s="10"/>
      <c r="BL15" s="12">
        <f t="shared" si="20"/>
        <v>9.6519773313547122E-2</v>
      </c>
      <c r="BM15" s="11">
        <v>11714</v>
      </c>
      <c r="BN15" s="10"/>
      <c r="BO15" s="12">
        <f t="shared" si="21"/>
        <v>0.29718848490511091</v>
      </c>
      <c r="BP15" s="11">
        <v>17022</v>
      </c>
      <c r="BQ15" s="10"/>
      <c r="BR15" s="12">
        <f t="shared" si="22"/>
        <v>3.4550672960138362E-2</v>
      </c>
      <c r="BS15" s="11">
        <v>2210</v>
      </c>
      <c r="BT15" s="11"/>
      <c r="BU15" s="12">
        <f t="shared" si="23"/>
        <v>4.1360331353418822E-2</v>
      </c>
      <c r="BV15" s="11">
        <v>2632</v>
      </c>
      <c r="BW15" s="10"/>
      <c r="BX15" s="12">
        <f t="shared" si="24"/>
        <v>4.1202066089786521E-2</v>
      </c>
      <c r="BY15" s="11">
        <v>709</v>
      </c>
      <c r="BZ15" s="11"/>
      <c r="CA15" s="12">
        <f t="shared" si="25"/>
        <v>6.7044262808487146E-2</v>
      </c>
      <c r="CB15" s="11">
        <v>1198</v>
      </c>
      <c r="CC15" s="10"/>
      <c r="CD15" s="12">
        <f t="shared" si="26"/>
        <v>6.2438806631965986E-2</v>
      </c>
      <c r="CE15" s="11">
        <v>1613</v>
      </c>
      <c r="CF15" s="10"/>
      <c r="CG15" s="12">
        <f t="shared" si="27"/>
        <v>8.0344184166463412E-2</v>
      </c>
      <c r="CH15" s="11">
        <v>4172</v>
      </c>
      <c r="CI15" s="10"/>
      <c r="CJ15" s="12">
        <f t="shared" si="28"/>
        <v>9.3791605556850427E-2</v>
      </c>
      <c r="CK15" s="11">
        <v>5028</v>
      </c>
      <c r="CL15" s="10"/>
      <c r="CM15" s="12">
        <f t="shared" si="29"/>
        <v>8.4339964677592652E-2</v>
      </c>
      <c r="CN15" s="11">
        <v>18055</v>
      </c>
      <c r="CP15" s="12">
        <f t="shared" si="30"/>
        <v>6.3076383294550842E-2</v>
      </c>
      <c r="CQ15">
        <v>3422</v>
      </c>
      <c r="CS15" s="12">
        <f t="shared" si="31"/>
        <v>9.0570344945189257E-2</v>
      </c>
      <c r="CT15">
        <v>13834</v>
      </c>
      <c r="CV15" s="12">
        <f t="shared" si="32"/>
        <v>8.9126790214028834E-2</v>
      </c>
      <c r="CW15">
        <v>35888</v>
      </c>
      <c r="CY15" s="12">
        <f t="shared" si="33"/>
        <v>0.53889417562457431</v>
      </c>
      <c r="CZ15">
        <v>10082</v>
      </c>
      <c r="DB15" s="12">
        <f t="shared" si="34"/>
        <v>7.5766510205848667E-2</v>
      </c>
      <c r="DC15" s="16">
        <v>5837</v>
      </c>
      <c r="DD15" s="16"/>
      <c r="DE15" s="12">
        <f t="shared" si="35"/>
        <v>6.7353106330978435E-2</v>
      </c>
      <c r="DF15" s="16">
        <v>5554</v>
      </c>
      <c r="DH15" s="12">
        <f t="shared" si="36"/>
        <v>5.1513530359654572E-2</v>
      </c>
      <c r="DI15">
        <v>4879</v>
      </c>
      <c r="DK15" s="12">
        <f t="shared" si="37"/>
        <v>4.8405522068867703E-2</v>
      </c>
      <c r="DL15">
        <v>4605</v>
      </c>
      <c r="DN15" s="12">
        <f t="shared" si="38"/>
        <v>3.5519428350562647E-2</v>
      </c>
      <c r="DO15">
        <v>1586</v>
      </c>
      <c r="DQ15" s="12">
        <f t="shared" si="39"/>
        <v>2.1577038022745215E-2</v>
      </c>
      <c r="DR15" s="16">
        <v>3450</v>
      </c>
      <c r="DS15" s="13"/>
      <c r="DT15" s="36">
        <f t="shared" si="40"/>
        <v>4.6456338242317728E-2</v>
      </c>
      <c r="DU15" s="35">
        <v>28684</v>
      </c>
      <c r="DV15" s="13"/>
      <c r="DW15" s="12">
        <f t="shared" si="41"/>
        <v>2.835719096918829E-2</v>
      </c>
      <c r="DX15">
        <v>15319</v>
      </c>
      <c r="DZ15" s="12">
        <f t="shared" si="42"/>
        <v>0</v>
      </c>
      <c r="EC15" s="12">
        <f t="shared" si="43"/>
        <v>0</v>
      </c>
      <c r="EF15" s="12">
        <f t="shared" si="44"/>
        <v>2.0559961887760093E-2</v>
      </c>
      <c r="EG15">
        <v>2819</v>
      </c>
      <c r="EI15" s="12">
        <f t="shared" si="45"/>
        <v>2.0597669046852941E-2</v>
      </c>
      <c r="EJ15">
        <v>5808</v>
      </c>
      <c r="EL15" s="12">
        <f t="shared" si="46"/>
        <v>0</v>
      </c>
      <c r="EO15" s="12">
        <f t="shared" si="47"/>
        <v>2.3689578439189254E-2</v>
      </c>
      <c r="EP15">
        <v>1833</v>
      </c>
      <c r="ES15">
        <v>1.671</v>
      </c>
      <c r="ET15">
        <v>361</v>
      </c>
      <c r="EU15" s="10" t="s">
        <v>18</v>
      </c>
      <c r="EV15" s="44">
        <f t="shared" si="48"/>
        <v>0.15163279452083744</v>
      </c>
      <c r="EW15">
        <v>12763</v>
      </c>
      <c r="EY15" s="44">
        <f t="shared" si="49"/>
        <v>0</v>
      </c>
      <c r="EZ15">
        <v>0</v>
      </c>
      <c r="FB15" s="44">
        <f t="shared" si="50"/>
        <v>0</v>
      </c>
      <c r="FC15">
        <v>0</v>
      </c>
      <c r="FE15" s="44">
        <f t="shared" si="51"/>
        <v>0</v>
      </c>
      <c r="FF15">
        <v>0</v>
      </c>
      <c r="FH15" s="44">
        <f t="shared" si="52"/>
        <v>0</v>
      </c>
      <c r="FI15">
        <v>0</v>
      </c>
      <c r="FK15" s="44">
        <f t="shared" si="53"/>
        <v>0</v>
      </c>
      <c r="FL15">
        <v>0</v>
      </c>
      <c r="FN15" s="44">
        <f t="shared" si="54"/>
        <v>0.75541874766205674</v>
      </c>
      <c r="FO15">
        <v>165331</v>
      </c>
      <c r="FQ15" s="44">
        <f t="shared" si="55"/>
        <v>0.1385548017911421</v>
      </c>
      <c r="FR15">
        <v>38071</v>
      </c>
      <c r="FT15" s="44">
        <f t="shared" si="56"/>
        <v>0.40895955543215473</v>
      </c>
      <c r="FU15">
        <v>79950</v>
      </c>
      <c r="FW15" s="44">
        <f t="shared" si="57"/>
        <v>0.33381681269212815</v>
      </c>
      <c r="FX15">
        <v>22270</v>
      </c>
      <c r="FZ15" s="44">
        <f t="shared" si="58"/>
        <v>0</v>
      </c>
      <c r="GA15">
        <v>0</v>
      </c>
      <c r="GC15" s="44">
        <f t="shared" si="59"/>
        <v>1.4577405027301038</v>
      </c>
      <c r="GD15">
        <v>159018</v>
      </c>
      <c r="GF15" s="44">
        <f t="shared" si="60"/>
        <v>0.63041250615560496</v>
      </c>
      <c r="GG15">
        <v>124910</v>
      </c>
      <c r="GI15" s="44">
        <f t="shared" si="61"/>
        <v>0.14869275499896473</v>
      </c>
      <c r="GJ15">
        <v>8342</v>
      </c>
      <c r="GL15" s="44">
        <f t="shared" si="62"/>
        <v>0</v>
      </c>
      <c r="GM15">
        <v>0</v>
      </c>
      <c r="GO15" s="44">
        <f t="shared" si="63"/>
        <v>0</v>
      </c>
      <c r="GP15">
        <v>0</v>
      </c>
      <c r="GR15" s="44">
        <f t="shared" si="64"/>
        <v>0</v>
      </c>
      <c r="GS15">
        <v>0</v>
      </c>
      <c r="GU15" s="44">
        <f t="shared" si="65"/>
        <v>1.0138095008482797</v>
      </c>
      <c r="GV15">
        <v>363560</v>
      </c>
      <c r="GX15" s="44">
        <f t="shared" si="66"/>
        <v>0</v>
      </c>
      <c r="GY15">
        <v>0</v>
      </c>
      <c r="HA15" s="44">
        <f t="shared" si="67"/>
        <v>0</v>
      </c>
      <c r="HB15">
        <v>0</v>
      </c>
      <c r="HD15" s="44">
        <f t="shared" si="68"/>
        <v>0</v>
      </c>
      <c r="HE15">
        <v>0</v>
      </c>
      <c r="HG15" s="44">
        <f t="shared" si="69"/>
        <v>0</v>
      </c>
      <c r="HH15">
        <v>0</v>
      </c>
      <c r="HJ15" s="44">
        <f t="shared" si="70"/>
        <v>0</v>
      </c>
      <c r="HK15">
        <v>0</v>
      </c>
      <c r="HM15" s="44">
        <f t="shared" si="71"/>
        <v>0</v>
      </c>
      <c r="HN15">
        <v>0</v>
      </c>
      <c r="HP15" s="44">
        <f t="shared" si="72"/>
        <v>0</v>
      </c>
      <c r="HQ15">
        <v>0</v>
      </c>
      <c r="HS15" s="44">
        <f t="shared" si="73"/>
        <v>0</v>
      </c>
      <c r="HT15">
        <v>0</v>
      </c>
      <c r="HV15" s="44">
        <f t="shared" si="74"/>
        <v>0</v>
      </c>
      <c r="HW15">
        <v>0</v>
      </c>
      <c r="HY15" s="44">
        <f t="shared" si="75"/>
        <v>0</v>
      </c>
      <c r="HZ15">
        <v>0</v>
      </c>
      <c r="IB15" s="44">
        <f t="shared" si="76"/>
        <v>0</v>
      </c>
      <c r="IC15">
        <v>0</v>
      </c>
      <c r="IE15" s="44">
        <f t="shared" si="77"/>
        <v>0</v>
      </c>
      <c r="IF15">
        <v>0</v>
      </c>
      <c r="IH15" s="44">
        <f t="shared" si="78"/>
        <v>0</v>
      </c>
      <c r="II15">
        <v>0</v>
      </c>
      <c r="IK15" s="44">
        <f t="shared" si="79"/>
        <v>0</v>
      </c>
      <c r="IL15">
        <v>0</v>
      </c>
      <c r="IN15" s="44">
        <f t="shared" si="80"/>
        <v>0</v>
      </c>
      <c r="IO15">
        <v>0</v>
      </c>
      <c r="IQ15" s="44">
        <f t="shared" si="81"/>
        <v>0</v>
      </c>
      <c r="IR15">
        <v>0</v>
      </c>
    </row>
    <row r="16" spans="1:252">
      <c r="A16">
        <v>0.26100000000000001</v>
      </c>
      <c r="B16">
        <v>361</v>
      </c>
      <c r="C16" s="10" t="s">
        <v>19</v>
      </c>
      <c r="D16" s="12">
        <f t="shared" si="0"/>
        <v>0</v>
      </c>
      <c r="E16" s="11">
        <v>0</v>
      </c>
      <c r="F16" s="11"/>
      <c r="G16" s="12">
        <f t="shared" si="1"/>
        <v>0</v>
      </c>
      <c r="H16" s="11"/>
      <c r="I16" s="11"/>
      <c r="J16" s="12">
        <f t="shared" si="2"/>
        <v>0</v>
      </c>
      <c r="K16" s="11"/>
      <c r="L16" s="10"/>
      <c r="M16" s="12">
        <f t="shared" si="3"/>
        <v>0</v>
      </c>
      <c r="N16" s="11"/>
      <c r="O16" s="11"/>
      <c r="P16" s="12">
        <f t="shared" si="4"/>
        <v>0</v>
      </c>
      <c r="Q16" s="11"/>
      <c r="R16" s="10"/>
      <c r="S16" s="12">
        <f t="shared" si="5"/>
        <v>0</v>
      </c>
      <c r="T16" s="11"/>
      <c r="U16" s="10"/>
      <c r="V16" s="12">
        <f t="shared" si="6"/>
        <v>0</v>
      </c>
      <c r="W16" s="11"/>
      <c r="X16" s="10"/>
      <c r="Y16" s="12">
        <f t="shared" si="7"/>
        <v>0</v>
      </c>
      <c r="Z16" s="11"/>
      <c r="AA16" s="10"/>
      <c r="AB16" s="12">
        <f t="shared" si="8"/>
        <v>0</v>
      </c>
      <c r="AC16" s="11"/>
      <c r="AD16" s="10"/>
      <c r="AE16" s="12">
        <f t="shared" si="9"/>
        <v>0</v>
      </c>
      <c r="AF16" s="11"/>
      <c r="AG16" s="10"/>
      <c r="AH16" s="12">
        <f t="shared" si="10"/>
        <v>0.14526734222741997</v>
      </c>
      <c r="AI16" s="11">
        <v>1766</v>
      </c>
      <c r="AJ16" s="10"/>
      <c r="AK16" s="12">
        <f t="shared" si="11"/>
        <v>0</v>
      </c>
      <c r="AL16" s="11"/>
      <c r="AM16" s="11"/>
      <c r="AN16" s="12">
        <f t="shared" si="12"/>
        <v>0</v>
      </c>
      <c r="AO16" s="11"/>
      <c r="AP16" s="10"/>
      <c r="AQ16" s="12">
        <f t="shared" si="13"/>
        <v>0</v>
      </c>
      <c r="AR16" s="11"/>
      <c r="AS16" s="10"/>
      <c r="AT16" s="12">
        <f t="shared" si="14"/>
        <v>0</v>
      </c>
      <c r="AU16" s="11"/>
      <c r="AV16" s="10"/>
      <c r="AW16" s="12">
        <f t="shared" si="15"/>
        <v>0</v>
      </c>
      <c r="AX16" s="11"/>
      <c r="AY16" s="10"/>
      <c r="AZ16" s="12">
        <f t="shared" si="16"/>
        <v>0.16303629809110579</v>
      </c>
      <c r="BA16" s="11">
        <v>3723</v>
      </c>
      <c r="BB16" s="10"/>
      <c r="BC16" s="12">
        <f t="shared" si="17"/>
        <v>0</v>
      </c>
      <c r="BD16" s="11"/>
      <c r="BE16" s="10"/>
      <c r="BF16" s="12">
        <f t="shared" si="18"/>
        <v>0</v>
      </c>
      <c r="BG16" s="11"/>
      <c r="BH16" s="10"/>
      <c r="BI16" s="12">
        <f t="shared" si="19"/>
        <v>0</v>
      </c>
      <c r="BJ16" s="11"/>
      <c r="BK16" s="10"/>
      <c r="BL16" s="12">
        <f t="shared" si="20"/>
        <v>0</v>
      </c>
      <c r="BM16" s="11"/>
      <c r="BN16" s="10"/>
      <c r="BO16" s="12">
        <f t="shared" si="21"/>
        <v>0</v>
      </c>
      <c r="BP16" s="11"/>
      <c r="BQ16" s="10"/>
      <c r="BR16" s="12">
        <f t="shared" si="22"/>
        <v>0</v>
      </c>
      <c r="BS16" s="11"/>
      <c r="BT16" s="11"/>
      <c r="BU16" s="12">
        <f t="shared" si="23"/>
        <v>0</v>
      </c>
      <c r="BV16" s="11"/>
      <c r="BW16" s="10"/>
      <c r="BX16" s="12">
        <f t="shared" si="24"/>
        <v>0</v>
      </c>
      <c r="BY16" s="11"/>
      <c r="BZ16" s="11"/>
      <c r="CA16" s="12">
        <f t="shared" si="25"/>
        <v>0</v>
      </c>
      <c r="CB16" s="11"/>
      <c r="CC16" s="10"/>
      <c r="CD16" s="12">
        <f t="shared" si="26"/>
        <v>0</v>
      </c>
      <c r="CE16" s="11"/>
      <c r="CF16" s="10"/>
      <c r="CG16" s="12">
        <f t="shared" si="27"/>
        <v>0</v>
      </c>
      <c r="CH16" s="11"/>
      <c r="CI16" s="10"/>
      <c r="CJ16" s="12">
        <f t="shared" si="28"/>
        <v>0</v>
      </c>
      <c r="CK16" s="11"/>
      <c r="CL16" s="10"/>
      <c r="CM16" s="12">
        <f t="shared" si="29"/>
        <v>0</v>
      </c>
      <c r="CN16" s="11"/>
      <c r="CP16" s="12">
        <f t="shared" si="30"/>
        <v>0</v>
      </c>
      <c r="CS16" s="12">
        <f t="shared" si="31"/>
        <v>0</v>
      </c>
      <c r="CV16" s="12">
        <f t="shared" si="32"/>
        <v>0</v>
      </c>
      <c r="CY16" s="12">
        <f t="shared" si="33"/>
        <v>0</v>
      </c>
      <c r="DB16" s="12">
        <f t="shared" si="34"/>
        <v>0</v>
      </c>
      <c r="DC16" s="16"/>
      <c r="DD16" s="16"/>
      <c r="DE16" s="12">
        <f t="shared" si="35"/>
        <v>0</v>
      </c>
      <c r="DF16" s="16"/>
      <c r="DH16" s="12">
        <f t="shared" si="36"/>
        <v>0</v>
      </c>
      <c r="DK16" s="12">
        <f t="shared" si="37"/>
        <v>0</v>
      </c>
      <c r="DN16" s="12">
        <f t="shared" si="38"/>
        <v>0</v>
      </c>
      <c r="DQ16" s="12">
        <f t="shared" si="39"/>
        <v>0</v>
      </c>
      <c r="DR16" s="16"/>
      <c r="DS16" s="13"/>
      <c r="DT16" s="36">
        <f t="shared" si="40"/>
        <v>0</v>
      </c>
      <c r="DU16" s="35"/>
      <c r="DV16" s="13"/>
      <c r="DW16" s="12">
        <f t="shared" si="41"/>
        <v>0</v>
      </c>
      <c r="DZ16" s="12">
        <f t="shared" si="42"/>
        <v>0</v>
      </c>
      <c r="EC16" s="12">
        <f t="shared" si="43"/>
        <v>0</v>
      </c>
      <c r="EF16" s="12">
        <f t="shared" si="44"/>
        <v>0</v>
      </c>
      <c r="EI16" s="12">
        <f t="shared" si="45"/>
        <v>0</v>
      </c>
      <c r="EL16" s="12">
        <f t="shared" si="46"/>
        <v>0</v>
      </c>
      <c r="EO16" s="12">
        <f t="shared" si="47"/>
        <v>0</v>
      </c>
      <c r="ES16" s="49">
        <v>0.28999999999999998</v>
      </c>
      <c r="ET16">
        <v>361</v>
      </c>
      <c r="EU16" s="10" t="s">
        <v>19</v>
      </c>
      <c r="EV16" s="44">
        <f t="shared" si="48"/>
        <v>0</v>
      </c>
      <c r="EW16">
        <v>0</v>
      </c>
      <c r="EY16" s="44">
        <f t="shared" si="49"/>
        <v>0</v>
      </c>
      <c r="EZ16">
        <v>0</v>
      </c>
      <c r="FB16" s="44">
        <f t="shared" si="50"/>
        <v>0</v>
      </c>
      <c r="FC16">
        <v>0</v>
      </c>
      <c r="FE16" s="44">
        <f t="shared" si="51"/>
        <v>0</v>
      </c>
      <c r="FF16">
        <v>0</v>
      </c>
      <c r="FH16" s="44">
        <f t="shared" si="52"/>
        <v>0</v>
      </c>
      <c r="FI16">
        <v>0</v>
      </c>
      <c r="FK16" s="44">
        <f t="shared" si="53"/>
        <v>0</v>
      </c>
      <c r="FL16">
        <v>0</v>
      </c>
      <c r="FN16" s="44">
        <f t="shared" si="54"/>
        <v>0</v>
      </c>
      <c r="FO16">
        <v>0</v>
      </c>
      <c r="FQ16" s="44">
        <f t="shared" si="55"/>
        <v>0</v>
      </c>
      <c r="FR16">
        <v>0</v>
      </c>
      <c r="FT16" s="44">
        <f t="shared" si="56"/>
        <v>0</v>
      </c>
      <c r="FU16">
        <v>0</v>
      </c>
      <c r="FW16" s="44">
        <f t="shared" si="57"/>
        <v>0</v>
      </c>
      <c r="FX16">
        <v>0</v>
      </c>
      <c r="FZ16" s="44">
        <f t="shared" si="58"/>
        <v>0</v>
      </c>
      <c r="GA16">
        <v>0</v>
      </c>
      <c r="GC16" s="44">
        <f t="shared" si="59"/>
        <v>0</v>
      </c>
      <c r="GD16">
        <v>0</v>
      </c>
      <c r="GF16" s="44">
        <f t="shared" si="60"/>
        <v>0</v>
      </c>
      <c r="GG16">
        <v>0</v>
      </c>
      <c r="GI16" s="44">
        <f t="shared" si="61"/>
        <v>0</v>
      </c>
      <c r="GJ16">
        <v>0</v>
      </c>
      <c r="GL16" s="44">
        <f t="shared" si="62"/>
        <v>0</v>
      </c>
      <c r="GM16">
        <v>0</v>
      </c>
      <c r="GO16" s="44">
        <f t="shared" si="63"/>
        <v>0</v>
      </c>
      <c r="GP16">
        <v>0</v>
      </c>
      <c r="GR16" s="44">
        <f t="shared" si="64"/>
        <v>0</v>
      </c>
      <c r="GS16">
        <v>0</v>
      </c>
      <c r="GU16" s="44">
        <f t="shared" si="65"/>
        <v>0</v>
      </c>
      <c r="GV16">
        <v>0</v>
      </c>
      <c r="GX16" s="44">
        <f t="shared" si="66"/>
        <v>0</v>
      </c>
      <c r="GY16">
        <v>0</v>
      </c>
      <c r="HA16" s="44">
        <f t="shared" si="67"/>
        <v>0</v>
      </c>
      <c r="HB16">
        <v>0</v>
      </c>
      <c r="HD16" s="44">
        <f t="shared" si="68"/>
        <v>0</v>
      </c>
      <c r="HE16">
        <v>0</v>
      </c>
      <c r="HG16" s="44">
        <f t="shared" si="69"/>
        <v>0</v>
      </c>
      <c r="HH16">
        <v>0</v>
      </c>
      <c r="HJ16" s="44">
        <f t="shared" si="70"/>
        <v>0</v>
      </c>
      <c r="HK16">
        <v>0</v>
      </c>
      <c r="HM16" s="44">
        <f t="shared" si="71"/>
        <v>0</v>
      </c>
      <c r="HN16">
        <v>0</v>
      </c>
      <c r="HP16" s="44">
        <f t="shared" si="72"/>
        <v>0</v>
      </c>
      <c r="HQ16">
        <v>0</v>
      </c>
      <c r="HS16" s="44">
        <f t="shared" si="73"/>
        <v>0</v>
      </c>
      <c r="HT16">
        <v>0</v>
      </c>
      <c r="HV16" s="44">
        <f t="shared" si="74"/>
        <v>0</v>
      </c>
      <c r="HW16">
        <v>0</v>
      </c>
      <c r="HY16" s="44">
        <f t="shared" si="75"/>
        <v>0</v>
      </c>
      <c r="HZ16">
        <v>0</v>
      </c>
      <c r="IB16" s="44">
        <f t="shared" si="76"/>
        <v>0</v>
      </c>
      <c r="IC16">
        <v>0</v>
      </c>
      <c r="IE16" s="44">
        <f t="shared" si="77"/>
        <v>0</v>
      </c>
      <c r="IF16">
        <v>0</v>
      </c>
      <c r="IH16" s="44">
        <f t="shared" si="78"/>
        <v>0</v>
      </c>
      <c r="II16">
        <v>0</v>
      </c>
      <c r="IK16" s="44">
        <f t="shared" si="79"/>
        <v>0</v>
      </c>
      <c r="IL16">
        <v>0</v>
      </c>
      <c r="IN16" s="44">
        <f t="shared" si="80"/>
        <v>0</v>
      </c>
      <c r="IO16">
        <v>0</v>
      </c>
      <c r="IQ16" s="44">
        <f t="shared" si="81"/>
        <v>0</v>
      </c>
      <c r="IR16">
        <v>0</v>
      </c>
    </row>
    <row r="17" spans="1:252">
      <c r="A17">
        <v>4.2999999999999997E-2</v>
      </c>
      <c r="B17">
        <v>361</v>
      </c>
      <c r="C17" s="10" t="s">
        <v>20</v>
      </c>
      <c r="D17" s="12">
        <f t="shared" si="0"/>
        <v>0</v>
      </c>
      <c r="E17" s="11">
        <v>0</v>
      </c>
      <c r="F17" s="11"/>
      <c r="G17" s="12">
        <f t="shared" si="1"/>
        <v>0</v>
      </c>
      <c r="H17" s="11"/>
      <c r="I17" s="11"/>
      <c r="J17" s="12">
        <f t="shared" si="2"/>
        <v>0</v>
      </c>
      <c r="K17" s="11"/>
      <c r="L17" s="10"/>
      <c r="M17" s="12">
        <f t="shared" si="3"/>
        <v>0</v>
      </c>
      <c r="N17" s="11"/>
      <c r="O17" s="11"/>
      <c r="P17" s="12">
        <f t="shared" si="4"/>
        <v>0</v>
      </c>
      <c r="Q17" s="11"/>
      <c r="R17" s="10"/>
      <c r="S17" s="12">
        <f t="shared" si="5"/>
        <v>0</v>
      </c>
      <c r="T17" s="11"/>
      <c r="U17" s="10"/>
      <c r="V17" s="12">
        <f t="shared" si="6"/>
        <v>0</v>
      </c>
      <c r="W17" s="11"/>
      <c r="X17" s="10"/>
      <c r="Y17" s="12">
        <f t="shared" si="7"/>
        <v>0</v>
      </c>
      <c r="Z17" s="11"/>
      <c r="AA17" s="10"/>
      <c r="AB17" s="12">
        <f t="shared" si="8"/>
        <v>0</v>
      </c>
      <c r="AC17" s="11"/>
      <c r="AD17" s="10"/>
      <c r="AE17" s="12">
        <f t="shared" si="9"/>
        <v>0</v>
      </c>
      <c r="AF17" s="11"/>
      <c r="AG17" s="10"/>
      <c r="AH17" s="12">
        <f t="shared" si="10"/>
        <v>0</v>
      </c>
      <c r="AI17" s="11"/>
      <c r="AJ17" s="10"/>
      <c r="AK17" s="12">
        <f t="shared" si="11"/>
        <v>0</v>
      </c>
      <c r="AL17" s="11"/>
      <c r="AM17" s="11"/>
      <c r="AN17" s="12">
        <f t="shared" si="12"/>
        <v>0</v>
      </c>
      <c r="AO17" s="11"/>
      <c r="AP17" s="10"/>
      <c r="AQ17" s="12">
        <f t="shared" si="13"/>
        <v>0</v>
      </c>
      <c r="AR17" s="11"/>
      <c r="AS17" s="10"/>
      <c r="AT17" s="12">
        <f t="shared" si="14"/>
        <v>0</v>
      </c>
      <c r="AU17" s="11"/>
      <c r="AV17" s="10"/>
      <c r="AW17" s="12">
        <f t="shared" si="15"/>
        <v>0</v>
      </c>
      <c r="AX17" s="11"/>
      <c r="AY17" s="10"/>
      <c r="AZ17" s="12">
        <f t="shared" si="16"/>
        <v>0</v>
      </c>
      <c r="BA17" s="11"/>
      <c r="BB17" s="10"/>
      <c r="BC17" s="12">
        <f t="shared" si="17"/>
        <v>0</v>
      </c>
      <c r="BD17" s="11"/>
      <c r="BE17" s="10"/>
      <c r="BF17" s="12">
        <f t="shared" si="18"/>
        <v>0</v>
      </c>
      <c r="BG17" s="11"/>
      <c r="BH17" s="10"/>
      <c r="BI17" s="12">
        <f t="shared" si="19"/>
        <v>0</v>
      </c>
      <c r="BJ17" s="11"/>
      <c r="BK17" s="10"/>
      <c r="BL17" s="12">
        <f t="shared" si="20"/>
        <v>0</v>
      </c>
      <c r="BM17" s="11"/>
      <c r="BN17" s="10"/>
      <c r="BO17" s="12">
        <f t="shared" si="21"/>
        <v>0</v>
      </c>
      <c r="BP17" s="11"/>
      <c r="BQ17" s="10"/>
      <c r="BR17" s="12">
        <f t="shared" si="22"/>
        <v>0</v>
      </c>
      <c r="BS17" s="11"/>
      <c r="BT17" s="11"/>
      <c r="BU17" s="12">
        <f t="shared" si="23"/>
        <v>0</v>
      </c>
      <c r="BV17" s="11"/>
      <c r="BW17" s="10"/>
      <c r="BX17" s="12">
        <f t="shared" si="24"/>
        <v>0</v>
      </c>
      <c r="BY17" s="11"/>
      <c r="BZ17" s="11"/>
      <c r="CA17" s="12">
        <f t="shared" si="25"/>
        <v>0</v>
      </c>
      <c r="CB17" s="11"/>
      <c r="CC17" s="10"/>
      <c r="CD17" s="12">
        <f t="shared" si="26"/>
        <v>0</v>
      </c>
      <c r="CE17" s="11"/>
      <c r="CF17" s="10"/>
      <c r="CG17" s="12">
        <f t="shared" si="27"/>
        <v>0</v>
      </c>
      <c r="CH17" s="11"/>
      <c r="CI17" s="10"/>
      <c r="CJ17" s="12">
        <f t="shared" si="28"/>
        <v>0</v>
      </c>
      <c r="CK17" s="11"/>
      <c r="CL17" s="10"/>
      <c r="CM17" s="12">
        <f t="shared" si="29"/>
        <v>0</v>
      </c>
      <c r="CN17" s="11"/>
      <c r="CP17" s="12">
        <f t="shared" si="30"/>
        <v>0</v>
      </c>
      <c r="CS17" s="12">
        <f t="shared" si="31"/>
        <v>0</v>
      </c>
      <c r="CV17" s="12">
        <f t="shared" si="32"/>
        <v>0</v>
      </c>
      <c r="CY17" s="12">
        <f t="shared" si="33"/>
        <v>0</v>
      </c>
      <c r="DB17" s="12">
        <f t="shared" si="34"/>
        <v>0</v>
      </c>
      <c r="DC17" s="16"/>
      <c r="DD17" s="16"/>
      <c r="DE17" s="12">
        <f t="shared" si="35"/>
        <v>0</v>
      </c>
      <c r="DF17" s="16"/>
      <c r="DH17" s="12">
        <f t="shared" si="36"/>
        <v>0</v>
      </c>
      <c r="DK17" s="12">
        <f t="shared" si="37"/>
        <v>0</v>
      </c>
      <c r="DN17" s="12">
        <f t="shared" si="38"/>
        <v>0</v>
      </c>
      <c r="DQ17" s="12">
        <f t="shared" si="39"/>
        <v>0</v>
      </c>
      <c r="DR17" s="16"/>
      <c r="DS17" s="13"/>
      <c r="DT17" s="36">
        <f t="shared" si="40"/>
        <v>0</v>
      </c>
      <c r="DU17" s="35"/>
      <c r="DV17" s="13"/>
      <c r="DW17" s="12">
        <f t="shared" si="41"/>
        <v>0</v>
      </c>
      <c r="DZ17" s="12">
        <f t="shared" si="42"/>
        <v>0</v>
      </c>
      <c r="EC17" s="12">
        <f t="shared" si="43"/>
        <v>0</v>
      </c>
      <c r="EF17" s="12">
        <f t="shared" si="44"/>
        <v>0</v>
      </c>
      <c r="EI17" s="12">
        <f t="shared" si="45"/>
        <v>0</v>
      </c>
      <c r="EL17" s="12">
        <f t="shared" si="46"/>
        <v>0</v>
      </c>
      <c r="EO17" s="12">
        <f t="shared" si="47"/>
        <v>0</v>
      </c>
      <c r="ES17">
        <v>6.2E-2</v>
      </c>
      <c r="ET17">
        <v>361</v>
      </c>
      <c r="EU17" s="10" t="s">
        <v>20</v>
      </c>
      <c r="EV17" s="44">
        <f t="shared" si="48"/>
        <v>0</v>
      </c>
      <c r="EW17">
        <v>0</v>
      </c>
      <c r="EY17" s="44">
        <f t="shared" si="49"/>
        <v>0</v>
      </c>
      <c r="EZ17">
        <v>0</v>
      </c>
      <c r="FB17" s="44">
        <f t="shared" si="50"/>
        <v>0</v>
      </c>
      <c r="FC17">
        <v>0</v>
      </c>
      <c r="FE17" s="44">
        <f t="shared" si="51"/>
        <v>0</v>
      </c>
      <c r="FF17">
        <v>0</v>
      </c>
      <c r="FH17" s="44">
        <f t="shared" si="52"/>
        <v>0</v>
      </c>
      <c r="FI17">
        <v>0</v>
      </c>
      <c r="FK17" s="44">
        <f t="shared" si="53"/>
        <v>0</v>
      </c>
      <c r="FL17">
        <v>0</v>
      </c>
      <c r="FN17" s="44">
        <f t="shared" si="54"/>
        <v>0</v>
      </c>
      <c r="FO17">
        <v>0</v>
      </c>
      <c r="FQ17" s="44">
        <f t="shared" si="55"/>
        <v>0</v>
      </c>
      <c r="FR17">
        <v>0</v>
      </c>
      <c r="FT17" s="44">
        <f t="shared" si="56"/>
        <v>0</v>
      </c>
      <c r="FU17">
        <v>0</v>
      </c>
      <c r="FW17" s="44">
        <f t="shared" si="57"/>
        <v>0</v>
      </c>
      <c r="FX17">
        <v>0</v>
      </c>
      <c r="FZ17" s="44">
        <f t="shared" si="58"/>
        <v>0</v>
      </c>
      <c r="GA17">
        <v>0</v>
      </c>
      <c r="GC17" s="44">
        <f t="shared" si="59"/>
        <v>0</v>
      </c>
      <c r="GD17">
        <v>0</v>
      </c>
      <c r="GF17" s="44">
        <f t="shared" si="60"/>
        <v>0</v>
      </c>
      <c r="GG17">
        <v>0</v>
      </c>
      <c r="GI17" s="44">
        <f t="shared" si="61"/>
        <v>0</v>
      </c>
      <c r="GJ17">
        <v>0</v>
      </c>
      <c r="GL17" s="44">
        <f t="shared" si="62"/>
        <v>0</v>
      </c>
      <c r="GM17">
        <v>0</v>
      </c>
      <c r="GO17" s="44">
        <f t="shared" si="63"/>
        <v>0</v>
      </c>
      <c r="GP17">
        <v>0</v>
      </c>
      <c r="GR17" s="44">
        <f t="shared" si="64"/>
        <v>0</v>
      </c>
      <c r="GS17">
        <v>0</v>
      </c>
      <c r="GU17" s="44">
        <f t="shared" si="65"/>
        <v>0</v>
      </c>
      <c r="GV17">
        <v>0</v>
      </c>
      <c r="GX17" s="44">
        <f t="shared" si="66"/>
        <v>0</v>
      </c>
      <c r="GY17">
        <v>0</v>
      </c>
      <c r="HA17" s="44">
        <f t="shared" si="67"/>
        <v>0</v>
      </c>
      <c r="HB17">
        <v>0</v>
      </c>
      <c r="HD17" s="44">
        <f t="shared" si="68"/>
        <v>0</v>
      </c>
      <c r="HE17">
        <v>0</v>
      </c>
      <c r="HG17" s="44">
        <f t="shared" si="69"/>
        <v>0</v>
      </c>
      <c r="HH17">
        <v>0</v>
      </c>
      <c r="HJ17" s="44">
        <f t="shared" si="70"/>
        <v>0</v>
      </c>
      <c r="HK17">
        <v>0</v>
      </c>
      <c r="HM17" s="44">
        <f t="shared" si="71"/>
        <v>0</v>
      </c>
      <c r="HN17">
        <v>0</v>
      </c>
      <c r="HP17" s="44">
        <f t="shared" si="72"/>
        <v>0</v>
      </c>
      <c r="HQ17">
        <v>0</v>
      </c>
      <c r="HS17" s="44">
        <f t="shared" si="73"/>
        <v>0</v>
      </c>
      <c r="HT17">
        <v>0</v>
      </c>
      <c r="HV17" s="44">
        <f t="shared" si="74"/>
        <v>0</v>
      </c>
      <c r="HW17">
        <v>0</v>
      </c>
      <c r="HY17" s="44">
        <f t="shared" si="75"/>
        <v>0</v>
      </c>
      <c r="HZ17">
        <v>0</v>
      </c>
      <c r="IB17" s="44">
        <f t="shared" si="76"/>
        <v>0</v>
      </c>
      <c r="IC17">
        <v>0</v>
      </c>
      <c r="IE17" s="44">
        <f t="shared" si="77"/>
        <v>0</v>
      </c>
      <c r="IF17">
        <v>0</v>
      </c>
      <c r="IH17" s="44">
        <f t="shared" si="78"/>
        <v>0</v>
      </c>
      <c r="II17">
        <v>0</v>
      </c>
      <c r="IK17" s="44">
        <f t="shared" si="79"/>
        <v>0</v>
      </c>
      <c r="IL17">
        <v>0</v>
      </c>
      <c r="IN17" s="44">
        <f t="shared" si="80"/>
        <v>0</v>
      </c>
      <c r="IO17">
        <v>0</v>
      </c>
      <c r="IQ17" s="44">
        <f t="shared" si="81"/>
        <v>0</v>
      </c>
      <c r="IR17">
        <v>0</v>
      </c>
    </row>
    <row r="18" spans="1:252">
      <c r="C18" s="10" t="s">
        <v>5</v>
      </c>
      <c r="D18" s="18">
        <f>SUM(D6:D17)</f>
        <v>28.544042875516951</v>
      </c>
      <c r="E18" s="11"/>
      <c r="F18" s="11"/>
      <c r="G18" s="18">
        <f>SUM(G6:G17)</f>
        <v>90.097581090720595</v>
      </c>
      <c r="H18" s="11"/>
      <c r="I18" s="11"/>
      <c r="J18" s="18">
        <f>SUM(J6:J17)</f>
        <v>87.861749560811717</v>
      </c>
      <c r="K18" s="11"/>
      <c r="L18" s="10"/>
      <c r="M18" s="18">
        <f>SUM(M6:M17)</f>
        <v>27.071431318157707</v>
      </c>
      <c r="N18" s="11"/>
      <c r="O18" s="11"/>
      <c r="P18" s="18">
        <f>SUM(P6:P17)</f>
        <v>27.648730930677893</v>
      </c>
      <c r="Q18" s="11"/>
      <c r="R18" s="10"/>
      <c r="S18" s="18">
        <f>SUM(S6:S17)</f>
        <v>58.851547863499746</v>
      </c>
      <c r="T18" s="11"/>
      <c r="U18" s="10"/>
      <c r="V18" s="18">
        <f>SUM(V6:V17)</f>
        <v>23.805890699590734</v>
      </c>
      <c r="W18" s="11"/>
      <c r="X18" s="10"/>
      <c r="Y18" s="18">
        <f>SUM(Y6:Y17)</f>
        <v>4.0660524870448622</v>
      </c>
      <c r="Z18" s="11"/>
      <c r="AA18" s="10"/>
      <c r="AB18" s="18">
        <f>SUM(AB6:AB17)</f>
        <v>32.200007619687867</v>
      </c>
      <c r="AC18" s="11"/>
      <c r="AD18" s="10"/>
      <c r="AE18" s="18">
        <f>SUM(AE6:AE17)</f>
        <v>17.685401515586392</v>
      </c>
      <c r="AF18" s="11"/>
      <c r="AG18" s="10"/>
      <c r="AH18" s="18">
        <f>SUM(AH6:AH17)</f>
        <v>11.990795931501564</v>
      </c>
      <c r="AI18" s="11"/>
      <c r="AJ18" s="10"/>
      <c r="AK18" s="18">
        <f>SUM(AK6:AK17)</f>
        <v>76.989024325587152</v>
      </c>
      <c r="AL18" s="11"/>
      <c r="AM18" s="11"/>
      <c r="AN18" s="18">
        <f>SUM(AN6:AN17)</f>
        <v>75.153418978684513</v>
      </c>
      <c r="AO18" s="11"/>
      <c r="AP18" s="10"/>
      <c r="AQ18" s="18">
        <f>SUM(AQ6:AQ17)</f>
        <v>11.924699015612269</v>
      </c>
      <c r="AR18" s="11"/>
      <c r="AS18" s="10"/>
      <c r="AT18" s="18">
        <f>SUM(AT6:AT17)</f>
        <v>74.174470471690796</v>
      </c>
      <c r="AU18" s="11"/>
      <c r="AV18" s="10"/>
      <c r="AW18" s="18">
        <f>SUM(AW6:AW17)</f>
        <v>90.964853198501501</v>
      </c>
      <c r="AX18" s="11"/>
      <c r="AY18" s="10"/>
      <c r="AZ18" s="18">
        <f>SUM(AZ6:AZ17)</f>
        <v>75.934298986426967</v>
      </c>
      <c r="BA18" s="11"/>
      <c r="BB18" s="10"/>
      <c r="BC18" s="18">
        <f>SUM(BC6:BC17)</f>
        <v>28.41338245792392</v>
      </c>
      <c r="BD18" s="11"/>
      <c r="BE18" s="10"/>
      <c r="BF18" s="18">
        <f>SUM(BF6:BF17)</f>
        <v>139.26546281123461</v>
      </c>
      <c r="BG18" s="11"/>
      <c r="BH18" s="10"/>
      <c r="BI18" s="18">
        <f>SUM(BI6:BI17)</f>
        <v>147.17488504317166</v>
      </c>
      <c r="BJ18" s="11"/>
      <c r="BK18" s="10"/>
      <c r="BL18" s="18">
        <f>SUM(BL6:BL17)</f>
        <v>198.57456396825876</v>
      </c>
      <c r="BM18" s="11"/>
      <c r="BN18" s="10"/>
      <c r="BO18" s="18">
        <f>SUM(BO6:BO17)</f>
        <v>83.6213686502239</v>
      </c>
      <c r="BP18" s="11"/>
      <c r="BQ18" s="10"/>
      <c r="BR18" s="18">
        <f>SUM(BR6:BR17)</f>
        <v>3.9305384536021757</v>
      </c>
      <c r="BS18" s="11"/>
      <c r="BT18" s="11"/>
      <c r="BU18" s="18">
        <f>SUM(BU6:BU17)</f>
        <v>3.912425377210019</v>
      </c>
      <c r="BV18" s="11"/>
      <c r="BW18" s="10"/>
      <c r="BX18" s="18">
        <f>SUM(BX6:BX17)</f>
        <v>24.357556112245682</v>
      </c>
      <c r="BY18" s="11"/>
      <c r="BZ18" s="11"/>
      <c r="CA18" s="18">
        <f>SUM(CA6:CA17)</f>
        <v>24.599086233080818</v>
      </c>
      <c r="CB18" s="11"/>
      <c r="CC18" s="10"/>
      <c r="CD18" s="18">
        <f>SUM(CD6:CD17)</f>
        <v>104.85167292915514</v>
      </c>
      <c r="CE18" s="11"/>
      <c r="CF18" s="10"/>
      <c r="CG18" s="18">
        <f>SUM(CG6:CG17)</f>
        <v>155.19501984598625</v>
      </c>
      <c r="CH18" s="11"/>
      <c r="CI18" s="10"/>
      <c r="CJ18" s="18">
        <f>SUM(CJ6:CJ17)</f>
        <v>70.488082692556148</v>
      </c>
      <c r="CK18" s="11"/>
      <c r="CL18" s="10"/>
      <c r="CM18" s="18">
        <f>SUM(CM6:CM17)</f>
        <v>7.8760247312211966</v>
      </c>
      <c r="CN18" s="11"/>
      <c r="CP18" s="18">
        <f>SUM(CP6:CP17)</f>
        <v>38.29119931321177</v>
      </c>
      <c r="CS18" s="18">
        <f>SUM(CS6:CS17)</f>
        <v>121.03704919372559</v>
      </c>
      <c r="CV18" s="18">
        <f>SUM(CV6:CV17)</f>
        <v>24.536489199105837</v>
      </c>
      <c r="CY18" s="18">
        <f>SUM(CY6:CY17)</f>
        <v>22.054814744224274</v>
      </c>
      <c r="DB18" s="18">
        <f>SUM(DB6:DB17)</f>
        <v>12.714828514529103</v>
      </c>
      <c r="DE18" s="18">
        <f>SUM(DE6:DE17)</f>
        <v>12.662704577595779</v>
      </c>
      <c r="DH18" s="18">
        <f>SUM(DH6:DH17)</f>
        <v>83.154761170959873</v>
      </c>
      <c r="DK18" s="18">
        <f>SUM(DK6:DK17)</f>
        <v>84.326815754969417</v>
      </c>
      <c r="DN18" s="18">
        <f>SUM(DN6:DN17)</f>
        <v>27.549462149911424</v>
      </c>
      <c r="DQ18" s="18">
        <f>SUM(DQ6:DQ17)</f>
        <v>4.4533205235939413</v>
      </c>
      <c r="DR18" s="1"/>
      <c r="DT18" s="18">
        <f>SUM(DT6:DT17)</f>
        <v>2.4101584055506011</v>
      </c>
      <c r="DU18" s="35"/>
      <c r="DW18" s="18">
        <f>SUM(DW6:DW17)</f>
        <v>5.1143933666632488</v>
      </c>
      <c r="DZ18" s="18">
        <f>SUM(DZ6:DZ17)</f>
        <v>2.784243890406191</v>
      </c>
      <c r="EC18" s="18">
        <f>SUM(EC6:EC17)</f>
        <v>2.8084616523995409</v>
      </c>
      <c r="EF18" s="18">
        <f>SUM(EF6:EF17)</f>
        <v>6.5814798843777842</v>
      </c>
      <c r="EI18" s="18">
        <f>SUM(EI6:EI17)</f>
        <v>5.7875020361733478</v>
      </c>
      <c r="EL18" s="18">
        <f>SUM(EL6:EL17)</f>
        <v>9.2910099082311657</v>
      </c>
      <c r="EO18" s="18">
        <f>SUM(EO6:EO17)</f>
        <v>13.560377930690834</v>
      </c>
      <c r="EU18" s="10" t="s">
        <v>5</v>
      </c>
      <c r="EV18" s="44"/>
      <c r="FE18" s="44"/>
      <c r="GI18" s="44"/>
      <c r="HA18" s="44"/>
      <c r="HM18" s="44"/>
    </row>
    <row r="19" spans="1:252">
      <c r="C19" s="10"/>
      <c r="D19" s="19"/>
      <c r="E19" s="10"/>
      <c r="F19" s="10"/>
      <c r="G19" s="19"/>
      <c r="H19" s="10"/>
      <c r="I19" s="10"/>
      <c r="J19" s="19"/>
      <c r="K19" s="10"/>
      <c r="L19" s="10"/>
      <c r="M19" s="19"/>
      <c r="N19" s="10"/>
      <c r="O19" s="10"/>
      <c r="P19" s="19"/>
      <c r="Q19" s="10"/>
      <c r="R19" s="10"/>
      <c r="S19" s="19"/>
      <c r="T19" s="10"/>
      <c r="U19" s="10"/>
      <c r="V19" s="19"/>
      <c r="W19" s="10"/>
      <c r="X19" s="10"/>
      <c r="Y19" s="19"/>
      <c r="Z19" s="10"/>
      <c r="AA19" s="10"/>
      <c r="AB19" s="19"/>
      <c r="AC19" s="10"/>
      <c r="AD19" s="10"/>
      <c r="AE19" s="19"/>
      <c r="AF19" s="10"/>
      <c r="AG19" s="10"/>
      <c r="AH19" s="19"/>
      <c r="AI19" s="10"/>
      <c r="AJ19" s="10"/>
      <c r="AK19" s="19"/>
      <c r="AL19" s="10"/>
      <c r="AM19" s="10"/>
      <c r="AN19" s="19"/>
      <c r="AO19" s="10"/>
      <c r="AP19" s="10"/>
      <c r="AQ19" s="19"/>
      <c r="AR19" s="10"/>
      <c r="AS19" s="10"/>
      <c r="AT19" s="19"/>
      <c r="AU19" s="10"/>
      <c r="AV19" s="10"/>
      <c r="AW19" s="19"/>
      <c r="AX19" s="10"/>
      <c r="AY19" s="10"/>
      <c r="AZ19" s="19"/>
      <c r="BA19" s="10"/>
      <c r="BB19" s="10"/>
      <c r="BC19" s="19"/>
      <c r="BD19" s="10"/>
      <c r="BE19" s="10"/>
      <c r="BF19" s="19"/>
      <c r="BG19" s="10"/>
      <c r="BH19" s="10"/>
      <c r="BI19" s="19"/>
      <c r="BJ19" s="10"/>
      <c r="BK19" s="10"/>
      <c r="BL19" s="19"/>
      <c r="BM19" s="10"/>
      <c r="BN19" s="10"/>
      <c r="BO19" s="19"/>
      <c r="BP19" s="10"/>
      <c r="BQ19" s="10"/>
      <c r="BR19" s="19"/>
      <c r="BS19" s="10"/>
      <c r="BT19" s="10"/>
      <c r="BU19" s="19"/>
      <c r="BV19" s="10"/>
      <c r="BW19" s="10"/>
      <c r="BX19" s="19"/>
      <c r="BY19" s="10"/>
      <c r="BZ19" s="10"/>
      <c r="CA19" s="19"/>
      <c r="CB19" s="10"/>
      <c r="CC19" s="10"/>
      <c r="CD19" s="19"/>
      <c r="CE19" s="10"/>
      <c r="CF19" s="10"/>
      <c r="CG19" s="19"/>
      <c r="CH19" s="10"/>
      <c r="CI19" s="10"/>
      <c r="CJ19" s="19"/>
      <c r="CK19" s="10"/>
      <c r="CL19" s="10"/>
      <c r="CM19" s="19"/>
      <c r="CN19" s="10"/>
      <c r="CP19" s="19"/>
      <c r="CS19" s="19"/>
      <c r="CV19" s="19"/>
      <c r="CY19" s="19"/>
      <c r="DB19" s="19"/>
      <c r="DE19" s="19"/>
      <c r="DG19" s="1"/>
      <c r="DH19" s="19"/>
      <c r="DI19" s="1"/>
      <c r="DJ19" s="1"/>
      <c r="DK19" s="19"/>
      <c r="DL19" s="1"/>
      <c r="DM19" s="1"/>
      <c r="DN19" s="19"/>
      <c r="DO19" s="1"/>
      <c r="DP19" s="1"/>
      <c r="DQ19" s="19"/>
      <c r="DR19" s="1"/>
      <c r="DT19" s="18"/>
      <c r="DU19" s="35"/>
      <c r="DW19" s="19"/>
      <c r="DZ19" s="19"/>
      <c r="EC19" s="19"/>
      <c r="EF19" s="19"/>
      <c r="EI19" s="19"/>
      <c r="EL19" s="19"/>
      <c r="EO19" s="19"/>
    </row>
    <row r="20" spans="1:252" s="2" customForma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AB20" s="45"/>
      <c r="AE20" s="45"/>
      <c r="AH20" s="45"/>
      <c r="AT20" s="45"/>
      <c r="AZ20" s="45"/>
      <c r="BF20" s="45"/>
      <c r="BI20" s="45"/>
      <c r="BL20" s="45"/>
      <c r="BO20" s="45"/>
      <c r="CF20" s="16"/>
      <c r="CG20" s="16"/>
      <c r="CH20" s="16"/>
      <c r="CI20" s="16"/>
      <c r="CJ20" s="16"/>
      <c r="CK20" s="16"/>
      <c r="CL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T20" s="37"/>
      <c r="DU20" s="37"/>
      <c r="ER20" s="50"/>
    </row>
    <row r="21" spans="1:252" s="2" customForma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M21" s="22"/>
      <c r="N21" s="22"/>
      <c r="CF21" s="16"/>
      <c r="CG21" s="16"/>
      <c r="CH21" s="16"/>
      <c r="CI21" s="16"/>
      <c r="CJ21" s="16"/>
      <c r="CK21" s="16"/>
      <c r="CL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ER21" s="50"/>
    </row>
    <row r="22" spans="1:252" s="2" customFormat="1">
      <c r="CF22" s="16"/>
      <c r="CG22" s="16"/>
      <c r="CH22" s="16"/>
      <c r="CI22" s="16"/>
      <c r="CJ22" s="16"/>
      <c r="CK22" s="16"/>
      <c r="CL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O22" s="16"/>
      <c r="DP22" s="16"/>
      <c r="DQ22" s="16"/>
      <c r="DR22" s="16"/>
      <c r="ER22" s="50"/>
    </row>
    <row r="23" spans="1:252" s="2" customFormat="1">
      <c r="B23"/>
      <c r="C23"/>
      <c r="D23" s="39"/>
      <c r="E23" s="42"/>
      <c r="G23"/>
      <c r="H23"/>
      <c r="I23" s="42"/>
      <c r="J23" s="39"/>
      <c r="K23"/>
      <c r="L23"/>
      <c r="P23"/>
      <c r="Q23"/>
      <c r="R23" s="39"/>
      <c r="S23" s="39"/>
      <c r="BX23" s="23"/>
      <c r="CD23" s="24"/>
      <c r="CF23" s="16"/>
      <c r="CG23" s="30"/>
      <c r="CH23" s="16"/>
      <c r="CI23" s="16"/>
      <c r="CJ23" s="30"/>
      <c r="CK23" s="16"/>
      <c r="CL23" s="16"/>
      <c r="CZ23" s="16"/>
      <c r="DA23" s="30"/>
      <c r="DB23" s="16"/>
      <c r="DC23" s="16"/>
      <c r="DD23" s="16"/>
      <c r="DE23" s="16"/>
      <c r="DF23" s="16"/>
      <c r="DG23" s="30"/>
      <c r="DH23" s="16"/>
      <c r="DI23" s="16"/>
      <c r="DJ23" s="16"/>
      <c r="DK23" s="16"/>
      <c r="DL23" s="16"/>
      <c r="DM23" s="30"/>
      <c r="DO23" s="16"/>
      <c r="DP23" s="30"/>
      <c r="DQ23" s="16"/>
      <c r="DR23" s="16"/>
      <c r="ER23" s="50"/>
    </row>
    <row r="24" spans="1:252" s="2" customFormat="1" ht="15.75">
      <c r="B24"/>
      <c r="C24" s="21"/>
      <c r="D24" s="39"/>
      <c r="E24" s="40"/>
      <c r="F24" s="25"/>
      <c r="G24"/>
      <c r="H24" s="21"/>
      <c r="I24" s="39"/>
      <c r="J24" s="39"/>
      <c r="K24"/>
      <c r="L24" s="21"/>
      <c r="M24" s="25"/>
      <c r="P24"/>
      <c r="Q24" s="21"/>
      <c r="R24" s="39"/>
      <c r="S24" s="39"/>
      <c r="W24" s="26"/>
      <c r="X24" s="25"/>
      <c r="BX24" s="27"/>
      <c r="BY24" s="28"/>
      <c r="BZ24" s="28"/>
      <c r="CA24" s="28"/>
      <c r="CB24" s="28"/>
      <c r="CD24" s="27"/>
      <c r="CE24" s="28"/>
      <c r="CF24" s="16"/>
      <c r="CG24" s="31"/>
      <c r="CH24" s="32"/>
      <c r="CI24" s="16"/>
      <c r="CJ24" s="31"/>
      <c r="CK24" s="32"/>
      <c r="CL24" s="16"/>
      <c r="CZ24" s="16"/>
      <c r="DA24" s="31"/>
      <c r="DB24" s="32"/>
      <c r="DC24" s="16"/>
      <c r="DD24" s="16"/>
      <c r="DE24" s="16"/>
      <c r="DF24" s="16"/>
      <c r="DG24" s="31"/>
      <c r="DH24" s="32"/>
      <c r="DI24" s="16"/>
      <c r="DJ24" s="16"/>
      <c r="DK24" s="16"/>
      <c r="DL24" s="16"/>
      <c r="DM24" s="31"/>
      <c r="DN24" s="28"/>
      <c r="DO24" s="16"/>
      <c r="DP24" s="31"/>
      <c r="DQ24" s="32"/>
      <c r="DR24" s="16"/>
      <c r="ER24" s="50"/>
    </row>
    <row r="25" spans="1:252" s="2" customFormat="1" ht="15.75">
      <c r="B25"/>
      <c r="C25" s="21"/>
      <c r="D25" s="39"/>
      <c r="E25" s="40"/>
      <c r="F25" s="25"/>
      <c r="G25"/>
      <c r="H25" s="21"/>
      <c r="I25" s="39"/>
      <c r="J25" s="39"/>
      <c r="K25"/>
      <c r="L25" s="21"/>
      <c r="M25" s="25"/>
      <c r="P25"/>
      <c r="Q25" s="21"/>
      <c r="R25" s="39"/>
      <c r="S25" s="40"/>
      <c r="T25" s="26"/>
      <c r="V25" s="29"/>
      <c r="W25" s="26"/>
      <c r="X25" s="25"/>
      <c r="CF25" s="16"/>
      <c r="CG25" s="16"/>
      <c r="CH25" s="16"/>
      <c r="CI25" s="16"/>
      <c r="CJ25" s="16"/>
      <c r="CK25" s="16"/>
      <c r="CL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ER25" s="50"/>
    </row>
    <row r="26" spans="1:252" s="2" customFormat="1" ht="15.75">
      <c r="B26"/>
      <c r="C26" s="21"/>
      <c r="D26" s="39"/>
      <c r="E26" s="40"/>
      <c r="F26" s="25"/>
      <c r="G26"/>
      <c r="H26" s="21"/>
      <c r="I26" s="39"/>
      <c r="J26" s="39"/>
      <c r="K26"/>
      <c r="L26" s="21"/>
      <c r="M26" s="25"/>
      <c r="P26"/>
      <c r="Q26" s="21"/>
      <c r="R26" s="39"/>
      <c r="S26" s="40"/>
      <c r="T26" s="26"/>
      <c r="V26" s="29"/>
      <c r="W26" s="26"/>
      <c r="X26" s="25"/>
      <c r="BX26" s="25"/>
      <c r="CD26" s="25"/>
      <c r="CF26" s="16"/>
      <c r="CG26" s="33"/>
      <c r="CH26" s="16"/>
      <c r="CI26" s="16"/>
      <c r="CJ26" s="33"/>
      <c r="CK26" s="16"/>
      <c r="CL26" s="16"/>
      <c r="DA26" s="25"/>
      <c r="DC26" s="16"/>
      <c r="DD26" s="16"/>
      <c r="DE26" s="16"/>
      <c r="DF26" s="16"/>
      <c r="DG26" s="25"/>
      <c r="DH26" s="16"/>
      <c r="DI26" s="16"/>
      <c r="DJ26" s="16"/>
      <c r="DK26" s="16"/>
      <c r="DL26" s="16"/>
      <c r="DM26" s="25"/>
      <c r="DN26" s="16"/>
      <c r="DO26" s="16"/>
      <c r="DP26" s="25"/>
      <c r="DQ26" s="16"/>
      <c r="DR26" s="16"/>
      <c r="ER26" s="50"/>
    </row>
    <row r="27" spans="1:252" ht="15.75">
      <c r="C27" s="21"/>
      <c r="D27" s="41"/>
      <c r="E27" s="42"/>
      <c r="F27" s="12"/>
      <c r="H27" s="21"/>
      <c r="I27" s="41"/>
      <c r="J27" s="41"/>
      <c r="L27" s="21"/>
      <c r="M27" s="12"/>
      <c r="Q27" s="21"/>
      <c r="R27" s="41"/>
      <c r="S27" s="42"/>
      <c r="T27" s="20"/>
      <c r="V27" s="21"/>
      <c r="W27" s="20"/>
      <c r="X27" s="12"/>
      <c r="BX27" s="12"/>
      <c r="CD27" s="12"/>
      <c r="CF27" s="1"/>
      <c r="CG27" s="34"/>
      <c r="CH27" s="1"/>
      <c r="CI27" s="1"/>
      <c r="CJ27" s="34"/>
      <c r="CK27" s="1"/>
      <c r="CL27" s="1"/>
      <c r="DA27" s="12"/>
      <c r="DG27" s="12"/>
      <c r="DH27" s="1"/>
      <c r="DI27" s="1"/>
      <c r="DJ27" s="1"/>
      <c r="DK27" s="1"/>
      <c r="DL27" s="1"/>
      <c r="DM27" s="12"/>
      <c r="DN27" s="1"/>
      <c r="DO27" s="1"/>
      <c r="DP27" s="12"/>
      <c r="DQ27" s="1"/>
      <c r="DR27" s="1"/>
    </row>
    <row r="28" spans="1:252" ht="15.75">
      <c r="C28" s="21"/>
      <c r="D28" s="41"/>
      <c r="E28" s="42"/>
      <c r="F28" s="12"/>
      <c r="H28" s="21"/>
      <c r="I28" s="41"/>
      <c r="J28" s="41"/>
      <c r="L28" s="21"/>
      <c r="M28" s="12"/>
      <c r="Q28" s="21"/>
      <c r="R28" s="41"/>
      <c r="S28" s="42"/>
      <c r="T28" s="12"/>
      <c r="V28" s="21"/>
      <c r="W28" s="20"/>
      <c r="X28" s="12"/>
      <c r="BX28" s="12"/>
      <c r="CD28" s="12"/>
      <c r="CF28" s="1"/>
      <c r="CG28" s="34"/>
      <c r="CH28" s="1"/>
      <c r="CI28" s="1"/>
      <c r="CJ28" s="34"/>
      <c r="CK28" s="1"/>
      <c r="CL28" s="1"/>
      <c r="DA28" s="12"/>
      <c r="DG28" s="12"/>
      <c r="DH28" s="16"/>
      <c r="DI28" s="1"/>
      <c r="DJ28" s="1"/>
      <c r="DK28" s="1"/>
      <c r="DL28" s="1"/>
      <c r="DM28" s="12"/>
      <c r="DN28" s="16"/>
      <c r="DO28" s="1"/>
      <c r="DP28" s="12"/>
      <c r="DQ28" s="16"/>
      <c r="DR28" s="1"/>
    </row>
    <row r="29" spans="1:252" ht="15.75">
      <c r="C29" s="21"/>
      <c r="D29" s="41"/>
      <c r="E29" s="42"/>
      <c r="F29" s="12"/>
      <c r="H29" s="21"/>
      <c r="I29" s="41"/>
      <c r="J29" s="41"/>
      <c r="L29" s="21"/>
      <c r="M29" s="12"/>
      <c r="Q29" s="21"/>
      <c r="R29" s="41"/>
      <c r="S29" s="42"/>
      <c r="T29" s="20"/>
      <c r="V29" s="21"/>
      <c r="W29" s="20"/>
      <c r="X29" s="12"/>
      <c r="BX29" s="12"/>
      <c r="CD29" s="12"/>
      <c r="CG29" s="12"/>
      <c r="CJ29" s="12"/>
      <c r="DA29" s="12"/>
      <c r="DG29" s="12"/>
      <c r="DH29" s="16"/>
      <c r="DI29" s="1"/>
      <c r="DJ29" s="1"/>
      <c r="DK29" s="1"/>
      <c r="DL29" s="1"/>
      <c r="DM29" s="12"/>
      <c r="DN29" s="16"/>
      <c r="DO29" s="1"/>
      <c r="DP29" s="12"/>
      <c r="DQ29" s="16"/>
    </row>
    <row r="30" spans="1:252" ht="15.75">
      <c r="C30" s="21"/>
      <c r="D30" s="41"/>
      <c r="E30" s="42"/>
      <c r="F30" s="12"/>
      <c r="H30" s="21"/>
      <c r="I30" s="41"/>
      <c r="J30" s="41"/>
      <c r="L30" s="21"/>
      <c r="M30" s="12"/>
      <c r="Q30" s="21"/>
      <c r="R30" s="41"/>
      <c r="S30" s="42"/>
      <c r="T30" s="20"/>
      <c r="V30" s="21"/>
      <c r="W30" s="20"/>
      <c r="X30" s="12"/>
      <c r="BX30" s="12"/>
      <c r="CD30" s="12"/>
      <c r="CG30" s="12"/>
      <c r="CJ30" s="12"/>
      <c r="DA30" s="12"/>
      <c r="DG30" s="12"/>
      <c r="DH30" s="16"/>
      <c r="DI30" s="1"/>
      <c r="DJ30" s="1"/>
      <c r="DK30" s="1"/>
      <c r="DL30" s="1"/>
      <c r="DM30" s="12"/>
      <c r="DN30" s="16"/>
      <c r="DO30" s="1"/>
      <c r="DP30" s="12"/>
      <c r="DQ30" s="16"/>
    </row>
    <row r="31" spans="1:252" ht="15.75">
      <c r="C31" s="21"/>
      <c r="D31" s="41"/>
      <c r="E31" s="42"/>
      <c r="F31" s="12"/>
      <c r="H31" s="21"/>
      <c r="I31" s="41"/>
      <c r="J31" s="41"/>
      <c r="L31" s="21"/>
      <c r="M31" s="12"/>
      <c r="Q31" s="21"/>
      <c r="R31" s="41"/>
      <c r="S31" s="42"/>
      <c r="T31" s="20"/>
      <c r="V31" s="21"/>
      <c r="W31" s="20"/>
      <c r="X31" s="12"/>
      <c r="BX31" s="12"/>
      <c r="CD31" s="12"/>
      <c r="CG31" s="12"/>
      <c r="CJ31" s="12"/>
      <c r="DA31" s="12"/>
      <c r="DG31" s="12"/>
      <c r="DH31" s="16"/>
      <c r="DI31" s="1"/>
      <c r="DJ31" s="1"/>
      <c r="DK31" s="1"/>
      <c r="DL31" s="1"/>
      <c r="DM31" s="12"/>
      <c r="DN31" s="16"/>
      <c r="DO31" s="1"/>
      <c r="DP31" s="12"/>
      <c r="DQ31" s="16"/>
    </row>
    <row r="32" spans="1:252" ht="15.75">
      <c r="C32" s="21"/>
      <c r="D32" s="41"/>
      <c r="E32" s="42"/>
      <c r="F32" s="12"/>
      <c r="H32" s="21"/>
      <c r="I32" s="41"/>
      <c r="J32" s="41"/>
      <c r="L32" s="21"/>
      <c r="M32" s="12"/>
      <c r="Q32" s="21"/>
      <c r="R32" s="41"/>
      <c r="S32" s="42"/>
      <c r="T32" s="20"/>
      <c r="V32" s="21"/>
      <c r="W32" s="20"/>
      <c r="X32" s="12"/>
      <c r="BX32" s="12"/>
      <c r="CD32" s="12"/>
      <c r="CG32" s="12"/>
      <c r="CJ32" s="12"/>
      <c r="DA32" s="12"/>
      <c r="DG32" s="12"/>
      <c r="DH32" s="16"/>
      <c r="DI32" s="1"/>
      <c r="DJ32" s="1"/>
      <c r="DK32" s="1"/>
      <c r="DL32" s="1"/>
      <c r="DM32" s="12"/>
      <c r="DN32" s="16"/>
      <c r="DO32" s="1"/>
      <c r="DP32" s="12"/>
      <c r="DQ32" s="16"/>
    </row>
    <row r="33" spans="4:121" ht="15.75">
      <c r="D33" s="21"/>
      <c r="E33" s="20"/>
      <c r="F33" s="12"/>
      <c r="H33" s="21"/>
      <c r="I33" s="21"/>
      <c r="J33" s="21"/>
      <c r="K33" s="21"/>
      <c r="L33" s="20"/>
      <c r="M33" s="12"/>
      <c r="Q33" s="21"/>
      <c r="R33" s="41"/>
      <c r="S33" s="42"/>
      <c r="T33" s="20"/>
      <c r="V33" s="21"/>
      <c r="W33" s="20"/>
      <c r="X33" s="12"/>
      <c r="BX33" s="12"/>
      <c r="CD33" s="12"/>
      <c r="CG33" s="12"/>
      <c r="CJ33" s="12"/>
      <c r="DA33" s="12"/>
      <c r="DG33" s="12"/>
      <c r="DH33" s="16"/>
      <c r="DI33" s="1"/>
      <c r="DJ33" s="1"/>
      <c r="DK33" s="1"/>
      <c r="DL33" s="1"/>
      <c r="DM33" s="12"/>
      <c r="DN33" s="16"/>
      <c r="DO33" s="1"/>
      <c r="DP33" s="12"/>
      <c r="DQ33" s="16"/>
    </row>
    <row r="34" spans="4:121" ht="15.75">
      <c r="D34" s="21"/>
      <c r="E34" s="20"/>
      <c r="F34" s="12"/>
      <c r="H34" s="21"/>
      <c r="I34" s="21"/>
      <c r="J34" s="21"/>
      <c r="K34" s="21"/>
      <c r="L34" s="20"/>
      <c r="M34" s="12"/>
      <c r="R34" s="21"/>
      <c r="S34" s="12"/>
      <c r="T34" s="20"/>
      <c r="V34" s="21"/>
      <c r="W34" s="20"/>
      <c r="X34" s="12"/>
      <c r="BX34" s="12"/>
      <c r="CD34" s="12"/>
      <c r="CG34" s="12"/>
      <c r="CJ34" s="12"/>
      <c r="DA34" s="12"/>
      <c r="DG34" s="12"/>
      <c r="DH34" s="16"/>
      <c r="DI34" s="1"/>
      <c r="DJ34" s="1"/>
      <c r="DK34" s="1"/>
      <c r="DL34" s="1"/>
      <c r="DM34" s="12"/>
      <c r="DN34" s="16"/>
      <c r="DO34" s="1"/>
      <c r="DP34" s="12"/>
      <c r="DQ34" s="16"/>
    </row>
    <row r="35" spans="4:121" ht="15.75">
      <c r="D35" s="21"/>
      <c r="E35" s="20"/>
      <c r="F35" s="12"/>
      <c r="H35" s="21"/>
      <c r="I35" s="21"/>
      <c r="J35" s="21"/>
      <c r="K35" s="21"/>
      <c r="L35" s="20"/>
      <c r="M35" s="12"/>
      <c r="R35" s="21"/>
      <c r="S35" s="12"/>
      <c r="T35" s="20"/>
      <c r="V35" s="21"/>
      <c r="W35" s="20"/>
      <c r="X35" s="12"/>
      <c r="BX35" s="12"/>
      <c r="CD35" s="12"/>
      <c r="CG35" s="12"/>
      <c r="CJ35" s="12"/>
      <c r="DA35" s="12"/>
      <c r="DG35" s="12"/>
      <c r="DH35" s="16"/>
      <c r="DI35" s="1"/>
      <c r="DJ35" s="1"/>
      <c r="DK35" s="1"/>
      <c r="DL35" s="1"/>
      <c r="DM35" s="12"/>
      <c r="DN35" s="16"/>
      <c r="DO35" s="1"/>
      <c r="DP35" s="12"/>
      <c r="DQ35" s="16"/>
    </row>
    <row r="36" spans="4:121">
      <c r="BX36" s="12"/>
      <c r="CD36" s="12"/>
      <c r="CG36" s="12"/>
      <c r="CJ36" s="12"/>
      <c r="DA36" s="12"/>
      <c r="DG36" s="12"/>
      <c r="DH36" s="16"/>
      <c r="DI36" s="1"/>
      <c r="DJ36" s="1"/>
      <c r="DK36" s="1"/>
      <c r="DL36" s="1"/>
      <c r="DM36" s="12"/>
      <c r="DN36" s="16"/>
      <c r="DO36" s="1"/>
      <c r="DP36" s="12"/>
      <c r="DQ36" s="16"/>
    </row>
    <row r="37" spans="4:121">
      <c r="BX37" s="12"/>
      <c r="CD37" s="12"/>
      <c r="CG37" s="12"/>
      <c r="CJ37" s="12"/>
      <c r="DA37" s="12"/>
      <c r="DG37" s="12"/>
      <c r="DH37" s="16"/>
      <c r="DI37" s="1"/>
      <c r="DJ37" s="1"/>
      <c r="DK37" s="1"/>
      <c r="DL37" s="1"/>
      <c r="DM37" s="12"/>
      <c r="DN37" s="16"/>
      <c r="DO37" s="1"/>
      <c r="DP37" s="12"/>
      <c r="DQ37" s="16"/>
    </row>
    <row r="38" spans="4:121">
      <c r="BX38" s="12"/>
      <c r="CD38" s="12"/>
      <c r="CG38" s="12"/>
      <c r="CJ38" s="12"/>
      <c r="DA38" s="12"/>
      <c r="DG38" s="12"/>
      <c r="DH38" s="16"/>
      <c r="DI38" s="1"/>
      <c r="DJ38" s="1"/>
      <c r="DK38" s="1"/>
      <c r="DL38" s="1"/>
      <c r="DM38" s="12"/>
      <c r="DN38" s="16"/>
      <c r="DO38" s="1"/>
      <c r="DP38" s="12"/>
      <c r="DQ38" s="16"/>
    </row>
    <row r="39" spans="4:121">
      <c r="BX39" s="12"/>
      <c r="CD39" s="12"/>
      <c r="CG39" s="12"/>
      <c r="CJ39" s="12"/>
      <c r="DA39" s="12"/>
      <c r="DG39" s="12"/>
      <c r="DH39" s="1"/>
      <c r="DI39" s="1"/>
      <c r="DJ39" s="1"/>
      <c r="DK39" s="1"/>
      <c r="DL39" s="1"/>
      <c r="DM39" s="12"/>
      <c r="DN39" s="16"/>
      <c r="DO39" s="1"/>
      <c r="DP39" s="12"/>
      <c r="DQ39" s="1"/>
    </row>
    <row r="40" spans="4:121">
      <c r="BX40" s="12"/>
      <c r="CD40" s="12"/>
      <c r="CG40" s="12"/>
      <c r="CJ40" s="12"/>
      <c r="DA40" s="12"/>
      <c r="DG40" s="12"/>
      <c r="DH40" s="1"/>
      <c r="DI40" s="1"/>
      <c r="DJ40" s="1"/>
      <c r="DK40" s="1"/>
      <c r="DL40" s="1"/>
      <c r="DM40" s="12"/>
      <c r="DN40" s="1"/>
      <c r="DO40" s="1"/>
      <c r="DP40" s="12"/>
      <c r="DQ40" s="1"/>
    </row>
    <row r="41" spans="4:121">
      <c r="BX41" s="13"/>
      <c r="CD41" s="13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IR30"/>
  <sheetViews>
    <sheetView workbookViewId="0">
      <pane xSplit="3" topLeftCell="D1" activePane="topRight" state="frozen"/>
      <selection pane="topRight" activeCell="C20" sqref="C20"/>
    </sheetView>
  </sheetViews>
  <sheetFormatPr defaultRowHeight="12.75"/>
  <cols>
    <col min="1" max="1" width="8" customWidth="1"/>
    <col min="2" max="2" width="5.85546875" customWidth="1"/>
    <col min="3" max="3" width="13.28515625" customWidth="1"/>
    <col min="4" max="4" width="10.140625" customWidth="1"/>
    <col min="148" max="148" width="9.140625" style="50"/>
    <col min="151" max="151" width="17.85546875" bestFit="1" customWidth="1"/>
  </cols>
  <sheetData>
    <row r="1" spans="1:252">
      <c r="D1" t="s">
        <v>68</v>
      </c>
      <c r="G1" t="s">
        <v>68</v>
      </c>
      <c r="M1" t="s">
        <v>68</v>
      </c>
      <c r="S1" t="s">
        <v>69</v>
      </c>
      <c r="V1" t="s">
        <v>69</v>
      </c>
      <c r="Y1" t="s">
        <v>69</v>
      </c>
      <c r="AB1" t="s">
        <v>69</v>
      </c>
      <c r="AE1" t="s">
        <v>70</v>
      </c>
      <c r="AH1" t="s">
        <v>70</v>
      </c>
      <c r="AK1" t="s">
        <v>70</v>
      </c>
      <c r="AQ1" t="s">
        <v>70</v>
      </c>
      <c r="AT1" t="s">
        <v>71</v>
      </c>
      <c r="AW1" t="s">
        <v>72</v>
      </c>
      <c r="AZ1" t="s">
        <v>72</v>
      </c>
      <c r="BC1" t="s">
        <v>72</v>
      </c>
      <c r="BF1" t="s">
        <v>73</v>
      </c>
      <c r="BI1" t="s">
        <v>73</v>
      </c>
      <c r="BL1" t="s">
        <v>73</v>
      </c>
      <c r="BO1" t="s">
        <v>73</v>
      </c>
      <c r="BR1" t="s">
        <v>73</v>
      </c>
      <c r="BX1" t="s">
        <v>74</v>
      </c>
      <c r="CD1" t="s">
        <v>74</v>
      </c>
      <c r="CG1" t="s">
        <v>74</v>
      </c>
      <c r="CJ1" t="s">
        <v>74</v>
      </c>
      <c r="CM1" t="s">
        <v>75</v>
      </c>
      <c r="CP1" t="s">
        <v>75</v>
      </c>
      <c r="CS1" t="s">
        <v>75</v>
      </c>
      <c r="CV1" t="s">
        <v>75</v>
      </c>
      <c r="CY1" t="s">
        <v>76</v>
      </c>
      <c r="DB1" t="s">
        <v>76</v>
      </c>
      <c r="DC1" s="1"/>
      <c r="DD1" s="1"/>
      <c r="DE1" s="1"/>
      <c r="DF1" s="1"/>
      <c r="DH1" t="s">
        <v>76</v>
      </c>
      <c r="DN1" t="s">
        <v>76</v>
      </c>
      <c r="DQ1" t="s">
        <v>77</v>
      </c>
      <c r="DT1" t="s">
        <v>77</v>
      </c>
      <c r="DW1" t="s">
        <v>77</v>
      </c>
      <c r="DZ1" t="s">
        <v>77</v>
      </c>
      <c r="EF1" t="s">
        <v>78</v>
      </c>
      <c r="EI1" t="s">
        <v>78</v>
      </c>
      <c r="EL1" t="s">
        <v>78</v>
      </c>
      <c r="EO1" t="s">
        <v>78</v>
      </c>
    </row>
    <row r="2" spans="1:252">
      <c r="D2" t="s">
        <v>0</v>
      </c>
      <c r="AB2" s="2"/>
      <c r="DC2" s="1"/>
      <c r="DD2" s="1"/>
      <c r="DE2" s="1"/>
      <c r="DF2" s="1"/>
      <c r="DZ2" s="2"/>
      <c r="ER2" s="50" t="s">
        <v>146</v>
      </c>
      <c r="EV2" s="51">
        <v>38626</v>
      </c>
      <c r="EY2" s="51">
        <v>38657</v>
      </c>
      <c r="FB2" s="51">
        <v>38687</v>
      </c>
      <c r="FE2" s="51">
        <v>38718</v>
      </c>
      <c r="FH2" s="51">
        <v>38749</v>
      </c>
      <c r="FK2" s="51">
        <v>38777</v>
      </c>
      <c r="FN2" s="51">
        <v>38808</v>
      </c>
      <c r="FQ2" s="51">
        <v>38838</v>
      </c>
      <c r="FT2" s="51">
        <v>38869</v>
      </c>
      <c r="FW2" s="51">
        <v>38899</v>
      </c>
      <c r="FZ2" s="51">
        <v>38930</v>
      </c>
      <c r="GC2" s="51">
        <v>38961</v>
      </c>
      <c r="GF2" s="51">
        <v>38991</v>
      </c>
      <c r="GI2" s="51">
        <v>39022</v>
      </c>
      <c r="GL2" s="51">
        <v>39052</v>
      </c>
      <c r="GO2" s="51">
        <v>39083</v>
      </c>
      <c r="GR2" s="51">
        <v>39114</v>
      </c>
      <c r="GU2" s="51">
        <v>38626</v>
      </c>
      <c r="GX2" s="51">
        <v>38657</v>
      </c>
      <c r="HA2" s="51">
        <v>38687</v>
      </c>
      <c r="HD2" s="51">
        <v>38718</v>
      </c>
      <c r="HG2" s="51">
        <v>38749</v>
      </c>
      <c r="HJ2" s="51">
        <v>38777</v>
      </c>
      <c r="HM2" s="51">
        <v>38808</v>
      </c>
      <c r="HP2" s="51">
        <v>38838</v>
      </c>
      <c r="HS2" s="51">
        <v>38869</v>
      </c>
      <c r="HV2" s="51">
        <v>38899</v>
      </c>
      <c r="HY2" s="51">
        <v>38930</v>
      </c>
      <c r="IB2" s="51">
        <v>38961</v>
      </c>
      <c r="IE2" s="51">
        <v>38991</v>
      </c>
      <c r="IH2" s="51">
        <v>39022</v>
      </c>
      <c r="IK2" s="51">
        <v>39052</v>
      </c>
      <c r="IN2" s="51">
        <v>39083</v>
      </c>
      <c r="IQ2" s="51">
        <v>39114</v>
      </c>
    </row>
    <row r="3" spans="1:252">
      <c r="D3" s="3" t="s">
        <v>7</v>
      </c>
      <c r="G3" s="3" t="s">
        <v>54</v>
      </c>
      <c r="J3" s="3" t="s">
        <v>55</v>
      </c>
      <c r="M3" s="3" t="s">
        <v>41</v>
      </c>
      <c r="P3" s="3" t="s">
        <v>42</v>
      </c>
      <c r="S3" s="3" t="s">
        <v>21</v>
      </c>
      <c r="V3" s="3" t="s">
        <v>22</v>
      </c>
      <c r="Y3" s="3" t="s">
        <v>62</v>
      </c>
      <c r="AB3" s="3" t="s">
        <v>43</v>
      </c>
      <c r="AE3" s="3" t="s">
        <v>23</v>
      </c>
      <c r="AH3" s="3" t="s">
        <v>56</v>
      </c>
      <c r="AK3" s="3" t="s">
        <v>39</v>
      </c>
      <c r="AN3" s="3" t="s">
        <v>40</v>
      </c>
      <c r="AQ3" s="3" t="s">
        <v>24</v>
      </c>
      <c r="AT3" s="3" t="s">
        <v>25</v>
      </c>
      <c r="AW3" s="3" t="s">
        <v>26</v>
      </c>
      <c r="AZ3" s="3" t="s">
        <v>63</v>
      </c>
      <c r="BC3" s="3" t="s">
        <v>27</v>
      </c>
      <c r="BF3" s="3" t="s">
        <v>28</v>
      </c>
      <c r="BI3" s="3" t="s">
        <v>29</v>
      </c>
      <c r="BL3" s="3" t="s">
        <v>30</v>
      </c>
      <c r="BO3" s="3" t="s">
        <v>44</v>
      </c>
      <c r="BR3" s="3" t="s">
        <v>48</v>
      </c>
      <c r="BU3" s="3" t="s">
        <v>49</v>
      </c>
      <c r="BX3" s="3" t="s">
        <v>50</v>
      </c>
      <c r="CA3" s="3" t="s">
        <v>51</v>
      </c>
      <c r="CD3" s="3" t="s">
        <v>57</v>
      </c>
      <c r="CG3" s="3" t="s">
        <v>64</v>
      </c>
      <c r="CJ3" s="3" t="s">
        <v>31</v>
      </c>
      <c r="CM3" s="3" t="s">
        <v>52</v>
      </c>
      <c r="CN3" s="4"/>
      <c r="CO3" s="4"/>
      <c r="CP3" s="3" t="s">
        <v>58</v>
      </c>
      <c r="CQ3" s="4"/>
      <c r="CR3" s="4"/>
      <c r="CS3" s="3" t="s">
        <v>32</v>
      </c>
      <c r="CT3" s="4"/>
      <c r="CU3" s="4"/>
      <c r="CV3" s="3" t="s">
        <v>33</v>
      </c>
      <c r="CW3" s="4"/>
      <c r="CX3" s="4"/>
      <c r="CY3" s="3" t="s">
        <v>34</v>
      </c>
      <c r="CZ3" s="4"/>
      <c r="DA3" s="4"/>
      <c r="DB3" s="3" t="s">
        <v>59</v>
      </c>
      <c r="DC3" s="4"/>
      <c r="DD3" s="4"/>
      <c r="DE3" s="3" t="s">
        <v>60</v>
      </c>
      <c r="DF3" s="4"/>
      <c r="DG3" s="4"/>
      <c r="DH3" s="3" t="s">
        <v>65</v>
      </c>
      <c r="DI3" s="4"/>
      <c r="DJ3" s="4"/>
      <c r="DK3" s="3" t="s">
        <v>66</v>
      </c>
      <c r="DL3" s="4"/>
      <c r="DM3" s="4"/>
      <c r="DN3" s="3" t="s">
        <v>35</v>
      </c>
      <c r="DO3" s="4"/>
      <c r="DP3" s="4"/>
      <c r="DQ3" s="3" t="s">
        <v>36</v>
      </c>
      <c r="DR3" s="4"/>
      <c r="DS3" s="4"/>
      <c r="DT3" s="3" t="s">
        <v>61</v>
      </c>
      <c r="DU3" s="4"/>
      <c r="DV3" s="4"/>
      <c r="DW3" s="3" t="s">
        <v>37</v>
      </c>
      <c r="DX3" s="4"/>
      <c r="DY3" s="4"/>
      <c r="DZ3" s="3" t="s">
        <v>45</v>
      </c>
      <c r="EA3" s="4"/>
      <c r="EB3" s="4"/>
      <c r="EC3" s="3" t="s">
        <v>46</v>
      </c>
      <c r="ED3" s="4"/>
      <c r="EE3" s="4"/>
      <c r="EF3" s="3" t="s">
        <v>53</v>
      </c>
      <c r="EG3" s="4"/>
      <c r="EH3" s="4"/>
      <c r="EI3" s="3" t="s">
        <v>38</v>
      </c>
      <c r="EJ3" s="4"/>
      <c r="EK3" s="4"/>
      <c r="EL3" s="3" t="s">
        <v>67</v>
      </c>
      <c r="EM3" s="4"/>
      <c r="EO3" s="5" t="s">
        <v>47</v>
      </c>
      <c r="ER3" s="50" t="s">
        <v>147</v>
      </c>
      <c r="EV3" t="s">
        <v>110</v>
      </c>
      <c r="EY3" t="s">
        <v>111</v>
      </c>
      <c r="FB3" t="s">
        <v>112</v>
      </c>
      <c r="FE3" t="s">
        <v>113</v>
      </c>
      <c r="FH3" t="s">
        <v>114</v>
      </c>
      <c r="FK3" t="s">
        <v>115</v>
      </c>
      <c r="FN3" t="s">
        <v>116</v>
      </c>
      <c r="FQ3" t="s">
        <v>117</v>
      </c>
      <c r="FT3" t="s">
        <v>118</v>
      </c>
      <c r="FW3" t="s">
        <v>148</v>
      </c>
      <c r="FZ3" t="s">
        <v>120</v>
      </c>
      <c r="GC3" t="s">
        <v>121</v>
      </c>
      <c r="GF3" t="s">
        <v>122</v>
      </c>
      <c r="GI3" t="s">
        <v>123</v>
      </c>
      <c r="GL3" t="s">
        <v>124</v>
      </c>
      <c r="GO3" t="s">
        <v>125</v>
      </c>
      <c r="GR3" t="s">
        <v>126</v>
      </c>
      <c r="GU3" t="s">
        <v>127</v>
      </c>
      <c r="GX3" t="s">
        <v>128</v>
      </c>
      <c r="HA3" t="s">
        <v>129</v>
      </c>
      <c r="HD3" t="s">
        <v>130</v>
      </c>
      <c r="HG3" t="s">
        <v>131</v>
      </c>
      <c r="HJ3" t="s">
        <v>132</v>
      </c>
      <c r="HM3" t="s">
        <v>133</v>
      </c>
      <c r="HP3" t="s">
        <v>134</v>
      </c>
      <c r="HS3" t="s">
        <v>135</v>
      </c>
      <c r="HV3" t="s">
        <v>136</v>
      </c>
      <c r="HY3" t="s">
        <v>137</v>
      </c>
      <c r="IB3" t="s">
        <v>149</v>
      </c>
      <c r="IE3" t="s">
        <v>139</v>
      </c>
      <c r="IH3" t="s">
        <v>150</v>
      </c>
      <c r="IK3" t="s">
        <v>141</v>
      </c>
      <c r="IN3" t="s">
        <v>142</v>
      </c>
      <c r="IQ3" t="s">
        <v>143</v>
      </c>
    </row>
    <row r="4" spans="1:252">
      <c r="A4" t="s">
        <v>1</v>
      </c>
      <c r="B4" t="s">
        <v>9</v>
      </c>
      <c r="C4" s="6" t="s">
        <v>93</v>
      </c>
      <c r="D4" s="6" t="s">
        <v>2</v>
      </c>
      <c r="E4" s="7" t="s">
        <v>3</v>
      </c>
      <c r="F4" s="6"/>
      <c r="G4" s="6" t="s">
        <v>2</v>
      </c>
      <c r="H4" s="7" t="s">
        <v>3</v>
      </c>
      <c r="I4" s="7"/>
      <c r="J4" s="6" t="s">
        <v>2</v>
      </c>
      <c r="K4" s="7" t="s">
        <v>3</v>
      </c>
      <c r="L4" s="6"/>
      <c r="M4" s="6" t="s">
        <v>2</v>
      </c>
      <c r="N4" s="7" t="s">
        <v>3</v>
      </c>
      <c r="O4" s="7"/>
      <c r="P4" s="6" t="s">
        <v>2</v>
      </c>
      <c r="Q4" s="7" t="s">
        <v>3</v>
      </c>
      <c r="R4" s="6"/>
      <c r="S4" s="6" t="s">
        <v>2</v>
      </c>
      <c r="T4" s="7" t="s">
        <v>3</v>
      </c>
      <c r="U4" s="6"/>
      <c r="V4" s="6" t="s">
        <v>2</v>
      </c>
      <c r="W4" s="7" t="s">
        <v>3</v>
      </c>
      <c r="X4" s="6"/>
      <c r="Y4" s="6" t="s">
        <v>2</v>
      </c>
      <c r="Z4" s="7" t="s">
        <v>3</v>
      </c>
      <c r="AA4" s="6"/>
      <c r="AB4" s="6" t="s">
        <v>2</v>
      </c>
      <c r="AC4" s="7" t="s">
        <v>3</v>
      </c>
      <c r="AD4" s="6"/>
      <c r="AE4" s="6" t="s">
        <v>2</v>
      </c>
      <c r="AF4" s="7" t="s">
        <v>3</v>
      </c>
      <c r="AG4" s="6"/>
      <c r="AH4" s="6" t="s">
        <v>2</v>
      </c>
      <c r="AI4" s="7" t="s">
        <v>3</v>
      </c>
      <c r="AJ4" s="6"/>
      <c r="AK4" s="6" t="s">
        <v>2</v>
      </c>
      <c r="AL4" s="7" t="s">
        <v>3</v>
      </c>
      <c r="AM4" s="7"/>
      <c r="AN4" s="6" t="s">
        <v>2</v>
      </c>
      <c r="AO4" s="7" t="s">
        <v>3</v>
      </c>
      <c r="AP4" s="6"/>
      <c r="AQ4" s="6" t="s">
        <v>2</v>
      </c>
      <c r="AR4" s="7" t="s">
        <v>3</v>
      </c>
      <c r="AS4" s="6"/>
      <c r="AT4" s="6" t="s">
        <v>2</v>
      </c>
      <c r="AU4" s="7" t="s">
        <v>3</v>
      </c>
      <c r="AV4" s="6"/>
      <c r="AW4" s="6" t="s">
        <v>2</v>
      </c>
      <c r="AX4" s="7" t="s">
        <v>3</v>
      </c>
      <c r="AY4" s="6"/>
      <c r="AZ4" s="6" t="s">
        <v>2</v>
      </c>
      <c r="BA4" s="7" t="s">
        <v>3</v>
      </c>
      <c r="BB4" s="6"/>
      <c r="BC4" s="6" t="s">
        <v>2</v>
      </c>
      <c r="BD4" s="7" t="s">
        <v>3</v>
      </c>
      <c r="BE4" s="6"/>
      <c r="BF4" s="6" t="s">
        <v>2</v>
      </c>
      <c r="BG4" s="7" t="s">
        <v>3</v>
      </c>
      <c r="BH4" s="6"/>
      <c r="BI4" s="6" t="s">
        <v>2</v>
      </c>
      <c r="BJ4" s="7" t="s">
        <v>3</v>
      </c>
      <c r="BK4" s="6"/>
      <c r="BL4" s="6" t="s">
        <v>2</v>
      </c>
      <c r="BM4" s="7" t="s">
        <v>3</v>
      </c>
      <c r="BN4" s="6"/>
      <c r="BO4" s="6" t="s">
        <v>2</v>
      </c>
      <c r="BP4" s="7" t="s">
        <v>3</v>
      </c>
      <c r="BQ4" s="6"/>
      <c r="BR4" s="6" t="s">
        <v>2</v>
      </c>
      <c r="BS4" s="7" t="s">
        <v>3</v>
      </c>
      <c r="BT4" s="7"/>
      <c r="BU4" s="6" t="s">
        <v>2</v>
      </c>
      <c r="BV4" s="7" t="s">
        <v>3</v>
      </c>
      <c r="BW4" s="6"/>
      <c r="BX4" s="6" t="s">
        <v>2</v>
      </c>
      <c r="BY4" s="7" t="s">
        <v>3</v>
      </c>
      <c r="BZ4" s="7"/>
      <c r="CA4" s="6" t="s">
        <v>2</v>
      </c>
      <c r="CB4" s="7" t="s">
        <v>3</v>
      </c>
      <c r="CC4" s="6"/>
      <c r="CD4" s="6" t="s">
        <v>2</v>
      </c>
      <c r="CE4" s="7" t="s">
        <v>3</v>
      </c>
      <c r="CF4" s="6"/>
      <c r="CG4" s="6" t="s">
        <v>2</v>
      </c>
      <c r="CH4" s="7" t="s">
        <v>3</v>
      </c>
      <c r="CI4" s="6"/>
      <c r="CJ4" s="6" t="s">
        <v>2</v>
      </c>
      <c r="CK4" s="7" t="s">
        <v>3</v>
      </c>
      <c r="CL4" s="6"/>
      <c r="CM4" s="8" t="s">
        <v>2</v>
      </c>
      <c r="CN4" s="9" t="s">
        <v>3</v>
      </c>
      <c r="CO4" s="4"/>
      <c r="CP4" s="8" t="s">
        <v>2</v>
      </c>
      <c r="CQ4" s="9" t="s">
        <v>3</v>
      </c>
      <c r="CR4" s="4"/>
      <c r="CS4" s="8" t="s">
        <v>2</v>
      </c>
      <c r="CT4" s="9" t="s">
        <v>3</v>
      </c>
      <c r="CU4" s="4"/>
      <c r="CV4" s="8" t="s">
        <v>2</v>
      </c>
      <c r="CW4" s="9" t="s">
        <v>3</v>
      </c>
      <c r="CX4" s="4"/>
      <c r="CY4" s="8" t="s">
        <v>2</v>
      </c>
      <c r="CZ4" s="9" t="s">
        <v>3</v>
      </c>
      <c r="DA4" s="4"/>
      <c r="DB4" s="8" t="s">
        <v>2</v>
      </c>
      <c r="DC4" s="9" t="s">
        <v>3</v>
      </c>
      <c r="DD4" s="9"/>
      <c r="DE4" s="8" t="s">
        <v>2</v>
      </c>
      <c r="DF4" s="9" t="s">
        <v>3</v>
      </c>
      <c r="DG4" s="4"/>
      <c r="DH4" s="8" t="s">
        <v>2</v>
      </c>
      <c r="DI4" s="9" t="s">
        <v>3</v>
      </c>
      <c r="DJ4" s="9"/>
      <c r="DK4" s="8" t="s">
        <v>2</v>
      </c>
      <c r="DL4" s="9" t="s">
        <v>3</v>
      </c>
      <c r="DM4" s="4"/>
      <c r="DN4" s="8" t="s">
        <v>2</v>
      </c>
      <c r="DO4" s="9" t="s">
        <v>3</v>
      </c>
      <c r="DP4" s="4"/>
      <c r="DQ4" s="8" t="s">
        <v>2</v>
      </c>
      <c r="DR4" s="9" t="s">
        <v>3</v>
      </c>
      <c r="DS4" s="4"/>
      <c r="DT4" s="8" t="s">
        <v>2</v>
      </c>
      <c r="DU4" s="9" t="s">
        <v>3</v>
      </c>
      <c r="DV4" s="4"/>
      <c r="DW4" s="8" t="s">
        <v>2</v>
      </c>
      <c r="DX4" s="9" t="s">
        <v>3</v>
      </c>
      <c r="DY4" s="4"/>
      <c r="DZ4" s="8" t="s">
        <v>2</v>
      </c>
      <c r="EA4" s="9" t="s">
        <v>3</v>
      </c>
      <c r="EB4" s="9"/>
      <c r="EC4" s="8" t="s">
        <v>2</v>
      </c>
      <c r="ED4" s="9" t="s">
        <v>3</v>
      </c>
      <c r="EE4" s="4"/>
      <c r="EF4" s="8" t="s">
        <v>2</v>
      </c>
      <c r="EG4" s="9" t="s">
        <v>3</v>
      </c>
      <c r="EH4" s="4"/>
      <c r="EI4" s="8" t="s">
        <v>2</v>
      </c>
      <c r="EJ4" s="9" t="s">
        <v>3</v>
      </c>
      <c r="EK4" s="4"/>
      <c r="EL4" s="8" t="s">
        <v>2</v>
      </c>
      <c r="EM4" s="9" t="s">
        <v>3</v>
      </c>
      <c r="EO4" s="8" t="s">
        <v>2</v>
      </c>
      <c r="EP4" t="s">
        <v>3</v>
      </c>
      <c r="ES4" t="s">
        <v>1</v>
      </c>
      <c r="ET4" t="s">
        <v>9</v>
      </c>
      <c r="EU4" s="6" t="s">
        <v>93</v>
      </c>
      <c r="EV4" t="s">
        <v>144</v>
      </c>
      <c r="EW4" t="s">
        <v>145</v>
      </c>
      <c r="EY4" t="s">
        <v>144</v>
      </c>
      <c r="EZ4" t="s">
        <v>145</v>
      </c>
      <c r="FB4" t="s">
        <v>144</v>
      </c>
      <c r="FC4" t="s">
        <v>145</v>
      </c>
      <c r="FE4" t="s">
        <v>144</v>
      </c>
      <c r="FF4" t="s">
        <v>145</v>
      </c>
      <c r="FH4" t="s">
        <v>144</v>
      </c>
      <c r="FI4" t="s">
        <v>145</v>
      </c>
      <c r="FK4" t="s">
        <v>144</v>
      </c>
      <c r="FL4" t="s">
        <v>145</v>
      </c>
      <c r="FN4" t="s">
        <v>144</v>
      </c>
      <c r="FO4" t="s">
        <v>145</v>
      </c>
      <c r="FQ4" t="s">
        <v>144</v>
      </c>
      <c r="FR4" t="s">
        <v>145</v>
      </c>
      <c r="FT4" t="s">
        <v>144</v>
      </c>
      <c r="FU4" t="s">
        <v>145</v>
      </c>
      <c r="FW4" t="s">
        <v>144</v>
      </c>
      <c r="FX4" t="s">
        <v>145</v>
      </c>
      <c r="FZ4" t="s">
        <v>144</v>
      </c>
      <c r="GA4" t="s">
        <v>145</v>
      </c>
      <c r="GC4" t="s">
        <v>144</v>
      </c>
      <c r="GD4" t="s">
        <v>145</v>
      </c>
      <c r="GF4" t="s">
        <v>144</v>
      </c>
      <c r="GG4" t="s">
        <v>145</v>
      </c>
      <c r="GI4" t="s">
        <v>144</v>
      </c>
      <c r="GJ4" t="s">
        <v>145</v>
      </c>
      <c r="GL4" t="s">
        <v>144</v>
      </c>
      <c r="GM4" t="s">
        <v>145</v>
      </c>
      <c r="GO4" t="s">
        <v>144</v>
      </c>
      <c r="GP4" t="s">
        <v>145</v>
      </c>
      <c r="GR4" t="s">
        <v>144</v>
      </c>
      <c r="GS4" t="s">
        <v>145</v>
      </c>
      <c r="GU4" t="s">
        <v>144</v>
      </c>
      <c r="GV4" t="s">
        <v>145</v>
      </c>
      <c r="GX4" t="s">
        <v>144</v>
      </c>
      <c r="GY4" t="s">
        <v>145</v>
      </c>
      <c r="HA4" t="s">
        <v>144</v>
      </c>
      <c r="HB4" t="s">
        <v>145</v>
      </c>
      <c r="HD4" t="s">
        <v>144</v>
      </c>
      <c r="HE4" t="s">
        <v>145</v>
      </c>
      <c r="HG4" t="s">
        <v>144</v>
      </c>
      <c r="HH4" t="s">
        <v>145</v>
      </c>
      <c r="HJ4" t="s">
        <v>144</v>
      </c>
      <c r="HK4" t="s">
        <v>145</v>
      </c>
      <c r="HM4" t="s">
        <v>144</v>
      </c>
      <c r="HN4" t="s">
        <v>145</v>
      </c>
      <c r="HP4" t="s">
        <v>144</v>
      </c>
      <c r="HQ4" t="s">
        <v>145</v>
      </c>
      <c r="HS4" t="s">
        <v>144</v>
      </c>
      <c r="HT4" t="s">
        <v>145</v>
      </c>
      <c r="HV4" t="s">
        <v>144</v>
      </c>
      <c r="HW4" t="s">
        <v>145</v>
      </c>
      <c r="HY4" t="s">
        <v>144</v>
      </c>
      <c r="HZ4" t="s">
        <v>145</v>
      </c>
      <c r="IB4" t="s">
        <v>144</v>
      </c>
      <c r="IC4" t="s">
        <v>145</v>
      </c>
      <c r="IE4" t="s">
        <v>144</v>
      </c>
      <c r="IF4" t="s">
        <v>145</v>
      </c>
      <c r="IH4" t="s">
        <v>144</v>
      </c>
      <c r="II4" t="s">
        <v>145</v>
      </c>
      <c r="IK4" t="s">
        <v>144</v>
      </c>
      <c r="IL4" t="s">
        <v>145</v>
      </c>
      <c r="IN4" t="s">
        <v>144</v>
      </c>
      <c r="IO4" t="s">
        <v>145</v>
      </c>
      <c r="IQ4" t="s">
        <v>144</v>
      </c>
      <c r="IR4" t="s">
        <v>145</v>
      </c>
    </row>
    <row r="5" spans="1:252">
      <c r="B5">
        <v>66</v>
      </c>
      <c r="C5" s="10" t="s">
        <v>4</v>
      </c>
      <c r="D5" s="10"/>
      <c r="E5" s="11">
        <v>618712</v>
      </c>
      <c r="F5" s="10"/>
      <c r="G5" s="10"/>
      <c r="H5" s="11">
        <v>274730</v>
      </c>
      <c r="I5" s="11"/>
      <c r="J5" s="10"/>
      <c r="K5" s="11">
        <v>283500</v>
      </c>
      <c r="L5" s="10"/>
      <c r="M5" s="10"/>
      <c r="N5" s="11">
        <v>456785</v>
      </c>
      <c r="O5" s="11"/>
      <c r="P5" s="10"/>
      <c r="Q5" s="11">
        <v>483004</v>
      </c>
      <c r="R5" s="10"/>
      <c r="S5" s="10"/>
      <c r="T5" s="11">
        <v>456290</v>
      </c>
      <c r="U5" s="10"/>
      <c r="V5" s="10"/>
      <c r="W5" s="11">
        <v>178929</v>
      </c>
      <c r="X5" s="10"/>
      <c r="Y5" s="10"/>
      <c r="Z5" s="11">
        <v>307643</v>
      </c>
      <c r="AA5" s="10"/>
      <c r="AB5" s="10"/>
      <c r="AC5" s="11">
        <v>183079</v>
      </c>
      <c r="AD5" s="10"/>
      <c r="AE5" s="10"/>
      <c r="AF5" s="11">
        <v>1210379</v>
      </c>
      <c r="AG5" s="10"/>
      <c r="AH5" s="10"/>
      <c r="AI5" s="11">
        <v>954360</v>
      </c>
      <c r="AJ5" s="10"/>
      <c r="AK5" s="10"/>
      <c r="AL5" s="11">
        <v>885224</v>
      </c>
      <c r="AM5" s="11"/>
      <c r="AN5" s="10"/>
      <c r="AO5" s="11">
        <v>806763</v>
      </c>
      <c r="AP5" s="10"/>
      <c r="AQ5" s="10"/>
      <c r="AR5" s="11">
        <v>910976</v>
      </c>
      <c r="AS5" s="10"/>
      <c r="AT5" s="10"/>
      <c r="AU5" s="11">
        <v>666541</v>
      </c>
      <c r="AV5" s="10"/>
      <c r="AW5" s="10"/>
      <c r="AX5" s="11">
        <v>1402859</v>
      </c>
      <c r="AY5" s="10"/>
      <c r="AZ5" s="10"/>
      <c r="BA5" s="11">
        <v>1533405</v>
      </c>
      <c r="BB5" s="10"/>
      <c r="BC5" s="10"/>
      <c r="BD5" s="11">
        <v>536549</v>
      </c>
      <c r="BE5" s="10"/>
      <c r="BF5" s="10"/>
      <c r="BG5" s="11">
        <v>1274098</v>
      </c>
      <c r="BH5" s="10"/>
      <c r="BI5" s="10"/>
      <c r="BJ5" s="11">
        <v>1294013</v>
      </c>
      <c r="BK5" s="10"/>
      <c r="BL5" s="10"/>
      <c r="BM5" s="11">
        <v>1193428</v>
      </c>
      <c r="BN5" s="10"/>
      <c r="BO5" s="10"/>
      <c r="BP5" s="11">
        <v>478355</v>
      </c>
      <c r="BQ5" s="10"/>
      <c r="BR5" s="10"/>
      <c r="BS5" s="11">
        <v>543955</v>
      </c>
      <c r="BT5" s="11"/>
      <c r="BU5" s="10"/>
      <c r="BV5" s="11">
        <v>542848</v>
      </c>
      <c r="BW5" s="10"/>
      <c r="BX5" s="10"/>
      <c r="BY5" s="11">
        <v>169259</v>
      </c>
      <c r="BZ5" s="11"/>
      <c r="CA5" s="10"/>
      <c r="CB5" s="11">
        <v>175473</v>
      </c>
      <c r="CC5" s="10"/>
      <c r="CD5" s="10"/>
      <c r="CE5" s="11">
        <v>253481</v>
      </c>
      <c r="CF5" s="10"/>
      <c r="CG5" s="10"/>
      <c r="CH5" s="11">
        <v>339010</v>
      </c>
      <c r="CI5" s="10"/>
      <c r="CJ5" s="10"/>
      <c r="CK5" s="11">
        <v>527765</v>
      </c>
      <c r="CL5" s="10"/>
      <c r="CM5" s="10"/>
      <c r="CN5" s="11">
        <v>1579046</v>
      </c>
      <c r="CP5" s="10"/>
      <c r="CQ5">
        <v>399354</v>
      </c>
      <c r="CS5" s="10"/>
      <c r="CT5">
        <v>1126011</v>
      </c>
      <c r="CV5" s="10"/>
      <c r="CW5">
        <v>2937786</v>
      </c>
      <c r="CZ5">
        <v>109015</v>
      </c>
      <c r="DC5" s="1">
        <v>451665</v>
      </c>
      <c r="DD5" s="1"/>
      <c r="DF5" s="1">
        <v>480902</v>
      </c>
      <c r="DI5">
        <v>558428</v>
      </c>
      <c r="DL5">
        <v>558850</v>
      </c>
      <c r="DO5">
        <v>264614</v>
      </c>
      <c r="DR5" s="1">
        <v>944469</v>
      </c>
      <c r="DT5" s="35"/>
      <c r="DU5" s="35">
        <v>3628796</v>
      </c>
      <c r="DX5">
        <v>3173761</v>
      </c>
      <c r="EA5">
        <v>1840557</v>
      </c>
      <c r="ED5">
        <v>1854383</v>
      </c>
      <c r="EG5">
        <v>1606390</v>
      </c>
      <c r="EJ5">
        <v>2377109</v>
      </c>
      <c r="EM5">
        <v>248226</v>
      </c>
      <c r="EP5">
        <v>653099</v>
      </c>
      <c r="ET5">
        <v>66</v>
      </c>
      <c r="EU5" s="10" t="s">
        <v>4</v>
      </c>
      <c r="EV5" s="44"/>
      <c r="EW5">
        <v>1065697</v>
      </c>
      <c r="EZ5">
        <v>1392516</v>
      </c>
      <c r="FC5">
        <v>1722380</v>
      </c>
      <c r="FF5">
        <v>1675327</v>
      </c>
      <c r="FI5">
        <v>2298625</v>
      </c>
      <c r="FL5">
        <v>906050</v>
      </c>
      <c r="FO5">
        <v>2781986</v>
      </c>
      <c r="FR5">
        <v>2785846</v>
      </c>
      <c r="FU5">
        <v>1973170</v>
      </c>
      <c r="FX5">
        <v>840317</v>
      </c>
      <c r="GA5">
        <v>1974963</v>
      </c>
      <c r="GD5">
        <v>1813212</v>
      </c>
      <c r="GG5">
        <v>2531592</v>
      </c>
      <c r="GJ5">
        <v>568293</v>
      </c>
      <c r="GM5">
        <v>1076225</v>
      </c>
      <c r="GP5">
        <v>1294907</v>
      </c>
      <c r="GS5">
        <v>3345841</v>
      </c>
      <c r="GV5">
        <v>1816691</v>
      </c>
      <c r="GY5">
        <v>2704802</v>
      </c>
      <c r="HB5">
        <v>711801</v>
      </c>
      <c r="HE5">
        <v>770505</v>
      </c>
      <c r="HH5">
        <v>596775</v>
      </c>
      <c r="HK5">
        <v>880264</v>
      </c>
      <c r="HN5">
        <v>3373759</v>
      </c>
      <c r="HQ5">
        <v>1221013</v>
      </c>
      <c r="HT5">
        <v>569302</v>
      </c>
      <c r="HW5">
        <v>2008132</v>
      </c>
      <c r="HZ5">
        <v>2418872</v>
      </c>
      <c r="IC5">
        <v>1002897</v>
      </c>
      <c r="IF5">
        <v>2299783</v>
      </c>
      <c r="II5">
        <v>2038626</v>
      </c>
      <c r="IL5">
        <v>2654374</v>
      </c>
      <c r="IO5">
        <v>2952465</v>
      </c>
      <c r="IR5">
        <v>4997606</v>
      </c>
    </row>
    <row r="6" spans="1:252">
      <c r="A6">
        <v>0.51900000000000002</v>
      </c>
      <c r="B6">
        <v>171</v>
      </c>
      <c r="C6" s="10" t="s">
        <v>83</v>
      </c>
      <c r="D6" s="12">
        <f t="shared" ref="D6:D15" si="0">(E6/E$5)*(61.5/(9*0.5*$A6))</f>
        <v>5.3184024378387722</v>
      </c>
      <c r="E6" s="11">
        <v>124961</v>
      </c>
      <c r="F6" s="10"/>
      <c r="G6" s="12">
        <f t="shared" ref="G6:G15" si="1">(H6/H$5)*(61.5/(9*0.5*$A6))</f>
        <v>3.1665748733835968</v>
      </c>
      <c r="H6" s="11">
        <v>33037</v>
      </c>
      <c r="I6" s="11"/>
      <c r="J6" s="12">
        <f t="shared" ref="J6:J15" si="2">(K6/K$5)*(61.5/(9*0.5*$A6))</f>
        <v>3.5819890600451503</v>
      </c>
      <c r="K6" s="11">
        <v>38564</v>
      </c>
      <c r="L6" s="10"/>
      <c r="M6" s="12">
        <f t="shared" ref="M6:M15" si="3">(N6/N$5)*(61.5/(9*0.5*$A6))</f>
        <v>7.9100974699965407</v>
      </c>
      <c r="N6" s="11">
        <v>137214</v>
      </c>
      <c r="O6" s="11"/>
      <c r="P6" s="12">
        <f t="shared" ref="P6:P15" si="4">(Q6/Q$5)*(61.5/(9*0.5*$A6))</f>
        <v>7.5772099941839581</v>
      </c>
      <c r="Q6" s="11">
        <v>138984</v>
      </c>
      <c r="R6" s="10"/>
      <c r="S6" s="12">
        <f t="shared" ref="S6:S15" si="5">(T6/T$5)*(61.5/(8*0.5*$A6))</f>
        <v>0</v>
      </c>
      <c r="T6" s="11">
        <v>0</v>
      </c>
      <c r="U6" s="10"/>
      <c r="V6" s="12">
        <f t="shared" ref="V6:V15" si="6">(W6/W$5)*(61.5/(8*0.5*$A6))</f>
        <v>1.9155804267246246</v>
      </c>
      <c r="W6" s="11">
        <v>11570</v>
      </c>
      <c r="X6" s="10"/>
      <c r="Y6" s="12">
        <f t="shared" ref="Y6:Y15" si="7">(Z6/Z$5)*(61.5/(8*0.5*$A6))</f>
        <v>5.1967162636656452</v>
      </c>
      <c r="Z6" s="11">
        <v>53967</v>
      </c>
      <c r="AA6" s="10"/>
      <c r="AB6" s="12">
        <f t="shared" ref="AB6:AB15" si="8">(AC6/AC$5)*(61.5/(8*0.5*$A6))</f>
        <v>0</v>
      </c>
      <c r="AC6" s="11">
        <v>0</v>
      </c>
      <c r="AD6" s="10"/>
      <c r="AE6" s="12">
        <f t="shared" ref="AE6:AE15" si="9">(AF6/AF$5)*(61.5/(6*0.5*$A6))</f>
        <v>0</v>
      </c>
      <c r="AF6" s="11">
        <v>0</v>
      </c>
      <c r="AG6" s="10"/>
      <c r="AH6" s="12">
        <f t="shared" ref="AH6:AH15" si="10">(AI6/AI$5)*(61.5/(6*0.5*$A6))</f>
        <v>3.3989882030920096</v>
      </c>
      <c r="AI6" s="11">
        <v>82125</v>
      </c>
      <c r="AJ6" s="10"/>
      <c r="AK6" s="12">
        <f t="shared" ref="AK6:AK15" si="11">(AL6/AL$5)*(61.5/(5*0.5*$A6))</f>
        <v>4.7037740070518836</v>
      </c>
      <c r="AL6" s="11">
        <v>87848</v>
      </c>
      <c r="AM6" s="11"/>
      <c r="AN6" s="12">
        <f t="shared" ref="AN6:AN15" si="12">(AO6/AO$5)*(61.5/(5*0.5*$A6))</f>
        <v>4.788689580774447</v>
      </c>
      <c r="AO6" s="11">
        <v>81507</v>
      </c>
      <c r="AP6" s="10"/>
      <c r="AQ6" s="12">
        <f t="shared" ref="AQ6:AQ15" si="13">(AR6/AR$5)*(61.5/(6*0.5*$A6))</f>
        <v>0</v>
      </c>
      <c r="AR6" s="11">
        <v>0</v>
      </c>
      <c r="AS6" s="10"/>
      <c r="AT6" s="12">
        <f t="shared" ref="AT6:AT15" si="14">(AU6/AU$5)*(61.5/(7*0.5*$A6))</f>
        <v>2.340335868422676</v>
      </c>
      <c r="AU6" s="11">
        <v>46075</v>
      </c>
      <c r="AV6" s="10"/>
      <c r="AW6" s="12">
        <f t="shared" ref="AW6:AW15" si="15">(AX6/AX$5)*(61.5/(7*0.5*$A6))</f>
        <v>0</v>
      </c>
      <c r="AX6" s="11">
        <v>0</v>
      </c>
      <c r="AY6" s="10"/>
      <c r="AZ6" s="12">
        <f t="shared" ref="AZ6:AZ15" si="16">(BA6/BA$5)*(61.5/(7*0.5*$A6))</f>
        <v>2.9753233637188821</v>
      </c>
      <c r="BA6" s="11">
        <v>134757</v>
      </c>
      <c r="BB6" s="10"/>
      <c r="BC6" s="12">
        <f t="shared" ref="BC6:BC15" si="17">(BD6/BD$5)*(61.5/(7*0.5*$A6))</f>
        <v>2.5224281021959221</v>
      </c>
      <c r="BD6" s="11">
        <v>39975</v>
      </c>
      <c r="BE6" s="10"/>
      <c r="BF6" s="12">
        <f t="shared" ref="BF6:BF15" si="18">(BG6/BG$5)*(61.5/(7*0.5*$A6))</f>
        <v>0</v>
      </c>
      <c r="BG6" s="11">
        <v>0</v>
      </c>
      <c r="BH6" s="10"/>
      <c r="BI6" s="12">
        <f t="shared" ref="BI6:BI15" si="19">(BJ6/BJ$5)*(61.5/(7*0.5*$A6))</f>
        <v>0</v>
      </c>
      <c r="BJ6" s="11">
        <v>0</v>
      </c>
      <c r="BK6" s="10"/>
      <c r="BL6" s="12">
        <f t="shared" ref="BL6:BL15" si="20">(BM6/BM$5)*(61.5/(6*0.5*$A6))</f>
        <v>2.701321210782885</v>
      </c>
      <c r="BM6" s="11">
        <v>81618</v>
      </c>
      <c r="BN6" s="10"/>
      <c r="BO6" s="12">
        <f t="shared" ref="BO6:BO15" si="21">(BP6/BP$5)*(61.5/(7*0.5*$A6))</f>
        <v>3.4936013380082569</v>
      </c>
      <c r="BP6" s="11">
        <v>49361</v>
      </c>
      <c r="BQ6" s="10"/>
      <c r="BR6" s="12">
        <f t="shared" ref="BR6:BR15" si="22">(BS6/BS$5)*(61.5/(7*0.5*$A6))</f>
        <v>1.8618780405167974</v>
      </c>
      <c r="BS6" s="11">
        <v>29914</v>
      </c>
      <c r="BT6" s="11"/>
      <c r="BU6" s="12">
        <f t="shared" ref="BU6:BU15" si="23">(BV6/BV$5)*(61.5/(7*0.5*$A6))</f>
        <v>1.8846347226584259</v>
      </c>
      <c r="BV6" s="11">
        <v>30218</v>
      </c>
      <c r="BW6" s="10"/>
      <c r="BX6" s="12">
        <f t="shared" ref="BX6:BX15" si="24">(BY6/BY$5)*(61.5/(6*0.5*$A6))</f>
        <v>1.4237566235808694</v>
      </c>
      <c r="BY6" s="11">
        <v>6101</v>
      </c>
      <c r="BZ6" s="11"/>
      <c r="CA6" s="12">
        <f t="shared" ref="CA6:CA15" si="25">(CB6/CB$5)*(61.5/(6*0.5*$A6))</f>
        <v>1.3307933666809095</v>
      </c>
      <c r="CB6" s="11">
        <v>5912</v>
      </c>
      <c r="CC6" s="10"/>
      <c r="CD6" s="12">
        <f t="shared" ref="CD6:CD15" si="26">(CE6/CE$5)*(61.5/(6*0.5*$A6))</f>
        <v>0</v>
      </c>
      <c r="CE6" s="11">
        <v>0</v>
      </c>
      <c r="CF6" s="10"/>
      <c r="CG6" s="12">
        <f t="shared" ref="CG6:CG15" si="27">(CH6/CH$5)*(61.5/(9*0.5*$A6))</f>
        <v>1.7623740531124885</v>
      </c>
      <c r="CH6" s="11">
        <v>22689</v>
      </c>
      <c r="CI6" s="10"/>
      <c r="CJ6" s="12">
        <f t="shared" ref="CJ6:CJ15" si="28">(CK6/CK$5)*(61.5/(6*0.5*$A6))</f>
        <v>0.14249934289556057</v>
      </c>
      <c r="CK6" s="11">
        <v>1904</v>
      </c>
      <c r="CL6" s="10"/>
      <c r="CM6" s="12">
        <f t="shared" ref="CM6:CM15" si="29">(CN6/CN$5)*(61.5/(8*0.5*$A6))</f>
        <v>0.34565027735814641</v>
      </c>
      <c r="CN6" s="11">
        <v>18424</v>
      </c>
      <c r="CP6" s="12">
        <f t="shared" ref="CP6:CP15" si="30">(CQ6/CQ$5)*(61.5/(8*0.5*$A6))</f>
        <v>0.57964638903389676</v>
      </c>
      <c r="CQ6">
        <v>7814</v>
      </c>
      <c r="CS6" s="12">
        <f t="shared" ref="CS6:CS15" si="31">(CT6/CT$5)*(61.5/(8*0.5*$A6))</f>
        <v>0</v>
      </c>
      <c r="CT6">
        <v>0</v>
      </c>
      <c r="CV6" s="12">
        <f t="shared" ref="CV6:CV15" si="32">(CW6/CW$5)*(61.5/(8*0.5*$A6))</f>
        <v>0</v>
      </c>
      <c r="CW6">
        <v>0</v>
      </c>
      <c r="CY6" s="12">
        <f t="shared" ref="CY6:CY15" si="33">(CZ6/CZ$5)*(61.5/(10*0.5*$A6))</f>
        <v>0</v>
      </c>
      <c r="CZ6">
        <v>0</v>
      </c>
      <c r="DB6" s="12">
        <f t="shared" ref="DB6:DB15" si="34">(DC6/DC$5)*(61.5/(10*0.5*$A6))</f>
        <v>2.4028678987297414</v>
      </c>
      <c r="DC6" s="1">
        <v>45794</v>
      </c>
      <c r="DD6" s="1"/>
      <c r="DE6" s="12">
        <f t="shared" ref="DE6:DE15" si="35">(DF6/DF$5)*(61.5/(10*0.5*$A6))</f>
        <v>2.3115834134713564</v>
      </c>
      <c r="DF6" s="1">
        <v>46906</v>
      </c>
      <c r="DH6" s="12">
        <f t="shared" ref="DH6:DH15" si="36">(DI6/DI$5)*(61.5/(10*0.5*$A6))</f>
        <v>2.3712663098737408</v>
      </c>
      <c r="DI6">
        <v>55874</v>
      </c>
      <c r="DK6" s="12">
        <f t="shared" ref="DK6:DK15" si="37">(DL6/DL$5)*(61.5/(10*0.5*$A6))</f>
        <v>2.6619601255882097</v>
      </c>
      <c r="DL6">
        <v>62771</v>
      </c>
      <c r="DN6" s="12">
        <f t="shared" ref="DN6:DN15" si="38">(DO6/DO$5)*(61.5/(10*0.5*$A6))</f>
        <v>3.6646180797497987</v>
      </c>
      <c r="DO6">
        <v>40917</v>
      </c>
      <c r="DQ6" s="12">
        <f t="shared" ref="DQ6:DQ15" si="39">(DR6/DR$5)*(61.5/(10*0.5*$A6))</f>
        <v>2.4003321510376532</v>
      </c>
      <c r="DR6" s="1">
        <v>95658</v>
      </c>
      <c r="DS6" s="13"/>
      <c r="DT6" s="36">
        <f t="shared" ref="DT6:DT15" si="40">(DU6/DU$5)*(61.5/(10*0.5*$A6))</f>
        <v>3.3251981913432878</v>
      </c>
      <c r="DU6" s="35">
        <v>509146</v>
      </c>
      <c r="DV6" s="13"/>
      <c r="DW6" s="12">
        <f t="shared" ref="DW6:DW15" si="41">(DX6/DX$5)*(61.5/(10*0.5*$A6))</f>
        <v>0</v>
      </c>
      <c r="DX6">
        <v>0</v>
      </c>
      <c r="DY6" s="13"/>
      <c r="DZ6" s="12">
        <f t="shared" ref="DZ6:DZ15" si="42">(EA6/EA$5)*(61.5/(10*0.5*$A6))</f>
        <v>5.8398434495016414</v>
      </c>
      <c r="EA6">
        <v>453537</v>
      </c>
      <c r="EC6" s="12">
        <f t="shared" ref="EC6:EC15" si="43">(ED6/ED$5)*(61.5/(10*0.5*$A6))</f>
        <v>5.3405598264226732</v>
      </c>
      <c r="ED6">
        <v>417877</v>
      </c>
      <c r="EF6" s="12">
        <f t="shared" ref="EF6:EF15" si="44">(EG6/EG$5)*(61.5/(5*0.5*$A6))</f>
        <v>4.2946027654655374</v>
      </c>
      <c r="EG6">
        <v>145548</v>
      </c>
      <c r="EI6" s="12">
        <f t="shared" ref="EI6:EI15" si="45">(EJ6/EJ$5)*(61.5/(7*0.5*$A6))</f>
        <v>0.54609145394331615</v>
      </c>
      <c r="EJ6">
        <v>38342</v>
      </c>
      <c r="EL6" s="12">
        <f t="shared" ref="EL6:EL15" si="46">(EM6/EM$5)*(61.5/(7*0.5*$A6))</f>
        <v>3.2625232847163734</v>
      </c>
      <c r="EM6">
        <v>23920</v>
      </c>
      <c r="EO6" s="12">
        <f t="shared" ref="EO6:EO15" si="47">(EP6/EP$5)*(61.5/(7*0.5*$A6))</f>
        <v>4.1895118175500805</v>
      </c>
      <c r="EP6">
        <v>80817</v>
      </c>
      <c r="ES6">
        <v>0.48299999999999998</v>
      </c>
      <c r="ET6">
        <v>171</v>
      </c>
      <c r="EU6" s="10" t="s">
        <v>83</v>
      </c>
      <c r="EV6" s="44">
        <f t="shared" ref="EV6:EV15" si="48">(EW6/EW$5)*((61.5/(0.71+(3*0.73)))/ES6)</f>
        <v>0</v>
      </c>
      <c r="EW6">
        <v>0</v>
      </c>
      <c r="EY6" s="44">
        <f t="shared" ref="EY6:EY15" si="49">(EZ6/EZ$5)*((61.5/((4*0.73)+0.71))/ES6)</f>
        <v>4.8014136839701331</v>
      </c>
      <c r="EZ6">
        <v>190611</v>
      </c>
      <c r="FB6">
        <f>(FC6/FC$5)*((61.5/(5*0.73))/ES6)</f>
        <v>2.4906886765992331</v>
      </c>
      <c r="FC6">
        <v>122974</v>
      </c>
      <c r="FE6">
        <f>(FF6/FF$5)*((61.5/(4*0.73))/ES6)</f>
        <v>0.98759120041161941</v>
      </c>
      <c r="FF6">
        <v>37943</v>
      </c>
      <c r="FH6">
        <f>(FI6/FI$5)*((61.5/(5*0.73))/ES6)</f>
        <v>2.3647011292958449</v>
      </c>
      <c r="FI6">
        <v>155815</v>
      </c>
      <c r="FK6">
        <f>(FL6/FL$5)*((61.5/(5*0.73))/ES6)</f>
        <v>2.3463485785375382</v>
      </c>
      <c r="FL6">
        <v>60941</v>
      </c>
      <c r="FN6">
        <f>(FO6/FO$5)*((61.5/(0.71+(3*0.73)))/ES6)</f>
        <v>1.6534507532714546</v>
      </c>
      <c r="FO6">
        <v>104765</v>
      </c>
      <c r="FQ6">
        <f>(FR6/FR$5)*((61.5/(0.71+(4*0.73)))/ES6)</f>
        <v>4.1639327109365727</v>
      </c>
      <c r="FR6">
        <v>330704</v>
      </c>
      <c r="FT6">
        <f>(FU6/FU$5)*((61.5/(5*0.73))/ES6)</f>
        <v>3.9766381001561375</v>
      </c>
      <c r="FU6">
        <v>224929</v>
      </c>
      <c r="FW6">
        <f>(FX6/FX$5)*((61.5/(4*0.73))/ES6)</f>
        <v>3.7347845645704436</v>
      </c>
      <c r="FX6">
        <v>71972</v>
      </c>
      <c r="FZ6">
        <f>(GA6/GA$5)*((61.5/(0.71+(4*0.73)))/ES6)</f>
        <v>3.8422460178181512</v>
      </c>
      <c r="GA6">
        <v>216333</v>
      </c>
      <c r="GC6">
        <f>(GD6/GD$5)*((61.5/(0.75+(2*0.73)))/ES6)</f>
        <v>4.3823284922872272</v>
      </c>
      <c r="GD6">
        <v>137917</v>
      </c>
      <c r="GF6">
        <f>(GG6/GG$5)*((61.5/(0.71+(3*0.73)))/ES6)</f>
        <v>2.3112443278618691</v>
      </c>
      <c r="GG6">
        <v>133263</v>
      </c>
      <c r="GI6">
        <f>(GJ6/GJ$5)*((61.5/(5*0.73))/ES6)</f>
        <v>3.4339426636440353</v>
      </c>
      <c r="GJ6">
        <v>55941</v>
      </c>
      <c r="GL6">
        <f>(GM6/GM$5)*((10.6397612)/ES6)</f>
        <v>3.1680418082271027</v>
      </c>
      <c r="GM6">
        <v>154778</v>
      </c>
      <c r="GO6">
        <f>(GP6/GP$5)*((61.5/(0.71+(4*0.73)))/ES6)</f>
        <v>3.1122092624939088</v>
      </c>
      <c r="GP6">
        <v>114891</v>
      </c>
      <c r="GR6">
        <f>(GS6/GS$5)*((61.5/(4*0.73))/ES6)</f>
        <v>1.1626617211784931</v>
      </c>
      <c r="GS6">
        <v>89210</v>
      </c>
      <c r="GU6">
        <f>(GV6/GV$5)*((61.5/((5*0.98)+(5*0.48)))/ES6)</f>
        <v>6.0749853108115719</v>
      </c>
      <c r="GV6">
        <v>632734</v>
      </c>
      <c r="GX6">
        <f>(GY6/GY$5)*((61.5/(0.96+0.46+(4*0.98)+(4*0.48)))/ES6)</f>
        <v>3.5275691946102103</v>
      </c>
      <c r="GY6">
        <v>544026</v>
      </c>
      <c r="HA6">
        <f>(HB6/HB$5)*((61.5/(0.98+0.48+(4*0.73)))/ES6)</f>
        <v>5.121652790489712</v>
      </c>
      <c r="HB6">
        <v>125405</v>
      </c>
      <c r="HD6">
        <f>(HE6/HE$5)*((61.5/((5*0.48)+(5*0.98)))/ES6)</f>
        <v>3.7242412427774929</v>
      </c>
      <c r="HE6">
        <v>164516</v>
      </c>
      <c r="HG6">
        <f>(HH6/HH$5)*((61.5/((5*0.48)+(5*0.98)))/ES6)</f>
        <v>2.6565048116638357</v>
      </c>
      <c r="HH6">
        <v>90890</v>
      </c>
      <c r="HJ6">
        <f>(HK6/HK$5)*((61.5/((5*0.48)+(5*0.98)))/ES6)</f>
        <v>5.1147443991085826</v>
      </c>
      <c r="HK6">
        <v>258126</v>
      </c>
      <c r="HM6">
        <f>(HN6/HN$5)*((61.5/(0.96+0.46+(4*0.48)+(4*0.98)))/ES6)</f>
        <v>4.4032155693341002</v>
      </c>
      <c r="HN6">
        <v>847018</v>
      </c>
      <c r="HP6">
        <f>(HQ6/HQ$5)*((61.5/(0.96+0.46+(4*0.48)+(3*0.98)))/ES6)</f>
        <v>5.7889075613597392</v>
      </c>
      <c r="HQ6">
        <v>348617</v>
      </c>
      <c r="HS6">
        <f>(HT6/HT$5)*((61.5/((5*0.48)+(5*0.98)))/ES6)</f>
        <v>4.5986011868720356</v>
      </c>
      <c r="HT6">
        <v>150094</v>
      </c>
      <c r="HV6">
        <f>(HW6/HW$5)*((61.5/(0.46+(5*0.98)+(4*0.48)))/ES6)</f>
        <v>0</v>
      </c>
      <c r="HW6">
        <v>0</v>
      </c>
      <c r="HY6">
        <f>(HZ6/HZ$5)*((61.5/((5*0.98)+(3*0.48)+(2*0.46)))/ES6)</f>
        <v>0</v>
      </c>
      <c r="HZ6">
        <v>0</v>
      </c>
      <c r="IB6">
        <f>(IC6/IC$5)*((61.5/(0.46+(4*0.98)+(3*0.48)))/ES6)</f>
        <v>2.0157410474778943</v>
      </c>
      <c r="IC6">
        <v>92403</v>
      </c>
      <c r="IE6">
        <f>(IF6/IF$5)*((61.5/(0.46+(5*0.98)+(4*0.48)))/ES6)</f>
        <v>2.405626285437219</v>
      </c>
      <c r="IF6">
        <v>316314</v>
      </c>
      <c r="IH6">
        <f>(II6/II$5)*((61.5/((5*0.98)+(3*0.48)+(2*0.46)))/ES6)</f>
        <v>9.8793949908249026</v>
      </c>
      <c r="II6">
        <v>1148356</v>
      </c>
      <c r="IK6">
        <f>(IL6/IL$5)*((61.5/(0.46+(5*0.98)+(5*0.48)))/ES6)</f>
        <v>3.370221175938807</v>
      </c>
      <c r="IL6">
        <v>545198</v>
      </c>
      <c r="IN6">
        <f>(IO6/IO$5)*((61.5/((3*0.98)+(5*0.48)+(2*0.96)))/ES6)</f>
        <v>3.3722589076600258</v>
      </c>
      <c r="IO6">
        <v>567694</v>
      </c>
      <c r="IQ6">
        <f>(IR6/IR$5)*((61.5/((5*0.98)+(3*0.48)+(2*0.46)))/ES6)</f>
        <v>0</v>
      </c>
      <c r="IR6">
        <v>0</v>
      </c>
    </row>
    <row r="7" spans="1:252">
      <c r="A7">
        <v>7.2999999999999995E-2</v>
      </c>
      <c r="B7">
        <v>239</v>
      </c>
      <c r="C7" s="10" t="s">
        <v>84</v>
      </c>
      <c r="D7" s="12">
        <f t="shared" si="0"/>
        <v>30.83791805288713</v>
      </c>
      <c r="E7" s="11">
        <v>101914</v>
      </c>
      <c r="F7" s="11"/>
      <c r="G7" s="12">
        <f t="shared" si="1"/>
        <v>84.984244389717972</v>
      </c>
      <c r="H7" s="11">
        <v>124711</v>
      </c>
      <c r="I7" s="11"/>
      <c r="J7" s="12">
        <f t="shared" si="2"/>
        <v>84.821756742609111</v>
      </c>
      <c r="K7" s="11">
        <v>128446</v>
      </c>
      <c r="L7" s="10"/>
      <c r="M7" s="12">
        <f t="shared" si="3"/>
        <v>12.184923784622756</v>
      </c>
      <c r="N7" s="11">
        <v>29730</v>
      </c>
      <c r="O7" s="11"/>
      <c r="P7" s="12">
        <f t="shared" si="4"/>
        <v>12.149856365049345</v>
      </c>
      <c r="Q7" s="11">
        <v>31346</v>
      </c>
      <c r="R7" s="10"/>
      <c r="S7" s="12">
        <f t="shared" si="5"/>
        <v>89.297234064973708</v>
      </c>
      <c r="T7" s="11">
        <v>193458</v>
      </c>
      <c r="U7" s="10"/>
      <c r="V7" s="12">
        <f t="shared" si="6"/>
        <v>28.7529005344356</v>
      </c>
      <c r="W7" s="11">
        <v>24427</v>
      </c>
      <c r="X7" s="10"/>
      <c r="Y7" s="12">
        <f t="shared" si="7"/>
        <v>11.16467098784087</v>
      </c>
      <c r="Z7" s="11">
        <v>16308</v>
      </c>
      <c r="AA7" s="10"/>
      <c r="AB7" s="12">
        <f t="shared" si="8"/>
        <v>50.197115295762359</v>
      </c>
      <c r="AC7" s="11">
        <v>43634</v>
      </c>
      <c r="AD7" s="10"/>
      <c r="AE7" s="12">
        <f t="shared" si="9"/>
        <v>14.306296702016816</v>
      </c>
      <c r="AF7" s="11">
        <v>61662</v>
      </c>
      <c r="AG7" s="10"/>
      <c r="AH7" s="12">
        <f t="shared" si="10"/>
        <v>13.204244456731242</v>
      </c>
      <c r="AI7" s="11">
        <v>44874</v>
      </c>
      <c r="AJ7" s="10"/>
      <c r="AK7" s="12">
        <f t="shared" si="11"/>
        <v>28.820074826042021</v>
      </c>
      <c r="AL7" s="11">
        <v>75707</v>
      </c>
      <c r="AM7" s="11"/>
      <c r="AN7" s="12">
        <f t="shared" si="12"/>
        <v>27.578756769888066</v>
      </c>
      <c r="AO7" s="11">
        <v>66025</v>
      </c>
      <c r="AP7" s="10"/>
      <c r="AQ7" s="12">
        <f t="shared" si="13"/>
        <v>18.768091389803693</v>
      </c>
      <c r="AR7" s="11">
        <v>60883</v>
      </c>
      <c r="AS7" s="10"/>
      <c r="AT7" s="12">
        <f t="shared" si="14"/>
        <v>24.364730716515016</v>
      </c>
      <c r="AU7" s="11">
        <v>67469</v>
      </c>
      <c r="AV7" s="10"/>
      <c r="AW7" s="12">
        <f t="shared" si="15"/>
        <v>15.425510366306757</v>
      </c>
      <c r="AX7" s="11">
        <v>89902</v>
      </c>
      <c r="AY7" s="10"/>
      <c r="AZ7" s="12">
        <f t="shared" si="16"/>
        <v>10.694158124018424</v>
      </c>
      <c r="BA7" s="11">
        <v>68127</v>
      </c>
      <c r="BB7" s="10"/>
      <c r="BC7" s="12">
        <f t="shared" si="17"/>
        <v>11.21540162121603</v>
      </c>
      <c r="BD7" s="11">
        <v>25000</v>
      </c>
      <c r="BE7" s="10"/>
      <c r="BF7" s="12">
        <f t="shared" si="18"/>
        <v>14.574159933916674</v>
      </c>
      <c r="BG7" s="11">
        <v>77144</v>
      </c>
      <c r="BH7" s="10"/>
      <c r="BI7" s="12">
        <f t="shared" si="19"/>
        <v>57.521287299334986</v>
      </c>
      <c r="BJ7" s="11">
        <v>309231</v>
      </c>
      <c r="BK7" s="10"/>
      <c r="BL7" s="12">
        <f t="shared" si="20"/>
        <v>21.622592103851318</v>
      </c>
      <c r="BM7" s="11">
        <v>91891</v>
      </c>
      <c r="BN7" s="10"/>
      <c r="BO7" s="12">
        <f t="shared" si="21"/>
        <v>43.634310924623634</v>
      </c>
      <c r="BP7" s="11">
        <v>86715</v>
      </c>
      <c r="BQ7" s="10"/>
      <c r="BR7" s="12">
        <f t="shared" si="22"/>
        <v>11.071110496236694</v>
      </c>
      <c r="BS7" s="11">
        <v>25019</v>
      </c>
      <c r="BT7" s="11"/>
      <c r="BU7" s="12">
        <f t="shared" si="23"/>
        <v>10.696834807542253</v>
      </c>
      <c r="BV7" s="11">
        <v>24124</v>
      </c>
      <c r="BW7" s="10"/>
      <c r="BX7" s="12">
        <f t="shared" si="24"/>
        <v>42.611319428027429</v>
      </c>
      <c r="BY7" s="11">
        <v>25683</v>
      </c>
      <c r="BZ7" s="11"/>
      <c r="CA7" s="12">
        <f t="shared" si="25"/>
        <v>45.970659811145282</v>
      </c>
      <c r="CB7" s="11">
        <v>28725</v>
      </c>
      <c r="CC7" s="10"/>
      <c r="CD7" s="12">
        <f t="shared" si="26"/>
        <v>39.600520165435661</v>
      </c>
      <c r="CE7" s="11">
        <v>35745</v>
      </c>
      <c r="CF7" s="10"/>
      <c r="CG7" s="12">
        <f t="shared" si="27"/>
        <v>47.8299895249652</v>
      </c>
      <c r="CH7" s="11">
        <v>86611</v>
      </c>
      <c r="CI7" s="10"/>
      <c r="CJ7" s="12">
        <f t="shared" si="28"/>
        <v>48.254236753619466</v>
      </c>
      <c r="CK7" s="11">
        <v>90687</v>
      </c>
      <c r="CL7" s="10"/>
      <c r="CM7" s="12">
        <f t="shared" si="29"/>
        <v>22.78619408816272</v>
      </c>
      <c r="CN7" s="11">
        <v>170834</v>
      </c>
      <c r="CP7" s="12">
        <f t="shared" si="30"/>
        <v>19.930702639557406</v>
      </c>
      <c r="CQ7">
        <v>37791</v>
      </c>
      <c r="CS7" s="12">
        <f t="shared" si="31"/>
        <v>26.154901854227735</v>
      </c>
      <c r="CT7">
        <v>139831</v>
      </c>
      <c r="CV7" s="12">
        <f t="shared" si="32"/>
        <v>12.522984180175046</v>
      </c>
      <c r="CW7">
        <v>174677</v>
      </c>
      <c r="CY7" s="12">
        <f t="shared" si="33"/>
        <v>98.973787068387608</v>
      </c>
      <c r="CZ7">
        <v>64036</v>
      </c>
      <c r="DB7" s="12">
        <f t="shared" si="34"/>
        <v>26.080597678998664</v>
      </c>
      <c r="DC7" s="1">
        <v>69912</v>
      </c>
      <c r="DD7" s="1"/>
      <c r="DE7" s="12">
        <f t="shared" si="35"/>
        <v>25.829202349944794</v>
      </c>
      <c r="DF7" s="1">
        <v>73720</v>
      </c>
      <c r="DH7" s="12">
        <f t="shared" si="36"/>
        <v>61.066652759394749</v>
      </c>
      <c r="DI7">
        <v>202390</v>
      </c>
      <c r="DK7" s="12">
        <f t="shared" si="37"/>
        <v>60.649996752136545</v>
      </c>
      <c r="DL7">
        <v>201161</v>
      </c>
      <c r="DN7" s="12">
        <f t="shared" si="38"/>
        <v>53.907951318286209</v>
      </c>
      <c r="DO7">
        <v>84661</v>
      </c>
      <c r="DQ7" s="12">
        <f t="shared" si="39"/>
        <v>12.5188543647422</v>
      </c>
      <c r="DR7" s="1">
        <v>70173</v>
      </c>
      <c r="DS7" s="13"/>
      <c r="DT7" s="36">
        <f t="shared" si="40"/>
        <v>9.1343837097740277</v>
      </c>
      <c r="DU7" s="35">
        <v>196725</v>
      </c>
      <c r="DV7" s="13"/>
      <c r="DW7" s="12">
        <f t="shared" si="41"/>
        <v>1.6109986408977384</v>
      </c>
      <c r="DX7">
        <v>30345</v>
      </c>
      <c r="DY7" s="13"/>
      <c r="DZ7" s="12">
        <f t="shared" si="42"/>
        <v>7.4996125540049263</v>
      </c>
      <c r="EA7">
        <v>81923</v>
      </c>
      <c r="EC7" s="12">
        <f t="shared" si="43"/>
        <v>7.6735777101033182</v>
      </c>
      <c r="ED7">
        <v>84453</v>
      </c>
      <c r="EF7" s="12">
        <f t="shared" si="44"/>
        <v>12.945229783074396</v>
      </c>
      <c r="EG7">
        <v>61709</v>
      </c>
      <c r="EI7" s="12">
        <f t="shared" si="45"/>
        <v>10.148920398504853</v>
      </c>
      <c r="EJ7">
        <v>100227</v>
      </c>
      <c r="EL7" s="12">
        <f t="shared" si="46"/>
        <v>10.477597564608088</v>
      </c>
      <c r="EM7">
        <v>10805</v>
      </c>
      <c r="EO7" s="12">
        <f t="shared" si="47"/>
        <v>12.708966492431783</v>
      </c>
      <c r="EP7">
        <v>34483</v>
      </c>
      <c r="ES7">
        <v>0.127</v>
      </c>
      <c r="ET7">
        <v>239</v>
      </c>
      <c r="EU7" s="10" t="s">
        <v>84</v>
      </c>
      <c r="EV7" s="44">
        <f t="shared" si="48"/>
        <v>4.5606020561241856</v>
      </c>
      <c r="EW7">
        <v>29106</v>
      </c>
      <c r="EY7" s="44">
        <f t="shared" si="49"/>
        <v>11.055487843980664</v>
      </c>
      <c r="EZ7">
        <v>115402</v>
      </c>
      <c r="FB7">
        <f t="shared" ref="FB7:FB15" si="50">(FC7/FC$5)*((61.5/(5*0.73))/ES7)</f>
        <v>16.207496363810286</v>
      </c>
      <c r="FC7">
        <v>210410</v>
      </c>
      <c r="FE7">
        <f t="shared" ref="FE7:FE15" si="51">(FF7/FF$5)*((61.5/(4*0.73))/ES7)</f>
        <v>12.190354033873877</v>
      </c>
      <c r="FF7">
        <v>123148</v>
      </c>
      <c r="FH7">
        <f t="shared" ref="FH7:FH15" si="52">(FI7/FI$5)*((61.5/(5*0.73))/ES7)</f>
        <v>21.193776306326271</v>
      </c>
      <c r="FI7">
        <v>367196</v>
      </c>
      <c r="FK7">
        <f t="shared" ref="FK7:FK15" si="53">(FL7/FL$5)*((61.5/(5*0.73))/ES7)</f>
        <v>8.9145825187365872</v>
      </c>
      <c r="FL7">
        <v>60880</v>
      </c>
      <c r="FN7">
        <f t="shared" ref="FN7:FN15" si="54">(FO7/FO$5)*((61.5/(0.71+(3*0.73)))/ES7)</f>
        <v>5.6376101014816804</v>
      </c>
      <c r="FO7">
        <v>93924</v>
      </c>
      <c r="FQ7">
        <f t="shared" ref="FQ7:FQ15" si="55">(FR7/FR$5)*((61.5/(0.71+(4*0.73)))/ES7)</f>
        <v>2.8406395414635668</v>
      </c>
      <c r="FR7">
        <v>59321</v>
      </c>
      <c r="FT7">
        <f t="shared" ref="FT7:FT15" si="56">(FU7/FU$5)*((61.5/(5*0.73))/ES7)</f>
        <v>2.2327683571148378</v>
      </c>
      <c r="FU7">
        <v>33207</v>
      </c>
      <c r="FW7">
        <f t="shared" ref="FW7:FW15" si="57">(FX7/FX$5)*((61.5/(4*0.73))/ES7)</f>
        <v>4.6445232673900962</v>
      </c>
      <c r="FX7">
        <v>23534</v>
      </c>
      <c r="FZ7">
        <f t="shared" ref="FZ7:FZ15" si="58">(GA7/GA$5)*((61.5/(0.71+(4*0.73)))/ES7)</f>
        <v>2.9479519616201535</v>
      </c>
      <c r="GA7">
        <v>43643</v>
      </c>
      <c r="GC7">
        <f t="shared" ref="GC7:GC15" si="59">(GD7/GD$5)*((61.5/(0.75+(2*0.73)))/ES7)</f>
        <v>3.7377517762276407</v>
      </c>
      <c r="GD7">
        <v>30930</v>
      </c>
      <c r="GF7">
        <f t="shared" ref="GF7:GF15" si="60">(GG7/GG$5)*((61.5/(0.71+(3*0.73)))/ES7)</f>
        <v>5.5733437804474697</v>
      </c>
      <c r="GG7">
        <v>84496</v>
      </c>
      <c r="GI7">
        <f t="shared" ref="GI7:GI15" si="61">(GJ7/GJ$5)*((61.5/(5*0.73))/ES7)</f>
        <v>9.9777031773233542</v>
      </c>
      <c r="GJ7">
        <v>42739</v>
      </c>
      <c r="GL7">
        <f t="shared" ref="GL7:GL15" si="62">(GM7/GM$5)*((10.6397612)/ES7)</f>
        <v>27.258473999554074</v>
      </c>
      <c r="GM7">
        <v>350168</v>
      </c>
      <c r="GO7">
        <f t="shared" ref="GO7:GO15" si="63">(GP7/GP$5)*((61.5/(0.71+(4*0.73)))/ES7)</f>
        <v>10.711928145106707</v>
      </c>
      <c r="GP7">
        <v>103978</v>
      </c>
      <c r="GR7">
        <f t="shared" ref="GR7:GR15" si="64">(GS7/GS$5)*((61.5/(4*0.73))/ES7)</f>
        <v>10.517741295838697</v>
      </c>
      <c r="GS7">
        <v>212197</v>
      </c>
      <c r="GU7">
        <f t="shared" ref="GU7:GU15" si="65">(GV7/GV$5)*((61.5/((5*0.98)+(5*0.48)))/ES7)</f>
        <v>111.1920496311587</v>
      </c>
      <c r="GV7">
        <v>3045133</v>
      </c>
      <c r="GX7">
        <f t="shared" ref="GX7:GX15" si="66">(GY7/GY$5)*((61.5/(0.96+0.46+(4*0.98)+(4*0.48)))/ES7)</f>
        <v>4.7489182264086383</v>
      </c>
      <c r="GY7">
        <v>192573</v>
      </c>
      <c r="HA7">
        <f t="shared" ref="HA7:HA15" si="67">(HB7/HB$5)*((61.5/(0.98+0.48+(4*0.73)))/ES7)</f>
        <v>5.5851419901897206</v>
      </c>
      <c r="HB7">
        <v>35958</v>
      </c>
      <c r="HD7">
        <f t="shared" ref="HD7:HD14" si="68">(HE7/HE$5)*((61.5/((5*0.48)+(5*0.98)))/ES7)</f>
        <v>18.994583040876961</v>
      </c>
      <c r="HE7">
        <v>220626</v>
      </c>
      <c r="HG7">
        <f t="shared" ref="HG7:HG15" si="69">(HH7/HH$5)*((61.5/((5*0.48)+(5*0.98)))/ES7)</f>
        <v>7.7064231028098966</v>
      </c>
      <c r="HH7">
        <v>69329</v>
      </c>
      <c r="HJ7">
        <f t="shared" ref="HJ7:HJ15" si="70">(HK7/HK$5)*((61.5/((5*0.48)+(5*0.98)))/ES7)</f>
        <v>13.456569661709521</v>
      </c>
      <c r="HK7">
        <v>178566</v>
      </c>
      <c r="HM7">
        <f t="shared" ref="HM7:HM15" si="71">(HN7/HN$5)*((61.5/(0.96+0.46+(4*0.48)+(4*0.98)))/ES7)</f>
        <v>10.420115567734966</v>
      </c>
      <c r="HN7">
        <v>527050</v>
      </c>
      <c r="HP7">
        <f t="shared" ref="HP7:HP15" si="72">(HQ7/HQ$5)*((61.5/(0.96+0.46+(4*0.48)+(3*0.98)))/ES7)</f>
        <v>4.4744903643572416</v>
      </c>
      <c r="HQ7">
        <v>70852</v>
      </c>
      <c r="HS7">
        <f t="shared" ref="HS7:HS15" si="73">(HT7/HT$5)*((61.5/((5*0.48)+(5*0.98)))/ES7)</f>
        <v>1.7854579514134721</v>
      </c>
      <c r="HT7">
        <v>15323</v>
      </c>
      <c r="HV7">
        <f t="shared" ref="HV7:HV15" si="74">(HW7/HW$5)*((61.5/(0.46+(5*0.98)+(4*0.48)))/ES7)</f>
        <v>4.8492104918137287</v>
      </c>
      <c r="HW7">
        <v>146394</v>
      </c>
      <c r="HY7">
        <f t="shared" ref="HY7:HY15" si="75">(HZ7/HZ$5)*((61.5/((5*0.98)+(3*0.48)+(2*0.46)))/ES7)</f>
        <v>2.1717009566023178</v>
      </c>
      <c r="HZ7">
        <v>78755</v>
      </c>
      <c r="IB7">
        <f t="shared" ref="IB7:IB15" si="76">(IC7/IC$5)*((61.5/(0.46+(4*0.98)+(3*0.48)))/ES7)</f>
        <v>2.6856424553945129</v>
      </c>
      <c r="IC7">
        <v>32371</v>
      </c>
      <c r="IE7">
        <f t="shared" ref="IE7:IE15" si="77">(IF7/IF$5)*((61.5/(0.46+(5*0.98)+(4*0.48)))/ES7)</f>
        <v>4.5376874424184299</v>
      </c>
      <c r="IF7">
        <v>156885</v>
      </c>
      <c r="IH7">
        <f t="shared" ref="IH7:IH15" si="78">(II7/II$5)*((61.5/((5*0.98)+(3*0.48)+(2*0.46)))/ES7)</f>
        <v>7.6826987446818009</v>
      </c>
      <c r="II7">
        <v>234810</v>
      </c>
      <c r="IK7">
        <f t="shared" ref="IK7:IK15" si="79">(IL7/IL$5)*((61.5/(0.46+(5*0.98)+(5*0.48)))/ES7)</f>
        <v>5.1682370017217067</v>
      </c>
      <c r="IL7">
        <v>219834</v>
      </c>
      <c r="IN7">
        <f t="shared" ref="IN7:IN15" si="80">(IO7/IO$5)*((61.5/((3*0.98)+(5*0.48)+(2*0.96)))/ES7)</f>
        <v>6.3698589634637575</v>
      </c>
      <c r="IO7">
        <v>281955</v>
      </c>
      <c r="IQ7">
        <f t="shared" ref="IQ7:IQ15" si="81">(IR7/IR$5)*((61.5/((5*0.98)+(3*0.48)+(2*0.46)))/ES7)</f>
        <v>2.2262103749404192</v>
      </c>
      <c r="IR7">
        <v>166799</v>
      </c>
    </row>
    <row r="8" spans="1:252">
      <c r="A8">
        <v>1.1639999999999999</v>
      </c>
      <c r="B8">
        <v>411</v>
      </c>
      <c r="C8" s="14" t="s">
        <v>85</v>
      </c>
      <c r="D8" s="12">
        <f t="shared" si="0"/>
        <v>4.5313553832639979</v>
      </c>
      <c r="E8" s="15">
        <v>238785</v>
      </c>
      <c r="F8" s="15"/>
      <c r="G8" s="12">
        <f t="shared" si="1"/>
        <v>3.0094506200381099</v>
      </c>
      <c r="H8" s="15">
        <v>70418</v>
      </c>
      <c r="I8" s="15"/>
      <c r="J8" s="12">
        <f t="shared" si="2"/>
        <v>3.2072522530712684</v>
      </c>
      <c r="K8" s="15">
        <v>77442</v>
      </c>
      <c r="L8" s="14"/>
      <c r="M8" s="12">
        <f t="shared" si="3"/>
        <v>1.6567658660100131</v>
      </c>
      <c r="N8" s="15">
        <v>64456</v>
      </c>
      <c r="O8" s="15"/>
      <c r="P8" s="12">
        <f t="shared" si="4"/>
        <v>1.7249583821176109</v>
      </c>
      <c r="Q8" s="15">
        <v>70961</v>
      </c>
      <c r="R8" s="14"/>
      <c r="S8" s="12">
        <f t="shared" si="5"/>
        <v>1.9548123785447535</v>
      </c>
      <c r="T8" s="15">
        <v>67528</v>
      </c>
      <c r="U8" s="14"/>
      <c r="V8" s="12">
        <f t="shared" si="6"/>
        <v>0.56266558647088782</v>
      </c>
      <c r="W8" s="15">
        <v>7622</v>
      </c>
      <c r="X8" s="14"/>
      <c r="Y8" s="12">
        <f t="shared" si="7"/>
        <v>0.22652695816154023</v>
      </c>
      <c r="Z8" s="15">
        <v>5276</v>
      </c>
      <c r="AA8" s="14"/>
      <c r="AB8" s="12">
        <f t="shared" si="8"/>
        <v>0.46311728253416373</v>
      </c>
      <c r="AC8" s="15">
        <v>6419</v>
      </c>
      <c r="AD8" s="14"/>
      <c r="AE8" s="12">
        <f t="shared" si="9"/>
        <v>0.98734232768743213</v>
      </c>
      <c r="AF8" s="15">
        <v>67856</v>
      </c>
      <c r="AG8" s="14"/>
      <c r="AH8" s="12">
        <f t="shared" si="10"/>
        <v>2.1491251617283615</v>
      </c>
      <c r="AI8" s="15">
        <v>116459</v>
      </c>
      <c r="AJ8" s="14"/>
      <c r="AK8" s="12">
        <f t="shared" si="11"/>
        <v>0.82585655295960514</v>
      </c>
      <c r="AL8" s="15">
        <v>34592</v>
      </c>
      <c r="AM8" s="15"/>
      <c r="AN8" s="12">
        <f t="shared" si="12"/>
        <v>0.66676858854970267</v>
      </c>
      <c r="AO8" s="15">
        <v>25453</v>
      </c>
      <c r="AP8" s="14"/>
      <c r="AQ8" s="12">
        <f t="shared" si="13"/>
        <v>0.8751748851245289</v>
      </c>
      <c r="AR8" s="15">
        <v>45269</v>
      </c>
      <c r="AS8" s="14"/>
      <c r="AT8" s="12">
        <f t="shared" si="14"/>
        <v>0.7445258364927857</v>
      </c>
      <c r="AU8" s="15">
        <v>32874</v>
      </c>
      <c r="AV8" s="14"/>
      <c r="AW8" s="12">
        <f t="shared" si="15"/>
        <v>0.67853674844642775</v>
      </c>
      <c r="AX8" s="15">
        <v>63057</v>
      </c>
      <c r="AY8" s="14"/>
      <c r="AZ8" s="12">
        <f t="shared" si="16"/>
        <v>0.44265171911659884</v>
      </c>
      <c r="BA8" s="15">
        <v>44964</v>
      </c>
      <c r="BB8" s="14"/>
      <c r="BC8" s="12">
        <f t="shared" si="17"/>
        <v>0.50347325350004268</v>
      </c>
      <c r="BD8" s="15">
        <v>17895</v>
      </c>
      <c r="BE8" s="14"/>
      <c r="BF8" s="12">
        <f t="shared" si="18"/>
        <v>1.1144980602997663</v>
      </c>
      <c r="BG8" s="15">
        <v>94065</v>
      </c>
      <c r="BH8" s="14"/>
      <c r="BI8" s="12">
        <f t="shared" si="19"/>
        <v>1.827661447797357</v>
      </c>
      <c r="BJ8" s="15">
        <v>156668</v>
      </c>
      <c r="BK8" s="14"/>
      <c r="BL8" s="12">
        <f t="shared" si="20"/>
        <v>1.3198565645089011</v>
      </c>
      <c r="BM8" s="15">
        <v>89438</v>
      </c>
      <c r="BN8" s="14"/>
      <c r="BO8" s="12">
        <f t="shared" si="21"/>
        <v>0.51091731606149204</v>
      </c>
      <c r="BP8" s="15">
        <v>16190</v>
      </c>
      <c r="BQ8" s="14"/>
      <c r="BR8" s="12">
        <f t="shared" si="22"/>
        <v>0.80408058098564084</v>
      </c>
      <c r="BS8" s="15">
        <v>28974</v>
      </c>
      <c r="BT8" s="15"/>
      <c r="BU8" s="12">
        <f t="shared" si="23"/>
        <v>0.81912394227193075</v>
      </c>
      <c r="BV8" s="15">
        <v>29456</v>
      </c>
      <c r="BW8" s="14"/>
      <c r="BX8" s="12">
        <f t="shared" si="24"/>
        <v>0.9650793617922504</v>
      </c>
      <c r="BY8" s="15">
        <v>9275</v>
      </c>
      <c r="BZ8" s="15"/>
      <c r="CA8" s="12">
        <f t="shared" si="25"/>
        <v>1.0245454783842662</v>
      </c>
      <c r="CB8" s="15">
        <v>10208</v>
      </c>
      <c r="CC8" s="14"/>
      <c r="CD8" s="12">
        <f t="shared" si="26"/>
        <v>1.2298531874482119</v>
      </c>
      <c r="CE8" s="15">
        <v>17701</v>
      </c>
      <c r="CF8" s="14"/>
      <c r="CG8" s="12">
        <f t="shared" si="27"/>
        <v>1.8719438207869805</v>
      </c>
      <c r="CH8" s="15">
        <v>54050</v>
      </c>
      <c r="CI8" s="14"/>
      <c r="CJ8" s="12">
        <f t="shared" si="28"/>
        <v>0.99874013227601866</v>
      </c>
      <c r="CK8" s="15">
        <v>29929</v>
      </c>
      <c r="CL8" s="14"/>
      <c r="CM8" s="12">
        <f t="shared" si="29"/>
        <v>0.89908149845820384</v>
      </c>
      <c r="CN8" s="15">
        <v>107481</v>
      </c>
      <c r="CP8" s="12">
        <f t="shared" si="30"/>
        <v>1.1150022427973756</v>
      </c>
      <c r="CQ8">
        <v>33711</v>
      </c>
      <c r="CS8" s="12">
        <f t="shared" si="31"/>
        <v>0.81908779626193795</v>
      </c>
      <c r="CT8">
        <v>69825</v>
      </c>
      <c r="CV8" s="12">
        <f t="shared" si="32"/>
        <v>1.1651939686384629</v>
      </c>
      <c r="CW8">
        <v>259153</v>
      </c>
      <c r="CY8" s="12">
        <f t="shared" si="33"/>
        <v>0.2485329031141558</v>
      </c>
      <c r="CZ8">
        <v>2564</v>
      </c>
      <c r="DB8" s="12">
        <f t="shared" si="34"/>
        <v>0.5476461034607234</v>
      </c>
      <c r="DC8" s="16">
        <v>23408</v>
      </c>
      <c r="DD8" s="16"/>
      <c r="DE8" s="12">
        <f t="shared" si="35"/>
        <v>0.57409675640882241</v>
      </c>
      <c r="DF8" s="16">
        <v>26127</v>
      </c>
      <c r="DH8" s="12">
        <f t="shared" si="36"/>
        <v>0.85328492818463397</v>
      </c>
      <c r="DI8">
        <v>45093</v>
      </c>
      <c r="DK8" s="12">
        <f t="shared" si="37"/>
        <v>0.81058810941836568</v>
      </c>
      <c r="DL8">
        <v>42869</v>
      </c>
      <c r="DN8" s="12">
        <f t="shared" si="38"/>
        <v>1.5084148246592062</v>
      </c>
      <c r="DO8">
        <v>37773</v>
      </c>
      <c r="DQ8" s="12">
        <f t="shared" si="39"/>
        <v>0.93353006417952011</v>
      </c>
      <c r="DR8" s="16">
        <v>83438</v>
      </c>
      <c r="DS8" s="13"/>
      <c r="DT8" s="36">
        <f t="shared" si="40"/>
        <v>1.826378472889415</v>
      </c>
      <c r="DU8" s="35">
        <v>627193</v>
      </c>
      <c r="DV8" s="13"/>
      <c r="DW8" s="12">
        <f t="shared" si="41"/>
        <v>0.44309871883537894</v>
      </c>
      <c r="DX8">
        <v>133083</v>
      </c>
      <c r="DY8" s="13"/>
      <c r="DZ8" s="12">
        <f t="shared" si="42"/>
        <v>1.6176354536870956</v>
      </c>
      <c r="EA8">
        <v>281759</v>
      </c>
      <c r="EC8" s="12">
        <f t="shared" si="43"/>
        <v>1.5410288661828562</v>
      </c>
      <c r="ED8">
        <v>270432</v>
      </c>
      <c r="EF8" s="12">
        <f t="shared" si="44"/>
        <v>0.77972970449268242</v>
      </c>
      <c r="EG8">
        <v>59267</v>
      </c>
      <c r="EI8" s="12">
        <f t="shared" si="45"/>
        <v>1.5693694415605746</v>
      </c>
      <c r="EJ8">
        <v>247127</v>
      </c>
      <c r="EL8" s="12">
        <f t="shared" si="46"/>
        <v>0.30516693734142486</v>
      </c>
      <c r="EM8">
        <v>5018</v>
      </c>
      <c r="EO8" s="12">
        <f t="shared" si="47"/>
        <v>1.4958686118809095</v>
      </c>
      <c r="EP8">
        <v>64717</v>
      </c>
      <c r="ES8">
        <v>1.714</v>
      </c>
      <c r="ET8">
        <v>411</v>
      </c>
      <c r="EU8" s="14" t="s">
        <v>85</v>
      </c>
      <c r="EV8" s="44">
        <f t="shared" si="48"/>
        <v>0.38564966955133029</v>
      </c>
      <c r="EW8">
        <v>33217</v>
      </c>
      <c r="EY8" s="44">
        <f t="shared" si="49"/>
        <v>0.38571020432522096</v>
      </c>
      <c r="EZ8">
        <v>54338</v>
      </c>
      <c r="FB8">
        <f t="shared" si="50"/>
        <v>1.0225190153680088</v>
      </c>
      <c r="FC8">
        <v>179155</v>
      </c>
      <c r="FE8">
        <f t="shared" si="51"/>
        <v>0.36213572928355181</v>
      </c>
      <c r="FF8">
        <v>49373</v>
      </c>
      <c r="FH8">
        <f t="shared" si="52"/>
        <v>1.072676915283264</v>
      </c>
      <c r="FI8">
        <v>250822</v>
      </c>
      <c r="FK8">
        <f t="shared" si="53"/>
        <v>0.27556165719755449</v>
      </c>
      <c r="FL8">
        <v>25398</v>
      </c>
      <c r="FN8">
        <f t="shared" si="54"/>
        <v>0</v>
      </c>
      <c r="FO8">
        <v>0</v>
      </c>
      <c r="FQ8">
        <f t="shared" si="55"/>
        <v>0.44258415612419261</v>
      </c>
      <c r="FR8">
        <v>124737</v>
      </c>
      <c r="FT8">
        <f t="shared" si="56"/>
        <v>0.6355235584792962</v>
      </c>
      <c r="FU8">
        <v>127563</v>
      </c>
      <c r="FW8">
        <f t="shared" si="57"/>
        <v>0</v>
      </c>
      <c r="FX8">
        <v>0</v>
      </c>
      <c r="FZ8">
        <f t="shared" si="58"/>
        <v>0.22157361402716258</v>
      </c>
      <c r="GA8">
        <v>44271</v>
      </c>
      <c r="GC8">
        <f t="shared" si="59"/>
        <v>0.2957549442286676</v>
      </c>
      <c r="GD8">
        <v>33030</v>
      </c>
      <c r="GF8">
        <f t="shared" si="60"/>
        <v>0.39943744105130835</v>
      </c>
      <c r="GG8">
        <v>81729</v>
      </c>
      <c r="GI8">
        <f t="shared" si="61"/>
        <v>0</v>
      </c>
      <c r="GJ8">
        <v>0</v>
      </c>
      <c r="GL8">
        <f t="shared" si="62"/>
        <v>0.51082283899037417</v>
      </c>
      <c r="GM8">
        <v>88563</v>
      </c>
      <c r="GO8">
        <f t="shared" si="63"/>
        <v>0.41625796479669641</v>
      </c>
      <c r="GP8">
        <v>54531</v>
      </c>
      <c r="GR8">
        <f t="shared" si="64"/>
        <v>0.40796579127850024</v>
      </c>
      <c r="GS8">
        <v>111083</v>
      </c>
      <c r="GU8">
        <f t="shared" si="65"/>
        <v>0.68104047065162943</v>
      </c>
      <c r="GV8">
        <v>251717</v>
      </c>
      <c r="GX8">
        <f t="shared" si="66"/>
        <v>0.9013375552696401</v>
      </c>
      <c r="GY8">
        <v>493282</v>
      </c>
      <c r="HA8">
        <f t="shared" si="67"/>
        <v>0.65885813526753612</v>
      </c>
      <c r="HB8">
        <v>57248</v>
      </c>
      <c r="HD8">
        <f t="shared" si="68"/>
        <v>0.75745302829537353</v>
      </c>
      <c r="HE8">
        <v>118738</v>
      </c>
      <c r="HG8">
        <f t="shared" si="69"/>
        <v>0.70427560300744296</v>
      </c>
      <c r="HH8">
        <v>85509</v>
      </c>
      <c r="HJ8">
        <f t="shared" si="70"/>
        <v>0.79100421973685286</v>
      </c>
      <c r="HK8">
        <v>141661</v>
      </c>
      <c r="HM8">
        <f t="shared" si="71"/>
        <v>0.36509298087376513</v>
      </c>
      <c r="HN8">
        <v>249224</v>
      </c>
      <c r="HP8">
        <f t="shared" si="72"/>
        <v>0.48845264102708691</v>
      </c>
      <c r="HQ8">
        <v>104385</v>
      </c>
      <c r="HS8">
        <f t="shared" si="73"/>
        <v>0.26622122734415576</v>
      </c>
      <c r="HT8">
        <v>30835</v>
      </c>
      <c r="HV8">
        <f t="shared" si="74"/>
        <v>0</v>
      </c>
      <c r="HW8">
        <v>0</v>
      </c>
      <c r="HY8">
        <f t="shared" si="75"/>
        <v>0.23600602731875606</v>
      </c>
      <c r="HZ8">
        <v>115507</v>
      </c>
      <c r="IB8">
        <f t="shared" si="76"/>
        <v>0.13949471574439534</v>
      </c>
      <c r="IC8">
        <v>22692</v>
      </c>
      <c r="IE8">
        <f t="shared" si="77"/>
        <v>0.55396596821454636</v>
      </c>
      <c r="IF8">
        <v>258486</v>
      </c>
      <c r="IH8">
        <f t="shared" si="78"/>
        <v>0.7036300707259866</v>
      </c>
      <c r="II8">
        <v>290238</v>
      </c>
      <c r="IK8">
        <f t="shared" si="79"/>
        <v>0.51667153710850822</v>
      </c>
      <c r="IL8">
        <v>296602</v>
      </c>
      <c r="IN8">
        <f t="shared" si="80"/>
        <v>0.54896576011145648</v>
      </c>
      <c r="IO8">
        <v>327946</v>
      </c>
      <c r="IQ8">
        <f t="shared" si="81"/>
        <v>0.38887605469956615</v>
      </c>
      <c r="IR8">
        <v>393229</v>
      </c>
    </row>
    <row r="9" spans="1:252">
      <c r="A9">
        <v>1.159</v>
      </c>
      <c r="B9">
        <v>439</v>
      </c>
      <c r="C9" s="10" t="s">
        <v>86</v>
      </c>
      <c r="D9" s="12">
        <f t="shared" si="0"/>
        <v>10.07101310147296</v>
      </c>
      <c r="E9" s="11">
        <v>528424</v>
      </c>
      <c r="F9" s="11"/>
      <c r="G9" s="12">
        <f t="shared" si="1"/>
        <v>6.5573477370586684</v>
      </c>
      <c r="H9" s="11">
        <v>152776</v>
      </c>
      <c r="I9" s="11"/>
      <c r="J9" s="12">
        <f t="shared" si="2"/>
        <v>6.5429582862235529</v>
      </c>
      <c r="K9" s="11">
        <v>157307</v>
      </c>
      <c r="L9" s="10"/>
      <c r="M9" s="12">
        <f t="shared" si="3"/>
        <v>3.1768362523747138</v>
      </c>
      <c r="N9" s="11">
        <v>123063</v>
      </c>
      <c r="O9" s="11"/>
      <c r="P9" s="12">
        <f t="shared" si="4"/>
        <v>3.2043332577899073</v>
      </c>
      <c r="Q9" s="11">
        <v>131253</v>
      </c>
      <c r="R9" s="10"/>
      <c r="S9" s="12">
        <f t="shared" si="5"/>
        <v>2.2867414973497375</v>
      </c>
      <c r="T9" s="11">
        <v>78655</v>
      </c>
      <c r="U9" s="10"/>
      <c r="V9" s="12">
        <f t="shared" si="6"/>
        <v>0.25711655619269425</v>
      </c>
      <c r="W9" s="11">
        <v>3468</v>
      </c>
      <c r="X9" s="10"/>
      <c r="Y9" s="12">
        <f t="shared" si="7"/>
        <v>0.52244901581112535</v>
      </c>
      <c r="Z9" s="11">
        <v>12116</v>
      </c>
      <c r="AA9" s="10"/>
      <c r="AB9" s="12">
        <f t="shared" si="8"/>
        <v>0</v>
      </c>
      <c r="AC9" s="11">
        <v>0</v>
      </c>
      <c r="AD9" s="10"/>
      <c r="AE9" s="12">
        <f t="shared" si="9"/>
        <v>2.528952808890689</v>
      </c>
      <c r="AF9" s="11">
        <v>173058</v>
      </c>
      <c r="AG9" s="10"/>
      <c r="AH9" s="12">
        <f t="shared" si="10"/>
        <v>4.8095257364945425</v>
      </c>
      <c r="AI9" s="11">
        <v>259504</v>
      </c>
      <c r="AJ9" s="10"/>
      <c r="AK9" s="12">
        <f t="shared" si="11"/>
        <v>1.4182035084579521</v>
      </c>
      <c r="AL9" s="11">
        <v>59148</v>
      </c>
      <c r="AM9" s="11"/>
      <c r="AN9" s="12">
        <f t="shared" si="12"/>
        <v>1.1266075206199277</v>
      </c>
      <c r="AO9" s="11">
        <v>42822</v>
      </c>
      <c r="AP9" s="10"/>
      <c r="AQ9" s="12">
        <f t="shared" si="13"/>
        <v>1.7817827758227665</v>
      </c>
      <c r="AR9" s="11">
        <v>91768</v>
      </c>
      <c r="AS9" s="10"/>
      <c r="AT9" s="12">
        <f t="shared" si="14"/>
        <v>1.0127463692257896</v>
      </c>
      <c r="AU9" s="11">
        <v>44525</v>
      </c>
      <c r="AV9" s="10"/>
      <c r="AW9" s="12">
        <f t="shared" si="15"/>
        <v>1.2059439039943487</v>
      </c>
      <c r="AX9" s="11">
        <v>111588</v>
      </c>
      <c r="AY9" s="10"/>
      <c r="AZ9" s="12">
        <f t="shared" si="16"/>
        <v>0.76533681924374941</v>
      </c>
      <c r="BA9" s="11">
        <v>77408</v>
      </c>
      <c r="BB9" s="10"/>
      <c r="BC9" s="12">
        <f t="shared" si="17"/>
        <v>0.56195993937257438</v>
      </c>
      <c r="BD9" s="11">
        <v>19888</v>
      </c>
      <c r="BE9" s="10"/>
      <c r="BF9" s="12">
        <f t="shared" si="18"/>
        <v>1.0824182981084924</v>
      </c>
      <c r="BG9" s="11">
        <v>90965</v>
      </c>
      <c r="BH9" s="10"/>
      <c r="BI9" s="12">
        <f t="shared" si="19"/>
        <v>2.1262472585193848</v>
      </c>
      <c r="BJ9" s="11">
        <v>181480</v>
      </c>
      <c r="BK9" s="10"/>
      <c r="BL9" s="12">
        <f t="shared" si="20"/>
        <v>1.0817765572217262</v>
      </c>
      <c r="BM9" s="11">
        <v>72990</v>
      </c>
      <c r="BN9" s="10"/>
      <c r="BO9" s="12">
        <f t="shared" si="21"/>
        <v>0</v>
      </c>
      <c r="BP9" s="11">
        <v>0</v>
      </c>
      <c r="BQ9" s="10"/>
      <c r="BR9" s="12">
        <f t="shared" si="22"/>
        <v>0</v>
      </c>
      <c r="BS9" s="11">
        <v>0</v>
      </c>
      <c r="BT9" s="11"/>
      <c r="BU9" s="12">
        <f t="shared" si="23"/>
        <v>0</v>
      </c>
      <c r="BV9" s="11">
        <v>0</v>
      </c>
      <c r="BW9" s="10"/>
      <c r="BX9" s="12">
        <f t="shared" si="24"/>
        <v>0.76431716032743868</v>
      </c>
      <c r="BY9" s="11">
        <v>7314</v>
      </c>
      <c r="BZ9" s="11"/>
      <c r="CA9" s="12">
        <f t="shared" si="25"/>
        <v>0.79793205011513624</v>
      </c>
      <c r="CB9" s="11">
        <v>7916</v>
      </c>
      <c r="CC9" s="10"/>
      <c r="CD9" s="12">
        <f t="shared" si="26"/>
        <v>1.314218509140505</v>
      </c>
      <c r="CE9" s="11">
        <v>18834</v>
      </c>
      <c r="CF9" s="10"/>
      <c r="CG9" s="12">
        <f t="shared" si="27"/>
        <v>1.937307056852857</v>
      </c>
      <c r="CH9" s="11">
        <v>55697</v>
      </c>
      <c r="CI9" s="10"/>
      <c r="CJ9" s="12">
        <f t="shared" si="28"/>
        <v>0.83943206642804113</v>
      </c>
      <c r="CK9" s="11">
        <v>25047</v>
      </c>
      <c r="CL9" s="10"/>
      <c r="CM9" s="12">
        <f t="shared" si="29"/>
        <v>0</v>
      </c>
      <c r="CN9" s="11">
        <v>0</v>
      </c>
      <c r="CP9" s="12">
        <f t="shared" si="30"/>
        <v>1.1486788868941373</v>
      </c>
      <c r="CQ9">
        <v>34580</v>
      </c>
      <c r="CS9" s="12">
        <f t="shared" si="31"/>
        <v>0.6021482568361235</v>
      </c>
      <c r="CT9">
        <v>51111</v>
      </c>
      <c r="CV9" s="12">
        <f t="shared" si="32"/>
        <v>1.1305244096860678</v>
      </c>
      <c r="CW9">
        <v>250362</v>
      </c>
      <c r="CY9" s="12">
        <f t="shared" si="33"/>
        <v>0.11896155221928638</v>
      </c>
      <c r="CZ9">
        <v>1222</v>
      </c>
      <c r="DB9" s="12">
        <f t="shared" si="34"/>
        <v>0.68685294952248732</v>
      </c>
      <c r="DC9" s="16">
        <v>29232</v>
      </c>
      <c r="DD9" s="16"/>
      <c r="DE9" s="12">
        <f t="shared" si="35"/>
        <v>0.67877085262580827</v>
      </c>
      <c r="DF9" s="16">
        <v>30758</v>
      </c>
      <c r="DH9" s="12">
        <f t="shared" si="36"/>
        <v>0.72226276531607003</v>
      </c>
      <c r="DI9">
        <v>38005</v>
      </c>
      <c r="DK9" s="12">
        <f t="shared" si="37"/>
        <v>0.68668070130150638</v>
      </c>
      <c r="DL9">
        <v>36160</v>
      </c>
      <c r="DN9" s="12">
        <f t="shared" si="38"/>
        <v>0.91934879694168037</v>
      </c>
      <c r="DO9">
        <v>22923</v>
      </c>
      <c r="DQ9" s="12">
        <f t="shared" si="39"/>
        <v>2.9909965679470218</v>
      </c>
      <c r="DR9" s="16">
        <v>266184</v>
      </c>
      <c r="DS9" s="13"/>
      <c r="DT9" s="36">
        <f t="shared" si="40"/>
        <v>3.2089513107816683</v>
      </c>
      <c r="DU9" s="35">
        <v>1097246</v>
      </c>
      <c r="DV9" s="13"/>
      <c r="DW9" s="12">
        <f t="shared" si="41"/>
        <v>0.75799846094526668</v>
      </c>
      <c r="DX9">
        <v>226684</v>
      </c>
      <c r="DY9" s="13"/>
      <c r="DZ9" s="12">
        <f t="shared" si="42"/>
        <v>2.4757058539510286</v>
      </c>
      <c r="EA9">
        <v>429365</v>
      </c>
      <c r="EC9" s="12">
        <f t="shared" si="43"/>
        <v>2.4154867784253606</v>
      </c>
      <c r="ED9">
        <v>422068</v>
      </c>
      <c r="EF9" s="12">
        <f t="shared" si="44"/>
        <v>1.0273353881804261</v>
      </c>
      <c r="EG9">
        <v>77752</v>
      </c>
      <c r="EI9" s="12">
        <f t="shared" si="45"/>
        <v>2.7496967345309771</v>
      </c>
      <c r="EJ9">
        <v>431132</v>
      </c>
      <c r="EL9" s="12">
        <f t="shared" si="46"/>
        <v>0.23826064701504227</v>
      </c>
      <c r="EM9">
        <v>3901</v>
      </c>
      <c r="EO9" s="12">
        <f t="shared" si="47"/>
        <v>1.6303455135110214</v>
      </c>
      <c r="EP9">
        <v>70232</v>
      </c>
      <c r="ES9">
        <v>2.0009999999999999</v>
      </c>
      <c r="ET9">
        <v>439</v>
      </c>
      <c r="EU9" s="10" t="s">
        <v>86</v>
      </c>
      <c r="EV9" s="44">
        <f t="shared" si="48"/>
        <v>0.5515289585621036</v>
      </c>
      <c r="EW9">
        <v>55459</v>
      </c>
      <c r="EY9" s="44">
        <f t="shared" si="49"/>
        <v>0.31926767947522555</v>
      </c>
      <c r="EZ9">
        <v>52509</v>
      </c>
      <c r="FB9">
        <f t="shared" si="50"/>
        <v>0.92132711591952976</v>
      </c>
      <c r="FC9">
        <v>188455</v>
      </c>
      <c r="FE9">
        <f t="shared" si="51"/>
        <v>0.25884051945459763</v>
      </c>
      <c r="FF9">
        <v>41199</v>
      </c>
      <c r="FH9">
        <f t="shared" si="52"/>
        <v>0.61694326537208977</v>
      </c>
      <c r="FI9">
        <v>168414</v>
      </c>
      <c r="FK9">
        <f t="shared" si="53"/>
        <v>0.20748844617434017</v>
      </c>
      <c r="FL9">
        <v>22326</v>
      </c>
      <c r="FN9">
        <f t="shared" si="54"/>
        <v>0</v>
      </c>
      <c r="FO9">
        <v>0</v>
      </c>
      <c r="FQ9">
        <f t="shared" si="55"/>
        <v>0.92955917449947811</v>
      </c>
      <c r="FR9">
        <v>305853</v>
      </c>
      <c r="FT9">
        <f t="shared" si="56"/>
        <v>0.97136619616358344</v>
      </c>
      <c r="FU9">
        <v>227621</v>
      </c>
      <c r="FW9">
        <f t="shared" si="57"/>
        <v>0.68563179860568324</v>
      </c>
      <c r="FX9">
        <v>54738</v>
      </c>
      <c r="FZ9">
        <f t="shared" si="58"/>
        <v>0.3259773403611117</v>
      </c>
      <c r="GA9">
        <v>76037</v>
      </c>
      <c r="GC9">
        <f t="shared" si="59"/>
        <v>0.8109107880547749</v>
      </c>
      <c r="GD9">
        <v>105727</v>
      </c>
      <c r="GF9">
        <f t="shared" si="60"/>
        <v>0.75784792873652462</v>
      </c>
      <c r="GG9">
        <v>181028</v>
      </c>
      <c r="GI9">
        <f t="shared" si="61"/>
        <v>0</v>
      </c>
      <c r="GJ9">
        <v>0</v>
      </c>
      <c r="GL9">
        <f t="shared" si="62"/>
        <v>0.40640082617447582</v>
      </c>
      <c r="GM9">
        <v>82257</v>
      </c>
      <c r="GO9">
        <f t="shared" si="63"/>
        <v>0</v>
      </c>
      <c r="GP9">
        <v>0</v>
      </c>
      <c r="GR9">
        <f t="shared" si="64"/>
        <v>0.32477580371352571</v>
      </c>
      <c r="GS9">
        <v>103239</v>
      </c>
      <c r="GU9">
        <f t="shared" si="65"/>
        <v>1.4893679129769559</v>
      </c>
      <c r="GV9">
        <v>642655</v>
      </c>
      <c r="GX9">
        <f t="shared" si="66"/>
        <v>0.98781303305866308</v>
      </c>
      <c r="GY9">
        <v>631130</v>
      </c>
      <c r="HA9">
        <f t="shared" si="67"/>
        <v>0.5622397405372106</v>
      </c>
      <c r="HB9">
        <v>57033</v>
      </c>
      <c r="HD9">
        <f t="shared" si="68"/>
        <v>0.37571562587455348</v>
      </c>
      <c r="HE9">
        <v>68759</v>
      </c>
      <c r="HG9">
        <f t="shared" si="69"/>
        <v>0.45319650985527421</v>
      </c>
      <c r="HH9">
        <v>64238</v>
      </c>
      <c r="HJ9">
        <f t="shared" si="70"/>
        <v>0.65490476064568204</v>
      </c>
      <c r="HK9">
        <v>136926</v>
      </c>
      <c r="HM9">
        <f t="shared" si="71"/>
        <v>0.41753743070197552</v>
      </c>
      <c r="HN9">
        <v>332750</v>
      </c>
      <c r="HP9">
        <f t="shared" si="72"/>
        <v>1.3882960751842341</v>
      </c>
      <c r="HQ9">
        <v>346365</v>
      </c>
      <c r="HS9">
        <f t="shared" si="73"/>
        <v>0.52216795589943332</v>
      </c>
      <c r="HT9">
        <v>70607</v>
      </c>
      <c r="HV9">
        <f t="shared" si="74"/>
        <v>0.63596205749396029</v>
      </c>
      <c r="HW9">
        <v>302501</v>
      </c>
      <c r="HY9">
        <f t="shared" si="75"/>
        <v>0.85060901170120662</v>
      </c>
      <c r="HZ9">
        <v>486017</v>
      </c>
      <c r="IB9">
        <f t="shared" si="76"/>
        <v>0.26620292615768737</v>
      </c>
      <c r="IC9">
        <v>50555</v>
      </c>
      <c r="IE9">
        <f t="shared" si="77"/>
        <v>0.93871734639065985</v>
      </c>
      <c r="IF9">
        <v>511358</v>
      </c>
      <c r="IH9">
        <f t="shared" si="78"/>
        <v>0.67064989412849962</v>
      </c>
      <c r="II9">
        <v>322955</v>
      </c>
      <c r="IK9">
        <f t="shared" si="79"/>
        <v>0.59301534394918043</v>
      </c>
      <c r="IL9">
        <v>397431</v>
      </c>
      <c r="IN9">
        <f t="shared" si="80"/>
        <v>0.35990737941462564</v>
      </c>
      <c r="IO9">
        <v>251006</v>
      </c>
      <c r="IQ9">
        <f t="shared" si="81"/>
        <v>0.3073995277958379</v>
      </c>
      <c r="IR9">
        <v>362889</v>
      </c>
    </row>
    <row r="10" spans="1:252">
      <c r="A10">
        <v>1.129</v>
      </c>
      <c r="B10">
        <v>467</v>
      </c>
      <c r="C10" s="10" t="s">
        <v>87</v>
      </c>
      <c r="D10" s="12">
        <f t="shared" si="0"/>
        <v>0</v>
      </c>
      <c r="E10" s="11">
        <v>0</v>
      </c>
      <c r="F10" s="11"/>
      <c r="G10" s="12">
        <f t="shared" si="1"/>
        <v>2.2093044386999994</v>
      </c>
      <c r="H10" s="11">
        <v>50141</v>
      </c>
      <c r="I10" s="11"/>
      <c r="J10" s="12">
        <f t="shared" si="2"/>
        <v>2.3655985199140401</v>
      </c>
      <c r="K10" s="11">
        <v>55402</v>
      </c>
      <c r="L10" s="10"/>
      <c r="M10" s="12">
        <f t="shared" si="3"/>
        <v>0.80983392228321593</v>
      </c>
      <c r="N10" s="11">
        <v>30559</v>
      </c>
      <c r="O10" s="11"/>
      <c r="P10" s="12">
        <f t="shared" si="4"/>
        <v>0.91785029042616695</v>
      </c>
      <c r="Q10" s="11">
        <v>36623</v>
      </c>
      <c r="R10" s="10"/>
      <c r="S10" s="12">
        <f t="shared" si="5"/>
        <v>0</v>
      </c>
      <c r="T10" s="11">
        <v>0</v>
      </c>
      <c r="U10" s="10"/>
      <c r="V10" s="12">
        <f t="shared" si="6"/>
        <v>0</v>
      </c>
      <c r="W10" s="11">
        <v>0</v>
      </c>
      <c r="X10" s="10"/>
      <c r="Y10" s="12">
        <f t="shared" si="7"/>
        <v>0.16546778060511036</v>
      </c>
      <c r="Z10" s="11">
        <v>3738</v>
      </c>
      <c r="AA10" s="10"/>
      <c r="AB10" s="12">
        <f t="shared" si="8"/>
        <v>0</v>
      </c>
      <c r="AC10" s="11">
        <v>0</v>
      </c>
      <c r="AD10" s="10"/>
      <c r="AE10" s="12">
        <f t="shared" si="9"/>
        <v>0</v>
      </c>
      <c r="AF10" s="11">
        <v>0</v>
      </c>
      <c r="AG10" s="10"/>
      <c r="AH10" s="12">
        <f t="shared" si="10"/>
        <v>1.6668495947794264</v>
      </c>
      <c r="AI10" s="11">
        <v>87609</v>
      </c>
      <c r="AJ10" s="10"/>
      <c r="AK10" s="12">
        <f t="shared" si="11"/>
        <v>0.4240802588149773</v>
      </c>
      <c r="AL10" s="11">
        <v>17229</v>
      </c>
      <c r="AM10" s="11"/>
      <c r="AN10" s="12">
        <f t="shared" si="12"/>
        <v>0.34041100160237842</v>
      </c>
      <c r="AO10" s="11">
        <v>12604</v>
      </c>
      <c r="AP10" s="10"/>
      <c r="AQ10" s="12">
        <f t="shared" si="13"/>
        <v>0</v>
      </c>
      <c r="AR10" s="11">
        <v>0</v>
      </c>
      <c r="AS10" s="10"/>
      <c r="AT10" s="12">
        <f t="shared" si="14"/>
        <v>0</v>
      </c>
      <c r="AU10" s="11">
        <v>0</v>
      </c>
      <c r="AV10" s="10"/>
      <c r="AW10" s="12">
        <f t="shared" si="15"/>
        <v>0</v>
      </c>
      <c r="AX10" s="11">
        <v>0</v>
      </c>
      <c r="AY10" s="10"/>
      <c r="AZ10" s="12">
        <f t="shared" si="16"/>
        <v>0.25878871756032379</v>
      </c>
      <c r="BA10" s="11">
        <v>25497</v>
      </c>
      <c r="BB10" s="10"/>
      <c r="BC10" s="12">
        <f t="shared" si="17"/>
        <v>0</v>
      </c>
      <c r="BD10" s="11">
        <v>0</v>
      </c>
      <c r="BE10" s="10"/>
      <c r="BF10" s="12">
        <f t="shared" si="18"/>
        <v>0</v>
      </c>
      <c r="BG10" s="11">
        <v>0</v>
      </c>
      <c r="BH10" s="10"/>
      <c r="BI10" s="12">
        <f t="shared" si="19"/>
        <v>0</v>
      </c>
      <c r="BJ10" s="11">
        <v>0</v>
      </c>
      <c r="BK10" s="10"/>
      <c r="BL10" s="12">
        <f t="shared" si="20"/>
        <v>0</v>
      </c>
      <c r="BM10" s="11">
        <v>0</v>
      </c>
      <c r="BN10" s="10"/>
      <c r="BO10" s="12">
        <f t="shared" si="21"/>
        <v>9.5265112378538963E-2</v>
      </c>
      <c r="BP10" s="11">
        <v>2928</v>
      </c>
      <c r="BQ10" s="10"/>
      <c r="BR10" s="12">
        <f t="shared" si="22"/>
        <v>0.18763833418596115</v>
      </c>
      <c r="BS10" s="11">
        <v>6558</v>
      </c>
      <c r="BT10" s="11"/>
      <c r="BU10" s="12">
        <f t="shared" si="23"/>
        <v>0.16626008421254132</v>
      </c>
      <c r="BV10" s="11">
        <v>5799</v>
      </c>
      <c r="BW10" s="10"/>
      <c r="BX10" s="12">
        <f t="shared" si="24"/>
        <v>0.1688545922705833</v>
      </c>
      <c r="BY10" s="11">
        <v>1574</v>
      </c>
      <c r="BZ10" s="11"/>
      <c r="CA10" s="12">
        <f t="shared" si="25"/>
        <v>0</v>
      </c>
      <c r="CB10" s="11">
        <v>0</v>
      </c>
      <c r="CC10" s="10"/>
      <c r="CD10" s="12">
        <f t="shared" si="26"/>
        <v>0.52406867817679348</v>
      </c>
      <c r="CE10" s="11">
        <v>7316</v>
      </c>
      <c r="CF10" s="10"/>
      <c r="CG10" s="12">
        <f t="shared" si="27"/>
        <v>0.74231758746422649</v>
      </c>
      <c r="CH10" s="11">
        <v>20789</v>
      </c>
      <c r="CI10" s="10"/>
      <c r="CJ10" s="12">
        <f t="shared" si="28"/>
        <v>0</v>
      </c>
      <c r="CK10" s="11">
        <v>0</v>
      </c>
      <c r="CL10" s="10"/>
      <c r="CM10" s="12">
        <f t="shared" si="29"/>
        <v>0.46616339582698352</v>
      </c>
      <c r="CN10" s="11">
        <v>54052</v>
      </c>
      <c r="CP10" s="12">
        <f t="shared" si="30"/>
        <v>0.59693254694906228</v>
      </c>
      <c r="CQ10">
        <v>17505</v>
      </c>
      <c r="CS10" s="12">
        <f t="shared" si="31"/>
        <v>0</v>
      </c>
      <c r="CT10">
        <v>0</v>
      </c>
      <c r="CV10" s="12">
        <f t="shared" si="32"/>
        <v>0</v>
      </c>
      <c r="CW10">
        <v>0</v>
      </c>
      <c r="CY10" s="12">
        <f t="shared" si="33"/>
        <v>0</v>
      </c>
      <c r="CZ10">
        <v>0</v>
      </c>
      <c r="DB10" s="12">
        <f t="shared" si="34"/>
        <v>0.35286564011945293</v>
      </c>
      <c r="DC10" s="16">
        <v>14629</v>
      </c>
      <c r="DD10" s="16"/>
      <c r="DE10" s="12">
        <f t="shared" si="35"/>
        <v>0.36204165188122517</v>
      </c>
      <c r="DF10" s="16">
        <v>15981</v>
      </c>
      <c r="DH10" s="12">
        <f t="shared" si="36"/>
        <v>0.26273313237146539</v>
      </c>
      <c r="DI10">
        <v>13467</v>
      </c>
      <c r="DK10" s="12">
        <f t="shared" si="37"/>
        <v>0.25582856988439423</v>
      </c>
      <c r="DL10">
        <v>13123</v>
      </c>
      <c r="DN10" s="12">
        <f t="shared" si="38"/>
        <v>0</v>
      </c>
      <c r="DO10">
        <v>0</v>
      </c>
      <c r="DQ10" s="12">
        <f t="shared" si="39"/>
        <v>0</v>
      </c>
      <c r="DR10" s="16">
        <v>0</v>
      </c>
      <c r="DS10" s="13"/>
      <c r="DT10" s="36">
        <f t="shared" si="40"/>
        <v>1.200886858289147</v>
      </c>
      <c r="DU10" s="35">
        <v>399994</v>
      </c>
      <c r="DV10" s="13"/>
      <c r="DW10" s="12">
        <f t="shared" si="41"/>
        <v>0</v>
      </c>
      <c r="DX10">
        <v>0</v>
      </c>
      <c r="DY10" s="13"/>
      <c r="DZ10" s="12">
        <f t="shared" si="42"/>
        <v>1.172454364460443</v>
      </c>
      <c r="EA10">
        <v>198077</v>
      </c>
      <c r="EC10" s="12">
        <f t="shared" si="43"/>
        <v>1.1619267056501921</v>
      </c>
      <c r="ED10">
        <v>197773</v>
      </c>
      <c r="EF10" s="12">
        <f t="shared" si="44"/>
        <v>0.41431466208490608</v>
      </c>
      <c r="EG10">
        <v>30545</v>
      </c>
      <c r="EI10" s="12">
        <f t="shared" si="45"/>
        <v>0</v>
      </c>
      <c r="EJ10">
        <v>0</v>
      </c>
      <c r="EL10" s="12">
        <f t="shared" si="46"/>
        <v>0</v>
      </c>
      <c r="EM10">
        <v>0</v>
      </c>
      <c r="EO10" s="12">
        <f t="shared" si="47"/>
        <v>0.41853599292159116</v>
      </c>
      <c r="EP10" s="38">
        <v>17563</v>
      </c>
      <c r="ES10">
        <v>1.8029999999999999</v>
      </c>
      <c r="ET10">
        <v>467</v>
      </c>
      <c r="EU10" s="10" t="s">
        <v>87</v>
      </c>
      <c r="EV10" s="44">
        <f t="shared" si="48"/>
        <v>0</v>
      </c>
      <c r="EW10">
        <v>0</v>
      </c>
      <c r="EY10" s="44">
        <f t="shared" si="49"/>
        <v>0.23688042632162279</v>
      </c>
      <c r="EZ10">
        <v>35104</v>
      </c>
      <c r="FB10">
        <f t="shared" si="50"/>
        <v>0.62164126508925399</v>
      </c>
      <c r="FC10">
        <v>114573</v>
      </c>
      <c r="FE10">
        <f t="shared" si="51"/>
        <v>0</v>
      </c>
      <c r="FF10">
        <v>0</v>
      </c>
      <c r="FH10">
        <f t="shared" si="52"/>
        <v>0.33522015899447816</v>
      </c>
      <c r="FI10">
        <v>82454</v>
      </c>
      <c r="FK10">
        <f t="shared" si="53"/>
        <v>0.13395014881293324</v>
      </c>
      <c r="FL10">
        <v>12987</v>
      </c>
      <c r="FN10">
        <f t="shared" si="54"/>
        <v>0</v>
      </c>
      <c r="FO10">
        <v>0</v>
      </c>
      <c r="FQ10">
        <f t="shared" si="55"/>
        <v>0.4015415270922813</v>
      </c>
      <c r="FR10">
        <v>119046</v>
      </c>
      <c r="FT10">
        <f t="shared" si="56"/>
        <v>0.42650114960048557</v>
      </c>
      <c r="FU10">
        <v>90053</v>
      </c>
      <c r="FW10">
        <f t="shared" si="57"/>
        <v>0</v>
      </c>
      <c r="FX10">
        <v>0</v>
      </c>
      <c r="FZ10">
        <f t="shared" si="58"/>
        <v>0</v>
      </c>
      <c r="GA10">
        <v>0</v>
      </c>
      <c r="GC10">
        <f t="shared" si="59"/>
        <v>0.41807353746120968</v>
      </c>
      <c r="GD10">
        <v>49115</v>
      </c>
      <c r="GF10">
        <f t="shared" si="60"/>
        <v>0.44219632112913249</v>
      </c>
      <c r="GG10">
        <v>95176</v>
      </c>
      <c r="GI10">
        <f t="shared" si="61"/>
        <v>0</v>
      </c>
      <c r="GJ10">
        <v>0</v>
      </c>
      <c r="GL10">
        <f t="shared" si="62"/>
        <v>0.23465848185468127</v>
      </c>
      <c r="GM10">
        <v>42796</v>
      </c>
      <c r="GO10">
        <f t="shared" si="63"/>
        <v>0.15492151046764666</v>
      </c>
      <c r="GP10">
        <v>21349</v>
      </c>
      <c r="GR10">
        <f t="shared" si="64"/>
        <v>0.14116156464594476</v>
      </c>
      <c r="GS10">
        <v>40432</v>
      </c>
      <c r="GU10">
        <f t="shared" si="65"/>
        <v>0.64398146067517403</v>
      </c>
      <c r="GV10">
        <v>250379</v>
      </c>
      <c r="GX10">
        <f t="shared" si="66"/>
        <v>0.89061169775680016</v>
      </c>
      <c r="GY10">
        <v>512721</v>
      </c>
      <c r="HA10">
        <f t="shared" si="67"/>
        <v>0.31885691725984089</v>
      </c>
      <c r="HB10">
        <v>29144</v>
      </c>
      <c r="HD10">
        <f t="shared" si="68"/>
        <v>0.11652562913710493</v>
      </c>
      <c r="HE10">
        <v>19215</v>
      </c>
      <c r="HG10">
        <f t="shared" si="69"/>
        <v>0.19491290427918634</v>
      </c>
      <c r="HH10">
        <v>24894</v>
      </c>
      <c r="HJ10">
        <f t="shared" si="70"/>
        <v>0.26693649375199019</v>
      </c>
      <c r="HK10">
        <v>50288</v>
      </c>
      <c r="HM10">
        <f t="shared" si="71"/>
        <v>0.21714092306443833</v>
      </c>
      <c r="HN10">
        <v>155924</v>
      </c>
      <c r="HP10">
        <f t="shared" si="72"/>
        <v>0.46825610926340716</v>
      </c>
      <c r="HQ10">
        <v>105265</v>
      </c>
      <c r="HS10">
        <f t="shared" si="73"/>
        <v>0</v>
      </c>
      <c r="HT10">
        <v>0</v>
      </c>
      <c r="HV10">
        <f t="shared" si="74"/>
        <v>0.28007043621737304</v>
      </c>
      <c r="HW10">
        <v>120036</v>
      </c>
      <c r="HY10">
        <f t="shared" si="75"/>
        <v>0.33392676581334579</v>
      </c>
      <c r="HZ10">
        <v>171918</v>
      </c>
      <c r="IB10">
        <f t="shared" si="76"/>
        <v>9.4699809981518307E-2</v>
      </c>
      <c r="IC10">
        <v>16205</v>
      </c>
      <c r="IE10">
        <f t="shared" si="77"/>
        <v>0.39854024630489643</v>
      </c>
      <c r="IF10">
        <v>195619</v>
      </c>
      <c r="IH10">
        <f t="shared" si="78"/>
        <v>0.24400033855827363</v>
      </c>
      <c r="II10">
        <v>105873</v>
      </c>
      <c r="IK10">
        <f t="shared" si="79"/>
        <v>0.22507110709780842</v>
      </c>
      <c r="IL10">
        <v>135914</v>
      </c>
      <c r="IN10">
        <f t="shared" si="80"/>
        <v>0.17305624496519606</v>
      </c>
      <c r="IO10">
        <v>108750</v>
      </c>
      <c r="IQ10">
        <f t="shared" si="81"/>
        <v>0.12944436636027926</v>
      </c>
      <c r="IR10">
        <v>137690</v>
      </c>
    </row>
    <row r="11" spans="1:252">
      <c r="A11">
        <v>0.23699999999999999</v>
      </c>
      <c r="B11">
        <v>368</v>
      </c>
      <c r="C11" s="10" t="s">
        <v>88</v>
      </c>
      <c r="D11" s="12">
        <f t="shared" si="0"/>
        <v>0.63051223385366306</v>
      </c>
      <c r="E11" s="11">
        <v>6765</v>
      </c>
      <c r="F11" s="11"/>
      <c r="G11" s="12">
        <f t="shared" si="1"/>
        <v>0</v>
      </c>
      <c r="H11" s="11"/>
      <c r="I11" s="11"/>
      <c r="J11" s="12">
        <f t="shared" si="2"/>
        <v>0</v>
      </c>
      <c r="K11" s="11"/>
      <c r="L11" s="10"/>
      <c r="M11" s="12">
        <f t="shared" si="3"/>
        <v>0</v>
      </c>
      <c r="N11" s="11"/>
      <c r="O11" s="11"/>
      <c r="P11" s="12">
        <f t="shared" si="4"/>
        <v>0</v>
      </c>
      <c r="Q11" s="11"/>
      <c r="R11" s="10"/>
      <c r="S11" s="12">
        <f t="shared" si="5"/>
        <v>0.12738955988183176</v>
      </c>
      <c r="T11" s="11">
        <v>896</v>
      </c>
      <c r="U11" s="10"/>
      <c r="V11" s="12">
        <f t="shared" si="6"/>
        <v>0</v>
      </c>
      <c r="W11" s="11">
        <v>0</v>
      </c>
      <c r="X11" s="10"/>
      <c r="Y11" s="12">
        <f t="shared" si="7"/>
        <v>0</v>
      </c>
      <c r="Z11" s="11">
        <v>0</v>
      </c>
      <c r="AA11" s="10"/>
      <c r="AB11" s="12">
        <f t="shared" si="8"/>
        <v>0</v>
      </c>
      <c r="AC11" s="11">
        <v>0</v>
      </c>
      <c r="AD11" s="10"/>
      <c r="AE11" s="12">
        <f t="shared" si="9"/>
        <v>0</v>
      </c>
      <c r="AF11" s="11">
        <v>0</v>
      </c>
      <c r="AG11" s="10"/>
      <c r="AH11" s="12">
        <f t="shared" si="10"/>
        <v>7.1782481572911741E-2</v>
      </c>
      <c r="AI11" s="11">
        <v>792</v>
      </c>
      <c r="AJ11" s="10"/>
      <c r="AK11" s="12">
        <f t="shared" si="11"/>
        <v>0</v>
      </c>
      <c r="AL11" s="11"/>
      <c r="AM11" s="11"/>
      <c r="AN11" s="12">
        <f t="shared" si="12"/>
        <v>0</v>
      </c>
      <c r="AO11" s="11"/>
      <c r="AP11" s="10"/>
      <c r="AQ11" s="12">
        <f t="shared" si="13"/>
        <v>0</v>
      </c>
      <c r="AR11" s="11">
        <v>0</v>
      </c>
      <c r="AS11" s="10"/>
      <c r="AT11" s="12">
        <f t="shared" si="14"/>
        <v>0.48708729515947763</v>
      </c>
      <c r="AU11" s="11">
        <v>4379</v>
      </c>
      <c r="AV11" s="10"/>
      <c r="AW11" s="12">
        <f t="shared" si="15"/>
        <v>0.21044855999036957</v>
      </c>
      <c r="AX11" s="11">
        <v>3982</v>
      </c>
      <c r="AY11" s="10"/>
      <c r="AZ11" s="12">
        <f t="shared" si="16"/>
        <v>0</v>
      </c>
      <c r="BA11" s="11">
        <v>0</v>
      </c>
      <c r="BB11" s="10"/>
      <c r="BC11" s="12">
        <f t="shared" si="17"/>
        <v>0</v>
      </c>
      <c r="BD11" s="11">
        <v>0</v>
      </c>
      <c r="BE11" s="10"/>
      <c r="BF11" s="12">
        <f t="shared" si="18"/>
        <v>0.27407965475484125</v>
      </c>
      <c r="BG11" s="11">
        <v>4710</v>
      </c>
      <c r="BH11" s="10"/>
      <c r="BI11" s="12">
        <f t="shared" si="19"/>
        <v>0.40811544457248644</v>
      </c>
      <c r="BJ11" s="11">
        <v>7123</v>
      </c>
      <c r="BK11" s="10"/>
      <c r="BL11" s="12">
        <f t="shared" si="20"/>
        <v>0</v>
      </c>
      <c r="BM11" s="11">
        <v>0</v>
      </c>
      <c r="BN11" s="10"/>
      <c r="BO11" s="12">
        <f t="shared" si="21"/>
        <v>0</v>
      </c>
      <c r="BP11" s="11">
        <v>0</v>
      </c>
      <c r="BQ11" s="17"/>
      <c r="BR11" s="12">
        <f t="shared" si="22"/>
        <v>0</v>
      </c>
      <c r="BS11" s="11">
        <v>0</v>
      </c>
      <c r="BT11" s="11"/>
      <c r="BU11" s="12">
        <f t="shared" si="23"/>
        <v>0</v>
      </c>
      <c r="BV11" s="11">
        <v>0</v>
      </c>
      <c r="BW11" s="10"/>
      <c r="BX11" s="12">
        <f t="shared" si="24"/>
        <v>0</v>
      </c>
      <c r="BY11" s="11">
        <v>0</v>
      </c>
      <c r="BZ11" s="11"/>
      <c r="CA11" s="12">
        <f t="shared" si="25"/>
        <v>0</v>
      </c>
      <c r="CB11" s="11">
        <v>0</v>
      </c>
      <c r="CC11" s="10"/>
      <c r="CD11" s="12">
        <f t="shared" si="26"/>
        <v>0.77973370518853302</v>
      </c>
      <c r="CE11" s="11">
        <v>2285</v>
      </c>
      <c r="CF11" s="10"/>
      <c r="CG11" s="12">
        <f t="shared" si="27"/>
        <v>0</v>
      </c>
      <c r="CH11" s="11">
        <v>0</v>
      </c>
      <c r="CI11" s="10"/>
      <c r="CJ11" s="12">
        <f t="shared" si="28"/>
        <v>0</v>
      </c>
      <c r="CK11" s="11">
        <v>0</v>
      </c>
      <c r="CL11" s="10"/>
      <c r="CM11" s="12">
        <f t="shared" si="29"/>
        <v>0.23487683646576735</v>
      </c>
      <c r="CN11" s="11">
        <v>5717</v>
      </c>
      <c r="CP11" s="12">
        <f t="shared" si="30"/>
        <v>9.568063181531844E-2</v>
      </c>
      <c r="CQ11">
        <v>589</v>
      </c>
      <c r="CS11" s="12">
        <f t="shared" si="31"/>
        <v>7.1728788673726229E-2</v>
      </c>
      <c r="CT11">
        <v>1245</v>
      </c>
      <c r="CV11" s="12">
        <f t="shared" si="32"/>
        <v>0.65957973587049934</v>
      </c>
      <c r="CW11">
        <v>29869</v>
      </c>
      <c r="CY11" s="12">
        <f t="shared" si="33"/>
        <v>0</v>
      </c>
      <c r="CZ11">
        <v>0</v>
      </c>
      <c r="DB11" s="12">
        <f t="shared" si="34"/>
        <v>0</v>
      </c>
      <c r="DC11" s="16">
        <v>0</v>
      </c>
      <c r="DD11" s="16"/>
      <c r="DE11" s="12">
        <f t="shared" si="35"/>
        <v>0</v>
      </c>
      <c r="DF11" s="16">
        <v>0</v>
      </c>
      <c r="DH11" s="12">
        <f t="shared" si="36"/>
        <v>0</v>
      </c>
      <c r="DI11">
        <v>0</v>
      </c>
      <c r="DK11" s="12">
        <f t="shared" si="37"/>
        <v>0</v>
      </c>
      <c r="DL11">
        <v>0</v>
      </c>
      <c r="DN11" s="12">
        <f t="shared" si="38"/>
        <v>0</v>
      </c>
      <c r="DO11">
        <v>0</v>
      </c>
      <c r="DQ11" s="12">
        <f t="shared" si="39"/>
        <v>0.22661451010762179</v>
      </c>
      <c r="DR11" s="16">
        <v>4124</v>
      </c>
      <c r="DS11" s="13"/>
      <c r="DT11" s="36">
        <f t="shared" si="40"/>
        <v>0.21870489358949211</v>
      </c>
      <c r="DU11" s="35">
        <v>15292</v>
      </c>
      <c r="DV11" s="13"/>
      <c r="DW11" s="12">
        <f t="shared" si="41"/>
        <v>6.7061353662345558E-2</v>
      </c>
      <c r="DX11">
        <v>4101</v>
      </c>
      <c r="DZ11" s="12">
        <f t="shared" si="42"/>
        <v>4.1252646943977185E-2</v>
      </c>
      <c r="EA11">
        <v>1463</v>
      </c>
      <c r="EC11" s="12">
        <f t="shared" si="43"/>
        <v>3.2800838044619807E-2</v>
      </c>
      <c r="ED11">
        <v>1172</v>
      </c>
      <c r="EF11" s="12">
        <f t="shared" si="44"/>
        <v>0.42432906995408604</v>
      </c>
      <c r="EG11">
        <v>6567</v>
      </c>
      <c r="EI11" s="12">
        <f t="shared" si="45"/>
        <v>0.19574585028416727</v>
      </c>
      <c r="EJ11">
        <v>6276</v>
      </c>
      <c r="EL11" s="12">
        <f t="shared" si="46"/>
        <v>0</v>
      </c>
      <c r="EM11">
        <v>0</v>
      </c>
      <c r="EO11" s="12">
        <f t="shared" si="47"/>
        <v>2.8266956705374977E-2</v>
      </c>
      <c r="EP11">
        <v>249</v>
      </c>
      <c r="ES11">
        <v>0.309</v>
      </c>
      <c r="ET11">
        <v>368</v>
      </c>
      <c r="EU11" s="10" t="s">
        <v>88</v>
      </c>
      <c r="EV11" s="44">
        <f t="shared" si="48"/>
        <v>0.39535071504773089</v>
      </c>
      <c r="EW11">
        <v>6139</v>
      </c>
      <c r="EY11" s="44">
        <f t="shared" si="49"/>
        <v>0.13836032534521658</v>
      </c>
      <c r="EZ11">
        <v>3514</v>
      </c>
      <c r="FB11">
        <f t="shared" si="50"/>
        <v>0.32554770181088527</v>
      </c>
      <c r="FC11">
        <v>10283</v>
      </c>
      <c r="FE11">
        <f t="shared" si="51"/>
        <v>0.3866294453380047</v>
      </c>
      <c r="FF11">
        <v>9503</v>
      </c>
      <c r="FH11">
        <f t="shared" si="52"/>
        <v>0.43672638882145692</v>
      </c>
      <c r="FI11">
        <v>18410</v>
      </c>
      <c r="FK11">
        <f t="shared" si="53"/>
        <v>0.19794087269262403</v>
      </c>
      <c r="FL11">
        <v>3289</v>
      </c>
      <c r="FN11">
        <f t="shared" si="54"/>
        <v>3.9150798584917011E-2</v>
      </c>
      <c r="FO11">
        <v>1587</v>
      </c>
      <c r="FQ11">
        <f t="shared" si="55"/>
        <v>9.3446624087965766E-2</v>
      </c>
      <c r="FR11">
        <v>4748</v>
      </c>
      <c r="FT11">
        <f t="shared" si="56"/>
        <v>9.0394043191421164E-2</v>
      </c>
      <c r="FU11">
        <v>3271</v>
      </c>
      <c r="FW11">
        <f t="shared" si="57"/>
        <v>0</v>
      </c>
      <c r="FX11">
        <v>0</v>
      </c>
      <c r="FZ11">
        <f t="shared" si="58"/>
        <v>6.7572754318864045E-2</v>
      </c>
      <c r="GA11">
        <v>2434</v>
      </c>
      <c r="GC11">
        <f t="shared" si="59"/>
        <v>0.14299387752043091</v>
      </c>
      <c r="GD11">
        <v>2879</v>
      </c>
      <c r="GF11">
        <f t="shared" si="60"/>
        <v>0.17350216477751748</v>
      </c>
      <c r="GG11">
        <v>6400</v>
      </c>
      <c r="GI11">
        <f t="shared" si="61"/>
        <v>0.15064374985387738</v>
      </c>
      <c r="GJ11">
        <v>1570</v>
      </c>
      <c r="GL11">
        <f t="shared" si="62"/>
        <v>0.10826814089792014</v>
      </c>
      <c r="GM11">
        <v>3384</v>
      </c>
      <c r="GO11">
        <f t="shared" si="63"/>
        <v>0.29652107032173253</v>
      </c>
      <c r="GP11">
        <v>7003</v>
      </c>
      <c r="GR11">
        <f t="shared" si="64"/>
        <v>0.14435426978337351</v>
      </c>
      <c r="GS11">
        <v>7086</v>
      </c>
      <c r="GU11">
        <f t="shared" si="65"/>
        <v>3.4457565889716234E-2</v>
      </c>
      <c r="GV11">
        <v>2296</v>
      </c>
      <c r="GX11">
        <f t="shared" si="66"/>
        <v>7.3320098746056009E-2</v>
      </c>
      <c r="GY11">
        <v>7234</v>
      </c>
      <c r="HA11">
        <f t="shared" si="67"/>
        <v>0</v>
      </c>
      <c r="HB11">
        <v>0</v>
      </c>
      <c r="HD11">
        <f t="shared" si="68"/>
        <v>0</v>
      </c>
      <c r="HE11">
        <v>0</v>
      </c>
      <c r="HG11">
        <f t="shared" si="69"/>
        <v>0</v>
      </c>
      <c r="HH11">
        <v>0</v>
      </c>
      <c r="HJ11">
        <f t="shared" si="70"/>
        <v>0</v>
      </c>
      <c r="HK11">
        <v>0</v>
      </c>
      <c r="HM11">
        <f t="shared" si="71"/>
        <v>0</v>
      </c>
      <c r="HN11">
        <v>0</v>
      </c>
      <c r="HP11">
        <f t="shared" si="72"/>
        <v>0</v>
      </c>
      <c r="HQ11">
        <v>0</v>
      </c>
      <c r="HS11">
        <f t="shared" si="73"/>
        <v>0</v>
      </c>
      <c r="HT11">
        <v>0</v>
      </c>
      <c r="HV11">
        <f t="shared" si="74"/>
        <v>0</v>
      </c>
      <c r="HW11">
        <v>0</v>
      </c>
      <c r="HY11">
        <f t="shared" si="75"/>
        <v>0</v>
      </c>
      <c r="HZ11">
        <v>0</v>
      </c>
      <c r="IB11">
        <f t="shared" si="76"/>
        <v>0</v>
      </c>
      <c r="IC11">
        <v>0</v>
      </c>
      <c r="IE11">
        <f t="shared" si="77"/>
        <v>0</v>
      </c>
      <c r="IF11">
        <v>0</v>
      </c>
      <c r="IH11">
        <f t="shared" si="78"/>
        <v>0</v>
      </c>
      <c r="II11">
        <v>0</v>
      </c>
      <c r="IK11">
        <f t="shared" si="79"/>
        <v>0</v>
      </c>
      <c r="IL11">
        <v>0</v>
      </c>
      <c r="IN11">
        <f t="shared" si="80"/>
        <v>3.6389033530648873E-2</v>
      </c>
      <c r="IO11">
        <v>3919</v>
      </c>
      <c r="IQ11">
        <f t="shared" si="81"/>
        <v>0</v>
      </c>
      <c r="IR11">
        <v>0</v>
      </c>
    </row>
    <row r="12" spans="1:252">
      <c r="A12">
        <v>0.24199999999999999</v>
      </c>
      <c r="B12">
        <v>396</v>
      </c>
      <c r="C12" s="10" t="s">
        <v>89</v>
      </c>
      <c r="D12" s="12">
        <f t="shared" si="0"/>
        <v>0.34602898683293259</v>
      </c>
      <c r="E12" s="11">
        <v>3791</v>
      </c>
      <c r="F12" s="11"/>
      <c r="G12" s="12">
        <f t="shared" si="1"/>
        <v>0.55789310396312974</v>
      </c>
      <c r="H12" s="11">
        <v>2714</v>
      </c>
      <c r="I12" s="11"/>
      <c r="J12" s="12">
        <f t="shared" si="2"/>
        <v>0.63286545104726921</v>
      </c>
      <c r="K12" s="11">
        <v>3177</v>
      </c>
      <c r="L12" s="10"/>
      <c r="M12" s="12">
        <f t="shared" si="3"/>
        <v>0</v>
      </c>
      <c r="N12" s="11"/>
      <c r="O12" s="11"/>
      <c r="P12" s="12">
        <f t="shared" si="4"/>
        <v>0</v>
      </c>
      <c r="Q12" s="11"/>
      <c r="R12" s="10"/>
      <c r="S12" s="12">
        <f t="shared" si="5"/>
        <v>0.38290540904010412</v>
      </c>
      <c r="T12" s="11">
        <v>2750</v>
      </c>
      <c r="U12" s="10"/>
      <c r="V12" s="12">
        <f t="shared" si="6"/>
        <v>0</v>
      </c>
      <c r="W12" s="11">
        <v>0</v>
      </c>
      <c r="X12" s="10"/>
      <c r="Y12" s="12">
        <f t="shared" si="7"/>
        <v>0</v>
      </c>
      <c r="Z12" s="11">
        <v>0</v>
      </c>
      <c r="AA12" s="10"/>
      <c r="AB12" s="12">
        <f t="shared" si="8"/>
        <v>0</v>
      </c>
      <c r="AC12" s="11">
        <v>0</v>
      </c>
      <c r="AD12" s="10"/>
      <c r="AE12" s="12">
        <f t="shared" si="9"/>
        <v>0.17006830706581699</v>
      </c>
      <c r="AF12" s="11">
        <v>2430</v>
      </c>
      <c r="AG12" s="10"/>
      <c r="AH12" s="12">
        <f t="shared" si="10"/>
        <v>0.11734314441697591</v>
      </c>
      <c r="AI12" s="11">
        <v>1322</v>
      </c>
      <c r="AJ12" s="10"/>
      <c r="AK12" s="12">
        <f t="shared" si="11"/>
        <v>0.13825888435540395</v>
      </c>
      <c r="AL12" s="11">
        <v>1204</v>
      </c>
      <c r="AM12" s="11"/>
      <c r="AN12" s="12">
        <f t="shared" si="12"/>
        <v>0</v>
      </c>
      <c r="AO12" s="11"/>
      <c r="AP12" s="10"/>
      <c r="AQ12" s="12">
        <f t="shared" si="13"/>
        <v>0</v>
      </c>
      <c r="AR12" s="11">
        <v>0</v>
      </c>
      <c r="AS12" s="10"/>
      <c r="AT12" s="12">
        <f t="shared" si="14"/>
        <v>11.912515580025088</v>
      </c>
      <c r="AU12" s="11">
        <v>109355</v>
      </c>
      <c r="AV12" s="10"/>
      <c r="AW12" s="12">
        <f t="shared" si="15"/>
        <v>0</v>
      </c>
      <c r="AX12" s="11">
        <v>0</v>
      </c>
      <c r="AY12" s="10"/>
      <c r="AZ12" s="12">
        <f t="shared" si="16"/>
        <v>0</v>
      </c>
      <c r="BA12" s="11">
        <v>0</v>
      </c>
      <c r="BB12" s="10"/>
      <c r="BC12" s="12">
        <f t="shared" si="17"/>
        <v>0</v>
      </c>
      <c r="BD12" s="11">
        <v>0</v>
      </c>
      <c r="BE12" s="10"/>
      <c r="BF12" s="12">
        <f t="shared" si="18"/>
        <v>0.46172257636225228</v>
      </c>
      <c r="BG12" s="11">
        <v>8102</v>
      </c>
      <c r="BH12" s="10"/>
      <c r="BI12" s="12">
        <f t="shared" si="19"/>
        <v>0.66318363173326622</v>
      </c>
      <c r="BJ12" s="11">
        <v>11819</v>
      </c>
      <c r="BK12" s="10"/>
      <c r="BL12" s="12">
        <f t="shared" si="20"/>
        <v>0.62775619323647358</v>
      </c>
      <c r="BM12" s="11">
        <v>8844</v>
      </c>
      <c r="BN12" s="10"/>
      <c r="BO12" s="12">
        <f t="shared" si="21"/>
        <v>0</v>
      </c>
      <c r="BP12" s="11">
        <v>0</v>
      </c>
      <c r="BQ12" s="10"/>
      <c r="BR12" s="12">
        <f t="shared" si="22"/>
        <v>0</v>
      </c>
      <c r="BS12" s="11">
        <v>0</v>
      </c>
      <c r="BT12" s="11"/>
      <c r="BU12" s="12">
        <f t="shared" si="23"/>
        <v>0</v>
      </c>
      <c r="BV12" s="11">
        <v>0</v>
      </c>
      <c r="BW12" s="10"/>
      <c r="BX12" s="12">
        <f t="shared" si="24"/>
        <v>0</v>
      </c>
      <c r="BY12" s="11">
        <v>0</v>
      </c>
      <c r="BZ12" s="11"/>
      <c r="CA12" s="12">
        <f t="shared" si="25"/>
        <v>0</v>
      </c>
      <c r="CB12" s="11">
        <v>0</v>
      </c>
      <c r="CC12" s="10"/>
      <c r="CD12" s="12">
        <f t="shared" si="26"/>
        <v>68.721770953801268</v>
      </c>
      <c r="CE12" s="11">
        <v>205637</v>
      </c>
      <c r="CF12" s="10"/>
      <c r="CG12" s="12">
        <f t="shared" si="27"/>
        <v>1.4146360212847928</v>
      </c>
      <c r="CH12" s="11">
        <v>8492</v>
      </c>
      <c r="CI12" s="10"/>
      <c r="CJ12" s="12">
        <f t="shared" si="28"/>
        <v>0.40592587813587522</v>
      </c>
      <c r="CK12" s="11">
        <v>2529</v>
      </c>
      <c r="CL12" s="10"/>
      <c r="CM12" s="12">
        <f t="shared" si="29"/>
        <v>0</v>
      </c>
      <c r="CN12" s="11">
        <v>0</v>
      </c>
      <c r="CP12" s="12">
        <f t="shared" si="30"/>
        <v>0.62060842930754656</v>
      </c>
      <c r="CQ12">
        <v>3901</v>
      </c>
      <c r="CS12" s="12">
        <f t="shared" si="31"/>
        <v>0</v>
      </c>
      <c r="CT12">
        <v>0</v>
      </c>
      <c r="CV12" s="12">
        <f t="shared" si="32"/>
        <v>0</v>
      </c>
      <c r="CW12">
        <v>0</v>
      </c>
      <c r="CY12" s="12">
        <f t="shared" si="33"/>
        <v>0.61775940303916033</v>
      </c>
      <c r="CZ12">
        <v>1325</v>
      </c>
      <c r="DB12" s="12">
        <f t="shared" si="34"/>
        <v>0.43245775753678339</v>
      </c>
      <c r="DC12" s="16">
        <v>3843</v>
      </c>
      <c r="DD12" s="16"/>
      <c r="DE12" s="12">
        <f t="shared" si="35"/>
        <v>0.46545797152327839</v>
      </c>
      <c r="DF12" s="16">
        <v>4404</v>
      </c>
      <c r="DH12" s="12">
        <f t="shared" si="36"/>
        <v>0.52425797162483334</v>
      </c>
      <c r="DI12">
        <v>5760</v>
      </c>
      <c r="DK12" s="12">
        <f t="shared" si="37"/>
        <v>0.4685655385875806</v>
      </c>
      <c r="DL12">
        <v>5152</v>
      </c>
      <c r="DN12" s="12">
        <f t="shared" si="38"/>
        <v>0</v>
      </c>
      <c r="DO12">
        <v>0</v>
      </c>
      <c r="DQ12" s="12">
        <f t="shared" si="39"/>
        <v>0.25050807113628559</v>
      </c>
      <c r="DR12" s="16">
        <v>4655</v>
      </c>
      <c r="DS12" s="13"/>
      <c r="DT12" s="36">
        <f t="shared" si="40"/>
        <v>0.41783956592063748</v>
      </c>
      <c r="DU12" s="35">
        <v>29832</v>
      </c>
      <c r="DV12" s="13"/>
      <c r="DW12" s="12">
        <f t="shared" si="41"/>
        <v>0.11306292778309446</v>
      </c>
      <c r="DX12">
        <v>7060</v>
      </c>
      <c r="DZ12" s="12">
        <f t="shared" si="42"/>
        <v>0.31119015772969588</v>
      </c>
      <c r="EA12">
        <v>11269</v>
      </c>
      <c r="EC12" s="12">
        <f t="shared" si="43"/>
        <v>0.32780946412939571</v>
      </c>
      <c r="ED12">
        <v>11960</v>
      </c>
      <c r="EF12" s="12">
        <f t="shared" si="44"/>
        <v>0</v>
      </c>
      <c r="EG12">
        <v>0</v>
      </c>
      <c r="EI12" s="12">
        <f t="shared" si="45"/>
        <v>0</v>
      </c>
      <c r="EJ12">
        <v>0</v>
      </c>
      <c r="EL12" s="12">
        <f t="shared" si="46"/>
        <v>0.58619505926688609</v>
      </c>
      <c r="EM12">
        <v>2004</v>
      </c>
      <c r="EO12" s="12">
        <f t="shared" si="47"/>
        <v>0.21512637343259711</v>
      </c>
      <c r="EP12">
        <v>1935</v>
      </c>
      <c r="ES12">
        <v>0.32800000000000001</v>
      </c>
      <c r="ET12">
        <v>396</v>
      </c>
      <c r="EU12" s="10" t="s">
        <v>89</v>
      </c>
      <c r="EV12" s="44">
        <f t="shared" si="48"/>
        <v>0.360254757021089</v>
      </c>
      <c r="EW12">
        <v>5938</v>
      </c>
      <c r="EY12" s="44">
        <f t="shared" si="49"/>
        <v>0</v>
      </c>
      <c r="EZ12">
        <v>0</v>
      </c>
      <c r="FB12">
        <f t="shared" si="50"/>
        <v>0.59733369897372013</v>
      </c>
      <c r="FC12">
        <v>20028</v>
      </c>
      <c r="FE12">
        <f t="shared" si="51"/>
        <v>0.69630906486454824</v>
      </c>
      <c r="FF12">
        <v>18167</v>
      </c>
      <c r="FH12">
        <f t="shared" si="52"/>
        <v>0.69489130264742838</v>
      </c>
      <c r="FI12">
        <v>31094</v>
      </c>
      <c r="FK12">
        <f t="shared" si="53"/>
        <v>0.27146283771269686</v>
      </c>
      <c r="FL12">
        <v>4788</v>
      </c>
      <c r="FN12">
        <f t="shared" si="54"/>
        <v>0</v>
      </c>
      <c r="FO12">
        <v>0</v>
      </c>
      <c r="FQ12">
        <f t="shared" si="55"/>
        <v>0.10104947095525378</v>
      </c>
      <c r="FR12">
        <v>5450</v>
      </c>
      <c r="FT12">
        <f t="shared" si="56"/>
        <v>0</v>
      </c>
      <c r="FU12">
        <v>0</v>
      </c>
      <c r="FW12">
        <f t="shared" si="57"/>
        <v>0</v>
      </c>
      <c r="FX12">
        <v>0</v>
      </c>
      <c r="FZ12">
        <f t="shared" si="58"/>
        <v>9.5932333880358961E-2</v>
      </c>
      <c r="GA12">
        <v>3668</v>
      </c>
      <c r="GC12">
        <f t="shared" si="59"/>
        <v>0.18070604597847575</v>
      </c>
      <c r="GD12">
        <v>3862</v>
      </c>
      <c r="GF12">
        <f t="shared" si="60"/>
        <v>0.2251036856077806</v>
      </c>
      <c r="GG12">
        <v>8814</v>
      </c>
      <c r="GI12">
        <f t="shared" si="61"/>
        <v>0</v>
      </c>
      <c r="GJ12">
        <v>0</v>
      </c>
      <c r="GL12">
        <f t="shared" si="62"/>
        <v>0.25637775435479365</v>
      </c>
      <c r="GM12">
        <v>8506</v>
      </c>
      <c r="GO12">
        <f t="shared" si="63"/>
        <v>0.42697472635754624</v>
      </c>
      <c r="GP12">
        <v>10704</v>
      </c>
      <c r="GR12">
        <f t="shared" si="64"/>
        <v>0.24868586288600794</v>
      </c>
      <c r="GS12">
        <v>12958</v>
      </c>
      <c r="GU12">
        <f t="shared" si="65"/>
        <v>0.21961029206171567</v>
      </c>
      <c r="GV12">
        <v>15533</v>
      </c>
      <c r="GX12">
        <f t="shared" si="66"/>
        <v>0.14658655358351005</v>
      </c>
      <c r="GY12">
        <v>15352</v>
      </c>
      <c r="HA12">
        <f t="shared" si="67"/>
        <v>0.11595129337461237</v>
      </c>
      <c r="HB12">
        <v>1928</v>
      </c>
      <c r="HD12">
        <f t="shared" si="68"/>
        <v>0.14227459610415616</v>
      </c>
      <c r="HE12">
        <v>4268</v>
      </c>
      <c r="HG12">
        <f t="shared" si="69"/>
        <v>0.11474345841776257</v>
      </c>
      <c r="HH12">
        <v>2666</v>
      </c>
      <c r="HJ12">
        <f t="shared" si="70"/>
        <v>0.2591941128744813</v>
      </c>
      <c r="HK12">
        <v>8883</v>
      </c>
      <c r="HM12">
        <f t="shared" si="71"/>
        <v>9.9232998901372577E-2</v>
      </c>
      <c r="HN12">
        <v>12963</v>
      </c>
      <c r="HP12">
        <f t="shared" si="72"/>
        <v>6.9982744462451438E-2</v>
      </c>
      <c r="HQ12">
        <v>2862</v>
      </c>
      <c r="HS12">
        <f t="shared" si="73"/>
        <v>0</v>
      </c>
      <c r="HT12">
        <v>0</v>
      </c>
      <c r="HV12">
        <f t="shared" si="74"/>
        <v>0</v>
      </c>
      <c r="HW12">
        <v>0</v>
      </c>
      <c r="HY12">
        <f t="shared" si="75"/>
        <v>0</v>
      </c>
      <c r="HZ12">
        <v>0</v>
      </c>
      <c r="IB12">
        <f t="shared" si="76"/>
        <v>0</v>
      </c>
      <c r="IC12">
        <v>0</v>
      </c>
      <c r="IE12">
        <f t="shared" si="77"/>
        <v>5.8560081872607438E-2</v>
      </c>
      <c r="IF12">
        <v>5229</v>
      </c>
      <c r="IH12">
        <f t="shared" si="78"/>
        <v>0</v>
      </c>
      <c r="II12">
        <v>0</v>
      </c>
      <c r="IK12">
        <f t="shared" si="79"/>
        <v>6.9736941839293159E-2</v>
      </c>
      <c r="IL12">
        <v>7661</v>
      </c>
      <c r="IN12">
        <f t="shared" si="80"/>
        <v>0.12589284373431456</v>
      </c>
      <c r="IO12">
        <v>14392</v>
      </c>
      <c r="IQ12">
        <f t="shared" si="81"/>
        <v>8.4818503661536607E-2</v>
      </c>
      <c r="IR12">
        <v>16413</v>
      </c>
    </row>
    <row r="13" spans="1:252">
      <c r="A13">
        <v>0.34200000000000003</v>
      </c>
      <c r="B13">
        <v>382</v>
      </c>
      <c r="C13" s="10" t="s">
        <v>90</v>
      </c>
      <c r="D13" s="12">
        <f t="shared" si="0"/>
        <v>0</v>
      </c>
      <c r="E13" s="11">
        <v>0</v>
      </c>
      <c r="F13" s="11"/>
      <c r="G13" s="12">
        <f t="shared" si="1"/>
        <v>0</v>
      </c>
      <c r="H13" s="11"/>
      <c r="I13" s="11"/>
      <c r="J13" s="12">
        <f t="shared" si="2"/>
        <v>0</v>
      </c>
      <c r="K13" s="11"/>
      <c r="L13" s="10"/>
      <c r="M13" s="12">
        <f t="shared" si="3"/>
        <v>0</v>
      </c>
      <c r="N13" s="11"/>
      <c r="O13" s="11"/>
      <c r="P13" s="12">
        <f t="shared" si="4"/>
        <v>0</v>
      </c>
      <c r="Q13" s="11"/>
      <c r="R13" s="10"/>
      <c r="S13" s="12">
        <f t="shared" si="5"/>
        <v>0</v>
      </c>
      <c r="T13" s="11">
        <v>0</v>
      </c>
      <c r="U13" s="10"/>
      <c r="V13" s="12">
        <f t="shared" si="6"/>
        <v>0</v>
      </c>
      <c r="W13" s="11">
        <v>0</v>
      </c>
      <c r="X13" s="10"/>
      <c r="Y13" s="12">
        <f t="shared" si="7"/>
        <v>0</v>
      </c>
      <c r="Z13" s="11">
        <v>0</v>
      </c>
      <c r="AA13" s="10"/>
      <c r="AB13" s="12">
        <f t="shared" si="8"/>
        <v>0</v>
      </c>
      <c r="AC13" s="11">
        <v>0</v>
      </c>
      <c r="AD13" s="10"/>
      <c r="AE13" s="12">
        <f t="shared" si="9"/>
        <v>0</v>
      </c>
      <c r="AF13" s="11">
        <v>0</v>
      </c>
      <c r="AG13" s="10"/>
      <c r="AH13" s="12">
        <f t="shared" si="10"/>
        <v>0</v>
      </c>
      <c r="AI13" s="11"/>
      <c r="AJ13" s="10"/>
      <c r="AK13" s="12">
        <f t="shared" si="11"/>
        <v>0</v>
      </c>
      <c r="AL13" s="11"/>
      <c r="AM13" s="11"/>
      <c r="AN13" s="12">
        <f t="shared" si="12"/>
        <v>0</v>
      </c>
      <c r="AO13" s="11"/>
      <c r="AP13" s="10"/>
      <c r="AQ13" s="12">
        <f t="shared" si="13"/>
        <v>0</v>
      </c>
      <c r="AR13" s="11">
        <v>0</v>
      </c>
      <c r="AS13" s="10"/>
      <c r="AT13" s="12">
        <f t="shared" si="14"/>
        <v>0.29083113745888473</v>
      </c>
      <c r="AU13" s="11">
        <v>3773</v>
      </c>
      <c r="AV13" s="10"/>
      <c r="AW13" s="12">
        <f t="shared" si="15"/>
        <v>0</v>
      </c>
      <c r="AX13" s="11">
        <v>0</v>
      </c>
      <c r="AY13" s="10"/>
      <c r="AZ13" s="12">
        <f t="shared" si="16"/>
        <v>0</v>
      </c>
      <c r="BA13" s="11">
        <v>0</v>
      </c>
      <c r="BB13" s="10"/>
      <c r="BC13" s="12">
        <f t="shared" si="17"/>
        <v>0</v>
      </c>
      <c r="BD13" s="11">
        <v>0</v>
      </c>
      <c r="BE13" s="10"/>
      <c r="BF13" s="12">
        <f t="shared" si="18"/>
        <v>0.12158092630048394</v>
      </c>
      <c r="BG13" s="11">
        <v>3015</v>
      </c>
      <c r="BH13" s="10"/>
      <c r="BI13" s="12">
        <f t="shared" si="19"/>
        <v>0.10009564251413362</v>
      </c>
      <c r="BJ13" s="11">
        <v>2521</v>
      </c>
      <c r="BK13" s="10"/>
      <c r="BL13" s="12">
        <f t="shared" si="20"/>
        <v>0</v>
      </c>
      <c r="BM13" s="11">
        <v>0</v>
      </c>
      <c r="BN13" s="10"/>
      <c r="BO13" s="12">
        <f t="shared" si="21"/>
        <v>0</v>
      </c>
      <c r="BP13" s="11">
        <v>0</v>
      </c>
      <c r="BQ13" s="10"/>
      <c r="BR13" s="12">
        <f t="shared" si="22"/>
        <v>0</v>
      </c>
      <c r="BS13" s="11">
        <v>0</v>
      </c>
      <c r="BT13" s="11"/>
      <c r="BU13" s="12">
        <f t="shared" si="23"/>
        <v>0</v>
      </c>
      <c r="BV13" s="11">
        <v>0</v>
      </c>
      <c r="BW13" s="10"/>
      <c r="BX13" s="12">
        <f t="shared" si="24"/>
        <v>0</v>
      </c>
      <c r="BY13" s="11">
        <v>0</v>
      </c>
      <c r="BZ13" s="11"/>
      <c r="CA13" s="12">
        <f t="shared" si="25"/>
        <v>0</v>
      </c>
      <c r="CB13" s="11">
        <v>0</v>
      </c>
      <c r="CC13" s="10"/>
      <c r="CD13" s="12">
        <f t="shared" si="26"/>
        <v>0</v>
      </c>
      <c r="CE13" s="11">
        <v>0</v>
      </c>
      <c r="CF13" s="10"/>
      <c r="CG13" s="12">
        <f t="shared" si="27"/>
        <v>0</v>
      </c>
      <c r="CH13" s="11">
        <v>0</v>
      </c>
      <c r="CI13" s="10"/>
      <c r="CJ13" s="12">
        <f t="shared" si="28"/>
        <v>0</v>
      </c>
      <c r="CK13" s="11">
        <v>0</v>
      </c>
      <c r="CL13" s="10"/>
      <c r="CM13" s="12">
        <f t="shared" si="29"/>
        <v>0</v>
      </c>
      <c r="CN13" s="11">
        <v>0</v>
      </c>
      <c r="CP13" s="12">
        <f t="shared" si="30"/>
        <v>0</v>
      </c>
      <c r="CS13" s="12">
        <f t="shared" si="31"/>
        <v>0</v>
      </c>
      <c r="CT13">
        <v>0</v>
      </c>
      <c r="CV13" s="12">
        <f t="shared" si="32"/>
        <v>0</v>
      </c>
      <c r="CW13">
        <v>0</v>
      </c>
      <c r="CY13" s="12">
        <f t="shared" si="33"/>
        <v>0</v>
      </c>
      <c r="CZ13">
        <v>0</v>
      </c>
      <c r="DB13" s="12">
        <f t="shared" si="34"/>
        <v>0</v>
      </c>
      <c r="DC13" s="16">
        <v>0</v>
      </c>
      <c r="DD13" s="16"/>
      <c r="DE13" s="12">
        <f t="shared" si="35"/>
        <v>0</v>
      </c>
      <c r="DF13" s="16">
        <v>0</v>
      </c>
      <c r="DH13" s="12">
        <f t="shared" si="36"/>
        <v>0</v>
      </c>
      <c r="DI13">
        <v>0</v>
      </c>
      <c r="DK13" s="12">
        <f t="shared" si="37"/>
        <v>0</v>
      </c>
      <c r="DL13">
        <v>0</v>
      </c>
      <c r="DN13" s="12">
        <f t="shared" si="38"/>
        <v>0</v>
      </c>
      <c r="DO13">
        <v>0</v>
      </c>
      <c r="DQ13" s="12">
        <f t="shared" si="39"/>
        <v>0</v>
      </c>
      <c r="DR13" s="16">
        <v>0</v>
      </c>
      <c r="DS13" s="13"/>
      <c r="DT13" s="36">
        <f t="shared" si="40"/>
        <v>0</v>
      </c>
      <c r="DU13" s="35"/>
      <c r="DV13" s="13"/>
      <c r="DW13" s="12">
        <f t="shared" si="41"/>
        <v>0</v>
      </c>
      <c r="DX13">
        <v>0</v>
      </c>
      <c r="DZ13" s="12">
        <f t="shared" si="42"/>
        <v>0</v>
      </c>
      <c r="EA13">
        <v>0</v>
      </c>
      <c r="EC13" s="12">
        <f t="shared" si="43"/>
        <v>0</v>
      </c>
      <c r="ED13">
        <v>0</v>
      </c>
      <c r="EF13" s="12">
        <f t="shared" si="44"/>
        <v>0</v>
      </c>
      <c r="EG13">
        <v>0</v>
      </c>
      <c r="EI13" s="12">
        <f t="shared" si="45"/>
        <v>0</v>
      </c>
      <c r="EJ13">
        <v>0</v>
      </c>
      <c r="EL13" s="12">
        <f t="shared" si="46"/>
        <v>0</v>
      </c>
      <c r="EM13">
        <v>0</v>
      </c>
      <c r="EO13" s="12">
        <f t="shared" si="47"/>
        <v>0</v>
      </c>
      <c r="EP13">
        <v>0</v>
      </c>
      <c r="ES13">
        <v>0.45800000000000002</v>
      </c>
      <c r="ET13">
        <v>382</v>
      </c>
      <c r="EU13" s="10" t="s">
        <v>90</v>
      </c>
      <c r="EV13" s="44">
        <f t="shared" si="48"/>
        <v>0</v>
      </c>
      <c r="EW13">
        <v>0</v>
      </c>
      <c r="EY13" s="44">
        <f t="shared" si="49"/>
        <v>0</v>
      </c>
      <c r="EZ13">
        <v>0</v>
      </c>
      <c r="FB13">
        <f t="shared" si="50"/>
        <v>0</v>
      </c>
      <c r="FC13">
        <v>0</v>
      </c>
      <c r="FE13">
        <f t="shared" si="51"/>
        <v>0</v>
      </c>
      <c r="FF13">
        <v>0</v>
      </c>
      <c r="FH13">
        <f t="shared" si="52"/>
        <v>0</v>
      </c>
      <c r="FI13">
        <v>0</v>
      </c>
      <c r="FK13">
        <f t="shared" si="53"/>
        <v>0</v>
      </c>
      <c r="FL13">
        <v>0</v>
      </c>
      <c r="FN13">
        <f t="shared" si="54"/>
        <v>0</v>
      </c>
      <c r="FO13">
        <v>0</v>
      </c>
      <c r="FQ13">
        <f t="shared" si="55"/>
        <v>0</v>
      </c>
      <c r="FR13">
        <v>0</v>
      </c>
      <c r="FT13">
        <f t="shared" si="56"/>
        <v>0</v>
      </c>
      <c r="FU13">
        <v>0</v>
      </c>
      <c r="FW13">
        <f t="shared" si="57"/>
        <v>0</v>
      </c>
      <c r="FX13">
        <v>0</v>
      </c>
      <c r="FZ13">
        <f t="shared" si="58"/>
        <v>0</v>
      </c>
      <c r="GA13">
        <v>0</v>
      </c>
      <c r="GC13">
        <f t="shared" si="59"/>
        <v>0</v>
      </c>
      <c r="GD13">
        <v>0</v>
      </c>
      <c r="GF13">
        <f t="shared" si="60"/>
        <v>6.7435885232745768E-2</v>
      </c>
      <c r="GG13">
        <v>3687</v>
      </c>
      <c r="GI13">
        <f t="shared" si="61"/>
        <v>0</v>
      </c>
      <c r="GJ13">
        <v>0</v>
      </c>
      <c r="GL13">
        <f t="shared" si="62"/>
        <v>0</v>
      </c>
      <c r="GM13">
        <v>0</v>
      </c>
      <c r="GO13">
        <f t="shared" si="63"/>
        <v>0.12012417950547442</v>
      </c>
      <c r="GP13">
        <v>4205</v>
      </c>
      <c r="GR13">
        <f t="shared" si="64"/>
        <v>0</v>
      </c>
      <c r="GS13">
        <v>0</v>
      </c>
      <c r="GU13">
        <f t="shared" si="65"/>
        <v>0</v>
      </c>
      <c r="GV13">
        <v>0</v>
      </c>
      <c r="GX13">
        <f t="shared" si="66"/>
        <v>0</v>
      </c>
      <c r="GY13">
        <v>0</v>
      </c>
      <c r="HA13">
        <f t="shared" si="67"/>
        <v>0</v>
      </c>
      <c r="HB13">
        <v>0</v>
      </c>
      <c r="HD13">
        <f t="shared" si="68"/>
        <v>0</v>
      </c>
      <c r="HE13">
        <v>0</v>
      </c>
      <c r="HG13">
        <f t="shared" si="69"/>
        <v>0</v>
      </c>
      <c r="HH13">
        <v>0</v>
      </c>
      <c r="HJ13">
        <f t="shared" si="70"/>
        <v>0</v>
      </c>
      <c r="HK13">
        <v>0</v>
      </c>
      <c r="HM13">
        <f t="shared" si="71"/>
        <v>0</v>
      </c>
      <c r="HN13">
        <v>0</v>
      </c>
      <c r="HP13">
        <f t="shared" si="72"/>
        <v>0</v>
      </c>
      <c r="HQ13">
        <v>0</v>
      </c>
      <c r="HS13">
        <f t="shared" si="73"/>
        <v>0</v>
      </c>
      <c r="HT13">
        <v>0</v>
      </c>
      <c r="HV13">
        <f t="shared" si="74"/>
        <v>0</v>
      </c>
      <c r="HW13">
        <v>0</v>
      </c>
      <c r="HY13">
        <f t="shared" si="75"/>
        <v>0</v>
      </c>
      <c r="HZ13">
        <v>0</v>
      </c>
      <c r="IB13">
        <f t="shared" si="76"/>
        <v>0</v>
      </c>
      <c r="IC13">
        <v>0</v>
      </c>
      <c r="IE13">
        <f t="shared" si="77"/>
        <v>0</v>
      </c>
      <c r="IF13">
        <v>0</v>
      </c>
      <c r="IH13">
        <f t="shared" si="78"/>
        <v>0</v>
      </c>
      <c r="II13">
        <v>0</v>
      </c>
      <c r="IK13">
        <f t="shared" si="79"/>
        <v>0</v>
      </c>
      <c r="IL13">
        <v>0</v>
      </c>
      <c r="IN13">
        <f t="shared" si="80"/>
        <v>0</v>
      </c>
      <c r="IO13">
        <v>0</v>
      </c>
      <c r="IQ13">
        <f t="shared" si="81"/>
        <v>0</v>
      </c>
      <c r="IR13">
        <v>0</v>
      </c>
    </row>
    <row r="14" spans="1:252">
      <c r="A14">
        <v>0.13600000000000001</v>
      </c>
      <c r="B14">
        <v>394</v>
      </c>
      <c r="C14" s="10" t="s">
        <v>91</v>
      </c>
      <c r="D14" s="12">
        <f t="shared" si="0"/>
        <v>0</v>
      </c>
      <c r="E14" s="11">
        <v>0</v>
      </c>
      <c r="F14" s="11"/>
      <c r="G14" s="12">
        <f t="shared" si="1"/>
        <v>0</v>
      </c>
      <c r="H14" s="11"/>
      <c r="I14" s="11"/>
      <c r="J14" s="12">
        <f t="shared" si="2"/>
        <v>0</v>
      </c>
      <c r="K14" s="11"/>
      <c r="L14" s="10"/>
      <c r="M14" s="12">
        <f t="shared" si="3"/>
        <v>0</v>
      </c>
      <c r="N14" s="11"/>
      <c r="O14" s="11"/>
      <c r="P14" s="12">
        <f t="shared" si="4"/>
        <v>0</v>
      </c>
      <c r="Q14" s="11"/>
      <c r="R14" s="10"/>
      <c r="S14" s="12">
        <f t="shared" si="5"/>
        <v>0</v>
      </c>
      <c r="T14" s="11">
        <v>0</v>
      </c>
      <c r="U14" s="10"/>
      <c r="V14" s="12">
        <f t="shared" si="6"/>
        <v>0</v>
      </c>
      <c r="W14" s="11">
        <v>0</v>
      </c>
      <c r="X14" s="10"/>
      <c r="Y14" s="12">
        <f t="shared" si="7"/>
        <v>0</v>
      </c>
      <c r="Z14" s="11">
        <v>0</v>
      </c>
      <c r="AA14" s="10"/>
      <c r="AB14" s="12">
        <f t="shared" si="8"/>
        <v>0</v>
      </c>
      <c r="AC14" s="11">
        <v>0</v>
      </c>
      <c r="AD14" s="10"/>
      <c r="AE14" s="12">
        <f t="shared" si="9"/>
        <v>0</v>
      </c>
      <c r="AF14" s="11">
        <v>0</v>
      </c>
      <c r="AG14" s="10"/>
      <c r="AH14" s="12">
        <f t="shared" si="10"/>
        <v>0</v>
      </c>
      <c r="AI14" s="11"/>
      <c r="AJ14" s="10"/>
      <c r="AK14" s="12">
        <f t="shared" si="11"/>
        <v>0</v>
      </c>
      <c r="AL14" s="11"/>
      <c r="AM14" s="11"/>
      <c r="AN14" s="12">
        <f t="shared" si="12"/>
        <v>0</v>
      </c>
      <c r="AO14" s="11"/>
      <c r="AP14" s="10"/>
      <c r="AQ14" s="12">
        <f t="shared" si="13"/>
        <v>0</v>
      </c>
      <c r="AR14" s="11">
        <v>0</v>
      </c>
      <c r="AS14" s="10"/>
      <c r="AT14" s="12">
        <f t="shared" si="14"/>
        <v>2.6755605406409022</v>
      </c>
      <c r="AU14" s="11">
        <v>13803</v>
      </c>
      <c r="AV14" s="10"/>
      <c r="AW14" s="12">
        <f t="shared" si="15"/>
        <v>0</v>
      </c>
      <c r="AX14" s="11">
        <v>0</v>
      </c>
      <c r="AY14" s="10"/>
      <c r="AZ14" s="12">
        <f t="shared" si="16"/>
        <v>0</v>
      </c>
      <c r="BA14" s="11">
        <v>0</v>
      </c>
      <c r="BB14" s="10"/>
      <c r="BC14" s="12">
        <f t="shared" si="17"/>
        <v>0</v>
      </c>
      <c r="BD14" s="11">
        <v>0</v>
      </c>
      <c r="BE14" s="10"/>
      <c r="BF14" s="12">
        <f t="shared" si="18"/>
        <v>0.25422582363788199</v>
      </c>
      <c r="BG14" s="11">
        <v>2507</v>
      </c>
      <c r="BH14" s="10"/>
      <c r="BI14" s="12">
        <f t="shared" si="19"/>
        <v>0</v>
      </c>
      <c r="BJ14" s="11">
        <v>0</v>
      </c>
      <c r="BK14" s="10"/>
      <c r="BL14" s="12">
        <f t="shared" si="20"/>
        <v>0</v>
      </c>
      <c r="BM14" s="11">
        <v>0</v>
      </c>
      <c r="BN14" s="10"/>
      <c r="BO14" s="12">
        <f t="shared" si="21"/>
        <v>0</v>
      </c>
      <c r="BP14" s="11">
        <v>0</v>
      </c>
      <c r="BQ14" s="10"/>
      <c r="BR14" s="12">
        <f t="shared" si="22"/>
        <v>0</v>
      </c>
      <c r="BS14" s="11">
        <v>0</v>
      </c>
      <c r="BT14" s="11"/>
      <c r="BU14" s="12">
        <f t="shared" si="23"/>
        <v>0</v>
      </c>
      <c r="BV14" s="11">
        <v>0</v>
      </c>
      <c r="BW14" s="10"/>
      <c r="BX14" s="12">
        <f t="shared" si="24"/>
        <v>0</v>
      </c>
      <c r="BY14" s="11">
        <v>0</v>
      </c>
      <c r="BZ14" s="11"/>
      <c r="CA14" s="12">
        <f t="shared" si="25"/>
        <v>0</v>
      </c>
      <c r="CB14" s="11">
        <v>0</v>
      </c>
      <c r="CC14" s="10"/>
      <c r="CD14" s="12">
        <f t="shared" si="26"/>
        <v>12.194715487435301</v>
      </c>
      <c r="CE14" s="11">
        <v>20507</v>
      </c>
      <c r="CF14" s="10"/>
      <c r="CG14" s="12">
        <f t="shared" si="27"/>
        <v>0</v>
      </c>
      <c r="CH14" s="11">
        <v>0</v>
      </c>
      <c r="CI14" s="10"/>
      <c r="CJ14" s="12">
        <f t="shared" si="28"/>
        <v>0</v>
      </c>
      <c r="CK14" s="11">
        <v>0</v>
      </c>
      <c r="CL14" s="10"/>
      <c r="CM14" s="12">
        <f t="shared" si="29"/>
        <v>0</v>
      </c>
      <c r="CN14" s="11">
        <v>0</v>
      </c>
      <c r="CP14" s="12">
        <f t="shared" si="30"/>
        <v>0</v>
      </c>
      <c r="CS14" s="12">
        <f t="shared" si="31"/>
        <v>0</v>
      </c>
      <c r="CT14">
        <v>0</v>
      </c>
      <c r="CV14" s="12">
        <f t="shared" si="32"/>
        <v>0</v>
      </c>
      <c r="CW14">
        <v>0</v>
      </c>
      <c r="CY14" s="12">
        <f t="shared" si="33"/>
        <v>0</v>
      </c>
      <c r="CZ14">
        <v>0</v>
      </c>
      <c r="DB14" s="12">
        <f t="shared" si="34"/>
        <v>0</v>
      </c>
      <c r="DC14" s="16">
        <v>0</v>
      </c>
      <c r="DD14" s="16"/>
      <c r="DE14" s="12">
        <f t="shared" si="35"/>
        <v>0</v>
      </c>
      <c r="DF14" s="16">
        <v>0</v>
      </c>
      <c r="DH14" s="12">
        <f t="shared" si="36"/>
        <v>0</v>
      </c>
      <c r="DI14">
        <v>0</v>
      </c>
      <c r="DK14" s="12">
        <f t="shared" si="37"/>
        <v>0</v>
      </c>
      <c r="DL14">
        <v>0</v>
      </c>
      <c r="DN14" s="12">
        <f t="shared" si="38"/>
        <v>0</v>
      </c>
      <c r="DO14">
        <v>0</v>
      </c>
      <c r="DQ14" s="12">
        <f t="shared" si="39"/>
        <v>0</v>
      </c>
      <c r="DR14" s="16">
        <v>0</v>
      </c>
      <c r="DS14" s="13"/>
      <c r="DT14" s="36">
        <f t="shared" si="40"/>
        <v>0</v>
      </c>
      <c r="DU14" s="35"/>
      <c r="DV14" s="13"/>
      <c r="DW14" s="12">
        <f t="shared" si="41"/>
        <v>0</v>
      </c>
      <c r="DX14">
        <v>0</v>
      </c>
      <c r="DZ14" s="12">
        <f t="shared" si="42"/>
        <v>0</v>
      </c>
      <c r="EA14">
        <v>0</v>
      </c>
      <c r="EC14" s="12">
        <f t="shared" si="43"/>
        <v>0</v>
      </c>
      <c r="ED14">
        <v>0</v>
      </c>
      <c r="EF14" s="12">
        <f t="shared" si="44"/>
        <v>0</v>
      </c>
      <c r="EG14">
        <v>0</v>
      </c>
      <c r="EI14" s="12">
        <f t="shared" si="45"/>
        <v>0</v>
      </c>
      <c r="EJ14">
        <v>0</v>
      </c>
      <c r="EL14" s="12">
        <f t="shared" si="46"/>
        <v>0</v>
      </c>
      <c r="EM14">
        <v>0</v>
      </c>
      <c r="EO14" s="12">
        <f t="shared" si="47"/>
        <v>0</v>
      </c>
      <c r="EP14">
        <v>0</v>
      </c>
      <c r="ES14">
        <v>0.16600000000000001</v>
      </c>
      <c r="ET14">
        <v>394</v>
      </c>
      <c r="EU14" s="10" t="s">
        <v>91</v>
      </c>
      <c r="EV14" s="44">
        <f t="shared" si="48"/>
        <v>0</v>
      </c>
      <c r="EW14">
        <v>0</v>
      </c>
      <c r="EY14" s="44">
        <f t="shared" si="49"/>
        <v>0</v>
      </c>
      <c r="EZ14">
        <v>0</v>
      </c>
      <c r="FB14">
        <f t="shared" si="50"/>
        <v>0.34268485287060646</v>
      </c>
      <c r="FC14">
        <v>5815</v>
      </c>
      <c r="FE14">
        <f t="shared" si="51"/>
        <v>0.40350489229850978</v>
      </c>
      <c r="FF14">
        <v>5328</v>
      </c>
      <c r="FH14">
        <f t="shared" si="52"/>
        <v>0.44175321664983186</v>
      </c>
      <c r="FI14">
        <v>10004</v>
      </c>
      <c r="FK14">
        <f t="shared" si="53"/>
        <v>0.12199720426602859</v>
      </c>
      <c r="FL14">
        <v>1089</v>
      </c>
      <c r="FN14">
        <f t="shared" si="54"/>
        <v>0</v>
      </c>
      <c r="FO14">
        <v>0</v>
      </c>
      <c r="FQ14">
        <f t="shared" si="55"/>
        <v>0</v>
      </c>
      <c r="FR14">
        <v>0</v>
      </c>
      <c r="FT14">
        <f t="shared" si="56"/>
        <v>0</v>
      </c>
      <c r="FU14">
        <v>0</v>
      </c>
      <c r="FW14">
        <f t="shared" si="57"/>
        <v>0</v>
      </c>
      <c r="FX14">
        <v>0</v>
      </c>
      <c r="FZ14">
        <f t="shared" si="58"/>
        <v>0</v>
      </c>
      <c r="GA14">
        <v>0</v>
      </c>
      <c r="GC14">
        <f t="shared" si="59"/>
        <v>0</v>
      </c>
      <c r="GD14">
        <v>0</v>
      </c>
      <c r="GF14">
        <f t="shared" si="60"/>
        <v>0.11626735427621107</v>
      </c>
      <c r="GG14">
        <v>2304</v>
      </c>
      <c r="GI14">
        <f t="shared" si="61"/>
        <v>0</v>
      </c>
      <c r="GJ14">
        <v>0</v>
      </c>
      <c r="GL14">
        <f t="shared" si="62"/>
        <v>8.8797013597561966E-2</v>
      </c>
      <c r="GM14">
        <v>1491</v>
      </c>
      <c r="GO14">
        <f t="shared" si="63"/>
        <v>0.24039291484778194</v>
      </c>
      <c r="GP14">
        <v>3050</v>
      </c>
      <c r="GR14">
        <f t="shared" si="64"/>
        <v>0.14982555918292947</v>
      </c>
      <c r="GS14">
        <v>3951</v>
      </c>
      <c r="GU14">
        <f t="shared" si="65"/>
        <v>0</v>
      </c>
      <c r="GV14">
        <v>0</v>
      </c>
      <c r="GX14">
        <f t="shared" si="66"/>
        <v>0</v>
      </c>
      <c r="GY14">
        <v>0</v>
      </c>
      <c r="HA14">
        <f t="shared" si="67"/>
        <v>0</v>
      </c>
      <c r="HB14">
        <v>0</v>
      </c>
      <c r="HD14">
        <f t="shared" si="68"/>
        <v>0</v>
      </c>
      <c r="HE14">
        <v>0</v>
      </c>
      <c r="HG14">
        <f t="shared" si="69"/>
        <v>0</v>
      </c>
      <c r="HH14">
        <v>0</v>
      </c>
      <c r="HJ14">
        <f t="shared" si="70"/>
        <v>0</v>
      </c>
      <c r="HK14">
        <v>0</v>
      </c>
      <c r="HM14">
        <f t="shared" si="71"/>
        <v>0</v>
      </c>
      <c r="HN14">
        <v>0</v>
      </c>
      <c r="HP14">
        <f t="shared" si="72"/>
        <v>0</v>
      </c>
      <c r="HQ14">
        <v>0</v>
      </c>
      <c r="HS14">
        <f t="shared" si="73"/>
        <v>0</v>
      </c>
      <c r="HT14">
        <v>0</v>
      </c>
      <c r="HV14">
        <f t="shared" si="74"/>
        <v>0</v>
      </c>
      <c r="HW14">
        <v>0</v>
      </c>
      <c r="HY14">
        <f t="shared" si="75"/>
        <v>0</v>
      </c>
      <c r="HZ14">
        <v>0</v>
      </c>
      <c r="IB14">
        <f t="shared" si="76"/>
        <v>0</v>
      </c>
      <c r="IC14">
        <v>0</v>
      </c>
      <c r="IE14">
        <f t="shared" si="77"/>
        <v>0</v>
      </c>
      <c r="IF14">
        <v>0</v>
      </c>
      <c r="IH14">
        <f t="shared" si="78"/>
        <v>0</v>
      </c>
      <c r="II14">
        <v>0</v>
      </c>
      <c r="IK14">
        <f t="shared" si="79"/>
        <v>0</v>
      </c>
      <c r="IL14">
        <v>0</v>
      </c>
      <c r="IN14">
        <f t="shared" si="80"/>
        <v>0</v>
      </c>
      <c r="IO14">
        <v>0</v>
      </c>
      <c r="IQ14">
        <f t="shared" si="81"/>
        <v>0</v>
      </c>
      <c r="IR14">
        <v>0</v>
      </c>
    </row>
    <row r="15" spans="1:252">
      <c r="A15">
        <v>1.0209999999999999</v>
      </c>
      <c r="B15">
        <v>495</v>
      </c>
      <c r="C15" s="10" t="s">
        <v>92</v>
      </c>
      <c r="D15" s="12">
        <f t="shared" si="0"/>
        <v>0</v>
      </c>
      <c r="E15" s="11">
        <v>0</v>
      </c>
      <c r="F15" s="11"/>
      <c r="G15" s="12">
        <f t="shared" si="1"/>
        <v>1.1404994562137933</v>
      </c>
      <c r="H15" s="11">
        <v>23408</v>
      </c>
      <c r="I15" s="11"/>
      <c r="J15" s="12">
        <f t="shared" si="2"/>
        <v>1.3683971115682945</v>
      </c>
      <c r="K15" s="11">
        <v>28982</v>
      </c>
      <c r="L15" s="10"/>
      <c r="M15" s="12">
        <f t="shared" si="3"/>
        <v>0.28852593516601688</v>
      </c>
      <c r="N15" s="11">
        <v>9846</v>
      </c>
      <c r="O15" s="11"/>
      <c r="P15" s="12">
        <f t="shared" si="4"/>
        <v>0.37986435706066146</v>
      </c>
      <c r="Q15" s="11">
        <v>13707</v>
      </c>
      <c r="R15" s="10"/>
      <c r="S15" s="12">
        <f t="shared" si="5"/>
        <v>0</v>
      </c>
      <c r="T15" s="11">
        <v>0</v>
      </c>
      <c r="U15" s="10"/>
      <c r="V15" s="12">
        <f t="shared" si="6"/>
        <v>0</v>
      </c>
      <c r="W15" s="11">
        <v>0</v>
      </c>
      <c r="X15" s="10"/>
      <c r="Y15" s="12">
        <f t="shared" si="7"/>
        <v>0</v>
      </c>
      <c r="Z15" s="11">
        <v>0</v>
      </c>
      <c r="AA15" s="10"/>
      <c r="AB15" s="12">
        <f t="shared" si="8"/>
        <v>0</v>
      </c>
      <c r="AC15" s="11">
        <v>0</v>
      </c>
      <c r="AD15" s="10"/>
      <c r="AE15" s="12">
        <f t="shared" si="9"/>
        <v>0</v>
      </c>
      <c r="AF15" s="11">
        <v>0</v>
      </c>
      <c r="AG15" s="10"/>
      <c r="AH15" s="12">
        <f t="shared" si="10"/>
        <v>1.2862761631867667</v>
      </c>
      <c r="AI15" s="11">
        <v>61139</v>
      </c>
      <c r="AJ15" s="10"/>
      <c r="AK15" s="12">
        <f t="shared" si="11"/>
        <v>0.22324202333626048</v>
      </c>
      <c r="AL15" s="11">
        <v>8202</v>
      </c>
      <c r="AM15" s="11"/>
      <c r="AN15" s="12">
        <f t="shared" si="12"/>
        <v>0.15777711240204495</v>
      </c>
      <c r="AO15" s="11">
        <v>5283</v>
      </c>
      <c r="AP15" s="10"/>
      <c r="AQ15" s="12">
        <f t="shared" si="13"/>
        <v>0</v>
      </c>
      <c r="AR15" s="11">
        <v>0</v>
      </c>
      <c r="AS15" s="10"/>
      <c r="AT15" s="12">
        <f t="shared" si="14"/>
        <v>0</v>
      </c>
      <c r="AU15" s="11">
        <v>0</v>
      </c>
      <c r="AV15" s="10"/>
      <c r="AW15" s="12">
        <f t="shared" si="15"/>
        <v>0</v>
      </c>
      <c r="AX15" s="11">
        <v>0</v>
      </c>
      <c r="AY15" s="10"/>
      <c r="AZ15" s="12">
        <f t="shared" si="16"/>
        <v>0.15005686246813341</v>
      </c>
      <c r="BA15" s="11">
        <v>13370</v>
      </c>
      <c r="BB15" s="10"/>
      <c r="BC15" s="12">
        <f t="shared" si="17"/>
        <v>0</v>
      </c>
      <c r="BD15" s="11">
        <v>0</v>
      </c>
      <c r="BE15" s="10"/>
      <c r="BF15" s="12">
        <f t="shared" si="18"/>
        <v>0</v>
      </c>
      <c r="BG15" s="11">
        <v>0</v>
      </c>
      <c r="BH15" s="10"/>
      <c r="BI15" s="12">
        <f t="shared" si="19"/>
        <v>0</v>
      </c>
      <c r="BJ15" s="11">
        <v>0</v>
      </c>
      <c r="BK15" s="10"/>
      <c r="BL15" s="12">
        <f t="shared" si="20"/>
        <v>0</v>
      </c>
      <c r="BM15" s="11">
        <v>0</v>
      </c>
      <c r="BN15" s="10"/>
      <c r="BO15" s="12">
        <f t="shared" si="21"/>
        <v>0</v>
      </c>
      <c r="BP15" s="11">
        <v>0</v>
      </c>
      <c r="BQ15" s="10"/>
      <c r="BR15" s="12">
        <f t="shared" si="22"/>
        <v>0</v>
      </c>
      <c r="BS15" s="11">
        <v>0</v>
      </c>
      <c r="BT15" s="11"/>
      <c r="BU15" s="12">
        <f t="shared" si="23"/>
        <v>0</v>
      </c>
      <c r="BV15" s="11">
        <v>0</v>
      </c>
      <c r="BW15" s="10"/>
      <c r="BX15" s="12">
        <f t="shared" si="24"/>
        <v>0</v>
      </c>
      <c r="BY15" s="11">
        <v>0</v>
      </c>
      <c r="BZ15" s="11"/>
      <c r="CA15" s="12">
        <f t="shared" si="25"/>
        <v>0</v>
      </c>
      <c r="CB15" s="11">
        <v>0</v>
      </c>
      <c r="CC15" s="10"/>
      <c r="CD15" s="12">
        <f t="shared" si="26"/>
        <v>0</v>
      </c>
      <c r="CE15" s="11">
        <v>0</v>
      </c>
      <c r="CF15" s="10"/>
      <c r="CG15" s="12">
        <f t="shared" si="27"/>
        <v>0.23935377581491413</v>
      </c>
      <c r="CH15" s="11">
        <v>6062</v>
      </c>
      <c r="CI15" s="10"/>
      <c r="CJ15" s="12">
        <f t="shared" si="28"/>
        <v>0</v>
      </c>
      <c r="CK15" s="11">
        <v>0</v>
      </c>
      <c r="CL15" s="10"/>
      <c r="CM15" s="12">
        <f t="shared" si="29"/>
        <v>0</v>
      </c>
      <c r="CN15" s="11">
        <v>0</v>
      </c>
      <c r="CP15" s="12">
        <f t="shared" si="30"/>
        <v>0.23929378070951876</v>
      </c>
      <c r="CQ15">
        <v>6346</v>
      </c>
      <c r="CS15" s="12">
        <f t="shared" si="31"/>
        <v>0</v>
      </c>
      <c r="CT15">
        <v>0</v>
      </c>
      <c r="CV15" s="12">
        <f t="shared" si="32"/>
        <v>0</v>
      </c>
      <c r="CW15">
        <v>0</v>
      </c>
      <c r="CY15" s="12">
        <f t="shared" si="33"/>
        <v>0</v>
      </c>
      <c r="CZ15">
        <v>0</v>
      </c>
      <c r="DB15" s="12">
        <f t="shared" si="34"/>
        <v>0.13186859940453427</v>
      </c>
      <c r="DC15" s="16">
        <v>4944</v>
      </c>
      <c r="DD15" s="16"/>
      <c r="DE15" s="12">
        <f t="shared" si="35"/>
        <v>0.15158280490630913</v>
      </c>
      <c r="DF15" s="16">
        <v>6051</v>
      </c>
      <c r="DH15" s="12">
        <f t="shared" si="36"/>
        <v>0</v>
      </c>
      <c r="DI15">
        <v>0</v>
      </c>
      <c r="DK15" s="12">
        <f t="shared" si="37"/>
        <v>0</v>
      </c>
      <c r="DL15">
        <v>0</v>
      </c>
      <c r="DN15" s="12">
        <f t="shared" si="38"/>
        <v>0</v>
      </c>
      <c r="DO15">
        <v>0</v>
      </c>
      <c r="DQ15" s="12">
        <f t="shared" si="39"/>
        <v>0</v>
      </c>
      <c r="DR15" s="16">
        <v>0</v>
      </c>
      <c r="DS15" s="13"/>
      <c r="DT15" s="36">
        <f t="shared" si="40"/>
        <v>0.67483663071983058</v>
      </c>
      <c r="DU15" s="35">
        <v>203274</v>
      </c>
      <c r="DV15" s="13"/>
      <c r="DW15" s="12">
        <f t="shared" si="41"/>
        <v>0</v>
      </c>
      <c r="DX15">
        <v>0</v>
      </c>
      <c r="DZ15" s="12">
        <f t="shared" si="42"/>
        <v>2.2928214449403433E-2</v>
      </c>
      <c r="EA15">
        <v>3503</v>
      </c>
      <c r="EC15" s="12">
        <f t="shared" si="43"/>
        <v>3.016328348433513E-2</v>
      </c>
      <c r="ED15">
        <v>4643</v>
      </c>
      <c r="EF15" s="12">
        <f t="shared" si="44"/>
        <v>0</v>
      </c>
      <c r="EG15">
        <v>0</v>
      </c>
      <c r="EI15" s="12">
        <f t="shared" si="45"/>
        <v>0</v>
      </c>
      <c r="EJ15">
        <v>0</v>
      </c>
      <c r="EL15" s="12">
        <f t="shared" si="46"/>
        <v>0</v>
      </c>
      <c r="EM15">
        <v>0</v>
      </c>
      <c r="EO15" s="12">
        <f t="shared" si="47"/>
        <v>0</v>
      </c>
      <c r="EP15">
        <v>0</v>
      </c>
      <c r="ES15">
        <v>1.6379999999999999</v>
      </c>
      <c r="ET15">
        <v>495</v>
      </c>
      <c r="EU15" s="10" t="s">
        <v>92</v>
      </c>
      <c r="EV15" s="44">
        <f t="shared" si="48"/>
        <v>0</v>
      </c>
      <c r="EW15">
        <v>0</v>
      </c>
      <c r="EY15" s="44">
        <f t="shared" si="49"/>
        <v>0</v>
      </c>
      <c r="EZ15">
        <v>0</v>
      </c>
      <c r="FB15">
        <f t="shared" si="50"/>
        <v>8.6000677409156956E-2</v>
      </c>
      <c r="FC15">
        <v>14400</v>
      </c>
      <c r="FE15">
        <f t="shared" si="51"/>
        <v>0</v>
      </c>
      <c r="FF15">
        <v>0</v>
      </c>
      <c r="FH15">
        <f t="shared" si="52"/>
        <v>0.23442228012113078</v>
      </c>
      <c r="FI15">
        <v>52384</v>
      </c>
      <c r="FK15">
        <f t="shared" si="53"/>
        <v>0</v>
      </c>
      <c r="FL15">
        <v>0</v>
      </c>
      <c r="FN15">
        <f t="shared" si="54"/>
        <v>0</v>
      </c>
      <c r="FO15">
        <v>0</v>
      </c>
      <c r="FQ15">
        <f t="shared" si="55"/>
        <v>0</v>
      </c>
      <c r="FR15">
        <v>0</v>
      </c>
      <c r="FT15">
        <f t="shared" si="56"/>
        <v>0.50759823050305353</v>
      </c>
      <c r="FU15">
        <v>97368</v>
      </c>
      <c r="FW15">
        <f t="shared" si="57"/>
        <v>0</v>
      </c>
      <c r="FX15">
        <v>0</v>
      </c>
      <c r="FZ15">
        <f t="shared" si="58"/>
        <v>0</v>
      </c>
      <c r="GA15">
        <v>0</v>
      </c>
      <c r="GC15">
        <f t="shared" si="59"/>
        <v>0.40069967638717097</v>
      </c>
      <c r="GD15">
        <v>42766</v>
      </c>
      <c r="GF15">
        <f t="shared" si="60"/>
        <v>9.8001563734561412E-2</v>
      </c>
      <c r="GG15">
        <v>19163</v>
      </c>
      <c r="GI15">
        <f t="shared" si="61"/>
        <v>0</v>
      </c>
      <c r="GJ15">
        <v>0</v>
      </c>
      <c r="GL15">
        <f t="shared" si="62"/>
        <v>0.15669424734213347</v>
      </c>
      <c r="GM15">
        <v>25962</v>
      </c>
      <c r="GO15">
        <f t="shared" si="63"/>
        <v>0</v>
      </c>
      <c r="GP15">
        <v>0</v>
      </c>
      <c r="GR15">
        <f t="shared" si="64"/>
        <v>0</v>
      </c>
      <c r="GS15">
        <v>0</v>
      </c>
      <c r="GU15">
        <f t="shared" si="65"/>
        <v>0.62794665514439563</v>
      </c>
      <c r="GV15">
        <v>221802</v>
      </c>
      <c r="GX15">
        <f t="shared" si="66"/>
        <v>0.40666252051175478</v>
      </c>
      <c r="GY15">
        <v>212689</v>
      </c>
      <c r="HA15">
        <f t="shared" si="67"/>
        <v>0.1888195134275745</v>
      </c>
      <c r="HB15">
        <v>15679</v>
      </c>
      <c r="HD15">
        <f>(HE15/HE$5)*((61.5/((5*0.48)+(5*0.98)))/ES15)</f>
        <v>0</v>
      </c>
      <c r="HE15">
        <v>0</v>
      </c>
      <c r="HG15">
        <f t="shared" si="69"/>
        <v>7.1282965297195897E-2</v>
      </c>
      <c r="HH15">
        <v>8271</v>
      </c>
      <c r="HJ15">
        <f t="shared" si="70"/>
        <v>0.12109909876881156</v>
      </c>
      <c r="HK15">
        <v>20726</v>
      </c>
      <c r="HM15">
        <f t="shared" si="71"/>
        <v>7.3849965092129335E-2</v>
      </c>
      <c r="HN15">
        <v>48177</v>
      </c>
      <c r="HP15">
        <f t="shared" si="72"/>
        <v>0.19966252449256891</v>
      </c>
      <c r="HQ15">
        <v>40777</v>
      </c>
      <c r="HS15">
        <f t="shared" si="73"/>
        <v>0</v>
      </c>
      <c r="HT15">
        <v>0</v>
      </c>
      <c r="HV15">
        <f t="shared" si="74"/>
        <v>0</v>
      </c>
      <c r="HW15">
        <v>0</v>
      </c>
      <c r="HY15">
        <f t="shared" si="75"/>
        <v>0.30901226883185723</v>
      </c>
      <c r="HZ15">
        <v>144532</v>
      </c>
      <c r="IB15">
        <f t="shared" si="76"/>
        <v>0</v>
      </c>
      <c r="IC15">
        <v>0</v>
      </c>
      <c r="IE15">
        <f t="shared" si="77"/>
        <v>0</v>
      </c>
      <c r="IF15">
        <v>0</v>
      </c>
      <c r="IH15">
        <f t="shared" si="78"/>
        <v>0.16106426914936711</v>
      </c>
      <c r="II15">
        <v>63491</v>
      </c>
      <c r="IK15">
        <f t="shared" si="79"/>
        <v>0.13301103727163688</v>
      </c>
      <c r="IL15">
        <v>72971</v>
      </c>
      <c r="IN15">
        <f t="shared" si="80"/>
        <v>0</v>
      </c>
      <c r="IO15">
        <v>0</v>
      </c>
      <c r="IQ15">
        <f t="shared" si="81"/>
        <v>0</v>
      </c>
      <c r="IR15">
        <v>0</v>
      </c>
    </row>
    <row r="16" spans="1:252">
      <c r="C16" s="10" t="s">
        <v>5</v>
      </c>
      <c r="D16" s="18">
        <f>SUM(D6:D15)</f>
        <v>51.735230196149459</v>
      </c>
      <c r="E16" s="11"/>
      <c r="F16" s="11"/>
      <c r="G16" s="18">
        <f>SUM(G6:G15)</f>
        <v>101.62531461907525</v>
      </c>
      <c r="H16" s="11"/>
      <c r="I16" s="11"/>
      <c r="J16" s="18">
        <f>SUM(J6:J15)</f>
        <v>102.52081742447869</v>
      </c>
      <c r="K16" s="11"/>
      <c r="L16" s="10"/>
      <c r="M16" s="18">
        <f>SUM(M6:M15)</f>
        <v>26.026983230453254</v>
      </c>
      <c r="N16" s="11"/>
      <c r="O16" s="11"/>
      <c r="P16" s="18">
        <f>SUM(P6:P15)</f>
        <v>25.954072646627651</v>
      </c>
      <c r="Q16" s="11"/>
      <c r="R16" s="10"/>
      <c r="S16" s="18">
        <f>SUM(S6:S15)</f>
        <v>94.049082909790144</v>
      </c>
      <c r="T16" s="11"/>
      <c r="U16" s="10"/>
      <c r="V16" s="18">
        <f>SUM(V6:V15)</f>
        <v>31.488263103823808</v>
      </c>
      <c r="W16" s="11"/>
      <c r="X16" s="10"/>
      <c r="Y16" s="18">
        <f>SUM(Y6:Y15)</f>
        <v>17.275831006084289</v>
      </c>
      <c r="Z16" s="11"/>
      <c r="AA16" s="10"/>
      <c r="AB16" s="18">
        <f>SUM(AB6:AB15)</f>
        <v>50.660232578296522</v>
      </c>
      <c r="AC16" s="11"/>
      <c r="AD16" s="10"/>
      <c r="AE16" s="18">
        <f>SUM(AE6:AE15)</f>
        <v>17.992660145660757</v>
      </c>
      <c r="AF16" s="11"/>
      <c r="AG16" s="10"/>
      <c r="AH16" s="18">
        <f>SUM(AH6:AH15)</f>
        <v>26.704134942002231</v>
      </c>
      <c r="AI16" s="11"/>
      <c r="AJ16" s="10"/>
      <c r="AK16" s="18">
        <f>SUM(AK6:AK15)</f>
        <v>36.553490061018103</v>
      </c>
      <c r="AL16" s="11"/>
      <c r="AM16" s="11"/>
      <c r="AN16" s="18">
        <f>SUM(AN6:AN15)</f>
        <v>34.659010573836561</v>
      </c>
      <c r="AO16" s="11"/>
      <c r="AP16" s="10"/>
      <c r="AQ16" s="18">
        <f>SUM(AQ6:AQ15)</f>
        <v>21.425049050750989</v>
      </c>
      <c r="AR16" s="11"/>
      <c r="AS16" s="10"/>
      <c r="AT16" s="18">
        <f>SUM(AT6:AT15)</f>
        <v>43.828333343940628</v>
      </c>
      <c r="AU16" s="11"/>
      <c r="AV16" s="10"/>
      <c r="AW16" s="18">
        <f>SUM(AW6:AW15)</f>
        <v>17.520439578737903</v>
      </c>
      <c r="AX16" s="11"/>
      <c r="AY16" s="10"/>
      <c r="AZ16" s="18">
        <f>SUM(AZ6:AZ15)</f>
        <v>15.286315606126111</v>
      </c>
      <c r="BA16" s="11"/>
      <c r="BB16" s="10"/>
      <c r="BC16" s="18">
        <f>SUM(BC6:BC15)</f>
        <v>14.803262916284568</v>
      </c>
      <c r="BD16" s="11"/>
      <c r="BE16" s="10"/>
      <c r="BF16" s="18">
        <f>SUM(BF6:BF15)</f>
        <v>17.882685273380392</v>
      </c>
      <c r="BG16" s="11"/>
      <c r="BH16" s="10"/>
      <c r="BI16" s="18">
        <f>SUM(BI6:BI15)</f>
        <v>62.646590724471615</v>
      </c>
      <c r="BJ16" s="11"/>
      <c r="BK16" s="10"/>
      <c r="BL16" s="18">
        <f>SUM(BL6:BL15)</f>
        <v>27.353302629601302</v>
      </c>
      <c r="BM16" s="11"/>
      <c r="BN16" s="10"/>
      <c r="BO16" s="18">
        <f>SUM(BO6:BO15)</f>
        <v>47.734094691071924</v>
      </c>
      <c r="BP16" s="11"/>
      <c r="BQ16" s="10"/>
      <c r="BR16" s="18">
        <f>SUM(BR6:BR15)</f>
        <v>13.924707451925093</v>
      </c>
      <c r="BS16" s="11"/>
      <c r="BT16" s="11"/>
      <c r="BU16" s="18">
        <f>SUM(BU6:BU15)</f>
        <v>13.566853556685151</v>
      </c>
      <c r="BV16" s="11"/>
      <c r="BW16" s="10"/>
      <c r="BX16" s="18">
        <f>SUM(BX6:BX15)</f>
        <v>45.93332716599857</v>
      </c>
      <c r="BY16" s="11"/>
      <c r="BZ16" s="11"/>
      <c r="CA16" s="18">
        <f>SUM(CA6:CA15)</f>
        <v>49.123930706325595</v>
      </c>
      <c r="CB16" s="11"/>
      <c r="CC16" s="10"/>
      <c r="CD16" s="18">
        <f>SUM(CD6:CD15)</f>
        <v>124.36488068662628</v>
      </c>
      <c r="CE16" s="11"/>
      <c r="CF16" s="10"/>
      <c r="CG16" s="18">
        <f>SUM(CG6:CG15)</f>
        <v>55.797921840281461</v>
      </c>
      <c r="CH16" s="11"/>
      <c r="CI16" s="10"/>
      <c r="CJ16" s="18">
        <f>SUM(CJ6:CJ15)</f>
        <v>50.640834173354961</v>
      </c>
      <c r="CK16" s="11"/>
      <c r="CL16" s="10"/>
      <c r="CM16" s="18">
        <f>SUM(CM6:CM15)</f>
        <v>24.731966096271819</v>
      </c>
      <c r="CN16" s="11"/>
      <c r="CP16" s="18">
        <f>SUM(CP6:CP15)</f>
        <v>24.326545547064267</v>
      </c>
      <c r="CS16" s="18">
        <f>SUM(CS6:CS15)</f>
        <v>27.647866695999525</v>
      </c>
      <c r="CV16" s="18">
        <f>SUM(CV6:CV15)</f>
        <v>15.478282294370075</v>
      </c>
      <c r="CY16" s="18">
        <f>SUM(CY6:CY15)</f>
        <v>99.95904092676021</v>
      </c>
      <c r="DB16" s="18">
        <f>SUM(DB6:DB15)</f>
        <v>30.635156627772393</v>
      </c>
      <c r="DC16" s="1"/>
      <c r="DD16" s="1"/>
      <c r="DE16" s="18">
        <f>SUM(DE6:DE15)</f>
        <v>30.372735800761589</v>
      </c>
      <c r="DF16" s="1"/>
      <c r="DH16" s="18">
        <f>SUM(DH6:DH15)</f>
        <v>65.800457866765498</v>
      </c>
      <c r="DK16" s="18">
        <f>SUM(DK6:DK15)</f>
        <v>65.533619796916611</v>
      </c>
      <c r="DN16" s="18">
        <f>SUM(DN6:DN15)</f>
        <v>60.000333019636898</v>
      </c>
      <c r="DQ16" s="18">
        <f>SUM(DQ6:DQ15)</f>
        <v>19.3208357291503</v>
      </c>
      <c r="DR16" s="1"/>
      <c r="DT16" s="18">
        <f>SUM(DT6:DT15)</f>
        <v>20.007179633307505</v>
      </c>
      <c r="DU16" s="35"/>
      <c r="DW16" s="18">
        <f>SUM(DW6:DW15)</f>
        <v>2.9922201021238237</v>
      </c>
      <c r="DZ16" s="18">
        <f>SUM(DZ6:DZ15)</f>
        <v>18.980622694728211</v>
      </c>
      <c r="EC16" s="18">
        <f>SUM(EC6:EC15)</f>
        <v>18.523353472442746</v>
      </c>
      <c r="EF16" s="18">
        <f>SUM(EF6:EF15)</f>
        <v>19.885541373252032</v>
      </c>
      <c r="EI16" s="18">
        <f>SUM(EI6:EI15)</f>
        <v>15.209823878823887</v>
      </c>
      <c r="EL16" s="18">
        <f>SUM(EL6:EL15)</f>
        <v>14.869743492947816</v>
      </c>
      <c r="EO16" s="18">
        <f>SUM(EO6:EO15)</f>
        <v>20.686621758433354</v>
      </c>
      <c r="EU16" s="10" t="s">
        <v>103</v>
      </c>
      <c r="EV16" s="44">
        <f>SUM(EV8:EV10,EV15)</f>
        <v>0.93717862811343389</v>
      </c>
      <c r="EW16" s="44"/>
      <c r="EX16" s="44"/>
      <c r="EY16" s="44">
        <f>SUM(EY8:EY10,EY15)</f>
        <v>0.94185831012206933</v>
      </c>
      <c r="EZ16" s="44"/>
      <c r="FB16" s="44">
        <f>FB8+FB9+FB10+FB15</f>
        <v>2.6514880737859499</v>
      </c>
      <c r="FC16" s="44"/>
      <c r="FD16" s="44"/>
      <c r="FE16" s="44">
        <f>FE8+FE9+FE10+FE15</f>
        <v>0.62097624873814938</v>
      </c>
      <c r="FF16" s="44"/>
      <c r="FG16" s="44"/>
      <c r="FH16" s="44">
        <f>FH8+FH9+FH10+FH15</f>
        <v>2.2592626197709627</v>
      </c>
      <c r="FI16" s="44"/>
      <c r="FJ16" s="44"/>
      <c r="FK16" s="44">
        <f>FK8+FK9+FK10+FK15</f>
        <v>0.6170002521848279</v>
      </c>
      <c r="FL16" s="44"/>
      <c r="FM16" s="44"/>
      <c r="FN16" s="44">
        <f>FN8+FN9+FN10+FN15</f>
        <v>0</v>
      </c>
      <c r="FO16" s="44"/>
      <c r="FP16" s="44"/>
      <c r="FQ16" s="44">
        <f>FQ8+FQ9+FQ10+FQ15</f>
        <v>1.7736848577159521</v>
      </c>
      <c r="FR16" s="44"/>
      <c r="FS16" s="44"/>
      <c r="FT16" s="44">
        <f>FT8+FT9+FT10+FT15</f>
        <v>2.5409891347464191</v>
      </c>
      <c r="FU16" s="44"/>
      <c r="FV16" s="44"/>
      <c r="FW16" s="44">
        <f>FW8+FW9+FW10+FW15</f>
        <v>0.68563179860568324</v>
      </c>
      <c r="FX16" s="44"/>
      <c r="FY16" s="44"/>
      <c r="FZ16" s="44">
        <f>FZ8+FZ9+FZ10+FZ15</f>
        <v>0.54755095438827428</v>
      </c>
      <c r="GA16" s="44"/>
      <c r="GB16" s="44"/>
      <c r="GC16" s="44">
        <f>GC8+GC9+GC10+GC15</f>
        <v>1.9254389461318233</v>
      </c>
      <c r="GD16" s="44"/>
      <c r="GE16" s="44"/>
      <c r="GF16" s="44">
        <f>GF8+GF9+GF10+GF15</f>
        <v>1.6974832546515268</v>
      </c>
      <c r="GG16" s="44"/>
      <c r="GH16" s="44"/>
      <c r="GI16" s="44">
        <f>GI8+GI9+GI10+GI15</f>
        <v>0</v>
      </c>
      <c r="GJ16" s="44"/>
      <c r="GK16" s="44"/>
      <c r="GL16" s="44">
        <f>GL8+GL9+GL10+GL15</f>
        <v>1.3085763943616648</v>
      </c>
      <c r="GM16" s="44"/>
      <c r="GN16" s="44"/>
      <c r="GO16" s="44">
        <f>GO8+GO9+GO10+GO15</f>
        <v>0.5711794752643431</v>
      </c>
      <c r="GP16" s="44"/>
      <c r="GQ16" s="44"/>
      <c r="GR16" s="44">
        <f>GR8+GR9+GR10+GR15</f>
        <v>0.87390315963797072</v>
      </c>
      <c r="GS16" s="44"/>
      <c r="GT16" s="44"/>
      <c r="GU16" s="44">
        <f>GU8+GU9+GU10+GU15</f>
        <v>3.4423364994481553</v>
      </c>
      <c r="GV16" s="44"/>
      <c r="GW16" s="44"/>
      <c r="GX16" s="44">
        <f>GX8+GX9+GX10+GX15</f>
        <v>3.1864248065968583</v>
      </c>
      <c r="GY16" s="44"/>
      <c r="GZ16" s="44"/>
      <c r="HA16" s="44">
        <f>HA8+HA9+HA10+HA15</f>
        <v>1.7287743064921621</v>
      </c>
      <c r="HB16" s="44"/>
      <c r="HC16" s="44"/>
      <c r="HD16" s="44">
        <f>HD8+HD9+HD10+HD15</f>
        <v>1.2496942833070319</v>
      </c>
      <c r="HE16" s="44"/>
      <c r="HF16" s="44"/>
      <c r="HG16" s="44">
        <f>HG8+HG9+HG10+HG15</f>
        <v>1.4236679824390994</v>
      </c>
      <c r="HH16" s="44"/>
      <c r="HI16" s="44"/>
      <c r="HJ16" s="44">
        <f>HJ8+HJ9+HJ10+HJ15</f>
        <v>1.8339445729033368</v>
      </c>
      <c r="HK16" s="44"/>
      <c r="HL16" s="44"/>
      <c r="HM16" s="44">
        <f>HM8+HM9+HM10+HM15</f>
        <v>1.0736212997323082</v>
      </c>
      <c r="HN16" s="44"/>
      <c r="HO16" s="44"/>
      <c r="HP16" s="44">
        <f>HP8+HP9+HP10+HP15</f>
        <v>2.5446673499672969</v>
      </c>
      <c r="HQ16" s="44"/>
      <c r="HR16" s="44"/>
      <c r="HS16" s="44">
        <f>HS8+HS9+HS10+HS15</f>
        <v>0.78838918324358909</v>
      </c>
      <c r="HT16" s="44"/>
      <c r="HU16" s="44"/>
      <c r="HV16" s="44">
        <f>HV8+HV9+HV10+HV15</f>
        <v>0.91603249371133333</v>
      </c>
      <c r="HW16" s="44"/>
      <c r="HX16" s="44"/>
      <c r="HY16" s="44">
        <f>HY8+HY9+HY10+HY15</f>
        <v>1.7295540736651658</v>
      </c>
      <c r="HZ16" s="44"/>
      <c r="IA16" s="44"/>
      <c r="IB16" s="44">
        <f>IB8+IB9+IB10+IB15</f>
        <v>0.50039745188360096</v>
      </c>
      <c r="IC16" s="44"/>
      <c r="ID16" s="44"/>
      <c r="IE16" s="44">
        <f>IE8+IE9+IE10+IE15</f>
        <v>1.8912235609101027</v>
      </c>
      <c r="IF16" s="44"/>
      <c r="IG16" s="44"/>
      <c r="IH16" s="44">
        <f>IH8+IH9+IH10+IH15</f>
        <v>1.7793445725621269</v>
      </c>
      <c r="II16" s="44"/>
      <c r="IJ16" s="44"/>
      <c r="IK16" s="44">
        <f>IK8+IK9+IK10+IK15</f>
        <v>1.4677690254271338</v>
      </c>
      <c r="IL16" s="44"/>
      <c r="IM16" s="44"/>
      <c r="IN16" s="44">
        <f>IN8+IN9+IN10+IN15</f>
        <v>1.0819293844912781</v>
      </c>
      <c r="IO16" s="44"/>
      <c r="IP16" s="44"/>
      <c r="IQ16" s="44">
        <f>IQ8+IQ9+IQ10+IQ15</f>
        <v>0.82571994885568334</v>
      </c>
      <c r="IR16" s="44"/>
    </row>
    <row r="17" spans="3:155">
      <c r="EV17" s="44"/>
      <c r="EY17" s="44"/>
    </row>
    <row r="18" spans="3:155">
      <c r="E18" s="22"/>
      <c r="F18" s="22"/>
      <c r="J18" s="22"/>
      <c r="K18" s="22"/>
      <c r="O18" s="22"/>
      <c r="P18" s="22"/>
      <c r="T18" s="2"/>
      <c r="U18" s="2"/>
      <c r="EV18" s="44"/>
      <c r="EY18" s="44"/>
    </row>
    <row r="19" spans="3:155" s="47" customFormat="1">
      <c r="C19" s="46"/>
      <c r="D19" s="46"/>
      <c r="G19" s="48"/>
      <c r="L19" s="48"/>
      <c r="Q19" s="48"/>
      <c r="V19" s="48"/>
      <c r="ER19" s="52"/>
      <c r="EV19" s="44"/>
      <c r="EY19" s="44"/>
    </row>
    <row r="20" spans="3:155">
      <c r="E20" s="44"/>
      <c r="F20" s="44"/>
      <c r="G20" s="44"/>
      <c r="J20" s="44"/>
      <c r="K20" s="12"/>
      <c r="L20" s="44"/>
      <c r="T20" s="44"/>
      <c r="U20" s="12"/>
      <c r="V20" s="44"/>
      <c r="EV20" s="44"/>
      <c r="EY20" s="44"/>
    </row>
    <row r="21" spans="3:155" ht="15.75">
      <c r="D21" s="21"/>
      <c r="E21" s="44"/>
      <c r="F21" s="44"/>
      <c r="G21" s="44"/>
      <c r="I21" s="21"/>
      <c r="J21" s="44"/>
      <c r="K21" s="44"/>
      <c r="L21" s="44"/>
      <c r="N21" s="21"/>
      <c r="O21" s="44"/>
      <c r="P21" s="44"/>
      <c r="Q21" s="44"/>
      <c r="S21" s="21"/>
      <c r="T21" s="44"/>
      <c r="U21" s="44"/>
      <c r="V21" s="44"/>
      <c r="EV21" s="44"/>
      <c r="EY21" s="44"/>
    </row>
    <row r="22" spans="3:155" ht="15.75">
      <c r="D22" s="21"/>
      <c r="E22" s="44"/>
      <c r="F22" s="44"/>
      <c r="G22" s="44"/>
      <c r="I22" s="21"/>
      <c r="J22" s="44"/>
      <c r="K22" s="44"/>
      <c r="L22" s="44"/>
      <c r="N22" s="21"/>
      <c r="O22" s="44"/>
      <c r="P22" s="44"/>
      <c r="Q22" s="44"/>
      <c r="S22" s="21"/>
      <c r="T22" s="44"/>
      <c r="U22" s="44"/>
      <c r="V22" s="44"/>
      <c r="EV22" s="44"/>
      <c r="EY22" s="44"/>
    </row>
    <row r="23" spans="3:155" ht="15.75">
      <c r="D23" s="21"/>
      <c r="E23" s="44"/>
      <c r="F23" s="44"/>
      <c r="G23" s="44"/>
      <c r="I23" s="21"/>
      <c r="J23" s="44"/>
      <c r="K23" s="44"/>
      <c r="L23" s="44"/>
      <c r="N23" s="21"/>
      <c r="O23" s="44"/>
      <c r="P23" s="44"/>
      <c r="Q23" s="44"/>
      <c r="S23" s="21"/>
      <c r="T23" s="44"/>
      <c r="U23" s="44"/>
      <c r="V23" s="44"/>
      <c r="EV23" s="44"/>
      <c r="EY23" s="44"/>
    </row>
    <row r="24" spans="3:155" ht="15.75">
      <c r="D24" s="21"/>
      <c r="E24" s="44"/>
      <c r="F24" s="44"/>
      <c r="G24" s="44"/>
      <c r="I24" s="21"/>
      <c r="J24" s="44"/>
      <c r="K24" s="44"/>
      <c r="L24" s="44"/>
      <c r="N24" s="21"/>
      <c r="O24" s="44"/>
      <c r="P24" s="44"/>
      <c r="Q24" s="44"/>
      <c r="S24" s="21"/>
      <c r="T24" s="44"/>
      <c r="U24" s="44"/>
      <c r="V24" s="44"/>
      <c r="EV24" s="44"/>
      <c r="EY24" s="44"/>
    </row>
    <row r="25" spans="3:155" ht="15.75">
      <c r="D25" s="21"/>
      <c r="E25" s="44"/>
      <c r="F25" s="44"/>
      <c r="G25" s="44"/>
      <c r="I25" s="21"/>
      <c r="J25" s="44"/>
      <c r="K25" s="44"/>
      <c r="L25" s="44"/>
      <c r="N25" s="21"/>
      <c r="O25" s="44"/>
      <c r="P25" s="44"/>
      <c r="Q25" s="44"/>
      <c r="S25" s="21"/>
      <c r="T25" s="44"/>
      <c r="U25" s="44"/>
      <c r="V25" s="44"/>
      <c r="EV25" s="44"/>
      <c r="EY25" s="44"/>
    </row>
    <row r="26" spans="3:155" ht="15.75">
      <c r="D26" s="21"/>
      <c r="E26" s="44"/>
      <c r="F26" s="44"/>
      <c r="G26" s="44"/>
      <c r="I26" s="21"/>
      <c r="J26" s="44"/>
      <c r="K26" s="44"/>
      <c r="L26" s="44"/>
      <c r="N26" s="21"/>
      <c r="O26" s="44"/>
      <c r="P26" s="44"/>
      <c r="Q26" s="44"/>
      <c r="S26" s="21"/>
      <c r="T26" s="44"/>
      <c r="U26" s="44"/>
      <c r="V26" s="44"/>
      <c r="EV26" s="44"/>
      <c r="EY26" s="44"/>
    </row>
    <row r="27" spans="3:155" ht="15.75">
      <c r="D27" s="21"/>
      <c r="E27" s="44"/>
      <c r="F27" s="44"/>
      <c r="G27" s="44"/>
      <c r="I27" s="21"/>
      <c r="J27" s="44"/>
      <c r="K27" s="44"/>
      <c r="L27" s="44"/>
      <c r="N27" s="21"/>
      <c r="O27" s="44"/>
      <c r="P27" s="44"/>
      <c r="Q27" s="44"/>
      <c r="S27" s="21"/>
      <c r="T27" s="44"/>
      <c r="U27" s="44"/>
      <c r="V27" s="44"/>
      <c r="EV27" s="44"/>
      <c r="EY27" s="44"/>
    </row>
    <row r="28" spans="3:155" ht="15.75">
      <c r="D28" s="21"/>
      <c r="E28" s="44"/>
      <c r="F28" s="44"/>
      <c r="G28" s="44"/>
      <c r="I28" s="21"/>
      <c r="J28" s="44"/>
      <c r="K28" s="44"/>
      <c r="L28" s="44"/>
      <c r="N28" s="21"/>
      <c r="O28" s="44"/>
      <c r="P28" s="44"/>
      <c r="Q28" s="44"/>
      <c r="S28" s="21"/>
      <c r="T28" s="44"/>
      <c r="U28" s="44"/>
      <c r="V28" s="44"/>
      <c r="EV28" s="44"/>
      <c r="EY28" s="44"/>
    </row>
    <row r="29" spans="3:155" ht="15.75">
      <c r="D29" s="21"/>
      <c r="E29" s="44"/>
      <c r="F29" s="44"/>
      <c r="G29" s="44"/>
      <c r="I29" s="21"/>
      <c r="J29" s="44"/>
      <c r="K29" s="44"/>
      <c r="L29" s="44"/>
      <c r="N29" s="21"/>
      <c r="O29" s="44"/>
      <c r="P29" s="44"/>
      <c r="Q29" s="44"/>
      <c r="S29" s="21"/>
      <c r="T29" s="44"/>
      <c r="U29" s="44"/>
      <c r="V29" s="44"/>
      <c r="EV29" s="44"/>
      <c r="EY29" s="44"/>
    </row>
    <row r="30" spans="3:155" ht="15.75">
      <c r="S30" s="21"/>
      <c r="T30" s="44"/>
      <c r="U30" s="44"/>
      <c r="V30" s="44"/>
      <c r="EV30" s="44"/>
      <c r="EY30" s="44"/>
    </row>
  </sheetData>
  <phoneticPr fontId="0" type="noConversion"/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T24"/>
  <sheetViews>
    <sheetView tabSelected="1" workbookViewId="0">
      <pane xSplit="3" topLeftCell="D1" activePane="topRight" state="frozen"/>
      <selection pane="topRight" activeCell="HS25" sqref="HS25"/>
    </sheetView>
  </sheetViews>
  <sheetFormatPr defaultRowHeight="12.75"/>
  <cols>
    <col min="3" max="3" width="18" bestFit="1" customWidth="1"/>
    <col min="124" max="124" width="9.140625" style="50"/>
    <col min="127" max="127" width="18" bestFit="1" customWidth="1"/>
  </cols>
  <sheetData>
    <row r="1" spans="1:228">
      <c r="D1" t="s">
        <v>68</v>
      </c>
      <c r="G1" t="s">
        <v>68</v>
      </c>
      <c r="J1" t="s">
        <v>68</v>
      </c>
      <c r="M1" t="s">
        <v>69</v>
      </c>
      <c r="P1" t="s">
        <v>69</v>
      </c>
      <c r="S1" t="s">
        <v>69</v>
      </c>
      <c r="V1" t="s">
        <v>69</v>
      </c>
      <c r="Y1" t="s">
        <v>70</v>
      </c>
      <c r="AB1" t="s">
        <v>70</v>
      </c>
      <c r="AE1" t="s">
        <v>70</v>
      </c>
      <c r="AH1" t="s">
        <v>70</v>
      </c>
      <c r="AK1" t="s">
        <v>71</v>
      </c>
      <c r="AN1" t="s">
        <v>72</v>
      </c>
      <c r="AQ1" t="s">
        <v>72</v>
      </c>
      <c r="AT1" t="s">
        <v>72</v>
      </c>
      <c r="AW1" t="s">
        <v>73</v>
      </c>
      <c r="AZ1" t="s">
        <v>73</v>
      </c>
      <c r="BC1" t="s">
        <v>73</v>
      </c>
      <c r="BF1" t="s">
        <v>73</v>
      </c>
      <c r="BI1" t="s">
        <v>73</v>
      </c>
      <c r="BL1" t="s">
        <v>74</v>
      </c>
      <c r="BO1" t="s">
        <v>74</v>
      </c>
      <c r="BR1" t="s">
        <v>74</v>
      </c>
      <c r="BU1" t="s">
        <v>74</v>
      </c>
      <c r="BX1" t="s">
        <v>75</v>
      </c>
      <c r="CA1" t="s">
        <v>75</v>
      </c>
      <c r="CD1" t="s">
        <v>75</v>
      </c>
      <c r="CG1" t="s">
        <v>75</v>
      </c>
      <c r="CJ1" t="s">
        <v>76</v>
      </c>
      <c r="CM1" t="s">
        <v>76</v>
      </c>
      <c r="CN1" s="1"/>
      <c r="CO1" s="1"/>
      <c r="CP1" t="s">
        <v>76</v>
      </c>
      <c r="CS1" t="s">
        <v>76</v>
      </c>
      <c r="CV1" t="s">
        <v>77</v>
      </c>
      <c r="CY1" t="s">
        <v>77</v>
      </c>
      <c r="DB1" t="s">
        <v>77</v>
      </c>
      <c r="DE1" t="s">
        <v>77</v>
      </c>
      <c r="DH1" t="s">
        <v>78</v>
      </c>
      <c r="DK1" t="s">
        <v>78</v>
      </c>
      <c r="DN1" t="s">
        <v>78</v>
      </c>
      <c r="DQ1" t="s">
        <v>78</v>
      </c>
    </row>
    <row r="2" spans="1:228">
      <c r="D2" t="s">
        <v>0</v>
      </c>
      <c r="V2" s="2"/>
      <c r="CN2" s="1"/>
      <c r="CO2" s="1"/>
      <c r="DE2" s="2"/>
      <c r="DT2" s="50" t="s">
        <v>146</v>
      </c>
      <c r="DX2" s="51">
        <v>38626</v>
      </c>
      <c r="EA2" s="51">
        <v>38657</v>
      </c>
      <c r="ED2" s="51">
        <v>38687</v>
      </c>
      <c r="EG2" s="51">
        <v>38718</v>
      </c>
      <c r="EJ2" s="51">
        <v>38749</v>
      </c>
      <c r="EM2" s="51">
        <v>38777</v>
      </c>
      <c r="EP2" s="51">
        <v>38808</v>
      </c>
      <c r="ES2" s="51">
        <v>38838</v>
      </c>
      <c r="EV2" s="51">
        <v>38869</v>
      </c>
      <c r="EY2" s="51">
        <v>38899</v>
      </c>
      <c r="FB2" s="51">
        <v>38930</v>
      </c>
      <c r="FE2" s="51">
        <v>38961</v>
      </c>
      <c r="FH2" s="51">
        <v>38991</v>
      </c>
      <c r="FK2" s="51">
        <v>39022</v>
      </c>
      <c r="FN2" s="51">
        <v>39052</v>
      </c>
      <c r="FQ2" s="51">
        <v>39083</v>
      </c>
      <c r="FT2" s="51">
        <v>39114</v>
      </c>
      <c r="FW2" s="51">
        <v>38626</v>
      </c>
      <c r="FZ2" s="51">
        <v>38657</v>
      </c>
      <c r="GC2" s="51">
        <v>38687</v>
      </c>
      <c r="GF2" s="51">
        <v>38718</v>
      </c>
      <c r="GI2" s="51">
        <v>38749</v>
      </c>
      <c r="GL2" s="51">
        <v>38777</v>
      </c>
      <c r="GO2" s="51">
        <v>38808</v>
      </c>
      <c r="GR2" s="51">
        <v>38838</v>
      </c>
      <c r="GU2" s="51">
        <v>38869</v>
      </c>
      <c r="GX2" s="51">
        <v>38899</v>
      </c>
      <c r="HA2" s="51">
        <v>38930</v>
      </c>
      <c r="HD2" s="51">
        <v>38961</v>
      </c>
      <c r="HG2" s="51">
        <v>38991</v>
      </c>
      <c r="HJ2" s="51">
        <v>39022</v>
      </c>
      <c r="HM2" s="51">
        <v>39052</v>
      </c>
      <c r="HP2" s="51">
        <v>39083</v>
      </c>
      <c r="HS2" s="51">
        <v>39114</v>
      </c>
    </row>
    <row r="3" spans="1:228">
      <c r="D3" s="3" t="s">
        <v>7</v>
      </c>
      <c r="G3" s="3" t="s">
        <v>54</v>
      </c>
      <c r="J3" s="3" t="s">
        <v>41</v>
      </c>
      <c r="M3" s="3" t="s">
        <v>21</v>
      </c>
      <c r="P3" s="3" t="s">
        <v>22</v>
      </c>
      <c r="S3" s="3" t="s">
        <v>62</v>
      </c>
      <c r="V3" s="3" t="s">
        <v>43</v>
      </c>
      <c r="Y3" s="3" t="s">
        <v>23</v>
      </c>
      <c r="AB3" s="3" t="s">
        <v>56</v>
      </c>
      <c r="AE3" s="3" t="s">
        <v>39</v>
      </c>
      <c r="AH3" s="3" t="s">
        <v>24</v>
      </c>
      <c r="AK3" s="3" t="s">
        <v>25</v>
      </c>
      <c r="AN3" s="3" t="s">
        <v>26</v>
      </c>
      <c r="AQ3" s="3" t="s">
        <v>63</v>
      </c>
      <c r="AT3" s="3" t="s">
        <v>27</v>
      </c>
      <c r="AW3" s="3" t="s">
        <v>28</v>
      </c>
      <c r="AZ3" s="3" t="s">
        <v>29</v>
      </c>
      <c r="BC3" s="3" t="s">
        <v>30</v>
      </c>
      <c r="BF3" s="3" t="s">
        <v>44</v>
      </c>
      <c r="BI3" s="3" t="s">
        <v>48</v>
      </c>
      <c r="BL3" s="3" t="s">
        <v>50</v>
      </c>
      <c r="BO3" s="3" t="s">
        <v>57</v>
      </c>
      <c r="BR3" s="3" t="s">
        <v>64</v>
      </c>
      <c r="BU3" s="3" t="s">
        <v>31</v>
      </c>
      <c r="BX3" s="3" t="s">
        <v>52</v>
      </c>
      <c r="BY3" s="4"/>
      <c r="BZ3" s="4"/>
      <c r="CA3" s="3" t="s">
        <v>58</v>
      </c>
      <c r="CB3" s="4"/>
      <c r="CC3" s="4"/>
      <c r="CD3" s="3" t="s">
        <v>32</v>
      </c>
      <c r="CE3" s="4"/>
      <c r="CF3" s="4"/>
      <c r="CG3" s="3" t="s">
        <v>33</v>
      </c>
      <c r="CH3" s="4"/>
      <c r="CI3" s="4"/>
      <c r="CJ3" s="3" t="s">
        <v>34</v>
      </c>
      <c r="CK3" s="4"/>
      <c r="CL3" s="4"/>
      <c r="CM3" s="3" t="s">
        <v>59</v>
      </c>
      <c r="CN3" s="4"/>
      <c r="CO3" s="4"/>
      <c r="CP3" s="3" t="s">
        <v>65</v>
      </c>
      <c r="CQ3" s="4"/>
      <c r="CR3" s="4"/>
      <c r="CS3" s="3" t="s">
        <v>35</v>
      </c>
      <c r="CT3" s="4"/>
      <c r="CU3" s="4"/>
      <c r="CV3" s="3" t="s">
        <v>36</v>
      </c>
      <c r="CW3" s="4"/>
      <c r="CX3" s="4"/>
      <c r="CY3" s="3" t="s">
        <v>61</v>
      </c>
      <c r="CZ3" s="4"/>
      <c r="DA3" s="4"/>
      <c r="DB3" s="3" t="s">
        <v>37</v>
      </c>
      <c r="DC3" s="4"/>
      <c r="DD3" s="4"/>
      <c r="DE3" s="3" t="s">
        <v>45</v>
      </c>
      <c r="DF3" s="4"/>
      <c r="DG3" s="4"/>
      <c r="DH3" s="3" t="s">
        <v>53</v>
      </c>
      <c r="DI3" s="4"/>
      <c r="DJ3" s="4"/>
      <c r="DK3" s="3" t="s">
        <v>38</v>
      </c>
      <c r="DL3" s="4"/>
      <c r="DM3" s="4"/>
      <c r="DN3" s="3" t="s">
        <v>67</v>
      </c>
      <c r="DO3" s="4"/>
      <c r="DQ3" s="5" t="s">
        <v>47</v>
      </c>
      <c r="DT3" s="50" t="s">
        <v>147</v>
      </c>
      <c r="DX3" s="38" t="s">
        <v>110</v>
      </c>
      <c r="EA3" s="38" t="s">
        <v>151</v>
      </c>
      <c r="ED3" s="38" t="s">
        <v>152</v>
      </c>
      <c r="EG3" s="38" t="s">
        <v>113</v>
      </c>
      <c r="EJ3" s="38" t="s">
        <v>153</v>
      </c>
      <c r="EM3" s="38" t="s">
        <v>154</v>
      </c>
      <c r="EP3" s="38" t="s">
        <v>116</v>
      </c>
      <c r="ES3" s="38" t="s">
        <v>117</v>
      </c>
      <c r="EV3" s="38" t="s">
        <v>118</v>
      </c>
      <c r="EY3" s="38" t="s">
        <v>119</v>
      </c>
      <c r="FB3" s="38" t="s">
        <v>120</v>
      </c>
      <c r="FE3" t="s">
        <v>121</v>
      </c>
      <c r="FH3" t="s">
        <v>122</v>
      </c>
      <c r="FK3" t="s">
        <v>123</v>
      </c>
      <c r="FN3" t="s">
        <v>124</v>
      </c>
      <c r="FQ3" t="s">
        <v>125</v>
      </c>
      <c r="FT3" t="s">
        <v>126</v>
      </c>
      <c r="FW3" t="s">
        <v>127</v>
      </c>
      <c r="FZ3" t="s">
        <v>128</v>
      </c>
      <c r="GC3" t="s">
        <v>129</v>
      </c>
      <c r="GF3" t="s">
        <v>130</v>
      </c>
      <c r="GI3" t="s">
        <v>131</v>
      </c>
      <c r="GL3" t="s">
        <v>155</v>
      </c>
      <c r="GO3" t="s">
        <v>133</v>
      </c>
      <c r="GR3" t="s">
        <v>134</v>
      </c>
      <c r="GU3" t="s">
        <v>135</v>
      </c>
      <c r="GX3" t="s">
        <v>136</v>
      </c>
      <c r="HA3" t="s">
        <v>137</v>
      </c>
      <c r="HD3" t="s">
        <v>138</v>
      </c>
      <c r="HG3" t="s">
        <v>139</v>
      </c>
      <c r="HJ3" t="s">
        <v>140</v>
      </c>
      <c r="HM3" t="s">
        <v>141</v>
      </c>
      <c r="HP3" t="s">
        <v>142</v>
      </c>
      <c r="HS3" t="s">
        <v>143</v>
      </c>
    </row>
    <row r="4" spans="1:228">
      <c r="A4" t="s">
        <v>1</v>
      </c>
      <c r="B4" t="s">
        <v>9</v>
      </c>
      <c r="C4" s="6" t="s">
        <v>93</v>
      </c>
      <c r="D4" s="6" t="s">
        <v>2</v>
      </c>
      <c r="E4" s="7" t="s">
        <v>3</v>
      </c>
      <c r="F4" s="6"/>
      <c r="G4" s="6" t="s">
        <v>2</v>
      </c>
      <c r="H4" s="7" t="s">
        <v>3</v>
      </c>
      <c r="I4" s="7"/>
      <c r="J4" s="6" t="s">
        <v>2</v>
      </c>
      <c r="K4" s="7" t="s">
        <v>3</v>
      </c>
      <c r="L4" s="7"/>
      <c r="M4" s="6" t="s">
        <v>2</v>
      </c>
      <c r="N4" s="7" t="s">
        <v>3</v>
      </c>
      <c r="O4" s="6"/>
      <c r="P4" s="6" t="s">
        <v>2</v>
      </c>
      <c r="Q4" s="7" t="s">
        <v>3</v>
      </c>
      <c r="R4" s="6"/>
      <c r="S4" s="6" t="s">
        <v>2</v>
      </c>
      <c r="T4" s="7" t="s">
        <v>3</v>
      </c>
      <c r="U4" s="6"/>
      <c r="V4" s="6" t="s">
        <v>2</v>
      </c>
      <c r="W4" s="7" t="s">
        <v>3</v>
      </c>
      <c r="X4" s="6"/>
      <c r="Y4" s="6" t="s">
        <v>2</v>
      </c>
      <c r="Z4" s="7" t="s">
        <v>3</v>
      </c>
      <c r="AA4" s="6"/>
      <c r="AB4" s="6" t="s">
        <v>2</v>
      </c>
      <c r="AC4" s="7" t="s">
        <v>3</v>
      </c>
      <c r="AD4" s="6"/>
      <c r="AE4" s="6" t="s">
        <v>2</v>
      </c>
      <c r="AF4" s="7" t="s">
        <v>3</v>
      </c>
      <c r="AG4" s="7"/>
      <c r="AH4" s="6" t="s">
        <v>2</v>
      </c>
      <c r="AI4" s="7" t="s">
        <v>3</v>
      </c>
      <c r="AJ4" s="6"/>
      <c r="AK4" s="6" t="s">
        <v>2</v>
      </c>
      <c r="AL4" s="7" t="s">
        <v>3</v>
      </c>
      <c r="AM4" s="6"/>
      <c r="AN4" s="6" t="s">
        <v>2</v>
      </c>
      <c r="AO4" s="7" t="s">
        <v>3</v>
      </c>
      <c r="AP4" s="6"/>
      <c r="AQ4" s="6" t="s">
        <v>2</v>
      </c>
      <c r="AR4" s="7" t="s">
        <v>3</v>
      </c>
      <c r="AS4" s="6"/>
      <c r="AT4" s="6" t="s">
        <v>2</v>
      </c>
      <c r="AU4" s="7" t="s">
        <v>3</v>
      </c>
      <c r="AV4" s="6"/>
      <c r="AW4" s="6" t="s">
        <v>2</v>
      </c>
      <c r="AX4" s="7" t="s">
        <v>3</v>
      </c>
      <c r="AY4" s="6"/>
      <c r="AZ4" s="6" t="s">
        <v>2</v>
      </c>
      <c r="BA4" s="7" t="s">
        <v>3</v>
      </c>
      <c r="BB4" s="6"/>
      <c r="BC4" s="6" t="s">
        <v>2</v>
      </c>
      <c r="BD4" s="7" t="s">
        <v>3</v>
      </c>
      <c r="BE4" s="6"/>
      <c r="BF4" s="6" t="s">
        <v>2</v>
      </c>
      <c r="BG4" s="7" t="s">
        <v>3</v>
      </c>
      <c r="BH4" s="6"/>
      <c r="BI4" s="6" t="s">
        <v>2</v>
      </c>
      <c r="BJ4" s="7" t="s">
        <v>3</v>
      </c>
      <c r="BK4" s="7"/>
      <c r="BL4" s="6" t="s">
        <v>2</v>
      </c>
      <c r="BM4" s="7" t="s">
        <v>3</v>
      </c>
      <c r="BN4" s="7"/>
      <c r="BO4" s="6" t="s">
        <v>2</v>
      </c>
      <c r="BP4" s="7" t="s">
        <v>3</v>
      </c>
      <c r="BQ4" s="6"/>
      <c r="BR4" s="6" t="s">
        <v>2</v>
      </c>
      <c r="BS4" s="7" t="s">
        <v>3</v>
      </c>
      <c r="BT4" s="6"/>
      <c r="BU4" s="6" t="s">
        <v>2</v>
      </c>
      <c r="BV4" s="7" t="s">
        <v>3</v>
      </c>
      <c r="BW4" s="6"/>
      <c r="BX4" s="8" t="s">
        <v>2</v>
      </c>
      <c r="BY4" s="9" t="s">
        <v>3</v>
      </c>
      <c r="BZ4" s="4"/>
      <c r="CA4" s="8" t="s">
        <v>2</v>
      </c>
      <c r="CB4" s="9" t="s">
        <v>3</v>
      </c>
      <c r="CC4" s="4"/>
      <c r="CD4" s="8" t="s">
        <v>2</v>
      </c>
      <c r="CE4" s="9" t="s">
        <v>3</v>
      </c>
      <c r="CF4" s="4"/>
      <c r="CG4" s="8" t="s">
        <v>2</v>
      </c>
      <c r="CH4" s="9" t="s">
        <v>3</v>
      </c>
      <c r="CI4" s="4"/>
      <c r="CJ4" s="8" t="s">
        <v>2</v>
      </c>
      <c r="CK4" s="9" t="s">
        <v>3</v>
      </c>
      <c r="CL4" s="4"/>
      <c r="CM4" s="8" t="s">
        <v>2</v>
      </c>
      <c r="CN4" s="9" t="s">
        <v>3</v>
      </c>
      <c r="CO4" s="9"/>
      <c r="CP4" s="8" t="s">
        <v>2</v>
      </c>
      <c r="CQ4" s="9" t="s">
        <v>3</v>
      </c>
      <c r="CR4" s="9"/>
      <c r="CS4" s="8" t="s">
        <v>2</v>
      </c>
      <c r="CT4" s="9" t="s">
        <v>3</v>
      </c>
      <c r="CU4" s="4"/>
      <c r="CV4" s="8" t="s">
        <v>2</v>
      </c>
      <c r="CW4" s="9" t="s">
        <v>3</v>
      </c>
      <c r="CX4" s="4"/>
      <c r="CY4" s="8" t="s">
        <v>2</v>
      </c>
      <c r="CZ4" s="9" t="s">
        <v>3</v>
      </c>
      <c r="DA4" s="4"/>
      <c r="DB4" s="8" t="s">
        <v>2</v>
      </c>
      <c r="DC4" s="9" t="s">
        <v>3</v>
      </c>
      <c r="DD4" s="4"/>
      <c r="DE4" s="8" t="s">
        <v>2</v>
      </c>
      <c r="DF4" s="9" t="s">
        <v>3</v>
      </c>
      <c r="DG4" s="9"/>
      <c r="DH4" s="8" t="s">
        <v>2</v>
      </c>
      <c r="DI4" s="9" t="s">
        <v>3</v>
      </c>
      <c r="DJ4" s="4"/>
      <c r="DK4" s="8" t="s">
        <v>2</v>
      </c>
      <c r="DL4" s="9" t="s">
        <v>3</v>
      </c>
      <c r="DM4" s="4"/>
      <c r="DN4" s="8" t="s">
        <v>2</v>
      </c>
      <c r="DO4" s="9" t="s">
        <v>3</v>
      </c>
      <c r="DQ4" s="8" t="s">
        <v>2</v>
      </c>
      <c r="DR4" t="s">
        <v>3</v>
      </c>
      <c r="DU4" t="s">
        <v>1</v>
      </c>
      <c r="DV4" t="s">
        <v>9</v>
      </c>
      <c r="DW4" s="6" t="s">
        <v>93</v>
      </c>
      <c r="DX4" t="s">
        <v>144</v>
      </c>
      <c r="DY4" t="s">
        <v>145</v>
      </c>
      <c r="EA4" t="s">
        <v>144</v>
      </c>
      <c r="EB4" t="s">
        <v>145</v>
      </c>
      <c r="ED4" t="s">
        <v>144</v>
      </c>
      <c r="EE4" t="s">
        <v>145</v>
      </c>
      <c r="EG4" t="s">
        <v>144</v>
      </c>
      <c r="EH4" t="s">
        <v>145</v>
      </c>
      <c r="EJ4" t="s">
        <v>144</v>
      </c>
      <c r="EK4" t="s">
        <v>145</v>
      </c>
      <c r="EM4" t="s">
        <v>144</v>
      </c>
      <c r="EN4" t="s">
        <v>145</v>
      </c>
      <c r="EP4" t="s">
        <v>144</v>
      </c>
      <c r="EQ4" t="s">
        <v>145</v>
      </c>
      <c r="ES4" t="s">
        <v>144</v>
      </c>
      <c r="ET4" t="s">
        <v>145</v>
      </c>
      <c r="EV4" t="s">
        <v>144</v>
      </c>
      <c r="EW4" t="s">
        <v>145</v>
      </c>
      <c r="EY4" t="s">
        <v>144</v>
      </c>
      <c r="EZ4" t="s">
        <v>145</v>
      </c>
      <c r="FB4" t="s">
        <v>144</v>
      </c>
      <c r="FC4" t="s">
        <v>145</v>
      </c>
      <c r="FE4" t="s">
        <v>144</v>
      </c>
      <c r="FF4" t="s">
        <v>145</v>
      </c>
      <c r="FH4" t="s">
        <v>144</v>
      </c>
      <c r="FI4" t="s">
        <v>145</v>
      </c>
      <c r="FK4" t="s">
        <v>144</v>
      </c>
      <c r="FL4" t="s">
        <v>145</v>
      </c>
      <c r="FN4" t="s">
        <v>144</v>
      </c>
      <c r="FO4" t="s">
        <v>145</v>
      </c>
      <c r="FQ4" t="s">
        <v>144</v>
      </c>
      <c r="FR4" t="s">
        <v>145</v>
      </c>
      <c r="FT4" t="s">
        <v>144</v>
      </c>
      <c r="FU4" t="s">
        <v>145</v>
      </c>
      <c r="FW4" t="s">
        <v>144</v>
      </c>
      <c r="FX4" t="s">
        <v>145</v>
      </c>
      <c r="FZ4" t="s">
        <v>144</v>
      </c>
      <c r="GA4" t="s">
        <v>145</v>
      </c>
      <c r="GC4" t="s">
        <v>144</v>
      </c>
      <c r="GD4" t="s">
        <v>145</v>
      </c>
      <c r="GF4" t="s">
        <v>144</v>
      </c>
      <c r="GG4" t="s">
        <v>145</v>
      </c>
      <c r="GI4" t="s">
        <v>144</v>
      </c>
      <c r="GJ4" t="s">
        <v>145</v>
      </c>
      <c r="GL4" t="s">
        <v>144</v>
      </c>
      <c r="GM4" t="s">
        <v>145</v>
      </c>
      <c r="GO4" t="s">
        <v>144</v>
      </c>
      <c r="GP4" t="s">
        <v>145</v>
      </c>
      <c r="GR4" t="s">
        <v>144</v>
      </c>
      <c r="GS4" t="s">
        <v>145</v>
      </c>
      <c r="GU4" t="s">
        <v>144</v>
      </c>
      <c r="GV4" t="s">
        <v>145</v>
      </c>
      <c r="GX4" t="s">
        <v>144</v>
      </c>
      <c r="GY4" t="s">
        <v>145</v>
      </c>
      <c r="HA4" t="s">
        <v>144</v>
      </c>
      <c r="HB4" t="s">
        <v>145</v>
      </c>
      <c r="HD4" t="s">
        <v>144</v>
      </c>
      <c r="HE4" t="s">
        <v>145</v>
      </c>
      <c r="HG4" t="s">
        <v>144</v>
      </c>
      <c r="HH4" t="s">
        <v>145</v>
      </c>
      <c r="HJ4" t="s">
        <v>144</v>
      </c>
      <c r="HK4" t="s">
        <v>145</v>
      </c>
      <c r="HM4" t="s">
        <v>144</v>
      </c>
      <c r="HN4" t="s">
        <v>145</v>
      </c>
      <c r="HP4" t="s">
        <v>144</v>
      </c>
      <c r="HQ4" t="s">
        <v>145</v>
      </c>
      <c r="HS4" t="s">
        <v>144</v>
      </c>
      <c r="HT4" t="s">
        <v>145</v>
      </c>
    </row>
    <row r="5" spans="1:228">
      <c r="B5">
        <v>66</v>
      </c>
      <c r="C5" s="10" t="s">
        <v>4</v>
      </c>
      <c r="D5" s="10"/>
      <c r="E5" s="11">
        <v>618369</v>
      </c>
      <c r="F5" s="10"/>
      <c r="G5" s="10"/>
      <c r="H5" s="11">
        <v>277029</v>
      </c>
      <c r="I5" s="11"/>
      <c r="J5" s="10"/>
      <c r="K5" s="11">
        <v>461886</v>
      </c>
      <c r="L5" s="11"/>
      <c r="M5" s="10"/>
      <c r="N5" s="11">
        <v>456005</v>
      </c>
      <c r="O5" s="10"/>
      <c r="P5" s="10"/>
      <c r="Q5" s="11">
        <v>181375</v>
      </c>
      <c r="R5" s="10"/>
      <c r="S5" s="10"/>
      <c r="T5" s="11">
        <v>308231</v>
      </c>
      <c r="U5" s="10"/>
      <c r="V5" s="10"/>
      <c r="W5" s="11">
        <v>186543</v>
      </c>
      <c r="X5" s="10"/>
      <c r="Y5" s="10"/>
      <c r="Z5" s="11">
        <v>1211587</v>
      </c>
      <c r="AA5" s="10"/>
      <c r="AB5" s="10"/>
      <c r="AC5" s="11">
        <v>956277</v>
      </c>
      <c r="AD5" s="10"/>
      <c r="AE5" s="10"/>
      <c r="AF5" s="11">
        <v>895046</v>
      </c>
      <c r="AG5" s="11"/>
      <c r="AH5" s="10"/>
      <c r="AI5" s="11">
        <v>913423</v>
      </c>
      <c r="AJ5" s="10"/>
      <c r="AK5" s="10"/>
      <c r="AL5" s="11">
        <v>660436</v>
      </c>
      <c r="AM5" s="10"/>
      <c r="AN5" s="10"/>
      <c r="AO5" s="11">
        <v>1412906</v>
      </c>
      <c r="AP5" s="10"/>
      <c r="AQ5" s="10"/>
      <c r="AR5" s="11">
        <v>1554495</v>
      </c>
      <c r="AS5" s="10"/>
      <c r="AT5" s="10"/>
      <c r="AU5" s="11">
        <v>537588</v>
      </c>
      <c r="AV5" s="10"/>
      <c r="AW5" s="10"/>
      <c r="AX5" s="11">
        <v>1281192</v>
      </c>
      <c r="AY5" s="10"/>
      <c r="AZ5" s="10"/>
      <c r="BA5" s="11">
        <v>1297089</v>
      </c>
      <c r="BB5" s="10"/>
      <c r="BC5" s="10"/>
      <c r="BD5" s="11">
        <v>1194919</v>
      </c>
      <c r="BE5" s="10"/>
      <c r="BF5" s="10"/>
      <c r="BG5" s="11">
        <v>487534</v>
      </c>
      <c r="BH5" s="10"/>
      <c r="BI5" s="10"/>
      <c r="BJ5" s="11">
        <v>545409</v>
      </c>
      <c r="BK5" s="11"/>
      <c r="BL5" s="10"/>
      <c r="BM5" s="11">
        <v>168986</v>
      </c>
      <c r="BN5" s="11"/>
      <c r="BO5" s="10"/>
      <c r="BP5" s="11">
        <v>253539</v>
      </c>
      <c r="BQ5" s="10"/>
      <c r="BR5" s="10"/>
      <c r="BS5" s="11">
        <v>339557</v>
      </c>
      <c r="BT5" s="10"/>
      <c r="BU5" s="10"/>
      <c r="BV5" s="11">
        <v>536063</v>
      </c>
      <c r="BW5" s="10"/>
      <c r="BX5" s="10"/>
      <c r="BY5" s="11">
        <v>1581579</v>
      </c>
      <c r="CA5" s="10"/>
      <c r="CB5">
        <v>398090</v>
      </c>
      <c r="CD5" s="10"/>
      <c r="CE5">
        <v>1123816</v>
      </c>
      <c r="CG5" s="10"/>
      <c r="CH5">
        <v>2966161</v>
      </c>
      <c r="CK5">
        <v>109737</v>
      </c>
      <c r="CN5" s="1">
        <v>448369</v>
      </c>
      <c r="CO5" s="1"/>
      <c r="CQ5">
        <v>557857</v>
      </c>
      <c r="CT5">
        <v>265978</v>
      </c>
      <c r="CW5" s="1">
        <v>951029</v>
      </c>
      <c r="CY5" s="35"/>
      <c r="CZ5" s="35">
        <v>3628489</v>
      </c>
      <c r="DC5">
        <v>3179040</v>
      </c>
      <c r="DF5">
        <v>1827047</v>
      </c>
      <c r="DI5">
        <v>1605497</v>
      </c>
      <c r="DL5">
        <v>2375239</v>
      </c>
      <c r="DO5">
        <v>248126</v>
      </c>
      <c r="DR5">
        <v>654415</v>
      </c>
      <c r="DV5">
        <v>66</v>
      </c>
      <c r="DW5" s="10" t="s">
        <v>4</v>
      </c>
      <c r="DY5">
        <v>1066913</v>
      </c>
      <c r="EB5">
        <v>1390354</v>
      </c>
      <c r="EE5">
        <v>1718420</v>
      </c>
      <c r="EH5">
        <v>1671574</v>
      </c>
      <c r="EK5">
        <v>2287744</v>
      </c>
      <c r="EN5">
        <v>904651</v>
      </c>
      <c r="EQ5">
        <v>2772012</v>
      </c>
      <c r="ET5">
        <v>2780425</v>
      </c>
      <c r="EW5">
        <v>1968134</v>
      </c>
      <c r="EZ5">
        <v>839527</v>
      </c>
      <c r="FC5">
        <v>1971293</v>
      </c>
      <c r="FF5">
        <v>1812391</v>
      </c>
      <c r="FI5">
        <v>2519703</v>
      </c>
      <c r="FL5">
        <v>565592</v>
      </c>
      <c r="FO5">
        <v>1071434</v>
      </c>
      <c r="FR5">
        <v>1293340</v>
      </c>
      <c r="FU5">
        <v>3335085</v>
      </c>
      <c r="FX5">
        <v>1811413</v>
      </c>
      <c r="GA5">
        <v>2699580</v>
      </c>
      <c r="GD5">
        <v>711772</v>
      </c>
      <c r="GG5">
        <v>771834</v>
      </c>
      <c r="GJ5">
        <v>595274</v>
      </c>
      <c r="GM5">
        <v>872991</v>
      </c>
      <c r="GP5">
        <v>3371927</v>
      </c>
      <c r="GS5">
        <v>1217218</v>
      </c>
      <c r="GV5">
        <v>566440</v>
      </c>
      <c r="GY5">
        <v>2007872</v>
      </c>
      <c r="HB5">
        <v>2415794</v>
      </c>
      <c r="HE5">
        <v>1003889</v>
      </c>
      <c r="HH5">
        <v>2291058</v>
      </c>
      <c r="HK5">
        <v>2033574</v>
      </c>
      <c r="HN5">
        <v>2650290</v>
      </c>
      <c r="HQ5">
        <v>2952465</v>
      </c>
      <c r="HT5">
        <v>4996619</v>
      </c>
    </row>
    <row r="6" spans="1:228">
      <c r="A6">
        <v>0.746</v>
      </c>
      <c r="B6">
        <v>75</v>
      </c>
      <c r="C6" s="10" t="s">
        <v>94</v>
      </c>
      <c r="D6" s="12">
        <f t="shared" ref="D6:D14" si="0">(E6/E$5)*(61.5/(9*0.5*$A6))</f>
        <v>17.535752412630828</v>
      </c>
      <c r="E6" s="11">
        <v>591900</v>
      </c>
      <c r="F6" s="10"/>
      <c r="G6" s="12">
        <f t="shared" ref="G6:G14" si="1">(H6/H$5)*(61.5/(9*0.5*$A6))</f>
        <v>0</v>
      </c>
      <c r="H6" s="11"/>
      <c r="I6" s="11"/>
      <c r="J6" s="12">
        <f t="shared" ref="J6:J14" si="2">(K6/K$5)*(61.5/(9*0.5*$A6))</f>
        <v>21.002437622022001</v>
      </c>
      <c r="K6" s="11">
        <v>529518</v>
      </c>
      <c r="L6" s="11"/>
      <c r="M6" s="12">
        <f t="shared" ref="M6:M14" si="3">(N6/N$5)*(61.5/(8*0.5*$A6))</f>
        <v>0</v>
      </c>
      <c r="N6" s="11">
        <v>0</v>
      </c>
      <c r="O6" s="10"/>
      <c r="P6" s="12">
        <f t="shared" ref="P6:P14" si="4">(Q6/Q$5)*(61.5/(8*0.5*$A6))</f>
        <v>0</v>
      </c>
      <c r="Q6" s="11">
        <v>0</v>
      </c>
      <c r="R6" s="10"/>
      <c r="S6" s="12">
        <f t="shared" ref="S6:S14" si="5">(T6/T$5)*(61.5/(8*0.5*$A6))</f>
        <v>0</v>
      </c>
      <c r="T6" s="11"/>
      <c r="U6" s="10"/>
      <c r="V6" s="12">
        <f t="shared" ref="V6:V14" si="6">(W6/W$5)*(61.5/(8*0.5*$A6))</f>
        <v>0</v>
      </c>
      <c r="W6" s="11"/>
      <c r="X6" s="10"/>
      <c r="Y6" s="12">
        <f t="shared" ref="Y6:Y14" si="7">(Z6/Z$5)*(61.5/(6*0.5*$A6))</f>
        <v>0</v>
      </c>
      <c r="Z6" s="11">
        <v>0</v>
      </c>
      <c r="AA6" s="10"/>
      <c r="AB6" s="12">
        <f t="shared" ref="AB6:AB14" si="8">(AC6/AC$5)*(61.5/(6*0.5*$A6))</f>
        <v>0</v>
      </c>
      <c r="AC6" s="11"/>
      <c r="AD6" s="10"/>
      <c r="AE6" s="12">
        <f t="shared" ref="AE6:AE14" si="9">(AF6/AF$5)*(61.5/(5*0.5*$A6))</f>
        <v>0</v>
      </c>
      <c r="AF6" s="11"/>
      <c r="AG6" s="11"/>
      <c r="AH6" s="12">
        <f t="shared" ref="AH6:AH14" si="10">(AI6/AI$5)*(61.5/(6*0.5*$A6))</f>
        <v>0</v>
      </c>
      <c r="AI6" s="11"/>
      <c r="AJ6" s="10"/>
      <c r="AK6" s="12">
        <f t="shared" ref="AK6:AK14" si="11">(AL6/AL$5)*(61.5/(7*0.5*$A6))</f>
        <v>0</v>
      </c>
      <c r="AL6" s="11"/>
      <c r="AM6" s="10"/>
      <c r="AN6" s="12">
        <f t="shared" ref="AN6:AN14" si="12">(AO6/AO$5)*(61.5/(7*0.5*$A6))</f>
        <v>0</v>
      </c>
      <c r="AO6" s="11"/>
      <c r="AP6" s="10"/>
      <c r="AQ6" s="12">
        <f t="shared" ref="AQ6:AQ14" si="13">(AR6/AR$5)*(61.5/(7*0.5*$A6))</f>
        <v>16.820384966078205</v>
      </c>
      <c r="AR6" s="11">
        <v>1110087</v>
      </c>
      <c r="AS6" s="10"/>
      <c r="AT6" s="12">
        <f t="shared" ref="AT6:AT14" si="14">(AU6/AU$5)*(61.5/(7*0.5*$A6))</f>
        <v>0</v>
      </c>
      <c r="AU6" s="11"/>
      <c r="AV6" s="10"/>
      <c r="AW6" s="12">
        <f t="shared" ref="AW6:AW14" si="15">(AX6/AX$5)*(61.5/(7*0.5*$A6))</f>
        <v>0</v>
      </c>
      <c r="AX6" s="11"/>
      <c r="AY6" s="10"/>
      <c r="AZ6" s="12">
        <f t="shared" ref="AZ6:AZ14" si="16">(BA6/BA$5)*(61.5/(7*0.5*$A6))</f>
        <v>0</v>
      </c>
      <c r="BA6" s="11">
        <v>0</v>
      </c>
      <c r="BB6" s="10"/>
      <c r="BC6" s="12">
        <f t="shared" ref="BC6:BC14" si="17">(BD6/BD$5)*(61.5/(6*0.5*$A6))</f>
        <v>0</v>
      </c>
      <c r="BD6" s="11"/>
      <c r="BE6" s="10"/>
      <c r="BF6" s="12">
        <f t="shared" ref="BF6:BF14" si="18">(BG6/BG$5)*(61.5/(7*0.5*$A6))</f>
        <v>9.4118410065710023</v>
      </c>
      <c r="BG6" s="11">
        <v>194810</v>
      </c>
      <c r="BH6" s="10"/>
      <c r="BI6" s="12">
        <f t="shared" ref="BI6:BI14" si="19">(BJ6/BJ$5)*(61.5/(7*0.5*$A6))</f>
        <v>0</v>
      </c>
      <c r="BJ6" s="11"/>
      <c r="BK6" s="11"/>
      <c r="BL6" s="12">
        <f t="shared" ref="BL6:BL14" si="20">(BM6/BM$5)*(61.5/(6*0.5*$A6))</f>
        <v>0</v>
      </c>
      <c r="BM6" s="11"/>
      <c r="BN6" s="11"/>
      <c r="BO6" s="12">
        <f t="shared" ref="BO6:BO14" si="21">(BP6/BP$5)*(61.5/(6*0.5*$A6))</f>
        <v>10.186155982348195</v>
      </c>
      <c r="BP6" s="11">
        <v>93981</v>
      </c>
      <c r="BQ6" s="10"/>
      <c r="BR6" s="12">
        <f t="shared" ref="BR6:BR14" si="22">(BS6/BS$5)*(61.5/(9*0.5*$A6))</f>
        <v>11.446765379260661</v>
      </c>
      <c r="BS6" s="11">
        <v>212164</v>
      </c>
      <c r="BT6" s="10"/>
      <c r="BU6" s="12">
        <f t="shared" ref="BU6:BU14" si="23">(BV6/BV$5)*(61.5/(6*0.5*$A6))</f>
        <v>0</v>
      </c>
      <c r="BV6" s="11"/>
      <c r="BW6" s="10"/>
      <c r="BX6" s="12">
        <f t="shared" ref="BX6:BX14" si="24">(BY6/BY$5)*(61.5/(8*0.5*$A6))</f>
        <v>7.4156038179423733</v>
      </c>
      <c r="BY6" s="11">
        <v>569064</v>
      </c>
      <c r="CA6" s="12">
        <f t="shared" ref="CA6:CA14" si="25">(CB6/CB$5)*(61.5/(8*0.5*$A6))</f>
        <v>7.839835516198427</v>
      </c>
      <c r="CB6">
        <v>151430</v>
      </c>
      <c r="CD6" s="12">
        <f t="shared" ref="CD6:CD14" si="26">(CE6/CE$5)*(61.5/(8*0.5*$A6))</f>
        <v>0</v>
      </c>
      <c r="CE6">
        <v>0</v>
      </c>
      <c r="CG6" s="12">
        <f t="shared" ref="CG6:CG14" si="27">(CH6/CH$5)*(61.5/(8*0.5*$A6))</f>
        <v>0</v>
      </c>
      <c r="CJ6" s="12">
        <f t="shared" ref="CJ6:CJ14" si="28">(CK6/CK$5)*(61.5/(10*0.5*$A6))</f>
        <v>0</v>
      </c>
      <c r="CM6" s="12">
        <f t="shared" ref="CM6:CM14" si="29">(CN6/CN$5)*(61.5/(10*0.5*$A6))</f>
        <v>9.0917909395971783</v>
      </c>
      <c r="CN6" s="1">
        <v>247240</v>
      </c>
      <c r="CO6" s="1"/>
      <c r="CP6" s="12">
        <f t="shared" ref="CP6:CP14" si="30">(CQ6/CQ$5)*(61.5/(10*0.5*$A6))</f>
        <v>6.6104901022012807</v>
      </c>
      <c r="CQ6">
        <v>223661</v>
      </c>
      <c r="CS6" s="12">
        <f t="shared" ref="CS6:CS14" si="31">(CT6/CT$5)*(61.5/(10*0.5*$A6))</f>
        <v>0</v>
      </c>
      <c r="CT6">
        <v>0</v>
      </c>
      <c r="CV6" s="12">
        <f t="shared" ref="CV6:CV14" si="32">(CW6/CW$5)*(61.5/(10*0.5*$A6))</f>
        <v>0</v>
      </c>
      <c r="CW6" s="1"/>
      <c r="CX6" s="13"/>
      <c r="CY6" s="36">
        <f t="shared" ref="CY6:CY14" si="33">(CZ6/CZ$5)*(61.5/(10*0.5*$A6))</f>
        <v>0</v>
      </c>
      <c r="CZ6" s="35"/>
      <c r="DA6" s="13"/>
      <c r="DB6" s="12">
        <f t="shared" ref="DB6:DB14" si="34">(DC6/DC$5)*(61.5/(10*0.5*$A6))</f>
        <v>1.9739010694310468</v>
      </c>
      <c r="DC6">
        <v>380588</v>
      </c>
      <c r="DD6" s="13"/>
      <c r="DE6" s="12">
        <f t="shared" ref="DE6:DE14" si="35">(DF6/DF$5)*(61.5/(10*0.5*$A6))</f>
        <v>6.2278664378579256</v>
      </c>
      <c r="DF6">
        <v>690117</v>
      </c>
      <c r="DH6" s="12">
        <f t="shared" ref="DH6:DH14" si="36">(DI6/DI$5)*(61.5/(5*0.5*$A6))</f>
        <v>0</v>
      </c>
      <c r="DK6" s="12">
        <f t="shared" ref="DK6:DK14" si="37">(DL6/DL$5)*(61.5/(7*0.5*$A6))</f>
        <v>0</v>
      </c>
      <c r="DN6" s="12">
        <f t="shared" ref="DN6:DN14" si="38">(DO6/DO$5)*(61.5/(7*0.5*$A6))</f>
        <v>11.30653702636773</v>
      </c>
      <c r="DO6">
        <v>119106</v>
      </c>
      <c r="DQ6" s="12">
        <f t="shared" ref="DQ6:DQ14" si="39">(DR6/DR$5)*(61.5/(7*0.5*$A6))</f>
        <v>8.7454457798771426</v>
      </c>
      <c r="DR6">
        <v>242978</v>
      </c>
      <c r="DU6">
        <v>0.746</v>
      </c>
      <c r="DV6">
        <v>75</v>
      </c>
      <c r="DW6" s="10" t="s">
        <v>94</v>
      </c>
      <c r="DX6">
        <f>(DY6/DY$5)*((61.5/(0.71+(3*0.73)))/DU6)</f>
        <v>4.6430888372540631</v>
      </c>
      <c r="DY6">
        <v>174260</v>
      </c>
      <c r="EA6">
        <f>(EB6/EB$5)*((61.5/((4*0.73)+0.71))/DU6)</f>
        <v>8.6438430749979354</v>
      </c>
      <c r="EB6">
        <v>529179</v>
      </c>
      <c r="ED6">
        <f>(EE6/EE$5)*((61.5/(5*0.73))/DU6)</f>
        <v>7.0042076112227436</v>
      </c>
      <c r="EE6">
        <v>532899</v>
      </c>
      <c r="EG6">
        <f>(EH6/EH$5)*((61.5/(4*0.73))/DU6)</f>
        <v>0</v>
      </c>
      <c r="EH6">
        <v>0</v>
      </c>
      <c r="EJ6">
        <f>(EK6/EK$5)*((61.5/(5*0.73))/DU6)</f>
        <v>0</v>
      </c>
      <c r="EK6">
        <v>0</v>
      </c>
      <c r="EM6">
        <f>(EN6/EN$5)*((61.5/(5*0.73))/DU6)</f>
        <v>8.5229061923634166</v>
      </c>
      <c r="EN6">
        <v>341370</v>
      </c>
      <c r="EP6">
        <f>(EQ6/EQ$5)*((61.5/(0.71+(3*0.73)))/DU6)</f>
        <v>7.3420815702170179</v>
      </c>
      <c r="EQ6">
        <v>715939</v>
      </c>
      <c r="ES6">
        <f>(ET6/ET$5)*((61.5/(0.71+(4*0.73)))/DU6)</f>
        <v>9.1169832850310648</v>
      </c>
      <c r="ET6">
        <v>1116176</v>
      </c>
      <c r="EV6">
        <f>(EW6/EW$5)*((61.5/(5*0.73))/DU6)</f>
        <v>11.681315151441861</v>
      </c>
      <c r="EW6">
        <v>1017895</v>
      </c>
      <c r="EY6">
        <f>(EZ6/EZ$5)*((61.5/(4*0.73))/DU6)</f>
        <v>21.226860169262579</v>
      </c>
      <c r="EZ6">
        <v>631200</v>
      </c>
      <c r="FB6">
        <f>(FC6/FC$5)*((61.5/(0.71+(4*0.73)))/DU6)</f>
        <v>9.5498108409066607</v>
      </c>
      <c r="FC6">
        <v>828927</v>
      </c>
      <c r="FE6">
        <f>(FF6/FF$5)*((61.5/(0.75+(2*0.73)))/DU6)</f>
        <v>10.950088460234047</v>
      </c>
      <c r="FF6">
        <v>532017</v>
      </c>
      <c r="FH6">
        <f>(FI6/FI$5)*((61.5/(0.71+(3*0.73)))/DU6)</f>
        <v>6.8255982555167432</v>
      </c>
      <c r="FI6">
        <v>604995</v>
      </c>
      <c r="FK6">
        <f>(FL6/FL$5)*((61.5/(5*0.73))/DU6)</f>
        <v>9.1702680504019707</v>
      </c>
      <c r="FL6">
        <v>229637</v>
      </c>
      <c r="FN6">
        <f>(FO6/FO$5)*((10.6397612)/DU6)</f>
        <v>4.8372464118602183</v>
      </c>
      <c r="FO6">
        <v>363388</v>
      </c>
      <c r="FQ6">
        <f>(FR6/FR$5)*((61.5/(0.71+(4*0.73)))/DU6)</f>
        <v>6.8220817577857558</v>
      </c>
      <c r="FR6">
        <v>388508</v>
      </c>
      <c r="FT6">
        <f>(FU6/FU$5)*((61.5/(4*0.73))/DU6)</f>
        <v>8.7398883255243369</v>
      </c>
      <c r="FU6">
        <v>1032427</v>
      </c>
      <c r="FW6">
        <f>(FX6/FX$5)*((61.5/((5*0.98)+(5*0.48)))/DU6)</f>
        <v>8.7400187457714242</v>
      </c>
      <c r="FX6">
        <v>1401898</v>
      </c>
      <c r="FZ6">
        <f>(GA6/GA$5)*((61.5/(0.96+0.46+(4*0.98)+(4*0.48)))/DU6)</f>
        <v>4.7782071673442132</v>
      </c>
      <c r="GA6">
        <v>1135956</v>
      </c>
      <c r="GC6">
        <f>(GD6/GD$5)*((61.5/(0.98+0.48+(4*0.73)))/DU6)</f>
        <v>8.6608747007924034</v>
      </c>
      <c r="GD6">
        <v>327522</v>
      </c>
      <c r="GF6">
        <f>(GG6/GG$5)*((61.5/((5*0.48)+(5*0.98)))/DU6)</f>
        <v>5.3442075241341085</v>
      </c>
      <c r="GG6">
        <v>365253</v>
      </c>
      <c r="GI6">
        <f>(GJ6/GJ$5)*((61.5/((5*0.48)+(5*0.98)))/DU6)</f>
        <v>8.5669723731362168</v>
      </c>
      <c r="GJ6">
        <v>451576</v>
      </c>
      <c r="GL6">
        <f>(GM6/GM$5)*((61.5/((5*0.48)+(5*0.98)))/DU6)</f>
        <v>9.8270315243695627</v>
      </c>
      <c r="GM6">
        <v>759659</v>
      </c>
      <c r="GO6">
        <f>(GP6/GP$5)*((61.5/(0.96+0.46+(4*0.48)+(4*0.98)))/DU6)</f>
        <v>5.3129939665670785</v>
      </c>
      <c r="GP6">
        <v>1577676</v>
      </c>
      <c r="GR6">
        <f>(GS6/GS$5)*((61.5/(0.96+0.46+(4*0.48)+(3*0.98)))/DU6)</f>
        <v>13.221843678154356</v>
      </c>
      <c r="GS6">
        <v>1225981</v>
      </c>
      <c r="GU6">
        <f>(GV6/GV$5)*((61.5/((5*0.48)+(5*0.98)))/DU6)</f>
        <v>8.5621780820180202</v>
      </c>
      <c r="GV6">
        <v>429462</v>
      </c>
      <c r="GX6">
        <f>(GY6/GY$5)*((61.5/(0.46+(5*0.98)+(4*0.48)))/DU6)</f>
        <v>8.3896184391384612</v>
      </c>
      <c r="GY6">
        <v>1487556</v>
      </c>
      <c r="HA6">
        <f>(HB6/HB$5)*((61.5/((5*0.98)+(3*0.48)+(2*0.46)))/DU6)</f>
        <v>7.3614978834052556</v>
      </c>
      <c r="HB6">
        <v>1566125</v>
      </c>
      <c r="HD6">
        <f>(HE6/HE$5)*((61.5/(0.46+(4*0.98)+(3*0.48)))/DU6)</f>
        <v>6.6739685839479552</v>
      </c>
      <c r="HE6">
        <v>472995</v>
      </c>
      <c r="HG6">
        <f>(HH6/HH$5)*((61.5/(0.46+(5*0.98)+(4*0.48)))/DU6)</f>
        <v>4.3997561404806751</v>
      </c>
      <c r="HH6">
        <v>890143</v>
      </c>
      <c r="HJ6">
        <f>(HK6/HK$5)*((61.5/((5*0.98)+(3*0.48)+(2*0.46)))/DU6)</f>
        <v>5.8491294222814991</v>
      </c>
      <c r="HK6">
        <v>1047494</v>
      </c>
      <c r="HM6">
        <f>(HN6/HN$5)*((61.5/(0.46+(5*0.98)+(5*0.48)))/DU6)</f>
        <v>6.0430482667749761</v>
      </c>
      <c r="HN6">
        <v>1507561</v>
      </c>
      <c r="HP6">
        <f>(HQ6/HQ$5)*((61.5/((3*0.98)+(5*0.48)+(2*0.96)))/DU6)</f>
        <v>5.1612758328193031</v>
      </c>
      <c r="HQ6">
        <v>1341968</v>
      </c>
      <c r="HS6">
        <f>(HT6/HT$5)*((61.5/((5*0.98)+(3*0.48)+(2*0.46)))/DU6)</f>
        <v>5.9875683359505887</v>
      </c>
      <c r="HT6">
        <v>2634675</v>
      </c>
    </row>
    <row r="7" spans="1:228">
      <c r="A7">
        <v>2.7109999999999999</v>
      </c>
      <c r="B7">
        <v>73</v>
      </c>
      <c r="C7" s="10" t="s">
        <v>95</v>
      </c>
      <c r="D7" s="12">
        <f t="shared" si="0"/>
        <v>0</v>
      </c>
      <c r="E7" s="11"/>
      <c r="F7" s="11"/>
      <c r="G7" s="12">
        <f t="shared" si="1"/>
        <v>0</v>
      </c>
      <c r="H7" s="11"/>
      <c r="I7" s="11"/>
      <c r="J7" s="12">
        <f t="shared" si="2"/>
        <v>0</v>
      </c>
      <c r="K7" s="11"/>
      <c r="L7" s="11"/>
      <c r="M7" s="12">
        <f t="shared" si="3"/>
        <v>0</v>
      </c>
      <c r="N7" s="11">
        <v>0</v>
      </c>
      <c r="O7" s="10"/>
      <c r="P7" s="12">
        <f t="shared" si="4"/>
        <v>0</v>
      </c>
      <c r="Q7" s="11"/>
      <c r="R7" s="10"/>
      <c r="S7" s="12">
        <f t="shared" si="5"/>
        <v>0</v>
      </c>
      <c r="T7" s="11"/>
      <c r="U7" s="10"/>
      <c r="V7" s="12">
        <f t="shared" si="6"/>
        <v>0</v>
      </c>
      <c r="W7" s="11"/>
      <c r="X7" s="10"/>
      <c r="Y7" s="12">
        <f t="shared" si="7"/>
        <v>0</v>
      </c>
      <c r="Z7" s="11">
        <v>0</v>
      </c>
      <c r="AA7" s="10"/>
      <c r="AB7" s="12">
        <f t="shared" si="8"/>
        <v>0</v>
      </c>
      <c r="AC7" s="11"/>
      <c r="AD7" s="10"/>
      <c r="AE7" s="12">
        <f t="shared" si="9"/>
        <v>0</v>
      </c>
      <c r="AF7" s="11"/>
      <c r="AG7" s="11"/>
      <c r="AH7" s="12">
        <f t="shared" si="10"/>
        <v>0</v>
      </c>
      <c r="AI7" s="11"/>
      <c r="AJ7" s="10"/>
      <c r="AK7" s="12">
        <f t="shared" si="11"/>
        <v>0</v>
      </c>
      <c r="AL7" s="11"/>
      <c r="AM7" s="10"/>
      <c r="AN7" s="12">
        <f t="shared" si="12"/>
        <v>0</v>
      </c>
      <c r="AO7" s="11"/>
      <c r="AP7" s="10"/>
      <c r="AQ7" s="12">
        <f t="shared" si="13"/>
        <v>0</v>
      </c>
      <c r="AR7" s="11"/>
      <c r="AS7" s="10"/>
      <c r="AT7" s="12">
        <f t="shared" si="14"/>
        <v>0</v>
      </c>
      <c r="AU7" s="11"/>
      <c r="AV7" s="10"/>
      <c r="AW7" s="12">
        <f t="shared" si="15"/>
        <v>0</v>
      </c>
      <c r="AX7" s="11"/>
      <c r="AY7" s="10"/>
      <c r="AZ7" s="12">
        <f t="shared" si="16"/>
        <v>0</v>
      </c>
      <c r="BA7" s="11">
        <v>0</v>
      </c>
      <c r="BB7" s="10"/>
      <c r="BC7" s="12">
        <f t="shared" si="17"/>
        <v>0</v>
      </c>
      <c r="BD7" s="11"/>
      <c r="BE7" s="10"/>
      <c r="BF7" s="12">
        <f t="shared" si="18"/>
        <v>0</v>
      </c>
      <c r="BG7" s="11"/>
      <c r="BH7" s="10"/>
      <c r="BI7" s="12">
        <f t="shared" si="19"/>
        <v>0</v>
      </c>
      <c r="BJ7" s="11"/>
      <c r="BK7" s="11"/>
      <c r="BL7" s="12">
        <f t="shared" si="20"/>
        <v>0</v>
      </c>
      <c r="BM7" s="11"/>
      <c r="BN7" s="11"/>
      <c r="BO7" s="12">
        <f t="shared" si="21"/>
        <v>0</v>
      </c>
      <c r="BP7" s="11"/>
      <c r="BQ7" s="10"/>
      <c r="BR7" s="12">
        <f t="shared" si="22"/>
        <v>0</v>
      </c>
      <c r="BS7" s="11"/>
      <c r="BT7" s="10"/>
      <c r="BU7" s="12">
        <f t="shared" si="23"/>
        <v>0</v>
      </c>
      <c r="BV7" s="11"/>
      <c r="BW7" s="10"/>
      <c r="BX7" s="12">
        <f t="shared" si="24"/>
        <v>0</v>
      </c>
      <c r="BY7" s="11"/>
      <c r="CA7" s="12">
        <f t="shared" si="25"/>
        <v>0</v>
      </c>
      <c r="CD7" s="12">
        <f t="shared" si="26"/>
        <v>0</v>
      </c>
      <c r="CE7">
        <v>0</v>
      </c>
      <c r="CG7" s="12">
        <f t="shared" si="27"/>
        <v>0</v>
      </c>
      <c r="CJ7" s="12">
        <f t="shared" si="28"/>
        <v>0</v>
      </c>
      <c r="CM7" s="12">
        <f t="shared" si="29"/>
        <v>0</v>
      </c>
      <c r="CN7" s="1"/>
      <c r="CO7" s="1"/>
      <c r="CP7" s="12">
        <f t="shared" si="30"/>
        <v>0</v>
      </c>
      <c r="CS7" s="12">
        <f t="shared" si="31"/>
        <v>0</v>
      </c>
      <c r="CT7">
        <v>0</v>
      </c>
      <c r="CV7" s="12">
        <f t="shared" si="32"/>
        <v>0</v>
      </c>
      <c r="CW7" s="1"/>
      <c r="CX7" s="13"/>
      <c r="CY7" s="36">
        <f t="shared" si="33"/>
        <v>0</v>
      </c>
      <c r="CZ7" s="35"/>
      <c r="DA7" s="13"/>
      <c r="DB7" s="12">
        <f t="shared" si="34"/>
        <v>0</v>
      </c>
      <c r="DC7">
        <v>0</v>
      </c>
      <c r="DD7" s="13"/>
      <c r="DE7" s="12">
        <f t="shared" si="35"/>
        <v>0</v>
      </c>
      <c r="DH7" s="12">
        <f t="shared" si="36"/>
        <v>0</v>
      </c>
      <c r="DK7" s="12">
        <f t="shared" si="37"/>
        <v>0</v>
      </c>
      <c r="DN7" s="12">
        <f t="shared" si="38"/>
        <v>0</v>
      </c>
      <c r="DQ7" s="12">
        <f t="shared" si="39"/>
        <v>0</v>
      </c>
      <c r="DU7">
        <v>2.7109999999999999</v>
      </c>
      <c r="DV7">
        <v>73</v>
      </c>
      <c r="DW7" s="10" t="s">
        <v>95</v>
      </c>
      <c r="DX7">
        <f t="shared" ref="DX7:DX14" si="40">(DY7/DY$5)*((61.5/(0.71+(3*0.73)))/DU7)</f>
        <v>0</v>
      </c>
      <c r="DY7">
        <v>0</v>
      </c>
      <c r="EA7">
        <f t="shared" ref="EA7:EA14" si="41">(EB7/EB$5)*((61.5/((4*0.73)+0.71))/DU7)</f>
        <v>0</v>
      </c>
      <c r="EB7">
        <v>0</v>
      </c>
      <c r="ED7">
        <f t="shared" ref="ED7:ED14" si="42">(EE7/EE$5)*((61.5/(5*0.73))/DU7)</f>
        <v>0</v>
      </c>
      <c r="EE7">
        <v>0</v>
      </c>
      <c r="EG7">
        <f t="shared" ref="EG7:EG14" si="43">(EH7/EH$5)*((61.5/(4*0.73))/DU7)</f>
        <v>0</v>
      </c>
      <c r="EH7">
        <v>0</v>
      </c>
      <c r="EJ7">
        <f t="shared" ref="EJ7:EJ14" si="44">(EK7/EK$5)*((61.5/(5*0.73))/DU7)</f>
        <v>0</v>
      </c>
      <c r="EK7">
        <v>0</v>
      </c>
      <c r="EM7">
        <f t="shared" ref="EM7:EM14" si="45">(EN7/EN$5)*((61.5/(5*0.73))/DU7)</f>
        <v>0</v>
      </c>
      <c r="EN7">
        <v>0</v>
      </c>
      <c r="EP7">
        <f t="shared" ref="EP7:EP14" si="46">(EQ7/EQ$5)*((61.5/(0.71+(3*0.73)))/DU7)</f>
        <v>0</v>
      </c>
      <c r="EQ7">
        <v>0</v>
      </c>
      <c r="ES7">
        <f t="shared" ref="ES7:ES14" si="47">(ET7/ET$5)*((61.5/(0.71+(4*0.73)))/DU7)</f>
        <v>0</v>
      </c>
      <c r="ET7">
        <v>0</v>
      </c>
      <c r="EV7">
        <f t="shared" ref="EV7:EV14" si="48">(EW7/EW$5)*((61.5/(5*0.73))/DU7)</f>
        <v>0</v>
      </c>
      <c r="EW7">
        <v>0</v>
      </c>
      <c r="EY7">
        <f t="shared" ref="EY7:EY14" si="49">(EZ7/EZ$5)*((61.5/(4*0.73))/DU7)</f>
        <v>0</v>
      </c>
      <c r="EZ7">
        <v>0</v>
      </c>
      <c r="FB7">
        <f t="shared" ref="FB7:FB14" si="50">(FC7/FC$5)*((61.5/(0.71+(4*0.73)))/DU7)</f>
        <v>0</v>
      </c>
      <c r="FC7">
        <v>0</v>
      </c>
      <c r="FE7">
        <f t="shared" ref="FE7:FE14" si="51">(FF7/FF$5)*((61.5/(0.75+(2*0.73)))/DU7)</f>
        <v>0</v>
      </c>
      <c r="FF7">
        <v>0</v>
      </c>
      <c r="FH7">
        <f t="shared" ref="FH7:FH14" si="52">(FI7/FI$5)*((61.5/(0.71+(3*0.73)))/DU7)</f>
        <v>0</v>
      </c>
      <c r="FI7">
        <v>0</v>
      </c>
      <c r="FK7">
        <f t="shared" ref="FK7:FK14" si="53">(FL7/FL$5)*((61.5/(5*0.73))/DU7)</f>
        <v>0</v>
      </c>
      <c r="FL7">
        <v>0</v>
      </c>
      <c r="FN7">
        <f t="shared" ref="FN7:FN14" si="54">(FO7/FO$5)*((10.6397612)/DU7)</f>
        <v>0</v>
      </c>
      <c r="FO7">
        <v>0</v>
      </c>
      <c r="FQ7">
        <f t="shared" ref="FQ7:FQ14" si="55">(FR7/FR$5)*((61.5/(0.71+(4*0.73)))/DU7)</f>
        <v>0</v>
      </c>
      <c r="FR7">
        <v>0</v>
      </c>
      <c r="FT7">
        <f t="shared" ref="FT7:FT14" si="56">(FU7/FU$5)*((61.5/(4*0.73))/DU7)</f>
        <v>0</v>
      </c>
      <c r="FU7">
        <v>0</v>
      </c>
      <c r="FW7">
        <f t="shared" ref="FW7:FW14" si="57">(FX7/FX$5)*((61.5/((5*0.98)+(5*0.48)))/DU7)</f>
        <v>0</v>
      </c>
      <c r="FX7">
        <v>0</v>
      </c>
      <c r="FZ7">
        <f t="shared" ref="FZ7:FZ14" si="58">(GA7/GA$5)*((61.5/(0.96+0.46+(4*0.98)+(4*0.48)))/DU7)</f>
        <v>0</v>
      </c>
      <c r="GA7">
        <v>0</v>
      </c>
      <c r="GC7">
        <f t="shared" ref="GC7:GC14" si="59">(GD7/GD$5)*((61.5/(0.98+0.48+(4*0.73)))/DU7)</f>
        <v>0</v>
      </c>
      <c r="GD7">
        <v>0</v>
      </c>
      <c r="GF7">
        <f t="shared" ref="GF7:GF14" si="60">(GG7/GG$5)*((61.5/((5*0.48)+(5*0.98)))/DU7)</f>
        <v>0</v>
      </c>
      <c r="GG7">
        <v>0</v>
      </c>
      <c r="GI7">
        <f t="shared" ref="GI7:GI14" si="61">(GJ7/GJ$5)*((61.5/((5*0.48)+(5*0.98)))/DU7)</f>
        <v>0</v>
      </c>
      <c r="GJ7">
        <v>0</v>
      </c>
      <c r="GL7">
        <f t="shared" ref="GL7:GL14" si="62">(GM7/GM$5)*((61.5/((5*0.48)+(5*0.98)))/DU7)</f>
        <v>0</v>
      </c>
      <c r="GM7">
        <v>0</v>
      </c>
      <c r="GO7">
        <f t="shared" ref="GO7:GO14" si="63">(GP7/GP$5)*((61.5/(0.96+0.46+(4*0.48)+(4*0.98)))/DU7)</f>
        <v>0</v>
      </c>
      <c r="GP7">
        <v>0</v>
      </c>
      <c r="GR7">
        <f t="shared" ref="GR7:GR14" si="64">(GS7/GS$5)*((61.5/(0.96+0.46+(4*0.48)+(3*0.98)))/DU7)</f>
        <v>0</v>
      </c>
      <c r="GS7">
        <v>0</v>
      </c>
      <c r="GU7">
        <f t="shared" ref="GU7:GU14" si="65">(GV7/GV$5)*((61.5/((5*0.48)+(5*0.98)))/DU7)</f>
        <v>0</v>
      </c>
      <c r="GV7">
        <v>0</v>
      </c>
      <c r="GX7">
        <f t="shared" ref="GX7:GX14" si="66">(GY7/GY$5)*((61.5/(0.46+(5*0.98)+(4*0.48)))/DU7)</f>
        <v>0</v>
      </c>
      <c r="GY7">
        <v>0</v>
      </c>
      <c r="HA7">
        <f t="shared" ref="HA7:HA14" si="67">(HB7/HB$5)*((61.5/((5*0.98)+(3*0.48)+(2*0.46)))/DU7)</f>
        <v>0</v>
      </c>
      <c r="HB7">
        <v>0</v>
      </c>
      <c r="HD7">
        <f t="shared" ref="HD7:HD14" si="68">(HE7/HE$5)*((61.5/(0.46+(4*0.98)+(3*0.48)))/DU7)</f>
        <v>0</v>
      </c>
      <c r="HE7">
        <v>0</v>
      </c>
      <c r="HG7">
        <f t="shared" ref="HG7:HG14" si="69">(HH7/HH$5)*((61.5/(0.46+(5*0.98)+(4*0.48)))/DU7)</f>
        <v>0</v>
      </c>
      <c r="HH7">
        <v>0</v>
      </c>
      <c r="HJ7">
        <f t="shared" ref="HJ7:HJ14" si="70">(HK7/HK$5)*((61.5/((5*0.98)+(3*0.48)+(2*0.46)))/DU7)</f>
        <v>0</v>
      </c>
      <c r="HK7">
        <v>0</v>
      </c>
      <c r="HM7">
        <f t="shared" ref="HM7:HM14" si="71">(HN7/HN$5)*((61.5/(0.46+(5*0.98)+(5*0.48)))/DU7)</f>
        <v>0</v>
      </c>
      <c r="HN7">
        <v>0</v>
      </c>
      <c r="HP7">
        <f t="shared" ref="HP7:HP14" si="72">(HQ7/HQ$5)*((61.5/((3*0.98)+(5*0.48)+(2*0.96)))/DU7)</f>
        <v>0</v>
      </c>
      <c r="HQ7">
        <v>0</v>
      </c>
      <c r="HS7">
        <f t="shared" ref="HS7:HS14" si="73">(HT7/HT$5)*((61.5/((5*0.98)+(3*0.48)+(2*0.46)))/DU7)</f>
        <v>0</v>
      </c>
      <c r="HT7">
        <v>0</v>
      </c>
    </row>
    <row r="8" spans="1:228">
      <c r="A8">
        <v>-4.0000000000000001E-3</v>
      </c>
      <c r="B8">
        <v>73</v>
      </c>
      <c r="C8" s="14" t="s">
        <v>96</v>
      </c>
      <c r="D8" s="12">
        <f t="shared" si="0"/>
        <v>0</v>
      </c>
      <c r="E8" s="15"/>
      <c r="F8" s="15"/>
      <c r="G8" s="12">
        <f t="shared" si="1"/>
        <v>0</v>
      </c>
      <c r="H8" s="15"/>
      <c r="I8" s="15"/>
      <c r="J8" s="12">
        <f t="shared" si="2"/>
        <v>0</v>
      </c>
      <c r="K8" s="15"/>
      <c r="L8" s="15"/>
      <c r="M8" s="12">
        <f t="shared" si="3"/>
        <v>0</v>
      </c>
      <c r="N8" s="11">
        <v>0</v>
      </c>
      <c r="O8" s="14"/>
      <c r="P8" s="12">
        <f t="shared" si="4"/>
        <v>0</v>
      </c>
      <c r="Q8" s="15"/>
      <c r="R8" s="14"/>
      <c r="S8" s="12">
        <f t="shared" si="5"/>
        <v>0</v>
      </c>
      <c r="T8" s="15"/>
      <c r="U8" s="14"/>
      <c r="V8" s="12">
        <f t="shared" si="6"/>
        <v>0</v>
      </c>
      <c r="W8" s="15"/>
      <c r="X8" s="14"/>
      <c r="Y8" s="12">
        <f t="shared" si="7"/>
        <v>0</v>
      </c>
      <c r="Z8" s="11">
        <v>0</v>
      </c>
      <c r="AA8" s="14"/>
      <c r="AB8" s="12">
        <f t="shared" si="8"/>
        <v>0</v>
      </c>
      <c r="AC8" s="15"/>
      <c r="AD8" s="14"/>
      <c r="AE8" s="12">
        <f t="shared" si="9"/>
        <v>0</v>
      </c>
      <c r="AF8" s="15"/>
      <c r="AG8" s="15"/>
      <c r="AH8" s="12">
        <f t="shared" si="10"/>
        <v>0</v>
      </c>
      <c r="AI8" s="15"/>
      <c r="AJ8" s="14"/>
      <c r="AK8" s="12">
        <f t="shared" si="11"/>
        <v>0</v>
      </c>
      <c r="AL8" s="15"/>
      <c r="AM8" s="14"/>
      <c r="AN8" s="12">
        <f t="shared" si="12"/>
        <v>0</v>
      </c>
      <c r="AO8" s="15"/>
      <c r="AP8" s="14"/>
      <c r="AQ8" s="12">
        <f t="shared" si="13"/>
        <v>0</v>
      </c>
      <c r="AR8" s="15"/>
      <c r="AS8" s="14"/>
      <c r="AT8" s="12">
        <f t="shared" si="14"/>
        <v>0</v>
      </c>
      <c r="AU8" s="15"/>
      <c r="AV8" s="14"/>
      <c r="AW8" s="12">
        <f t="shared" si="15"/>
        <v>0</v>
      </c>
      <c r="AX8" s="15"/>
      <c r="AY8" s="14"/>
      <c r="AZ8" s="12">
        <f t="shared" si="16"/>
        <v>0</v>
      </c>
      <c r="BA8" s="11">
        <v>0</v>
      </c>
      <c r="BB8" s="14"/>
      <c r="BC8" s="12">
        <f t="shared" si="17"/>
        <v>0</v>
      </c>
      <c r="BD8" s="15"/>
      <c r="BE8" s="14"/>
      <c r="BF8" s="12">
        <f t="shared" si="18"/>
        <v>0</v>
      </c>
      <c r="BG8" s="15"/>
      <c r="BH8" s="14"/>
      <c r="BI8" s="12">
        <f t="shared" si="19"/>
        <v>0</v>
      </c>
      <c r="BJ8" s="15"/>
      <c r="BK8" s="15"/>
      <c r="BL8" s="12">
        <f t="shared" si="20"/>
        <v>0</v>
      </c>
      <c r="BM8" s="15"/>
      <c r="BN8" s="15"/>
      <c r="BO8" s="12">
        <f t="shared" si="21"/>
        <v>0</v>
      </c>
      <c r="BP8" s="15"/>
      <c r="BQ8" s="14"/>
      <c r="BR8" s="12">
        <f t="shared" si="22"/>
        <v>0</v>
      </c>
      <c r="BS8" s="15"/>
      <c r="BT8" s="14"/>
      <c r="BU8" s="12">
        <f t="shared" si="23"/>
        <v>0</v>
      </c>
      <c r="BV8" s="15"/>
      <c r="BW8" s="14"/>
      <c r="BX8" s="12">
        <f t="shared" si="24"/>
        <v>0</v>
      </c>
      <c r="BY8" s="15"/>
      <c r="CA8" s="12">
        <f t="shared" si="25"/>
        <v>0</v>
      </c>
      <c r="CD8" s="12">
        <f t="shared" si="26"/>
        <v>0</v>
      </c>
      <c r="CE8">
        <v>0</v>
      </c>
      <c r="CG8" s="12">
        <f t="shared" si="27"/>
        <v>0</v>
      </c>
      <c r="CJ8" s="12">
        <f t="shared" si="28"/>
        <v>0</v>
      </c>
      <c r="CM8" s="12">
        <f t="shared" si="29"/>
        <v>0</v>
      </c>
      <c r="CN8" s="16"/>
      <c r="CO8" s="16"/>
      <c r="CP8" s="12">
        <f t="shared" si="30"/>
        <v>0</v>
      </c>
      <c r="CS8" s="12">
        <f t="shared" si="31"/>
        <v>0</v>
      </c>
      <c r="CT8">
        <v>0</v>
      </c>
      <c r="CV8" s="12">
        <f t="shared" si="32"/>
        <v>0</v>
      </c>
      <c r="CW8" s="16"/>
      <c r="CX8" s="13"/>
      <c r="CY8" s="36">
        <f t="shared" si="33"/>
        <v>0</v>
      </c>
      <c r="CZ8" s="35"/>
      <c r="DA8" s="13"/>
      <c r="DB8" s="12">
        <f t="shared" si="34"/>
        <v>0</v>
      </c>
      <c r="DC8">
        <v>0</v>
      </c>
      <c r="DD8" s="13"/>
      <c r="DE8" s="12">
        <f t="shared" si="35"/>
        <v>0</v>
      </c>
      <c r="DH8" s="12">
        <f t="shared" si="36"/>
        <v>0</v>
      </c>
      <c r="DK8" s="12">
        <f t="shared" si="37"/>
        <v>0</v>
      </c>
      <c r="DN8" s="12">
        <f t="shared" si="38"/>
        <v>0</v>
      </c>
      <c r="DQ8" s="12">
        <f t="shared" si="39"/>
        <v>0</v>
      </c>
      <c r="DU8">
        <v>-4.0000000000000001E-3</v>
      </c>
      <c r="DV8">
        <v>73</v>
      </c>
      <c r="DW8" s="14" t="s">
        <v>96</v>
      </c>
      <c r="DX8">
        <f t="shared" si="40"/>
        <v>0</v>
      </c>
      <c r="DY8">
        <v>0</v>
      </c>
      <c r="EA8">
        <f t="shared" si="41"/>
        <v>0</v>
      </c>
      <c r="EB8">
        <v>0</v>
      </c>
      <c r="ED8">
        <f t="shared" si="42"/>
        <v>0</v>
      </c>
      <c r="EE8">
        <v>0</v>
      </c>
      <c r="EG8">
        <f t="shared" si="43"/>
        <v>0</v>
      </c>
      <c r="EH8">
        <v>0</v>
      </c>
      <c r="EJ8">
        <f t="shared" si="44"/>
        <v>0</v>
      </c>
      <c r="EK8">
        <v>0</v>
      </c>
      <c r="EM8">
        <f t="shared" si="45"/>
        <v>0</v>
      </c>
      <c r="EN8">
        <v>0</v>
      </c>
      <c r="EP8">
        <f t="shared" si="46"/>
        <v>0</v>
      </c>
      <c r="EQ8">
        <v>0</v>
      </c>
      <c r="ES8">
        <f t="shared" si="47"/>
        <v>0</v>
      </c>
      <c r="ET8">
        <v>0</v>
      </c>
      <c r="EV8">
        <f t="shared" si="48"/>
        <v>0</v>
      </c>
      <c r="EW8">
        <v>0</v>
      </c>
      <c r="EY8">
        <f t="shared" si="49"/>
        <v>0</v>
      </c>
      <c r="EZ8">
        <v>0</v>
      </c>
      <c r="FB8">
        <f t="shared" si="50"/>
        <v>0</v>
      </c>
      <c r="FC8">
        <v>0</v>
      </c>
      <c r="FE8">
        <f t="shared" si="51"/>
        <v>0</v>
      </c>
      <c r="FF8">
        <v>0</v>
      </c>
      <c r="FH8">
        <f t="shared" si="52"/>
        <v>0</v>
      </c>
      <c r="FI8">
        <v>0</v>
      </c>
      <c r="FK8">
        <f t="shared" si="53"/>
        <v>0</v>
      </c>
      <c r="FL8">
        <v>0</v>
      </c>
      <c r="FN8">
        <f t="shared" si="54"/>
        <v>0</v>
      </c>
      <c r="FO8">
        <v>0</v>
      </c>
      <c r="FQ8">
        <f t="shared" si="55"/>
        <v>0</v>
      </c>
      <c r="FR8">
        <v>0</v>
      </c>
      <c r="FT8">
        <f t="shared" si="56"/>
        <v>0</v>
      </c>
      <c r="FU8">
        <v>0</v>
      </c>
      <c r="FW8">
        <f t="shared" si="57"/>
        <v>0</v>
      </c>
      <c r="FX8">
        <v>0</v>
      </c>
      <c r="FZ8">
        <f t="shared" si="58"/>
        <v>0</v>
      </c>
      <c r="GA8">
        <v>0</v>
      </c>
      <c r="GC8">
        <f t="shared" si="59"/>
        <v>0</v>
      </c>
      <c r="GD8">
        <v>0</v>
      </c>
      <c r="GF8">
        <f t="shared" si="60"/>
        <v>0</v>
      </c>
      <c r="GG8">
        <v>0</v>
      </c>
      <c r="GI8">
        <f t="shared" si="61"/>
        <v>0</v>
      </c>
      <c r="GJ8">
        <v>0</v>
      </c>
      <c r="GL8">
        <f t="shared" si="62"/>
        <v>0</v>
      </c>
      <c r="GM8">
        <v>0</v>
      </c>
      <c r="GO8">
        <f t="shared" si="63"/>
        <v>0</v>
      </c>
      <c r="GP8">
        <v>0</v>
      </c>
      <c r="GR8">
        <f t="shared" si="64"/>
        <v>0</v>
      </c>
      <c r="GS8">
        <v>0</v>
      </c>
      <c r="GU8">
        <f t="shared" si="65"/>
        <v>0</v>
      </c>
      <c r="GV8">
        <v>0</v>
      </c>
      <c r="GX8">
        <f t="shared" si="66"/>
        <v>0</v>
      </c>
      <c r="GY8">
        <v>0</v>
      </c>
      <c r="HA8">
        <f t="shared" si="67"/>
        <v>0</v>
      </c>
      <c r="HB8">
        <v>0</v>
      </c>
      <c r="HD8">
        <f t="shared" si="68"/>
        <v>0</v>
      </c>
      <c r="HE8">
        <v>0</v>
      </c>
      <c r="HG8">
        <f t="shared" si="69"/>
        <v>0</v>
      </c>
      <c r="HH8">
        <v>0</v>
      </c>
      <c r="HJ8">
        <f t="shared" si="70"/>
        <v>0</v>
      </c>
      <c r="HK8">
        <v>0</v>
      </c>
      <c r="HM8">
        <f t="shared" si="71"/>
        <v>0</v>
      </c>
      <c r="HN8">
        <v>0</v>
      </c>
      <c r="HP8">
        <f t="shared" si="72"/>
        <v>0</v>
      </c>
      <c r="HQ8">
        <v>0</v>
      </c>
      <c r="HS8">
        <f t="shared" si="73"/>
        <v>0</v>
      </c>
      <c r="HT8">
        <v>0</v>
      </c>
    </row>
    <row r="9" spans="1:228">
      <c r="A9">
        <v>1.2E-2</v>
      </c>
      <c r="B9">
        <v>73</v>
      </c>
      <c r="C9" s="10" t="s">
        <v>97</v>
      </c>
      <c r="D9" s="12">
        <f t="shared" si="0"/>
        <v>0</v>
      </c>
      <c r="E9" s="11"/>
      <c r="F9" s="11"/>
      <c r="G9" s="12">
        <f t="shared" si="1"/>
        <v>0</v>
      </c>
      <c r="H9" s="11"/>
      <c r="I9" s="11"/>
      <c r="J9" s="12">
        <f t="shared" si="2"/>
        <v>0</v>
      </c>
      <c r="K9" s="11"/>
      <c r="L9" s="11"/>
      <c r="M9" s="12">
        <f t="shared" si="3"/>
        <v>0</v>
      </c>
      <c r="N9" s="11">
        <v>0</v>
      </c>
      <c r="O9" s="10"/>
      <c r="P9" s="12">
        <f t="shared" si="4"/>
        <v>1421.0413507925568</v>
      </c>
      <c r="Q9" s="11">
        <v>201164</v>
      </c>
      <c r="R9" s="10"/>
      <c r="S9" s="12">
        <f t="shared" si="5"/>
        <v>0</v>
      </c>
      <c r="T9" s="11"/>
      <c r="U9" s="10"/>
      <c r="V9" s="12">
        <f t="shared" si="6"/>
        <v>0</v>
      </c>
      <c r="W9" s="11"/>
      <c r="X9" s="10"/>
      <c r="Y9" s="12">
        <f t="shared" si="7"/>
        <v>0</v>
      </c>
      <c r="Z9" s="11">
        <v>0</v>
      </c>
      <c r="AA9" s="10"/>
      <c r="AB9" s="12">
        <f t="shared" si="8"/>
        <v>0</v>
      </c>
      <c r="AC9" s="11"/>
      <c r="AD9" s="10"/>
      <c r="AE9" s="12">
        <f t="shared" si="9"/>
        <v>0</v>
      </c>
      <c r="AF9" s="11"/>
      <c r="AG9" s="11"/>
      <c r="AH9" s="12">
        <f t="shared" si="10"/>
        <v>0</v>
      </c>
      <c r="AI9" s="11"/>
      <c r="AJ9" s="10"/>
      <c r="AK9" s="12">
        <f t="shared" si="11"/>
        <v>0</v>
      </c>
      <c r="AL9" s="11"/>
      <c r="AM9" s="10"/>
      <c r="AN9" s="12">
        <f t="shared" si="12"/>
        <v>0</v>
      </c>
      <c r="AO9" s="11"/>
      <c r="AP9" s="10"/>
      <c r="AQ9" s="12">
        <f t="shared" si="13"/>
        <v>0</v>
      </c>
      <c r="AR9" s="11"/>
      <c r="AS9" s="10"/>
      <c r="AT9" s="12">
        <f t="shared" si="14"/>
        <v>0</v>
      </c>
      <c r="AU9" s="11"/>
      <c r="AV9" s="10"/>
      <c r="AW9" s="12">
        <f t="shared" si="15"/>
        <v>0</v>
      </c>
      <c r="AX9" s="11"/>
      <c r="AY9" s="10"/>
      <c r="AZ9" s="12">
        <f t="shared" si="16"/>
        <v>0</v>
      </c>
      <c r="BA9" s="11">
        <v>0</v>
      </c>
      <c r="BB9" s="10"/>
      <c r="BC9" s="12">
        <f t="shared" si="17"/>
        <v>0</v>
      </c>
      <c r="BD9" s="11"/>
      <c r="BE9" s="10"/>
      <c r="BF9" s="12">
        <f t="shared" si="18"/>
        <v>0</v>
      </c>
      <c r="BG9" s="11"/>
      <c r="BH9" s="10"/>
      <c r="BI9" s="12">
        <f t="shared" si="19"/>
        <v>0</v>
      </c>
      <c r="BJ9" s="11"/>
      <c r="BK9" s="11"/>
      <c r="BL9" s="12">
        <f t="shared" si="20"/>
        <v>0</v>
      </c>
      <c r="BM9" s="11"/>
      <c r="BN9" s="11"/>
      <c r="BO9" s="12">
        <f t="shared" si="21"/>
        <v>0</v>
      </c>
      <c r="BP9" s="11"/>
      <c r="BQ9" s="10"/>
      <c r="BR9" s="12">
        <f t="shared" si="22"/>
        <v>0</v>
      </c>
      <c r="BS9" s="11"/>
      <c r="BT9" s="10"/>
      <c r="BU9" s="12">
        <f t="shared" si="23"/>
        <v>0</v>
      </c>
      <c r="BV9" s="11"/>
      <c r="BW9" s="10"/>
      <c r="BX9" s="12">
        <f t="shared" si="24"/>
        <v>0</v>
      </c>
      <c r="BY9" s="11"/>
      <c r="CA9" s="12">
        <f t="shared" si="25"/>
        <v>0</v>
      </c>
      <c r="CD9" s="12">
        <f t="shared" si="26"/>
        <v>0</v>
      </c>
      <c r="CE9">
        <v>0</v>
      </c>
      <c r="CG9" s="12">
        <f t="shared" si="27"/>
        <v>0</v>
      </c>
      <c r="CJ9" s="12">
        <f t="shared" si="28"/>
        <v>0</v>
      </c>
      <c r="CM9" s="12">
        <f t="shared" si="29"/>
        <v>0</v>
      </c>
      <c r="CN9" s="16"/>
      <c r="CO9" s="16"/>
      <c r="CP9" s="12">
        <f t="shared" si="30"/>
        <v>0</v>
      </c>
      <c r="CS9" s="12">
        <f t="shared" si="31"/>
        <v>0</v>
      </c>
      <c r="CT9">
        <v>0</v>
      </c>
      <c r="CV9" s="12">
        <f t="shared" si="32"/>
        <v>0</v>
      </c>
      <c r="CW9" s="16"/>
      <c r="CX9" s="13"/>
      <c r="CY9" s="36">
        <f t="shared" si="33"/>
        <v>0</v>
      </c>
      <c r="CZ9" s="35"/>
      <c r="DA9" s="13"/>
      <c r="DB9" s="12">
        <f t="shared" si="34"/>
        <v>0</v>
      </c>
      <c r="DC9">
        <v>0</v>
      </c>
      <c r="DD9" s="13"/>
      <c r="DE9" s="12">
        <f t="shared" si="35"/>
        <v>0</v>
      </c>
      <c r="DH9" s="12">
        <f t="shared" si="36"/>
        <v>0</v>
      </c>
      <c r="DK9" s="12">
        <f t="shared" si="37"/>
        <v>0</v>
      </c>
      <c r="DN9" s="12">
        <f t="shared" si="38"/>
        <v>0</v>
      </c>
      <c r="DQ9" s="12">
        <f t="shared" si="39"/>
        <v>0</v>
      </c>
      <c r="DU9">
        <v>1.2E-2</v>
      </c>
      <c r="DV9">
        <v>73</v>
      </c>
      <c r="DW9" s="10" t="s">
        <v>97</v>
      </c>
      <c r="DX9">
        <f t="shared" si="40"/>
        <v>0</v>
      </c>
      <c r="DY9">
        <v>0</v>
      </c>
      <c r="EA9">
        <f t="shared" si="41"/>
        <v>0</v>
      </c>
      <c r="EB9">
        <v>0</v>
      </c>
      <c r="ED9">
        <f t="shared" si="42"/>
        <v>0</v>
      </c>
      <c r="EE9">
        <v>0</v>
      </c>
      <c r="EG9">
        <f t="shared" si="43"/>
        <v>0</v>
      </c>
      <c r="EH9">
        <v>0</v>
      </c>
      <c r="EJ9">
        <f t="shared" si="44"/>
        <v>0</v>
      </c>
      <c r="EK9">
        <v>0</v>
      </c>
      <c r="EM9">
        <f t="shared" si="45"/>
        <v>0</v>
      </c>
      <c r="EN9">
        <v>0</v>
      </c>
      <c r="EP9">
        <f t="shared" si="46"/>
        <v>0</v>
      </c>
      <c r="EQ9">
        <v>0</v>
      </c>
      <c r="ES9">
        <f t="shared" si="47"/>
        <v>0</v>
      </c>
      <c r="ET9">
        <v>0</v>
      </c>
      <c r="EV9">
        <f t="shared" si="48"/>
        <v>0</v>
      </c>
      <c r="EW9">
        <v>0</v>
      </c>
      <c r="EY9">
        <f t="shared" si="49"/>
        <v>0</v>
      </c>
      <c r="EZ9">
        <v>0</v>
      </c>
      <c r="FB9">
        <f t="shared" si="50"/>
        <v>0</v>
      </c>
      <c r="FC9">
        <v>0</v>
      </c>
      <c r="FE9">
        <f t="shared" si="51"/>
        <v>0</v>
      </c>
      <c r="FF9">
        <v>0</v>
      </c>
      <c r="FH9">
        <f t="shared" si="52"/>
        <v>0</v>
      </c>
      <c r="FI9">
        <v>0</v>
      </c>
      <c r="FK9">
        <f t="shared" si="53"/>
        <v>0</v>
      </c>
      <c r="FL9">
        <v>0</v>
      </c>
      <c r="FN9">
        <f t="shared" si="54"/>
        <v>0</v>
      </c>
      <c r="FO9">
        <v>0</v>
      </c>
      <c r="FQ9">
        <f t="shared" si="55"/>
        <v>0</v>
      </c>
      <c r="FR9">
        <v>0</v>
      </c>
      <c r="FT9">
        <f t="shared" si="56"/>
        <v>0</v>
      </c>
      <c r="FU9">
        <v>0</v>
      </c>
      <c r="FW9">
        <f t="shared" si="57"/>
        <v>0</v>
      </c>
      <c r="FX9">
        <v>0</v>
      </c>
      <c r="FZ9">
        <f t="shared" si="58"/>
        <v>0</v>
      </c>
      <c r="GA9">
        <v>0</v>
      </c>
      <c r="GC9">
        <f t="shared" si="59"/>
        <v>0</v>
      </c>
      <c r="GD9">
        <v>0</v>
      </c>
      <c r="GF9">
        <f t="shared" si="60"/>
        <v>0</v>
      </c>
      <c r="GG9">
        <v>0</v>
      </c>
      <c r="GI9">
        <f t="shared" si="61"/>
        <v>0</v>
      </c>
      <c r="GJ9">
        <v>0</v>
      </c>
      <c r="GL9">
        <f t="shared" si="62"/>
        <v>0</v>
      </c>
      <c r="GM9">
        <v>0</v>
      </c>
      <c r="GO9">
        <f t="shared" si="63"/>
        <v>0</v>
      </c>
      <c r="GP9">
        <v>0</v>
      </c>
      <c r="GR9">
        <f t="shared" si="64"/>
        <v>0</v>
      </c>
      <c r="GS9">
        <v>0</v>
      </c>
      <c r="GU9">
        <f t="shared" si="65"/>
        <v>0</v>
      </c>
      <c r="GV9">
        <v>0</v>
      </c>
      <c r="GX9">
        <f t="shared" si="66"/>
        <v>0</v>
      </c>
      <c r="GY9">
        <v>0</v>
      </c>
      <c r="HA9">
        <f t="shared" si="67"/>
        <v>0</v>
      </c>
      <c r="HB9">
        <v>0</v>
      </c>
      <c r="HD9">
        <f t="shared" si="68"/>
        <v>0</v>
      </c>
      <c r="HE9">
        <v>0</v>
      </c>
      <c r="HG9">
        <f t="shared" si="69"/>
        <v>0</v>
      </c>
      <c r="HH9">
        <v>0</v>
      </c>
      <c r="HJ9">
        <f t="shared" si="70"/>
        <v>0</v>
      </c>
      <c r="HK9">
        <v>0</v>
      </c>
      <c r="HM9">
        <f t="shared" si="71"/>
        <v>0</v>
      </c>
      <c r="HN9">
        <v>0</v>
      </c>
      <c r="HP9">
        <f t="shared" si="72"/>
        <v>0</v>
      </c>
      <c r="HQ9">
        <v>0</v>
      </c>
      <c r="HS9">
        <f t="shared" si="73"/>
        <v>0</v>
      </c>
      <c r="HT9">
        <v>0</v>
      </c>
    </row>
    <row r="10" spans="1:228">
      <c r="A10">
        <v>0.82799999999999996</v>
      </c>
      <c r="B10">
        <v>209</v>
      </c>
      <c r="C10" s="10" t="s">
        <v>98</v>
      </c>
      <c r="D10" s="12">
        <f t="shared" si="0"/>
        <v>0</v>
      </c>
      <c r="E10" s="11"/>
      <c r="F10" s="11"/>
      <c r="G10" s="12">
        <f t="shared" si="1"/>
        <v>0</v>
      </c>
      <c r="H10" s="11"/>
      <c r="I10" s="11"/>
      <c r="J10" s="12">
        <f t="shared" si="2"/>
        <v>0</v>
      </c>
      <c r="K10" s="11"/>
      <c r="L10" s="11"/>
      <c r="M10" s="12">
        <f t="shared" si="3"/>
        <v>0</v>
      </c>
      <c r="N10" s="11">
        <v>0</v>
      </c>
      <c r="O10" s="10"/>
      <c r="P10" s="12">
        <f t="shared" si="4"/>
        <v>0</v>
      </c>
      <c r="Q10" s="11"/>
      <c r="R10" s="10"/>
      <c r="S10" s="12">
        <f t="shared" si="5"/>
        <v>0</v>
      </c>
      <c r="T10" s="11"/>
      <c r="U10" s="10"/>
      <c r="V10" s="12">
        <f t="shared" si="6"/>
        <v>0</v>
      </c>
      <c r="W10" s="11"/>
      <c r="X10" s="10"/>
      <c r="Y10" s="12">
        <f t="shared" si="7"/>
        <v>0</v>
      </c>
      <c r="Z10" s="11">
        <v>0</v>
      </c>
      <c r="AA10" s="10"/>
      <c r="AB10" s="12">
        <f t="shared" si="8"/>
        <v>0</v>
      </c>
      <c r="AC10" s="11"/>
      <c r="AD10" s="10"/>
      <c r="AE10" s="12">
        <f t="shared" si="9"/>
        <v>0</v>
      </c>
      <c r="AF10" s="11"/>
      <c r="AG10" s="11"/>
      <c r="AH10" s="12">
        <f t="shared" si="10"/>
        <v>0</v>
      </c>
      <c r="AI10" s="11"/>
      <c r="AJ10" s="10"/>
      <c r="AK10" s="12">
        <f t="shared" si="11"/>
        <v>0</v>
      </c>
      <c r="AL10" s="11"/>
      <c r="AM10" s="10"/>
      <c r="AN10" s="12">
        <f t="shared" si="12"/>
        <v>0</v>
      </c>
      <c r="AO10" s="11"/>
      <c r="AP10" s="10"/>
      <c r="AQ10" s="12">
        <f t="shared" si="13"/>
        <v>0</v>
      </c>
      <c r="AR10" s="11"/>
      <c r="AS10" s="10"/>
      <c r="AT10" s="12">
        <f t="shared" si="14"/>
        <v>0</v>
      </c>
      <c r="AU10" s="11"/>
      <c r="AV10" s="10"/>
      <c r="AW10" s="12">
        <f t="shared" si="15"/>
        <v>0</v>
      </c>
      <c r="AX10" s="11"/>
      <c r="AY10" s="10"/>
      <c r="AZ10" s="12">
        <f t="shared" si="16"/>
        <v>0</v>
      </c>
      <c r="BA10" s="11">
        <v>0</v>
      </c>
      <c r="BB10" s="10"/>
      <c r="BC10" s="12">
        <f t="shared" si="17"/>
        <v>0</v>
      </c>
      <c r="BD10" s="11"/>
      <c r="BE10" s="10"/>
      <c r="BF10" s="12">
        <f t="shared" si="18"/>
        <v>0</v>
      </c>
      <c r="BG10" s="11"/>
      <c r="BH10" s="10"/>
      <c r="BI10" s="12">
        <f t="shared" si="19"/>
        <v>0</v>
      </c>
      <c r="BJ10" s="11"/>
      <c r="BK10" s="11"/>
      <c r="BL10" s="12">
        <f t="shared" si="20"/>
        <v>0</v>
      </c>
      <c r="BM10" s="11"/>
      <c r="BN10" s="11"/>
      <c r="BO10" s="12">
        <f t="shared" si="21"/>
        <v>0</v>
      </c>
      <c r="BP10" s="11"/>
      <c r="BQ10" s="10"/>
      <c r="BR10" s="12">
        <f t="shared" si="22"/>
        <v>0</v>
      </c>
      <c r="BS10" s="11"/>
      <c r="BT10" s="10"/>
      <c r="BU10" s="12">
        <f t="shared" si="23"/>
        <v>0</v>
      </c>
      <c r="BV10" s="11"/>
      <c r="BW10" s="10"/>
      <c r="BX10" s="12">
        <f t="shared" si="24"/>
        <v>0</v>
      </c>
      <c r="BY10" s="11"/>
      <c r="CA10" s="12">
        <f t="shared" si="25"/>
        <v>0</v>
      </c>
      <c r="CD10" s="12">
        <f t="shared" si="26"/>
        <v>0</v>
      </c>
      <c r="CE10">
        <v>0</v>
      </c>
      <c r="CG10" s="12">
        <f t="shared" si="27"/>
        <v>0</v>
      </c>
      <c r="CJ10" s="12">
        <f t="shared" si="28"/>
        <v>0</v>
      </c>
      <c r="CM10" s="12">
        <f t="shared" si="29"/>
        <v>0</v>
      </c>
      <c r="CN10" s="16"/>
      <c r="CO10" s="16"/>
      <c r="CP10" s="12">
        <f t="shared" si="30"/>
        <v>0</v>
      </c>
      <c r="CS10" s="12">
        <f t="shared" si="31"/>
        <v>0</v>
      </c>
      <c r="CT10">
        <v>0</v>
      </c>
      <c r="CV10" s="12">
        <f t="shared" si="32"/>
        <v>0</v>
      </c>
      <c r="CW10" s="16"/>
      <c r="CX10" s="13"/>
      <c r="CY10" s="36">
        <f t="shared" si="33"/>
        <v>0</v>
      </c>
      <c r="CZ10" s="35"/>
      <c r="DA10" s="13"/>
      <c r="DB10" s="12">
        <f t="shared" si="34"/>
        <v>0</v>
      </c>
      <c r="DC10">
        <v>0</v>
      </c>
      <c r="DD10" s="13"/>
      <c r="DE10" s="12">
        <f t="shared" si="35"/>
        <v>0</v>
      </c>
      <c r="DH10" s="12">
        <f t="shared" si="36"/>
        <v>0</v>
      </c>
      <c r="DK10" s="12">
        <f t="shared" si="37"/>
        <v>0</v>
      </c>
      <c r="DN10" s="12">
        <f t="shared" si="38"/>
        <v>0</v>
      </c>
      <c r="DQ10" s="12">
        <f t="shared" si="39"/>
        <v>0</v>
      </c>
      <c r="DR10" s="38"/>
      <c r="DU10">
        <v>0.82799999999999996</v>
      </c>
      <c r="DV10">
        <v>209</v>
      </c>
      <c r="DW10" s="10" t="s">
        <v>98</v>
      </c>
      <c r="DX10">
        <f t="shared" si="40"/>
        <v>0</v>
      </c>
      <c r="DY10">
        <v>0</v>
      </c>
      <c r="EA10">
        <f t="shared" si="41"/>
        <v>0</v>
      </c>
      <c r="EB10">
        <v>0</v>
      </c>
      <c r="ED10">
        <f t="shared" si="42"/>
        <v>0</v>
      </c>
      <c r="EE10">
        <v>0</v>
      </c>
      <c r="EG10">
        <f t="shared" si="43"/>
        <v>0</v>
      </c>
      <c r="EH10">
        <v>0</v>
      </c>
      <c r="EJ10">
        <f t="shared" si="44"/>
        <v>0</v>
      </c>
      <c r="EK10">
        <v>0</v>
      </c>
      <c r="EM10">
        <f t="shared" si="45"/>
        <v>0</v>
      </c>
      <c r="EN10">
        <v>0</v>
      </c>
      <c r="EP10">
        <f t="shared" si="46"/>
        <v>0</v>
      </c>
      <c r="EQ10">
        <v>0</v>
      </c>
      <c r="ES10">
        <f t="shared" si="47"/>
        <v>0</v>
      </c>
      <c r="ET10">
        <v>0</v>
      </c>
      <c r="EV10">
        <f t="shared" si="48"/>
        <v>0</v>
      </c>
      <c r="EW10">
        <v>0</v>
      </c>
      <c r="EY10">
        <f t="shared" si="49"/>
        <v>0</v>
      </c>
      <c r="EZ10">
        <v>0</v>
      </c>
      <c r="FB10">
        <f t="shared" si="50"/>
        <v>0</v>
      </c>
      <c r="FC10">
        <v>0</v>
      </c>
      <c r="FE10">
        <f t="shared" si="51"/>
        <v>0</v>
      </c>
      <c r="FF10">
        <v>0</v>
      </c>
      <c r="FH10">
        <f t="shared" si="52"/>
        <v>0</v>
      </c>
      <c r="FI10">
        <v>0</v>
      </c>
      <c r="FK10">
        <f t="shared" si="53"/>
        <v>0</v>
      </c>
      <c r="FL10">
        <v>0</v>
      </c>
      <c r="FN10">
        <f t="shared" si="54"/>
        <v>0</v>
      </c>
      <c r="FO10">
        <v>0</v>
      </c>
      <c r="FQ10">
        <f t="shared" si="55"/>
        <v>0</v>
      </c>
      <c r="FR10">
        <v>0</v>
      </c>
      <c r="FT10">
        <f t="shared" si="56"/>
        <v>0</v>
      </c>
      <c r="FU10">
        <v>0</v>
      </c>
      <c r="FW10">
        <f t="shared" si="57"/>
        <v>0</v>
      </c>
      <c r="FX10">
        <v>0</v>
      </c>
      <c r="FZ10">
        <f t="shared" si="58"/>
        <v>0</v>
      </c>
      <c r="GA10">
        <v>0</v>
      </c>
      <c r="GC10">
        <f t="shared" si="59"/>
        <v>0</v>
      </c>
      <c r="GD10">
        <v>0</v>
      </c>
      <c r="GF10">
        <f t="shared" si="60"/>
        <v>0</v>
      </c>
      <c r="GG10">
        <v>0</v>
      </c>
      <c r="GI10">
        <f t="shared" si="61"/>
        <v>0</v>
      </c>
      <c r="GJ10">
        <v>0</v>
      </c>
      <c r="GL10">
        <f t="shared" si="62"/>
        <v>0</v>
      </c>
      <c r="GM10">
        <v>0</v>
      </c>
      <c r="GO10">
        <f t="shared" si="63"/>
        <v>0</v>
      </c>
      <c r="GP10">
        <v>0</v>
      </c>
      <c r="GR10">
        <f t="shared" si="64"/>
        <v>0</v>
      </c>
      <c r="GS10">
        <v>0</v>
      </c>
      <c r="GU10">
        <f t="shared" si="65"/>
        <v>0</v>
      </c>
      <c r="GV10">
        <v>0</v>
      </c>
      <c r="GX10">
        <f t="shared" si="66"/>
        <v>0</v>
      </c>
      <c r="GY10">
        <v>0</v>
      </c>
      <c r="HA10">
        <f t="shared" si="67"/>
        <v>0</v>
      </c>
      <c r="HB10">
        <v>0</v>
      </c>
      <c r="HD10">
        <f t="shared" si="68"/>
        <v>0</v>
      </c>
      <c r="HE10">
        <v>0</v>
      </c>
      <c r="HG10">
        <f t="shared" si="69"/>
        <v>0</v>
      </c>
      <c r="HH10">
        <v>0</v>
      </c>
      <c r="HJ10">
        <f t="shared" si="70"/>
        <v>0</v>
      </c>
      <c r="HK10">
        <v>0</v>
      </c>
      <c r="HM10">
        <f t="shared" si="71"/>
        <v>0</v>
      </c>
      <c r="HN10">
        <v>0</v>
      </c>
      <c r="HP10">
        <f t="shared" si="72"/>
        <v>0</v>
      </c>
      <c r="HQ10">
        <v>0</v>
      </c>
      <c r="HS10">
        <f t="shared" si="73"/>
        <v>0</v>
      </c>
      <c r="HT10">
        <v>0</v>
      </c>
    </row>
    <row r="11" spans="1:228">
      <c r="A11">
        <v>0.65600000000000003</v>
      </c>
      <c r="B11">
        <v>145</v>
      </c>
      <c r="C11" s="10" t="s">
        <v>99</v>
      </c>
      <c r="D11" s="12">
        <f t="shared" si="0"/>
        <v>1.8006373756338583</v>
      </c>
      <c r="E11" s="11">
        <v>53446</v>
      </c>
      <c r="F11" s="11"/>
      <c r="G11" s="12">
        <f t="shared" si="1"/>
        <v>0</v>
      </c>
      <c r="H11" s="11"/>
      <c r="I11" s="11"/>
      <c r="J11" s="12">
        <f t="shared" si="2"/>
        <v>0</v>
      </c>
      <c r="K11" s="11"/>
      <c r="L11" s="11"/>
      <c r="M11" s="12">
        <f t="shared" si="3"/>
        <v>0</v>
      </c>
      <c r="N11" s="11">
        <v>0</v>
      </c>
      <c r="O11" s="10"/>
      <c r="P11" s="12">
        <f t="shared" si="4"/>
        <v>0</v>
      </c>
      <c r="Q11" s="11"/>
      <c r="R11" s="10"/>
      <c r="S11" s="12">
        <f t="shared" si="5"/>
        <v>0</v>
      </c>
      <c r="T11" s="11"/>
      <c r="U11" s="10"/>
      <c r="V11" s="12">
        <f t="shared" si="6"/>
        <v>0</v>
      </c>
      <c r="W11" s="11"/>
      <c r="X11" s="10"/>
      <c r="Y11" s="12">
        <f t="shared" si="7"/>
        <v>0</v>
      </c>
      <c r="Z11" s="11">
        <v>0</v>
      </c>
      <c r="AA11" s="10"/>
      <c r="AB11" s="12">
        <f t="shared" si="8"/>
        <v>1.6981546664826197</v>
      </c>
      <c r="AC11" s="11">
        <v>51965</v>
      </c>
      <c r="AD11" s="10"/>
      <c r="AE11" s="12">
        <f t="shared" si="9"/>
        <v>0</v>
      </c>
      <c r="AF11" s="11"/>
      <c r="AG11" s="11"/>
      <c r="AH11" s="12">
        <f t="shared" si="10"/>
        <v>0</v>
      </c>
      <c r="AI11" s="11"/>
      <c r="AJ11" s="10"/>
      <c r="AK11" s="12">
        <f t="shared" si="11"/>
        <v>0</v>
      </c>
      <c r="AL11" s="11"/>
      <c r="AM11" s="10"/>
      <c r="AN11" s="12">
        <f t="shared" si="12"/>
        <v>0</v>
      </c>
      <c r="AO11" s="11"/>
      <c r="AP11" s="10"/>
      <c r="AQ11" s="12">
        <f t="shared" si="13"/>
        <v>0</v>
      </c>
      <c r="AR11" s="11"/>
      <c r="AS11" s="10"/>
      <c r="AT11" s="12">
        <f t="shared" si="14"/>
        <v>0</v>
      </c>
      <c r="AU11" s="11"/>
      <c r="AV11" s="10"/>
      <c r="AW11" s="12">
        <f t="shared" si="15"/>
        <v>0</v>
      </c>
      <c r="AX11" s="11"/>
      <c r="AY11" s="10"/>
      <c r="AZ11" s="12">
        <f t="shared" si="16"/>
        <v>0</v>
      </c>
      <c r="BA11" s="11">
        <v>0</v>
      </c>
      <c r="BB11" s="10"/>
      <c r="BC11" s="12">
        <f t="shared" si="17"/>
        <v>0</v>
      </c>
      <c r="BD11" s="11"/>
      <c r="BE11" s="10"/>
      <c r="BF11" s="12">
        <f t="shared" si="18"/>
        <v>0</v>
      </c>
      <c r="BG11" s="11"/>
      <c r="BH11" s="17"/>
      <c r="BI11" s="12">
        <f t="shared" si="19"/>
        <v>0</v>
      </c>
      <c r="BJ11" s="11"/>
      <c r="BK11" s="11"/>
      <c r="BL11" s="12">
        <f t="shared" si="20"/>
        <v>0</v>
      </c>
      <c r="BM11" s="11"/>
      <c r="BN11" s="11"/>
      <c r="BO11" s="12">
        <f t="shared" si="21"/>
        <v>0</v>
      </c>
      <c r="BP11" s="11"/>
      <c r="BQ11" s="10"/>
      <c r="BR11" s="12">
        <f t="shared" si="22"/>
        <v>2.1331101994657744</v>
      </c>
      <c r="BS11" s="11">
        <v>34767</v>
      </c>
      <c r="BT11" s="10"/>
      <c r="BU11" s="12">
        <f t="shared" si="23"/>
        <v>0</v>
      </c>
      <c r="BV11" s="11"/>
      <c r="BW11" s="10"/>
      <c r="BX11" s="12">
        <f t="shared" si="24"/>
        <v>1.2032180340027276</v>
      </c>
      <c r="BY11" s="11">
        <v>81194</v>
      </c>
      <c r="CA11" s="12">
        <f t="shared" si="25"/>
        <v>1.1219196664070938</v>
      </c>
      <c r="CB11">
        <v>19056</v>
      </c>
      <c r="CD11" s="12">
        <f t="shared" si="26"/>
        <v>0</v>
      </c>
      <c r="CE11">
        <v>0</v>
      </c>
      <c r="CG11" s="12">
        <f t="shared" si="27"/>
        <v>0</v>
      </c>
      <c r="CJ11" s="12">
        <f t="shared" si="28"/>
        <v>0</v>
      </c>
      <c r="CM11" s="12">
        <f t="shared" si="29"/>
        <v>1.5940274639861365</v>
      </c>
      <c r="CN11" s="16">
        <v>38118</v>
      </c>
      <c r="CO11" s="16"/>
      <c r="CP11" s="12">
        <f t="shared" si="30"/>
        <v>1.5696899026094502</v>
      </c>
      <c r="CQ11">
        <v>46702</v>
      </c>
      <c r="CS11" s="12">
        <f t="shared" si="31"/>
        <v>0</v>
      </c>
      <c r="CT11">
        <v>0</v>
      </c>
      <c r="CV11" s="12">
        <f t="shared" si="32"/>
        <v>0</v>
      </c>
      <c r="CW11" s="16"/>
      <c r="CX11" s="13"/>
      <c r="CY11" s="36">
        <f t="shared" si="33"/>
        <v>1.3360778412171015</v>
      </c>
      <c r="CZ11" s="35">
        <v>258557</v>
      </c>
      <c r="DA11" s="13"/>
      <c r="DB11" s="12">
        <f t="shared" si="34"/>
        <v>0</v>
      </c>
      <c r="DC11">
        <v>0</v>
      </c>
      <c r="DE11" s="12">
        <f t="shared" si="35"/>
        <v>1.6537649277768991</v>
      </c>
      <c r="DF11">
        <v>161147</v>
      </c>
      <c r="DH11" s="12">
        <f t="shared" si="36"/>
        <v>0</v>
      </c>
      <c r="DK11" s="12">
        <f t="shared" si="37"/>
        <v>0</v>
      </c>
      <c r="DN11" s="12">
        <f t="shared" si="38"/>
        <v>1.9683979683133335</v>
      </c>
      <c r="DO11">
        <v>18234</v>
      </c>
      <c r="DQ11" s="12">
        <f t="shared" si="39"/>
        <v>1.3381908160068805</v>
      </c>
      <c r="DR11">
        <v>32694</v>
      </c>
      <c r="DU11">
        <v>0.65600000000000003</v>
      </c>
      <c r="DV11">
        <v>145</v>
      </c>
      <c r="DW11" s="10" t="s">
        <v>99</v>
      </c>
      <c r="DX11">
        <f t="shared" si="40"/>
        <v>0.79346910197926179</v>
      </c>
      <c r="DY11">
        <v>26187</v>
      </c>
      <c r="EA11">
        <f t="shared" si="41"/>
        <v>1.5242082588943369</v>
      </c>
      <c r="EB11">
        <v>82055</v>
      </c>
      <c r="ED11">
        <f t="shared" si="42"/>
        <v>0</v>
      </c>
      <c r="EE11">
        <v>0</v>
      </c>
      <c r="EG11">
        <f t="shared" si="43"/>
        <v>0</v>
      </c>
      <c r="EH11">
        <v>0</v>
      </c>
      <c r="EJ11">
        <f t="shared" si="44"/>
        <v>0</v>
      </c>
      <c r="EK11">
        <v>0</v>
      </c>
      <c r="EM11">
        <f t="shared" si="45"/>
        <v>0</v>
      </c>
      <c r="EN11">
        <v>0</v>
      </c>
      <c r="EP11">
        <f t="shared" si="46"/>
        <v>0.953414759810713</v>
      </c>
      <c r="EQ11">
        <v>81753</v>
      </c>
      <c r="ES11">
        <f t="shared" si="47"/>
        <v>1.1198233042588099</v>
      </c>
      <c r="ET11">
        <v>120558</v>
      </c>
      <c r="EV11">
        <f t="shared" si="48"/>
        <v>1.2169365389156388</v>
      </c>
      <c r="EW11">
        <v>93249</v>
      </c>
      <c r="EY11">
        <f t="shared" si="49"/>
        <v>2.0444027834917025</v>
      </c>
      <c r="EZ11">
        <v>53458</v>
      </c>
      <c r="FB11">
        <f t="shared" si="50"/>
        <v>1.0776844528853997</v>
      </c>
      <c r="FC11">
        <v>82258</v>
      </c>
      <c r="FE11">
        <f t="shared" si="51"/>
        <v>1.1952271289157335</v>
      </c>
      <c r="FF11">
        <v>51065</v>
      </c>
      <c r="FH11">
        <f t="shared" si="52"/>
        <v>1.1277242486173147</v>
      </c>
      <c r="FI11">
        <v>87898</v>
      </c>
      <c r="FK11">
        <f t="shared" si="53"/>
        <v>1.3631007936986184</v>
      </c>
      <c r="FL11">
        <v>30016</v>
      </c>
      <c r="FN11">
        <f t="shared" si="54"/>
        <v>0.89723224316891104</v>
      </c>
      <c r="FO11">
        <v>59271</v>
      </c>
      <c r="FQ11">
        <f t="shared" si="55"/>
        <v>0</v>
      </c>
      <c r="FR11">
        <v>0</v>
      </c>
      <c r="FT11">
        <f t="shared" si="56"/>
        <v>1.5772533451479469</v>
      </c>
      <c r="FU11">
        <v>163840</v>
      </c>
      <c r="FW11">
        <f t="shared" si="57"/>
        <v>1.2431309867694367</v>
      </c>
      <c r="FX11">
        <v>175342</v>
      </c>
      <c r="FZ11">
        <f t="shared" si="58"/>
        <v>0.65527104644805778</v>
      </c>
      <c r="GA11">
        <v>136988</v>
      </c>
      <c r="GC11">
        <f t="shared" si="59"/>
        <v>1.2542255142654193</v>
      </c>
      <c r="GD11">
        <v>41708</v>
      </c>
      <c r="GF11">
        <f t="shared" si="60"/>
        <v>0</v>
      </c>
      <c r="GG11">
        <v>0</v>
      </c>
      <c r="GI11">
        <f t="shared" si="61"/>
        <v>0</v>
      </c>
      <c r="GJ11">
        <v>0</v>
      </c>
      <c r="GL11">
        <f t="shared" si="62"/>
        <v>1.357049248871887</v>
      </c>
      <c r="GM11">
        <v>92248</v>
      </c>
      <c r="GO11">
        <f t="shared" si="63"/>
        <v>0.98021604327399736</v>
      </c>
      <c r="GP11">
        <v>255956</v>
      </c>
      <c r="GR11">
        <f t="shared" si="64"/>
        <v>1.537503479925556</v>
      </c>
      <c r="GS11">
        <v>125364</v>
      </c>
      <c r="GU11">
        <f t="shared" si="65"/>
        <v>1.0087334692136321</v>
      </c>
      <c r="GV11">
        <v>44492</v>
      </c>
      <c r="GX11">
        <f t="shared" si="66"/>
        <v>0</v>
      </c>
      <c r="GY11">
        <v>0</v>
      </c>
      <c r="HA11">
        <f t="shared" si="67"/>
        <v>0.54823872324453904</v>
      </c>
      <c r="HB11">
        <v>102564</v>
      </c>
      <c r="HD11">
        <f t="shared" si="68"/>
        <v>0.65832893403327641</v>
      </c>
      <c r="HE11">
        <v>41028</v>
      </c>
      <c r="HG11">
        <f t="shared" si="69"/>
        <v>0.52732787047020901</v>
      </c>
      <c r="HH11">
        <v>93816</v>
      </c>
      <c r="HJ11">
        <f t="shared" si="70"/>
        <v>0</v>
      </c>
      <c r="HK11">
        <v>0</v>
      </c>
      <c r="HM11">
        <f t="shared" si="71"/>
        <v>0.93150335512787485</v>
      </c>
      <c r="HN11">
        <v>204347</v>
      </c>
      <c r="HP11">
        <f t="shared" si="72"/>
        <v>0.81874085518651862</v>
      </c>
      <c r="HQ11">
        <v>187196</v>
      </c>
      <c r="HS11">
        <f t="shared" si="73"/>
        <v>0.8640656861756697</v>
      </c>
      <c r="HT11">
        <v>334340</v>
      </c>
    </row>
    <row r="12" spans="1:228">
      <c r="A12">
        <v>4.0000000000000002E-4</v>
      </c>
      <c r="B12">
        <v>147</v>
      </c>
      <c r="C12" s="10" t="s">
        <v>100</v>
      </c>
      <c r="D12" s="12">
        <f t="shared" si="0"/>
        <v>0</v>
      </c>
      <c r="E12" s="11"/>
      <c r="F12" s="11"/>
      <c r="G12" s="12">
        <f t="shared" si="1"/>
        <v>0</v>
      </c>
      <c r="H12" s="11"/>
      <c r="I12" s="11"/>
      <c r="J12" s="12">
        <f t="shared" si="2"/>
        <v>0</v>
      </c>
      <c r="K12" s="11"/>
      <c r="L12" s="11"/>
      <c r="M12" s="12">
        <f t="shared" si="3"/>
        <v>0</v>
      </c>
      <c r="N12" s="11">
        <v>0</v>
      </c>
      <c r="O12" s="10"/>
      <c r="P12" s="12">
        <f t="shared" si="4"/>
        <v>0</v>
      </c>
      <c r="Q12" s="11"/>
      <c r="R12" s="10"/>
      <c r="S12" s="12">
        <f t="shared" si="5"/>
        <v>0</v>
      </c>
      <c r="T12" s="11"/>
      <c r="U12" s="10"/>
      <c r="V12" s="12">
        <f t="shared" si="6"/>
        <v>0</v>
      </c>
      <c r="W12" s="11"/>
      <c r="X12" s="10"/>
      <c r="Y12" s="12">
        <f t="shared" si="7"/>
        <v>0</v>
      </c>
      <c r="Z12" s="11">
        <v>0</v>
      </c>
      <c r="AA12" s="10"/>
      <c r="AB12" s="12">
        <f t="shared" si="8"/>
        <v>25356.578167204687</v>
      </c>
      <c r="AC12" s="11">
        <v>473130</v>
      </c>
      <c r="AD12" s="10"/>
      <c r="AE12" s="12">
        <f t="shared" si="9"/>
        <v>0</v>
      </c>
      <c r="AF12" s="11"/>
      <c r="AG12" s="11"/>
      <c r="AH12" s="12">
        <f t="shared" si="10"/>
        <v>0</v>
      </c>
      <c r="AI12" s="11"/>
      <c r="AJ12" s="10"/>
      <c r="AK12" s="12">
        <f t="shared" si="11"/>
        <v>0</v>
      </c>
      <c r="AL12" s="11"/>
      <c r="AM12" s="10"/>
      <c r="AN12" s="12">
        <f t="shared" si="12"/>
        <v>0</v>
      </c>
      <c r="AO12" s="11"/>
      <c r="AP12" s="10"/>
      <c r="AQ12" s="12">
        <f t="shared" si="13"/>
        <v>0</v>
      </c>
      <c r="AR12" s="11"/>
      <c r="AS12" s="10"/>
      <c r="AT12" s="12">
        <f t="shared" si="14"/>
        <v>0</v>
      </c>
      <c r="AU12" s="11"/>
      <c r="AV12" s="10"/>
      <c r="AW12" s="12">
        <f t="shared" si="15"/>
        <v>0</v>
      </c>
      <c r="AX12" s="11"/>
      <c r="AY12" s="10"/>
      <c r="AZ12" s="12">
        <f t="shared" si="16"/>
        <v>0</v>
      </c>
      <c r="BA12" s="11">
        <v>0</v>
      </c>
      <c r="BB12" s="10"/>
      <c r="BC12" s="12">
        <f t="shared" si="17"/>
        <v>0</v>
      </c>
      <c r="BD12" s="11"/>
      <c r="BE12" s="10"/>
      <c r="BF12" s="12">
        <f t="shared" si="18"/>
        <v>0</v>
      </c>
      <c r="BG12" s="11"/>
      <c r="BH12" s="10"/>
      <c r="BI12" s="12">
        <f t="shared" si="19"/>
        <v>0</v>
      </c>
      <c r="BJ12" s="11"/>
      <c r="BK12" s="11"/>
      <c r="BL12" s="12">
        <f t="shared" si="20"/>
        <v>0</v>
      </c>
      <c r="BM12" s="11"/>
      <c r="BN12" s="11"/>
      <c r="BO12" s="12">
        <f t="shared" si="21"/>
        <v>0</v>
      </c>
      <c r="BP12" s="11"/>
      <c r="BQ12" s="10"/>
      <c r="BR12" s="12">
        <f t="shared" si="22"/>
        <v>0</v>
      </c>
      <c r="BS12" s="11"/>
      <c r="BT12" s="10"/>
      <c r="BU12" s="12">
        <f t="shared" si="23"/>
        <v>0</v>
      </c>
      <c r="BV12" s="11"/>
      <c r="BW12" s="10"/>
      <c r="BX12" s="12">
        <f t="shared" si="24"/>
        <v>0</v>
      </c>
      <c r="BY12" s="11"/>
      <c r="CA12" s="12">
        <f t="shared" si="25"/>
        <v>0</v>
      </c>
      <c r="CD12" s="12">
        <f t="shared" si="26"/>
        <v>0</v>
      </c>
      <c r="CE12">
        <v>0</v>
      </c>
      <c r="CG12" s="12">
        <f t="shared" si="27"/>
        <v>0</v>
      </c>
      <c r="CJ12" s="12">
        <f t="shared" si="28"/>
        <v>0</v>
      </c>
      <c r="CM12" s="12">
        <f t="shared" si="29"/>
        <v>0</v>
      </c>
      <c r="CN12" s="16"/>
      <c r="CO12" s="16"/>
      <c r="CP12" s="12">
        <f t="shared" si="30"/>
        <v>0</v>
      </c>
      <c r="CS12" s="12">
        <f t="shared" si="31"/>
        <v>0</v>
      </c>
      <c r="CT12">
        <v>0</v>
      </c>
      <c r="CV12" s="12">
        <f t="shared" si="32"/>
        <v>0</v>
      </c>
      <c r="CW12" s="16"/>
      <c r="CX12" s="13"/>
      <c r="CY12" s="36">
        <f t="shared" si="33"/>
        <v>0</v>
      </c>
      <c r="CZ12" s="35"/>
      <c r="DA12" s="13"/>
      <c r="DB12" s="12">
        <f t="shared" si="34"/>
        <v>0</v>
      </c>
      <c r="DC12">
        <v>0</v>
      </c>
      <c r="DE12" s="12">
        <f t="shared" si="35"/>
        <v>0</v>
      </c>
      <c r="DH12" s="12">
        <f t="shared" si="36"/>
        <v>0</v>
      </c>
      <c r="DK12" s="12">
        <f t="shared" si="37"/>
        <v>0</v>
      </c>
      <c r="DN12" s="12">
        <f t="shared" si="38"/>
        <v>0</v>
      </c>
      <c r="DQ12" s="12">
        <f t="shared" si="39"/>
        <v>0</v>
      </c>
      <c r="DU12">
        <v>-4.0000000000000002E-4</v>
      </c>
      <c r="DV12">
        <v>147</v>
      </c>
      <c r="DW12" s="10" t="s">
        <v>100</v>
      </c>
      <c r="DX12">
        <f t="shared" si="40"/>
        <v>0</v>
      </c>
      <c r="DY12">
        <v>0</v>
      </c>
      <c r="EA12">
        <f t="shared" si="41"/>
        <v>0</v>
      </c>
      <c r="EB12">
        <v>0</v>
      </c>
      <c r="ED12">
        <f t="shared" si="42"/>
        <v>0</v>
      </c>
      <c r="EE12">
        <v>0</v>
      </c>
      <c r="EG12">
        <f t="shared" si="43"/>
        <v>0</v>
      </c>
      <c r="EH12">
        <v>0</v>
      </c>
      <c r="EJ12">
        <f t="shared" si="44"/>
        <v>0</v>
      </c>
      <c r="EK12">
        <v>0</v>
      </c>
      <c r="EM12">
        <f t="shared" si="45"/>
        <v>0</v>
      </c>
      <c r="EN12">
        <v>0</v>
      </c>
      <c r="EP12">
        <f t="shared" si="46"/>
        <v>0</v>
      </c>
      <c r="EQ12">
        <v>0</v>
      </c>
      <c r="ES12">
        <f t="shared" si="47"/>
        <v>0</v>
      </c>
      <c r="ET12">
        <v>0</v>
      </c>
      <c r="EV12">
        <f t="shared" si="48"/>
        <v>0</v>
      </c>
      <c r="EW12">
        <v>0</v>
      </c>
      <c r="EY12">
        <f t="shared" si="49"/>
        <v>0</v>
      </c>
      <c r="EZ12">
        <v>0</v>
      </c>
      <c r="FB12">
        <f t="shared" si="50"/>
        <v>0</v>
      </c>
      <c r="FC12">
        <v>0</v>
      </c>
      <c r="FE12">
        <f t="shared" si="51"/>
        <v>0</v>
      </c>
      <c r="FF12">
        <v>0</v>
      </c>
      <c r="FH12">
        <f t="shared" si="52"/>
        <v>0</v>
      </c>
      <c r="FI12">
        <v>0</v>
      </c>
      <c r="FK12">
        <f t="shared" si="53"/>
        <v>0</v>
      </c>
      <c r="FL12">
        <v>0</v>
      </c>
      <c r="FN12">
        <f t="shared" si="54"/>
        <v>0</v>
      </c>
      <c r="FO12">
        <v>0</v>
      </c>
      <c r="FQ12">
        <f t="shared" si="55"/>
        <v>0</v>
      </c>
      <c r="FR12">
        <v>0</v>
      </c>
      <c r="FT12">
        <f t="shared" si="56"/>
        <v>0</v>
      </c>
      <c r="FU12">
        <v>0</v>
      </c>
      <c r="FW12">
        <f t="shared" si="57"/>
        <v>0</v>
      </c>
      <c r="FX12">
        <v>0</v>
      </c>
      <c r="FZ12">
        <f t="shared" si="58"/>
        <v>0</v>
      </c>
      <c r="GA12">
        <v>0</v>
      </c>
      <c r="GC12">
        <f t="shared" si="59"/>
        <v>0</v>
      </c>
      <c r="GD12">
        <v>0</v>
      </c>
      <c r="GF12">
        <f t="shared" si="60"/>
        <v>0</v>
      </c>
      <c r="GG12">
        <v>0</v>
      </c>
      <c r="GI12">
        <f t="shared" si="61"/>
        <v>0</v>
      </c>
      <c r="GJ12">
        <v>0</v>
      </c>
      <c r="GL12">
        <f t="shared" si="62"/>
        <v>0</v>
      </c>
      <c r="GM12">
        <v>0</v>
      </c>
      <c r="GO12">
        <f t="shared" si="63"/>
        <v>0</v>
      </c>
      <c r="GP12">
        <v>0</v>
      </c>
      <c r="GR12">
        <f t="shared" si="64"/>
        <v>0</v>
      </c>
      <c r="GS12">
        <v>0</v>
      </c>
      <c r="GU12">
        <f t="shared" si="65"/>
        <v>0</v>
      </c>
      <c r="GV12">
        <v>0</v>
      </c>
      <c r="GX12">
        <f t="shared" si="66"/>
        <v>0</v>
      </c>
      <c r="GY12">
        <v>0</v>
      </c>
      <c r="HA12">
        <f t="shared" si="67"/>
        <v>0</v>
      </c>
      <c r="HB12">
        <v>0</v>
      </c>
      <c r="HD12">
        <f t="shared" si="68"/>
        <v>0</v>
      </c>
      <c r="HE12">
        <v>0</v>
      </c>
      <c r="HG12">
        <f t="shared" si="69"/>
        <v>0</v>
      </c>
      <c r="HH12">
        <v>0</v>
      </c>
      <c r="HJ12">
        <f t="shared" si="70"/>
        <v>0</v>
      </c>
      <c r="HK12">
        <v>0</v>
      </c>
      <c r="HM12">
        <f t="shared" si="71"/>
        <v>0</v>
      </c>
      <c r="HN12">
        <v>0</v>
      </c>
      <c r="HP12">
        <f t="shared" si="72"/>
        <v>0</v>
      </c>
      <c r="HQ12">
        <v>0</v>
      </c>
      <c r="HS12">
        <f t="shared" si="73"/>
        <v>0</v>
      </c>
      <c r="HT12">
        <v>0</v>
      </c>
    </row>
    <row r="13" spans="1:228">
      <c r="A13">
        <v>0.93100000000000005</v>
      </c>
      <c r="B13">
        <v>297</v>
      </c>
      <c r="C13" s="10" t="s">
        <v>101</v>
      </c>
      <c r="D13" s="12">
        <f t="shared" si="0"/>
        <v>0</v>
      </c>
      <c r="E13" s="11"/>
      <c r="F13" s="11"/>
      <c r="G13" s="12">
        <f t="shared" si="1"/>
        <v>0</v>
      </c>
      <c r="H13" s="11"/>
      <c r="I13" s="11"/>
      <c r="J13" s="12">
        <f t="shared" si="2"/>
        <v>0</v>
      </c>
      <c r="K13" s="11"/>
      <c r="L13" s="11"/>
      <c r="M13" s="12">
        <f t="shared" si="3"/>
        <v>0</v>
      </c>
      <c r="N13" s="11">
        <v>0</v>
      </c>
      <c r="O13" s="10"/>
      <c r="P13" s="12">
        <f t="shared" si="4"/>
        <v>0</v>
      </c>
      <c r="Q13" s="11"/>
      <c r="R13" s="10"/>
      <c r="S13" s="12">
        <f t="shared" si="5"/>
        <v>0</v>
      </c>
      <c r="T13" s="11"/>
      <c r="U13" s="10"/>
      <c r="V13" s="12">
        <f t="shared" si="6"/>
        <v>0</v>
      </c>
      <c r="W13" s="11"/>
      <c r="X13" s="10"/>
      <c r="Y13" s="12">
        <f t="shared" si="7"/>
        <v>0</v>
      </c>
      <c r="Z13" s="11">
        <v>0</v>
      </c>
      <c r="AA13" s="10"/>
      <c r="AB13" s="12">
        <f t="shared" si="8"/>
        <v>0</v>
      </c>
      <c r="AC13" s="11"/>
      <c r="AD13" s="10"/>
      <c r="AE13" s="12">
        <f t="shared" si="9"/>
        <v>0</v>
      </c>
      <c r="AF13" s="11"/>
      <c r="AG13" s="11"/>
      <c r="AH13" s="12">
        <f t="shared" si="10"/>
        <v>0</v>
      </c>
      <c r="AI13" s="11"/>
      <c r="AJ13" s="10"/>
      <c r="AK13" s="12">
        <f t="shared" si="11"/>
        <v>0</v>
      </c>
      <c r="AL13" s="11"/>
      <c r="AM13" s="10"/>
      <c r="AN13" s="12">
        <f t="shared" si="12"/>
        <v>0</v>
      </c>
      <c r="AO13" s="11"/>
      <c r="AP13" s="10"/>
      <c r="AQ13" s="12">
        <f t="shared" si="13"/>
        <v>0</v>
      </c>
      <c r="AR13" s="11"/>
      <c r="AS13" s="10"/>
      <c r="AT13" s="12">
        <f t="shared" si="14"/>
        <v>0</v>
      </c>
      <c r="AU13" s="11"/>
      <c r="AV13" s="10"/>
      <c r="AW13" s="12">
        <f t="shared" si="15"/>
        <v>0</v>
      </c>
      <c r="AX13" s="11"/>
      <c r="AY13" s="10"/>
      <c r="AZ13" s="12">
        <f t="shared" si="16"/>
        <v>0</v>
      </c>
      <c r="BA13" s="11">
        <v>0</v>
      </c>
      <c r="BB13" s="10"/>
      <c r="BC13" s="12">
        <f t="shared" si="17"/>
        <v>0</v>
      </c>
      <c r="BD13" s="11"/>
      <c r="BE13" s="10"/>
      <c r="BF13" s="12">
        <f t="shared" si="18"/>
        <v>0</v>
      </c>
      <c r="BG13" s="11"/>
      <c r="BH13" s="10"/>
      <c r="BI13" s="12">
        <f t="shared" si="19"/>
        <v>0</v>
      </c>
      <c r="BJ13" s="11"/>
      <c r="BK13" s="11"/>
      <c r="BL13" s="12">
        <f t="shared" si="20"/>
        <v>0</v>
      </c>
      <c r="BM13" s="11"/>
      <c r="BN13" s="11"/>
      <c r="BO13" s="12">
        <f t="shared" si="21"/>
        <v>0</v>
      </c>
      <c r="BP13" s="11"/>
      <c r="BQ13" s="10"/>
      <c r="BR13" s="12">
        <f t="shared" si="22"/>
        <v>0</v>
      </c>
      <c r="BS13" s="11"/>
      <c r="BT13" s="10"/>
      <c r="BU13" s="12">
        <f t="shared" si="23"/>
        <v>0</v>
      </c>
      <c r="BV13" s="11"/>
      <c r="BW13" s="10"/>
      <c r="BX13" s="12">
        <f t="shared" si="24"/>
        <v>0</v>
      </c>
      <c r="BY13" s="11"/>
      <c r="CA13" s="12">
        <f t="shared" si="25"/>
        <v>0</v>
      </c>
      <c r="CD13" s="12">
        <f t="shared" si="26"/>
        <v>0</v>
      </c>
      <c r="CE13">
        <v>0</v>
      </c>
      <c r="CG13" s="12">
        <f t="shared" si="27"/>
        <v>0</v>
      </c>
      <c r="CJ13" s="12">
        <f t="shared" si="28"/>
        <v>0</v>
      </c>
      <c r="CM13" s="12">
        <f t="shared" si="29"/>
        <v>0</v>
      </c>
      <c r="CN13" s="16"/>
      <c r="CO13" s="16"/>
      <c r="CP13" s="12">
        <f t="shared" si="30"/>
        <v>0</v>
      </c>
      <c r="CS13" s="12">
        <f t="shared" si="31"/>
        <v>0</v>
      </c>
      <c r="CT13">
        <v>0</v>
      </c>
      <c r="CV13" s="12">
        <f t="shared" si="32"/>
        <v>0</v>
      </c>
      <c r="CW13" s="16"/>
      <c r="CX13" s="13"/>
      <c r="CY13" s="36">
        <f t="shared" si="33"/>
        <v>0</v>
      </c>
      <c r="CZ13" s="35"/>
      <c r="DA13" s="13"/>
      <c r="DB13" s="12">
        <f t="shared" si="34"/>
        <v>0</v>
      </c>
      <c r="DC13">
        <v>0</v>
      </c>
      <c r="DE13" s="12">
        <f t="shared" si="35"/>
        <v>0</v>
      </c>
      <c r="DH13" s="12">
        <f t="shared" si="36"/>
        <v>0</v>
      </c>
      <c r="DK13" s="12">
        <f t="shared" si="37"/>
        <v>0</v>
      </c>
      <c r="DN13" s="12">
        <f t="shared" si="38"/>
        <v>0</v>
      </c>
      <c r="DQ13" s="12">
        <f t="shared" si="39"/>
        <v>0</v>
      </c>
      <c r="DU13">
        <v>0.93100000000000005</v>
      </c>
      <c r="DV13">
        <v>297</v>
      </c>
      <c r="DW13" s="10" t="s">
        <v>101</v>
      </c>
      <c r="DX13">
        <f t="shared" si="40"/>
        <v>0</v>
      </c>
      <c r="DY13">
        <v>0</v>
      </c>
      <c r="EA13">
        <f t="shared" si="41"/>
        <v>0.51245821968172989</v>
      </c>
      <c r="EB13">
        <v>39153</v>
      </c>
      <c r="ED13">
        <f t="shared" si="42"/>
        <v>0</v>
      </c>
      <c r="EE13">
        <v>0</v>
      </c>
      <c r="EG13">
        <f t="shared" si="43"/>
        <v>0</v>
      </c>
      <c r="EH13">
        <v>0</v>
      </c>
      <c r="EJ13">
        <f t="shared" si="44"/>
        <v>0.73414607498949835</v>
      </c>
      <c r="EK13">
        <v>92802</v>
      </c>
      <c r="EM13">
        <f t="shared" si="45"/>
        <v>0</v>
      </c>
      <c r="EN13">
        <v>0</v>
      </c>
      <c r="EP13">
        <f t="shared" si="46"/>
        <v>0</v>
      </c>
      <c r="EQ13">
        <v>0</v>
      </c>
      <c r="ES13">
        <f t="shared" si="47"/>
        <v>0</v>
      </c>
      <c r="ET13">
        <v>0</v>
      </c>
      <c r="EV13">
        <f t="shared" si="48"/>
        <v>0</v>
      </c>
      <c r="EW13">
        <v>0</v>
      </c>
      <c r="EY13">
        <f t="shared" si="49"/>
        <v>0</v>
      </c>
      <c r="EZ13">
        <v>0</v>
      </c>
      <c r="FB13">
        <f t="shared" si="50"/>
        <v>0</v>
      </c>
      <c r="FC13">
        <v>0</v>
      </c>
      <c r="FE13">
        <f t="shared" si="51"/>
        <v>0</v>
      </c>
      <c r="FF13">
        <v>0</v>
      </c>
      <c r="FH13">
        <f t="shared" si="52"/>
        <v>0</v>
      </c>
      <c r="FI13">
        <v>0</v>
      </c>
      <c r="FK13">
        <f t="shared" si="53"/>
        <v>0</v>
      </c>
      <c r="FL13">
        <v>0</v>
      </c>
      <c r="FN13">
        <f t="shared" si="54"/>
        <v>0.82063875682819354</v>
      </c>
      <c r="FO13">
        <v>76937</v>
      </c>
      <c r="FQ13">
        <f t="shared" si="55"/>
        <v>0</v>
      </c>
      <c r="FR13">
        <v>0</v>
      </c>
      <c r="FT13">
        <f t="shared" si="56"/>
        <v>0</v>
      </c>
      <c r="FU13">
        <v>0</v>
      </c>
      <c r="FW13">
        <f t="shared" si="57"/>
        <v>0</v>
      </c>
      <c r="FX13">
        <v>0</v>
      </c>
      <c r="FZ13">
        <f t="shared" si="58"/>
        <v>0</v>
      </c>
      <c r="GA13">
        <v>0</v>
      </c>
      <c r="GC13">
        <f t="shared" si="59"/>
        <v>0</v>
      </c>
      <c r="GD13">
        <v>0</v>
      </c>
      <c r="GF13">
        <f t="shared" si="60"/>
        <v>0.65290213436707334</v>
      </c>
      <c r="GG13">
        <v>55689</v>
      </c>
      <c r="GI13">
        <f t="shared" si="61"/>
        <v>0.39038901739519782</v>
      </c>
      <c r="GJ13">
        <v>25681</v>
      </c>
      <c r="GL13">
        <f t="shared" si="62"/>
        <v>0.40414285457841731</v>
      </c>
      <c r="GM13">
        <v>38989</v>
      </c>
      <c r="GO13">
        <f t="shared" si="63"/>
        <v>0.3126775133146511</v>
      </c>
      <c r="GP13">
        <v>115874</v>
      </c>
      <c r="GR13">
        <f t="shared" si="64"/>
        <v>0</v>
      </c>
      <c r="GS13">
        <v>0</v>
      </c>
      <c r="GU13">
        <f t="shared" si="65"/>
        <v>0</v>
      </c>
      <c r="GV13">
        <v>0</v>
      </c>
      <c r="GX13">
        <f t="shared" si="66"/>
        <v>0</v>
      </c>
      <c r="GY13">
        <v>0</v>
      </c>
      <c r="HA13">
        <f t="shared" si="67"/>
        <v>0</v>
      </c>
      <c r="HB13">
        <v>0</v>
      </c>
      <c r="HD13">
        <f t="shared" si="68"/>
        <v>0</v>
      </c>
      <c r="HE13">
        <v>0</v>
      </c>
      <c r="HG13">
        <f t="shared" si="69"/>
        <v>0</v>
      </c>
      <c r="HH13">
        <v>0</v>
      </c>
      <c r="HJ13">
        <f t="shared" si="70"/>
        <v>0.34232268720123427</v>
      </c>
      <c r="HK13">
        <v>76508</v>
      </c>
      <c r="HM13">
        <f t="shared" si="71"/>
        <v>0</v>
      </c>
      <c r="HN13">
        <v>0</v>
      </c>
      <c r="HP13">
        <f t="shared" si="72"/>
        <v>0</v>
      </c>
      <c r="HQ13">
        <v>0</v>
      </c>
      <c r="HS13">
        <f t="shared" si="73"/>
        <v>0</v>
      </c>
      <c r="HT13">
        <v>0</v>
      </c>
    </row>
    <row r="14" spans="1:228">
      <c r="A14" s="49">
        <v>0.78</v>
      </c>
      <c r="B14">
        <v>327</v>
      </c>
      <c r="C14" s="10" t="s">
        <v>102</v>
      </c>
      <c r="D14" s="12">
        <f t="shared" si="0"/>
        <v>0</v>
      </c>
      <c r="E14" s="11"/>
      <c r="F14" s="11"/>
      <c r="G14" s="12">
        <f t="shared" si="1"/>
        <v>0</v>
      </c>
      <c r="H14" s="11"/>
      <c r="I14" s="11"/>
      <c r="J14" s="12">
        <f t="shared" si="2"/>
        <v>0</v>
      </c>
      <c r="K14" s="11"/>
      <c r="L14" s="11"/>
      <c r="M14" s="12">
        <f t="shared" si="3"/>
        <v>0</v>
      </c>
      <c r="N14" s="11">
        <v>0</v>
      </c>
      <c r="O14" s="10"/>
      <c r="P14" s="12">
        <f t="shared" si="4"/>
        <v>0</v>
      </c>
      <c r="Q14" s="11"/>
      <c r="R14" s="10"/>
      <c r="S14" s="12">
        <f t="shared" si="5"/>
        <v>0</v>
      </c>
      <c r="T14" s="11"/>
      <c r="U14" s="10"/>
      <c r="V14" s="12">
        <f t="shared" si="6"/>
        <v>0</v>
      </c>
      <c r="W14" s="11"/>
      <c r="X14" s="10"/>
      <c r="Y14" s="12">
        <f t="shared" si="7"/>
        <v>0</v>
      </c>
      <c r="Z14" s="11">
        <v>0</v>
      </c>
      <c r="AA14" s="10"/>
      <c r="AB14" s="12">
        <f t="shared" si="8"/>
        <v>0</v>
      </c>
      <c r="AC14" s="11"/>
      <c r="AD14" s="10"/>
      <c r="AE14" s="12">
        <f t="shared" si="9"/>
        <v>0</v>
      </c>
      <c r="AF14" s="11"/>
      <c r="AG14" s="11"/>
      <c r="AH14" s="12">
        <f t="shared" si="10"/>
        <v>0</v>
      </c>
      <c r="AI14" s="11"/>
      <c r="AJ14" s="10"/>
      <c r="AK14" s="12">
        <f t="shared" si="11"/>
        <v>0</v>
      </c>
      <c r="AL14" s="11"/>
      <c r="AM14" s="10"/>
      <c r="AN14" s="12">
        <f t="shared" si="12"/>
        <v>0</v>
      </c>
      <c r="AO14" s="11"/>
      <c r="AP14" s="10"/>
      <c r="AQ14" s="12">
        <f t="shared" si="13"/>
        <v>0</v>
      </c>
      <c r="AR14" s="11"/>
      <c r="AS14" s="10"/>
      <c r="AT14" s="12">
        <f t="shared" si="14"/>
        <v>0</v>
      </c>
      <c r="AU14" s="11"/>
      <c r="AV14" s="10"/>
      <c r="AW14" s="12">
        <f t="shared" si="15"/>
        <v>0</v>
      </c>
      <c r="AX14" s="11"/>
      <c r="AY14" s="10"/>
      <c r="AZ14" s="12">
        <f t="shared" si="16"/>
        <v>0</v>
      </c>
      <c r="BA14" s="11">
        <v>0</v>
      </c>
      <c r="BB14" s="10"/>
      <c r="BC14" s="12">
        <f t="shared" si="17"/>
        <v>0</v>
      </c>
      <c r="BD14" s="11"/>
      <c r="BE14" s="10"/>
      <c r="BF14" s="12">
        <f t="shared" si="18"/>
        <v>0</v>
      </c>
      <c r="BG14" s="11"/>
      <c r="BH14" s="10"/>
      <c r="BI14" s="12">
        <f t="shared" si="19"/>
        <v>0</v>
      </c>
      <c r="BJ14" s="11"/>
      <c r="BK14" s="11"/>
      <c r="BL14" s="12">
        <f t="shared" si="20"/>
        <v>0</v>
      </c>
      <c r="BM14" s="11"/>
      <c r="BN14" s="11"/>
      <c r="BO14" s="12">
        <f t="shared" si="21"/>
        <v>0</v>
      </c>
      <c r="BP14" s="11"/>
      <c r="BQ14" s="10"/>
      <c r="BR14" s="12">
        <f t="shared" si="22"/>
        <v>0.1498999362391959</v>
      </c>
      <c r="BS14" s="11">
        <v>2905</v>
      </c>
      <c r="BT14" s="10"/>
      <c r="BU14" s="12">
        <f t="shared" si="23"/>
        <v>0</v>
      </c>
      <c r="BV14" s="11"/>
      <c r="BW14" s="10"/>
      <c r="BX14" s="12">
        <f t="shared" si="24"/>
        <v>0</v>
      </c>
      <c r="BY14" s="11"/>
      <c r="CA14" s="12">
        <f t="shared" si="25"/>
        <v>0</v>
      </c>
      <c r="CD14" s="12">
        <f t="shared" si="26"/>
        <v>0</v>
      </c>
      <c r="CE14">
        <v>0</v>
      </c>
      <c r="CG14" s="12">
        <f t="shared" si="27"/>
        <v>0</v>
      </c>
      <c r="CJ14" s="12">
        <f t="shared" si="28"/>
        <v>0</v>
      </c>
      <c r="CM14" s="12">
        <f t="shared" si="29"/>
        <v>0</v>
      </c>
      <c r="CN14" s="16"/>
      <c r="CO14" s="16"/>
      <c r="CP14" s="12">
        <f t="shared" si="30"/>
        <v>0</v>
      </c>
      <c r="CS14" s="12">
        <f t="shared" si="31"/>
        <v>0</v>
      </c>
      <c r="CT14">
        <v>0</v>
      </c>
      <c r="CV14" s="12">
        <f t="shared" si="32"/>
        <v>0</v>
      </c>
      <c r="CW14" s="16"/>
      <c r="CX14" s="13"/>
      <c r="CY14" s="36">
        <f t="shared" si="33"/>
        <v>0</v>
      </c>
      <c r="CZ14" s="35"/>
      <c r="DA14" s="13"/>
      <c r="DB14" s="12">
        <f t="shared" si="34"/>
        <v>0</v>
      </c>
      <c r="DC14">
        <v>0</v>
      </c>
      <c r="DE14" s="12">
        <f t="shared" si="35"/>
        <v>0</v>
      </c>
      <c r="DH14" s="12">
        <f t="shared" si="36"/>
        <v>0</v>
      </c>
      <c r="DK14" s="12">
        <f t="shared" si="37"/>
        <v>0</v>
      </c>
      <c r="DN14" s="12">
        <f t="shared" si="38"/>
        <v>0</v>
      </c>
      <c r="DQ14" s="12">
        <f t="shared" si="39"/>
        <v>0</v>
      </c>
      <c r="DU14" s="49">
        <v>0.78</v>
      </c>
      <c r="DV14">
        <v>327</v>
      </c>
      <c r="DW14" s="10" t="s">
        <v>102</v>
      </c>
      <c r="DX14">
        <f t="shared" si="40"/>
        <v>0</v>
      </c>
      <c r="DY14">
        <v>0</v>
      </c>
      <c r="EA14">
        <f t="shared" si="41"/>
        <v>0</v>
      </c>
      <c r="EB14">
        <v>0</v>
      </c>
      <c r="ED14">
        <f t="shared" si="42"/>
        <v>0</v>
      </c>
      <c r="EE14">
        <v>0</v>
      </c>
      <c r="EG14">
        <f t="shared" si="43"/>
        <v>0</v>
      </c>
      <c r="EH14">
        <v>0</v>
      </c>
      <c r="EJ14">
        <f t="shared" si="44"/>
        <v>0</v>
      </c>
      <c r="EK14">
        <v>0</v>
      </c>
      <c r="EM14">
        <f t="shared" si="45"/>
        <v>0</v>
      </c>
      <c r="EN14">
        <v>0</v>
      </c>
      <c r="EP14">
        <f t="shared" si="46"/>
        <v>0</v>
      </c>
      <c r="EQ14">
        <v>0</v>
      </c>
      <c r="ES14">
        <f t="shared" si="47"/>
        <v>0</v>
      </c>
      <c r="ET14">
        <v>0</v>
      </c>
      <c r="EV14">
        <f t="shared" si="48"/>
        <v>0</v>
      </c>
      <c r="EW14">
        <v>0</v>
      </c>
      <c r="EY14">
        <f t="shared" si="49"/>
        <v>0</v>
      </c>
      <c r="EZ14">
        <v>0</v>
      </c>
      <c r="FB14">
        <f t="shared" si="50"/>
        <v>0</v>
      </c>
      <c r="FC14">
        <v>0</v>
      </c>
      <c r="FE14">
        <f t="shared" si="51"/>
        <v>0</v>
      </c>
      <c r="FF14">
        <v>0</v>
      </c>
      <c r="FH14">
        <f t="shared" si="52"/>
        <v>0</v>
      </c>
      <c r="FI14">
        <v>0</v>
      </c>
      <c r="FK14">
        <f t="shared" si="53"/>
        <v>0</v>
      </c>
      <c r="FL14">
        <v>0</v>
      </c>
      <c r="FN14">
        <f t="shared" si="54"/>
        <v>0</v>
      </c>
      <c r="FO14">
        <v>0</v>
      </c>
      <c r="FQ14">
        <f t="shared" si="55"/>
        <v>0</v>
      </c>
      <c r="FR14">
        <v>0</v>
      </c>
      <c r="FT14">
        <f t="shared" si="56"/>
        <v>0</v>
      </c>
      <c r="FU14">
        <v>0</v>
      </c>
      <c r="FW14">
        <f t="shared" si="57"/>
        <v>0</v>
      </c>
      <c r="FX14">
        <v>0</v>
      </c>
      <c r="FZ14">
        <f t="shared" si="58"/>
        <v>0</v>
      </c>
      <c r="GA14">
        <v>0</v>
      </c>
      <c r="GC14">
        <f t="shared" si="59"/>
        <v>0</v>
      </c>
      <c r="GD14">
        <v>0</v>
      </c>
      <c r="GF14">
        <f t="shared" si="60"/>
        <v>0.23043488827848516</v>
      </c>
      <c r="GG14">
        <v>16467</v>
      </c>
      <c r="GI14">
        <f t="shared" si="61"/>
        <v>0</v>
      </c>
      <c r="GJ14">
        <v>0</v>
      </c>
      <c r="GL14">
        <f t="shared" si="62"/>
        <v>0</v>
      </c>
      <c r="GM14">
        <v>0</v>
      </c>
      <c r="GO14">
        <f t="shared" si="63"/>
        <v>0.14962616385266617</v>
      </c>
      <c r="GP14">
        <v>46456</v>
      </c>
      <c r="GR14">
        <f t="shared" si="64"/>
        <v>0</v>
      </c>
      <c r="GS14">
        <v>0</v>
      </c>
      <c r="GU14">
        <f t="shared" si="65"/>
        <v>0</v>
      </c>
      <c r="GV14">
        <v>0</v>
      </c>
      <c r="GX14">
        <f t="shared" si="66"/>
        <v>0</v>
      </c>
      <c r="GY14">
        <v>0</v>
      </c>
      <c r="HA14">
        <f t="shared" si="67"/>
        <v>0</v>
      </c>
      <c r="HB14">
        <v>0</v>
      </c>
      <c r="HD14">
        <f t="shared" si="68"/>
        <v>0</v>
      </c>
      <c r="HE14">
        <v>0</v>
      </c>
      <c r="HG14">
        <f t="shared" si="69"/>
        <v>0</v>
      </c>
      <c r="HH14">
        <v>0</v>
      </c>
      <c r="HJ14">
        <f t="shared" si="70"/>
        <v>0.10994003735578196</v>
      </c>
      <c r="HK14">
        <v>20586</v>
      </c>
      <c r="HM14">
        <f t="shared" si="71"/>
        <v>0</v>
      </c>
      <c r="HN14">
        <v>0</v>
      </c>
      <c r="HP14">
        <f t="shared" si="72"/>
        <v>0</v>
      </c>
      <c r="HQ14">
        <v>0</v>
      </c>
      <c r="HS14">
        <f t="shared" si="73"/>
        <v>0</v>
      </c>
      <c r="HT14">
        <v>0</v>
      </c>
    </row>
    <row r="15" spans="1:228">
      <c r="C15" s="10"/>
      <c r="D15" s="12"/>
      <c r="E15" s="11"/>
      <c r="F15" s="11"/>
      <c r="G15" s="12"/>
      <c r="H15" s="11"/>
      <c r="I15" s="11"/>
      <c r="J15" s="12"/>
      <c r="K15" s="11"/>
      <c r="L15" s="11"/>
      <c r="M15" s="12"/>
      <c r="N15" s="11"/>
      <c r="O15" s="10"/>
      <c r="P15" s="12"/>
      <c r="Q15" s="11"/>
      <c r="R15" s="10"/>
      <c r="S15" s="12"/>
      <c r="T15" s="11"/>
      <c r="U15" s="10"/>
      <c r="V15" s="12"/>
      <c r="W15" s="11"/>
      <c r="X15" s="10"/>
      <c r="Y15" s="12"/>
      <c r="Z15" s="11"/>
      <c r="AA15" s="10"/>
      <c r="AB15" s="12"/>
      <c r="AC15" s="11"/>
      <c r="AD15" s="10"/>
      <c r="AE15" s="12"/>
      <c r="AF15" s="11"/>
      <c r="AG15" s="11"/>
      <c r="AH15" s="12"/>
      <c r="AI15" s="11"/>
      <c r="AJ15" s="10"/>
      <c r="AK15" s="12"/>
      <c r="AL15" s="11"/>
      <c r="AM15" s="10"/>
      <c r="AN15" s="12"/>
      <c r="AO15" s="11"/>
      <c r="AP15" s="10"/>
      <c r="AQ15" s="12"/>
      <c r="AR15" s="11"/>
      <c r="AS15" s="10"/>
      <c r="AT15" s="12"/>
      <c r="AU15" s="11"/>
      <c r="AV15" s="10"/>
      <c r="AW15" s="12"/>
      <c r="AX15" s="11"/>
      <c r="AY15" s="10"/>
      <c r="AZ15" s="12"/>
      <c r="BA15" s="11"/>
      <c r="BB15" s="10"/>
      <c r="BC15" s="12"/>
      <c r="BD15" s="11"/>
      <c r="BE15" s="10"/>
      <c r="BF15" s="12"/>
      <c r="BG15" s="11"/>
      <c r="BH15" s="10"/>
      <c r="BI15" s="12"/>
      <c r="BJ15" s="11"/>
      <c r="BK15" s="11"/>
      <c r="BL15" s="12"/>
      <c r="BM15" s="11"/>
      <c r="BN15" s="11"/>
      <c r="BO15" s="12"/>
      <c r="BP15" s="11"/>
      <c r="BQ15" s="10"/>
      <c r="BR15" s="12"/>
      <c r="BS15" s="11"/>
      <c r="BT15" s="10"/>
      <c r="BU15" s="12"/>
      <c r="BV15" s="11"/>
      <c r="BW15" s="10"/>
      <c r="BX15" s="12"/>
      <c r="BY15" s="11"/>
      <c r="CA15" s="12"/>
      <c r="CD15" s="12"/>
      <c r="CG15" s="12"/>
      <c r="CJ15" s="12"/>
      <c r="CM15" s="12"/>
      <c r="CN15" s="16"/>
      <c r="CO15" s="16"/>
      <c r="CP15" s="12"/>
      <c r="CS15" s="12"/>
      <c r="CV15" s="12"/>
      <c r="CW15" s="16"/>
      <c r="CX15" s="13"/>
      <c r="CY15" s="36"/>
      <c r="CZ15" s="35"/>
      <c r="DA15" s="13"/>
      <c r="DB15" s="12"/>
      <c r="DE15" s="12"/>
      <c r="DH15" s="12"/>
      <c r="DK15" s="12"/>
      <c r="DN15" s="12"/>
      <c r="DQ15" s="12"/>
    </row>
    <row r="19" spans="3:9">
      <c r="C19" s="10"/>
      <c r="D19" s="44"/>
      <c r="E19" s="44"/>
      <c r="F19" s="44"/>
      <c r="G19" s="44"/>
      <c r="H19" s="44"/>
      <c r="I19" s="44"/>
    </row>
    <row r="20" spans="3:9">
      <c r="C20" s="14"/>
      <c r="D20" s="44"/>
      <c r="E20" s="44"/>
      <c r="F20" s="44"/>
      <c r="G20" s="44"/>
      <c r="H20" s="44"/>
      <c r="I20" s="44"/>
    </row>
    <row r="21" spans="3:9">
      <c r="C21" s="10"/>
      <c r="D21" s="44"/>
      <c r="E21" s="44"/>
      <c r="F21" s="44"/>
      <c r="G21" s="44"/>
      <c r="H21" s="44"/>
      <c r="I21" s="44"/>
    </row>
    <row r="22" spans="3:9">
      <c r="C22" s="10"/>
      <c r="D22" s="44"/>
      <c r="E22" s="44"/>
      <c r="F22" s="44"/>
      <c r="G22" s="44"/>
      <c r="H22" s="44"/>
      <c r="I22" s="44"/>
    </row>
    <row r="23" spans="3:9">
      <c r="C23" s="10"/>
      <c r="D23" s="44"/>
      <c r="E23" s="44"/>
      <c r="F23" s="44"/>
      <c r="G23" s="44"/>
      <c r="H23" s="44"/>
      <c r="I23" s="44"/>
    </row>
    <row r="24" spans="3:9">
      <c r="D24" s="44"/>
      <c r="E24" s="44"/>
      <c r="F24" s="44"/>
      <c r="G24" s="44"/>
    </row>
  </sheetData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Information</vt:lpstr>
      <vt:lpstr>BSTFA-Sugars</vt:lpstr>
      <vt:lpstr>BSTFA-Sterols, ROHs</vt:lpstr>
      <vt:lpstr>BSTFA-Acids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Harmonie</dc:creator>
  <cp:lastModifiedBy>rjantz</cp:lastModifiedBy>
  <dcterms:created xsi:type="dcterms:W3CDTF">2007-05-04T18:54:06Z</dcterms:created>
  <dcterms:modified xsi:type="dcterms:W3CDTF">2009-04-01T13:45:48Z</dcterms:modified>
</cp:coreProperties>
</file>