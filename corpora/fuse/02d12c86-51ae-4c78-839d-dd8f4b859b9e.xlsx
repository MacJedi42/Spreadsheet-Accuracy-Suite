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8975" windowHeight="11955"/>
  </bookViews>
  <sheets>
    <sheet name="Research Assistant" sheetId="1" r:id="rId1"/>
  </sheets>
  <definedNames>
    <definedName name="_xlnm.Print_Area" localSheetId="0">'Research Assistant'!$B$2:$G$110</definedName>
    <definedName name="_xlnm.Print_Titles" localSheetId="0">'Research Assistant'!$3:$4</definedName>
  </definedNames>
  <calcPr calcId="145621"/>
</workbook>
</file>

<file path=xl/calcChain.xml><?xml version="1.0" encoding="utf-8"?>
<calcChain xmlns="http://schemas.openxmlformats.org/spreadsheetml/2006/main">
  <c r="G16" i="1" l="1"/>
  <c r="G15" i="1"/>
  <c r="G11" i="1"/>
  <c r="G13" i="1"/>
  <c r="G12" i="1"/>
  <c r="G10" i="1"/>
  <c r="G35" i="1"/>
  <c r="G34" i="1"/>
  <c r="G32" i="1"/>
  <c r="G31" i="1"/>
  <c r="G30" i="1"/>
  <c r="G28" i="1"/>
  <c r="G27" i="1"/>
  <c r="G26" i="1"/>
  <c r="G25" i="1"/>
  <c r="G24" i="1"/>
  <c r="G23" i="1"/>
  <c r="G22" i="1"/>
  <c r="G43" i="1"/>
  <c r="G83" i="1"/>
  <c r="G79" i="1"/>
  <c r="G78" i="1"/>
  <c r="G77" i="1"/>
  <c r="G76" i="1"/>
  <c r="G75" i="1"/>
  <c r="G74" i="1"/>
  <c r="G73" i="1"/>
  <c r="G72" i="1"/>
  <c r="G67" i="1"/>
  <c r="G66" i="1"/>
  <c r="G65" i="1"/>
  <c r="G64" i="1"/>
  <c r="G63" i="1"/>
  <c r="G53" i="1"/>
  <c r="G52" i="1"/>
  <c r="G42" i="1"/>
  <c r="G69" i="1"/>
  <c r="G68" i="1"/>
  <c r="G62" i="1"/>
  <c r="G60" i="1"/>
  <c r="G59" i="1"/>
  <c r="G58" i="1"/>
  <c r="G57" i="1"/>
  <c r="G56" i="1"/>
  <c r="G91" i="1"/>
  <c r="G90" i="1"/>
  <c r="G49" i="1"/>
  <c r="G48" i="1"/>
  <c r="G47" i="1"/>
  <c r="G46" i="1"/>
  <c r="G45" i="1"/>
  <c r="G96" i="1"/>
  <c r="G95" i="1"/>
  <c r="G93" i="1"/>
  <c r="G92" i="1"/>
  <c r="G81" i="1"/>
  <c r="G54" i="1"/>
  <c r="G40" i="1"/>
  <c r="G19" i="1"/>
  <c r="G18" i="1"/>
  <c r="G9" i="1"/>
</calcChain>
</file>

<file path=xl/sharedStrings.xml><?xml version="1.0" encoding="utf-8"?>
<sst xmlns="http://schemas.openxmlformats.org/spreadsheetml/2006/main" count="225" uniqueCount="157">
  <si>
    <t>Security</t>
  </si>
  <si>
    <t>Tax forms (I-9, W-4 and NC-4)</t>
  </si>
  <si>
    <t xml:space="preserve">Direct deposit </t>
  </si>
  <si>
    <t>Work schedule</t>
  </si>
  <si>
    <t>Distribution list updates</t>
  </si>
  <si>
    <t>Personnel list updates</t>
  </si>
  <si>
    <t>TB Skin test</t>
  </si>
  <si>
    <t>Immunization review</t>
  </si>
  <si>
    <t>UNC Health Care Photo ID badge</t>
  </si>
  <si>
    <t>Work area orientation</t>
  </si>
  <si>
    <t>Safety: Exits and fire protection procedures</t>
  </si>
  <si>
    <t>Phones, fax machines, and photocopiers</t>
  </si>
  <si>
    <t>Time and attendance</t>
  </si>
  <si>
    <t>Reporting absences due to illness</t>
  </si>
  <si>
    <t>Performance expectations</t>
  </si>
  <si>
    <t>Annual performance reviews</t>
  </si>
  <si>
    <t>Dress code</t>
  </si>
  <si>
    <t>Smoke-free workplace</t>
  </si>
  <si>
    <t>Bathrooms, food, lounge</t>
  </si>
  <si>
    <t>Confidentiality and security</t>
  </si>
  <si>
    <t>Job description and duties</t>
  </si>
  <si>
    <t>Policy &amp; Procedure Manual</t>
  </si>
  <si>
    <t>Requesting time away</t>
  </si>
  <si>
    <t>Due By</t>
  </si>
  <si>
    <t>Transportation &amp; Parking</t>
  </si>
  <si>
    <t>Optional</t>
  </si>
  <si>
    <t>Leave</t>
  </si>
  <si>
    <t>Location/Contact</t>
  </si>
  <si>
    <t>classroom</t>
  </si>
  <si>
    <r>
      <rPr>
        <b/>
        <sz val="10"/>
        <rFont val="Calibri"/>
        <family val="2"/>
        <scheme val="minor"/>
      </rPr>
      <t>SOM Photo</t>
    </r>
    <r>
      <rPr>
        <u/>
        <sz val="10"/>
        <rFont val="Calibri"/>
        <family val="2"/>
        <scheme val="minor"/>
      </rPr>
      <t/>
    </r>
  </si>
  <si>
    <t>Appropriate email and internet use</t>
  </si>
  <si>
    <t>Communication</t>
  </si>
  <si>
    <t>Days</t>
  </si>
  <si>
    <t>FreedomPay - discount debit card for meals</t>
  </si>
  <si>
    <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more info</t>
    </r>
  </si>
  <si>
    <t>Parking permit and prices; transportation/campus maps</t>
  </si>
  <si>
    <t>Assigned work area, mailing address with CB#</t>
  </si>
  <si>
    <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info</t>
    </r>
  </si>
  <si>
    <t>My Timecard Access</t>
  </si>
  <si>
    <t>Training</t>
  </si>
  <si>
    <t>Protocol training</t>
  </si>
  <si>
    <t>Phone/fax protocol training</t>
  </si>
  <si>
    <t>UNC Code of Conduct</t>
  </si>
  <si>
    <t>Info to come</t>
  </si>
  <si>
    <t>Department of Medicine Clinic Support Website</t>
  </si>
  <si>
    <r>
      <rPr>
        <b/>
        <sz val="10"/>
        <rFont val="Calibri"/>
        <family val="2"/>
        <scheme val="minor"/>
      </rPr>
      <t xml:space="preserve">CSW Access: </t>
    </r>
    <r>
      <rPr>
        <sz val="10"/>
        <rFont val="Calibri"/>
        <family val="2"/>
        <scheme val="minor"/>
      </rPr>
      <t>Visit site to obtain credentials</t>
    </r>
  </si>
  <si>
    <t>Jo Williams</t>
  </si>
  <si>
    <t>Responsible party</t>
  </si>
  <si>
    <t xml:space="preserve">EMPLOYEE NAME:  </t>
  </si>
  <si>
    <t>PID: Personal identification number</t>
  </si>
  <si>
    <t>Self</t>
  </si>
  <si>
    <r>
      <t xml:space="preserve">Meadowmont
</t>
    </r>
    <r>
      <rPr>
        <sz val="10"/>
        <rFont val="Calibri"/>
        <family val="2"/>
        <scheme val="minor"/>
      </rPr>
      <t>966-4444</t>
    </r>
  </si>
  <si>
    <t>INFORMATION SYSTEMS ACCESS</t>
  </si>
  <si>
    <t>INFORMATION SYSTEMS TRAINING</t>
  </si>
  <si>
    <t>Malinda Williams</t>
  </si>
  <si>
    <t>UNC OneCard (need PID/EID)</t>
  </si>
  <si>
    <t>Yellow belt training  (Lean Six Sigma)</t>
  </si>
  <si>
    <t>Supply ordering</t>
  </si>
  <si>
    <t>Penny Chumley</t>
  </si>
  <si>
    <t>General Privacy</t>
  </si>
  <si>
    <r>
      <rPr>
        <sz val="10"/>
        <rFont val="Calibri"/>
        <family val="2"/>
      </rP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HIPAA tests</t>
    </r>
  </si>
  <si>
    <t>General Information Security</t>
  </si>
  <si>
    <t>Patients' Rights</t>
  </si>
  <si>
    <t>Patients' Rights to Accounting of Disclosures</t>
  </si>
  <si>
    <t>Patients' Rights to Object of Disclosures</t>
  </si>
  <si>
    <t>Guidelines for Contacting Patients</t>
  </si>
  <si>
    <t>Healthcare Workers / Joint Commission</t>
  </si>
  <si>
    <r>
      <rPr>
        <sz val="10"/>
        <rFont val="Calibri"/>
        <family val="2"/>
      </rP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EHS tests</t>
    </r>
  </si>
  <si>
    <t>Tuberculosis &amp; Infection Control</t>
  </si>
  <si>
    <t>School of Medicine network credentials / Outlook email account</t>
  </si>
  <si>
    <t>Park and Ride, campus maps</t>
  </si>
  <si>
    <t>ONYEN: UNC ID used for timecard system</t>
  </si>
  <si>
    <t>Request access to RMALONE folder</t>
  </si>
  <si>
    <t>med-fp drive (mapped to S: drive)</t>
  </si>
  <si>
    <t>IMC-Enhanced Care listserv</t>
  </si>
  <si>
    <t>Enhanced Care Staff Calendars</t>
  </si>
  <si>
    <t>Create MSN Messenger account</t>
  </si>
  <si>
    <t>Keith Gerarden</t>
  </si>
  <si>
    <t>Shaun McDonald</t>
  </si>
  <si>
    <r>
      <rPr>
        <b/>
        <u/>
        <sz val="10"/>
        <rFont val="Calibri"/>
        <family val="2"/>
        <scheme val="minor"/>
      </rPr>
      <t>ANNUAL</t>
    </r>
    <r>
      <rPr>
        <b/>
        <sz val="10"/>
        <rFont val="Calibri"/>
        <family val="2"/>
        <scheme val="minor"/>
      </rPr>
      <t xml:space="preserve"> Occupational Health Services</t>
    </r>
    <r>
      <rPr>
        <sz val="10"/>
        <rFont val="Calibri"/>
        <family val="2"/>
        <scheme val="minor"/>
      </rPr>
      <t xml:space="preserve"> (call to schedule appointment) - After initial session, must complete annually</t>
    </r>
  </si>
  <si>
    <t>TIM - Time Information Management</t>
  </si>
  <si>
    <t>WebCIS 2.14 training  (requires SARF abd WebCIS logon)</t>
  </si>
  <si>
    <t>WebCIS - Web-based Clinical Information System</t>
  </si>
  <si>
    <r>
      <rPr>
        <b/>
        <sz val="10"/>
        <rFont val="Calibri"/>
        <family val="2"/>
        <scheme val="minor"/>
      </rPr>
      <t>Meadowmont,</t>
    </r>
    <r>
      <rPr>
        <sz val="10"/>
        <rFont val="Calibri"/>
        <family val="2"/>
        <scheme val="minor"/>
      </rPr>
      <t xml:space="preserve"> 966-7901</t>
    </r>
  </si>
  <si>
    <r>
      <t xml:space="preserve">SARF: Systems Access Request Form; Info Security Administration
     </t>
    </r>
    <r>
      <rPr>
        <sz val="10"/>
        <color theme="1"/>
        <rFont val="Calibri"/>
        <family val="2"/>
        <scheme val="minor"/>
      </rPr>
      <t>(WebCIS, Citrix, Kronos, etc)</t>
    </r>
  </si>
  <si>
    <t>Bonnie Hayes, 843-6218</t>
  </si>
  <si>
    <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ID form</t>
    </r>
  </si>
  <si>
    <r>
      <rPr>
        <b/>
        <u/>
        <sz val="10"/>
        <rFont val="Calibri"/>
        <family val="2"/>
        <scheme val="minor"/>
      </rPr>
      <t>ANNUAL</t>
    </r>
    <r>
      <rPr>
        <b/>
        <sz val="10"/>
        <rFont val="Calibri"/>
        <family val="2"/>
        <scheme val="minor"/>
      </rPr>
      <t xml:space="preserve"> Environmental Health and Safety Compliance</t>
    </r>
    <r>
      <rPr>
        <sz val="10"/>
        <rFont val="Calibri"/>
        <family val="2"/>
        <scheme val="minor"/>
      </rPr>
      <t xml:space="preserve"> (requires PID or ONYEN) - After initial session, must complete annually</t>
    </r>
  </si>
  <si>
    <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Confidentiality Statement</t>
    </r>
  </si>
  <si>
    <r>
      <t xml:space="preserve">145 N Medical Dr, 2nd fl </t>
    </r>
    <r>
      <rPr>
        <sz val="8"/>
        <rFont val="Calibri"/>
        <family val="2"/>
        <scheme val="minor"/>
      </rPr>
      <t xml:space="preserve">(old Health Affairs Bookstore)
</t>
    </r>
    <r>
      <rPr>
        <sz val="10"/>
        <rFont val="Calibri"/>
        <family val="2"/>
        <scheme val="minor"/>
      </rPr>
      <t>966-9119</t>
    </r>
  </si>
  <si>
    <t>Betsy Shilliday</t>
  </si>
  <si>
    <t>Keith Gerarden 3-6152</t>
  </si>
  <si>
    <t>Craig Brown</t>
  </si>
  <si>
    <t>Paul Njagu</t>
  </si>
  <si>
    <t>Clinic tour</t>
  </si>
  <si>
    <t>ISDREB0104 - Introduction and Access to REG EWS BAR</t>
  </si>
  <si>
    <t>online, LMS</t>
  </si>
  <si>
    <t>ISDINBASX1 - Insurance Basics</t>
  </si>
  <si>
    <t>ISDREB0109 - Patient Registration, Scheduling &amp; Check-In</t>
  </si>
  <si>
    <t>classroom, 3 days</t>
  </si>
  <si>
    <t>ISDREB0119 - Physician Charge Entry &amp; Cash Collection</t>
  </si>
  <si>
    <t>ISDREB0127 - Medicare Medical Necessity (MMN) for ABN</t>
  </si>
  <si>
    <t>classroom, 4 hours</t>
  </si>
  <si>
    <r>
      <t xml:space="preserve">Annual Hospital Compliance Courses </t>
    </r>
    <r>
      <rPr>
        <sz val="10"/>
        <rFont val="Calibri"/>
        <family val="2"/>
        <scheme val="minor"/>
      </rPr>
      <t>(within 30 days; then annual)</t>
    </r>
  </si>
  <si>
    <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LMS</t>
    </r>
  </si>
  <si>
    <t>Safety, Incident, Hazardous Communication</t>
  </si>
  <si>
    <t>Emergency and Disaster Annual Course</t>
  </si>
  <si>
    <t>Fire Safety Annual Course</t>
  </si>
  <si>
    <t>Infection Control for Health Care Workers</t>
  </si>
  <si>
    <t>Annual Code of Conduct</t>
  </si>
  <si>
    <t>Confidentiality, Info Security, Privacy</t>
  </si>
  <si>
    <r>
      <t xml:space="preserve">UNCH Disruptive Behavior Code of Conduct </t>
    </r>
    <r>
      <rPr>
        <sz val="10"/>
        <rFont val="Calibri"/>
        <family val="2"/>
        <scheme val="minor"/>
      </rPr>
      <t>(w/in 30 days; then annual)</t>
    </r>
  </si>
  <si>
    <r>
      <t>Universal Scripts</t>
    </r>
    <r>
      <rPr>
        <sz val="10"/>
        <rFont val="Calibri"/>
        <family val="2"/>
        <scheme val="minor"/>
      </rPr>
      <t xml:space="preserve"> (within 30 days; then annual)</t>
    </r>
  </si>
  <si>
    <t>ISDWCIS100 - WebCIS Basics Introduction</t>
  </si>
  <si>
    <t>ISDWCIS250 - WebCIS Basics (same content as class above)</t>
  </si>
  <si>
    <t>UNC SCHOOL OF MEDICINE - PRIOR TO HIRE</t>
  </si>
  <si>
    <t>Criminal Background Check</t>
  </si>
  <si>
    <t>Research Disclosures for Data Custodians (mandatory only for researchers and research assistants)</t>
  </si>
  <si>
    <t>Respiratory Protection for Tuberculosis (mandatory only for residents and researchers working with TB)</t>
  </si>
  <si>
    <t>Campus tour</t>
  </si>
  <si>
    <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Campus Tour</t>
    </r>
  </si>
  <si>
    <t>Scavenger hunt</t>
  </si>
  <si>
    <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Scavenger Hunt</t>
    </r>
  </si>
  <si>
    <t>Onboarding matrix for SOM Research Assistant (temp)</t>
  </si>
  <si>
    <t>LMS: Learning Management System</t>
  </si>
  <si>
    <t>Confidentiality Statement</t>
  </si>
  <si>
    <r>
      <t xml:space="preserve">GE - Patient Scheduling, Registration &amp; Billing system </t>
    </r>
    <r>
      <rPr>
        <i/>
        <sz val="10"/>
        <rFont val="Calibri"/>
        <family val="2"/>
        <scheme val="minor"/>
      </rPr>
      <t>(requires SARF)
Employee must take classes in this order</t>
    </r>
  </si>
  <si>
    <t>Use or create hotmail acct</t>
  </si>
  <si>
    <r>
      <t xml:space="preserve">Employee Entry on Duty Date (EOD): </t>
    </r>
    <r>
      <rPr>
        <sz val="10"/>
        <rFont val="Calibri"/>
        <family val="2"/>
        <scheme val="minor"/>
      </rPr>
      <t>(please change to correct start date)</t>
    </r>
  </si>
  <si>
    <r>
      <t xml:space="preserve">Click </t>
    </r>
    <r>
      <rPr>
        <b/>
        <u/>
        <sz val="10"/>
        <color theme="1"/>
        <rFont val="Calibri"/>
        <family val="2"/>
      </rPr>
      <t>here</t>
    </r>
    <r>
      <rPr>
        <sz val="10"/>
        <color theme="1"/>
        <rFont val="Calibri"/>
        <family val="2"/>
      </rPr>
      <t xml:space="preserve"> for onyen</t>
    </r>
  </si>
  <si>
    <t>Take completed/signed ID form to ID Badge office</t>
  </si>
  <si>
    <t>41 Macnider Hall
M-F, 8a-12p; 1p-4:30p</t>
  </si>
  <si>
    <r>
      <rPr>
        <u/>
        <sz val="10"/>
        <rFont val="Calibri"/>
        <family val="2"/>
        <scheme val="minor"/>
      </rPr>
      <t>ANNUAL</t>
    </r>
    <r>
      <rPr>
        <b/>
        <sz val="10"/>
        <rFont val="Calibri"/>
        <family val="2"/>
        <scheme val="minor"/>
      </rPr>
      <t xml:space="preserve"> HIPAA Compliance</t>
    </r>
    <r>
      <rPr>
        <sz val="10"/>
        <rFont val="Calibri"/>
        <family val="2"/>
        <scheme val="minor"/>
      </rPr>
      <t xml:space="preserve"> (requires PID or State abbreviation plus last 7 digits of driver's license, e.g NC1234567) - After initial session, must complete annually</t>
    </r>
  </si>
  <si>
    <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SARF</t>
    </r>
  </si>
  <si>
    <t>Enhanced Care access (if needed)</t>
  </si>
  <si>
    <t>Map of work area</t>
  </si>
  <si>
    <t>Supervisor</t>
  </si>
  <si>
    <t>Lawson - supply ordering (medical)</t>
  </si>
  <si>
    <t>Staples - supply ordering (clinic staff)</t>
  </si>
  <si>
    <t>Staples - supply ordering (Old Clinic Bldg staff)</t>
  </si>
  <si>
    <r>
      <rPr>
        <sz val="10"/>
        <color theme="1"/>
        <rFont val="Calibri"/>
        <family val="2"/>
      </rPr>
      <t xml:space="preserve">click </t>
    </r>
    <r>
      <rPr>
        <b/>
        <u/>
        <sz val="10"/>
        <color theme="1"/>
        <rFont val="Calibri"/>
        <family val="2"/>
      </rPr>
      <t>here</t>
    </r>
    <r>
      <rPr>
        <sz val="10"/>
        <color theme="1"/>
        <rFont val="Calibri"/>
        <family val="2"/>
      </rPr>
      <t xml:space="preserve"> for P&amp;P Manual</t>
    </r>
  </si>
  <si>
    <t>Payroll</t>
  </si>
  <si>
    <t xml:space="preserve">UNC SCHOOL OF MEDICINE </t>
  </si>
  <si>
    <t>UNC SCHOOL OF MEDICINE</t>
  </si>
  <si>
    <t>Physician</t>
  </si>
  <si>
    <r>
      <t xml:space="preserve">Betsy Shilliday
</t>
    </r>
    <r>
      <rPr>
        <sz val="8"/>
        <color theme="10"/>
        <rFont val="Calibri"/>
        <family val="2"/>
      </rPr>
      <t>(Enhanced Care RAs)</t>
    </r>
  </si>
  <si>
    <t xml:space="preserve">   Clock-in/clock-out using Kronos</t>
  </si>
  <si>
    <t>Bonnie Hayes, 843-6218
121 MacNider</t>
  </si>
  <si>
    <t>Assigned
co-worker</t>
  </si>
  <si>
    <t>GENERAL INTERNAL MEDICINE</t>
  </si>
  <si>
    <r>
      <rPr>
        <sz val="10"/>
        <rFont val="Calibri"/>
        <family val="2"/>
      </rPr>
      <t xml:space="preserve">click </t>
    </r>
    <r>
      <rPr>
        <b/>
        <u/>
        <sz val="10"/>
        <rFont val="Calibri"/>
        <family val="2"/>
      </rPr>
      <t>here</t>
    </r>
    <r>
      <rPr>
        <b/>
        <sz val="10"/>
        <rFont val="Calibri"/>
        <family val="2"/>
      </rPr>
      <t xml:space="preserve"> </t>
    </r>
    <r>
      <rPr>
        <sz val="10"/>
        <rFont val="Calibri"/>
        <family val="2"/>
      </rPr>
      <t>for more info</t>
    </r>
  </si>
  <si>
    <t>Need for GE training is determined by supervisor</t>
  </si>
  <si>
    <t>OIS Client Services
65 MacNider
M-F  9am-4pm</t>
  </si>
  <si>
    <t>Tonya Kimrey</t>
  </si>
  <si>
    <t>Brooke McGuirt</t>
  </si>
  <si>
    <t>Tamrah Parker</t>
  </si>
  <si>
    <t>Derek Cain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</si>
</sst>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u/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Calibri"/>
      <family val="2"/>
    </font>
    <font>
      <b/>
      <u/>
      <sz val="10"/>
      <name val="Calibri"/>
      <family val="2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</font>
    <font>
      <u/>
      <sz val="10"/>
      <name val="Calibri"/>
      <family val="2"/>
    </font>
    <font>
      <b/>
      <sz val="10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8"/>
      <name val="Calibri"/>
      <family val="2"/>
      <scheme val="minor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theme="1"/>
      <name val="Calibri"/>
      <family val="2"/>
    </font>
    <font>
      <sz val="8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64">
    <xf numFmtId="0" fontId="0" fillId="0" borderId="0" xfId="0"/>
    <xf numFmtId="0" fontId="5" fillId="0" borderId="0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right" vertical="top"/>
    </xf>
    <xf numFmtId="0" fontId="6" fillId="3" borderId="0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vertical="top"/>
    </xf>
    <xf numFmtId="0" fontId="1" fillId="0" borderId="0" xfId="1" applyFill="1" applyBorder="1" applyAlignment="1" applyProtection="1">
      <alignment horizontal="left" vertical="top"/>
    </xf>
    <xf numFmtId="0" fontId="6" fillId="0" borderId="0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top"/>
    </xf>
    <xf numFmtId="0" fontId="5" fillId="0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center" vertical="top"/>
    </xf>
    <xf numFmtId="14" fontId="5" fillId="0" borderId="1" xfId="0" applyNumberFormat="1" applyFont="1" applyFill="1" applyBorder="1" applyAlignment="1">
      <alignment horizontal="right" vertical="top"/>
    </xf>
    <xf numFmtId="0" fontId="5" fillId="0" borderId="1" xfId="0" applyFont="1" applyFill="1" applyBorder="1" applyAlignment="1">
      <alignment horizontal="right" vertical="top"/>
    </xf>
    <xf numFmtId="0" fontId="5" fillId="0" borderId="1" xfId="1" applyFont="1" applyFill="1" applyBorder="1" applyAlignment="1" applyProtection="1">
      <alignment horizontal="center" vertical="top"/>
    </xf>
    <xf numFmtId="0" fontId="10" fillId="0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center"/>
    </xf>
    <xf numFmtId="0" fontId="5" fillId="0" borderId="1" xfId="1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1" applyFont="1" applyFill="1" applyBorder="1" applyAlignment="1" applyProtection="1">
      <alignment horizontal="left" vertical="top"/>
    </xf>
    <xf numFmtId="0" fontId="14" fillId="0" borderId="1" xfId="1" applyFont="1" applyFill="1" applyBorder="1" applyAlignment="1" applyProtection="1">
      <alignment horizontal="center" vertical="center" wrapText="1"/>
    </xf>
    <xf numFmtId="0" fontId="16" fillId="0" borderId="1" xfId="0" applyFont="1" applyFill="1" applyBorder="1" applyAlignment="1">
      <alignment horizontal="left" vertical="top"/>
    </xf>
    <xf numFmtId="0" fontId="18" fillId="0" borderId="1" xfId="0" applyFont="1" applyBorder="1"/>
    <xf numFmtId="0" fontId="14" fillId="0" borderId="1" xfId="1" applyFont="1" applyFill="1" applyBorder="1" applyAlignment="1" applyProtection="1">
      <alignment horizontal="center" vertical="top"/>
    </xf>
    <xf numFmtId="0" fontId="10" fillId="0" borderId="1" xfId="0" applyFont="1" applyFill="1" applyBorder="1" applyAlignment="1">
      <alignment horizontal="center" vertical="top"/>
    </xf>
    <xf numFmtId="0" fontId="0" fillId="0" borderId="1" xfId="0" applyBorder="1"/>
    <xf numFmtId="0" fontId="14" fillId="3" borderId="1" xfId="1" applyFont="1" applyFill="1" applyBorder="1" applyAlignment="1" applyProtection="1">
      <alignment horizontal="center" vertical="top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top" indent="1"/>
    </xf>
    <xf numFmtId="0" fontId="14" fillId="0" borderId="1" xfId="1" applyFont="1" applyFill="1" applyBorder="1" applyAlignment="1" applyProtection="1">
      <alignment vertical="center"/>
    </xf>
    <xf numFmtId="0" fontId="18" fillId="0" borderId="1" xfId="0" applyFont="1" applyBorder="1" applyAlignment="1">
      <alignment vertical="center"/>
    </xf>
    <xf numFmtId="0" fontId="10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top" wrapText="1" indent="1"/>
    </xf>
    <xf numFmtId="0" fontId="14" fillId="0" borderId="1" xfId="1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right" vertical="top"/>
    </xf>
    <xf numFmtId="0" fontId="5" fillId="0" borderId="2" xfId="0" applyFont="1" applyFill="1" applyBorder="1" applyAlignment="1">
      <alignment horizontal="left" vertical="top"/>
    </xf>
    <xf numFmtId="0" fontId="5" fillId="0" borderId="2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right" vertical="top"/>
    </xf>
    <xf numFmtId="0" fontId="6" fillId="3" borderId="2" xfId="0" applyFont="1" applyFill="1" applyBorder="1" applyAlignment="1">
      <alignment horizontal="left" vertical="top"/>
    </xf>
    <xf numFmtId="0" fontId="5" fillId="3" borderId="2" xfId="0" applyFont="1" applyFill="1" applyBorder="1" applyAlignment="1">
      <alignment horizontal="center" vertical="top"/>
    </xf>
    <xf numFmtId="0" fontId="5" fillId="3" borderId="2" xfId="0" applyFont="1" applyFill="1" applyBorder="1" applyAlignment="1">
      <alignment horizontal="right" vertical="top"/>
    </xf>
    <xf numFmtId="0" fontId="14" fillId="0" borderId="2" xfId="1" applyFont="1" applyFill="1" applyBorder="1" applyAlignment="1" applyProtection="1">
      <alignment horizontal="center" vertical="center"/>
    </xf>
    <xf numFmtId="14" fontId="5" fillId="0" borderId="2" xfId="0" applyNumberFormat="1" applyFont="1" applyFill="1" applyBorder="1" applyAlignment="1">
      <alignment horizontal="right" vertical="top"/>
    </xf>
    <xf numFmtId="0" fontId="5" fillId="0" borderId="2" xfId="0" applyFont="1" applyFill="1" applyBorder="1" applyAlignment="1">
      <alignment horizontal="left" vertical="top" indent="1"/>
    </xf>
    <xf numFmtId="0" fontId="4" fillId="2" borderId="3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1" applyFont="1" applyFill="1" applyBorder="1" applyAlignment="1" applyProtection="1">
      <alignment horizontal="center" vertical="top"/>
    </xf>
    <xf numFmtId="0" fontId="6" fillId="0" borderId="2" xfId="0" applyFont="1" applyFill="1" applyBorder="1" applyAlignment="1">
      <alignment horizontal="left" vertical="top"/>
    </xf>
    <xf numFmtId="0" fontId="10" fillId="0" borderId="2" xfId="0" applyFont="1" applyFill="1" applyBorder="1" applyAlignment="1">
      <alignment horizontal="left" vertical="top"/>
    </xf>
    <xf numFmtId="0" fontId="10" fillId="0" borderId="2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left" vertical="center"/>
    </xf>
    <xf numFmtId="0" fontId="5" fillId="0" borderId="2" xfId="1" applyFont="1" applyFill="1" applyBorder="1" applyAlignment="1" applyProtection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14" fontId="5" fillId="0" borderId="2" xfId="0" applyNumberFormat="1" applyFont="1" applyFill="1" applyBorder="1" applyAlignment="1">
      <alignment horizontal="right" vertical="center"/>
    </xf>
    <xf numFmtId="0" fontId="6" fillId="0" borderId="10" xfId="0" applyFont="1" applyFill="1" applyBorder="1" applyAlignment="1">
      <alignment vertical="top"/>
    </xf>
    <xf numFmtId="0" fontId="6" fillId="0" borderId="11" xfId="0" applyFont="1" applyFill="1" applyBorder="1" applyAlignment="1">
      <alignment vertical="top"/>
    </xf>
    <xf numFmtId="14" fontId="6" fillId="3" borderId="1" xfId="0" applyNumberFormat="1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left" vertical="center" wrapText="1"/>
    </xf>
    <xf numFmtId="0" fontId="10" fillId="0" borderId="1" xfId="1" applyFont="1" applyFill="1" applyBorder="1" applyAlignment="1" applyProtection="1">
      <alignment horizontal="left" vertical="center" wrapText="1"/>
    </xf>
    <xf numFmtId="0" fontId="10" fillId="0" borderId="1" xfId="1" applyFont="1" applyFill="1" applyBorder="1" applyAlignment="1" applyProtection="1">
      <alignment horizontal="left" vertical="center"/>
    </xf>
    <xf numFmtId="0" fontId="10" fillId="0" borderId="2" xfId="1" applyFont="1" applyFill="1" applyBorder="1" applyAlignment="1" applyProtection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5" fillId="0" borderId="12" xfId="0" applyFont="1" applyFill="1" applyBorder="1" applyAlignment="1">
      <alignment horizontal="left" vertical="center" wrapText="1"/>
    </xf>
    <xf numFmtId="0" fontId="18" fillId="3" borderId="2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14" fillId="0" borderId="6" xfId="1" applyFont="1" applyFill="1" applyBorder="1" applyAlignment="1" applyProtection="1">
      <alignment horizontal="center" vertical="center" wrapText="1"/>
    </xf>
    <xf numFmtId="0" fontId="5" fillId="0" borderId="6" xfId="0" applyFont="1" applyFill="1" applyBorder="1" applyAlignment="1">
      <alignment horizontal="center" vertical="top"/>
    </xf>
    <xf numFmtId="0" fontId="5" fillId="0" borderId="6" xfId="0" applyFont="1" applyFill="1" applyBorder="1" applyAlignment="1">
      <alignment horizontal="right" vertical="top"/>
    </xf>
    <xf numFmtId="0" fontId="6" fillId="0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 vertical="center" wrapText="1"/>
    </xf>
    <xf numFmtId="0" fontId="14" fillId="3" borderId="1" xfId="1" applyFont="1" applyFill="1" applyBorder="1" applyAlignment="1" applyProtection="1">
      <alignment horizontal="center" vertical="top"/>
    </xf>
    <xf numFmtId="0" fontId="20" fillId="0" borderId="1" xfId="1" applyFont="1" applyFill="1" applyBorder="1" applyAlignment="1" applyProtection="1">
      <alignment horizontal="left" vertical="center"/>
    </xf>
    <xf numFmtId="0" fontId="10" fillId="0" borderId="0" xfId="1" applyFont="1" applyFill="1" applyBorder="1" applyAlignment="1" applyProtection="1">
      <alignment horizontal="left" vertical="top" wrapText="1"/>
    </xf>
    <xf numFmtId="0" fontId="10" fillId="0" borderId="1" xfId="1" applyFont="1" applyBorder="1" applyAlignment="1" applyProtection="1"/>
    <xf numFmtId="0" fontId="10" fillId="0" borderId="2" xfId="1" applyFont="1" applyFill="1" applyBorder="1" applyAlignment="1" applyProtection="1">
      <alignment vertical="top"/>
    </xf>
    <xf numFmtId="0" fontId="10" fillId="0" borderId="1" xfId="1" applyFont="1" applyFill="1" applyBorder="1" applyAlignment="1" applyProtection="1">
      <alignment horizontal="left" vertical="top"/>
    </xf>
    <xf numFmtId="0" fontId="20" fillId="3" borderId="1" xfId="1" applyFont="1" applyFill="1" applyBorder="1" applyAlignment="1" applyProtection="1">
      <alignment horizontal="center" vertical="top"/>
    </xf>
    <xf numFmtId="0" fontId="5" fillId="3" borderId="4" xfId="0" applyFont="1" applyFill="1" applyBorder="1" applyAlignment="1">
      <alignment horizontal="left" vertical="top"/>
    </xf>
    <xf numFmtId="0" fontId="5" fillId="3" borderId="4" xfId="0" applyFont="1" applyFill="1" applyBorder="1" applyAlignment="1">
      <alignment horizontal="center" vertical="top"/>
    </xf>
    <xf numFmtId="0" fontId="5" fillId="3" borderId="4" xfId="0" applyFont="1" applyFill="1" applyBorder="1" applyAlignment="1">
      <alignment horizontal="right" vertical="top"/>
    </xf>
    <xf numFmtId="0" fontId="5" fillId="3" borderId="6" xfId="0" applyFont="1" applyFill="1" applyBorder="1" applyAlignment="1">
      <alignment horizontal="left" vertical="top"/>
    </xf>
    <xf numFmtId="0" fontId="5" fillId="3" borderId="6" xfId="0" applyFont="1" applyFill="1" applyBorder="1" applyAlignment="1">
      <alignment horizontal="left" vertical="center"/>
    </xf>
    <xf numFmtId="0" fontId="14" fillId="3" borderId="6" xfId="1" applyFont="1" applyFill="1" applyBorder="1" applyAlignment="1" applyProtection="1">
      <alignment horizontal="center" vertical="top"/>
    </xf>
    <xf numFmtId="0" fontId="22" fillId="3" borderId="1" xfId="1" applyFont="1" applyFill="1" applyBorder="1" applyAlignment="1" applyProtection="1">
      <alignment horizontal="left" vertical="center"/>
    </xf>
    <xf numFmtId="0" fontId="20" fillId="3" borderId="1" xfId="1" applyFont="1" applyFill="1" applyBorder="1" applyAlignment="1" applyProtection="1">
      <alignment horizontal="center" vertical="center"/>
    </xf>
    <xf numFmtId="0" fontId="14" fillId="3" borderId="4" xfId="1" applyFont="1" applyFill="1" applyBorder="1" applyAlignment="1" applyProtection="1">
      <alignment horizontal="center" vertical="center" wrapText="1"/>
    </xf>
    <xf numFmtId="0" fontId="3" fillId="2" borderId="3" xfId="0" applyFont="1" applyFill="1" applyBorder="1" applyAlignment="1">
      <alignment horizontal="left" vertical="top"/>
    </xf>
    <xf numFmtId="0" fontId="5" fillId="0" borderId="0" xfId="0" applyFont="1" applyFill="1" applyBorder="1" applyAlignment="1"/>
    <xf numFmtId="0" fontId="15" fillId="0" borderId="2" xfId="1" applyFont="1" applyFill="1" applyBorder="1" applyAlignment="1" applyProtection="1">
      <alignment horizontal="left" vertical="top"/>
    </xf>
    <xf numFmtId="0" fontId="10" fillId="0" borderId="0" xfId="1" applyFont="1" applyAlignment="1" applyProtection="1"/>
    <xf numFmtId="0" fontId="14" fillId="0" borderId="0" xfId="1" applyFont="1" applyAlignment="1" applyProtection="1">
      <alignment horizontal="center" vertical="center"/>
    </xf>
    <xf numFmtId="0" fontId="14" fillId="0" borderId="2" xfId="1" applyFont="1" applyFill="1" applyBorder="1" applyAlignment="1" applyProtection="1">
      <alignment horizontal="center" vertical="top"/>
    </xf>
    <xf numFmtId="0" fontId="10" fillId="0" borderId="18" xfId="1" applyFont="1" applyBorder="1" applyAlignment="1" applyProtection="1"/>
    <xf numFmtId="0" fontId="6" fillId="5" borderId="7" xfId="0" applyFont="1" applyFill="1" applyBorder="1" applyAlignment="1">
      <alignment horizontal="left" vertical="top"/>
    </xf>
    <xf numFmtId="0" fontId="6" fillId="5" borderId="8" xfId="0" applyFont="1" applyFill="1" applyBorder="1" applyAlignment="1">
      <alignment horizontal="left" vertical="top"/>
    </xf>
    <xf numFmtId="0" fontId="6" fillId="5" borderId="9" xfId="0" applyFont="1" applyFill="1" applyBorder="1" applyAlignment="1">
      <alignment horizontal="left" vertical="top"/>
    </xf>
    <xf numFmtId="0" fontId="6" fillId="5" borderId="3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center" vertical="center" wrapText="1"/>
    </xf>
    <xf numFmtId="0" fontId="17" fillId="5" borderId="7" xfId="0" applyFont="1" applyFill="1" applyBorder="1" applyAlignment="1">
      <alignment horizontal="left"/>
    </xf>
    <xf numFmtId="0" fontId="17" fillId="5" borderId="8" xfId="0" applyFont="1" applyFill="1" applyBorder="1" applyAlignment="1">
      <alignment horizontal="left"/>
    </xf>
    <xf numFmtId="0" fontId="17" fillId="5" borderId="9" xfId="0" applyFont="1" applyFill="1" applyBorder="1" applyAlignment="1">
      <alignment horizontal="left"/>
    </xf>
    <xf numFmtId="0" fontId="14" fillId="0" borderId="4" xfId="1" applyFont="1" applyFill="1" applyBorder="1" applyAlignment="1" applyProtection="1">
      <alignment horizontal="center" vertical="center"/>
    </xf>
    <xf numFmtId="0" fontId="14" fillId="0" borderId="5" xfId="1" applyFont="1" applyFill="1" applyBorder="1" applyAlignment="1" applyProtection="1">
      <alignment horizontal="center" vertical="center"/>
    </xf>
    <xf numFmtId="0" fontId="14" fillId="0" borderId="6" xfId="1" applyFont="1" applyFill="1" applyBorder="1" applyAlignment="1" applyProtection="1">
      <alignment horizontal="center" vertical="center"/>
    </xf>
    <xf numFmtId="0" fontId="10" fillId="3" borderId="1" xfId="1" applyFont="1" applyFill="1" applyBorder="1" applyAlignment="1" applyProtection="1">
      <alignment horizontal="left" vertical="center"/>
    </xf>
    <xf numFmtId="0" fontId="10" fillId="3" borderId="2" xfId="1" applyFont="1" applyFill="1" applyBorder="1" applyAlignment="1" applyProtection="1">
      <alignment horizontal="left" vertical="center"/>
    </xf>
    <xf numFmtId="0" fontId="6" fillId="0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top"/>
    </xf>
    <xf numFmtId="0" fontId="6" fillId="5" borderId="7" xfId="0" applyFont="1" applyFill="1" applyBorder="1" applyAlignment="1">
      <alignment horizontal="left" vertical="top" wrapText="1"/>
    </xf>
    <xf numFmtId="0" fontId="6" fillId="5" borderId="8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/>
    </xf>
    <xf numFmtId="0" fontId="6" fillId="0" borderId="2" xfId="0" applyFont="1" applyFill="1" applyBorder="1" applyAlignment="1">
      <alignment horizontal="left" vertical="top"/>
    </xf>
    <xf numFmtId="14" fontId="5" fillId="0" borderId="4" xfId="0" applyNumberFormat="1" applyFont="1" applyFill="1" applyBorder="1" applyAlignment="1">
      <alignment horizontal="center" vertical="center"/>
    </xf>
    <xf numFmtId="14" fontId="5" fillId="0" borderId="3" xfId="0" applyNumberFormat="1" applyFont="1" applyFill="1" applyBorder="1" applyAlignment="1">
      <alignment horizontal="center" vertical="center"/>
    </xf>
    <xf numFmtId="0" fontId="15" fillId="0" borderId="4" xfId="1" applyFont="1" applyFill="1" applyBorder="1" applyAlignment="1" applyProtection="1">
      <alignment horizontal="left" vertical="center"/>
    </xf>
    <xf numFmtId="0" fontId="15" fillId="0" borderId="5" xfId="1" applyFont="1" applyFill="1" applyBorder="1" applyAlignment="1" applyProtection="1">
      <alignment horizontal="left" vertical="center"/>
    </xf>
    <xf numFmtId="0" fontId="15" fillId="0" borderId="6" xfId="1" applyFont="1" applyFill="1" applyBorder="1" applyAlignment="1" applyProtection="1">
      <alignment horizontal="left" vertical="center"/>
    </xf>
    <xf numFmtId="0" fontId="5" fillId="5" borderId="7" xfId="0" applyFont="1" applyFill="1" applyBorder="1" applyAlignment="1">
      <alignment horizontal="left" vertical="top" wrapText="1"/>
    </xf>
    <xf numFmtId="0" fontId="5" fillId="5" borderId="8" xfId="0" applyFont="1" applyFill="1" applyBorder="1" applyAlignment="1">
      <alignment horizontal="left" vertical="top" wrapText="1"/>
    </xf>
    <xf numFmtId="0" fontId="5" fillId="5" borderId="9" xfId="0" applyFont="1" applyFill="1" applyBorder="1" applyAlignment="1">
      <alignment horizontal="left" vertical="top" wrapText="1"/>
    </xf>
    <xf numFmtId="0" fontId="6" fillId="5" borderId="3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left" vertical="top"/>
    </xf>
    <xf numFmtId="0" fontId="5" fillId="5" borderId="9" xfId="0" applyFont="1" applyFill="1" applyBorder="1" applyAlignment="1">
      <alignment horizontal="left" vertical="top"/>
    </xf>
    <xf numFmtId="0" fontId="5" fillId="5" borderId="16" xfId="0" applyFont="1" applyFill="1" applyBorder="1" applyAlignment="1">
      <alignment horizontal="left" vertical="top"/>
    </xf>
    <xf numFmtId="0" fontId="5" fillId="5" borderId="17" xfId="0" applyFont="1" applyFill="1" applyBorder="1" applyAlignment="1">
      <alignment horizontal="left" vertical="top"/>
    </xf>
    <xf numFmtId="0" fontId="5" fillId="5" borderId="13" xfId="0" applyFont="1" applyFill="1" applyBorder="1" applyAlignment="1">
      <alignment horizontal="left" vertical="top" wrapText="1"/>
    </xf>
    <xf numFmtId="0" fontId="5" fillId="5" borderId="14" xfId="0" applyFont="1" applyFill="1" applyBorder="1" applyAlignment="1">
      <alignment horizontal="left" vertical="top" wrapText="1"/>
    </xf>
    <xf numFmtId="0" fontId="5" fillId="5" borderId="15" xfId="0" applyFont="1" applyFill="1" applyBorder="1" applyAlignment="1">
      <alignment horizontal="left" vertical="top" wrapText="1"/>
    </xf>
    <xf numFmtId="0" fontId="20" fillId="3" borderId="4" xfId="1" applyFont="1" applyFill="1" applyBorder="1" applyAlignment="1" applyProtection="1">
      <alignment horizontal="center" vertical="center"/>
    </xf>
    <xf numFmtId="0" fontId="20" fillId="3" borderId="5" xfId="1" applyFont="1" applyFill="1" applyBorder="1" applyAlignment="1" applyProtection="1">
      <alignment horizontal="center" vertical="center"/>
    </xf>
    <xf numFmtId="0" fontId="20" fillId="3" borderId="6" xfId="1" applyFont="1" applyFill="1" applyBorder="1" applyAlignment="1" applyProtection="1">
      <alignment horizontal="center" vertical="center"/>
    </xf>
    <xf numFmtId="0" fontId="6" fillId="5" borderId="13" xfId="0" applyFont="1" applyFill="1" applyBorder="1" applyAlignment="1">
      <alignment vertical="top"/>
    </xf>
    <xf numFmtId="0" fontId="6" fillId="5" borderId="15" xfId="0" applyFont="1" applyFill="1" applyBorder="1" applyAlignment="1">
      <alignment vertical="top"/>
    </xf>
    <xf numFmtId="0" fontId="6" fillId="5" borderId="13" xfId="0" applyFont="1" applyFill="1" applyBorder="1" applyAlignment="1">
      <alignment horizontal="left" vertical="top"/>
    </xf>
    <xf numFmtId="0" fontId="6" fillId="5" borderId="14" xfId="0" applyFont="1" applyFill="1" applyBorder="1" applyAlignment="1">
      <alignment horizontal="left" vertical="top"/>
    </xf>
    <xf numFmtId="0" fontId="6" fillId="5" borderId="15" xfId="0" applyFont="1" applyFill="1" applyBorder="1" applyAlignment="1">
      <alignment horizontal="left" vertical="top"/>
    </xf>
    <xf numFmtId="0" fontId="1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/>
    </xf>
    <xf numFmtId="0" fontId="5" fillId="0" borderId="4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aun_mcdonald@med.unc.edu" TargetMode="External"/><Relationship Id="rId13" Type="http://schemas.openxmlformats.org/officeDocument/2006/relationships/hyperlink" Target="mailto:tonya_kimrey@med.unc.edu" TargetMode="External"/><Relationship Id="rId18" Type="http://schemas.openxmlformats.org/officeDocument/2006/relationships/hyperlink" Target="http://lmsweb.unch.unc.edu/stc/unchstc/psciis.dll?linkid=881335&amp;mainmenu=UNCHSTC&amp;top_frame=1" TargetMode="External"/><Relationship Id="rId26" Type="http://schemas.openxmlformats.org/officeDocument/2006/relationships/hyperlink" Target="mailto:malinda_williams@med.unc.edu" TargetMode="External"/><Relationship Id="rId39" Type="http://schemas.openxmlformats.org/officeDocument/2006/relationships/hyperlink" Target="mailto:TJParker@unch.unc.edu" TargetMode="External"/><Relationship Id="rId3" Type="http://schemas.openxmlformats.org/officeDocument/2006/relationships/hyperlink" Target="mailto:jo_williams@med.unc.edu" TargetMode="External"/><Relationship Id="rId21" Type="http://schemas.openxmlformats.org/officeDocument/2006/relationships/hyperlink" Target="http://lmsweb.unch.unc.edu/stc/unchstc/psciis.dll?linkid=881335&amp;mainmenu=UNCHSTC&amp;top_frame=1" TargetMode="External"/><Relationship Id="rId34" Type="http://schemas.openxmlformats.org/officeDocument/2006/relationships/hyperlink" Target="mailto:PNjagu@unch.unc.edu" TargetMode="External"/><Relationship Id="rId7" Type="http://schemas.openxmlformats.org/officeDocument/2006/relationships/hyperlink" Target="mailto:gerardek@med.unc.edu" TargetMode="External"/><Relationship Id="rId12" Type="http://schemas.openxmlformats.org/officeDocument/2006/relationships/hyperlink" Target="mailto:malinda_williams@med.unc.edu" TargetMode="External"/><Relationship Id="rId17" Type="http://schemas.openxmlformats.org/officeDocument/2006/relationships/hyperlink" Target="http://intranet.unchealthcare.org/learning_folder" TargetMode="External"/><Relationship Id="rId25" Type="http://schemas.openxmlformats.org/officeDocument/2006/relationships/hyperlink" Target="https://onyen.unc.edu/" TargetMode="External"/><Relationship Id="rId33" Type="http://schemas.openxmlformats.org/officeDocument/2006/relationships/hyperlink" Target="mailto:jdesper@unch.unc.edu" TargetMode="External"/><Relationship Id="rId38" Type="http://schemas.openxmlformats.org/officeDocument/2006/relationships/hyperlink" Target="mailto:bmcguirt@unch.unc.edu" TargetMode="External"/><Relationship Id="rId2" Type="http://schemas.openxmlformats.org/officeDocument/2006/relationships/hyperlink" Target="mailto:jo_williams@med.unc.edu" TargetMode="External"/><Relationship Id="rId16" Type="http://schemas.openxmlformats.org/officeDocument/2006/relationships/hyperlink" Target="https://www.med.unc.edu/im/staff/employee/onboarding/CA%20-%20RA%20Scavenger%20Hunt.doc" TargetMode="External"/><Relationship Id="rId20" Type="http://schemas.openxmlformats.org/officeDocument/2006/relationships/hyperlink" Target="mailto:chumley@med.unc.edu" TargetMode="External"/><Relationship Id="rId29" Type="http://schemas.openxmlformats.org/officeDocument/2006/relationships/hyperlink" Target="http://www.onecard.unc.edu/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http://intranet.unchealthcare.org/hospitaldepartments/payroll/kronos/myaccess/" TargetMode="External"/><Relationship Id="rId6" Type="http://schemas.openxmlformats.org/officeDocument/2006/relationships/hyperlink" Target="mailto:jo_williams@med.unc.edu" TargetMode="External"/><Relationship Id="rId11" Type="http://schemas.openxmlformats.org/officeDocument/2006/relationships/hyperlink" Target="mailto:shaun_mcdonald@med.unc.edu" TargetMode="External"/><Relationship Id="rId24" Type="http://schemas.openxmlformats.org/officeDocument/2006/relationships/hyperlink" Target="http://www.med.unc.edu/im/staff/clinic/administration/policy-and-procedure-manual" TargetMode="External"/><Relationship Id="rId32" Type="http://schemas.openxmlformats.org/officeDocument/2006/relationships/hyperlink" Target="http://intranet.unchealthcare.org/hospitaldepartments/isd/forms" TargetMode="External"/><Relationship Id="rId37" Type="http://schemas.openxmlformats.org/officeDocument/2006/relationships/hyperlink" Target="..\Campus%20Tour%20Checklist.doc" TargetMode="External"/><Relationship Id="rId40" Type="http://schemas.openxmlformats.org/officeDocument/2006/relationships/hyperlink" Target="https://domapps.med.unc.edu/csw" TargetMode="External"/><Relationship Id="rId5" Type="http://schemas.openxmlformats.org/officeDocument/2006/relationships/hyperlink" Target="mailto:chumley@med.unc.edu" TargetMode="External"/><Relationship Id="rId15" Type="http://schemas.openxmlformats.org/officeDocument/2006/relationships/hyperlink" Target="mailto:betsy_bryant@med.unc.edu" TargetMode="External"/><Relationship Id="rId23" Type="http://schemas.openxmlformats.org/officeDocument/2006/relationships/hyperlink" Target="mailto:chumley@med.unc.edu" TargetMode="External"/><Relationship Id="rId28" Type="http://schemas.openxmlformats.org/officeDocument/2006/relationships/hyperlink" Target="http://intranet.unchealthcare.org/hospitaldepartments/nfs/freedom-pay/" TargetMode="External"/><Relationship Id="rId36" Type="http://schemas.openxmlformats.org/officeDocument/2006/relationships/hyperlink" Target="http://www.dps.unc.edu/" TargetMode="External"/><Relationship Id="rId10" Type="http://schemas.openxmlformats.org/officeDocument/2006/relationships/hyperlink" Target="http://www.med.unc.edu/burn)/about/admin/it-support/conf_stmt.pdf" TargetMode="External"/><Relationship Id="rId19" Type="http://schemas.openxmlformats.org/officeDocument/2006/relationships/hyperlink" Target="mailto:malinda_williams@med.unc.edu" TargetMode="External"/><Relationship Id="rId31" Type="http://schemas.openxmlformats.org/officeDocument/2006/relationships/hyperlink" Target="http://ehs.unc.edu/training/self.shtml" TargetMode="External"/><Relationship Id="rId4" Type="http://schemas.openxmlformats.org/officeDocument/2006/relationships/hyperlink" Target="mailto:jo_williams@med.unc.edu" TargetMode="External"/><Relationship Id="rId9" Type="http://schemas.openxmlformats.org/officeDocument/2006/relationships/hyperlink" Target="mailto:malinda_williams@med.unc.edu" TargetMode="External"/><Relationship Id="rId14" Type="http://schemas.openxmlformats.org/officeDocument/2006/relationships/hyperlink" Target="http://intranet.unchealthcare.org/learning_folder" TargetMode="External"/><Relationship Id="rId22" Type="http://schemas.openxmlformats.org/officeDocument/2006/relationships/hyperlink" Target="http://lmsweb.unch.unc.edu/stc/unchstc/psciis.dll?linkid=881335&amp;mainmenu=UNCHSTC&amp;top_frame=1" TargetMode="External"/><Relationship Id="rId27" Type="http://schemas.openxmlformats.org/officeDocument/2006/relationships/hyperlink" Target="http://www.med.unc.edu/planning/access-cards/Revised%20Photo%20ID%20Form013009.doc/view" TargetMode="External"/><Relationship Id="rId30" Type="http://schemas.openxmlformats.org/officeDocument/2006/relationships/hyperlink" Target="http://hipaatrain.med.unc.edu/" TargetMode="External"/><Relationship Id="rId35" Type="http://schemas.openxmlformats.org/officeDocument/2006/relationships/hyperlink" Target="http://www.townofchapelhill.org/index.aspx?page=7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18"/>
  <sheetViews>
    <sheetView showGridLines="0" tabSelected="1" zoomScaleNormal="100" workbookViewId="0">
      <selection activeCell="K102" sqref="K102"/>
    </sheetView>
  </sheetViews>
  <sheetFormatPr defaultColWidth="11.5703125" defaultRowHeight="12.75" x14ac:dyDescent="0.25"/>
  <cols>
    <col min="1" max="1" width="2.7109375" style="4" customWidth="1"/>
    <col min="2" max="2" width="2.42578125" style="4" customWidth="1"/>
    <col min="3" max="3" width="49.5703125" style="4" customWidth="1"/>
    <col min="4" max="4" width="21.5703125" style="10" customWidth="1"/>
    <col min="5" max="5" width="15.5703125" style="4" customWidth="1"/>
    <col min="6" max="6" width="4.42578125" style="1" customWidth="1"/>
    <col min="7" max="7" width="9.5703125" style="5" customWidth="1"/>
    <col min="8" max="9" width="11.5703125" style="4"/>
    <col min="10" max="10" width="11.5703125" style="4" customWidth="1"/>
    <col min="11" max="16384" width="11.5703125" style="4"/>
  </cols>
  <sheetData>
    <row r="2" spans="1:11" customFormat="1" ht="25.5" customHeight="1" x14ac:dyDescent="0.25">
      <c r="B2" s="156" t="s">
        <v>123</v>
      </c>
      <c r="C2" s="156"/>
      <c r="D2" s="156"/>
      <c r="E2" s="156"/>
      <c r="F2" s="156"/>
      <c r="G2" s="156"/>
    </row>
    <row r="3" spans="1:11" s="6" customFormat="1" ht="15" customHeight="1" x14ac:dyDescent="0.25">
      <c r="B3" s="151" t="s">
        <v>48</v>
      </c>
      <c r="C3" s="152"/>
      <c r="D3" s="159"/>
      <c r="E3" s="159"/>
      <c r="F3" s="159"/>
      <c r="G3" s="159"/>
      <c r="I3"/>
    </row>
    <row r="4" spans="1:11" s="12" customFormat="1" ht="15" customHeight="1" x14ac:dyDescent="0.25">
      <c r="B4" s="153" t="s">
        <v>128</v>
      </c>
      <c r="C4" s="154"/>
      <c r="D4" s="154"/>
      <c r="E4" s="154"/>
      <c r="F4" s="155"/>
      <c r="G4" s="67">
        <v>40179</v>
      </c>
      <c r="I4"/>
    </row>
    <row r="5" spans="1:11" ht="15" customHeight="1" x14ac:dyDescent="0.25">
      <c r="B5" s="125" t="s">
        <v>115</v>
      </c>
      <c r="C5" s="125"/>
      <c r="D5" s="68" t="s">
        <v>27</v>
      </c>
      <c r="E5" s="53" t="s">
        <v>47</v>
      </c>
      <c r="F5" s="54" t="s">
        <v>32</v>
      </c>
      <c r="G5" s="54" t="s">
        <v>23</v>
      </c>
    </row>
    <row r="6" spans="1:11" s="9" customFormat="1" ht="15" customHeight="1" thickBot="1" x14ac:dyDescent="0.3">
      <c r="A6" s="12"/>
      <c r="B6" s="57" t="s">
        <v>116</v>
      </c>
      <c r="C6" s="57"/>
      <c r="D6" s="61" t="s">
        <v>85</v>
      </c>
      <c r="E6" s="57"/>
      <c r="F6" s="57"/>
      <c r="G6" s="57"/>
    </row>
    <row r="7" spans="1:11" ht="15" customHeight="1" x14ac:dyDescent="0.25">
      <c r="B7" s="125" t="s">
        <v>143</v>
      </c>
      <c r="C7" s="125"/>
      <c r="D7" s="68" t="s">
        <v>27</v>
      </c>
      <c r="E7" s="53" t="s">
        <v>47</v>
      </c>
      <c r="F7" s="54" t="s">
        <v>32</v>
      </c>
      <c r="G7" s="54" t="s">
        <v>23</v>
      </c>
    </row>
    <row r="8" spans="1:11" x14ac:dyDescent="0.25">
      <c r="B8" s="128" t="s">
        <v>0</v>
      </c>
      <c r="C8" s="128"/>
      <c r="D8" s="128"/>
      <c r="E8" s="128"/>
      <c r="F8" s="128"/>
      <c r="G8" s="128"/>
    </row>
    <row r="9" spans="1:11" ht="25.5" x14ac:dyDescent="0.25">
      <c r="B9" s="15"/>
      <c r="C9" s="15" t="s">
        <v>125</v>
      </c>
      <c r="D9" s="69" t="s">
        <v>88</v>
      </c>
      <c r="E9" s="29" t="s">
        <v>54</v>
      </c>
      <c r="F9" s="16">
        <v>0</v>
      </c>
      <c r="G9" s="17">
        <f>$G$4+F9</f>
        <v>40179</v>
      </c>
    </row>
    <row r="10" spans="1:11" ht="30" customHeight="1" x14ac:dyDescent="0.25">
      <c r="B10" s="15"/>
      <c r="C10" s="15" t="s">
        <v>49</v>
      </c>
      <c r="D10" s="85" t="s">
        <v>147</v>
      </c>
      <c r="E10" s="15"/>
      <c r="F10" s="16">
        <v>0</v>
      </c>
      <c r="G10" s="17">
        <f t="shared" ref="G10:G13" si="0">$G$4+F10</f>
        <v>40179</v>
      </c>
    </row>
    <row r="11" spans="1:11" ht="15" customHeight="1" x14ac:dyDescent="0.25">
      <c r="B11" s="15"/>
      <c r="C11" s="15" t="s">
        <v>71</v>
      </c>
      <c r="D11" s="87" t="s">
        <v>129</v>
      </c>
      <c r="E11" s="16"/>
      <c r="F11" s="16">
        <v>0</v>
      </c>
      <c r="G11" s="17">
        <f t="shared" ref="G11" si="1">$G$4+F11</f>
        <v>40179</v>
      </c>
    </row>
    <row r="12" spans="1:11" ht="15" customHeight="1" x14ac:dyDescent="0.25">
      <c r="B12" s="84"/>
      <c r="C12" s="15" t="s">
        <v>8</v>
      </c>
      <c r="D12" s="70" t="s">
        <v>86</v>
      </c>
      <c r="E12" s="39" t="s">
        <v>54</v>
      </c>
      <c r="F12" s="16">
        <v>3</v>
      </c>
      <c r="G12" s="17">
        <f t="shared" si="0"/>
        <v>40182</v>
      </c>
    </row>
    <row r="13" spans="1:11" ht="28.5" customHeight="1" x14ac:dyDescent="0.25">
      <c r="B13" s="15"/>
      <c r="C13" s="15" t="s">
        <v>130</v>
      </c>
      <c r="D13" s="88" t="s">
        <v>131</v>
      </c>
      <c r="E13" s="19" t="s">
        <v>50</v>
      </c>
      <c r="F13" s="16">
        <v>3</v>
      </c>
      <c r="G13" s="17">
        <f t="shared" si="0"/>
        <v>40182</v>
      </c>
      <c r="I13" s="8"/>
    </row>
    <row r="14" spans="1:11" ht="15" customHeight="1" x14ac:dyDescent="0.25">
      <c r="B14" s="128" t="s">
        <v>24</v>
      </c>
      <c r="C14" s="128"/>
      <c r="D14" s="128"/>
      <c r="E14" s="128"/>
      <c r="F14" s="128"/>
      <c r="G14" s="128"/>
      <c r="K14"/>
    </row>
    <row r="15" spans="1:11" ht="15" customHeight="1" x14ac:dyDescent="0.2">
      <c r="B15" s="15"/>
      <c r="C15" s="40" t="s">
        <v>35</v>
      </c>
      <c r="D15" s="89" t="s">
        <v>34</v>
      </c>
      <c r="E15" s="19" t="s">
        <v>50</v>
      </c>
      <c r="F15" s="16">
        <v>5</v>
      </c>
      <c r="G15" s="17">
        <f>$G$4+F15</f>
        <v>40184</v>
      </c>
    </row>
    <row r="16" spans="1:11" ht="15" customHeight="1" thickBot="1" x14ac:dyDescent="0.3">
      <c r="B16" s="43"/>
      <c r="C16" s="58" t="s">
        <v>70</v>
      </c>
      <c r="D16" s="104" t="s">
        <v>150</v>
      </c>
      <c r="E16" s="56" t="s">
        <v>50</v>
      </c>
      <c r="F16" s="44">
        <v>5</v>
      </c>
      <c r="G16" s="50">
        <f>$G$4+F16</f>
        <v>40184</v>
      </c>
    </row>
    <row r="17" spans="2:7" ht="15" customHeight="1" x14ac:dyDescent="0.25">
      <c r="B17" s="112" t="s">
        <v>141</v>
      </c>
      <c r="C17" s="112"/>
      <c r="D17" s="112"/>
      <c r="E17" s="112"/>
      <c r="F17" s="112"/>
      <c r="G17" s="112"/>
    </row>
    <row r="18" spans="2:7" ht="15" customHeight="1" x14ac:dyDescent="0.25">
      <c r="B18" s="15"/>
      <c r="C18" s="15" t="s">
        <v>1</v>
      </c>
      <c r="D18" s="160" t="s">
        <v>85</v>
      </c>
      <c r="E18" s="15"/>
      <c r="F18" s="16">
        <v>0</v>
      </c>
      <c r="G18" s="17">
        <f t="shared" ref="G18:G19" si="2">$G$4+F18</f>
        <v>40179</v>
      </c>
    </row>
    <row r="19" spans="2:7" ht="15" customHeight="1" thickBot="1" x14ac:dyDescent="0.3">
      <c r="B19" s="43"/>
      <c r="C19" s="43" t="s">
        <v>2</v>
      </c>
      <c r="D19" s="161"/>
      <c r="E19" s="43"/>
      <c r="F19" s="44">
        <v>0</v>
      </c>
      <c r="G19" s="50">
        <f t="shared" si="2"/>
        <v>40179</v>
      </c>
    </row>
    <row r="20" spans="2:7" ht="15" customHeight="1" x14ac:dyDescent="0.25">
      <c r="B20" s="125" t="s">
        <v>142</v>
      </c>
      <c r="C20" s="125"/>
      <c r="D20" s="68" t="s">
        <v>27</v>
      </c>
      <c r="E20" s="53" t="s">
        <v>47</v>
      </c>
      <c r="F20" s="54" t="s">
        <v>32</v>
      </c>
      <c r="G20" s="54" t="s">
        <v>23</v>
      </c>
    </row>
    <row r="21" spans="2:7" ht="25.5" customHeight="1" x14ac:dyDescent="0.25">
      <c r="B21" s="145" t="s">
        <v>132</v>
      </c>
      <c r="C21" s="146"/>
      <c r="D21" s="146"/>
      <c r="E21" s="146"/>
      <c r="F21" s="146"/>
      <c r="G21" s="147"/>
    </row>
    <row r="22" spans="2:7" ht="15" customHeight="1" x14ac:dyDescent="0.25">
      <c r="B22" s="15"/>
      <c r="C22" s="15" t="s">
        <v>59</v>
      </c>
      <c r="D22" s="132" t="s">
        <v>60</v>
      </c>
      <c r="E22" s="19" t="s">
        <v>50</v>
      </c>
      <c r="F22" s="16">
        <v>5</v>
      </c>
      <c r="G22" s="17">
        <f t="shared" ref="G22:G28" si="3">$G$4+F22</f>
        <v>40184</v>
      </c>
    </row>
    <row r="23" spans="2:7" ht="15" customHeight="1" x14ac:dyDescent="0.25">
      <c r="B23" s="15"/>
      <c r="C23" s="15" t="s">
        <v>61</v>
      </c>
      <c r="D23" s="133"/>
      <c r="E23" s="19" t="s">
        <v>50</v>
      </c>
      <c r="F23" s="16">
        <v>5</v>
      </c>
      <c r="G23" s="17">
        <f t="shared" si="3"/>
        <v>40184</v>
      </c>
    </row>
    <row r="24" spans="2:7" ht="15" customHeight="1" x14ac:dyDescent="0.25">
      <c r="B24" s="15"/>
      <c r="C24" s="15" t="s">
        <v>62</v>
      </c>
      <c r="D24" s="133"/>
      <c r="E24" s="19" t="s">
        <v>50</v>
      </c>
      <c r="F24" s="16">
        <v>5</v>
      </c>
      <c r="G24" s="17">
        <f t="shared" si="3"/>
        <v>40184</v>
      </c>
    </row>
    <row r="25" spans="2:7" ht="15" customHeight="1" x14ac:dyDescent="0.25">
      <c r="B25" s="15"/>
      <c r="C25" s="15" t="s">
        <v>63</v>
      </c>
      <c r="D25" s="133"/>
      <c r="E25" s="19" t="s">
        <v>50</v>
      </c>
      <c r="F25" s="16">
        <v>5</v>
      </c>
      <c r="G25" s="17">
        <f t="shared" si="3"/>
        <v>40184</v>
      </c>
    </row>
    <row r="26" spans="2:7" ht="15" customHeight="1" x14ac:dyDescent="0.25">
      <c r="B26" s="15"/>
      <c r="C26" s="15" t="s">
        <v>64</v>
      </c>
      <c r="D26" s="133"/>
      <c r="E26" s="19" t="s">
        <v>50</v>
      </c>
      <c r="F26" s="16">
        <v>5</v>
      </c>
      <c r="G26" s="17">
        <f t="shared" si="3"/>
        <v>40184</v>
      </c>
    </row>
    <row r="27" spans="2:7" ht="15" customHeight="1" x14ac:dyDescent="0.25">
      <c r="B27" s="15"/>
      <c r="C27" s="15" t="s">
        <v>65</v>
      </c>
      <c r="D27" s="133"/>
      <c r="E27" s="19" t="s">
        <v>50</v>
      </c>
      <c r="F27" s="16">
        <v>5</v>
      </c>
      <c r="G27" s="17">
        <f t="shared" si="3"/>
        <v>40184</v>
      </c>
    </row>
    <row r="28" spans="2:7" ht="27" customHeight="1" thickBot="1" x14ac:dyDescent="0.3">
      <c r="B28" s="43"/>
      <c r="C28" s="60" t="s">
        <v>117</v>
      </c>
      <c r="D28" s="134"/>
      <c r="E28" s="62" t="s">
        <v>50</v>
      </c>
      <c r="F28" s="63">
        <v>5</v>
      </c>
      <c r="G28" s="64">
        <f t="shared" si="3"/>
        <v>40184</v>
      </c>
    </row>
    <row r="29" spans="2:7" ht="15" customHeight="1" x14ac:dyDescent="0.25">
      <c r="B29" s="135" t="s">
        <v>87</v>
      </c>
      <c r="C29" s="136"/>
      <c r="D29" s="136"/>
      <c r="E29" s="136"/>
      <c r="F29" s="136"/>
      <c r="G29" s="137"/>
    </row>
    <row r="30" spans="2:7" ht="15" customHeight="1" x14ac:dyDescent="0.25">
      <c r="B30" s="15"/>
      <c r="C30" s="21" t="s">
        <v>66</v>
      </c>
      <c r="D30" s="132" t="s">
        <v>67</v>
      </c>
      <c r="E30" s="19" t="s">
        <v>50</v>
      </c>
      <c r="F30" s="16">
        <v>5</v>
      </c>
      <c r="G30" s="17">
        <f>$G$4+F30</f>
        <v>40184</v>
      </c>
    </row>
    <row r="31" spans="2:7" ht="15" customHeight="1" x14ac:dyDescent="0.25">
      <c r="B31" s="15"/>
      <c r="C31" s="21" t="s">
        <v>68</v>
      </c>
      <c r="D31" s="133"/>
      <c r="E31" s="19" t="s">
        <v>50</v>
      </c>
      <c r="F31" s="16">
        <v>5</v>
      </c>
      <c r="G31" s="17">
        <f>$G$4+F31</f>
        <v>40184</v>
      </c>
    </row>
    <row r="32" spans="2:7" ht="27.75" customHeight="1" thickBot="1" x14ac:dyDescent="0.3">
      <c r="B32" s="43"/>
      <c r="C32" s="60" t="s">
        <v>118</v>
      </c>
      <c r="D32" s="134"/>
      <c r="E32" s="62" t="s">
        <v>50</v>
      </c>
      <c r="F32" s="63">
        <v>5</v>
      </c>
      <c r="G32" s="64">
        <f>$G$4+F32</f>
        <v>40184</v>
      </c>
    </row>
    <row r="33" spans="2:11" ht="15" customHeight="1" x14ac:dyDescent="0.25">
      <c r="B33" s="138" t="s">
        <v>79</v>
      </c>
      <c r="C33" s="138"/>
      <c r="D33" s="138"/>
      <c r="E33" s="138"/>
      <c r="F33" s="138"/>
      <c r="G33" s="138"/>
    </row>
    <row r="34" spans="2:11" ht="18.75" customHeight="1" x14ac:dyDescent="0.25">
      <c r="B34" s="15"/>
      <c r="C34" s="22" t="s">
        <v>6</v>
      </c>
      <c r="D34" s="139" t="s">
        <v>89</v>
      </c>
      <c r="E34" s="23" t="s">
        <v>50</v>
      </c>
      <c r="F34" s="24">
        <v>5</v>
      </c>
      <c r="G34" s="17">
        <f>$G$4+F34</f>
        <v>40184</v>
      </c>
      <c r="H34"/>
      <c r="I34"/>
      <c r="J34"/>
      <c r="K34"/>
    </row>
    <row r="35" spans="2:11" ht="18.75" customHeight="1" thickBot="1" x14ac:dyDescent="0.3">
      <c r="B35" s="43"/>
      <c r="C35" s="61" t="s">
        <v>7</v>
      </c>
      <c r="D35" s="140"/>
      <c r="E35" s="62" t="s">
        <v>50</v>
      </c>
      <c r="F35" s="63">
        <v>5</v>
      </c>
      <c r="G35" s="17">
        <f>$G$4+F35</f>
        <v>40184</v>
      </c>
      <c r="H35"/>
      <c r="I35"/>
      <c r="J35"/>
      <c r="K35"/>
    </row>
    <row r="36" spans="2:11" ht="15" customHeight="1" x14ac:dyDescent="0.25">
      <c r="B36" s="109" t="s">
        <v>25</v>
      </c>
      <c r="C36" s="110"/>
      <c r="D36" s="110"/>
      <c r="E36" s="110"/>
      <c r="F36" s="110"/>
      <c r="G36" s="111"/>
    </row>
    <row r="37" spans="2:11" ht="15" customHeight="1" x14ac:dyDescent="0.2">
      <c r="B37" s="15"/>
      <c r="C37" s="15" t="s">
        <v>55</v>
      </c>
      <c r="D37" s="89" t="s">
        <v>34</v>
      </c>
      <c r="E37" s="19" t="s">
        <v>50</v>
      </c>
      <c r="F37" s="16"/>
      <c r="G37" s="18"/>
    </row>
    <row r="38" spans="2:11" ht="15" customHeight="1" thickBot="1" x14ac:dyDescent="0.3">
      <c r="B38" s="43"/>
      <c r="C38" s="43" t="s">
        <v>33</v>
      </c>
      <c r="D38" s="90" t="s">
        <v>34</v>
      </c>
      <c r="E38" s="56" t="s">
        <v>50</v>
      </c>
      <c r="F38" s="44"/>
      <c r="G38" s="45"/>
    </row>
    <row r="39" spans="2:11" ht="15" customHeight="1" x14ac:dyDescent="0.25">
      <c r="B39" s="158" t="s">
        <v>52</v>
      </c>
      <c r="C39" s="158"/>
      <c r="D39" s="72" t="s">
        <v>27</v>
      </c>
      <c r="E39" s="13" t="s">
        <v>47</v>
      </c>
      <c r="F39" s="14" t="s">
        <v>32</v>
      </c>
      <c r="G39" s="14" t="s">
        <v>23</v>
      </c>
    </row>
    <row r="40" spans="2:11" ht="25.5" customHeight="1" x14ac:dyDescent="0.25">
      <c r="B40" s="157" t="s">
        <v>84</v>
      </c>
      <c r="C40" s="157"/>
      <c r="D40" s="73" t="s">
        <v>51</v>
      </c>
      <c r="E40" s="101" t="s">
        <v>145</v>
      </c>
      <c r="F40" s="162">
        <v>0</v>
      </c>
      <c r="G40" s="130">
        <f>$G$4+F40</f>
        <v>40179</v>
      </c>
    </row>
    <row r="41" spans="2:11" x14ac:dyDescent="0.25">
      <c r="B41" s="157"/>
      <c r="C41" s="157"/>
      <c r="D41" s="91" t="s">
        <v>133</v>
      </c>
      <c r="E41" s="100" t="s">
        <v>144</v>
      </c>
      <c r="F41" s="163"/>
      <c r="G41" s="131"/>
    </row>
    <row r="42" spans="2:11" ht="15" customHeight="1" thickBot="1" x14ac:dyDescent="0.3">
      <c r="B42" s="25" t="s">
        <v>124</v>
      </c>
      <c r="C42" s="15"/>
      <c r="D42" s="70" t="s">
        <v>104</v>
      </c>
      <c r="E42" s="26" t="s">
        <v>58</v>
      </c>
      <c r="F42" s="16">
        <v>0</v>
      </c>
      <c r="G42" s="17">
        <f>$G$4+F42</f>
        <v>40179</v>
      </c>
    </row>
    <row r="43" spans="2:11" ht="39.75" customHeight="1" thickBot="1" x14ac:dyDescent="0.3">
      <c r="B43" s="65" t="s">
        <v>69</v>
      </c>
      <c r="C43" s="66"/>
      <c r="D43" s="74" t="s">
        <v>152</v>
      </c>
      <c r="E43" s="26" t="s">
        <v>58</v>
      </c>
      <c r="F43" s="63">
        <v>1</v>
      </c>
      <c r="G43" s="64">
        <f>$G$4+F43</f>
        <v>40180</v>
      </c>
    </row>
    <row r="44" spans="2:11" ht="15" customHeight="1" x14ac:dyDescent="0.2">
      <c r="B44" s="114" t="s">
        <v>134</v>
      </c>
      <c r="C44" s="115"/>
      <c r="D44" s="115"/>
      <c r="E44" s="115"/>
      <c r="F44" s="115"/>
      <c r="G44" s="116"/>
    </row>
    <row r="45" spans="2:11" ht="15" customHeight="1" x14ac:dyDescent="0.2">
      <c r="B45" s="27"/>
      <c r="C45" s="28" t="s">
        <v>72</v>
      </c>
      <c r="D45" s="22" t="s">
        <v>91</v>
      </c>
      <c r="E45" s="29" t="s">
        <v>77</v>
      </c>
      <c r="F45" s="30">
        <v>3</v>
      </c>
      <c r="G45" s="17">
        <f>$G$4+F45</f>
        <v>40182</v>
      </c>
    </row>
    <row r="46" spans="2:11" ht="15" customHeight="1" x14ac:dyDescent="0.25">
      <c r="B46" s="31"/>
      <c r="C46" s="28" t="s">
        <v>73</v>
      </c>
      <c r="D46" s="22"/>
      <c r="E46" s="29" t="s">
        <v>78</v>
      </c>
      <c r="F46" s="30">
        <v>5</v>
      </c>
      <c r="G46" s="17">
        <f>$G$4+F46</f>
        <v>40184</v>
      </c>
    </row>
    <row r="47" spans="2:11" ht="15" customHeight="1" x14ac:dyDescent="0.25">
      <c r="B47" s="27"/>
      <c r="C47" s="20" t="s">
        <v>74</v>
      </c>
      <c r="D47" s="22"/>
      <c r="E47" s="29" t="s">
        <v>46</v>
      </c>
      <c r="F47" s="30">
        <v>5</v>
      </c>
      <c r="G47" s="17">
        <f>$G$4+F47</f>
        <v>40184</v>
      </c>
    </row>
    <row r="48" spans="2:11" ht="15" customHeight="1" x14ac:dyDescent="0.25">
      <c r="B48" s="31"/>
      <c r="C48" s="20" t="s">
        <v>75</v>
      </c>
      <c r="D48" s="22"/>
      <c r="E48" s="32" t="s">
        <v>90</v>
      </c>
      <c r="F48" s="30">
        <v>5</v>
      </c>
      <c r="G48" s="17">
        <f>$G$4+F48</f>
        <v>40184</v>
      </c>
    </row>
    <row r="49" spans="2:10" ht="15" customHeight="1" thickBot="1" x14ac:dyDescent="0.3">
      <c r="B49" s="57"/>
      <c r="C49" s="58" t="s">
        <v>76</v>
      </c>
      <c r="D49" s="75" t="s">
        <v>127</v>
      </c>
      <c r="E49" s="107" t="s">
        <v>78</v>
      </c>
      <c r="F49" s="59">
        <v>3</v>
      </c>
      <c r="G49" s="50">
        <f>$G$4+F49</f>
        <v>40182</v>
      </c>
    </row>
    <row r="50" spans="2:10" ht="15" customHeight="1" x14ac:dyDescent="0.25">
      <c r="B50" s="125" t="s">
        <v>53</v>
      </c>
      <c r="C50" s="125"/>
      <c r="D50" s="68" t="s">
        <v>27</v>
      </c>
      <c r="E50" s="53" t="s">
        <v>47</v>
      </c>
      <c r="F50" s="54" t="s">
        <v>32</v>
      </c>
      <c r="G50" s="54" t="s">
        <v>23</v>
      </c>
    </row>
    <row r="51" spans="2:10" ht="15" customHeight="1" x14ac:dyDescent="0.25">
      <c r="B51" s="122" t="s">
        <v>82</v>
      </c>
      <c r="C51" s="122"/>
      <c r="D51" s="22" t="s">
        <v>83</v>
      </c>
      <c r="E51" s="123" t="s">
        <v>92</v>
      </c>
      <c r="F51" s="16"/>
      <c r="G51" s="18"/>
    </row>
    <row r="52" spans="2:10" ht="15" customHeight="1" x14ac:dyDescent="0.25">
      <c r="B52" s="15"/>
      <c r="C52" s="15" t="s">
        <v>113</v>
      </c>
      <c r="D52" s="70" t="s">
        <v>104</v>
      </c>
      <c r="E52" s="123"/>
      <c r="F52" s="16">
        <v>10</v>
      </c>
      <c r="G52" s="17">
        <f t="shared" ref="G52:G53" si="4">$G$4+F52</f>
        <v>40189</v>
      </c>
    </row>
    <row r="53" spans="2:10" ht="15" customHeight="1" x14ac:dyDescent="0.25">
      <c r="B53" s="15"/>
      <c r="C53" s="15" t="s">
        <v>114</v>
      </c>
      <c r="D53" s="22" t="s">
        <v>28</v>
      </c>
      <c r="E53" s="123"/>
      <c r="F53" s="16">
        <v>10</v>
      </c>
      <c r="G53" s="17">
        <f t="shared" si="4"/>
        <v>40189</v>
      </c>
    </row>
    <row r="54" spans="2:10" ht="15" customHeight="1" thickBot="1" x14ac:dyDescent="0.3">
      <c r="B54" s="43"/>
      <c r="C54" s="43" t="s">
        <v>81</v>
      </c>
      <c r="D54" s="61" t="s">
        <v>28</v>
      </c>
      <c r="E54" s="124"/>
      <c r="F54" s="44">
        <v>10</v>
      </c>
      <c r="G54" s="50">
        <f t="shared" ref="G54" si="5">$G$4+F54</f>
        <v>40189</v>
      </c>
    </row>
    <row r="55" spans="2:10" ht="27" customHeight="1" x14ac:dyDescent="0.25">
      <c r="B55" s="126" t="s">
        <v>126</v>
      </c>
      <c r="C55" s="127"/>
      <c r="D55" s="127"/>
      <c r="E55" s="113" t="s">
        <v>151</v>
      </c>
      <c r="F55" s="113"/>
      <c r="G55" s="113"/>
    </row>
    <row r="56" spans="2:10" ht="15" customHeight="1" x14ac:dyDescent="0.25">
      <c r="B56" s="16"/>
      <c r="C56" s="15" t="s">
        <v>95</v>
      </c>
      <c r="D56" s="22" t="s">
        <v>96</v>
      </c>
      <c r="E56" s="117" t="s">
        <v>156</v>
      </c>
      <c r="F56" s="16">
        <v>3</v>
      </c>
      <c r="G56" s="17">
        <f t="shared" ref="G56:G60" si="6">$G$4+F56</f>
        <v>40182</v>
      </c>
      <c r="H56"/>
    </row>
    <row r="57" spans="2:10" ht="15" customHeight="1" x14ac:dyDescent="0.25">
      <c r="B57" s="16"/>
      <c r="C57" s="15" t="s">
        <v>97</v>
      </c>
      <c r="D57" s="22" t="s">
        <v>96</v>
      </c>
      <c r="E57" s="118"/>
      <c r="F57" s="16">
        <v>3</v>
      </c>
      <c r="G57" s="17">
        <f t="shared" si="6"/>
        <v>40182</v>
      </c>
      <c r="H57"/>
    </row>
    <row r="58" spans="2:10" ht="15" customHeight="1" x14ac:dyDescent="0.25">
      <c r="B58" s="16"/>
      <c r="C58" s="15" t="s">
        <v>98</v>
      </c>
      <c r="D58" s="22" t="s">
        <v>99</v>
      </c>
      <c r="E58" s="118"/>
      <c r="F58" s="16">
        <v>5</v>
      </c>
      <c r="G58" s="17">
        <f t="shared" si="6"/>
        <v>40184</v>
      </c>
      <c r="H58"/>
    </row>
    <row r="59" spans="2:10" ht="15" customHeight="1" x14ac:dyDescent="0.25">
      <c r="B59" s="16"/>
      <c r="C59" s="15" t="s">
        <v>100</v>
      </c>
      <c r="D59" s="22" t="s">
        <v>28</v>
      </c>
      <c r="E59" s="118"/>
      <c r="F59" s="16">
        <v>8</v>
      </c>
      <c r="G59" s="17">
        <f t="shared" si="6"/>
        <v>40187</v>
      </c>
      <c r="H59"/>
    </row>
    <row r="60" spans="2:10" ht="15" customHeight="1" thickBot="1" x14ac:dyDescent="0.3">
      <c r="B60" s="44"/>
      <c r="C60" s="43" t="s">
        <v>101</v>
      </c>
      <c r="D60" s="61" t="s">
        <v>102</v>
      </c>
      <c r="E60" s="119"/>
      <c r="F60" s="44">
        <v>10</v>
      </c>
      <c r="G60" s="50">
        <f t="shared" si="6"/>
        <v>40189</v>
      </c>
      <c r="H60"/>
      <c r="J60" s="103"/>
    </row>
    <row r="61" spans="2:10" ht="15" customHeight="1" x14ac:dyDescent="0.25">
      <c r="B61" s="112" t="s">
        <v>103</v>
      </c>
      <c r="C61" s="112"/>
      <c r="D61" s="112"/>
      <c r="E61" s="112"/>
      <c r="F61" s="112"/>
      <c r="G61" s="112"/>
    </row>
    <row r="62" spans="2:10" ht="15" customHeight="1" x14ac:dyDescent="0.25">
      <c r="B62" s="15"/>
      <c r="C62" s="15" t="s">
        <v>105</v>
      </c>
      <c r="D62" s="120" t="s">
        <v>104</v>
      </c>
      <c r="E62" s="19" t="s">
        <v>50</v>
      </c>
      <c r="F62" s="16">
        <v>30</v>
      </c>
      <c r="G62" s="17">
        <f t="shared" ref="G62:G67" si="7">$G$4+F62</f>
        <v>40209</v>
      </c>
    </row>
    <row r="63" spans="2:10" ht="15" customHeight="1" x14ac:dyDescent="0.25">
      <c r="B63" s="15"/>
      <c r="C63" s="15" t="s">
        <v>106</v>
      </c>
      <c r="D63" s="120"/>
      <c r="E63" s="19" t="s">
        <v>50</v>
      </c>
      <c r="F63" s="16">
        <v>30</v>
      </c>
      <c r="G63" s="17">
        <f t="shared" si="7"/>
        <v>40209</v>
      </c>
      <c r="J63" s="7"/>
    </row>
    <row r="64" spans="2:10" ht="15" customHeight="1" x14ac:dyDescent="0.25">
      <c r="B64" s="15"/>
      <c r="C64" s="15" t="s">
        <v>107</v>
      </c>
      <c r="D64" s="120"/>
      <c r="E64" s="19" t="s">
        <v>50</v>
      </c>
      <c r="F64" s="16">
        <v>30</v>
      </c>
      <c r="G64" s="17">
        <f t="shared" si="7"/>
        <v>40209</v>
      </c>
    </row>
    <row r="65" spans="2:11" ht="15" customHeight="1" x14ac:dyDescent="0.25">
      <c r="B65" s="15"/>
      <c r="C65" s="15" t="s">
        <v>108</v>
      </c>
      <c r="D65" s="120"/>
      <c r="E65" s="19" t="s">
        <v>50</v>
      </c>
      <c r="F65" s="16">
        <v>30</v>
      </c>
      <c r="G65" s="17">
        <f t="shared" si="7"/>
        <v>40209</v>
      </c>
    </row>
    <row r="66" spans="2:11" ht="15" customHeight="1" x14ac:dyDescent="0.25">
      <c r="B66" s="15"/>
      <c r="C66" s="15" t="s">
        <v>109</v>
      </c>
      <c r="D66" s="120"/>
      <c r="E66" s="19" t="s">
        <v>50</v>
      </c>
      <c r="F66" s="16">
        <v>30</v>
      </c>
      <c r="G66" s="17">
        <f t="shared" si="7"/>
        <v>40209</v>
      </c>
    </row>
    <row r="67" spans="2:11" ht="15" customHeight="1" x14ac:dyDescent="0.25">
      <c r="B67" s="15"/>
      <c r="C67" s="15" t="s">
        <v>110</v>
      </c>
      <c r="D67" s="120"/>
      <c r="E67" s="19" t="s">
        <v>50</v>
      </c>
      <c r="F67" s="16">
        <v>30</v>
      </c>
      <c r="G67" s="17">
        <f t="shared" si="7"/>
        <v>40209</v>
      </c>
    </row>
    <row r="68" spans="2:11" ht="15" customHeight="1" x14ac:dyDescent="0.25">
      <c r="B68" s="122" t="s">
        <v>111</v>
      </c>
      <c r="C68" s="122"/>
      <c r="D68" s="120"/>
      <c r="E68" s="19" t="s">
        <v>50</v>
      </c>
      <c r="F68" s="16">
        <v>30</v>
      </c>
      <c r="G68" s="17">
        <f t="shared" ref="G68:G69" si="8">$G$4+F68</f>
        <v>40209</v>
      </c>
    </row>
    <row r="69" spans="2:11" ht="15" customHeight="1" thickBot="1" x14ac:dyDescent="0.3">
      <c r="B69" s="129" t="s">
        <v>112</v>
      </c>
      <c r="C69" s="129"/>
      <c r="D69" s="121"/>
      <c r="E69" s="56" t="s">
        <v>50</v>
      </c>
      <c r="F69" s="44">
        <v>30</v>
      </c>
      <c r="G69" s="50">
        <f t="shared" si="8"/>
        <v>40209</v>
      </c>
    </row>
    <row r="70" spans="2:11" ht="15" customHeight="1" x14ac:dyDescent="0.25">
      <c r="B70" s="102" t="s">
        <v>149</v>
      </c>
      <c r="C70" s="52"/>
      <c r="D70" s="68" t="s">
        <v>27</v>
      </c>
      <c r="E70" s="53" t="s">
        <v>47</v>
      </c>
      <c r="F70" s="54" t="s">
        <v>32</v>
      </c>
      <c r="G70" s="54" t="s">
        <v>23</v>
      </c>
    </row>
    <row r="71" spans="2:11" ht="15" customHeight="1" x14ac:dyDescent="0.25">
      <c r="B71" s="128" t="s">
        <v>9</v>
      </c>
      <c r="C71" s="128"/>
      <c r="D71" s="128"/>
      <c r="E71" s="128"/>
      <c r="F71" s="128"/>
      <c r="G71" s="128"/>
    </row>
    <row r="72" spans="2:11" ht="15" customHeight="1" x14ac:dyDescent="0.25">
      <c r="B72" s="15"/>
      <c r="C72" s="15" t="s">
        <v>135</v>
      </c>
      <c r="D72" s="22"/>
      <c r="E72" s="123" t="s">
        <v>148</v>
      </c>
      <c r="F72" s="16">
        <v>3</v>
      </c>
      <c r="G72" s="17">
        <f t="shared" ref="G72:G79" si="9">$G$4+F72</f>
        <v>40182</v>
      </c>
    </row>
    <row r="73" spans="2:11" ht="15" customHeight="1" x14ac:dyDescent="0.25">
      <c r="B73" s="15"/>
      <c r="C73" s="15" t="s">
        <v>10</v>
      </c>
      <c r="D73" s="22"/>
      <c r="E73" s="123"/>
      <c r="F73" s="16">
        <v>3</v>
      </c>
      <c r="G73" s="17">
        <f t="shared" si="9"/>
        <v>40182</v>
      </c>
    </row>
    <row r="74" spans="2:11" ht="15" customHeight="1" x14ac:dyDescent="0.25">
      <c r="B74" s="15"/>
      <c r="C74" s="15" t="s">
        <v>18</v>
      </c>
      <c r="D74" s="22"/>
      <c r="E74" s="123"/>
      <c r="F74" s="16">
        <v>3</v>
      </c>
      <c r="G74" s="17">
        <f t="shared" si="9"/>
        <v>40182</v>
      </c>
      <c r="K74" s="10"/>
    </row>
    <row r="75" spans="2:11" ht="15" customHeight="1" x14ac:dyDescent="0.25">
      <c r="B75" s="15"/>
      <c r="C75" s="15" t="s">
        <v>36</v>
      </c>
      <c r="D75" s="22"/>
      <c r="E75" s="123"/>
      <c r="F75" s="16">
        <v>3</v>
      </c>
      <c r="G75" s="17">
        <f t="shared" si="9"/>
        <v>40182</v>
      </c>
    </row>
    <row r="76" spans="2:11" ht="15" customHeight="1" x14ac:dyDescent="0.25">
      <c r="B76" s="15"/>
      <c r="C76" s="15" t="s">
        <v>11</v>
      </c>
      <c r="D76" s="22"/>
      <c r="E76" s="123"/>
      <c r="F76" s="16">
        <v>3</v>
      </c>
      <c r="G76" s="17">
        <f t="shared" si="9"/>
        <v>40182</v>
      </c>
    </row>
    <row r="77" spans="2:11" ht="15" customHeight="1" x14ac:dyDescent="0.25">
      <c r="B77" s="15"/>
      <c r="C77" s="15" t="s">
        <v>94</v>
      </c>
      <c r="D77" s="22"/>
      <c r="E77" s="123"/>
      <c r="F77" s="16">
        <v>3</v>
      </c>
      <c r="G77" s="17">
        <f t="shared" si="9"/>
        <v>40182</v>
      </c>
    </row>
    <row r="78" spans="2:11" ht="15" customHeight="1" x14ac:dyDescent="0.2">
      <c r="B78" s="15"/>
      <c r="C78" s="15" t="s">
        <v>119</v>
      </c>
      <c r="D78" s="105" t="s">
        <v>120</v>
      </c>
      <c r="E78" s="33"/>
      <c r="F78" s="16">
        <v>3</v>
      </c>
      <c r="G78" s="17">
        <f t="shared" si="9"/>
        <v>40182</v>
      </c>
    </row>
    <row r="79" spans="2:11" ht="15" customHeight="1" thickBot="1" x14ac:dyDescent="0.3">
      <c r="B79" s="43"/>
      <c r="C79" s="43" t="s">
        <v>121</v>
      </c>
      <c r="D79" s="71" t="s">
        <v>122</v>
      </c>
      <c r="E79" s="55"/>
      <c r="F79" s="44">
        <v>3</v>
      </c>
      <c r="G79" s="50">
        <f t="shared" si="9"/>
        <v>40182</v>
      </c>
    </row>
    <row r="80" spans="2:11" ht="15" customHeight="1" x14ac:dyDescent="0.25">
      <c r="B80" s="112" t="s">
        <v>14</v>
      </c>
      <c r="C80" s="112"/>
      <c r="D80" s="112"/>
      <c r="E80" s="112"/>
      <c r="F80" s="112"/>
      <c r="G80" s="112"/>
    </row>
    <row r="81" spans="2:7" ht="15" customHeight="1" x14ac:dyDescent="0.25">
      <c r="B81" s="15"/>
      <c r="C81" s="15" t="s">
        <v>20</v>
      </c>
      <c r="D81" s="22"/>
      <c r="E81" s="148" t="s">
        <v>136</v>
      </c>
      <c r="F81" s="16">
        <v>5</v>
      </c>
      <c r="G81" s="17">
        <f>$G$4+F81</f>
        <v>40184</v>
      </c>
    </row>
    <row r="82" spans="2:7" ht="15" customHeight="1" x14ac:dyDescent="0.25">
      <c r="B82" s="15"/>
      <c r="C82" s="34" t="s">
        <v>15</v>
      </c>
      <c r="D82" s="22"/>
      <c r="E82" s="149"/>
      <c r="F82" s="16"/>
      <c r="G82" s="18"/>
    </row>
    <row r="83" spans="2:7" ht="15" customHeight="1" x14ac:dyDescent="0.25">
      <c r="B83" s="15"/>
      <c r="C83" s="15" t="s">
        <v>42</v>
      </c>
      <c r="D83" s="22"/>
      <c r="E83" s="149"/>
      <c r="F83" s="16">
        <v>5</v>
      </c>
      <c r="G83" s="17">
        <f>$G$4+F83</f>
        <v>40184</v>
      </c>
    </row>
    <row r="84" spans="2:7" ht="15" customHeight="1" x14ac:dyDescent="0.25">
      <c r="B84" s="15"/>
      <c r="C84" s="15" t="s">
        <v>21</v>
      </c>
      <c r="D84" s="99" t="s">
        <v>140</v>
      </c>
      <c r="E84" s="149"/>
      <c r="F84" s="16"/>
      <c r="G84" s="18"/>
    </row>
    <row r="85" spans="2:7" ht="15" customHeight="1" x14ac:dyDescent="0.25">
      <c r="B85" s="15"/>
      <c r="C85" s="34" t="s">
        <v>19</v>
      </c>
      <c r="D85" s="22"/>
      <c r="E85" s="149"/>
      <c r="F85" s="16"/>
      <c r="G85" s="18"/>
    </row>
    <row r="86" spans="2:7" ht="15" customHeight="1" x14ac:dyDescent="0.25">
      <c r="B86" s="15"/>
      <c r="C86" s="34" t="s">
        <v>16</v>
      </c>
      <c r="D86" s="22"/>
      <c r="E86" s="149"/>
      <c r="F86" s="16"/>
      <c r="G86" s="18"/>
    </row>
    <row r="87" spans="2:7" ht="15" customHeight="1" x14ac:dyDescent="0.25">
      <c r="B87" s="15"/>
      <c r="C87" s="34" t="s">
        <v>17</v>
      </c>
      <c r="D87" s="22"/>
      <c r="E87" s="149"/>
      <c r="F87" s="16"/>
      <c r="G87" s="18"/>
    </row>
    <row r="88" spans="2:7" ht="15" customHeight="1" thickBot="1" x14ac:dyDescent="0.3">
      <c r="B88" s="43"/>
      <c r="C88" s="51" t="s">
        <v>30</v>
      </c>
      <c r="D88" s="61"/>
      <c r="E88" s="150"/>
      <c r="F88" s="44"/>
      <c r="G88" s="45"/>
    </row>
    <row r="89" spans="2:7" ht="15" customHeight="1" x14ac:dyDescent="0.25">
      <c r="B89" s="109" t="s">
        <v>12</v>
      </c>
      <c r="C89" s="110"/>
      <c r="D89" s="111"/>
      <c r="E89" s="92" t="s">
        <v>136</v>
      </c>
      <c r="F89" s="141"/>
      <c r="G89" s="142"/>
    </row>
    <row r="90" spans="2:7" ht="15" customHeight="1" x14ac:dyDescent="0.25">
      <c r="B90" s="15"/>
      <c r="C90" s="15" t="s">
        <v>3</v>
      </c>
      <c r="D90" s="22"/>
      <c r="E90" s="92" t="s">
        <v>136</v>
      </c>
      <c r="F90" s="16">
        <v>3</v>
      </c>
      <c r="G90" s="17">
        <f>$G$4+F90</f>
        <v>40182</v>
      </c>
    </row>
    <row r="91" spans="2:7" ht="15" customHeight="1" x14ac:dyDescent="0.25">
      <c r="B91" s="15"/>
      <c r="C91" s="36" t="s">
        <v>80</v>
      </c>
      <c r="D91" s="76"/>
      <c r="E91" s="32" t="s">
        <v>54</v>
      </c>
      <c r="F91" s="16">
        <v>2</v>
      </c>
      <c r="G91" s="17">
        <f>$G$4+F91</f>
        <v>40181</v>
      </c>
    </row>
    <row r="92" spans="2:7" ht="15" customHeight="1" x14ac:dyDescent="0.25">
      <c r="B92" s="15"/>
      <c r="C92" s="37" t="s">
        <v>146</v>
      </c>
      <c r="D92" s="77"/>
      <c r="E92" s="32" t="s">
        <v>54</v>
      </c>
      <c r="F92" s="16">
        <v>2</v>
      </c>
      <c r="G92" s="17">
        <f>$G$4+F92</f>
        <v>40181</v>
      </c>
    </row>
    <row r="93" spans="2:7" ht="15" customHeight="1" x14ac:dyDescent="0.25">
      <c r="B93" s="15"/>
      <c r="C93" s="38" t="s">
        <v>38</v>
      </c>
      <c r="D93" s="70" t="s">
        <v>37</v>
      </c>
      <c r="E93" s="35"/>
      <c r="F93" s="16">
        <v>10</v>
      </c>
      <c r="G93" s="17">
        <f t="shared" ref="G93" si="10">$G$4+F93</f>
        <v>40189</v>
      </c>
    </row>
    <row r="94" spans="2:7" ht="15" customHeight="1" x14ac:dyDescent="0.25">
      <c r="B94" s="15"/>
      <c r="C94" s="15" t="s">
        <v>26</v>
      </c>
      <c r="D94" s="22"/>
      <c r="E94" s="35"/>
      <c r="F94" s="16"/>
      <c r="G94" s="18"/>
    </row>
    <row r="95" spans="2:7" ht="15" customHeight="1" x14ac:dyDescent="0.25">
      <c r="B95" s="15"/>
      <c r="C95" s="34" t="s">
        <v>22</v>
      </c>
      <c r="D95" s="22"/>
      <c r="E95" s="92" t="s">
        <v>136</v>
      </c>
      <c r="F95" s="16">
        <v>5</v>
      </c>
      <c r="G95" s="17">
        <f t="shared" ref="G95:G96" si="11">$G$4+F95</f>
        <v>40184</v>
      </c>
    </row>
    <row r="96" spans="2:7" ht="15" customHeight="1" thickBot="1" x14ac:dyDescent="0.3">
      <c r="B96" s="43"/>
      <c r="C96" s="51" t="s">
        <v>13</v>
      </c>
      <c r="D96" s="61"/>
      <c r="E96" s="92" t="s">
        <v>136</v>
      </c>
      <c r="F96" s="44">
        <v>5</v>
      </c>
      <c r="G96" s="50">
        <f t="shared" si="11"/>
        <v>40184</v>
      </c>
    </row>
    <row r="97" spans="2:8" ht="15" customHeight="1" x14ac:dyDescent="0.25">
      <c r="B97" s="109" t="s">
        <v>39</v>
      </c>
      <c r="C97" s="110"/>
      <c r="D97" s="110"/>
      <c r="E97" s="110"/>
      <c r="F97" s="110"/>
      <c r="G97" s="111"/>
    </row>
    <row r="98" spans="2:8" ht="15" customHeight="1" x14ac:dyDescent="0.25">
      <c r="B98" s="15"/>
      <c r="C98" s="15" t="s">
        <v>40</v>
      </c>
      <c r="D98" s="22"/>
      <c r="E98" s="92" t="s">
        <v>136</v>
      </c>
      <c r="F98" s="16"/>
      <c r="G98" s="17"/>
    </row>
    <row r="99" spans="2:8" ht="15" customHeight="1" x14ac:dyDescent="0.25">
      <c r="B99" s="15"/>
      <c r="C99" s="34" t="s">
        <v>41</v>
      </c>
      <c r="D99" s="22"/>
      <c r="E99" s="92" t="s">
        <v>136</v>
      </c>
      <c r="F99" s="16"/>
      <c r="G99" s="17"/>
    </row>
    <row r="100" spans="2:8" ht="15" customHeight="1" thickBot="1" x14ac:dyDescent="0.3">
      <c r="B100" s="43"/>
      <c r="C100" s="43" t="s">
        <v>56</v>
      </c>
      <c r="D100" s="61"/>
      <c r="E100" s="49" t="s">
        <v>154</v>
      </c>
      <c r="F100" s="44"/>
      <c r="G100" s="50"/>
    </row>
    <row r="101" spans="2:8" ht="15" customHeight="1" x14ac:dyDescent="0.25">
      <c r="B101" s="109" t="s">
        <v>31</v>
      </c>
      <c r="C101" s="110"/>
      <c r="D101" s="110"/>
      <c r="E101" s="110"/>
      <c r="F101" s="110"/>
      <c r="G101" s="111"/>
    </row>
    <row r="102" spans="2:8" ht="15" customHeight="1" x14ac:dyDescent="0.25">
      <c r="B102" s="15"/>
      <c r="C102" s="15" t="s">
        <v>4</v>
      </c>
      <c r="D102" s="22"/>
      <c r="E102" s="39" t="s">
        <v>46</v>
      </c>
      <c r="F102" s="16"/>
      <c r="G102" s="18"/>
    </row>
    <row r="103" spans="2:8" ht="15" customHeight="1" thickBot="1" x14ac:dyDescent="0.3">
      <c r="B103" s="43"/>
      <c r="C103" s="43" t="s">
        <v>5</v>
      </c>
      <c r="D103" s="61"/>
      <c r="E103" s="49" t="s">
        <v>46</v>
      </c>
      <c r="F103" s="44"/>
      <c r="G103" s="45"/>
    </row>
    <row r="104" spans="2:8" s="1" customFormat="1" ht="15" customHeight="1" x14ac:dyDescent="0.25">
      <c r="B104" s="109" t="s">
        <v>44</v>
      </c>
      <c r="C104" s="110"/>
      <c r="D104" s="110"/>
      <c r="E104" s="110"/>
      <c r="F104" s="110"/>
      <c r="G104" s="111"/>
      <c r="H104" s="4"/>
    </row>
    <row r="105" spans="2:8" s="1" customFormat="1" ht="15" customHeight="1" thickBot="1" x14ac:dyDescent="0.25">
      <c r="B105" s="43"/>
      <c r="C105" s="60" t="s">
        <v>45</v>
      </c>
      <c r="D105" s="108" t="s">
        <v>37</v>
      </c>
      <c r="E105" s="49" t="s">
        <v>46</v>
      </c>
      <c r="F105" s="44"/>
      <c r="G105" s="45"/>
      <c r="H105" s="4"/>
    </row>
    <row r="106" spans="2:8" s="1" customFormat="1" ht="15" customHeight="1" thickBot="1" x14ac:dyDescent="0.3">
      <c r="B106" s="143" t="s">
        <v>29</v>
      </c>
      <c r="C106" s="144"/>
      <c r="D106" s="80" t="s">
        <v>43</v>
      </c>
      <c r="E106" s="81" t="s">
        <v>58</v>
      </c>
      <c r="F106" s="82"/>
      <c r="G106" s="83"/>
      <c r="H106" s="4"/>
    </row>
    <row r="107" spans="2:8" s="11" customFormat="1" ht="15" customHeight="1" x14ac:dyDescent="0.25">
      <c r="B107" s="109" t="s">
        <v>57</v>
      </c>
      <c r="C107" s="110"/>
      <c r="D107" s="110"/>
      <c r="E107" s="110"/>
      <c r="F107" s="110"/>
      <c r="G107" s="111"/>
    </row>
    <row r="108" spans="2:8" s="11" customFormat="1" ht="15" customHeight="1" x14ac:dyDescent="0.25">
      <c r="B108" s="40"/>
      <c r="C108" s="40" t="s">
        <v>137</v>
      </c>
      <c r="D108" s="78"/>
      <c r="E108" s="106" t="s">
        <v>155</v>
      </c>
      <c r="F108" s="41"/>
      <c r="G108" s="42"/>
    </row>
    <row r="109" spans="2:8" s="11" customFormat="1" ht="15" customHeight="1" x14ac:dyDescent="0.25">
      <c r="B109" s="93"/>
      <c r="C109" s="40" t="s">
        <v>138</v>
      </c>
      <c r="D109" s="78"/>
      <c r="E109" s="86" t="s">
        <v>93</v>
      </c>
      <c r="F109" s="94"/>
      <c r="G109" s="95"/>
    </row>
    <row r="110" spans="2:8" s="11" customFormat="1" ht="15" customHeight="1" thickBot="1" x14ac:dyDescent="0.3">
      <c r="B110" s="46"/>
      <c r="C110" s="96" t="s">
        <v>139</v>
      </c>
      <c r="D110" s="97"/>
      <c r="E110" s="98" t="s">
        <v>153</v>
      </c>
      <c r="F110" s="47"/>
      <c r="G110" s="48"/>
    </row>
    <row r="111" spans="2:8" x14ac:dyDescent="0.25">
      <c r="C111" s="3"/>
    </row>
    <row r="112" spans="2:8" x14ac:dyDescent="0.25">
      <c r="C112" s="3"/>
    </row>
    <row r="113" spans="3:5" x14ac:dyDescent="0.25">
      <c r="C113" s="3"/>
      <c r="D113" s="79"/>
      <c r="E113" s="2"/>
    </row>
    <row r="114" spans="3:5" x14ac:dyDescent="0.25">
      <c r="C114" s="3"/>
    </row>
    <row r="115" spans="3:5" x14ac:dyDescent="0.25">
      <c r="C115" s="3"/>
    </row>
    <row r="118" spans="3:5" x14ac:dyDescent="0.25">
      <c r="C118" s="3"/>
    </row>
  </sheetData>
  <mergeCells count="44">
    <mergeCell ref="B21:G21"/>
    <mergeCell ref="E81:E88"/>
    <mergeCell ref="B3:C3"/>
    <mergeCell ref="B4:F4"/>
    <mergeCell ref="B2:G2"/>
    <mergeCell ref="B40:C41"/>
    <mergeCell ref="B7:C7"/>
    <mergeCell ref="B20:C20"/>
    <mergeCell ref="B39:C39"/>
    <mergeCell ref="B5:C5"/>
    <mergeCell ref="D3:G3"/>
    <mergeCell ref="D18:D19"/>
    <mergeCell ref="B14:G14"/>
    <mergeCell ref="B8:G8"/>
    <mergeCell ref="B17:G17"/>
    <mergeCell ref="F40:F41"/>
    <mergeCell ref="B107:G107"/>
    <mergeCell ref="B104:G104"/>
    <mergeCell ref="B97:G97"/>
    <mergeCell ref="B101:G101"/>
    <mergeCell ref="B89:D89"/>
    <mergeCell ref="F89:G89"/>
    <mergeCell ref="B106:C106"/>
    <mergeCell ref="D22:D28"/>
    <mergeCell ref="B29:G29"/>
    <mergeCell ref="D30:D32"/>
    <mergeCell ref="B33:G33"/>
    <mergeCell ref="D34:D35"/>
    <mergeCell ref="B36:G36"/>
    <mergeCell ref="B80:G80"/>
    <mergeCell ref="E55:G55"/>
    <mergeCell ref="B44:G44"/>
    <mergeCell ref="E56:E60"/>
    <mergeCell ref="B61:G61"/>
    <mergeCell ref="D62:D69"/>
    <mergeCell ref="B51:C51"/>
    <mergeCell ref="E51:E54"/>
    <mergeCell ref="B50:C50"/>
    <mergeCell ref="B55:D55"/>
    <mergeCell ref="E72:E77"/>
    <mergeCell ref="B71:G71"/>
    <mergeCell ref="B69:C69"/>
    <mergeCell ref="B68:C68"/>
    <mergeCell ref="G40:G41"/>
  </mergeCells>
  <hyperlinks>
    <hyperlink ref="D93" r:id="rId1" display="click here for instructions"/>
    <hyperlink ref="E105" r:id="rId2"/>
    <hyperlink ref="E102" r:id="rId3"/>
    <hyperlink ref="E103" r:id="rId4"/>
    <hyperlink ref="E106" r:id="rId5"/>
    <hyperlink ref="E47" r:id="rId6"/>
    <hyperlink ref="E45" r:id="rId7"/>
    <hyperlink ref="E46" r:id="rId8"/>
    <hyperlink ref="E9" r:id="rId9"/>
    <hyperlink ref="D9" r:id="rId10" display="click here for Benefits forms"/>
    <hyperlink ref="E49" r:id="rId11"/>
    <hyperlink ref="E91" r:id="rId12"/>
    <hyperlink ref="E110" r:id="rId13"/>
    <hyperlink ref="D62" r:id="rId14"/>
    <hyperlink ref="E48" r:id="rId15"/>
    <hyperlink ref="D79" r:id="rId16"/>
    <hyperlink ref="B42" r:id="rId17" display="LMS: Learning Mgmt Sys"/>
    <hyperlink ref="D42" r:id="rId18"/>
    <hyperlink ref="E92" r:id="rId19"/>
    <hyperlink ref="E42" r:id="rId20"/>
    <hyperlink ref="D52" r:id="rId21"/>
    <hyperlink ref="D62:D69" r:id="rId22" display="click here for LMS"/>
    <hyperlink ref="E43" r:id="rId23"/>
    <hyperlink ref="D84" r:id="rId24"/>
    <hyperlink ref="D11" r:id="rId25"/>
    <hyperlink ref="E12" r:id="rId26"/>
    <hyperlink ref="D12" r:id="rId27"/>
    <hyperlink ref="D38" r:id="rId28" display="click here for more information"/>
    <hyperlink ref="D37" r:id="rId29"/>
    <hyperlink ref="D22" r:id="rId30"/>
    <hyperlink ref="D30" r:id="rId31"/>
    <hyperlink ref="D41" r:id="rId32"/>
    <hyperlink ref="E56:E60" r:id="rId33" display="Steve Desper"/>
    <hyperlink ref="E109" r:id="rId34"/>
    <hyperlink ref="D16" r:id="rId35" display="Town of Chapel Hill : Park &amp; Ride"/>
    <hyperlink ref="D15" r:id="rId36"/>
    <hyperlink ref="D78" r:id="rId37"/>
    <hyperlink ref="E100" r:id="rId38"/>
    <hyperlink ref="E108" r:id="rId39"/>
    <hyperlink ref="D105" r:id="rId40"/>
  </hyperlinks>
  <printOptions horizontalCentered="1" gridLines="1"/>
  <pageMargins left="0.2" right="0.2" top="0.5" bottom="0.3" header="0" footer="0"/>
  <pageSetup orientation="portrait" r:id="rId41"/>
  <headerFooter>
    <oddHeader>&amp;L&amp;"-,Bold"&amp;14Research Assistant&amp;C&amp;"-,Bold"&amp;14Onboarding Activities
&amp;R&amp;"-,Bold"&amp;14UNC School of Medicine (temp)</oddHeader>
    <oddFooter>&amp;L&amp;"-,Bold Italic"&amp;8&amp;K000000&amp;Z&amp;F&amp;R&amp;"-,Bold Italic"&amp;8Last revised: &amp;D</oddFooter>
  </headerFooter>
  <rowBreaks count="1" manualBreakCount="1">
    <brk id="88" min="1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Research Assistant</vt:lpstr>
      <vt:lpstr>'Research Assistant'!Print_Area</vt:lpstr>
      <vt:lpstr>'Research Assistant'!Print_Titles</vt:lpstr>
    </vt:vector>
  </TitlesOfParts>
  <Company>UNC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domis</cp:lastModifiedBy>
  <cp:lastPrinted>2010-10-18T12:52:23Z</cp:lastPrinted>
  <dcterms:created xsi:type="dcterms:W3CDTF">2009-11-16T14:52:32Z</dcterms:created>
  <dcterms:modified xsi:type="dcterms:W3CDTF">2013-09-17T15:53:31Z</dcterms:modified>
</cp:coreProperties>
</file>