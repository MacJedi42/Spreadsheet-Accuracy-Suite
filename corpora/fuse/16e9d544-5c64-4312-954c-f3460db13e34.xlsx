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 yWindow="-108" windowWidth="9852" windowHeight="9732"/>
  </bookViews>
  <sheets>
    <sheet name="ALL" sheetId="1" r:id="rId1"/>
    <sheet name="OAA" sheetId="2" r:id="rId2"/>
    <sheet name="OGT" sheetId="3" r:id="rId3"/>
    <sheet name="AASWD" sheetId="6" r:id="rId4"/>
    <sheet name="OTELA" sheetId="5" r:id="rId5"/>
  </sheets>
  <definedNames>
    <definedName name="_xlnm.Print_Titles" localSheetId="3">AASWD!$2:$2</definedName>
    <definedName name="_xlnm.Print_Titles" localSheetId="0">ALL!$2:$2</definedName>
    <definedName name="_xlnm.Print_Titles" localSheetId="1">OAA!$1:$1</definedName>
    <definedName name="_xlnm.Print_Titles" localSheetId="2">OGT!$1:$1</definedName>
  </definedNames>
  <calcPr calcId="145621"/>
</workbook>
</file>

<file path=xl/calcChain.xml><?xml version="1.0" encoding="utf-8"?>
<calcChain xmlns="http://schemas.openxmlformats.org/spreadsheetml/2006/main">
  <c r="F10" i="6" l="1"/>
  <c r="F11" i="6"/>
  <c r="F12" i="6"/>
  <c r="F13" i="6"/>
  <c r="F14" i="6"/>
  <c r="F15" i="6"/>
  <c r="F16" i="6"/>
  <c r="F17" i="6"/>
  <c r="F18" i="6"/>
  <c r="F19" i="6"/>
  <c r="F20" i="6"/>
  <c r="F21" i="6"/>
  <c r="F22" i="6"/>
  <c r="F23" i="6"/>
  <c r="F24" i="6"/>
  <c r="F30" i="6"/>
  <c r="F31" i="6"/>
  <c r="F32" i="6"/>
  <c r="F35" i="6"/>
  <c r="F36" i="6"/>
  <c r="F37" i="6"/>
  <c r="F38" i="6"/>
  <c r="F39" i="6"/>
  <c r="F40" i="6"/>
  <c r="F41" i="6"/>
  <c r="F42" i="6"/>
  <c r="F43" i="6"/>
  <c r="F44" i="6"/>
  <c r="F45" i="6"/>
  <c r="F46" i="6"/>
  <c r="F47" i="6"/>
  <c r="F48" i="6"/>
  <c r="F52" i="6"/>
  <c r="F53" i="6"/>
  <c r="F54" i="6"/>
  <c r="F55" i="6"/>
  <c r="F56" i="6"/>
  <c r="F57" i="6"/>
  <c r="F58" i="6"/>
  <c r="F91" i="6"/>
  <c r="F92" i="6"/>
  <c r="F93" i="6"/>
  <c r="F94" i="6"/>
  <c r="F95" i="6"/>
  <c r="F96" i="6"/>
  <c r="F97" i="6"/>
  <c r="F132" i="6"/>
  <c r="F133" i="6"/>
  <c r="F134" i="6"/>
  <c r="F135" i="6"/>
  <c r="F136" i="6"/>
  <c r="F137" i="6"/>
  <c r="F138" i="6"/>
  <c r="F173" i="6"/>
  <c r="F174" i="6"/>
  <c r="F175" i="6"/>
  <c r="F176" i="6"/>
  <c r="F177" i="6"/>
  <c r="F178" i="6"/>
  <c r="F179" i="6"/>
  <c r="F214" i="6"/>
  <c r="F215" i="6"/>
  <c r="F216" i="6"/>
  <c r="F217" i="6"/>
  <c r="F218" i="6"/>
  <c r="F219" i="6"/>
  <c r="F220" i="6"/>
  <c r="F266" i="6"/>
  <c r="F278" i="6"/>
  <c r="F279" i="6"/>
  <c r="F280" i="6"/>
  <c r="F281" i="6"/>
  <c r="F282" i="6"/>
  <c r="F283" i="6"/>
  <c r="F284" i="6"/>
  <c r="F285" i="6"/>
  <c r="F286" i="6"/>
  <c r="F287" i="6"/>
  <c r="F288" i="6"/>
  <c r="F289" i="6"/>
  <c r="F290" i="6"/>
  <c r="F291" i="6"/>
  <c r="F292" i="6"/>
  <c r="F294" i="6"/>
  <c r="F295" i="6"/>
  <c r="F296" i="6"/>
  <c r="F313" i="6"/>
  <c r="F359" i="6"/>
  <c r="F360" i="6"/>
  <c r="F361" i="6"/>
  <c r="F362" i="6"/>
  <c r="F363" i="6"/>
  <c r="F364" i="6"/>
  <c r="F365" i="6"/>
  <c r="F366" i="6"/>
  <c r="F367" i="6"/>
  <c r="F368" i="6"/>
  <c r="F369" i="6"/>
  <c r="F370" i="6"/>
  <c r="F371" i="6"/>
  <c r="F372" i="6"/>
  <c r="F373" i="6"/>
  <c r="F374" i="6"/>
  <c r="F375" i="6"/>
  <c r="F376" i="6"/>
  <c r="F377" i="6"/>
  <c r="F378" i="6"/>
  <c r="F166" i="5"/>
  <c r="F167" i="5"/>
  <c r="F168" i="5"/>
  <c r="F375" i="5"/>
  <c r="F374" i="5"/>
  <c r="F370" i="5"/>
  <c r="F369" i="5"/>
  <c r="F366" i="5"/>
  <c r="F365" i="5"/>
  <c r="F364" i="5"/>
  <c r="F363" i="5"/>
  <c r="F362" i="5"/>
  <c r="F361" i="5"/>
  <c r="F360" i="5"/>
  <c r="F359" i="5"/>
  <c r="F356" i="5"/>
  <c r="F355" i="5"/>
  <c r="F354" i="5"/>
  <c r="F353" i="5"/>
  <c r="F352" i="5"/>
  <c r="F351" i="5"/>
  <c r="F350" i="5"/>
  <c r="F349" i="5"/>
  <c r="F346" i="5"/>
  <c r="F345" i="5"/>
  <c r="F344" i="5"/>
  <c r="F343" i="5"/>
  <c r="F342" i="5"/>
  <c r="F341" i="5"/>
  <c r="F340" i="5"/>
  <c r="F339" i="5"/>
  <c r="F336" i="5"/>
  <c r="F335" i="5"/>
  <c r="F334" i="5"/>
  <c r="F333" i="5"/>
  <c r="F332" i="5"/>
  <c r="F331" i="5"/>
  <c r="F330" i="5"/>
  <c r="F329" i="5"/>
  <c r="F313" i="5"/>
  <c r="F296" i="5"/>
  <c r="F295" i="5"/>
  <c r="F294" i="5"/>
  <c r="F283" i="5"/>
  <c r="F282" i="5"/>
  <c r="F281" i="5"/>
  <c r="F280" i="5"/>
  <c r="F279" i="5"/>
  <c r="F278" i="5"/>
  <c r="F274" i="5"/>
  <c r="F273" i="5"/>
  <c r="F272" i="5"/>
  <c r="F271" i="5"/>
  <c r="F270" i="5"/>
  <c r="F269" i="5"/>
  <c r="F268" i="5"/>
  <c r="F267" i="5"/>
  <c r="F266" i="5"/>
  <c r="F225" i="5"/>
  <c r="F224" i="5"/>
  <c r="F223" i="5"/>
  <c r="F222" i="5"/>
  <c r="F221" i="5"/>
  <c r="F220" i="5"/>
  <c r="F219" i="5"/>
  <c r="F210" i="5"/>
  <c r="F209" i="5"/>
  <c r="F208" i="5"/>
  <c r="F207" i="5"/>
  <c r="F206" i="5"/>
  <c r="F184" i="5"/>
  <c r="F183" i="5"/>
  <c r="F182" i="5"/>
  <c r="F181" i="5"/>
  <c r="F180" i="5"/>
  <c r="F179" i="5"/>
  <c r="F178" i="5"/>
  <c r="F169" i="5"/>
  <c r="F143" i="5"/>
  <c r="F142" i="5"/>
  <c r="F141" i="5"/>
  <c r="F140" i="5"/>
  <c r="F139" i="5"/>
  <c r="F138" i="5"/>
  <c r="F137" i="5"/>
  <c r="F128" i="5"/>
  <c r="F127" i="5"/>
  <c r="F126" i="5"/>
  <c r="F125" i="5"/>
  <c r="F124" i="5"/>
  <c r="F102" i="5"/>
  <c r="F101" i="5"/>
  <c r="F100" i="5"/>
  <c r="F99" i="5"/>
  <c r="F98" i="5"/>
  <c r="F97" i="5"/>
  <c r="F96" i="5"/>
  <c r="F87" i="5"/>
  <c r="F86" i="5"/>
  <c r="F85" i="5"/>
  <c r="F84" i="5"/>
  <c r="F83" i="5"/>
  <c r="F65" i="5"/>
  <c r="F64" i="5"/>
  <c r="F63" i="5"/>
  <c r="F62" i="5"/>
  <c r="F61" i="5"/>
  <c r="F60" i="5"/>
  <c r="F59" i="5"/>
  <c r="F58" i="5"/>
  <c r="F57" i="5"/>
  <c r="F48" i="5"/>
  <c r="F47" i="5"/>
  <c r="F44" i="5"/>
  <c r="F43" i="5"/>
  <c r="F42" i="5"/>
  <c r="F41" i="5"/>
  <c r="F40" i="5"/>
  <c r="F39" i="5"/>
  <c r="F38" i="5"/>
  <c r="F37" i="5"/>
  <c r="F36" i="5"/>
  <c r="F35" i="5"/>
  <c r="F32" i="5"/>
  <c r="F31" i="5"/>
  <c r="F30" i="5"/>
  <c r="F24" i="5"/>
  <c r="F23" i="5"/>
  <c r="F22" i="5"/>
  <c r="F21" i="5"/>
  <c r="F20" i="5"/>
  <c r="F19" i="5"/>
  <c r="F18" i="5"/>
  <c r="F17" i="5"/>
  <c r="F16" i="5"/>
  <c r="F15" i="5"/>
  <c r="F14" i="5"/>
  <c r="F13" i="5"/>
  <c r="F12" i="5"/>
  <c r="F11" i="5"/>
  <c r="F10" i="5"/>
  <c r="F9" i="3"/>
  <c r="F10" i="3"/>
  <c r="F11" i="3"/>
  <c r="F12" i="3"/>
  <c r="F13" i="3"/>
  <c r="F14" i="3"/>
  <c r="F15" i="3"/>
  <c r="F16" i="3"/>
  <c r="F17" i="3"/>
  <c r="F18" i="3"/>
  <c r="F19" i="3"/>
  <c r="F20" i="3"/>
  <c r="F21" i="3"/>
  <c r="F22" i="3"/>
  <c r="F23" i="3"/>
  <c r="F29" i="3"/>
  <c r="F30" i="3"/>
  <c r="F31" i="3"/>
  <c r="F34" i="3"/>
  <c r="F35" i="3"/>
  <c r="F36" i="3"/>
  <c r="F37" i="3"/>
  <c r="F38" i="3"/>
  <c r="F39" i="3"/>
  <c r="F40" i="3"/>
  <c r="F41" i="3"/>
  <c r="F42" i="3"/>
  <c r="F43" i="3"/>
  <c r="F44" i="3"/>
  <c r="F45" i="3"/>
  <c r="F46" i="3"/>
  <c r="F47" i="3"/>
  <c r="F51" i="3"/>
  <c r="F52" i="3"/>
  <c r="F53" i="3"/>
  <c r="F54" i="3"/>
  <c r="F55" i="3"/>
  <c r="F56" i="3"/>
  <c r="F57" i="3"/>
  <c r="F58" i="3"/>
  <c r="F59" i="3"/>
  <c r="F60" i="3"/>
  <c r="F61" i="3"/>
  <c r="F62" i="3"/>
  <c r="F63" i="3"/>
  <c r="F64" i="3"/>
  <c r="F65" i="3"/>
  <c r="F66" i="3"/>
  <c r="F67" i="3"/>
  <c r="F68" i="3"/>
  <c r="F69" i="3"/>
  <c r="F70" i="3"/>
  <c r="F71" i="3"/>
  <c r="F72" i="3"/>
  <c r="F73" i="3"/>
  <c r="F74" i="3"/>
  <c r="F75" i="3"/>
  <c r="F76" i="3"/>
  <c r="F82" i="3"/>
  <c r="F83" i="3"/>
  <c r="F84" i="3"/>
  <c r="F85" i="3"/>
  <c r="F86"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23" i="3"/>
  <c r="F124" i="3"/>
  <c r="F125" i="3"/>
  <c r="F126" i="3"/>
  <c r="F127"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4" i="3"/>
  <c r="F165" i="3"/>
  <c r="F166" i="3"/>
  <c r="F167" i="3"/>
  <c r="F168"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5" i="3"/>
  <c r="F206" i="3"/>
  <c r="F207" i="3"/>
  <c r="F208" i="3"/>
  <c r="F209"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6" i="3"/>
  <c r="F247" i="3"/>
  <c r="F248" i="3"/>
  <c r="F249" i="3"/>
  <c r="F250" i="3"/>
  <c r="F265" i="3"/>
  <c r="F266" i="3"/>
  <c r="F267" i="3"/>
  <c r="F268" i="3"/>
  <c r="F269" i="3"/>
  <c r="F270" i="3"/>
  <c r="F271" i="3"/>
  <c r="F272" i="3"/>
  <c r="F273" i="3"/>
  <c r="F274" i="3"/>
  <c r="F275" i="3"/>
  <c r="F277" i="3"/>
  <c r="F278" i="3"/>
  <c r="F279" i="3"/>
  <c r="F280" i="3"/>
  <c r="F281" i="3"/>
  <c r="F282" i="3"/>
  <c r="F283" i="3"/>
  <c r="F284" i="3"/>
  <c r="F285" i="3"/>
  <c r="F286" i="3"/>
  <c r="F287" i="3"/>
  <c r="F288" i="3"/>
  <c r="F289" i="3"/>
  <c r="F290" i="3"/>
  <c r="F291" i="3"/>
  <c r="F293" i="3"/>
  <c r="F294" i="3"/>
  <c r="F295" i="3"/>
  <c r="F312" i="3"/>
  <c r="F328" i="3"/>
  <c r="F329" i="3"/>
  <c r="F330" i="3"/>
  <c r="F331" i="3"/>
  <c r="F332" i="3"/>
  <c r="F333" i="3"/>
  <c r="F334" i="3"/>
  <c r="F335" i="3"/>
  <c r="F336" i="3"/>
  <c r="F33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alcChain>
</file>

<file path=xl/sharedStrings.xml><?xml version="1.0" encoding="utf-8"?>
<sst xmlns="http://schemas.openxmlformats.org/spreadsheetml/2006/main" count="3230" uniqueCount="361">
  <si>
    <t>Math Instructional Context Domain Score</t>
  </si>
  <si>
    <t>Settings and Interactions
Domain Score</t>
  </si>
  <si>
    <t>Social Studies Performance Level</t>
  </si>
  <si>
    <t xml:space="preserve">Math Total Raw Score </t>
  </si>
  <si>
    <t>Social Studies Scale Score</t>
  </si>
  <si>
    <t>Science Scale Score</t>
  </si>
  <si>
    <t>Same As OAT</t>
  </si>
  <si>
    <t>Settings and Interactions Domain Score</t>
  </si>
  <si>
    <t xml:space="preserve">
Reading Content Standard Raw Score 4
ALT: Settings and Interactions
OTELA: N/A
OAT: Reading Applications: Literary Text
OGT: Reading Applications: Literary Text</t>
  </si>
  <si>
    <t>Social Studies Content Standard Raw Score 4
ALT: Settings and Interactions
OTELA: N/A
OAT: People in Societies and Geography
OGT: People in Societies and Geography</t>
  </si>
  <si>
    <t>Science Content Standard Raw Score 4
ALT: Settings and Interactions
OTELA: N/A
OAT: Science and Technology, Scientific Inquiry and Scientific Ways of Knowing (Scientific Process)
OGT: Science and Technology, Scientific Inquiry and Scientific Ways of Knowing (Scientific Process)</t>
  </si>
  <si>
    <t>Writing Content Standard raw score 4
ALT: Settings and Interactions
OTELA: N/A
OAT: N/A
OGT: N/A</t>
  </si>
  <si>
    <t>Listening Total Raw Score</t>
  </si>
  <si>
    <t>Social Studies Content Standard Raw Score 2
ALT: Instructional Context 
OTELA: N/A
OAT: Economics, Government and Citizenship Rights and Responsibilities
OGT: Economics, Government and Citizenship Rights and Responsibilities</t>
  </si>
  <si>
    <t>Total raw score for Listening 
99v9 - implied decimal</t>
  </si>
  <si>
    <t>Science Content Standard Raw Score 3
ALT: Independence
OTELA: N/A
OAT: Earth and Space Sciences
OGT: Earth and Space Sciences</t>
  </si>
  <si>
    <t>Science Content Standard Raw Score 4
ALT: Settings and Interaction
OTELA: N/A
OAT: Science and Technology, Scientific Inquiry and Scientific Ways of Knowing (Scientific Process)
OGT: Science and Technology, Scientific Inquiry and Scientific Ways of Knowing (Scientific Process)</t>
  </si>
  <si>
    <t>P=Public</t>
  </si>
  <si>
    <t>22=Kindergarten, 01, 02, …. 13=Adult HS, 14=OGT Only, blank=missing/unknown</t>
  </si>
  <si>
    <t>5=White</t>
  </si>
  <si>
    <t>K2 (K through 2), 35 (3 through 5), 68 (6 through 8), 92 (9 through 12)</t>
  </si>
  <si>
    <t>Total raw score for Reading
99v9 - implied decimal</t>
  </si>
  <si>
    <t>Total raw score for Math
99v9 - implied decimal</t>
  </si>
  <si>
    <t>Total raw score for Social Studies
99v9 - implied decimal</t>
  </si>
  <si>
    <t>Total raw score for Science
99v9 - implied decimal</t>
  </si>
  <si>
    <t>Writing Total Raw Score</t>
  </si>
  <si>
    <t>Reading Content Standard Raw Score 2
ALT: Instructional Context 
OTELA: N/A
OAT: Reading Process: Concepts of Print, Comprehension Strategies and Self-Monitoring Strategies
OGT: Reading Process: Concepts of Print, Comprehension Strategies and Self-Monitoring Strategies</t>
  </si>
  <si>
    <t xml:space="preserve">
Social Studies Content Standard Raw Score 2
ALT: Instructional Context 
OTELA: N/A
OAT: Economics, Government and Citizenship Rights and Responsibilities
OGT: Economics, Government and Citizenship Rights and Responsibilities</t>
  </si>
  <si>
    <t>blank=DNA/TOG/DNS/Missing</t>
  </si>
  <si>
    <t>Districts may populate this field with the writing course code.</t>
  </si>
  <si>
    <t>Alpha/numeric
Students in JVSD need their home district reported (OGT only)</t>
  </si>
  <si>
    <t>Six-digit District IRN; numeric 0-9
Students in JVSD need their home district reported (OGT only)</t>
  </si>
  <si>
    <t>DNA=Did Not Attempt</t>
  </si>
  <si>
    <t>TOG=Tested Out of Grade</t>
  </si>
  <si>
    <t>Science Content Standard Raw Score 2
ALT: Instructional Context 
OTELA: N/A
OAT: Life Sciences
OGT: Life Sciences</t>
  </si>
  <si>
    <t>District Type (OGT specific)</t>
  </si>
  <si>
    <t>Accelerated testing - Math</t>
  </si>
  <si>
    <t>Accelerated testing -Social Studies</t>
  </si>
  <si>
    <t>Blank=Unknown</t>
  </si>
  <si>
    <t>Blank=Not Indicated</t>
  </si>
  <si>
    <t>(OAT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t>
  </si>
  <si>
    <t>(OAT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t>
  </si>
  <si>
    <t>Numeric - 99.9 - implied decimal
Ex:  045=4.5; 040=4.0</t>
  </si>
  <si>
    <t>Writing Content Standard Raw score 4
ALT: Settings and Interactions
OTELA: N/A
OAT: N/A
OGT: N/A</t>
  </si>
  <si>
    <t>Start</t>
  </si>
  <si>
    <t>End</t>
  </si>
  <si>
    <t>Length</t>
  </si>
  <si>
    <t>Description</t>
  </si>
  <si>
    <t>Type</t>
  </si>
  <si>
    <t>STUDENT-NAME-LAST</t>
  </si>
  <si>
    <t>alpha or blank</t>
  </si>
  <si>
    <t>STUDENT-NAME-FIRST</t>
  </si>
  <si>
    <t>STUDENT-NAME-MI</t>
  </si>
  <si>
    <t>District Student ID (DSID)</t>
  </si>
  <si>
    <t>alphanumeric or blank</t>
  </si>
  <si>
    <t>Exam Grade</t>
  </si>
  <si>
    <t>alphanumeric</t>
  </si>
  <si>
    <t>GR</t>
  </si>
  <si>
    <t>Assessment Type</t>
  </si>
  <si>
    <t>alpha</t>
  </si>
  <si>
    <t>A</t>
  </si>
  <si>
    <t>OAT</t>
  </si>
  <si>
    <t>OGT</t>
  </si>
  <si>
    <t>E</t>
  </si>
  <si>
    <t>OTELA</t>
  </si>
  <si>
    <t>filler</t>
  </si>
  <si>
    <t>Birth Month</t>
  </si>
  <si>
    <t>numeric or blank</t>
  </si>
  <si>
    <t>Birth Day</t>
  </si>
  <si>
    <t>Birth Year</t>
  </si>
  <si>
    <t>CCYY format</t>
  </si>
  <si>
    <t xml:space="preserve">Enrolled Grade </t>
  </si>
  <si>
    <t>Gender</t>
  </si>
  <si>
    <t>Ethnicity</t>
  </si>
  <si>
    <t>03, 04, 05, 06, 07, 08</t>
  </si>
  <si>
    <t>R</t>
  </si>
  <si>
    <t>F=Female</t>
  </si>
  <si>
    <t>M=Male</t>
  </si>
  <si>
    <t>blank=unknown</t>
  </si>
  <si>
    <t>1=American Indian</t>
  </si>
  <si>
    <t>2=Asian/Pacific Islander</t>
  </si>
  <si>
    <t>3=Black/African American</t>
  </si>
  <si>
    <t>4=Hispanic</t>
  </si>
  <si>
    <t>6=Multi-Racial</t>
  </si>
  <si>
    <t>7=Other</t>
  </si>
  <si>
    <t>Attending District Name</t>
  </si>
  <si>
    <t>Attending District IRN</t>
  </si>
  <si>
    <t>numeric</t>
  </si>
  <si>
    <t>Attending School Name</t>
  </si>
  <si>
    <t>Attending School IRN</t>
  </si>
  <si>
    <t>Test Month</t>
  </si>
  <si>
    <t>Test Day</t>
  </si>
  <si>
    <t>Test Year</t>
  </si>
  <si>
    <t>Homeroom ID</t>
  </si>
  <si>
    <t>Migrant Student</t>
  </si>
  <si>
    <t>IEP-Writing</t>
  </si>
  <si>
    <t>IEP-Reading</t>
  </si>
  <si>
    <t>IEP-Mathematics
(Listening for OTELA/ELDA)</t>
  </si>
  <si>
    <t>IEP-Social Studies
(Speaking for OTELA/ELDA)</t>
  </si>
  <si>
    <t>IEP-Science</t>
  </si>
  <si>
    <t xml:space="preserve">LEP Identified </t>
  </si>
  <si>
    <t>Eng. Limited Identified</t>
  </si>
  <si>
    <t>Writing Performance Level</t>
  </si>
  <si>
    <t>Writing Scale Score</t>
  </si>
  <si>
    <t>Range 000-999</t>
  </si>
  <si>
    <t>Condition - Prompt 1</t>
  </si>
  <si>
    <t>Condition - Prompt 2</t>
  </si>
  <si>
    <t xml:space="preserve">
Writing Content Standard Raw Score 1
ALT: Performance
OTELA: N/A
OAT: Writing Applications
OGT: Writing Applications</t>
  </si>
  <si>
    <t>Indicator 1</t>
  </si>
  <si>
    <t>Writing Content Standard Raw Score 2
ALT: Instructional Context 
OTELA: N/A
OAT: Writing Conventions
OGT: Writing Conventions</t>
  </si>
  <si>
    <t>Indicator 2</t>
  </si>
  <si>
    <t>Writing Content Standard Raw Score 3
ALT: Independence 
OTELA: N/A
OAT:Writing Processes
OGT:Writing Processes</t>
  </si>
  <si>
    <t>Indicator 3</t>
  </si>
  <si>
    <t>Indicator 4</t>
  </si>
  <si>
    <t>Reading Performance Level</t>
  </si>
  <si>
    <t>Reading Scale Score</t>
  </si>
  <si>
    <t>Reading Content Standard Raw Score 1
ALT: Performance 
OTELA: N/A
OAT: Acquisition of Vocabulary
OGT: Acquisition of Vocabulary</t>
  </si>
  <si>
    <t>Reading Content Standard Raw Score 3
ALT: Independence 
OTELA: N/A
OAT: Reading Applications: Informational, Technical and Persuasive Text
OGT: Reading Applications: Informational, Technical and Persuasive Text</t>
  </si>
  <si>
    <t xml:space="preserve">
Reading Content Standard Raw Score 4
ALT: Settings and Interaction
OTELA: N/A
OAT: Reading Applications: Literary Text
OGT: Reading Applications: Literary Text</t>
  </si>
  <si>
    <t xml:space="preserve">Reading Content Standard Raw Score 5 
ALT: N/A
OTELA: N/A
OAT: N/A
OGT:  N/A   </t>
  </si>
  <si>
    <t>Indicator 5</t>
  </si>
  <si>
    <t>Reading Total Raw Score</t>
  </si>
  <si>
    <t>Math Performance Level (Listening Performance Level for OTELA/ELDA)</t>
  </si>
  <si>
    <t>Math Scale Score (Listening Scale Scores for OTELA/ELDA)</t>
  </si>
  <si>
    <t xml:space="preserve">
Math Content Standard Raw Score 1
ALT: Performance 
OTELA: N/A
OAT: Measurement
OGT: Measurement</t>
  </si>
  <si>
    <t>Math Content Standard Raw Score 2
ALT: Instructional Context 
OTELA: N/A
OAT: Number, Number Sense and Operations
OGT: Number, Number Sense and Operations</t>
  </si>
  <si>
    <t xml:space="preserve">
Math Content Standard Raw Score 3
ALT: Independence
OTELA: N/A
OAT: Patterns, Functions, and Algebra
OGT: Patterns, Functions, and Algebra</t>
  </si>
  <si>
    <t xml:space="preserve">
Math Content Standard Raw Score 4
ALT: Settings and Interaction
OTELA: N/A
OAT: Data Analysis and Probability
OGT: Data Analysis and Probability</t>
  </si>
  <si>
    <t xml:space="preserve">
Math Content Standard Raw Score 5  
ALT: N/A
OTELA: N/A
OAT: Geometry and Spatial Sense
OGT: Geometry and Spatial Sense    </t>
  </si>
  <si>
    <t>Math Total Raw Score (Listening Total Raw Score for OTELA/ELDA)</t>
  </si>
  <si>
    <t>Social Studies Performance Level (Speaking Performance Level for OTELA/ELDA)</t>
  </si>
  <si>
    <t>Social Studies Scale Score (Speaking Scale Score for OTELA/ELDA)</t>
  </si>
  <si>
    <t xml:space="preserve">
Social Studies Content Standard Raw Score 1
ALT: Performance 
OTELA: N/A
OAT: History
OGT: History</t>
  </si>
  <si>
    <t>Social Studies Content Standard 3
ALT: Independence 
OTELA: N/A
OAT: Social Studies Skills and Methods
OGT: Social Studies Skills and Methods</t>
  </si>
  <si>
    <t>Social Studies Content Standard Raw Score 4
ALT: Settings and Interaction 
OTELA: N/A
OAT: People in Societies and Geography
OGT: People in Societies and Geography</t>
  </si>
  <si>
    <t xml:space="preserve">Social Studies Content Standard Raw Score 5
ALT: N/A
OTELA: N/A
OAT: N/A
OGT: N/A   </t>
  </si>
  <si>
    <t>Science Performance Level (Comprehension Performance Level OTELA/ELDA)</t>
  </si>
  <si>
    <t>Science Scale Score (Comprehension Scale Score for OTELA/ELDA)</t>
  </si>
  <si>
    <t>Science Content Standard Raw score 1
ALT: Performance
OTELA: N/A
OAT: Physical Sciences
OGT: Physical Sciences</t>
  </si>
  <si>
    <t>Science Content Standard Raw Score 5
ALT:  N/A
OTELA: N/A
OAT: N/A
OGT: N/A</t>
  </si>
  <si>
    <t>OTELA/ELDA Composite Performance Level</t>
  </si>
  <si>
    <t>OTElA/ELDA Composite Scale Score</t>
  </si>
  <si>
    <t>SSID</t>
  </si>
  <si>
    <t>State Student Identification Number, start with two alpha, then 7 numberic.</t>
  </si>
  <si>
    <t>Writng Accommodation Indicator 
(accommodations for IEP and LEP, including special versions.)</t>
  </si>
  <si>
    <t>Reading Accommodation Indicator
(accommodations for IEP and LEP, including special versions.)</t>
  </si>
  <si>
    <t>Math Accommodation Indicator (Listening for OTELA/ELDA)
(accommodations for IEP and LEP, including special versions.)</t>
  </si>
  <si>
    <t>Social Studies Accommodation Indicator (Speaking for OTELA/ELDA)
(accommodations for IEP and LEP, including special versions.)</t>
  </si>
  <si>
    <t>Science Accommodation Indicator
(accommodations for IEP and LEP, including special versions.)</t>
  </si>
  <si>
    <t>Writing Class Name</t>
  </si>
  <si>
    <t>Writing class name or course name</t>
  </si>
  <si>
    <t>Writing Session Number</t>
  </si>
  <si>
    <t>Writing class session number or course session number</t>
  </si>
  <si>
    <t>Writing Teacher Name</t>
  </si>
  <si>
    <t>Writing teacher name (Last Name, First)</t>
  </si>
  <si>
    <t>Readting Class Name</t>
  </si>
  <si>
    <t>Reading class name or course name</t>
  </si>
  <si>
    <t>Reading Session Number</t>
  </si>
  <si>
    <t>Reading class session number or course session number</t>
  </si>
  <si>
    <t>Reading Teacher Name</t>
  </si>
  <si>
    <t>Reading teacher name (Last Name, First)</t>
  </si>
  <si>
    <t>Math Class Name</t>
  </si>
  <si>
    <t>Math Session Number</t>
  </si>
  <si>
    <t>Math class session number or course session number</t>
  </si>
  <si>
    <t>Math Teacher Name</t>
  </si>
  <si>
    <t>Math teacher name (Last Name, First)</t>
  </si>
  <si>
    <t>Social Studies Class Name</t>
  </si>
  <si>
    <t>Social Studies class name or course name</t>
  </si>
  <si>
    <t>Social Studies Session Number</t>
  </si>
  <si>
    <t>Social Studies class session number or course session number</t>
  </si>
  <si>
    <t>Social Studies Teacher Name</t>
  </si>
  <si>
    <t>Social Studies teacher name (Last Name, First)</t>
  </si>
  <si>
    <t>Science Class Name</t>
  </si>
  <si>
    <t>Science class name or course name</t>
  </si>
  <si>
    <t>Science Session Number</t>
  </si>
  <si>
    <t>Science class session number or course session number</t>
  </si>
  <si>
    <t>Science Teacher Name</t>
  </si>
  <si>
    <t>Science teacher name (Last Name, First)</t>
  </si>
  <si>
    <t>DAS</t>
  </si>
  <si>
    <t>Data Acquisition Site (Numeric of **)</t>
  </si>
  <si>
    <t>Home District IRN</t>
  </si>
  <si>
    <t>Home District Name</t>
  </si>
  <si>
    <t>School Entity Type</t>
  </si>
  <si>
    <t>County</t>
  </si>
  <si>
    <t>Accelerated testing -Writing</t>
  </si>
  <si>
    <t>Accelerated testing - Reading</t>
  </si>
  <si>
    <t>Accelerated testing - Science</t>
  </si>
  <si>
    <t>DNA -Writing</t>
  </si>
  <si>
    <t>DNA- Reading</t>
  </si>
  <si>
    <t>DNA - Science</t>
  </si>
  <si>
    <t>DNS-Writing</t>
  </si>
  <si>
    <t>DNS - Reading</t>
  </si>
  <si>
    <t>DNS- Science</t>
  </si>
  <si>
    <t>INV-Writing</t>
  </si>
  <si>
    <t>INV - Reading</t>
  </si>
  <si>
    <t>INV - Science</t>
  </si>
  <si>
    <t>TOG -Writing</t>
  </si>
  <si>
    <t>TOG- Reading</t>
  </si>
  <si>
    <t>TOG - Science</t>
  </si>
  <si>
    <t>Teacher Identification Number-Reading</t>
  </si>
  <si>
    <t>Teacher Identification Number-Writing</t>
  </si>
  <si>
    <t>Teacher Identification Number-Social Studies</t>
  </si>
  <si>
    <t>Teacher Identification Number-Science</t>
  </si>
  <si>
    <t>Course Code-Reading</t>
  </si>
  <si>
    <t>Course Code-Writing</t>
  </si>
  <si>
    <t>Course Code-Social Studies</t>
  </si>
  <si>
    <t>Course Code-Science</t>
  </si>
  <si>
    <t>MM</t>
  </si>
  <si>
    <t>DD</t>
  </si>
  <si>
    <t>11=Advanced</t>
  </si>
  <si>
    <t>12=Accelerated</t>
  </si>
  <si>
    <t>13=Proficient</t>
  </si>
  <si>
    <t>14=Basic</t>
  </si>
  <si>
    <t>15=Limited</t>
  </si>
  <si>
    <t>01=Level 1</t>
  </si>
  <si>
    <t>02=Level 2</t>
  </si>
  <si>
    <t>03=Level 3</t>
  </si>
  <si>
    <t>04=Level 4</t>
  </si>
  <si>
    <t>05=Level 5</t>
  </si>
  <si>
    <t>99=invalidated</t>
  </si>
  <si>
    <t>DNS=Do Not Score</t>
  </si>
  <si>
    <t>INV=Invalidated</t>
  </si>
  <si>
    <t>+=higher</t>
  </si>
  <si>
    <t>*=at</t>
  </si>
  <si>
    <t>-=lower than standard</t>
  </si>
  <si>
    <t>With implied decimal, all tests other than OGT will end with 0</t>
  </si>
  <si>
    <t>Y=Yes</t>
  </si>
  <si>
    <t>N=No</t>
  </si>
  <si>
    <t>Math class name or course name</t>
  </si>
  <si>
    <t>C=Community</t>
  </si>
  <si>
    <t>D=Diocese</t>
  </si>
  <si>
    <t>N=Non-Public</t>
  </si>
  <si>
    <t>O=ODE Special</t>
  </si>
  <si>
    <t>Y=Youth</t>
  </si>
  <si>
    <t>J=JVS</t>
  </si>
  <si>
    <t>F=Special Services Facilities</t>
  </si>
  <si>
    <t>S=Special Needs</t>
  </si>
  <si>
    <t>U=JVS-Community</t>
  </si>
  <si>
    <t>H=Home School</t>
  </si>
  <si>
    <t>P=Public District</t>
  </si>
  <si>
    <t>C=Community School District</t>
  </si>
  <si>
    <t>D=Diocese School District</t>
  </si>
  <si>
    <t>N=Non-Pub School District</t>
  </si>
  <si>
    <t>J=JVS School District</t>
  </si>
  <si>
    <t xml:space="preserve">Blank=Not indicated </t>
  </si>
  <si>
    <t>03, 04, 05, 06, 07, 08, GR</t>
  </si>
  <si>
    <t>CCYY Format</t>
  </si>
  <si>
    <t>01, 02,..., 12</t>
  </si>
  <si>
    <t>01, 02,..., 31</t>
  </si>
  <si>
    <t>Districts may provide teacher credential ID numbers so that teacher level results can be tracked across test administrations.</t>
  </si>
  <si>
    <t>alpha/numeric</t>
  </si>
  <si>
    <t>99=invalidated (INV)</t>
  </si>
  <si>
    <t>N/A</t>
  </si>
  <si>
    <t>Social Studies Total Raw Score  (Speaking Total Raw Score for OTELA/ELDA)</t>
  </si>
  <si>
    <t>blank=DNA/TOG/DNS//Missing</t>
  </si>
  <si>
    <t>(Not used)</t>
  </si>
  <si>
    <t>County Name</t>
  </si>
  <si>
    <t>Record Description</t>
  </si>
  <si>
    <t>e.g., SPR08OTELA</t>
  </si>
  <si>
    <t>e.g., SPR08OGT, SUM08OGT, FAL08OGT,</t>
  </si>
  <si>
    <t>e.g., SPR08OAT, FAL08OAT</t>
  </si>
  <si>
    <t>DNA - Math 
(Listening for OTELA)</t>
  </si>
  <si>
    <t>TOG - Math
(Listening for OTELA)</t>
  </si>
  <si>
    <t>DNS - Math
(Listening for OTELA)</t>
  </si>
  <si>
    <t>INV - Math
(Listening for OTELA)</t>
  </si>
  <si>
    <t>DNA-Social Studies
(Speaking for OTELA)</t>
  </si>
  <si>
    <t>TOG-Social Studies
(Speaking for OTELA)</t>
  </si>
  <si>
    <t>DNS -Social Studies
(Speaking for OTELA)</t>
  </si>
  <si>
    <t>INV -Social Studies
(Speaking for OTELA)</t>
  </si>
  <si>
    <t xml:space="preserve">Science Total Raw Score </t>
  </si>
  <si>
    <t>IEP-Speaking</t>
  </si>
  <si>
    <t>IEP-Listening</t>
  </si>
  <si>
    <t>Listening Performance Level</t>
  </si>
  <si>
    <t>Listening Scale Score</t>
  </si>
  <si>
    <t>Speaking Performance</t>
  </si>
  <si>
    <t>Speaking Scale Score</t>
  </si>
  <si>
    <t>Speaking Total Raw Score</t>
  </si>
  <si>
    <t>Comprehension Performance Level</t>
  </si>
  <si>
    <t>Comprehension Scale Score</t>
  </si>
  <si>
    <t>Listening for OTELA/ELDA
(accommodations for IEP and LEP, including special versions.)</t>
  </si>
  <si>
    <t>Speaking for OTELA/ELDA
(accommodations for IEP and LEP, including special versions.)</t>
  </si>
  <si>
    <t>Accelerated testing - Listening</t>
  </si>
  <si>
    <t>Accelerated testing -Speaking</t>
  </si>
  <si>
    <t>DNA - Listening</t>
  </si>
  <si>
    <t>DNA-Speaking</t>
  </si>
  <si>
    <t>TOG - Listening</t>
  </si>
  <si>
    <t>TOG-Speaking</t>
  </si>
  <si>
    <t>DNS - Listening</t>
  </si>
  <si>
    <t>DNS -Speaking</t>
  </si>
  <si>
    <t>INV - Listening</t>
  </si>
  <si>
    <t>INV -Speaking</t>
  </si>
  <si>
    <t>IEP-Mathematics</t>
  </si>
  <si>
    <t>IEP-Social Studies</t>
  </si>
  <si>
    <t>Writing Instructional Context Domain Score</t>
  </si>
  <si>
    <t>Writing Independence Domain Score</t>
  </si>
  <si>
    <t>Reading Performance Domain Score</t>
  </si>
  <si>
    <t>Reading Instructional Context Domain Score</t>
  </si>
  <si>
    <t xml:space="preserve">Math Performance Level </t>
  </si>
  <si>
    <t xml:space="preserve">Math Scale Score </t>
  </si>
  <si>
    <t>Reading Independence Domain Score</t>
  </si>
  <si>
    <t>Social Studies Independence Domain Score</t>
  </si>
  <si>
    <t xml:space="preserve">Social Studies Total Raw Score </t>
  </si>
  <si>
    <t>Science Performance Level</t>
  </si>
  <si>
    <t>Science Performance Domain Score</t>
  </si>
  <si>
    <t>Science Instructional Context Domain Score</t>
  </si>
  <si>
    <t>Science Independence
Domain Score</t>
  </si>
  <si>
    <t>Math Accommodation Indicator 
(accommodations for IEP and LEP, including special versions.)</t>
  </si>
  <si>
    <t>Social Studies Accommodation Indicator 
(accommodations for IEP and LEP, including special versions.)</t>
  </si>
  <si>
    <t>e.g, SPR08OATA, SPR08OGTA</t>
  </si>
  <si>
    <t>Teacher Identification Number-Math</t>
  </si>
  <si>
    <t>Course Code-Math</t>
  </si>
  <si>
    <t xml:space="preserve">Math Content Standard Raw Score 5  
ALT: N/A
OTELA: N/A
OAT: Geometry and Spatial Sense
OGT: Geometry and Spatial Sense    </t>
  </si>
  <si>
    <t>Science Content Standard Raw Score 5
ALT:  N/A
OTELA: N/A
OAT: N/A
OGT: N/A</t>
  </si>
  <si>
    <t>Writing Performance Domain Score</t>
  </si>
  <si>
    <t>Math Performance Domain Score</t>
  </si>
  <si>
    <t>Math Independence Domain Score</t>
  </si>
  <si>
    <t>Social Studies Performance Domain Score</t>
  </si>
  <si>
    <t>Social Studies Instructional Context Domain Score</t>
  </si>
  <si>
    <t>SPR09OTELA</t>
  </si>
  <si>
    <t>Science Content Standard Raw score 1
ALT: Performance
OTELA: Production Performance Level
OAT: Physical Sciences
OGT: Physical Sciences</t>
  </si>
  <si>
    <t>Added the production performance level here. The space has 3 digit, the performance level is two digits, so leave first digit blank (left ajusted.)</t>
  </si>
  <si>
    <t>Science Content Standard Raw Score 2
ALT: Instructional Context 
OTELA: Production Scaled Score
OAT: Life Sciences
OGT: Life Sciences</t>
  </si>
  <si>
    <t>Added production Scaled Score here.</t>
  </si>
  <si>
    <t>Production Performance Levels 01-05</t>
  </si>
  <si>
    <t>Production Scaled Scores 000-999</t>
  </si>
  <si>
    <t>AASWD</t>
  </si>
  <si>
    <t>OGTSWD: INV=Invalidated</t>
  </si>
  <si>
    <t>OGTSWD: Range 000-999</t>
  </si>
  <si>
    <t>OGTSWD: Same as OAT (OGTSWD R/W scores will be the same)</t>
  </si>
  <si>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t>
  </si>
  <si>
    <t>We try to maintain the basic structure of the existing layout with minimum revisions. It is a unified layout for OAA, OGT, AASWD, and OTELA. So the file contains multiple sheets. Pay special attention to the following:
1. For AASWD, starting with Spring 2013, scaled scores will be reported; raw scores will not be reported.</t>
  </si>
  <si>
    <t>OGTSWD: DNA=Did Not Attempt</t>
  </si>
  <si>
    <r>
      <t>alphanumeric</t>
    </r>
    <r>
      <rPr>
        <sz val="10"/>
        <color rgb="FFFF0000"/>
        <rFont val="Arial"/>
        <family val="2"/>
      </rPr>
      <t xml:space="preserve"> or blank</t>
    </r>
  </si>
  <si>
    <r>
      <t xml:space="preserve">alpha </t>
    </r>
    <r>
      <rPr>
        <sz val="10"/>
        <color rgb="FFFF0000"/>
        <rFont val="Arial"/>
        <family val="2"/>
      </rPr>
      <t>or blank</t>
    </r>
  </si>
  <si>
    <r>
      <t xml:space="preserve">alphanumeric </t>
    </r>
    <r>
      <rPr>
        <sz val="10"/>
        <color rgb="FFFF0000"/>
        <rFont val="Arial"/>
        <family val="2"/>
      </rPr>
      <t>or blank</t>
    </r>
  </si>
  <si>
    <r>
      <t xml:space="preserve">numeric </t>
    </r>
    <r>
      <rPr>
        <sz val="10"/>
        <color rgb="FFFF0000"/>
        <rFont val="Arial"/>
        <family val="2"/>
      </rPr>
      <t>or blank</t>
    </r>
  </si>
  <si>
    <r>
      <t>alpha</t>
    </r>
    <r>
      <rPr>
        <sz val="10"/>
        <color rgb="FFFF0000"/>
        <rFont val="Arial"/>
        <family val="2"/>
      </rPr>
      <t xml:space="preserve"> or blank</t>
    </r>
  </si>
  <si>
    <r>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
3. On the total scaled score columns, besides the current codes of INV, DNA, we add TOG (test out of grade other than accelerated testing) and DNS (answer document was marked as "Do Not Score".</t>
    </r>
    <r>
      <rPr>
        <strike/>
        <sz val="12"/>
        <rFont val="Arial"/>
        <family val="2"/>
      </rPr>
      <t xml:space="preserve"> </t>
    </r>
    <r>
      <rPr>
        <strike/>
        <sz val="12"/>
        <rFont val="Arial"/>
        <family val="2"/>
      </rPr>
      <t xml:space="preserve">
</t>
    </r>
    <r>
      <rPr>
        <sz val="12"/>
        <color rgb="FFFF0000"/>
        <rFont val="Arial"/>
        <family val="2"/>
      </rPr>
      <t>4.</t>
    </r>
    <r>
      <rPr>
        <sz val="12"/>
        <rFont val="Arial"/>
        <family val="2"/>
      </rPr>
      <t xml:space="preserve"> </t>
    </r>
    <r>
      <rPr>
        <sz val="12"/>
        <color rgb="FFFF0000"/>
        <rFont val="Arial"/>
        <family val="2"/>
      </rPr>
      <t>For AASWD, starting with Spring 2013, scaled scores will be reported; raw scores will not be reported.</t>
    </r>
  </si>
  <si>
    <t>Not reported for SWD</t>
  </si>
  <si>
    <r>
      <rPr>
        <sz val="10"/>
        <color rgb="FFFF0000"/>
        <rFont val="Arial"/>
        <family val="2"/>
      </rPr>
      <t>Not reported for SWD</t>
    </r>
    <r>
      <rPr>
        <sz val="10"/>
        <rFont val="Arial"/>
        <family val="2"/>
      </rPr>
      <t/>
    </r>
  </si>
  <si>
    <r>
      <rPr>
        <sz val="10"/>
        <color rgb="FFFF0000"/>
        <rFont val="Arial"/>
        <family val="2"/>
      </rPr>
      <t>Not reported for SWD</t>
    </r>
    <r>
      <rPr>
        <strike/>
        <sz val="10"/>
        <color rgb="FFFF0000"/>
        <rFont val="Arial"/>
        <family val="2"/>
      </rPr>
      <t xml:space="preserve">
</t>
    </r>
  </si>
  <si>
    <r>
      <t xml:space="preserve">
Writing Content Standard Raw Score 1
</t>
    </r>
    <r>
      <rPr>
        <sz val="10"/>
        <color rgb="FFFF0000"/>
        <rFont val="Arial"/>
        <family val="2"/>
      </rPr>
      <t xml:space="preserve">ALT: N/A </t>
    </r>
    <r>
      <rPr>
        <sz val="10"/>
        <rFont val="Arial"/>
        <family val="2"/>
      </rPr>
      <t xml:space="preserve">
OTELA: N/A
OAT: Writing Applications
OGT: Writing Applications</t>
    </r>
  </si>
  <si>
    <r>
      <t xml:space="preserve">Writing Content Standard Raw Score 2
</t>
    </r>
    <r>
      <rPr>
        <sz val="10"/>
        <color rgb="FFFF0000"/>
        <rFont val="Arial"/>
        <family val="2"/>
      </rPr>
      <t xml:space="preserve">ALT: N/A </t>
    </r>
    <r>
      <rPr>
        <sz val="10"/>
        <rFont val="Arial"/>
        <family val="2"/>
      </rPr>
      <t xml:space="preserve">
OTELA: N/A
OAT: Writing Conventions
OGT: Writing Conventions</t>
    </r>
  </si>
  <si>
    <r>
      <t xml:space="preserve">Writing Content Standard Raw Score 3
</t>
    </r>
    <r>
      <rPr>
        <sz val="10"/>
        <color rgb="FFFF0000"/>
        <rFont val="Arial"/>
        <family val="2"/>
      </rPr>
      <t>ALT: N/A</t>
    </r>
    <r>
      <rPr>
        <sz val="10"/>
        <rFont val="Arial"/>
        <family val="2"/>
      </rPr>
      <t xml:space="preserve">
OTELA: N/A
OAT:Writing Processes
OGT:Writing Processes</t>
    </r>
  </si>
  <si>
    <r>
      <t xml:space="preserve">Writing Content Standard Raw score 4
</t>
    </r>
    <r>
      <rPr>
        <sz val="10"/>
        <color rgb="FFFF0000"/>
        <rFont val="Arial"/>
        <family val="2"/>
      </rPr>
      <t xml:space="preserve">ALT: N/A </t>
    </r>
    <r>
      <rPr>
        <sz val="10"/>
        <rFont val="Arial"/>
        <family val="2"/>
      </rPr>
      <t xml:space="preserve">
OTELA: N/A
OAT: N/A
OGT: N/A</t>
    </r>
  </si>
  <si>
    <r>
      <t xml:space="preserve">
Social Studies Content Standard Raw Score 1
</t>
    </r>
    <r>
      <rPr>
        <sz val="10"/>
        <color rgb="FFFF0000"/>
        <rFont val="Arial"/>
        <family val="2"/>
      </rPr>
      <t xml:space="preserve">ALT: N/A  </t>
    </r>
    <r>
      <rPr>
        <strike/>
        <sz val="10"/>
        <color rgb="FFFF0000"/>
        <rFont val="Arial"/>
        <family val="2"/>
      </rPr>
      <t xml:space="preserve"> </t>
    </r>
    <r>
      <rPr>
        <sz val="10"/>
        <rFont val="Arial"/>
        <family val="2"/>
      </rPr>
      <t xml:space="preserve">
OTELA: N/A
OAT: History
OGT: History</t>
    </r>
  </si>
  <si>
    <r>
      <t xml:space="preserve">
Social Studies Content Standard Raw Score 2
</t>
    </r>
    <r>
      <rPr>
        <sz val="10"/>
        <color rgb="FFFF0000"/>
        <rFont val="Arial"/>
        <family val="2"/>
      </rPr>
      <t xml:space="preserve">ALT: N/A  </t>
    </r>
    <r>
      <rPr>
        <strike/>
        <sz val="10"/>
        <color rgb="FFFF0000"/>
        <rFont val="Arial"/>
        <family val="2"/>
      </rPr>
      <t xml:space="preserve"> </t>
    </r>
    <r>
      <rPr>
        <sz val="10"/>
        <rFont val="Arial"/>
        <family val="2"/>
      </rPr>
      <t xml:space="preserve">
OTELA: N/A
OAT: Economics, Government and Citizenship Rights and Responsibilities
OGT: Economics, Government and Citizenship Rights and Responsibilities</t>
    </r>
  </si>
  <si>
    <r>
      <t xml:space="preserve">Social Studies Content Standard 3
</t>
    </r>
    <r>
      <rPr>
        <sz val="10"/>
        <color rgb="FFFF0000"/>
        <rFont val="Arial"/>
        <family val="2"/>
      </rPr>
      <t xml:space="preserve">ALT: N/A </t>
    </r>
    <r>
      <rPr>
        <strike/>
        <sz val="10"/>
        <color rgb="FFFF0000"/>
        <rFont val="Arial"/>
        <family val="2"/>
      </rPr>
      <t xml:space="preserve">  </t>
    </r>
    <r>
      <rPr>
        <sz val="10"/>
        <rFont val="Arial"/>
        <family val="2"/>
      </rPr>
      <t xml:space="preserve">
OTELA: N/A
OAT: Social Studies Skills and Methods
OGT: Social Studies Skills and Methods</t>
    </r>
  </si>
  <si>
    <r>
      <t xml:space="preserve">Social Studies Content Standard Raw Score 4
</t>
    </r>
    <r>
      <rPr>
        <sz val="10"/>
        <color rgb="FFFF0000"/>
        <rFont val="Arial"/>
        <family val="2"/>
      </rPr>
      <t xml:space="preserve">ALT: N/A  </t>
    </r>
    <r>
      <rPr>
        <sz val="10"/>
        <rFont val="Arial"/>
        <family val="2"/>
      </rPr>
      <t xml:space="preserve">
OTELA: N/A
OAT: People in Societies and Geography
OGT: People in Societies and Geography</t>
    </r>
  </si>
  <si>
    <r>
      <t xml:space="preserve">
Math Content Standard Raw Score 4
</t>
    </r>
    <r>
      <rPr>
        <sz val="10"/>
        <color rgb="FFFF0000"/>
        <rFont val="Arial"/>
        <family val="2"/>
      </rPr>
      <t xml:space="preserve">ALT: N/A </t>
    </r>
    <r>
      <rPr>
        <strike/>
        <sz val="10"/>
        <color rgb="FFFF0000"/>
        <rFont val="Arial"/>
        <family val="2"/>
      </rPr>
      <t xml:space="preserve"> </t>
    </r>
    <r>
      <rPr>
        <sz val="10"/>
        <rFont val="Arial"/>
        <family val="2"/>
      </rPr>
      <t xml:space="preserve">
OTELA: N/A
OAT: Data Analysis and Probability
OGT: Data Analysis and Probability</t>
    </r>
  </si>
  <si>
    <r>
      <t xml:space="preserve">
Math Content Standard Raw Score 3
</t>
    </r>
    <r>
      <rPr>
        <sz val="10"/>
        <color rgb="FFFF0000"/>
        <rFont val="Arial"/>
        <family val="2"/>
      </rPr>
      <t>ALT: N/A</t>
    </r>
    <r>
      <rPr>
        <strike/>
        <sz val="10"/>
        <color rgb="FFFF0000"/>
        <rFont val="Arial"/>
        <family val="2"/>
      </rPr>
      <t xml:space="preserve"> </t>
    </r>
    <r>
      <rPr>
        <sz val="10"/>
        <rFont val="Arial"/>
        <family val="2"/>
      </rPr>
      <t xml:space="preserve">
OTELA: N/A
OAT: Patterns, Functions, and Algebra
OGT: Patterns, Functions, and Algebra</t>
    </r>
  </si>
  <si>
    <r>
      <t xml:space="preserve">
Math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Measurement
OGT: Measurement</t>
    </r>
  </si>
  <si>
    <r>
      <t xml:space="preserve">Math Content Standard Raw Score 2
</t>
    </r>
    <r>
      <rPr>
        <sz val="10"/>
        <color rgb="FFFF0000"/>
        <rFont val="Arial"/>
        <family val="2"/>
      </rPr>
      <t>ALT: N/A</t>
    </r>
    <r>
      <rPr>
        <sz val="10"/>
        <rFont val="Arial"/>
        <family val="2"/>
      </rPr>
      <t xml:space="preserve">
OTELA: N/A
OAT: Number, Number Sense and Operations
OGT: Number, Number Sense and Operations</t>
    </r>
  </si>
  <si>
    <r>
      <t xml:space="preserve">
Reading Content Standard Raw Score 4
</t>
    </r>
    <r>
      <rPr>
        <sz val="10"/>
        <color rgb="FFFF0000"/>
        <rFont val="Arial"/>
        <family val="2"/>
      </rPr>
      <t>ALT: N/A</t>
    </r>
    <r>
      <rPr>
        <sz val="10"/>
        <rFont val="Arial"/>
        <family val="2"/>
      </rPr>
      <t xml:space="preserve">
OTELA: N/A
OAT: Reading Applications: Literary Text
OGT: Reading Applications: Literary Text</t>
    </r>
  </si>
  <si>
    <r>
      <t xml:space="preserve">Reading Content Standard Raw Score 3
</t>
    </r>
    <r>
      <rPr>
        <sz val="10"/>
        <color rgb="FFFF0000"/>
        <rFont val="Arial"/>
        <family val="2"/>
      </rPr>
      <t>ALT: N/A</t>
    </r>
    <r>
      <rPr>
        <sz val="10"/>
        <rFont val="Arial"/>
        <family val="2"/>
      </rPr>
      <t xml:space="preserve">
OTELA: N/A
OAT: Reading Applications: Informational, Technical and Persuasive Text
OGT: Reading Applications: Informational, Technical and Persuasive Text</t>
    </r>
  </si>
  <si>
    <r>
      <t xml:space="preserve">Reading Content Standard Raw Score 2
</t>
    </r>
    <r>
      <rPr>
        <sz val="10"/>
        <color rgb="FFFF0000"/>
        <rFont val="Arial"/>
        <family val="2"/>
      </rPr>
      <t xml:space="preserve">ALT: N/A </t>
    </r>
    <r>
      <rPr>
        <sz val="10"/>
        <rFont val="Arial"/>
        <family val="2"/>
      </rPr>
      <t xml:space="preserve">
OTELA: N/A
OAT: Reading Process: Concepts of Print, Comprehension Strategies and Self-Monitoring Strategies
OGT: Reading Process: Concepts of Print, Comprehension Strategies and Self-Monitoring Strategies</t>
    </r>
  </si>
  <si>
    <r>
      <t xml:space="preserve">Reading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Acquisition of Vocabulary
OGT: Acquisition of Vocabulary</t>
    </r>
  </si>
  <si>
    <r>
      <t xml:space="preserve">Science Content Standard Raw score 1
</t>
    </r>
    <r>
      <rPr>
        <sz val="10"/>
        <color rgb="FFFF0000"/>
        <rFont val="Arial"/>
        <family val="2"/>
      </rPr>
      <t xml:space="preserve">ALT: N/A </t>
    </r>
    <r>
      <rPr>
        <sz val="10"/>
        <rFont val="Arial"/>
        <family val="2"/>
      </rPr>
      <t xml:space="preserve">
OTELA: Production PL
OAT: Physical Sciences
OGT: Physical Sciences</t>
    </r>
  </si>
  <si>
    <r>
      <t xml:space="preserve">Science Content Standard Raw Score 2
</t>
    </r>
    <r>
      <rPr>
        <sz val="10"/>
        <color rgb="FFFF0000"/>
        <rFont val="Arial"/>
        <family val="2"/>
      </rPr>
      <t xml:space="preserve">ALT: N/A </t>
    </r>
    <r>
      <rPr>
        <sz val="10"/>
        <rFont val="Arial"/>
        <family val="2"/>
      </rPr>
      <t xml:space="preserve">
OTELA: Production Scaled Score
OAT: Life Sciences
OGT: Life Sciences</t>
    </r>
  </si>
  <si>
    <r>
      <t xml:space="preserve">Science Content Standard Raw Score 3
</t>
    </r>
    <r>
      <rPr>
        <sz val="10"/>
        <color rgb="FFFF0000"/>
        <rFont val="Arial"/>
        <family val="2"/>
      </rPr>
      <t xml:space="preserve">ALT: N/A </t>
    </r>
    <r>
      <rPr>
        <sz val="10"/>
        <rFont val="Arial"/>
        <family val="2"/>
      </rPr>
      <t xml:space="preserve">
OTELA: N/A
OAT: Earth and Space Sciences
OGT: Earth and Space Sciences</t>
    </r>
  </si>
  <si>
    <r>
      <t xml:space="preserve">Science Content Standard Raw Score 4
</t>
    </r>
    <r>
      <rPr>
        <sz val="10"/>
        <color rgb="FFFF0000"/>
        <rFont val="Arial"/>
        <family val="2"/>
      </rPr>
      <t xml:space="preserve">ALT: N/A </t>
    </r>
    <r>
      <rPr>
        <sz val="10"/>
        <rFont val="Arial"/>
        <family val="2"/>
      </rPr>
      <t xml:space="preserve">
OTELA: N/A
OAT: Science and Technology, Scientific Inquiry and Scientific Ways of Knowing (Scientific Process)
OGT: Science and Technology, Scientific Inquiry and Scientific Ways of Knowing (Scientific Process)</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</si>
</sst>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b/>
      <sz val="10"/>
      <name val="Arial"/>
      <family val="2"/>
    </font>
    <font>
      <sz val="10"/>
      <name val="Arial"/>
      <family val="2"/>
    </font>
    <font>
      <sz val="8"/>
      <name val="Arial"/>
      <family val="2"/>
    </font>
    <font>
      <sz val="9"/>
      <name val="Arial"/>
      <family val="2"/>
    </font>
    <font>
      <sz val="10"/>
      <color indexed="22"/>
      <name val="Arial"/>
      <family val="2"/>
    </font>
    <font>
      <sz val="12"/>
      <name val="Arial"/>
      <family val="2"/>
    </font>
    <font>
      <sz val="10"/>
      <color rgb="FFFF0000"/>
      <name val="Arial"/>
      <family val="2"/>
    </font>
    <font>
      <strike/>
      <sz val="12"/>
      <name val="Arial"/>
      <family val="2"/>
    </font>
    <font>
      <sz val="12"/>
      <color rgb="FFFF0000"/>
      <name val="Arial"/>
      <family val="2"/>
    </font>
    <font>
      <strike/>
      <sz val="10"/>
      <color rgb="FFFF0000"/>
      <name val="Arial"/>
      <family val="2"/>
    </font>
  </fonts>
  <fills count="7">
    <fill>
      <patternFill patternType="none"/>
    </fill>
    <fill>
      <patternFill patternType="gray125"/>
    </fill>
    <fill>
      <patternFill patternType="solid">
        <fgColor indexed="11"/>
        <bgColor indexed="64"/>
      </patternFill>
    </fill>
    <fill>
      <patternFill patternType="solid">
        <fgColor indexed="22"/>
        <bgColor indexed="64"/>
      </patternFill>
    </fill>
    <fill>
      <patternFill patternType="solid">
        <fgColor indexed="41"/>
        <bgColor indexed="64"/>
      </patternFill>
    </fill>
    <fill>
      <patternFill patternType="solid">
        <fgColor rgb="FFFF0000"/>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s>
  <cellStyleXfs count="2">
    <xf numFmtId="0" fontId="0" fillId="0" borderId="0"/>
    <xf numFmtId="0" fontId="2" fillId="0" borderId="0"/>
  </cellStyleXfs>
  <cellXfs count="670">
    <xf numFmtId="0" fontId="0" fillId="0" borderId="0" xfId="0"/>
    <xf numFmtId="0" fontId="0" fillId="0" borderId="0" xfId="0" applyAlignment="1">
      <alignment wrapText="1"/>
    </xf>
    <xf numFmtId="0" fontId="2" fillId="0" borderId="1" xfId="0" applyFont="1" applyFill="1" applyBorder="1" applyAlignment="1"/>
    <xf numFmtId="0" fontId="2" fillId="0" borderId="1" xfId="0" applyFont="1" applyFill="1" applyBorder="1" applyAlignment="1">
      <alignment wrapText="1"/>
    </xf>
    <xf numFmtId="49" fontId="2" fillId="0" borderId="1" xfId="0" applyNumberFormat="1" applyFont="1" applyFill="1" applyBorder="1" applyAlignment="1">
      <alignment wrapText="1"/>
    </xf>
    <xf numFmtId="0" fontId="4" fillId="2" borderId="2" xfId="0" applyFont="1" applyFill="1" applyBorder="1" applyAlignment="1">
      <alignment vertical="top"/>
    </xf>
    <xf numFmtId="0" fontId="4" fillId="2" borderId="3" xfId="0" applyFont="1" applyFill="1" applyBorder="1" applyAlignment="1">
      <alignment vertical="top"/>
    </xf>
    <xf numFmtId="0" fontId="4" fillId="2" borderId="1" xfId="0" applyFont="1" applyFill="1" applyBorder="1" applyAlignment="1">
      <alignment vertical="top"/>
    </xf>
    <xf numFmtId="0" fontId="4" fillId="2" borderId="4" xfId="0" applyFont="1" applyFill="1" applyBorder="1" applyAlignment="1">
      <alignment vertical="top"/>
    </xf>
    <xf numFmtId="0" fontId="0" fillId="2" borderId="5" xfId="0" applyFill="1" applyBorder="1" applyAlignment="1">
      <alignment horizontal="right"/>
    </xf>
    <xf numFmtId="0" fontId="0" fillId="2" borderId="2" xfId="0" applyFill="1" applyBorder="1" applyAlignment="1">
      <alignment horizontal="right"/>
    </xf>
    <xf numFmtId="0" fontId="4" fillId="2" borderId="2" xfId="0" applyFont="1" applyFill="1" applyBorder="1" applyAlignment="1">
      <alignment horizontal="right" vertical="top"/>
    </xf>
    <xf numFmtId="0" fontId="4" fillId="2" borderId="2" xfId="0" applyFont="1" applyFill="1" applyBorder="1" applyAlignment="1">
      <alignment vertical="top" wrapText="1"/>
    </xf>
    <xf numFmtId="0" fontId="2" fillId="2" borderId="1" xfId="0" applyFont="1" applyFill="1" applyBorder="1" applyAlignment="1">
      <alignment horizontal="right"/>
    </xf>
    <xf numFmtId="0" fontId="4" fillId="2" borderId="1" xfId="0" applyFont="1" applyFill="1" applyBorder="1" applyAlignment="1">
      <alignment horizontal="right" vertical="top"/>
    </xf>
    <xf numFmtId="0" fontId="0" fillId="0" borderId="0" xfId="0" applyBorder="1" applyAlignment="1">
      <alignment wrapText="1"/>
    </xf>
    <xf numFmtId="0" fontId="2" fillId="0" borderId="1" xfId="0" applyFont="1" applyFill="1" applyBorder="1" applyAlignment="1">
      <alignment horizontal="left" vertical="top"/>
    </xf>
    <xf numFmtId="0" fontId="2" fillId="0" borderId="1" xfId="0" applyFont="1" applyFill="1" applyBorder="1" applyAlignment="1">
      <alignment horizontal="right"/>
    </xf>
    <xf numFmtId="0" fontId="2" fillId="0" borderId="6" xfId="0" applyFont="1" applyFill="1" applyBorder="1" applyAlignment="1">
      <alignment horizontal="right"/>
    </xf>
    <xf numFmtId="0" fontId="2" fillId="0" borderId="6" xfId="0" applyFont="1" applyFill="1" applyBorder="1" applyAlignment="1">
      <alignment horizontal="left" vertical="top"/>
    </xf>
    <xf numFmtId="0" fontId="2" fillId="0" borderId="5" xfId="0" applyFont="1" applyFill="1" applyBorder="1" applyAlignment="1">
      <alignment horizontal="right"/>
    </xf>
    <xf numFmtId="0" fontId="2" fillId="0" borderId="2" xfId="0" applyFont="1" applyFill="1" applyBorder="1" applyAlignment="1">
      <alignment horizontal="right"/>
    </xf>
    <xf numFmtId="0" fontId="2" fillId="0" borderId="2" xfId="0" applyFont="1" applyFill="1" applyBorder="1" applyAlignment="1">
      <alignment horizontal="left"/>
    </xf>
    <xf numFmtId="49" fontId="2" fillId="0" borderId="2" xfId="0" applyNumberFormat="1" applyFont="1" applyFill="1" applyBorder="1" applyAlignment="1">
      <alignment horizontal="left" wrapText="1"/>
    </xf>
    <xf numFmtId="0" fontId="2" fillId="0" borderId="2" xfId="0" applyFont="1" applyFill="1" applyBorder="1" applyAlignment="1">
      <alignment horizontal="left" wrapText="1"/>
    </xf>
    <xf numFmtId="0" fontId="1" fillId="0" borderId="2" xfId="0" applyFont="1" applyFill="1" applyBorder="1" applyAlignment="1">
      <alignment wrapText="1"/>
    </xf>
    <xf numFmtId="0" fontId="1" fillId="0" borderId="7" xfId="0" applyFont="1" applyFill="1" applyBorder="1" applyAlignment="1">
      <alignment wrapText="1"/>
    </xf>
    <xf numFmtId="0" fontId="2" fillId="0" borderId="6" xfId="0" applyFont="1" applyFill="1" applyBorder="1" applyAlignment="1">
      <alignment wrapText="1"/>
    </xf>
    <xf numFmtId="0" fontId="2" fillId="0" borderId="8" xfId="0" applyFont="1" applyFill="1" applyBorder="1" applyAlignment="1">
      <alignment horizontal="right"/>
    </xf>
    <xf numFmtId="0" fontId="2" fillId="0" borderId="3" xfId="0" applyFont="1" applyFill="1" applyBorder="1" applyAlignment="1">
      <alignment horizontal="right"/>
    </xf>
    <xf numFmtId="0" fontId="2" fillId="0" borderId="9" xfId="0" applyFont="1" applyFill="1" applyBorder="1" applyAlignment="1">
      <alignment horizontal="right"/>
    </xf>
    <xf numFmtId="0" fontId="2" fillId="0" borderId="10" xfId="0" applyFont="1" applyFill="1" applyBorder="1" applyAlignment="1">
      <alignment horizontal="right"/>
    </xf>
    <xf numFmtId="0" fontId="2" fillId="0" borderId="10" xfId="0" applyFont="1" applyFill="1" applyBorder="1" applyAlignment="1">
      <alignment horizontal="left" vertical="top"/>
    </xf>
    <xf numFmtId="0" fontId="2" fillId="0" borderId="11" xfId="0" applyFont="1" applyFill="1" applyBorder="1" applyAlignment="1">
      <alignment horizontal="right"/>
    </xf>
    <xf numFmtId="0" fontId="2" fillId="0" borderId="12" xfId="0" applyFont="1" applyFill="1" applyBorder="1" applyAlignment="1">
      <alignment horizontal="right"/>
    </xf>
    <xf numFmtId="0" fontId="2" fillId="0" borderId="12" xfId="0" applyFont="1" applyFill="1" applyBorder="1" applyAlignment="1">
      <alignment horizontal="left" vertical="top"/>
    </xf>
    <xf numFmtId="0" fontId="1" fillId="0" borderId="12" xfId="0" applyFont="1" applyFill="1" applyBorder="1" applyAlignment="1">
      <alignment wrapText="1"/>
    </xf>
    <xf numFmtId="0" fontId="1" fillId="0" borderId="13" xfId="0" applyFont="1" applyFill="1" applyBorder="1" applyAlignment="1">
      <alignment wrapText="1"/>
    </xf>
    <xf numFmtId="0" fontId="2" fillId="0" borderId="2" xfId="0" applyFont="1" applyFill="1" applyBorder="1" applyAlignment="1">
      <alignment horizontal="left" vertical="top"/>
    </xf>
    <xf numFmtId="0" fontId="2" fillId="0" borderId="2" xfId="0" applyFont="1" applyFill="1" applyBorder="1" applyAlignment="1">
      <alignment vertical="top" wrapText="1"/>
    </xf>
    <xf numFmtId="0" fontId="2" fillId="0" borderId="2" xfId="0" applyFont="1" applyFill="1" applyBorder="1" applyAlignment="1">
      <alignment wrapText="1"/>
    </xf>
    <xf numFmtId="0" fontId="2" fillId="0" borderId="2" xfId="0" applyFont="1" applyFill="1" applyBorder="1" applyAlignment="1">
      <alignment vertical="top"/>
    </xf>
    <xf numFmtId="0" fontId="2" fillId="3" borderId="2" xfId="0" applyFont="1" applyFill="1" applyBorder="1" applyAlignment="1">
      <alignment horizontal="right"/>
    </xf>
    <xf numFmtId="0" fontId="2" fillId="3" borderId="2" xfId="0" applyFont="1" applyFill="1" applyBorder="1" applyAlignment="1">
      <alignment vertical="top"/>
    </xf>
    <xf numFmtId="0" fontId="2" fillId="3" borderId="2" xfId="0" applyFont="1" applyFill="1" applyBorder="1" applyAlignment="1">
      <alignment wrapText="1"/>
    </xf>
    <xf numFmtId="0" fontId="2" fillId="0" borderId="7" xfId="0" applyFont="1" applyFill="1" applyBorder="1" applyAlignment="1">
      <alignment wrapText="1"/>
    </xf>
    <xf numFmtId="0" fontId="2" fillId="0" borderId="6" xfId="0" applyFont="1" applyFill="1" applyBorder="1" applyAlignment="1"/>
    <xf numFmtId="49" fontId="2" fillId="0" borderId="6" xfId="0" applyNumberFormat="1" applyFont="1" applyFill="1" applyBorder="1" applyAlignment="1">
      <alignment wrapText="1"/>
    </xf>
    <xf numFmtId="0" fontId="2" fillId="0" borderId="2" xfId="0" applyFont="1" applyFill="1" applyBorder="1" applyAlignment="1"/>
    <xf numFmtId="49" fontId="2" fillId="0" borderId="2" xfId="0" applyNumberFormat="1" applyFont="1" applyFill="1" applyBorder="1" applyAlignment="1">
      <alignment wrapText="1"/>
    </xf>
    <xf numFmtId="0" fontId="2" fillId="0" borderId="10" xfId="0" applyFont="1" applyFill="1" applyBorder="1" applyAlignment="1"/>
    <xf numFmtId="49" fontId="2" fillId="0" borderId="10" xfId="0" applyNumberFormat="1" applyFont="1" applyFill="1" applyBorder="1" applyAlignment="1">
      <alignment wrapText="1"/>
    </xf>
    <xf numFmtId="0" fontId="2" fillId="0" borderId="10" xfId="0" applyFont="1" applyFill="1" applyBorder="1" applyAlignment="1">
      <alignment wrapText="1"/>
    </xf>
    <xf numFmtId="0" fontId="2" fillId="3" borderId="6" xfId="0" applyFont="1" applyFill="1" applyBorder="1" applyAlignment="1">
      <alignment horizontal="right"/>
    </xf>
    <xf numFmtId="0" fontId="2" fillId="3" borderId="6" xfId="0" applyFont="1" applyFill="1" applyBorder="1" applyAlignment="1"/>
    <xf numFmtId="49" fontId="2" fillId="3" borderId="6" xfId="0" applyNumberFormat="1"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0" borderId="14" xfId="0" applyFont="1" applyFill="1" applyBorder="1" applyAlignment="1">
      <alignment wrapText="1"/>
    </xf>
    <xf numFmtId="0" fontId="2" fillId="0" borderId="15" xfId="0" applyFont="1" applyFill="1" applyBorder="1" applyAlignment="1">
      <alignment wrapText="1"/>
    </xf>
    <xf numFmtId="0" fontId="2" fillId="0" borderId="16" xfId="0" applyFont="1" applyFill="1" applyBorder="1" applyAlignment="1">
      <alignment wrapText="1"/>
    </xf>
    <xf numFmtId="0" fontId="2" fillId="3" borderId="14" xfId="0" applyFont="1" applyFill="1" applyBorder="1" applyAlignment="1">
      <alignment wrapText="1"/>
    </xf>
    <xf numFmtId="0" fontId="0" fillId="2" borderId="10" xfId="0" applyFill="1" applyBorder="1" applyAlignment="1">
      <alignment horizontal="right"/>
    </xf>
    <xf numFmtId="0" fontId="0" fillId="2" borderId="17" xfId="0" applyFill="1" applyBorder="1" applyAlignment="1">
      <alignment horizontal="right"/>
    </xf>
    <xf numFmtId="0" fontId="4" fillId="2" borderId="17" xfId="0" applyFont="1" applyFill="1" applyBorder="1" applyAlignment="1">
      <alignment horizontal="right" vertical="top"/>
    </xf>
    <xf numFmtId="0" fontId="4" fillId="2" borderId="4" xfId="0" applyFont="1" applyFill="1" applyBorder="1" applyAlignment="1">
      <alignment horizontal="right" vertical="top"/>
    </xf>
    <xf numFmtId="0" fontId="4" fillId="2" borderId="4" xfId="0" applyFont="1" applyFill="1" applyBorder="1" applyAlignment="1">
      <alignment vertical="top" wrapText="1"/>
    </xf>
    <xf numFmtId="0" fontId="4" fillId="2" borderId="12" xfId="0" applyFont="1" applyFill="1" applyBorder="1" applyAlignment="1">
      <alignment horizontal="right" vertical="top"/>
    </xf>
    <xf numFmtId="0" fontId="4" fillId="2" borderId="12" xfId="0" applyFont="1" applyFill="1" applyBorder="1" applyAlignment="1">
      <alignment vertical="top" wrapText="1"/>
    </xf>
    <xf numFmtId="0" fontId="4" fillId="2" borderId="18" xfId="0" applyFont="1" applyFill="1" applyBorder="1" applyAlignment="1">
      <alignment horizontal="right" vertical="top"/>
    </xf>
    <xf numFmtId="0" fontId="0" fillId="2" borderId="19" xfId="0" applyFill="1" applyBorder="1" applyAlignment="1">
      <alignment horizontal="right"/>
    </xf>
    <xf numFmtId="0" fontId="0" fillId="2" borderId="20" xfId="0" applyFill="1" applyBorder="1" applyAlignment="1">
      <alignment horizontal="right"/>
    </xf>
    <xf numFmtId="0" fontId="4" fillId="2" borderId="20" xfId="0" applyFont="1" applyFill="1" applyBorder="1" applyAlignment="1">
      <alignment horizontal="right" vertical="top"/>
    </xf>
    <xf numFmtId="0" fontId="4" fillId="2" borderId="20" xfId="0" applyFont="1" applyFill="1" applyBorder="1" applyAlignment="1">
      <alignment vertical="top" wrapText="1"/>
    </xf>
    <xf numFmtId="0" fontId="2" fillId="2" borderId="17" xfId="0" applyFont="1" applyFill="1" applyBorder="1" applyAlignment="1">
      <alignment wrapText="1"/>
    </xf>
    <xf numFmtId="0" fontId="2" fillId="2" borderId="21" xfId="0" applyFont="1" applyFill="1" applyBorder="1" applyAlignment="1">
      <alignment wrapText="1"/>
    </xf>
    <xf numFmtId="0" fontId="0" fillId="2" borderId="18" xfId="0" applyFill="1" applyBorder="1" applyAlignment="1">
      <alignment horizontal="right"/>
    </xf>
    <xf numFmtId="0" fontId="2" fillId="0" borderId="17" xfId="0" applyFont="1" applyFill="1" applyBorder="1" applyAlignment="1">
      <alignment horizontal="right"/>
    </xf>
    <xf numFmtId="0" fontId="2" fillId="0" borderId="17" xfId="0" applyFont="1" applyFill="1" applyBorder="1" applyAlignment="1">
      <alignment wrapText="1"/>
    </xf>
    <xf numFmtId="0" fontId="2" fillId="0" borderId="21" xfId="0" applyFont="1" applyFill="1" applyBorder="1" applyAlignment="1">
      <alignment wrapText="1"/>
    </xf>
    <xf numFmtId="0" fontId="2" fillId="2" borderId="6" xfId="0" applyFont="1" applyFill="1" applyBorder="1" applyAlignment="1">
      <alignment horizontal="right"/>
    </xf>
    <xf numFmtId="0" fontId="4" fillId="2" borderId="6" xfId="0" applyFont="1" applyFill="1" applyBorder="1" applyAlignment="1">
      <alignment horizontal="right" vertical="top"/>
    </xf>
    <xf numFmtId="0" fontId="4" fillId="2" borderId="6" xfId="0" applyFont="1" applyFill="1" applyBorder="1" applyAlignment="1">
      <alignment vertical="top"/>
    </xf>
    <xf numFmtId="0" fontId="2" fillId="2" borderId="6" xfId="0" applyFont="1" applyFill="1" applyBorder="1" applyAlignment="1">
      <alignment wrapText="1"/>
    </xf>
    <xf numFmtId="0" fontId="2" fillId="2" borderId="14" xfId="0" applyFont="1" applyFill="1" applyBorder="1" applyAlignment="1">
      <alignment wrapText="1"/>
    </xf>
    <xf numFmtId="0" fontId="2" fillId="2" borderId="5"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wrapText="1"/>
    </xf>
    <xf numFmtId="0" fontId="2" fillId="2" borderId="7" xfId="0" applyFont="1" applyFill="1" applyBorder="1" applyAlignment="1">
      <alignment wrapText="1"/>
    </xf>
    <xf numFmtId="0" fontId="2" fillId="2" borderId="3" xfId="0" applyFont="1" applyFill="1" applyBorder="1" applyAlignment="1">
      <alignment wrapText="1"/>
    </xf>
    <xf numFmtId="0" fontId="2" fillId="2" borderId="22" xfId="0" applyFont="1" applyFill="1" applyBorder="1" applyAlignment="1">
      <alignment wrapText="1"/>
    </xf>
    <xf numFmtId="0" fontId="2" fillId="2" borderId="4" xfId="0" applyFont="1" applyFill="1" applyBorder="1" applyAlignment="1">
      <alignment horizontal="right"/>
    </xf>
    <xf numFmtId="0" fontId="2" fillId="2" borderId="17" xfId="0" applyFont="1" applyFill="1" applyBorder="1" applyAlignment="1">
      <alignment horizontal="right"/>
    </xf>
    <xf numFmtId="0" fontId="4" fillId="2" borderId="17" xfId="0" applyFont="1" applyFill="1" applyBorder="1" applyAlignment="1">
      <alignment vertical="top"/>
    </xf>
    <xf numFmtId="0" fontId="2" fillId="2" borderId="19" xfId="0" applyFont="1" applyFill="1" applyBorder="1" applyAlignment="1">
      <alignment horizontal="right"/>
    </xf>
    <xf numFmtId="0" fontId="2" fillId="2" borderId="20" xfId="0" applyFont="1" applyFill="1" applyBorder="1" applyAlignment="1">
      <alignment horizontal="right"/>
    </xf>
    <xf numFmtId="0" fontId="4" fillId="2" borderId="20" xfId="0" applyFont="1" applyFill="1" applyBorder="1" applyAlignment="1">
      <alignment vertical="top"/>
    </xf>
    <xf numFmtId="0" fontId="2" fillId="2" borderId="8" xfId="0" applyFont="1" applyFill="1" applyBorder="1" applyAlignment="1">
      <alignment horizontal="right"/>
    </xf>
    <xf numFmtId="0" fontId="2" fillId="2" borderId="3" xfId="0" applyFont="1" applyFill="1" applyBorder="1" applyAlignment="1">
      <alignment horizontal="right"/>
    </xf>
    <xf numFmtId="0" fontId="4" fillId="2" borderId="3" xfId="0" applyFont="1" applyFill="1" applyBorder="1" applyAlignment="1">
      <alignment horizontal="right" vertical="top"/>
    </xf>
    <xf numFmtId="0" fontId="2" fillId="2" borderId="23" xfId="0" applyFont="1" applyFill="1" applyBorder="1" applyAlignment="1">
      <alignment horizontal="right"/>
    </xf>
    <xf numFmtId="0" fontId="0" fillId="2" borderId="9" xfId="0" applyFill="1" applyBorder="1" applyAlignment="1">
      <alignment horizontal="right"/>
    </xf>
    <xf numFmtId="0" fontId="2" fillId="2" borderId="10" xfId="0" applyFont="1" applyFill="1" applyBorder="1" applyAlignment="1">
      <alignment wrapText="1"/>
    </xf>
    <xf numFmtId="0" fontId="2" fillId="2" borderId="16" xfId="0" applyFont="1" applyFill="1" applyBorder="1" applyAlignment="1">
      <alignment wrapText="1"/>
    </xf>
    <xf numFmtId="0" fontId="2" fillId="0" borderId="17" xfId="0" applyFont="1" applyFill="1" applyBorder="1" applyAlignment="1">
      <alignment vertical="top"/>
    </xf>
    <xf numFmtId="0" fontId="0" fillId="0" borderId="17" xfId="0" applyFill="1" applyBorder="1" applyAlignment="1">
      <alignment wrapText="1"/>
    </xf>
    <xf numFmtId="0" fontId="0" fillId="0" borderId="6" xfId="0" applyFill="1" applyBorder="1" applyAlignment="1">
      <alignment wrapText="1"/>
    </xf>
    <xf numFmtId="0" fontId="0" fillId="0" borderId="2" xfId="0" applyFill="1" applyBorder="1" applyAlignment="1">
      <alignment wrapText="1"/>
    </xf>
    <xf numFmtId="0" fontId="2" fillId="0" borderId="4" xfId="0" applyFont="1" applyFill="1" applyBorder="1" applyAlignment="1">
      <alignment horizontal="right"/>
    </xf>
    <xf numFmtId="0" fontId="2" fillId="0" borderId="4" xfId="0" applyFont="1" applyFill="1" applyBorder="1" applyAlignment="1">
      <alignment vertical="top"/>
    </xf>
    <xf numFmtId="0" fontId="0" fillId="0" borderId="4" xfId="0" applyFill="1" applyBorder="1" applyAlignment="1">
      <alignment wrapText="1"/>
    </xf>
    <xf numFmtId="0" fontId="2" fillId="0" borderId="4" xfId="0" applyFont="1" applyFill="1" applyBorder="1" applyAlignment="1">
      <alignment vertical="top" wrapText="1"/>
    </xf>
    <xf numFmtId="0" fontId="2" fillId="0" borderId="4" xfId="0" applyFont="1" applyFill="1" applyBorder="1" applyAlignment="1">
      <alignment wrapText="1"/>
    </xf>
    <xf numFmtId="0" fontId="2" fillId="0" borderId="24" xfId="0" applyFont="1" applyFill="1" applyBorder="1" applyAlignment="1">
      <alignment wrapText="1"/>
    </xf>
    <xf numFmtId="0" fontId="2" fillId="3" borderId="4" xfId="0" applyFont="1" applyFill="1" applyBorder="1" applyAlignment="1">
      <alignment horizontal="right"/>
    </xf>
    <xf numFmtId="0" fontId="2" fillId="0" borderId="3" xfId="0" applyFont="1" applyFill="1" applyBorder="1" applyAlignment="1"/>
    <xf numFmtId="0" fontId="2" fillId="0" borderId="3" xfId="0" applyFont="1" applyFill="1" applyBorder="1" applyAlignment="1">
      <alignment wrapText="1"/>
    </xf>
    <xf numFmtId="0" fontId="2" fillId="0" borderId="22" xfId="0" applyFont="1" applyFill="1" applyBorder="1" applyAlignment="1">
      <alignment wrapText="1"/>
    </xf>
    <xf numFmtId="0" fontId="2" fillId="0" borderId="17" xfId="0" applyFont="1" applyFill="1" applyBorder="1" applyAlignment="1"/>
    <xf numFmtId="0" fontId="2" fillId="3" borderId="4" xfId="0" applyFont="1" applyFill="1" applyBorder="1" applyAlignment="1">
      <alignment wrapText="1"/>
    </xf>
    <xf numFmtId="49" fontId="2" fillId="0" borderId="3" xfId="0" applyNumberFormat="1" applyFont="1" applyFill="1" applyBorder="1" applyAlignment="1">
      <alignment wrapText="1"/>
    </xf>
    <xf numFmtId="0" fontId="2" fillId="0" borderId="23" xfId="0" applyFont="1" applyFill="1" applyBorder="1" applyAlignment="1">
      <alignment horizontal="right"/>
    </xf>
    <xf numFmtId="49" fontId="2" fillId="0" borderId="17" xfId="0" applyNumberFormat="1" applyFont="1" applyFill="1" applyBorder="1" applyAlignment="1">
      <alignment wrapText="1"/>
    </xf>
    <xf numFmtId="0" fontId="2" fillId="3" borderId="5" xfId="0" applyFont="1" applyFill="1" applyBorder="1" applyAlignment="1">
      <alignment horizontal="right"/>
    </xf>
    <xf numFmtId="0" fontId="2" fillId="3" borderId="8" xfId="0" applyFont="1" applyFill="1" applyBorder="1" applyAlignment="1">
      <alignment horizontal="right"/>
    </xf>
    <xf numFmtId="0" fontId="2" fillId="3" borderId="3" xfId="0" applyFont="1" applyFill="1" applyBorder="1" applyAlignment="1">
      <alignment horizontal="right"/>
    </xf>
    <xf numFmtId="0" fontId="2" fillId="3" borderId="9" xfId="0" applyFont="1" applyFill="1" applyBorder="1" applyAlignment="1">
      <alignment horizontal="right"/>
    </xf>
    <xf numFmtId="0" fontId="2" fillId="3" borderId="10" xfId="0" applyFont="1" applyFill="1" applyBorder="1" applyAlignment="1">
      <alignment horizontal="right"/>
    </xf>
    <xf numFmtId="0" fontId="2" fillId="3" borderId="10" xfId="0" applyFont="1" applyFill="1" applyBorder="1" applyAlignment="1">
      <alignment wrapText="1"/>
    </xf>
    <xf numFmtId="0" fontId="2" fillId="3" borderId="17" xfId="0" applyFont="1" applyFill="1" applyBorder="1" applyAlignment="1">
      <alignment horizontal="right"/>
    </xf>
    <xf numFmtId="0" fontId="2" fillId="3" borderId="17" xfId="0" applyFont="1" applyFill="1" applyBorder="1" applyAlignment="1">
      <alignment wrapText="1"/>
    </xf>
    <xf numFmtId="0" fontId="2" fillId="0" borderId="25" xfId="0" applyFont="1" applyFill="1" applyBorder="1" applyAlignment="1">
      <alignment horizontal="right"/>
    </xf>
    <xf numFmtId="49" fontId="2" fillId="3" borderId="4" xfId="0" applyNumberFormat="1" applyFont="1" applyFill="1" applyBorder="1" applyAlignment="1">
      <alignment wrapText="1"/>
    </xf>
    <xf numFmtId="0" fontId="2" fillId="0" borderId="6" xfId="0" applyFont="1" applyFill="1" applyBorder="1" applyAlignment="1">
      <alignment horizontal="right" wrapText="1"/>
    </xf>
    <xf numFmtId="0" fontId="2" fillId="0" borderId="17" xfId="0" applyFont="1" applyFill="1" applyBorder="1" applyAlignment="1">
      <alignment horizontal="right" wrapText="1"/>
    </xf>
    <xf numFmtId="0" fontId="2" fillId="0" borderId="8" xfId="0" applyFont="1" applyFill="1" applyBorder="1" applyAlignment="1">
      <alignment horizontal="right" wrapText="1"/>
    </xf>
    <xf numFmtId="0" fontId="2" fillId="0" borderId="3" xfId="0" applyFont="1" applyFill="1" applyBorder="1" applyAlignment="1">
      <alignment horizontal="right" wrapText="1"/>
    </xf>
    <xf numFmtId="0" fontId="2" fillId="0" borderId="9" xfId="0" applyFont="1" applyFill="1" applyBorder="1" applyAlignment="1">
      <alignment horizontal="right" wrapText="1"/>
    </xf>
    <xf numFmtId="0" fontId="2" fillId="0" borderId="10" xfId="0" applyFont="1" applyFill="1" applyBorder="1" applyAlignment="1">
      <alignment horizontal="right" wrapText="1"/>
    </xf>
    <xf numFmtId="0" fontId="2" fillId="3" borderId="5" xfId="0" applyFont="1" applyFill="1" applyBorder="1" applyAlignment="1">
      <alignment horizontal="right" wrapText="1"/>
    </xf>
    <xf numFmtId="0" fontId="2" fillId="3" borderId="2" xfId="0" applyFont="1" applyFill="1" applyBorder="1" applyAlignment="1">
      <alignment horizontal="right" wrapText="1"/>
    </xf>
    <xf numFmtId="49" fontId="2" fillId="3" borderId="2" xfId="0" applyNumberFormat="1" applyFont="1" applyFill="1" applyBorder="1" applyAlignment="1">
      <alignment wrapText="1"/>
    </xf>
    <xf numFmtId="0" fontId="2" fillId="0" borderId="4" xfId="0" applyFont="1" applyFill="1" applyBorder="1" applyAlignment="1">
      <alignment horizontal="right" wrapText="1"/>
    </xf>
    <xf numFmtId="0" fontId="2" fillId="0" borderId="5" xfId="0" applyFont="1" applyFill="1" applyBorder="1" applyAlignment="1">
      <alignment horizontal="right" wrapText="1"/>
    </xf>
    <xf numFmtId="0" fontId="2" fillId="0" borderId="2" xfId="0" applyFont="1" applyFill="1" applyBorder="1" applyAlignment="1">
      <alignment horizontal="right" wrapText="1"/>
    </xf>
    <xf numFmtId="0" fontId="2" fillId="0" borderId="4" xfId="0" applyFont="1" applyFill="1" applyBorder="1" applyAlignment="1">
      <alignment horizontal="left" wrapText="1"/>
    </xf>
    <xf numFmtId="0" fontId="0" fillId="3" borderId="2" xfId="0" applyFill="1" applyBorder="1" applyAlignment="1">
      <alignment wrapText="1"/>
    </xf>
    <xf numFmtId="0" fontId="2" fillId="0" borderId="19" xfId="0" applyFont="1" applyFill="1" applyBorder="1" applyAlignment="1">
      <alignment horizontal="right"/>
    </xf>
    <xf numFmtId="0" fontId="2" fillId="0" borderId="20" xfId="0" applyFont="1" applyFill="1" applyBorder="1" applyAlignment="1">
      <alignment horizontal="right"/>
    </xf>
    <xf numFmtId="0" fontId="2" fillId="0" borderId="20" xfId="0" applyFont="1" applyFill="1" applyBorder="1" applyAlignment="1">
      <alignment wrapText="1"/>
    </xf>
    <xf numFmtId="0" fontId="2" fillId="0" borderId="26" xfId="0" applyFont="1" applyFill="1" applyBorder="1" applyAlignment="1">
      <alignment wrapText="1"/>
    </xf>
    <xf numFmtId="0" fontId="2" fillId="3" borderId="3" xfId="0" applyFont="1" applyFill="1" applyBorder="1" applyAlignment="1">
      <alignment wrapText="1"/>
    </xf>
    <xf numFmtId="0" fontId="2" fillId="3" borderId="22" xfId="0" applyFont="1" applyFill="1" applyBorder="1" applyAlignment="1">
      <alignment wrapText="1"/>
    </xf>
    <xf numFmtId="0" fontId="2" fillId="3" borderId="16" xfId="0" applyFont="1" applyFill="1" applyBorder="1" applyAlignment="1">
      <alignment wrapText="1"/>
    </xf>
    <xf numFmtId="0" fontId="4" fillId="2" borderId="27" xfId="0" applyFont="1" applyFill="1" applyBorder="1" applyAlignment="1">
      <alignment horizontal="right" vertical="top"/>
    </xf>
    <xf numFmtId="0" fontId="4" fillId="2" borderId="28" xfId="0" applyFont="1" applyFill="1" applyBorder="1" applyAlignment="1">
      <alignment horizontal="right" vertical="top"/>
    </xf>
    <xf numFmtId="49" fontId="0" fillId="2" borderId="2" xfId="0" applyNumberFormat="1" applyFill="1" applyBorder="1" applyAlignment="1">
      <alignment wrapText="1"/>
    </xf>
    <xf numFmtId="0" fontId="0" fillId="2" borderId="2" xfId="0" applyFill="1" applyBorder="1" applyAlignment="1">
      <alignment wrapText="1"/>
    </xf>
    <xf numFmtId="0" fontId="0" fillId="2" borderId="7" xfId="0" applyFill="1" applyBorder="1" applyAlignment="1">
      <alignment wrapText="1"/>
    </xf>
    <xf numFmtId="0" fontId="0" fillId="2" borderId="20" xfId="0" applyFill="1" applyBorder="1" applyAlignment="1">
      <alignment wrapText="1"/>
    </xf>
    <xf numFmtId="0" fontId="0" fillId="2" borderId="26" xfId="0" applyFill="1" applyBorder="1" applyAlignment="1">
      <alignment wrapText="1"/>
    </xf>
    <xf numFmtId="0" fontId="0" fillId="2" borderId="4" xfId="0" applyFill="1" applyBorder="1" applyAlignment="1">
      <alignment wrapText="1"/>
    </xf>
    <xf numFmtId="0" fontId="0" fillId="2" borderId="24" xfId="0" applyFill="1" applyBorder="1" applyAlignment="1">
      <alignment wrapText="1"/>
    </xf>
    <xf numFmtId="0" fontId="0" fillId="2" borderId="12" xfId="0" applyFill="1" applyBorder="1" applyAlignment="1">
      <alignment wrapText="1"/>
    </xf>
    <xf numFmtId="0" fontId="0" fillId="2" borderId="10" xfId="0" applyFill="1" applyBorder="1" applyAlignment="1"/>
    <xf numFmtId="0" fontId="0" fillId="2" borderId="17" xfId="0" applyFill="1" applyBorder="1" applyAlignment="1"/>
    <xf numFmtId="0" fontId="4" fillId="2" borderId="3" xfId="0" applyFont="1" applyFill="1" applyBorder="1" applyAlignment="1">
      <alignment vertical="top" wrapText="1"/>
    </xf>
    <xf numFmtId="0" fontId="4" fillId="2" borderId="6" xfId="0" applyFont="1" applyFill="1" applyBorder="1" applyAlignment="1">
      <alignment vertical="top" wrapText="1"/>
    </xf>
    <xf numFmtId="0" fontId="4" fillId="2" borderId="1" xfId="0" applyFont="1" applyFill="1" applyBorder="1" applyAlignment="1">
      <alignment vertical="top" wrapText="1"/>
    </xf>
    <xf numFmtId="0" fontId="0" fillId="2" borderId="17" xfId="0" applyFill="1" applyBorder="1" applyAlignment="1">
      <alignment wrapText="1"/>
    </xf>
    <xf numFmtId="0" fontId="0" fillId="2" borderId="10" xfId="0" applyFill="1" applyBorder="1" applyAlignment="1">
      <alignment wrapText="1"/>
    </xf>
    <xf numFmtId="0" fontId="2" fillId="3" borderId="1" xfId="0" applyFont="1" applyFill="1" applyBorder="1" applyAlignment="1">
      <alignment wrapText="1"/>
    </xf>
    <xf numFmtId="0" fontId="2" fillId="3" borderId="15" xfId="0" applyFont="1" applyFill="1" applyBorder="1" applyAlignment="1">
      <alignment wrapText="1"/>
    </xf>
    <xf numFmtId="0" fontId="2" fillId="3" borderId="21" xfId="0" applyFont="1" applyFill="1" applyBorder="1" applyAlignment="1">
      <alignment wrapText="1"/>
    </xf>
    <xf numFmtId="0" fontId="1" fillId="4" borderId="5" xfId="0" applyFont="1" applyFill="1" applyBorder="1" applyAlignment="1">
      <alignment horizontal="right" vertical="center"/>
    </xf>
    <xf numFmtId="0" fontId="1" fillId="4" borderId="2" xfId="0" applyFont="1" applyFill="1" applyBorder="1" applyAlignment="1">
      <alignment horizontal="right" vertical="center"/>
    </xf>
    <xf numFmtId="0" fontId="1" fillId="4" borderId="2" xfId="0" applyFont="1" applyFill="1" applyBorder="1" applyAlignment="1">
      <alignment horizontal="right" vertical="center" wrapText="1"/>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wrapText="1"/>
    </xf>
    <xf numFmtId="0" fontId="2" fillId="3" borderId="23" xfId="0" applyFont="1" applyFill="1" applyBorder="1" applyAlignment="1">
      <alignment horizontal="right"/>
    </xf>
    <xf numFmtId="0" fontId="2" fillId="3" borderId="1" xfId="0" applyFont="1" applyFill="1" applyBorder="1" applyAlignment="1">
      <alignment horizontal="right"/>
    </xf>
    <xf numFmtId="0" fontId="2" fillId="0" borderId="12" xfId="0" applyFont="1" applyFill="1" applyBorder="1" applyAlignment="1">
      <alignment wrapText="1"/>
    </xf>
    <xf numFmtId="49" fontId="2" fillId="3" borderId="1" xfId="0" applyNumberFormat="1" applyFont="1" applyFill="1" applyBorder="1" applyAlignment="1">
      <alignment wrapText="1"/>
    </xf>
    <xf numFmtId="49" fontId="2" fillId="3" borderId="3" xfId="0" applyNumberFormat="1" applyFont="1" applyFill="1" applyBorder="1" applyAlignment="1">
      <alignment wrapText="1"/>
    </xf>
    <xf numFmtId="49" fontId="2" fillId="3" borderId="10" xfId="0" applyNumberFormat="1" applyFont="1" applyFill="1" applyBorder="1" applyAlignment="1">
      <alignment wrapText="1"/>
    </xf>
    <xf numFmtId="0" fontId="2" fillId="0" borderId="29" xfId="0" applyFont="1" applyFill="1" applyBorder="1" applyAlignment="1">
      <alignment horizontal="right"/>
    </xf>
    <xf numFmtId="49" fontId="4" fillId="3" borderId="26" xfId="0" applyNumberFormat="1" applyFont="1" applyFill="1" applyBorder="1" applyAlignment="1">
      <alignment vertical="top"/>
    </xf>
    <xf numFmtId="49" fontId="4" fillId="3" borderId="15" xfId="0" applyNumberFormat="1" applyFont="1" applyFill="1" applyBorder="1" applyAlignment="1">
      <alignment vertical="top"/>
    </xf>
    <xf numFmtId="49" fontId="4" fillId="3" borderId="21" xfId="0" applyNumberFormat="1" applyFont="1" applyFill="1" applyBorder="1" applyAlignment="1">
      <alignment vertical="top"/>
    </xf>
    <xf numFmtId="0" fontId="2" fillId="3" borderId="6" xfId="0" quotePrefix="1" applyFont="1" applyFill="1" applyBorder="1" applyAlignment="1">
      <alignment wrapText="1"/>
    </xf>
    <xf numFmtId="49" fontId="2" fillId="3" borderId="17" xfId="0" applyNumberFormat="1" applyFont="1" applyFill="1" applyBorder="1" applyAlignment="1">
      <alignment wrapText="1"/>
    </xf>
    <xf numFmtId="0" fontId="0" fillId="0" borderId="0" xfId="0" applyFill="1" applyAlignment="1"/>
    <xf numFmtId="0" fontId="2" fillId="0" borderId="12" xfId="0" applyFont="1" applyFill="1" applyBorder="1" applyAlignment="1"/>
    <xf numFmtId="0" fontId="0" fillId="0" borderId="17" xfId="0" applyFill="1" applyBorder="1" applyAlignment="1"/>
    <xf numFmtId="0" fontId="0" fillId="0" borderId="21" xfId="0" applyFill="1" applyBorder="1" applyAlignment="1"/>
    <xf numFmtId="0" fontId="0" fillId="0" borderId="2" xfId="0" applyFill="1" applyBorder="1" applyAlignment="1"/>
    <xf numFmtId="0" fontId="0" fillId="0" borderId="7" xfId="0" applyFill="1" applyBorder="1" applyAlignment="1"/>
    <xf numFmtId="0" fontId="0" fillId="0" borderId="4" xfId="0" applyFill="1" applyBorder="1" applyAlignment="1"/>
    <xf numFmtId="0" fontId="0" fillId="0" borderId="24" xfId="0" applyFill="1" applyBorder="1" applyAlignment="1"/>
    <xf numFmtId="0" fontId="2" fillId="3" borderId="4" xfId="0" applyFont="1" applyFill="1" applyBorder="1" applyAlignment="1"/>
    <xf numFmtId="49" fontId="2" fillId="3" borderId="4" xfId="0" applyNumberFormat="1" applyFont="1" applyFill="1" applyBorder="1" applyAlignment="1"/>
    <xf numFmtId="0" fontId="0" fillId="3" borderId="4" xfId="0" applyFill="1" applyBorder="1" applyAlignment="1"/>
    <xf numFmtId="0" fontId="0" fillId="3" borderId="24" xfId="0" applyFill="1" applyBorder="1" applyAlignment="1"/>
    <xf numFmtId="0" fontId="2" fillId="0" borderId="20" xfId="0" applyFont="1" applyFill="1" applyBorder="1" applyAlignment="1"/>
    <xf numFmtId="0" fontId="2" fillId="3" borderId="3" xfId="0" applyFont="1" applyFill="1" applyBorder="1" applyAlignment="1"/>
    <xf numFmtId="0" fontId="2" fillId="3" borderId="10" xfId="0" applyNumberFormat="1" applyFont="1" applyFill="1" applyBorder="1" applyAlignment="1"/>
    <xf numFmtId="0" fontId="2" fillId="3" borderId="10" xfId="0" applyFont="1" applyFill="1" applyBorder="1" applyAlignment="1"/>
    <xf numFmtId="0" fontId="0" fillId="0" borderId="3" xfId="0" applyFill="1" applyBorder="1" applyAlignment="1"/>
    <xf numFmtId="0" fontId="0" fillId="0" borderId="1" xfId="0" applyFill="1" applyBorder="1" applyAlignment="1"/>
    <xf numFmtId="0" fontId="0" fillId="0" borderId="15" xfId="0" applyFill="1" applyBorder="1" applyAlignment="1"/>
    <xf numFmtId="0" fontId="0" fillId="0" borderId="10" xfId="0" applyFill="1" applyBorder="1" applyAlignment="1"/>
    <xf numFmtId="0" fontId="0" fillId="3" borderId="1" xfId="0" applyFill="1" applyBorder="1" applyAlignment="1"/>
    <xf numFmtId="0" fontId="0" fillId="3" borderId="17" xfId="0" applyFill="1" applyBorder="1" applyAlignment="1"/>
    <xf numFmtId="0" fontId="2" fillId="0" borderId="4" xfId="0" applyFont="1" applyFill="1" applyBorder="1" applyAlignment="1"/>
    <xf numFmtId="0" fontId="0" fillId="3" borderId="7" xfId="0" applyFill="1" applyBorder="1" applyAlignment="1"/>
    <xf numFmtId="49" fontId="2" fillId="0" borderId="1" xfId="0" applyNumberFormat="1" applyFont="1" applyFill="1" applyBorder="1" applyAlignment="1"/>
    <xf numFmtId="49" fontId="2" fillId="3" borderId="1" xfId="0" applyNumberFormat="1" applyFont="1" applyFill="1" applyBorder="1" applyAlignment="1"/>
    <xf numFmtId="0" fontId="2" fillId="3" borderId="2" xfId="0" applyFont="1" applyFill="1" applyBorder="1" applyAlignment="1"/>
    <xf numFmtId="49" fontId="2" fillId="3" borderId="2" xfId="0" applyNumberFormat="1" applyFont="1" applyFill="1" applyBorder="1" applyAlignment="1"/>
    <xf numFmtId="0" fontId="0" fillId="3" borderId="2" xfId="0" applyFill="1" applyBorder="1" applyAlignment="1"/>
    <xf numFmtId="49" fontId="2" fillId="3" borderId="3" xfId="0" applyNumberFormat="1" applyFont="1" applyFill="1" applyBorder="1" applyAlignment="1"/>
    <xf numFmtId="0" fontId="0" fillId="3" borderId="3" xfId="0" applyFill="1" applyBorder="1" applyAlignment="1"/>
    <xf numFmtId="0" fontId="0" fillId="3" borderId="22" xfId="0" applyFill="1" applyBorder="1" applyAlignment="1"/>
    <xf numFmtId="49" fontId="2" fillId="3" borderId="10" xfId="0" applyNumberFormat="1" applyFont="1" applyFill="1" applyBorder="1" applyAlignment="1"/>
    <xf numFmtId="0" fontId="0" fillId="3" borderId="10" xfId="0" applyFill="1" applyBorder="1" applyAlignment="1"/>
    <xf numFmtId="0" fontId="0" fillId="3" borderId="16" xfId="0" applyFill="1" applyBorder="1" applyAlignment="1"/>
    <xf numFmtId="49" fontId="2" fillId="3" borderId="24" xfId="0" applyNumberFormat="1" applyFont="1" applyFill="1" applyBorder="1" applyAlignment="1"/>
    <xf numFmtId="0" fontId="2" fillId="3" borderId="1" xfId="0" applyFont="1" applyFill="1" applyBorder="1" applyAlignment="1"/>
    <xf numFmtId="49" fontId="2" fillId="3" borderId="6" xfId="0" applyNumberFormat="1" applyFont="1" applyFill="1" applyBorder="1" applyAlignment="1"/>
    <xf numFmtId="0" fontId="0" fillId="3" borderId="6" xfId="0" applyFill="1" applyBorder="1" applyAlignment="1"/>
    <xf numFmtId="0" fontId="0" fillId="3" borderId="14" xfId="0" applyFill="1" applyBorder="1" applyAlignment="1"/>
    <xf numFmtId="0" fontId="2" fillId="3" borderId="17" xfId="0" applyFont="1" applyFill="1" applyBorder="1" applyAlignment="1"/>
    <xf numFmtId="49" fontId="2" fillId="3" borderId="17" xfId="0" applyNumberFormat="1" applyFont="1" applyFill="1" applyBorder="1" applyAlignment="1"/>
    <xf numFmtId="0" fontId="0" fillId="3" borderId="21" xfId="0" applyFill="1" applyBorder="1" applyAlignment="1"/>
    <xf numFmtId="0" fontId="0" fillId="3" borderId="30" xfId="0" applyFill="1" applyBorder="1" applyAlignment="1"/>
    <xf numFmtId="0" fontId="0" fillId="0" borderId="0" xfId="0" applyAlignment="1"/>
    <xf numFmtId="0" fontId="5" fillId="3" borderId="4" xfId="0" applyFont="1" applyFill="1" applyBorder="1" applyAlignment="1"/>
    <xf numFmtId="0" fontId="5" fillId="3" borderId="24" xfId="0" applyFont="1" applyFill="1" applyBorder="1" applyAlignment="1"/>
    <xf numFmtId="0" fontId="0" fillId="2" borderId="2" xfId="0" applyFill="1" applyBorder="1" applyAlignment="1"/>
    <xf numFmtId="0" fontId="0" fillId="2" borderId="7" xfId="0" applyFill="1" applyBorder="1" applyAlignment="1"/>
    <xf numFmtId="0" fontId="0" fillId="0" borderId="0" xfId="0" applyBorder="1" applyAlignment="1"/>
    <xf numFmtId="0" fontId="0" fillId="0" borderId="7" xfId="0" applyFill="1" applyBorder="1" applyAlignment="1">
      <alignment wrapText="1"/>
    </xf>
    <xf numFmtId="0" fontId="2" fillId="0" borderId="13" xfId="0" applyFont="1" applyFill="1" applyBorder="1" applyAlignment="1">
      <alignment wrapText="1"/>
    </xf>
    <xf numFmtId="0" fontId="2" fillId="3" borderId="24" xfId="0" applyFont="1" applyFill="1" applyBorder="1" applyAlignment="1">
      <alignment wrapText="1"/>
    </xf>
    <xf numFmtId="0" fontId="4" fillId="2" borderId="24" xfId="0" applyFont="1" applyFill="1" applyBorder="1" applyAlignment="1">
      <alignment vertical="top"/>
    </xf>
    <xf numFmtId="0" fontId="4" fillId="2" borderId="15" xfId="0" applyFont="1" applyFill="1" applyBorder="1" applyAlignment="1">
      <alignment vertical="top"/>
    </xf>
    <xf numFmtId="0" fontId="4" fillId="2" borderId="21" xfId="0" applyFont="1" applyFill="1" applyBorder="1" applyAlignment="1">
      <alignment vertical="top"/>
    </xf>
    <xf numFmtId="49" fontId="1" fillId="4" borderId="7" xfId="0" applyNumberFormat="1" applyFont="1" applyFill="1" applyBorder="1" applyAlignment="1">
      <alignment horizontal="center" vertical="center" wrapText="1"/>
    </xf>
    <xf numFmtId="0" fontId="2" fillId="0" borderId="7" xfId="0" applyFont="1" applyFill="1" applyBorder="1" applyAlignment="1">
      <alignment horizontal="left" wrapText="1"/>
    </xf>
    <xf numFmtId="0" fontId="2" fillId="0" borderId="7"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7" xfId="0" applyFont="1" applyFill="1" applyBorder="1" applyAlignment="1">
      <alignment vertical="top" wrapText="1"/>
    </xf>
    <xf numFmtId="0" fontId="2" fillId="3" borderId="7" xfId="0" applyFont="1" applyFill="1" applyBorder="1" applyAlignment="1">
      <alignment vertical="top" wrapText="1"/>
    </xf>
    <xf numFmtId="0" fontId="0" fillId="0" borderId="21" xfId="0" applyFill="1" applyBorder="1" applyAlignment="1">
      <alignment wrapText="1"/>
    </xf>
    <xf numFmtId="0" fontId="0" fillId="0" borderId="24" xfId="0" applyFill="1" applyBorder="1" applyAlignment="1">
      <alignment wrapText="1"/>
    </xf>
    <xf numFmtId="0" fontId="2" fillId="3" borderId="24" xfId="0" applyFont="1" applyFill="1" applyBorder="1" applyAlignment="1"/>
    <xf numFmtId="0" fontId="2" fillId="3" borderId="7" xfId="0" applyFont="1" applyFill="1" applyBorder="1" applyAlignment="1"/>
    <xf numFmtId="0" fontId="0" fillId="0" borderId="14" xfId="0" applyFill="1" applyBorder="1" applyAlignment="1">
      <alignment wrapText="1"/>
    </xf>
    <xf numFmtId="0" fontId="2" fillId="3" borderId="22" xfId="0" applyFont="1" applyFill="1" applyBorder="1" applyAlignment="1"/>
    <xf numFmtId="0" fontId="2" fillId="3" borderId="14" xfId="0" applyFont="1" applyFill="1" applyBorder="1" applyAlignment="1"/>
    <xf numFmtId="0" fontId="0" fillId="3" borderId="7" xfId="0" applyFill="1" applyBorder="1" applyAlignment="1">
      <alignment wrapText="1"/>
    </xf>
    <xf numFmtId="0" fontId="4" fillId="2" borderId="26" xfId="0" applyFont="1" applyFill="1" applyBorder="1" applyAlignment="1">
      <alignment vertical="top"/>
    </xf>
    <xf numFmtId="49" fontId="2" fillId="0" borderId="7" xfId="0" applyNumberFormat="1" applyFont="1" applyFill="1" applyBorder="1" applyAlignment="1">
      <alignment horizontal="left" wrapText="1"/>
    </xf>
    <xf numFmtId="49" fontId="2" fillId="0" borderId="7"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7" xfId="0" applyNumberFormat="1" applyFont="1" applyFill="1" applyBorder="1" applyAlignment="1">
      <alignment vertical="top" wrapText="1"/>
    </xf>
    <xf numFmtId="49" fontId="2" fillId="3" borderId="7" xfId="0" applyNumberFormat="1" applyFont="1" applyFill="1" applyBorder="1" applyAlignment="1">
      <alignment vertical="top" wrapText="1"/>
    </xf>
    <xf numFmtId="49" fontId="2" fillId="0" borderId="7" xfId="0" applyNumberFormat="1" applyFont="1" applyFill="1" applyBorder="1" applyAlignment="1">
      <alignment wrapText="1"/>
    </xf>
    <xf numFmtId="49" fontId="2" fillId="0" borderId="14" xfId="0" applyNumberFormat="1" applyFont="1" applyFill="1" applyBorder="1" applyAlignment="1">
      <alignment wrapText="1"/>
    </xf>
    <xf numFmtId="49" fontId="2" fillId="0" borderId="15" xfId="0" applyNumberFormat="1" applyFont="1" applyFill="1" applyBorder="1" applyAlignment="1">
      <alignment wrapText="1"/>
    </xf>
    <xf numFmtId="49" fontId="2" fillId="0" borderId="21" xfId="0" applyNumberFormat="1" applyFont="1" applyFill="1" applyBorder="1" applyAlignment="1">
      <alignment wrapText="1"/>
    </xf>
    <xf numFmtId="49" fontId="2" fillId="0" borderId="16" xfId="0" applyNumberFormat="1" applyFont="1" applyFill="1" applyBorder="1" applyAlignment="1">
      <alignment wrapText="1"/>
    </xf>
    <xf numFmtId="49" fontId="2" fillId="3" borderId="14" xfId="0" applyNumberFormat="1" applyFont="1" applyFill="1" applyBorder="1" applyAlignment="1">
      <alignment wrapText="1"/>
    </xf>
    <xf numFmtId="0" fontId="2" fillId="0" borderId="24" xfId="0" applyFont="1" applyFill="1" applyBorder="1" applyAlignment="1">
      <alignment vertical="top" wrapText="1"/>
    </xf>
    <xf numFmtId="0" fontId="2" fillId="0" borderId="7" xfId="0" applyFont="1" applyFill="1" applyBorder="1" applyAlignment="1"/>
    <xf numFmtId="0" fontId="2" fillId="0" borderId="26" xfId="0" applyFont="1" applyFill="1" applyBorder="1" applyAlignment="1"/>
    <xf numFmtId="0" fontId="2" fillId="0" borderId="16" xfId="0" applyFont="1" applyFill="1" applyBorder="1" applyAlignment="1"/>
    <xf numFmtId="0" fontId="2" fillId="0" borderId="14" xfId="0" applyFont="1" applyFill="1" applyBorder="1" applyAlignment="1"/>
    <xf numFmtId="0" fontId="2" fillId="0" borderId="21" xfId="0" applyFont="1" applyFill="1" applyBorder="1" applyAlignment="1"/>
    <xf numFmtId="0" fontId="2" fillId="0" borderId="22" xfId="0" applyFont="1" applyFill="1" applyBorder="1" applyAlignment="1"/>
    <xf numFmtId="0" fontId="2" fillId="3" borderId="16" xfId="0" applyFont="1" applyFill="1" applyBorder="1" applyAlignment="1"/>
    <xf numFmtId="49" fontId="2" fillId="0" borderId="22" xfId="0" applyNumberFormat="1" applyFont="1" applyFill="1" applyBorder="1" applyAlignment="1">
      <alignment wrapText="1"/>
    </xf>
    <xf numFmtId="49" fontId="0" fillId="0" borderId="14" xfId="0" applyNumberFormat="1" applyFill="1" applyBorder="1" applyAlignment="1">
      <alignment vertical="top" wrapText="1"/>
    </xf>
    <xf numFmtId="49" fontId="2" fillId="0" borderId="15" xfId="0" applyNumberFormat="1" applyFont="1" applyFill="1" applyBorder="1" applyAlignment="1"/>
    <xf numFmtId="49" fontId="0" fillId="0" borderId="15" xfId="0" applyNumberFormat="1" applyFill="1" applyBorder="1" applyAlignment="1">
      <alignment vertical="top" wrapText="1"/>
    </xf>
    <xf numFmtId="49" fontId="0" fillId="3" borderId="14" xfId="0" applyNumberFormat="1" applyFill="1" applyBorder="1" applyAlignment="1">
      <alignment vertical="top" wrapText="1"/>
    </xf>
    <xf numFmtId="49" fontId="2" fillId="3" borderId="15" xfId="0" applyNumberFormat="1" applyFont="1" applyFill="1" applyBorder="1" applyAlignment="1"/>
    <xf numFmtId="49" fontId="0" fillId="3" borderId="21" xfId="0" applyNumberFormat="1" applyFill="1" applyBorder="1" applyAlignment="1">
      <alignment vertical="top" wrapText="1"/>
    </xf>
    <xf numFmtId="49" fontId="2" fillId="3" borderId="7" xfId="0" applyNumberFormat="1" applyFont="1" applyFill="1" applyBorder="1" applyAlignment="1"/>
    <xf numFmtId="49" fontId="2" fillId="3" borderId="22" xfId="0" applyNumberFormat="1" applyFont="1" applyFill="1" applyBorder="1" applyAlignment="1"/>
    <xf numFmtId="49" fontId="2" fillId="3" borderId="16" xfId="0" applyNumberFormat="1" applyFont="1" applyFill="1" applyBorder="1" applyAlignment="1"/>
    <xf numFmtId="49" fontId="0" fillId="0" borderId="16" xfId="0" applyNumberFormat="1" applyFill="1" applyBorder="1" applyAlignment="1">
      <alignment vertical="top" wrapText="1"/>
    </xf>
    <xf numFmtId="49" fontId="0" fillId="0" borderId="22" xfId="0" applyNumberFormat="1" applyFill="1" applyBorder="1" applyAlignment="1">
      <alignment vertical="top" wrapText="1"/>
    </xf>
    <xf numFmtId="49" fontId="0" fillId="3" borderId="22" xfId="0" applyNumberFormat="1" applyFill="1" applyBorder="1" applyAlignment="1">
      <alignment vertical="top" wrapText="1"/>
    </xf>
    <xf numFmtId="49" fontId="0" fillId="3" borderId="16" xfId="0" applyNumberFormat="1" applyFill="1" applyBorder="1" applyAlignment="1">
      <alignment vertical="top" wrapText="1"/>
    </xf>
    <xf numFmtId="49" fontId="2" fillId="3" borderId="14" xfId="0" applyNumberFormat="1" applyFont="1" applyFill="1" applyBorder="1" applyAlignment="1"/>
    <xf numFmtId="49" fontId="2" fillId="3" borderId="21" xfId="0" applyNumberFormat="1" applyFont="1" applyFill="1" applyBorder="1" applyAlignment="1"/>
    <xf numFmtId="49" fontId="0" fillId="0" borderId="21" xfId="0" applyNumberFormat="1" applyFill="1" applyBorder="1" applyAlignment="1">
      <alignment vertical="top" wrapText="1"/>
    </xf>
    <xf numFmtId="49" fontId="2" fillId="3" borderId="15" xfId="0" applyNumberFormat="1" applyFont="1" applyFill="1" applyBorder="1" applyAlignment="1">
      <alignment wrapText="1"/>
    </xf>
    <xf numFmtId="49" fontId="2" fillId="3" borderId="24" xfId="0" applyNumberFormat="1" applyFont="1" applyFill="1" applyBorder="1" applyAlignment="1">
      <alignment wrapText="1"/>
    </xf>
    <xf numFmtId="49" fontId="2" fillId="3" borderId="22" xfId="0" applyNumberFormat="1" applyFont="1" applyFill="1" applyBorder="1" applyAlignment="1">
      <alignment wrapText="1"/>
    </xf>
    <xf numFmtId="49" fontId="2" fillId="3" borderId="21" xfId="0" applyNumberFormat="1" applyFont="1" applyFill="1" applyBorder="1" applyAlignment="1">
      <alignment wrapText="1"/>
    </xf>
    <xf numFmtId="49" fontId="2" fillId="3" borderId="16" xfId="0" applyNumberFormat="1" applyFont="1" applyFill="1" applyBorder="1" applyAlignment="1">
      <alignment wrapText="1"/>
    </xf>
    <xf numFmtId="49" fontId="2" fillId="3" borderId="7" xfId="0" applyNumberFormat="1" applyFont="1" applyFill="1" applyBorder="1" applyAlignment="1">
      <alignment wrapText="1"/>
    </xf>
    <xf numFmtId="0" fontId="4" fillId="2" borderId="7" xfId="0" applyFont="1" applyFill="1" applyBorder="1" applyAlignment="1">
      <alignment vertical="top" wrapText="1"/>
    </xf>
    <xf numFmtId="49" fontId="4" fillId="2" borderId="7" xfId="0" applyNumberFormat="1" applyFont="1" applyFill="1" applyBorder="1" applyAlignment="1">
      <alignment vertical="top"/>
    </xf>
    <xf numFmtId="0" fontId="4" fillId="2" borderId="22" xfId="0" applyFont="1" applyFill="1" applyBorder="1" applyAlignment="1">
      <alignment vertical="top"/>
    </xf>
    <xf numFmtId="0" fontId="0" fillId="2" borderId="16" xfId="0" applyFill="1" applyBorder="1" applyAlignment="1"/>
    <xf numFmtId="0" fontId="4" fillId="2" borderId="14" xfId="0" applyFont="1" applyFill="1" applyBorder="1" applyAlignment="1">
      <alignment vertical="top"/>
    </xf>
    <xf numFmtId="0" fontId="0" fillId="2" borderId="21" xfId="0" applyFill="1" applyBorder="1" applyAlignment="1"/>
    <xf numFmtId="49" fontId="0" fillId="2" borderId="7" xfId="0" applyNumberFormat="1" applyFill="1" applyBorder="1" applyAlignment="1">
      <alignment wrapText="1"/>
    </xf>
    <xf numFmtId="49" fontId="2" fillId="0" borderId="4" xfId="0" applyNumberFormat="1" applyFont="1" applyFill="1" applyBorder="1" applyAlignment="1"/>
    <xf numFmtId="0" fontId="0" fillId="3" borderId="24" xfId="0" applyFill="1" applyBorder="1" applyAlignment="1">
      <alignment wrapText="1"/>
    </xf>
    <xf numFmtId="0" fontId="0" fillId="3" borderId="13" xfId="0" applyFill="1" applyBorder="1" applyAlignment="1">
      <alignment wrapText="1"/>
    </xf>
    <xf numFmtId="0" fontId="0" fillId="3" borderId="22" xfId="0" applyFill="1" applyBorder="1" applyAlignment="1">
      <alignment wrapText="1"/>
    </xf>
    <xf numFmtId="0" fontId="2" fillId="3" borderId="6" xfId="0" applyFont="1" applyFill="1" applyBorder="1" applyAlignment="1">
      <alignment horizontal="right" wrapText="1"/>
    </xf>
    <xf numFmtId="0" fontId="2" fillId="3" borderId="17" xfId="0" applyFont="1" applyFill="1" applyBorder="1" applyAlignment="1">
      <alignment horizontal="right" wrapText="1"/>
    </xf>
    <xf numFmtId="0" fontId="2" fillId="3" borderId="4" xfId="0" applyFont="1" applyFill="1" applyBorder="1" applyAlignment="1">
      <alignment horizontal="right" wrapText="1"/>
    </xf>
    <xf numFmtId="0" fontId="2" fillId="3" borderId="19" xfId="0" applyFont="1" applyFill="1" applyBorder="1" applyAlignment="1">
      <alignment horizontal="right"/>
    </xf>
    <xf numFmtId="0" fontId="2" fillId="3" borderId="20" xfId="0" applyFont="1" applyFill="1" applyBorder="1" applyAlignment="1">
      <alignment horizontal="right"/>
    </xf>
    <xf numFmtId="0" fontId="4" fillId="3" borderId="20" xfId="0" applyFont="1" applyFill="1" applyBorder="1" applyAlignment="1">
      <alignment horizontal="right" vertical="top"/>
    </xf>
    <xf numFmtId="0" fontId="4" fillId="3" borderId="20" xfId="0" applyFont="1" applyFill="1" applyBorder="1" applyAlignment="1">
      <alignment vertical="top" wrapText="1"/>
    </xf>
    <xf numFmtId="0" fontId="4" fillId="3" borderId="20" xfId="0" applyFont="1" applyFill="1" applyBorder="1" applyAlignment="1">
      <alignment vertical="top"/>
    </xf>
    <xf numFmtId="0" fontId="4" fillId="3" borderId="1" xfId="0" applyFont="1" applyFill="1" applyBorder="1" applyAlignment="1">
      <alignment horizontal="right" vertical="top"/>
    </xf>
    <xf numFmtId="0" fontId="4" fillId="3" borderId="1" xfId="0" applyFont="1" applyFill="1" applyBorder="1" applyAlignment="1">
      <alignment vertical="top"/>
    </xf>
    <xf numFmtId="0" fontId="4" fillId="3" borderId="17" xfId="0" applyFont="1" applyFill="1" applyBorder="1" applyAlignment="1">
      <alignment horizontal="right" vertical="top"/>
    </xf>
    <xf numFmtId="0" fontId="4" fillId="3" borderId="17" xfId="0" applyFont="1" applyFill="1" applyBorder="1" applyAlignment="1">
      <alignment vertical="top"/>
    </xf>
    <xf numFmtId="0" fontId="4" fillId="3" borderId="3" xfId="0" applyFont="1" applyFill="1" applyBorder="1" applyAlignment="1">
      <alignment horizontal="right" vertical="top"/>
    </xf>
    <xf numFmtId="0" fontId="4" fillId="3" borderId="3" xfId="0" applyFont="1" applyFill="1" applyBorder="1" applyAlignment="1">
      <alignment vertical="top" wrapText="1"/>
    </xf>
    <xf numFmtId="0" fontId="4" fillId="3" borderId="3" xfId="0" applyFont="1" applyFill="1" applyBorder="1" applyAlignment="1">
      <alignment vertical="top"/>
    </xf>
    <xf numFmtId="0" fontId="4" fillId="3" borderId="1" xfId="0" applyFont="1" applyFill="1" applyBorder="1" applyAlignment="1">
      <alignment vertical="top" wrapText="1"/>
    </xf>
    <xf numFmtId="0" fontId="0" fillId="3" borderId="9" xfId="0" applyFill="1" applyBorder="1" applyAlignment="1">
      <alignment horizontal="right"/>
    </xf>
    <xf numFmtId="0" fontId="0" fillId="3" borderId="10" xfId="0" applyFill="1" applyBorder="1" applyAlignment="1">
      <alignment horizontal="right"/>
    </xf>
    <xf numFmtId="0" fontId="0" fillId="3" borderId="10" xfId="0" applyFill="1" applyBorder="1" applyAlignment="1">
      <alignment wrapText="1"/>
    </xf>
    <xf numFmtId="0" fontId="4" fillId="3" borderId="6" xfId="0" applyFont="1" applyFill="1" applyBorder="1" applyAlignment="1">
      <alignment horizontal="right" vertical="top"/>
    </xf>
    <xf numFmtId="0" fontId="4" fillId="3" borderId="6" xfId="0" applyFont="1" applyFill="1" applyBorder="1" applyAlignment="1">
      <alignment vertical="top"/>
    </xf>
    <xf numFmtId="0" fontId="0" fillId="3" borderId="17" xfId="0" applyFill="1" applyBorder="1" applyAlignment="1">
      <alignment horizontal="right"/>
    </xf>
    <xf numFmtId="0" fontId="0" fillId="3" borderId="5" xfId="0" applyFill="1" applyBorder="1" applyAlignment="1">
      <alignment horizontal="right"/>
    </xf>
    <xf numFmtId="0" fontId="0" fillId="3" borderId="18" xfId="0" applyFill="1" applyBorder="1" applyAlignment="1">
      <alignment horizontal="right"/>
    </xf>
    <xf numFmtId="0" fontId="4" fillId="3" borderId="18" xfId="0" applyFont="1" applyFill="1" applyBorder="1" applyAlignment="1">
      <alignment horizontal="right" vertical="top"/>
    </xf>
    <xf numFmtId="0" fontId="4" fillId="3" borderId="2" xfId="0" applyFont="1" applyFill="1" applyBorder="1" applyAlignment="1">
      <alignment vertical="top" wrapText="1"/>
    </xf>
    <xf numFmtId="0" fontId="4" fillId="3" borderId="4" xfId="0" applyFont="1" applyFill="1" applyBorder="1" applyAlignment="1">
      <alignment horizontal="right" vertical="top"/>
    </xf>
    <xf numFmtId="0" fontId="4" fillId="3" borderId="4" xfId="0" applyFont="1" applyFill="1" applyBorder="1" applyAlignment="1">
      <alignment vertical="top" wrapText="1"/>
    </xf>
    <xf numFmtId="0" fontId="4" fillId="3" borderId="2" xfId="0" applyFont="1" applyFill="1" applyBorder="1" applyAlignment="1">
      <alignment horizontal="right" vertical="top"/>
    </xf>
    <xf numFmtId="0" fontId="4" fillId="3" borderId="12" xfId="0" applyFont="1" applyFill="1" applyBorder="1" applyAlignment="1">
      <alignment horizontal="right" vertical="top"/>
    </xf>
    <xf numFmtId="0" fontId="4" fillId="3" borderId="12" xfId="0" applyFont="1" applyFill="1" applyBorder="1" applyAlignment="1">
      <alignment vertical="top" wrapText="1"/>
    </xf>
    <xf numFmtId="0" fontId="4" fillId="3" borderId="6" xfId="0" applyFont="1" applyFill="1" applyBorder="1" applyAlignment="1">
      <alignment vertical="top" wrapText="1"/>
    </xf>
    <xf numFmtId="0" fontId="0" fillId="3" borderId="17" xfId="0" applyFill="1" applyBorder="1" applyAlignment="1">
      <alignment wrapText="1"/>
    </xf>
    <xf numFmtId="0" fontId="2" fillId="3" borderId="29" xfId="0" applyFont="1" applyFill="1" applyBorder="1" applyAlignment="1">
      <alignment horizontal="right"/>
    </xf>
    <xf numFmtId="0" fontId="0" fillId="0" borderId="12" xfId="0" applyFill="1" applyBorder="1" applyAlignment="1"/>
    <xf numFmtId="0" fontId="2" fillId="3" borderId="13" xfId="0" applyFont="1" applyFill="1" applyBorder="1" applyAlignment="1">
      <alignment wrapText="1"/>
    </xf>
    <xf numFmtId="0" fontId="2" fillId="3" borderId="12" xfId="0" applyFont="1" applyFill="1" applyBorder="1" applyAlignment="1">
      <alignment wrapText="1"/>
    </xf>
    <xf numFmtId="0" fontId="1" fillId="4" borderId="5" xfId="0" applyFont="1" applyFill="1" applyBorder="1" applyAlignment="1">
      <alignment horizontal="right"/>
    </xf>
    <xf numFmtId="0" fontId="1" fillId="4" borderId="2" xfId="0" applyFont="1" applyFill="1" applyBorder="1" applyAlignment="1">
      <alignment horizontal="right"/>
    </xf>
    <xf numFmtId="0" fontId="1" fillId="4" borderId="2" xfId="0" applyFont="1" applyFill="1" applyBorder="1" applyAlignment="1">
      <alignment horizontal="right" wrapText="1"/>
    </xf>
    <xf numFmtId="0" fontId="1" fillId="4" borderId="2" xfId="0" applyFont="1" applyFill="1" applyBorder="1" applyAlignment="1">
      <alignment horizontal="center"/>
    </xf>
    <xf numFmtId="49" fontId="1" fillId="4" borderId="2" xfId="0" applyNumberFormat="1" applyFont="1" applyFill="1" applyBorder="1" applyAlignment="1">
      <alignment horizontal="center" wrapText="1"/>
    </xf>
    <xf numFmtId="0" fontId="1" fillId="4" borderId="2" xfId="0" applyFont="1" applyFill="1" applyBorder="1" applyAlignment="1">
      <alignment horizontal="center" wrapText="1"/>
    </xf>
    <xf numFmtId="0" fontId="1" fillId="4" borderId="7" xfId="0" applyFont="1" applyFill="1" applyBorder="1" applyAlignment="1">
      <alignment horizontal="center" wrapText="1"/>
    </xf>
    <xf numFmtId="0" fontId="2" fillId="0" borderId="12" xfId="0" applyFont="1" applyFill="1" applyBorder="1" applyAlignment="1">
      <alignment horizontal="left"/>
    </xf>
    <xf numFmtId="49" fontId="2" fillId="0" borderId="12" xfId="0" applyNumberFormat="1" applyFont="1" applyFill="1" applyBorder="1" applyAlignment="1">
      <alignment horizontal="left" wrapText="1"/>
    </xf>
    <xf numFmtId="0" fontId="2" fillId="0" borderId="12" xfId="0" applyFont="1" applyFill="1" applyBorder="1" applyAlignment="1">
      <alignment horizontal="left" wrapText="1"/>
    </xf>
    <xf numFmtId="0" fontId="2" fillId="0" borderId="6" xfId="0" applyFont="1" applyFill="1" applyBorder="1" applyAlignment="1">
      <alignment horizontal="left"/>
    </xf>
    <xf numFmtId="0" fontId="2" fillId="0" borderId="1" xfId="0" applyFont="1" applyFill="1" applyBorder="1" applyAlignment="1">
      <alignment horizontal="left"/>
    </xf>
    <xf numFmtId="0" fontId="2" fillId="0" borderId="10" xfId="0" applyFont="1" applyFill="1" applyBorder="1" applyAlignment="1">
      <alignment horizontal="left"/>
    </xf>
    <xf numFmtId="49" fontId="0" fillId="0" borderId="6" xfId="0" applyNumberFormat="1" applyFill="1" applyBorder="1" applyAlignment="1">
      <alignment wrapText="1"/>
    </xf>
    <xf numFmtId="49" fontId="0" fillId="0" borderId="1" xfId="0" applyNumberFormat="1" applyFill="1" applyBorder="1" applyAlignment="1">
      <alignment wrapText="1"/>
    </xf>
    <xf numFmtId="49" fontId="0" fillId="3" borderId="6" xfId="0" applyNumberFormat="1" applyFill="1" applyBorder="1" applyAlignment="1">
      <alignment wrapText="1"/>
    </xf>
    <xf numFmtId="49" fontId="0" fillId="3" borderId="17" xfId="0" applyNumberFormat="1" applyFill="1" applyBorder="1" applyAlignment="1">
      <alignment wrapText="1"/>
    </xf>
    <xf numFmtId="49" fontId="0" fillId="0" borderId="10" xfId="0" applyNumberFormat="1" applyFill="1" applyBorder="1" applyAlignment="1">
      <alignment wrapText="1"/>
    </xf>
    <xf numFmtId="49" fontId="0" fillId="0" borderId="3" xfId="0" applyNumberFormat="1" applyFill="1" applyBorder="1" applyAlignment="1">
      <alignment wrapText="1"/>
    </xf>
    <xf numFmtId="49" fontId="0" fillId="3" borderId="3" xfId="0" applyNumberFormat="1" applyFill="1" applyBorder="1" applyAlignment="1">
      <alignment wrapText="1"/>
    </xf>
    <xf numFmtId="49" fontId="0" fillId="3" borderId="10" xfId="0" applyNumberFormat="1" applyFill="1" applyBorder="1" applyAlignment="1">
      <alignment wrapText="1"/>
    </xf>
    <xf numFmtId="49" fontId="0" fillId="0" borderId="17" xfId="0" applyNumberFormat="1" applyFill="1" applyBorder="1" applyAlignment="1">
      <alignment wrapText="1"/>
    </xf>
    <xf numFmtId="0" fontId="4" fillId="2" borderId="18" xfId="0" applyFont="1" applyFill="1" applyBorder="1" applyAlignment="1">
      <alignment horizontal="right"/>
    </xf>
    <xf numFmtId="0" fontId="4" fillId="2" borderId="2" xfId="0" applyFont="1" applyFill="1" applyBorder="1" applyAlignment="1"/>
    <xf numFmtId="0" fontId="4" fillId="2" borderId="2" xfId="0" applyFont="1" applyFill="1" applyBorder="1" applyAlignment="1">
      <alignment wrapText="1"/>
    </xf>
    <xf numFmtId="0" fontId="4" fillId="2" borderId="27" xfId="0" applyFont="1" applyFill="1" applyBorder="1" applyAlignment="1">
      <alignment horizontal="right"/>
    </xf>
    <xf numFmtId="0" fontId="4" fillId="2" borderId="4" xfId="0" applyFont="1" applyFill="1" applyBorder="1" applyAlignment="1"/>
    <xf numFmtId="0" fontId="4" fillId="2" borderId="26" xfId="0" applyFont="1" applyFill="1" applyBorder="1" applyAlignment="1"/>
    <xf numFmtId="0" fontId="4" fillId="2" borderId="28" xfId="0" applyFont="1" applyFill="1" applyBorder="1" applyAlignment="1">
      <alignment horizontal="right"/>
    </xf>
    <xf numFmtId="0" fontId="4" fillId="2" borderId="1" xfId="0" applyFont="1" applyFill="1" applyBorder="1" applyAlignment="1"/>
    <xf numFmtId="0" fontId="4" fillId="2" borderId="15" xfId="0" applyFont="1" applyFill="1" applyBorder="1" applyAlignment="1"/>
    <xf numFmtId="0" fontId="4" fillId="2" borderId="1" xfId="0" applyFont="1" applyFill="1" applyBorder="1" applyAlignment="1">
      <alignment horizontal="right"/>
    </xf>
    <xf numFmtId="0" fontId="4" fillId="2" borderId="17" xfId="0" applyFont="1" applyFill="1" applyBorder="1" applyAlignment="1">
      <alignment horizontal="right"/>
    </xf>
    <xf numFmtId="0" fontId="4" fillId="2" borderId="17" xfId="0" applyFont="1" applyFill="1" applyBorder="1" applyAlignment="1"/>
    <xf numFmtId="0" fontId="4" fillId="2" borderId="21" xfId="0" applyFont="1" applyFill="1" applyBorder="1" applyAlignment="1"/>
    <xf numFmtId="0" fontId="4" fillId="2" borderId="20" xfId="0" applyFont="1" applyFill="1" applyBorder="1" applyAlignment="1">
      <alignment horizontal="right"/>
    </xf>
    <xf numFmtId="0" fontId="4" fillId="2" borderId="20" xfId="0" applyFont="1" applyFill="1" applyBorder="1" applyAlignment="1">
      <alignment wrapText="1"/>
    </xf>
    <xf numFmtId="0" fontId="4" fillId="2" borderId="20" xfId="0" applyFont="1" applyFill="1" applyBorder="1" applyAlignment="1"/>
    <xf numFmtId="49" fontId="4" fillId="3" borderId="20" xfId="0" applyNumberFormat="1" applyFont="1" applyFill="1" applyBorder="1" applyAlignment="1"/>
    <xf numFmtId="49" fontId="4" fillId="3" borderId="22" xfId="0" applyNumberFormat="1" applyFont="1" applyFill="1" applyBorder="1" applyAlignment="1"/>
    <xf numFmtId="49" fontId="4" fillId="3" borderId="1" xfId="0" applyNumberFormat="1" applyFont="1" applyFill="1" applyBorder="1" applyAlignment="1"/>
    <xf numFmtId="49" fontId="4" fillId="3" borderId="15" xfId="0" applyNumberFormat="1" applyFont="1" applyFill="1" applyBorder="1" applyAlignment="1"/>
    <xf numFmtId="49" fontId="4" fillId="3" borderId="17" xfId="0" applyNumberFormat="1" applyFont="1" applyFill="1" applyBorder="1" applyAlignment="1"/>
    <xf numFmtId="49" fontId="4" fillId="3" borderId="21" xfId="0" applyNumberFormat="1" applyFont="1" applyFill="1" applyBorder="1" applyAlignment="1"/>
    <xf numFmtId="0" fontId="4" fillId="2" borderId="2" xfId="0" applyFont="1" applyFill="1" applyBorder="1" applyAlignment="1">
      <alignment horizontal="right"/>
    </xf>
    <xf numFmtId="49" fontId="4" fillId="2" borderId="2" xfId="0" applyNumberFormat="1" applyFont="1" applyFill="1" applyBorder="1" applyAlignment="1"/>
    <xf numFmtId="0" fontId="4" fillId="2" borderId="3" xfId="0" applyFont="1" applyFill="1" applyBorder="1" applyAlignment="1">
      <alignment horizontal="right"/>
    </xf>
    <xf numFmtId="0" fontId="4" fillId="2" borderId="3" xfId="0" applyFont="1" applyFill="1" applyBorder="1" applyAlignment="1">
      <alignment wrapText="1"/>
    </xf>
    <xf numFmtId="0" fontId="4" fillId="2" borderId="3" xfId="0" applyFont="1" applyFill="1" applyBorder="1" applyAlignment="1"/>
    <xf numFmtId="0" fontId="4" fillId="2" borderId="6" xfId="0" applyFont="1" applyFill="1" applyBorder="1" applyAlignment="1">
      <alignment horizontal="right"/>
    </xf>
    <xf numFmtId="0" fontId="4" fillId="2" borderId="6" xfId="0" applyFont="1" applyFill="1" applyBorder="1" applyAlignment="1">
      <alignment wrapText="1"/>
    </xf>
    <xf numFmtId="0" fontId="4" fillId="2" borderId="6" xfId="0" applyFont="1" applyFill="1" applyBorder="1" applyAlignment="1"/>
    <xf numFmtId="0" fontId="4" fillId="2" borderId="1" xfId="0" applyFont="1" applyFill="1" applyBorder="1" applyAlignment="1">
      <alignment wrapText="1"/>
    </xf>
    <xf numFmtId="0" fontId="4" fillId="2" borderId="4" xfId="0" applyFont="1" applyFill="1" applyBorder="1" applyAlignment="1">
      <alignment horizontal="right"/>
    </xf>
    <xf numFmtId="0" fontId="4" fillId="2" borderId="4" xfId="0" applyFont="1" applyFill="1" applyBorder="1" applyAlignment="1">
      <alignment wrapText="1"/>
    </xf>
    <xf numFmtId="0" fontId="4" fillId="2" borderId="12" xfId="0" applyFont="1" applyFill="1" applyBorder="1" applyAlignment="1">
      <alignment horizontal="right"/>
    </xf>
    <xf numFmtId="0" fontId="4" fillId="2" borderId="12" xfId="0" applyFont="1" applyFill="1" applyBorder="1" applyAlignment="1">
      <alignment wrapText="1"/>
    </xf>
    <xf numFmtId="49" fontId="0" fillId="0" borderId="14" xfId="0" applyNumberFormat="1" applyFill="1" applyBorder="1" applyAlignment="1">
      <alignment wrapText="1"/>
    </xf>
    <xf numFmtId="49" fontId="0" fillId="2" borderId="26" xfId="0" applyNumberFormat="1" applyFill="1" applyBorder="1" applyAlignment="1">
      <alignment wrapText="1"/>
    </xf>
    <xf numFmtId="49" fontId="0" fillId="2" borderId="24" xfId="0" applyNumberFormat="1" applyFill="1" applyBorder="1" applyAlignment="1">
      <alignment wrapText="1"/>
    </xf>
    <xf numFmtId="49" fontId="0" fillId="2" borderId="13" xfId="0" applyNumberFormat="1" applyFill="1" applyBorder="1" applyAlignment="1">
      <alignment wrapText="1"/>
    </xf>
    <xf numFmtId="49" fontId="2" fillId="0" borderId="31" xfId="0" applyNumberFormat="1" applyFont="1" applyFill="1" applyBorder="1" applyAlignment="1">
      <alignment wrapText="1"/>
    </xf>
    <xf numFmtId="49" fontId="0" fillId="2" borderId="7" xfId="0" applyNumberFormat="1" applyFill="1" applyBorder="1" applyAlignment="1"/>
    <xf numFmtId="0" fontId="2" fillId="5" borderId="4" xfId="0" applyFont="1" applyFill="1" applyBorder="1" applyAlignment="1">
      <alignment wrapText="1"/>
    </xf>
    <xf numFmtId="0" fontId="7" fillId="3" borderId="30" xfId="0" applyFont="1" applyFill="1" applyBorder="1" applyAlignment="1"/>
    <xf numFmtId="0" fontId="7" fillId="0" borderId="0" xfId="0" applyFont="1" applyFill="1" applyAlignment="1"/>
    <xf numFmtId="0" fontId="7" fillId="3" borderId="7" xfId="0" applyFont="1" applyFill="1" applyBorder="1" applyAlignment="1"/>
    <xf numFmtId="0" fontId="2" fillId="0" borderId="30" xfId="0" applyFont="1" applyFill="1" applyBorder="1" applyAlignment="1"/>
    <xf numFmtId="0" fontId="10" fillId="0" borderId="1" xfId="0" applyFont="1" applyFill="1" applyBorder="1" applyAlignment="1">
      <alignment wrapText="1"/>
    </xf>
    <xf numFmtId="0" fontId="10" fillId="0" borderId="17" xfId="0" applyFont="1" applyFill="1" applyBorder="1" applyAlignment="1">
      <alignment wrapText="1"/>
    </xf>
    <xf numFmtId="0" fontId="7" fillId="0" borderId="1" xfId="0" applyFont="1" applyFill="1" applyBorder="1" applyAlignment="1">
      <alignment wrapText="1"/>
    </xf>
    <xf numFmtId="0" fontId="10" fillId="0" borderId="3" xfId="0" applyFont="1" applyFill="1" applyBorder="1" applyAlignment="1">
      <alignment wrapText="1"/>
    </xf>
    <xf numFmtId="0" fontId="7" fillId="0" borderId="6" xfId="0" applyFont="1" applyFill="1" applyBorder="1" applyAlignment="1">
      <alignment wrapText="1"/>
    </xf>
    <xf numFmtId="0" fontId="10" fillId="0" borderId="6" xfId="0" applyFont="1" applyFill="1" applyBorder="1" applyAlignment="1">
      <alignment wrapText="1"/>
    </xf>
    <xf numFmtId="0" fontId="2" fillId="3" borderId="25" xfId="0" applyFont="1" applyFill="1" applyBorder="1" applyAlignment="1">
      <alignment horizontal="right"/>
    </xf>
    <xf numFmtId="0" fontId="2" fillId="0" borderId="33" xfId="0" applyFont="1" applyFill="1" applyBorder="1" applyAlignment="1">
      <alignment horizontal="right"/>
    </xf>
    <xf numFmtId="0" fontId="2" fillId="3" borderId="33" xfId="0" applyFont="1" applyFill="1" applyBorder="1" applyAlignment="1">
      <alignment horizontal="right"/>
    </xf>
    <xf numFmtId="0" fontId="2" fillId="0" borderId="25" xfId="0" applyFont="1" applyFill="1" applyBorder="1" applyAlignment="1">
      <alignment horizontal="right" wrapText="1"/>
    </xf>
    <xf numFmtId="0" fontId="2" fillId="0" borderId="29" xfId="0" applyFont="1" applyFill="1" applyBorder="1" applyAlignment="1">
      <alignment horizontal="right" wrapText="1"/>
    </xf>
    <xf numFmtId="0" fontId="2" fillId="0" borderId="33" xfId="0" applyFont="1" applyFill="1" applyBorder="1" applyAlignment="1">
      <alignment horizontal="right" wrapText="1"/>
    </xf>
    <xf numFmtId="0" fontId="2" fillId="2" borderId="33" xfId="0" applyFont="1" applyFill="1" applyBorder="1" applyAlignment="1">
      <alignment horizontal="right"/>
    </xf>
    <xf numFmtId="0" fontId="2" fillId="2" borderId="29" xfId="0" applyFont="1" applyFill="1" applyBorder="1" applyAlignment="1">
      <alignment horizontal="right"/>
    </xf>
    <xf numFmtId="0" fontId="2" fillId="2" borderId="25" xfId="0" applyFont="1" applyFill="1" applyBorder="1" applyAlignment="1">
      <alignment horizontal="right"/>
    </xf>
    <xf numFmtId="0" fontId="0" fillId="2" borderId="29" xfId="0" applyFill="1" applyBorder="1" applyAlignment="1">
      <alignment horizontal="right"/>
    </xf>
    <xf numFmtId="0" fontId="2" fillId="0" borderId="0" xfId="1" applyFont="1" applyAlignment="1"/>
    <xf numFmtId="0" fontId="2" fillId="0" borderId="0" xfId="1" applyFont="1" applyFill="1" applyAlignment="1"/>
    <xf numFmtId="0" fontId="2" fillId="0" borderId="0" xfId="1" applyFont="1" applyBorder="1" applyAlignment="1"/>
    <xf numFmtId="49" fontId="2" fillId="2" borderId="7" xfId="1" applyNumberFormat="1" applyFont="1" applyFill="1" applyBorder="1" applyAlignment="1">
      <alignment wrapText="1"/>
    </xf>
    <xf numFmtId="0" fontId="2" fillId="2" borderId="2" xfId="1" applyFont="1" applyFill="1" applyBorder="1" applyAlignment="1">
      <alignment vertical="top" wrapText="1"/>
    </xf>
    <xf numFmtId="0" fontId="2" fillId="2" borderId="2" xfId="1" applyFont="1" applyFill="1" applyBorder="1" applyAlignment="1">
      <alignment horizontal="right" vertical="top"/>
    </xf>
    <xf numFmtId="0" fontId="2" fillId="2" borderId="18" xfId="1" applyFont="1" applyFill="1" applyBorder="1" applyAlignment="1">
      <alignment horizontal="right"/>
    </xf>
    <xf numFmtId="0" fontId="2" fillId="2" borderId="5" xfId="1" applyFont="1" applyFill="1" applyBorder="1" applyAlignment="1">
      <alignment horizontal="right"/>
    </xf>
    <xf numFmtId="49" fontId="2" fillId="2" borderId="24" xfId="1" applyNumberFormat="1" applyFont="1" applyFill="1" applyBorder="1" applyAlignment="1">
      <alignment wrapText="1"/>
    </xf>
    <xf numFmtId="0" fontId="2" fillId="2" borderId="4" xfId="1" applyFont="1" applyFill="1" applyBorder="1" applyAlignment="1">
      <alignment vertical="top" wrapText="1"/>
    </xf>
    <xf numFmtId="0" fontId="2" fillId="2" borderId="4" xfId="1" applyFont="1" applyFill="1" applyBorder="1" applyAlignment="1">
      <alignment horizontal="right" vertical="top"/>
    </xf>
    <xf numFmtId="49" fontId="2" fillId="2" borderId="13" xfId="1" applyNumberFormat="1" applyFont="1" applyFill="1" applyBorder="1" applyAlignment="1">
      <alignment wrapText="1"/>
    </xf>
    <xf numFmtId="0" fontId="2" fillId="2" borderId="12" xfId="1" applyFont="1" applyFill="1" applyBorder="1" applyAlignment="1">
      <alignment vertical="top" wrapText="1"/>
    </xf>
    <xf numFmtId="0" fontId="2" fillId="2" borderId="12" xfId="1" applyFont="1" applyFill="1" applyBorder="1" applyAlignment="1">
      <alignment horizontal="right" vertical="top"/>
    </xf>
    <xf numFmtId="0" fontId="2" fillId="2" borderId="18" xfId="1" applyFont="1" applyFill="1" applyBorder="1" applyAlignment="1">
      <alignment horizontal="right" vertical="top"/>
    </xf>
    <xf numFmtId="49" fontId="2" fillId="2" borderId="26" xfId="1" applyNumberFormat="1" applyFont="1" applyFill="1" applyBorder="1" applyAlignment="1">
      <alignment wrapText="1"/>
    </xf>
    <xf numFmtId="0" fontId="2" fillId="2" borderId="20" xfId="1" applyFont="1" applyFill="1" applyBorder="1" applyAlignment="1">
      <alignment vertical="top" wrapText="1"/>
    </xf>
    <xf numFmtId="0" fontId="2" fillId="2" borderId="20" xfId="1" applyFont="1" applyFill="1" applyBorder="1" applyAlignment="1">
      <alignment horizontal="right" vertical="top"/>
    </xf>
    <xf numFmtId="0" fontId="2" fillId="2" borderId="20" xfId="1" applyFont="1" applyFill="1" applyBorder="1" applyAlignment="1">
      <alignment horizontal="right"/>
    </xf>
    <xf numFmtId="0" fontId="2" fillId="2" borderId="19" xfId="1" applyFont="1" applyFill="1" applyBorder="1" applyAlignment="1">
      <alignment horizontal="right"/>
    </xf>
    <xf numFmtId="0" fontId="2" fillId="2" borderId="2" xfId="1" applyFont="1" applyFill="1" applyBorder="1" applyAlignment="1">
      <alignment horizontal="right"/>
    </xf>
    <xf numFmtId="0" fontId="2" fillId="2" borderId="21" xfId="1" applyFont="1" applyFill="1" applyBorder="1" applyAlignment="1">
      <alignment wrapText="1"/>
    </xf>
    <xf numFmtId="0" fontId="2" fillId="2" borderId="17" xfId="1" applyFont="1" applyFill="1" applyBorder="1" applyAlignment="1"/>
    <xf numFmtId="0" fontId="2" fillId="2" borderId="17" xfId="1" applyFont="1" applyFill="1" applyBorder="1" applyAlignment="1">
      <alignment horizontal="right"/>
    </xf>
    <xf numFmtId="0" fontId="2" fillId="2" borderId="14" xfId="1" applyFont="1" applyFill="1" applyBorder="1" applyAlignment="1">
      <alignment wrapText="1"/>
    </xf>
    <xf numFmtId="0" fontId="2" fillId="2" borderId="6" xfId="1" applyFont="1" applyFill="1" applyBorder="1" applyAlignment="1">
      <alignment vertical="top"/>
    </xf>
    <xf numFmtId="0" fontId="2" fillId="2" borderId="6" xfId="1" applyFont="1" applyFill="1" applyBorder="1" applyAlignment="1">
      <alignment horizontal="right" vertical="top"/>
    </xf>
    <xf numFmtId="0" fontId="2" fillId="2" borderId="6" xfId="1" applyFont="1" applyFill="1" applyBorder="1" applyAlignment="1">
      <alignment horizontal="right"/>
    </xf>
    <xf numFmtId="0" fontId="2" fillId="2" borderId="16" xfId="1" applyFont="1" applyFill="1" applyBorder="1" applyAlignment="1">
      <alignment wrapText="1"/>
    </xf>
    <xf numFmtId="0" fontId="2" fillId="2" borderId="10" xfId="1" applyFont="1" applyFill="1" applyBorder="1" applyAlignment="1"/>
    <xf numFmtId="0" fontId="2" fillId="2" borderId="10" xfId="1" applyFont="1" applyFill="1" applyBorder="1" applyAlignment="1">
      <alignment horizontal="right"/>
    </xf>
    <xf numFmtId="0" fontId="2" fillId="2" borderId="9" xfId="1" applyFont="1" applyFill="1" applyBorder="1" applyAlignment="1">
      <alignment horizontal="right"/>
    </xf>
    <xf numFmtId="0" fontId="2" fillId="2" borderId="22" xfId="1" applyFont="1" applyFill="1" applyBorder="1" applyAlignment="1">
      <alignment wrapText="1"/>
    </xf>
    <xf numFmtId="0" fontId="2" fillId="2" borderId="3" xfId="1" applyFont="1" applyFill="1" applyBorder="1" applyAlignment="1">
      <alignment vertical="top"/>
    </xf>
    <xf numFmtId="0" fontId="2" fillId="2" borderId="3" xfId="1" applyFont="1" applyFill="1" applyBorder="1" applyAlignment="1">
      <alignment vertical="top" wrapText="1"/>
    </xf>
    <xf numFmtId="0" fontId="2" fillId="2" borderId="3" xfId="1" applyFont="1" applyFill="1" applyBorder="1" applyAlignment="1">
      <alignment horizontal="right" vertical="top"/>
    </xf>
    <xf numFmtId="0" fontId="2" fillId="2" borderId="3" xfId="1" applyFont="1" applyFill="1" applyBorder="1" applyAlignment="1">
      <alignment horizontal="right"/>
    </xf>
    <xf numFmtId="0" fontId="2" fillId="2" borderId="8" xfId="1" applyFont="1" applyFill="1" applyBorder="1" applyAlignment="1">
      <alignment horizontal="right"/>
    </xf>
    <xf numFmtId="0" fontId="2" fillId="2" borderId="6" xfId="1" applyFont="1" applyFill="1" applyBorder="1" applyAlignment="1">
      <alignment vertical="top" wrapText="1"/>
    </xf>
    <xf numFmtId="0" fontId="2" fillId="3" borderId="16" xfId="1" applyFont="1" applyFill="1" applyBorder="1" applyAlignment="1">
      <alignment wrapText="1"/>
    </xf>
    <xf numFmtId="0" fontId="2" fillId="3" borderId="10" xfId="1" applyFont="1" applyFill="1" applyBorder="1" applyAlignment="1"/>
    <xf numFmtId="0" fontId="2" fillId="3" borderId="10" xfId="1" applyFont="1" applyFill="1" applyBorder="1" applyAlignment="1">
      <alignment wrapText="1"/>
    </xf>
    <xf numFmtId="0" fontId="2" fillId="3" borderId="10" xfId="1" applyFont="1" applyFill="1" applyBorder="1" applyAlignment="1">
      <alignment horizontal="right"/>
    </xf>
    <xf numFmtId="0" fontId="2" fillId="3" borderId="9" xfId="1" applyFont="1" applyFill="1" applyBorder="1" applyAlignment="1">
      <alignment horizontal="right"/>
    </xf>
    <xf numFmtId="0" fontId="2" fillId="3" borderId="15" xfId="1" applyFont="1" applyFill="1" applyBorder="1" applyAlignment="1">
      <alignment wrapText="1"/>
    </xf>
    <xf numFmtId="0" fontId="2" fillId="3" borderId="1" xfId="1" applyFont="1" applyFill="1" applyBorder="1" applyAlignment="1">
      <alignment vertical="top"/>
    </xf>
    <xf numFmtId="0" fontId="2" fillId="3" borderId="1" xfId="1" applyFont="1" applyFill="1" applyBorder="1" applyAlignment="1">
      <alignment vertical="top" wrapText="1"/>
    </xf>
    <xf numFmtId="0" fontId="2" fillId="3" borderId="1" xfId="1" applyFont="1" applyFill="1" applyBorder="1" applyAlignment="1">
      <alignment horizontal="right" vertical="top"/>
    </xf>
    <xf numFmtId="0" fontId="2" fillId="3" borderId="1" xfId="1" applyFont="1" applyFill="1" applyBorder="1" applyAlignment="1">
      <alignment horizontal="right"/>
    </xf>
    <xf numFmtId="0" fontId="2" fillId="3" borderId="23" xfId="1" applyFont="1" applyFill="1" applyBorder="1" applyAlignment="1">
      <alignment horizontal="right"/>
    </xf>
    <xf numFmtId="0" fontId="2" fillId="3" borderId="22" xfId="1" applyFont="1" applyFill="1" applyBorder="1" applyAlignment="1">
      <alignment wrapText="1"/>
    </xf>
    <xf numFmtId="0" fontId="2" fillId="3" borderId="3" xfId="1" applyFont="1" applyFill="1" applyBorder="1" applyAlignment="1">
      <alignment vertical="top"/>
    </xf>
    <xf numFmtId="0" fontId="2" fillId="3" borderId="3" xfId="1" applyFont="1" applyFill="1" applyBorder="1" applyAlignment="1">
      <alignment vertical="top" wrapText="1"/>
    </xf>
    <xf numFmtId="0" fontId="2" fillId="3" borderId="3" xfId="1" applyFont="1" applyFill="1" applyBorder="1" applyAlignment="1">
      <alignment horizontal="right" vertical="top"/>
    </xf>
    <xf numFmtId="0" fontId="2" fillId="3" borderId="3" xfId="1" applyFont="1" applyFill="1" applyBorder="1" applyAlignment="1">
      <alignment horizontal="right"/>
    </xf>
    <xf numFmtId="0" fontId="2" fillId="3" borderId="8" xfId="1" applyFont="1" applyFill="1" applyBorder="1" applyAlignment="1">
      <alignment horizontal="right"/>
    </xf>
    <xf numFmtId="0" fontId="2" fillId="3" borderId="21" xfId="1" applyFont="1" applyFill="1" applyBorder="1" applyAlignment="1">
      <alignment wrapText="1"/>
    </xf>
    <xf numFmtId="0" fontId="2" fillId="3" borderId="17" xfId="1" applyFont="1" applyFill="1" applyBorder="1" applyAlignment="1"/>
    <xf numFmtId="0" fontId="2" fillId="3" borderId="17" xfId="1" applyFont="1" applyFill="1" applyBorder="1" applyAlignment="1">
      <alignment wrapText="1"/>
    </xf>
    <xf numFmtId="0" fontId="2" fillId="3" borderId="17" xfId="1" applyFont="1" applyFill="1" applyBorder="1" applyAlignment="1">
      <alignment horizontal="right"/>
    </xf>
    <xf numFmtId="0" fontId="2" fillId="3" borderId="14" xfId="1" applyFont="1" applyFill="1" applyBorder="1" applyAlignment="1">
      <alignment wrapText="1"/>
    </xf>
    <xf numFmtId="0" fontId="2" fillId="3" borderId="6" xfId="1" applyFont="1" applyFill="1" applyBorder="1" applyAlignment="1">
      <alignment vertical="top" wrapText="1"/>
    </xf>
    <xf numFmtId="0" fontId="2" fillId="3" borderId="6" xfId="1" applyFont="1" applyFill="1" applyBorder="1" applyAlignment="1">
      <alignment horizontal="right" vertical="top"/>
    </xf>
    <xf numFmtId="0" fontId="2" fillId="3" borderId="6" xfId="1" applyFont="1" applyFill="1" applyBorder="1" applyAlignment="1">
      <alignment horizontal="right"/>
    </xf>
    <xf numFmtId="49" fontId="2" fillId="2" borderId="7" xfId="1" applyNumberFormat="1" applyFont="1" applyFill="1" applyBorder="1" applyAlignment="1"/>
    <xf numFmtId="0" fontId="2" fillId="2" borderId="2" xfId="1" applyFont="1" applyFill="1" applyBorder="1" applyAlignment="1">
      <alignment vertical="top"/>
    </xf>
    <xf numFmtId="49" fontId="2" fillId="3" borderId="21" xfId="1" applyNumberFormat="1" applyFont="1" applyFill="1" applyBorder="1" applyAlignment="1">
      <alignment vertical="top"/>
    </xf>
    <xf numFmtId="0" fontId="2" fillId="3" borderId="17" xfId="1" applyFont="1" applyFill="1" applyBorder="1" applyAlignment="1">
      <alignment vertical="top"/>
    </xf>
    <xf numFmtId="0" fontId="2" fillId="3" borderId="17" xfId="1" applyFont="1" applyFill="1" applyBorder="1" applyAlignment="1">
      <alignment horizontal="right" vertical="top"/>
    </xf>
    <xf numFmtId="49" fontId="2" fillId="3" borderId="15" xfId="1" applyNumberFormat="1" applyFont="1" applyFill="1" applyBorder="1" applyAlignment="1">
      <alignment vertical="top"/>
    </xf>
    <xf numFmtId="49" fontId="2" fillId="3" borderId="26" xfId="1" applyNumberFormat="1" applyFont="1" applyFill="1" applyBorder="1" applyAlignment="1">
      <alignment vertical="top"/>
    </xf>
    <xf numFmtId="0" fontId="2" fillId="3" borderId="20" xfId="1" applyFont="1" applyFill="1" applyBorder="1" applyAlignment="1">
      <alignment vertical="top"/>
    </xf>
    <xf numFmtId="0" fontId="2" fillId="3" borderId="20" xfId="1" applyFont="1" applyFill="1" applyBorder="1" applyAlignment="1">
      <alignment vertical="top" wrapText="1"/>
    </xf>
    <xf numFmtId="0" fontId="2" fillId="3" borderId="20" xfId="1" applyFont="1" applyFill="1" applyBorder="1" applyAlignment="1">
      <alignment horizontal="right" vertical="top"/>
    </xf>
    <xf numFmtId="0" fontId="2" fillId="3" borderId="20" xfId="1" applyFont="1" applyFill="1" applyBorder="1" applyAlignment="1">
      <alignment horizontal="right"/>
    </xf>
    <xf numFmtId="0" fontId="2" fillId="3" borderId="19" xfId="1" applyFont="1" applyFill="1" applyBorder="1" applyAlignment="1">
      <alignment horizontal="right"/>
    </xf>
    <xf numFmtId="0" fontId="2" fillId="2" borderId="21" xfId="1" applyFont="1" applyFill="1" applyBorder="1" applyAlignment="1">
      <alignment vertical="top"/>
    </xf>
    <xf numFmtId="0" fontId="2" fillId="2" borderId="17" xfId="1" applyFont="1" applyFill="1" applyBorder="1" applyAlignment="1">
      <alignment vertical="top"/>
    </xf>
    <xf numFmtId="0" fontId="2" fillId="2" borderId="17" xfId="1" applyFont="1" applyFill="1" applyBorder="1" applyAlignment="1">
      <alignment horizontal="right" vertical="top"/>
    </xf>
    <xf numFmtId="0" fontId="2" fillId="2" borderId="15" xfId="1" applyFont="1" applyFill="1" applyBorder="1" applyAlignment="1">
      <alignment vertical="top"/>
    </xf>
    <xf numFmtId="0" fontId="2" fillId="2" borderId="1" xfId="1" applyFont="1" applyFill="1" applyBorder="1" applyAlignment="1">
      <alignment vertical="top"/>
    </xf>
    <xf numFmtId="0" fontId="2" fillId="2" borderId="1" xfId="1" applyFont="1" applyFill="1" applyBorder="1" applyAlignment="1">
      <alignment horizontal="right" vertical="top"/>
    </xf>
    <xf numFmtId="0" fontId="2" fillId="2" borderId="1" xfId="1" applyFont="1" applyFill="1" applyBorder="1" applyAlignment="1">
      <alignment horizontal="right"/>
    </xf>
    <xf numFmtId="0" fontId="2" fillId="2" borderId="28" xfId="1" applyFont="1" applyFill="1" applyBorder="1" applyAlignment="1">
      <alignment horizontal="right" vertical="top"/>
    </xf>
    <xf numFmtId="0" fontId="2" fillId="2" borderId="24" xfId="1" applyFont="1" applyFill="1" applyBorder="1" applyAlignment="1">
      <alignment vertical="top"/>
    </xf>
    <xf numFmtId="0" fontId="2" fillId="2" borderId="4" xfId="1" applyFont="1" applyFill="1" applyBorder="1" applyAlignment="1">
      <alignment vertical="top"/>
    </xf>
    <xf numFmtId="0" fontId="2" fillId="2" borderId="27" xfId="1" applyFont="1" applyFill="1" applyBorder="1" applyAlignment="1">
      <alignment horizontal="right" vertical="top"/>
    </xf>
    <xf numFmtId="0" fontId="2" fillId="2" borderId="4" xfId="1" applyFont="1" applyFill="1" applyBorder="1" applyAlignment="1">
      <alignment horizontal="right"/>
    </xf>
    <xf numFmtId="0" fontId="2" fillId="2" borderId="7" xfId="1" applyFont="1" applyFill="1" applyBorder="1" applyAlignment="1">
      <alignment wrapText="1"/>
    </xf>
    <xf numFmtId="0" fontId="2" fillId="0" borderId="24" xfId="1" applyFont="1" applyFill="1" applyBorder="1" applyAlignment="1">
      <alignment wrapText="1"/>
    </xf>
    <xf numFmtId="0" fontId="2" fillId="0" borderId="4" xfId="1" applyFont="1" applyFill="1" applyBorder="1" applyAlignment="1">
      <alignment horizontal="left" wrapText="1"/>
    </xf>
    <xf numFmtId="0" fontId="2" fillId="0" borderId="4" xfId="1" applyFont="1" applyFill="1" applyBorder="1" applyAlignment="1">
      <alignment horizontal="right"/>
    </xf>
    <xf numFmtId="0" fontId="2" fillId="3" borderId="2" xfId="1" applyFont="1" applyFill="1" applyBorder="1" applyAlignment="1">
      <alignment wrapText="1"/>
    </xf>
    <xf numFmtId="0" fontId="2" fillId="3" borderId="2" xfId="1" applyFont="1" applyFill="1" applyBorder="1" applyAlignment="1">
      <alignment horizontal="right" wrapText="1"/>
    </xf>
    <xf numFmtId="0" fontId="2" fillId="3" borderId="5" xfId="1" applyFont="1" applyFill="1" applyBorder="1" applyAlignment="1">
      <alignment horizontal="right" wrapText="1"/>
    </xf>
    <xf numFmtId="0" fontId="2" fillId="0" borderId="7" xfId="1" applyFont="1" applyFill="1" applyBorder="1" applyAlignment="1">
      <alignment wrapText="1"/>
    </xf>
    <xf numFmtId="0" fontId="2" fillId="0" borderId="2" xfId="1" applyFont="1" applyFill="1" applyBorder="1" applyAlignment="1">
      <alignment wrapText="1"/>
    </xf>
    <xf numFmtId="0" fontId="2" fillId="0" borderId="2" xfId="1" applyFont="1" applyFill="1" applyBorder="1" applyAlignment="1">
      <alignment horizontal="right" wrapText="1"/>
    </xf>
    <xf numFmtId="0" fontId="2" fillId="0" borderId="5" xfId="1" applyFont="1" applyFill="1" applyBorder="1" applyAlignment="1">
      <alignment horizontal="right" wrapText="1"/>
    </xf>
    <xf numFmtId="0" fontId="2" fillId="0" borderId="4" xfId="1" applyFont="1" applyFill="1" applyBorder="1" applyAlignment="1">
      <alignment wrapText="1"/>
    </xf>
    <xf numFmtId="0" fontId="2" fillId="0" borderId="4" xfId="1" applyFont="1" applyFill="1" applyBorder="1" applyAlignment="1">
      <alignment horizontal="right" wrapText="1"/>
    </xf>
    <xf numFmtId="0" fontId="2" fillId="3" borderId="7" xfId="1" applyFont="1" applyFill="1" applyBorder="1" applyAlignment="1"/>
    <xf numFmtId="0" fontId="2" fillId="0" borderId="17" xfId="1" applyFont="1" applyFill="1" applyBorder="1" applyAlignment="1">
      <alignment wrapText="1"/>
    </xf>
    <xf numFmtId="0" fontId="2" fillId="0" borderId="17" xfId="1" applyFont="1" applyFill="1" applyBorder="1" applyAlignment="1">
      <alignment horizontal="right" wrapText="1"/>
    </xf>
    <xf numFmtId="49" fontId="2" fillId="0" borderId="14" xfId="1" applyNumberFormat="1" applyFont="1" applyFill="1" applyBorder="1" applyAlignment="1">
      <alignment wrapText="1"/>
    </xf>
    <xf numFmtId="0" fontId="2" fillId="0" borderId="6" xfId="1" applyFont="1" applyFill="1" applyBorder="1" applyAlignment="1">
      <alignment wrapText="1"/>
    </xf>
    <xf numFmtId="0" fontId="2" fillId="0" borderId="6" xfId="1" applyFont="1" applyFill="1" applyBorder="1" applyAlignment="1">
      <alignment horizontal="right" wrapText="1"/>
    </xf>
    <xf numFmtId="49" fontId="2" fillId="0" borderId="16" xfId="1" applyNumberFormat="1" applyFont="1" applyFill="1" applyBorder="1" applyAlignment="1">
      <alignment wrapText="1"/>
    </xf>
    <xf numFmtId="0" fontId="2" fillId="0" borderId="10" xfId="1" applyFont="1" applyFill="1" applyBorder="1" applyAlignment="1">
      <alignment wrapText="1"/>
    </xf>
    <xf numFmtId="0" fontId="2" fillId="0" borderId="10" xfId="1" applyFont="1" applyFill="1" applyBorder="1" applyAlignment="1">
      <alignment horizontal="right" wrapText="1"/>
    </xf>
    <xf numFmtId="0" fontId="2" fillId="0" borderId="9" xfId="1" applyFont="1" applyFill="1" applyBorder="1" applyAlignment="1">
      <alignment horizontal="right" wrapText="1"/>
    </xf>
    <xf numFmtId="0" fontId="2" fillId="0" borderId="3" xfId="1" applyFont="1" applyFill="1" applyBorder="1" applyAlignment="1">
      <alignment wrapText="1"/>
    </xf>
    <xf numFmtId="0" fontId="2" fillId="0" borderId="3" xfId="1" applyFont="1" applyFill="1" applyBorder="1" applyAlignment="1">
      <alignment horizontal="right" wrapText="1"/>
    </xf>
    <xf numFmtId="0" fontId="2" fillId="0" borderId="8" xfId="1" applyFont="1" applyFill="1" applyBorder="1" applyAlignment="1">
      <alignment horizontal="right" wrapText="1"/>
    </xf>
    <xf numFmtId="0" fontId="2" fillId="0" borderId="2" xfId="1" applyFont="1" applyFill="1" applyBorder="1" applyAlignment="1"/>
    <xf numFmtId="0" fontId="2" fillId="0" borderId="2" xfId="1" applyFont="1" applyFill="1" applyBorder="1" applyAlignment="1">
      <alignment horizontal="right"/>
    </xf>
    <xf numFmtId="0" fontId="2" fillId="0" borderId="5" xfId="1" applyFont="1" applyFill="1" applyBorder="1" applyAlignment="1">
      <alignment horizontal="right"/>
    </xf>
    <xf numFmtId="0" fontId="2" fillId="3" borderId="22" xfId="1" applyFont="1" applyFill="1" applyBorder="1" applyAlignment="1"/>
    <xf numFmtId="0" fontId="2" fillId="3" borderId="3" xfId="1" applyFont="1" applyFill="1" applyBorder="1" applyAlignment="1">
      <alignment wrapText="1"/>
    </xf>
    <xf numFmtId="0" fontId="2" fillId="3" borderId="29" xfId="1" applyFont="1" applyFill="1" applyBorder="1" applyAlignment="1">
      <alignment horizontal="right"/>
    </xf>
    <xf numFmtId="0" fontId="2" fillId="3" borderId="1" xfId="1" applyFont="1" applyFill="1" applyBorder="1" applyAlignment="1">
      <alignment wrapText="1"/>
    </xf>
    <xf numFmtId="0" fontId="2" fillId="3" borderId="24" xfId="1" applyFont="1" applyFill="1" applyBorder="1" applyAlignment="1">
      <alignment wrapText="1"/>
    </xf>
    <xf numFmtId="0" fontId="2" fillId="3" borderId="4" xfId="1" applyFont="1" applyFill="1" applyBorder="1" applyAlignment="1">
      <alignment wrapText="1"/>
    </xf>
    <xf numFmtId="0" fontId="2" fillId="3" borderId="4" xfId="1" applyFont="1" applyFill="1" applyBorder="1" applyAlignment="1">
      <alignment horizontal="right"/>
    </xf>
    <xf numFmtId="0" fontId="2" fillId="3" borderId="15" xfId="1" applyFont="1" applyFill="1" applyBorder="1" applyAlignment="1"/>
    <xf numFmtId="0" fontId="2" fillId="3" borderId="6" xfId="1" applyFont="1" applyFill="1" applyBorder="1" applyAlignment="1">
      <alignment wrapText="1"/>
    </xf>
    <xf numFmtId="0" fontId="10" fillId="0" borderId="16" xfId="1" applyNumberFormat="1" applyFont="1" applyFill="1" applyBorder="1" applyAlignment="1"/>
    <xf numFmtId="0" fontId="2" fillId="0" borderId="10" xfId="1" applyFont="1" applyFill="1" applyBorder="1" applyAlignment="1"/>
    <xf numFmtId="0" fontId="2" fillId="0" borderId="10" xfId="1" applyFont="1" applyFill="1" applyBorder="1" applyAlignment="1">
      <alignment horizontal="right"/>
    </xf>
    <xf numFmtId="0" fontId="2" fillId="0" borderId="9" xfId="1" applyFont="1" applyFill="1" applyBorder="1" applyAlignment="1">
      <alignment horizontal="right"/>
    </xf>
    <xf numFmtId="49" fontId="10" fillId="0" borderId="15" xfId="1" applyNumberFormat="1" applyFont="1" applyFill="1" applyBorder="1" applyAlignment="1">
      <alignment wrapText="1"/>
    </xf>
    <xf numFmtId="0" fontId="2" fillId="0" borderId="1" xfId="1" applyFont="1" applyFill="1" applyBorder="1" applyAlignment="1">
      <alignment wrapText="1"/>
    </xf>
    <xf numFmtId="0" fontId="2" fillId="0" borderId="1" xfId="1" applyFont="1" applyFill="1" applyBorder="1" applyAlignment="1">
      <alignment horizontal="right"/>
    </xf>
    <xf numFmtId="0" fontId="2" fillId="0" borderId="23" xfId="1" applyFont="1" applyFill="1" applyBorder="1" applyAlignment="1">
      <alignment horizontal="right"/>
    </xf>
    <xf numFmtId="49" fontId="10" fillId="0" borderId="21" xfId="1" applyNumberFormat="1" applyFont="1" applyFill="1" applyBorder="1" applyAlignment="1">
      <alignment wrapText="1"/>
    </xf>
    <xf numFmtId="0" fontId="2" fillId="0" borderId="3" xfId="1" applyFont="1" applyFill="1" applyBorder="1" applyAlignment="1">
      <alignment horizontal="right"/>
    </xf>
    <xf numFmtId="0" fontId="2" fillId="0" borderId="8" xfId="1" applyFont="1" applyFill="1" applyBorder="1" applyAlignment="1">
      <alignment horizontal="right"/>
    </xf>
    <xf numFmtId="0" fontId="5" fillId="3" borderId="24" xfId="1" applyFont="1" applyFill="1" applyBorder="1" applyAlignment="1"/>
    <xf numFmtId="0" fontId="2" fillId="3" borderId="4" xfId="1" applyFont="1" applyFill="1" applyBorder="1" applyAlignment="1"/>
    <xf numFmtId="0" fontId="2" fillId="3" borderId="1" xfId="1" applyFont="1" applyFill="1" applyBorder="1" applyAlignment="1"/>
    <xf numFmtId="0" fontId="2" fillId="3" borderId="3" xfId="1" applyFont="1" applyFill="1" applyBorder="1" applyAlignment="1"/>
    <xf numFmtId="0" fontId="2" fillId="3" borderId="24" xfId="1" applyFont="1" applyFill="1" applyBorder="1" applyAlignment="1"/>
    <xf numFmtId="0" fontId="2" fillId="0" borderId="1" xfId="1" applyFont="1" applyFill="1" applyBorder="1" applyAlignment="1"/>
    <xf numFmtId="0" fontId="2" fillId="0" borderId="3" xfId="1" applyFont="1" applyFill="1" applyBorder="1" applyAlignment="1"/>
    <xf numFmtId="0" fontId="7" fillId="0" borderId="15" xfId="1" applyFont="1" applyFill="1" applyBorder="1" applyAlignment="1">
      <alignment wrapText="1"/>
    </xf>
    <xf numFmtId="49" fontId="2" fillId="0" borderId="16" xfId="1" applyNumberFormat="1" applyFont="1" applyFill="1" applyBorder="1" applyAlignment="1"/>
    <xf numFmtId="0" fontId="2" fillId="0" borderId="17" xfId="1" applyFont="1" applyFill="1" applyBorder="1" applyAlignment="1">
      <alignment horizontal="right"/>
    </xf>
    <xf numFmtId="49" fontId="2" fillId="0" borderId="15" xfId="1" applyNumberFormat="1" applyFont="1" applyFill="1" applyBorder="1" applyAlignment="1">
      <alignment wrapText="1"/>
    </xf>
    <xf numFmtId="0" fontId="2" fillId="0" borderId="6" xfId="1" applyFont="1" applyFill="1" applyBorder="1" applyAlignment="1">
      <alignment horizontal="right"/>
    </xf>
    <xf numFmtId="0" fontId="2" fillId="3" borderId="16" xfId="1" applyFont="1" applyFill="1" applyBorder="1" applyAlignment="1"/>
    <xf numFmtId="0" fontId="10" fillId="0" borderId="21" xfId="1" applyNumberFormat="1" applyFont="1" applyFill="1" applyBorder="1" applyAlignment="1"/>
    <xf numFmtId="0" fontId="2" fillId="0" borderId="17" xfId="1" applyFont="1" applyFill="1" applyBorder="1" applyAlignment="1"/>
    <xf numFmtId="0" fontId="2" fillId="3" borderId="2" xfId="1" applyFont="1" applyFill="1" applyBorder="1" applyAlignment="1"/>
    <xf numFmtId="0" fontId="2" fillId="3" borderId="2" xfId="1" applyFont="1" applyFill="1" applyBorder="1" applyAlignment="1">
      <alignment horizontal="right"/>
    </xf>
    <xf numFmtId="0" fontId="2" fillId="3" borderId="5" xfId="1" applyFont="1" applyFill="1" applyBorder="1" applyAlignment="1">
      <alignment horizontal="right"/>
    </xf>
    <xf numFmtId="0" fontId="2" fillId="3" borderId="21" xfId="1" applyFont="1" applyFill="1" applyBorder="1" applyAlignment="1"/>
    <xf numFmtId="0" fontId="2" fillId="3" borderId="14" xfId="1" applyFont="1" applyFill="1" applyBorder="1" applyAlignment="1"/>
    <xf numFmtId="0" fontId="2" fillId="3" borderId="6" xfId="1" applyFont="1" applyFill="1" applyBorder="1" applyAlignment="1"/>
    <xf numFmtId="0" fontId="2" fillId="3" borderId="7" xfId="1" applyFont="1" applyFill="1" applyBorder="1" applyAlignment="1">
      <alignment wrapText="1"/>
    </xf>
    <xf numFmtId="0" fontId="2" fillId="0" borderId="6" xfId="1" applyFont="1" applyFill="1" applyBorder="1" applyAlignment="1"/>
    <xf numFmtId="0" fontId="2" fillId="0" borderId="12" xfId="1" applyFont="1" applyFill="1" applyBorder="1" applyAlignment="1">
      <alignment wrapText="1"/>
    </xf>
    <xf numFmtId="0" fontId="2" fillId="0" borderId="12" xfId="1" applyFont="1" applyFill="1" applyBorder="1" applyAlignment="1">
      <alignment horizontal="right"/>
    </xf>
    <xf numFmtId="0" fontId="2" fillId="0" borderId="11" xfId="1" applyFont="1" applyFill="1" applyBorder="1" applyAlignment="1">
      <alignment horizontal="right"/>
    </xf>
    <xf numFmtId="49" fontId="2" fillId="0" borderId="15" xfId="1" applyNumberFormat="1" applyFont="1" applyFill="1" applyBorder="1" applyAlignment="1"/>
    <xf numFmtId="49" fontId="2" fillId="0" borderId="22" xfId="1" applyNumberFormat="1" applyFont="1" applyFill="1" applyBorder="1" applyAlignment="1"/>
    <xf numFmtId="0" fontId="2" fillId="0" borderId="25" xfId="1" applyFont="1" applyFill="1" applyBorder="1" applyAlignment="1">
      <alignment horizontal="right"/>
    </xf>
    <xf numFmtId="0" fontId="2" fillId="3" borderId="14" xfId="1" quotePrefix="1" applyFont="1" applyFill="1" applyBorder="1" applyAlignment="1">
      <alignment wrapText="1"/>
    </xf>
    <xf numFmtId="0" fontId="10" fillId="0" borderId="16" xfId="1" applyFont="1" applyFill="1" applyBorder="1" applyAlignment="1"/>
    <xf numFmtId="0" fontId="2" fillId="0" borderId="29" xfId="1" applyFont="1" applyFill="1" applyBorder="1" applyAlignment="1">
      <alignment horizontal="right"/>
    </xf>
    <xf numFmtId="49" fontId="2" fillId="3" borderId="24" xfId="1" applyNumberFormat="1" applyFont="1" applyFill="1" applyBorder="1" applyAlignment="1"/>
    <xf numFmtId="0" fontId="2" fillId="0" borderId="4" xfId="1" applyFont="1" applyFill="1" applyBorder="1" applyAlignment="1"/>
    <xf numFmtId="0" fontId="2" fillId="3" borderId="10" xfId="1" applyNumberFormat="1" applyFont="1" applyFill="1" applyBorder="1" applyAlignment="1"/>
    <xf numFmtId="0" fontId="2" fillId="0" borderId="21" xfId="1" applyFont="1" applyFill="1" applyBorder="1" applyAlignment="1">
      <alignment wrapText="1"/>
    </xf>
    <xf numFmtId="0" fontId="2" fillId="0" borderId="14" xfId="1" applyFont="1" applyFill="1" applyBorder="1" applyAlignment="1">
      <alignment wrapText="1"/>
    </xf>
    <xf numFmtId="0" fontId="2" fillId="0" borderId="16" xfId="1" applyFont="1" applyFill="1" applyBorder="1" applyAlignment="1">
      <alignment wrapText="1"/>
    </xf>
    <xf numFmtId="0" fontId="2" fillId="0" borderId="22" xfId="1" applyFont="1" applyFill="1" applyBorder="1" applyAlignment="1">
      <alignment wrapText="1"/>
    </xf>
    <xf numFmtId="0" fontId="2" fillId="0" borderId="26" xfId="1" applyFont="1" applyFill="1" applyBorder="1" applyAlignment="1">
      <alignment wrapText="1"/>
    </xf>
    <xf numFmtId="0" fontId="2" fillId="0" borderId="20" xfId="1" applyFont="1" applyFill="1" applyBorder="1" applyAlignment="1"/>
    <xf numFmtId="0" fontId="2" fillId="0" borderId="20" xfId="1" applyFont="1" applyFill="1" applyBorder="1" applyAlignment="1">
      <alignment horizontal="right"/>
    </xf>
    <xf numFmtId="0" fontId="2" fillId="0" borderId="19" xfId="1" applyFont="1" applyFill="1" applyBorder="1" applyAlignment="1">
      <alignment horizontal="right"/>
    </xf>
    <xf numFmtId="0" fontId="2" fillId="0" borderId="7" xfId="1" applyFont="1" applyFill="1" applyBorder="1" applyAlignment="1"/>
    <xf numFmtId="0" fontId="2" fillId="0" borderId="4" xfId="1" applyFont="1" applyFill="1" applyBorder="1" applyAlignment="1">
      <alignment vertical="top" wrapText="1"/>
    </xf>
    <xf numFmtId="0" fontId="2" fillId="0" borderId="24" xfId="1" applyFont="1" applyFill="1" applyBorder="1" applyAlignment="1"/>
    <xf numFmtId="0" fontId="2" fillId="0" borderId="4" xfId="1" applyFont="1" applyFill="1" applyBorder="1" applyAlignment="1">
      <alignment vertical="top"/>
    </xf>
    <xf numFmtId="0" fontId="2" fillId="0" borderId="21" xfId="1" applyFont="1" applyFill="1" applyBorder="1" applyAlignment="1"/>
    <xf numFmtId="0" fontId="2" fillId="0" borderId="17" xfId="1" applyFont="1" applyFill="1" applyBorder="1" applyAlignment="1">
      <alignment vertical="top"/>
    </xf>
    <xf numFmtId="0" fontId="2" fillId="0" borderId="10" xfId="1" applyFont="1" applyFill="1" applyBorder="1" applyAlignment="1">
      <alignment horizontal="left" vertical="top"/>
    </xf>
    <xf numFmtId="0" fontId="2" fillId="0" borderId="1" xfId="1" applyFont="1" applyFill="1" applyBorder="1" applyAlignment="1">
      <alignment horizontal="left" vertical="top"/>
    </xf>
    <xf numFmtId="0" fontId="2" fillId="0" borderId="6" xfId="1" applyFont="1" applyFill="1" applyBorder="1" applyAlignment="1">
      <alignment horizontal="left" vertical="top"/>
    </xf>
    <xf numFmtId="49" fontId="2" fillId="0" borderId="7" xfId="1" applyNumberFormat="1" applyFont="1" applyFill="1" applyBorder="1" applyAlignment="1">
      <alignment wrapText="1"/>
    </xf>
    <xf numFmtId="0" fontId="2" fillId="0" borderId="2" xfId="1" applyFont="1" applyFill="1" applyBorder="1" applyAlignment="1">
      <alignment vertical="top"/>
    </xf>
    <xf numFmtId="0" fontId="2" fillId="3" borderId="2" xfId="1" applyFont="1" applyFill="1" applyBorder="1" applyAlignment="1">
      <alignment vertical="top"/>
    </xf>
    <xf numFmtId="0" fontId="2" fillId="0" borderId="2" xfId="1" applyFont="1" applyFill="1" applyBorder="1" applyAlignment="1">
      <alignment horizontal="left" vertical="top"/>
    </xf>
    <xf numFmtId="0" fontId="2" fillId="0" borderId="2" xfId="1" applyFont="1" applyFill="1" applyBorder="1" applyAlignment="1">
      <alignment vertical="top" wrapText="1"/>
    </xf>
    <xf numFmtId="0" fontId="1" fillId="0" borderId="13" xfId="1" applyFont="1" applyFill="1" applyBorder="1" applyAlignment="1">
      <alignment wrapText="1"/>
    </xf>
    <xf numFmtId="0" fontId="2" fillId="0" borderId="12" xfId="1" applyFont="1" applyFill="1" applyBorder="1" applyAlignment="1"/>
    <xf numFmtId="0" fontId="2" fillId="0" borderId="12" xfId="1" applyFont="1" applyFill="1" applyBorder="1" applyAlignment="1">
      <alignment horizontal="left" vertical="top"/>
    </xf>
    <xf numFmtId="0" fontId="1" fillId="0" borderId="7" xfId="1" applyFont="1" applyFill="1" applyBorder="1" applyAlignment="1">
      <alignment wrapText="1"/>
    </xf>
    <xf numFmtId="0" fontId="2" fillId="0" borderId="2" xfId="1" applyFont="1" applyFill="1" applyBorder="1" applyAlignment="1">
      <alignment horizontal="left"/>
    </xf>
    <xf numFmtId="0" fontId="1" fillId="4" borderId="7" xfId="1" applyFont="1" applyFill="1" applyBorder="1" applyAlignment="1">
      <alignment horizontal="center" vertical="center" wrapText="1"/>
    </xf>
    <xf numFmtId="0" fontId="1" fillId="4" borderId="2" xfId="1" applyFont="1" applyFill="1" applyBorder="1" applyAlignment="1">
      <alignment horizontal="center" vertical="center"/>
    </xf>
    <xf numFmtId="0" fontId="1" fillId="4" borderId="2" xfId="1" applyFont="1" applyFill="1" applyBorder="1" applyAlignment="1">
      <alignment horizontal="right" vertical="center" wrapText="1"/>
    </xf>
    <xf numFmtId="0" fontId="1" fillId="4" borderId="2" xfId="1" applyFont="1" applyFill="1" applyBorder="1" applyAlignment="1">
      <alignment horizontal="right" vertical="center"/>
    </xf>
    <xf numFmtId="0" fontId="1" fillId="4" borderId="5" xfId="1" applyFont="1" applyFill="1" applyBorder="1" applyAlignment="1">
      <alignment horizontal="right" vertical="center"/>
    </xf>
    <xf numFmtId="0" fontId="7" fillId="0" borderId="7" xfId="0" applyFont="1" applyFill="1" applyBorder="1" applyAlignment="1">
      <alignment wrapText="1"/>
    </xf>
    <xf numFmtId="0" fontId="7" fillId="0" borderId="14" xfId="0" quotePrefix="1" applyFont="1" applyFill="1" applyBorder="1" applyAlignment="1">
      <alignment wrapText="1"/>
    </xf>
    <xf numFmtId="0" fontId="7" fillId="0" borderId="15" xfId="0" quotePrefix="1" applyFont="1" applyFill="1" applyBorder="1" applyAlignment="1">
      <alignment wrapText="1"/>
    </xf>
    <xf numFmtId="0" fontId="7" fillId="0" borderId="2" xfId="0" quotePrefix="1" applyFont="1" applyFill="1" applyBorder="1" applyAlignment="1">
      <alignment wrapText="1"/>
    </xf>
    <xf numFmtId="0" fontId="7" fillId="0" borderId="7" xfId="0" quotePrefix="1" applyFont="1" applyFill="1" applyBorder="1" applyAlignment="1">
      <alignment wrapText="1"/>
    </xf>
    <xf numFmtId="0" fontId="7" fillId="0" borderId="15" xfId="0" applyFont="1" applyFill="1" applyBorder="1" applyAlignment="1">
      <alignment wrapText="1"/>
    </xf>
    <xf numFmtId="0" fontId="10" fillId="6" borderId="17" xfId="0" applyNumberFormat="1" applyFont="1" applyFill="1" applyBorder="1" applyAlignment="1"/>
    <xf numFmtId="0" fontId="7" fillId="0" borderId="6" xfId="0" quotePrefix="1" applyFont="1" applyFill="1" applyBorder="1" applyAlignment="1">
      <alignment wrapText="1"/>
    </xf>
    <xf numFmtId="0" fontId="10" fillId="6" borderId="10" xfId="0" applyNumberFormat="1" applyFont="1" applyFill="1" applyBorder="1" applyAlignment="1"/>
    <xf numFmtId="0" fontId="7" fillId="0" borderId="13" xfId="0" applyFont="1" applyFill="1" applyBorder="1" applyAlignment="1">
      <alignment wrapText="1"/>
    </xf>
    <xf numFmtId="0" fontId="7" fillId="0" borderId="10" xfId="0" applyFont="1" applyFill="1" applyBorder="1" applyAlignment="1">
      <alignment wrapText="1"/>
    </xf>
    <xf numFmtId="0" fontId="7" fillId="0" borderId="17" xfId="0" applyFont="1" applyFill="1" applyBorder="1" applyAlignment="1">
      <alignment wrapText="1"/>
    </xf>
    <xf numFmtId="0" fontId="7" fillId="0" borderId="3" xfId="0" applyFont="1" applyFill="1" applyBorder="1" applyAlignment="1">
      <alignment wrapText="1"/>
    </xf>
    <xf numFmtId="0" fontId="7" fillId="0" borderId="22" xfId="1" applyFont="1" applyFill="1" applyBorder="1" applyAlignment="1">
      <alignment wrapText="1"/>
    </xf>
    <xf numFmtId="49" fontId="7" fillId="0" borderId="15" xfId="0" applyNumberFormat="1" applyFont="1" applyFill="1" applyBorder="1" applyAlignment="1">
      <alignment wrapText="1"/>
    </xf>
    <xf numFmtId="49" fontId="7" fillId="0" borderId="17" xfId="1" applyNumberFormat="1" applyFont="1" applyFill="1" applyBorder="1" applyAlignment="1">
      <alignment wrapText="1"/>
    </xf>
    <xf numFmtId="0" fontId="7" fillId="0" borderId="7" xfId="1" applyFont="1" applyFill="1" applyBorder="1" applyAlignment="1">
      <alignment wrapText="1"/>
    </xf>
    <xf numFmtId="0" fontId="7" fillId="0" borderId="14" xfId="1" quotePrefix="1" applyFont="1" applyFill="1" applyBorder="1" applyAlignment="1">
      <alignment wrapText="1"/>
    </xf>
    <xf numFmtId="0" fontId="7" fillId="0" borderId="2" xfId="1" applyFont="1" applyFill="1" applyBorder="1" applyAlignment="1">
      <alignment wrapText="1"/>
    </xf>
    <xf numFmtId="0" fontId="7" fillId="0" borderId="14" xfId="1" applyFont="1" applyFill="1" applyBorder="1" applyAlignment="1">
      <alignment wrapText="1"/>
    </xf>
    <xf numFmtId="49" fontId="7" fillId="0" borderId="10" xfId="1" applyNumberFormat="1" applyFont="1" applyFill="1" applyBorder="1" applyAlignment="1">
      <alignment wrapText="1"/>
    </xf>
    <xf numFmtId="0" fontId="7" fillId="0" borderId="13" xfId="1" applyFont="1" applyFill="1" applyBorder="1" applyAlignment="1">
      <alignment wrapText="1"/>
    </xf>
    <xf numFmtId="0" fontId="7" fillId="0" borderId="16" xfId="1" applyFont="1" applyFill="1" applyBorder="1" applyAlignment="1">
      <alignment wrapText="1"/>
    </xf>
    <xf numFmtId="49" fontId="7" fillId="0" borderId="14" xfId="1" applyNumberFormat="1" applyFont="1" applyFill="1" applyBorder="1" applyAlignment="1">
      <alignment wrapText="1"/>
    </xf>
    <xf numFmtId="49" fontId="7" fillId="0" borderId="21" xfId="1" applyNumberFormat="1" applyFont="1" applyFill="1" applyBorder="1" applyAlignment="1">
      <alignment wrapText="1"/>
    </xf>
    <xf numFmtId="49" fontId="7" fillId="0" borderId="22" xfId="1" applyNumberFormat="1" applyFont="1" applyFill="1" applyBorder="1" applyAlignment="1">
      <alignment wrapText="1"/>
    </xf>
    <xf numFmtId="0" fontId="6" fillId="0" borderId="32" xfId="0" applyFont="1" applyBorder="1" applyAlignment="1">
      <alignment wrapText="1"/>
    </xf>
    <xf numFmtId="0" fontId="0" fillId="0" borderId="32" xfId="0" applyBorder="1" applyAlignment="1">
      <alignment wrapText="1"/>
    </xf>
    <xf numFmtId="0" fontId="7" fillId="0" borderId="32" xfId="1" applyFont="1" applyBorder="1" applyAlignment="1">
      <alignment horizontal="left" vertical="top" wrapText="1"/>
    </xf>
    <xf numFmtId="0" fontId="2" fillId="0" borderId="32" xfId="0" applyFont="1" applyBorder="1" applyAlignment="1">
      <alignmen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4"/>
  <sheetViews>
    <sheetView tabSelected="1" zoomScale="70" zoomScaleNormal="70" workbookViewId="0">
      <pane ySplit="2" topLeftCell="A3" activePane="bottomLeft" state="frozen"/>
      <selection pane="bottomLeft" activeCell="I148" sqref="I148"/>
    </sheetView>
  </sheetViews>
  <sheetFormatPr defaultColWidth="9.109375" defaultRowHeight="13.2" x14ac:dyDescent="0.25"/>
  <cols>
    <col min="1" max="1" width="27" style="235" customWidth="1"/>
    <col min="2" max="2" width="4.6640625" style="235" bestFit="1" customWidth="1"/>
    <col min="3" max="3" width="8.33203125" style="235" customWidth="1"/>
    <col min="4" max="4" width="21.5546875" style="235" bestFit="1" customWidth="1"/>
    <col min="5" max="5" width="19.44140625" style="240" customWidth="1"/>
    <col min="6" max="6" width="33.6640625" style="15" customWidth="1"/>
    <col min="7" max="7" width="25.109375" style="1" customWidth="1"/>
    <col min="8" max="8" width="41.33203125" style="191" customWidth="1"/>
    <col min="9" max="9" width="34.5546875" style="191" customWidth="1"/>
    <col min="10" max="16384" width="9.109375" style="235"/>
  </cols>
  <sheetData>
    <row r="1" spans="1:9" customFormat="1" ht="129.75" customHeight="1" thickBot="1" x14ac:dyDescent="0.3">
      <c r="A1" s="666" t="s">
        <v>337</v>
      </c>
      <c r="B1" s="667"/>
      <c r="C1" s="667"/>
      <c r="D1" s="667"/>
      <c r="E1" s="667"/>
      <c r="F1" s="667"/>
      <c r="G1" s="667"/>
      <c r="H1" s="667"/>
      <c r="I1" s="667"/>
    </row>
    <row r="2" spans="1:9" s="191" customFormat="1" ht="13.8" thickBot="1" x14ac:dyDescent="0.3">
      <c r="A2" s="352" t="s">
        <v>44</v>
      </c>
      <c r="B2" s="353" t="s">
        <v>45</v>
      </c>
      <c r="C2" s="354" t="s">
        <v>46</v>
      </c>
      <c r="D2" s="355" t="s">
        <v>47</v>
      </c>
      <c r="E2" s="355" t="s">
        <v>48</v>
      </c>
      <c r="F2" s="356" t="s">
        <v>61</v>
      </c>
      <c r="G2" s="356" t="s">
        <v>62</v>
      </c>
      <c r="H2" s="357" t="s">
        <v>325</v>
      </c>
      <c r="I2" s="358" t="s">
        <v>64</v>
      </c>
    </row>
    <row r="3" spans="1:9" s="191" customFormat="1" ht="13.8" thickBot="1" x14ac:dyDescent="0.3">
      <c r="A3" s="20">
        <v>1</v>
      </c>
      <c r="B3" s="21">
        <v>11</v>
      </c>
      <c r="C3" s="21">
        <v>11</v>
      </c>
      <c r="D3" s="22" t="s">
        <v>49</v>
      </c>
      <c r="E3" s="48" t="s">
        <v>50</v>
      </c>
      <c r="F3" s="23"/>
      <c r="G3" s="24"/>
      <c r="H3" s="25"/>
      <c r="I3" s="26"/>
    </row>
    <row r="4" spans="1:9" s="191" customFormat="1" ht="13.8" thickBot="1" x14ac:dyDescent="0.3">
      <c r="A4" s="20">
        <v>12</v>
      </c>
      <c r="B4" s="21">
        <v>19</v>
      </c>
      <c r="C4" s="21">
        <v>8</v>
      </c>
      <c r="D4" s="22" t="s">
        <v>51</v>
      </c>
      <c r="E4" s="48" t="s">
        <v>50</v>
      </c>
      <c r="F4" s="23"/>
      <c r="G4" s="24"/>
      <c r="H4" s="25"/>
      <c r="I4" s="26"/>
    </row>
    <row r="5" spans="1:9" s="191" customFormat="1" ht="13.8" thickBot="1" x14ac:dyDescent="0.3">
      <c r="A5" s="33">
        <v>20</v>
      </c>
      <c r="B5" s="34">
        <v>20</v>
      </c>
      <c r="C5" s="34">
        <v>1</v>
      </c>
      <c r="D5" s="359" t="s">
        <v>52</v>
      </c>
      <c r="E5" s="192" t="s">
        <v>50</v>
      </c>
      <c r="F5" s="360"/>
      <c r="G5" s="361"/>
      <c r="H5" s="36"/>
      <c r="I5" s="37"/>
    </row>
    <row r="6" spans="1:9" s="191" customFormat="1" ht="27" thickBot="1" x14ac:dyDescent="0.3">
      <c r="A6" s="20">
        <v>21</v>
      </c>
      <c r="B6" s="21">
        <v>29</v>
      </c>
      <c r="C6" s="21">
        <v>9</v>
      </c>
      <c r="D6" s="40" t="s">
        <v>53</v>
      </c>
      <c r="E6" s="22" t="s">
        <v>54</v>
      </c>
      <c r="F6" s="49"/>
      <c r="G6" s="40"/>
      <c r="H6" s="40"/>
      <c r="I6" s="45"/>
    </row>
    <row r="7" spans="1:9" s="191" customFormat="1" ht="27" thickBot="1" x14ac:dyDescent="0.3">
      <c r="A7" s="20">
        <v>30</v>
      </c>
      <c r="B7" s="21">
        <v>31</v>
      </c>
      <c r="C7" s="21">
        <v>2</v>
      </c>
      <c r="D7" s="48" t="s">
        <v>55</v>
      </c>
      <c r="E7" s="48" t="s">
        <v>56</v>
      </c>
      <c r="F7" s="49" t="s">
        <v>74</v>
      </c>
      <c r="G7" s="40" t="s">
        <v>57</v>
      </c>
      <c r="H7" s="40" t="s">
        <v>245</v>
      </c>
      <c r="I7" s="45" t="s">
        <v>20</v>
      </c>
    </row>
    <row r="8" spans="1:9" s="191" customFormat="1" ht="13.8" thickBot="1" x14ac:dyDescent="0.3">
      <c r="A8" s="20">
        <v>32</v>
      </c>
      <c r="B8" s="21">
        <v>32</v>
      </c>
      <c r="C8" s="21">
        <v>1</v>
      </c>
      <c r="D8" s="48" t="s">
        <v>58</v>
      </c>
      <c r="E8" s="48" t="s">
        <v>59</v>
      </c>
      <c r="F8" s="49" t="s">
        <v>75</v>
      </c>
      <c r="G8" s="40" t="s">
        <v>75</v>
      </c>
      <c r="H8" s="40" t="s">
        <v>60</v>
      </c>
      <c r="I8" s="45" t="s">
        <v>63</v>
      </c>
    </row>
    <row r="9" spans="1:9" s="191" customFormat="1" ht="13.8" thickBot="1" x14ac:dyDescent="0.3">
      <c r="A9" s="123">
        <v>33</v>
      </c>
      <c r="B9" s="42">
        <v>37</v>
      </c>
      <c r="C9" s="42">
        <v>5</v>
      </c>
      <c r="D9" s="217" t="s">
        <v>65</v>
      </c>
      <c r="E9" s="217"/>
      <c r="F9" s="141"/>
      <c r="G9" s="44"/>
      <c r="H9" s="44"/>
      <c r="I9" s="57"/>
    </row>
    <row r="10" spans="1:9" s="191" customFormat="1" ht="13.8" thickBot="1" x14ac:dyDescent="0.3">
      <c r="A10" s="20">
        <v>38</v>
      </c>
      <c r="B10" s="21">
        <v>39</v>
      </c>
      <c r="C10" s="21">
        <v>2</v>
      </c>
      <c r="D10" s="48" t="s">
        <v>66</v>
      </c>
      <c r="E10" s="48" t="s">
        <v>67</v>
      </c>
      <c r="F10" s="49" t="s">
        <v>247</v>
      </c>
      <c r="G10" s="40" t="s">
        <v>6</v>
      </c>
      <c r="H10" s="40" t="s">
        <v>6</v>
      </c>
      <c r="I10" s="45" t="s">
        <v>6</v>
      </c>
    </row>
    <row r="11" spans="1:9" s="191" customFormat="1" ht="13.8" thickBot="1" x14ac:dyDescent="0.3">
      <c r="A11" s="20">
        <v>40</v>
      </c>
      <c r="B11" s="21">
        <v>41</v>
      </c>
      <c r="C11" s="21">
        <v>2</v>
      </c>
      <c r="D11" s="48" t="s">
        <v>68</v>
      </c>
      <c r="E11" s="48" t="s">
        <v>67</v>
      </c>
      <c r="F11" s="49" t="s">
        <v>248</v>
      </c>
      <c r="G11" s="40" t="s">
        <v>6</v>
      </c>
      <c r="H11" s="40" t="s">
        <v>6</v>
      </c>
      <c r="I11" s="45" t="s">
        <v>6</v>
      </c>
    </row>
    <row r="12" spans="1:9" s="191" customFormat="1" ht="13.8" thickBot="1" x14ac:dyDescent="0.3">
      <c r="A12" s="20">
        <v>42</v>
      </c>
      <c r="B12" s="21">
        <v>45</v>
      </c>
      <c r="C12" s="21">
        <v>4</v>
      </c>
      <c r="D12" s="48" t="s">
        <v>69</v>
      </c>
      <c r="E12" s="40" t="s">
        <v>67</v>
      </c>
      <c r="F12" s="49" t="s">
        <v>246</v>
      </c>
      <c r="G12" s="40" t="s">
        <v>6</v>
      </c>
      <c r="H12" s="40" t="s">
        <v>6</v>
      </c>
      <c r="I12" s="45" t="s">
        <v>6</v>
      </c>
    </row>
    <row r="13" spans="1:9" s="191" customFormat="1" ht="40.200000000000003" thickBot="1" x14ac:dyDescent="0.3">
      <c r="A13" s="20">
        <v>46</v>
      </c>
      <c r="B13" s="21">
        <v>47</v>
      </c>
      <c r="C13" s="21">
        <v>2</v>
      </c>
      <c r="D13" s="48" t="s">
        <v>71</v>
      </c>
      <c r="E13" s="48" t="s">
        <v>67</v>
      </c>
      <c r="F13" s="49" t="s">
        <v>18</v>
      </c>
      <c r="G13" s="40" t="s">
        <v>6</v>
      </c>
      <c r="H13" s="40" t="s">
        <v>6</v>
      </c>
      <c r="I13" s="45" t="s">
        <v>6</v>
      </c>
    </row>
    <row r="14" spans="1:9" s="191" customFormat="1" x14ac:dyDescent="0.25">
      <c r="A14" s="131">
        <v>48</v>
      </c>
      <c r="B14" s="18">
        <v>48</v>
      </c>
      <c r="C14" s="18">
        <v>1</v>
      </c>
      <c r="D14" s="46" t="s">
        <v>72</v>
      </c>
      <c r="E14" s="46" t="s">
        <v>50</v>
      </c>
      <c r="F14" s="47" t="s">
        <v>76</v>
      </c>
      <c r="G14" s="27" t="s">
        <v>6</v>
      </c>
      <c r="H14" s="27" t="s">
        <v>6</v>
      </c>
      <c r="I14" s="58" t="s">
        <v>6</v>
      </c>
    </row>
    <row r="15" spans="1:9" s="191" customFormat="1" x14ac:dyDescent="0.25">
      <c r="A15" s="121"/>
      <c r="B15" s="17"/>
      <c r="C15" s="17"/>
      <c r="D15" s="2"/>
      <c r="E15" s="2"/>
      <c r="F15" s="4" t="s">
        <v>77</v>
      </c>
      <c r="G15" s="3" t="s">
        <v>6</v>
      </c>
      <c r="H15" s="3" t="s">
        <v>6</v>
      </c>
      <c r="I15" s="59" t="s">
        <v>6</v>
      </c>
    </row>
    <row r="16" spans="1:9" s="191" customFormat="1" ht="13.8" thickBot="1" x14ac:dyDescent="0.3">
      <c r="A16" s="30"/>
      <c r="B16" s="31"/>
      <c r="C16" s="31"/>
      <c r="D16" s="50"/>
      <c r="E16" s="50"/>
      <c r="F16" s="51" t="s">
        <v>78</v>
      </c>
      <c r="G16" s="52" t="s">
        <v>6</v>
      </c>
      <c r="H16" s="52" t="s">
        <v>6</v>
      </c>
      <c r="I16" s="60" t="s">
        <v>6</v>
      </c>
    </row>
    <row r="17" spans="1:9" s="191" customFormat="1" x14ac:dyDescent="0.25">
      <c r="A17" s="131">
        <v>49</v>
      </c>
      <c r="B17" s="18">
        <v>49</v>
      </c>
      <c r="C17" s="18">
        <v>1</v>
      </c>
      <c r="D17" s="46" t="s">
        <v>73</v>
      </c>
      <c r="E17" s="362" t="s">
        <v>67</v>
      </c>
      <c r="F17" s="47" t="s">
        <v>79</v>
      </c>
      <c r="G17" s="27" t="s">
        <v>6</v>
      </c>
      <c r="H17" s="27" t="s">
        <v>6</v>
      </c>
      <c r="I17" s="58" t="s">
        <v>6</v>
      </c>
    </row>
    <row r="18" spans="1:9" s="191" customFormat="1" x14ac:dyDescent="0.25">
      <c r="A18" s="121"/>
      <c r="B18" s="17"/>
      <c r="C18" s="17"/>
      <c r="D18" s="2"/>
      <c r="E18" s="363"/>
      <c r="F18" s="4" t="s">
        <v>80</v>
      </c>
      <c r="G18" s="3" t="s">
        <v>6</v>
      </c>
      <c r="H18" s="3" t="s">
        <v>6</v>
      </c>
      <c r="I18" s="59" t="s">
        <v>6</v>
      </c>
    </row>
    <row r="19" spans="1:9" s="191" customFormat="1" x14ac:dyDescent="0.25">
      <c r="A19" s="121"/>
      <c r="B19" s="17"/>
      <c r="C19" s="17"/>
      <c r="D19" s="2"/>
      <c r="E19" s="363"/>
      <c r="F19" s="4" t="s">
        <v>81</v>
      </c>
      <c r="G19" s="3" t="s">
        <v>6</v>
      </c>
      <c r="H19" s="3" t="s">
        <v>6</v>
      </c>
      <c r="I19" s="59" t="s">
        <v>6</v>
      </c>
    </row>
    <row r="20" spans="1:9" s="191" customFormat="1" x14ac:dyDescent="0.25">
      <c r="A20" s="121"/>
      <c r="B20" s="17"/>
      <c r="C20" s="17"/>
      <c r="D20" s="2"/>
      <c r="E20" s="363"/>
      <c r="F20" s="4" t="s">
        <v>82</v>
      </c>
      <c r="G20" s="3" t="s">
        <v>6</v>
      </c>
      <c r="H20" s="3" t="s">
        <v>6</v>
      </c>
      <c r="I20" s="59" t="s">
        <v>6</v>
      </c>
    </row>
    <row r="21" spans="1:9" s="191" customFormat="1" x14ac:dyDescent="0.25">
      <c r="A21" s="121"/>
      <c r="B21" s="17"/>
      <c r="C21" s="17"/>
      <c r="D21" s="2"/>
      <c r="E21" s="363"/>
      <c r="F21" s="4" t="s">
        <v>19</v>
      </c>
      <c r="G21" s="3" t="s">
        <v>6</v>
      </c>
      <c r="H21" s="3" t="s">
        <v>6</v>
      </c>
      <c r="I21" s="59" t="s">
        <v>6</v>
      </c>
    </row>
    <row r="22" spans="1:9" s="191" customFormat="1" x14ac:dyDescent="0.25">
      <c r="A22" s="121"/>
      <c r="B22" s="17"/>
      <c r="C22" s="17"/>
      <c r="D22" s="2"/>
      <c r="E22" s="363"/>
      <c r="F22" s="4" t="s">
        <v>83</v>
      </c>
      <c r="G22" s="3" t="s">
        <v>6</v>
      </c>
      <c r="H22" s="3" t="s">
        <v>6</v>
      </c>
      <c r="I22" s="59" t="s">
        <v>6</v>
      </c>
    </row>
    <row r="23" spans="1:9" s="191" customFormat="1" x14ac:dyDescent="0.25">
      <c r="A23" s="121"/>
      <c r="B23" s="17"/>
      <c r="C23" s="17"/>
      <c r="D23" s="2"/>
      <c r="E23" s="363"/>
      <c r="F23" s="4" t="s">
        <v>84</v>
      </c>
      <c r="G23" s="3" t="s">
        <v>6</v>
      </c>
      <c r="H23" s="3" t="s">
        <v>6</v>
      </c>
      <c r="I23" s="59" t="s">
        <v>6</v>
      </c>
    </row>
    <row r="24" spans="1:9" s="191" customFormat="1" ht="13.8" thickBot="1" x14ac:dyDescent="0.3">
      <c r="A24" s="30"/>
      <c r="B24" s="31"/>
      <c r="C24" s="31"/>
      <c r="D24" s="50"/>
      <c r="E24" s="364"/>
      <c r="F24" s="52" t="s">
        <v>38</v>
      </c>
      <c r="G24" s="52" t="s">
        <v>6</v>
      </c>
      <c r="H24" s="52" t="s">
        <v>6</v>
      </c>
      <c r="I24" s="60" t="s">
        <v>6</v>
      </c>
    </row>
    <row r="25" spans="1:9" s="191" customFormat="1" x14ac:dyDescent="0.25">
      <c r="A25" s="426">
        <v>50</v>
      </c>
      <c r="B25" s="53">
        <v>58</v>
      </c>
      <c r="C25" s="53">
        <v>9</v>
      </c>
      <c r="D25" s="54" t="s">
        <v>65</v>
      </c>
      <c r="E25" s="54"/>
      <c r="F25" s="55"/>
      <c r="G25" s="56"/>
      <c r="H25" s="56"/>
      <c r="I25" s="61"/>
    </row>
    <row r="26" spans="1:9" s="191" customFormat="1" ht="13.8" thickBot="1" x14ac:dyDescent="0.3">
      <c r="A26" s="185">
        <v>59</v>
      </c>
      <c r="B26" s="77">
        <v>78</v>
      </c>
      <c r="C26" s="77">
        <v>20</v>
      </c>
      <c r="D26" s="118" t="s">
        <v>85</v>
      </c>
      <c r="E26" s="118" t="s">
        <v>59</v>
      </c>
      <c r="F26" s="105"/>
      <c r="G26" s="105"/>
      <c r="H26" s="193"/>
      <c r="I26" s="194"/>
    </row>
    <row r="27" spans="1:9" s="191" customFormat="1" ht="13.8" thickBot="1" x14ac:dyDescent="0.3">
      <c r="A27" s="20">
        <v>79</v>
      </c>
      <c r="B27" s="21">
        <v>84</v>
      </c>
      <c r="C27" s="21">
        <v>6</v>
      </c>
      <c r="D27" s="48" t="s">
        <v>86</v>
      </c>
      <c r="E27" s="48" t="s">
        <v>87</v>
      </c>
      <c r="F27" s="107"/>
      <c r="G27" s="107"/>
      <c r="H27" s="195"/>
      <c r="I27" s="196"/>
    </row>
    <row r="28" spans="1:9" s="191" customFormat="1" ht="13.8" thickBot="1" x14ac:dyDescent="0.3">
      <c r="A28" s="427">
        <v>85</v>
      </c>
      <c r="B28" s="108">
        <v>104</v>
      </c>
      <c r="C28" s="108">
        <v>20</v>
      </c>
      <c r="D28" s="213" t="s">
        <v>88</v>
      </c>
      <c r="E28" s="213" t="s">
        <v>59</v>
      </c>
      <c r="F28" s="110"/>
      <c r="G28" s="110"/>
      <c r="H28" s="197"/>
      <c r="I28" s="198"/>
    </row>
    <row r="29" spans="1:9" s="191" customFormat="1" ht="13.8" thickBot="1" x14ac:dyDescent="0.3">
      <c r="A29" s="20">
        <v>105</v>
      </c>
      <c r="B29" s="21">
        <v>110</v>
      </c>
      <c r="C29" s="21">
        <v>6</v>
      </c>
      <c r="D29" s="48" t="s">
        <v>89</v>
      </c>
      <c r="E29" s="48" t="s">
        <v>87</v>
      </c>
      <c r="F29" s="107"/>
      <c r="G29" s="107"/>
      <c r="H29" s="195"/>
      <c r="I29" s="196"/>
    </row>
    <row r="30" spans="1:9" s="191" customFormat="1" ht="13.8" thickBot="1" x14ac:dyDescent="0.3">
      <c r="A30" s="427">
        <v>111</v>
      </c>
      <c r="B30" s="108">
        <v>112</v>
      </c>
      <c r="C30" s="108">
        <v>2</v>
      </c>
      <c r="D30" s="112" t="s">
        <v>90</v>
      </c>
      <c r="E30" s="112" t="s">
        <v>87</v>
      </c>
      <c r="F30" s="112" t="s">
        <v>207</v>
      </c>
      <c r="G30" s="112" t="s">
        <v>6</v>
      </c>
      <c r="H30" s="112" t="s">
        <v>6</v>
      </c>
      <c r="I30" s="113" t="s">
        <v>6</v>
      </c>
    </row>
    <row r="31" spans="1:9" s="191" customFormat="1" ht="13.8" thickBot="1" x14ac:dyDescent="0.3">
      <c r="A31" s="20">
        <v>113</v>
      </c>
      <c r="B31" s="21">
        <v>114</v>
      </c>
      <c r="C31" s="21">
        <v>2</v>
      </c>
      <c r="D31" s="48" t="s">
        <v>91</v>
      </c>
      <c r="E31" s="48" t="s">
        <v>67</v>
      </c>
      <c r="F31" s="48" t="s">
        <v>208</v>
      </c>
      <c r="G31" s="40" t="s">
        <v>6</v>
      </c>
      <c r="H31" s="40" t="s">
        <v>6</v>
      </c>
      <c r="I31" s="45" t="s">
        <v>6</v>
      </c>
    </row>
    <row r="32" spans="1:9" s="191" customFormat="1" ht="13.8" thickBot="1" x14ac:dyDescent="0.3">
      <c r="A32" s="427">
        <v>115</v>
      </c>
      <c r="B32" s="108">
        <v>118</v>
      </c>
      <c r="C32" s="108">
        <v>4</v>
      </c>
      <c r="D32" s="112" t="s">
        <v>92</v>
      </c>
      <c r="E32" s="112" t="s">
        <v>87</v>
      </c>
      <c r="F32" s="112" t="s">
        <v>70</v>
      </c>
      <c r="G32" s="112" t="s">
        <v>6</v>
      </c>
      <c r="H32" s="112" t="s">
        <v>6</v>
      </c>
      <c r="I32" s="113" t="s">
        <v>6</v>
      </c>
    </row>
    <row r="33" spans="1:9" s="191" customFormat="1" ht="13.8" thickBot="1" x14ac:dyDescent="0.3">
      <c r="A33" s="20">
        <v>119</v>
      </c>
      <c r="B33" s="21">
        <v>123</v>
      </c>
      <c r="C33" s="21">
        <v>5</v>
      </c>
      <c r="D33" s="40" t="s">
        <v>93</v>
      </c>
      <c r="E33" s="40" t="s">
        <v>54</v>
      </c>
      <c r="F33" s="107"/>
      <c r="G33" s="107"/>
      <c r="H33" s="195" t="s">
        <v>6</v>
      </c>
      <c r="I33" s="196" t="s">
        <v>6</v>
      </c>
    </row>
    <row r="34" spans="1:9" s="191" customFormat="1" ht="13.8" thickBot="1" x14ac:dyDescent="0.3">
      <c r="A34" s="428">
        <v>124</v>
      </c>
      <c r="B34" s="114">
        <v>125</v>
      </c>
      <c r="C34" s="114">
        <v>2</v>
      </c>
      <c r="D34" s="199" t="s">
        <v>65</v>
      </c>
      <c r="E34" s="199"/>
      <c r="F34" s="200"/>
      <c r="G34" s="199"/>
      <c r="H34" s="201"/>
      <c r="I34" s="202"/>
    </row>
    <row r="35" spans="1:9" s="191" customFormat="1" x14ac:dyDescent="0.25">
      <c r="A35" s="147">
        <v>126</v>
      </c>
      <c r="B35" s="148">
        <v>126</v>
      </c>
      <c r="C35" s="148">
        <v>1</v>
      </c>
      <c r="D35" s="203" t="s">
        <v>94</v>
      </c>
      <c r="E35" s="203" t="s">
        <v>50</v>
      </c>
      <c r="F35" s="203" t="s">
        <v>226</v>
      </c>
      <c r="G35" s="149" t="s">
        <v>6</v>
      </c>
      <c r="H35" s="149" t="s">
        <v>6</v>
      </c>
      <c r="I35" s="150" t="s">
        <v>6</v>
      </c>
    </row>
    <row r="36" spans="1:9" s="191" customFormat="1" ht="13.8" thickBot="1" x14ac:dyDescent="0.3">
      <c r="A36" s="30"/>
      <c r="B36" s="31"/>
      <c r="C36" s="31"/>
      <c r="D36" s="50"/>
      <c r="E36" s="50"/>
      <c r="F36" s="50" t="s">
        <v>39</v>
      </c>
      <c r="G36" s="52" t="s">
        <v>6</v>
      </c>
      <c r="H36" s="52" t="s">
        <v>6</v>
      </c>
      <c r="I36" s="60" t="s">
        <v>6</v>
      </c>
    </row>
    <row r="37" spans="1:9" s="191" customFormat="1" x14ac:dyDescent="0.25">
      <c r="A37" s="131">
        <v>127</v>
      </c>
      <c r="B37" s="18">
        <v>127</v>
      </c>
      <c r="C37" s="18">
        <v>1</v>
      </c>
      <c r="D37" s="46" t="s">
        <v>95</v>
      </c>
      <c r="E37" s="46" t="s">
        <v>50</v>
      </c>
      <c r="F37" s="46" t="s">
        <v>226</v>
      </c>
      <c r="G37" s="27" t="s">
        <v>6</v>
      </c>
      <c r="H37" s="27" t="s">
        <v>6</v>
      </c>
      <c r="I37" s="58" t="s">
        <v>6</v>
      </c>
    </row>
    <row r="38" spans="1:9" s="191" customFormat="1" ht="13.8" thickBot="1" x14ac:dyDescent="0.3">
      <c r="A38" s="30"/>
      <c r="B38" s="31"/>
      <c r="C38" s="31"/>
      <c r="D38" s="50"/>
      <c r="E38" s="50"/>
      <c r="F38" s="50" t="s">
        <v>39</v>
      </c>
      <c r="G38" s="52" t="s">
        <v>6</v>
      </c>
      <c r="H38" s="52" t="s">
        <v>6</v>
      </c>
      <c r="I38" s="60" t="s">
        <v>6</v>
      </c>
    </row>
    <row r="39" spans="1:9" s="191" customFormat="1" x14ac:dyDescent="0.25">
      <c r="A39" s="131">
        <v>128</v>
      </c>
      <c r="B39" s="18">
        <v>128</v>
      </c>
      <c r="C39" s="18">
        <v>1</v>
      </c>
      <c r="D39" s="46" t="s">
        <v>96</v>
      </c>
      <c r="E39" s="46" t="s">
        <v>50</v>
      </c>
      <c r="F39" s="46" t="s">
        <v>226</v>
      </c>
      <c r="G39" s="27" t="s">
        <v>6</v>
      </c>
      <c r="H39" s="27" t="s">
        <v>6</v>
      </c>
      <c r="I39" s="58" t="s">
        <v>6</v>
      </c>
    </row>
    <row r="40" spans="1:9" s="191" customFormat="1" ht="13.8" thickBot="1" x14ac:dyDescent="0.3">
      <c r="A40" s="185"/>
      <c r="B40" s="77"/>
      <c r="C40" s="77"/>
      <c r="D40" s="118"/>
      <c r="E40" s="118"/>
      <c r="F40" s="118" t="s">
        <v>39</v>
      </c>
      <c r="G40" s="78" t="s">
        <v>6</v>
      </c>
      <c r="H40" s="78" t="s">
        <v>6</v>
      </c>
      <c r="I40" s="79" t="s">
        <v>6</v>
      </c>
    </row>
    <row r="41" spans="1:9" s="191" customFormat="1" ht="39.6" x14ac:dyDescent="0.25">
      <c r="A41" s="28">
        <v>129</v>
      </c>
      <c r="B41" s="29">
        <v>129</v>
      </c>
      <c r="C41" s="29">
        <v>1</v>
      </c>
      <c r="D41" s="116" t="s">
        <v>97</v>
      </c>
      <c r="E41" s="115" t="s">
        <v>50</v>
      </c>
      <c r="F41" s="115" t="s">
        <v>226</v>
      </c>
      <c r="G41" s="116" t="s">
        <v>6</v>
      </c>
      <c r="H41" s="116" t="s">
        <v>6</v>
      </c>
      <c r="I41" s="117" t="s">
        <v>6</v>
      </c>
    </row>
    <row r="42" spans="1:9" s="191" customFormat="1" ht="13.8" thickBot="1" x14ac:dyDescent="0.3">
      <c r="A42" s="30"/>
      <c r="B42" s="31"/>
      <c r="C42" s="31"/>
      <c r="D42" s="52"/>
      <c r="E42" s="52"/>
      <c r="F42" s="50" t="s">
        <v>39</v>
      </c>
      <c r="G42" s="52" t="s">
        <v>6</v>
      </c>
      <c r="H42" s="52" t="s">
        <v>6</v>
      </c>
      <c r="I42" s="60" t="s">
        <v>6</v>
      </c>
    </row>
    <row r="43" spans="1:9" s="191" customFormat="1" ht="39.6" x14ac:dyDescent="0.25">
      <c r="A43" s="131">
        <v>130</v>
      </c>
      <c r="B43" s="18">
        <v>130</v>
      </c>
      <c r="C43" s="18">
        <v>1</v>
      </c>
      <c r="D43" s="27" t="s">
        <v>98</v>
      </c>
      <c r="E43" s="46" t="s">
        <v>50</v>
      </c>
      <c r="F43" s="46" t="s">
        <v>226</v>
      </c>
      <c r="G43" s="27" t="s">
        <v>6</v>
      </c>
      <c r="H43" s="27" t="s">
        <v>6</v>
      </c>
      <c r="I43" s="58" t="s">
        <v>6</v>
      </c>
    </row>
    <row r="44" spans="1:9" s="191" customFormat="1" ht="13.8" thickBot="1" x14ac:dyDescent="0.3">
      <c r="A44" s="185"/>
      <c r="B44" s="77"/>
      <c r="C44" s="77"/>
      <c r="D44" s="78"/>
      <c r="E44" s="78"/>
      <c r="F44" s="118" t="s">
        <v>39</v>
      </c>
      <c r="G44" s="78" t="s">
        <v>6</v>
      </c>
      <c r="H44" s="78" t="s">
        <v>6</v>
      </c>
      <c r="I44" s="79" t="s">
        <v>6</v>
      </c>
    </row>
    <row r="45" spans="1:9" s="191" customFormat="1" x14ac:dyDescent="0.25">
      <c r="A45" s="28">
        <v>131</v>
      </c>
      <c r="B45" s="29">
        <v>131</v>
      </c>
      <c r="C45" s="29">
        <v>1</v>
      </c>
      <c r="D45" s="115" t="s">
        <v>99</v>
      </c>
      <c r="E45" s="115" t="s">
        <v>50</v>
      </c>
      <c r="F45" s="115" t="s">
        <v>226</v>
      </c>
      <c r="G45" s="116" t="s">
        <v>6</v>
      </c>
      <c r="H45" s="116" t="s">
        <v>6</v>
      </c>
      <c r="I45" s="152"/>
    </row>
    <row r="46" spans="1:9" s="191" customFormat="1" ht="13.8" thickBot="1" x14ac:dyDescent="0.3">
      <c r="A46" s="30"/>
      <c r="B46" s="31"/>
      <c r="C46" s="31"/>
      <c r="D46" s="50"/>
      <c r="E46" s="50"/>
      <c r="F46" s="50" t="s">
        <v>39</v>
      </c>
      <c r="G46" s="52" t="s">
        <v>6</v>
      </c>
      <c r="H46" s="52" t="s">
        <v>6</v>
      </c>
      <c r="I46" s="153"/>
    </row>
    <row r="47" spans="1:9" s="191" customFormat="1" x14ac:dyDescent="0.25">
      <c r="A47" s="131">
        <v>132</v>
      </c>
      <c r="B47" s="18">
        <v>132</v>
      </c>
      <c r="C47" s="18">
        <v>1</v>
      </c>
      <c r="D47" s="46" t="s">
        <v>100</v>
      </c>
      <c r="E47" s="46" t="s">
        <v>50</v>
      </c>
      <c r="F47" s="46" t="s">
        <v>226</v>
      </c>
      <c r="G47" s="27" t="s">
        <v>6</v>
      </c>
      <c r="H47" s="27" t="s">
        <v>6</v>
      </c>
      <c r="I47" s="58" t="s">
        <v>6</v>
      </c>
    </row>
    <row r="48" spans="1:9" s="191" customFormat="1" ht="13.8" thickBot="1" x14ac:dyDescent="0.3">
      <c r="A48" s="185"/>
      <c r="B48" s="77"/>
      <c r="C48" s="77"/>
      <c r="D48" s="118"/>
      <c r="E48" s="118"/>
      <c r="F48" s="118" t="s">
        <v>39</v>
      </c>
      <c r="G48" s="78" t="s">
        <v>6</v>
      </c>
      <c r="H48" s="78" t="s">
        <v>6</v>
      </c>
      <c r="I48" s="79" t="s">
        <v>6</v>
      </c>
    </row>
    <row r="49" spans="1:9" s="191" customFormat="1" x14ac:dyDescent="0.25">
      <c r="A49" s="124">
        <v>133</v>
      </c>
      <c r="B49" s="125">
        <v>133</v>
      </c>
      <c r="C49" s="125">
        <v>1</v>
      </c>
      <c r="D49" s="204" t="s">
        <v>101</v>
      </c>
      <c r="E49" s="204" t="s">
        <v>50</v>
      </c>
      <c r="F49" s="204"/>
      <c r="G49" s="151"/>
      <c r="H49" s="151"/>
      <c r="I49" s="152"/>
    </row>
    <row r="50" spans="1:9" s="191" customFormat="1" ht="13.8" thickBot="1" x14ac:dyDescent="0.3">
      <c r="A50" s="126"/>
      <c r="B50" s="127"/>
      <c r="C50" s="127"/>
      <c r="D50" s="205" t="s">
        <v>255</v>
      </c>
      <c r="E50" s="206"/>
      <c r="F50" s="206"/>
      <c r="G50" s="128"/>
      <c r="H50" s="128"/>
      <c r="I50" s="153"/>
    </row>
    <row r="51" spans="1:9" s="191" customFormat="1" ht="27" thickBot="1" x14ac:dyDescent="0.3">
      <c r="A51" s="427">
        <v>134</v>
      </c>
      <c r="B51" s="108">
        <v>145</v>
      </c>
      <c r="C51" s="108">
        <v>12</v>
      </c>
      <c r="D51" s="213" t="s">
        <v>257</v>
      </c>
      <c r="E51" s="213" t="s">
        <v>54</v>
      </c>
      <c r="F51" s="311" t="s">
        <v>260</v>
      </c>
      <c r="G51" s="112" t="s">
        <v>259</v>
      </c>
      <c r="H51" s="110" t="s">
        <v>308</v>
      </c>
      <c r="I51" s="198" t="s">
        <v>258</v>
      </c>
    </row>
    <row r="52" spans="1:9" s="191" customFormat="1" ht="26.4" x14ac:dyDescent="0.25">
      <c r="A52" s="28">
        <v>146</v>
      </c>
      <c r="B52" s="29">
        <v>147</v>
      </c>
      <c r="C52" s="29">
        <v>2</v>
      </c>
      <c r="D52" s="116" t="s">
        <v>102</v>
      </c>
      <c r="E52" s="116" t="s">
        <v>67</v>
      </c>
      <c r="F52" s="120" t="s">
        <v>209</v>
      </c>
      <c r="G52" s="116" t="s">
        <v>6</v>
      </c>
      <c r="H52" s="207" t="s">
        <v>6</v>
      </c>
      <c r="I52" s="117" t="s">
        <v>214</v>
      </c>
    </row>
    <row r="53" spans="1:9" s="191" customFormat="1" x14ac:dyDescent="0.25">
      <c r="A53" s="121"/>
      <c r="B53" s="17"/>
      <c r="C53" s="17"/>
      <c r="D53" s="3"/>
      <c r="E53" s="3"/>
      <c r="F53" s="4" t="s">
        <v>210</v>
      </c>
      <c r="G53" s="3" t="s">
        <v>6</v>
      </c>
      <c r="H53" s="208" t="s">
        <v>6</v>
      </c>
      <c r="I53" s="209" t="s">
        <v>215</v>
      </c>
    </row>
    <row r="54" spans="1:9" s="191" customFormat="1" x14ac:dyDescent="0.25">
      <c r="A54" s="121"/>
      <c r="B54" s="17"/>
      <c r="C54" s="17"/>
      <c r="D54" s="3"/>
      <c r="E54" s="3"/>
      <c r="F54" s="4" t="s">
        <v>211</v>
      </c>
      <c r="G54" s="3" t="s">
        <v>6</v>
      </c>
      <c r="H54" s="208" t="s">
        <v>6</v>
      </c>
      <c r="I54" s="59" t="s">
        <v>216</v>
      </c>
    </row>
    <row r="55" spans="1:9" s="191" customFormat="1" x14ac:dyDescent="0.25">
      <c r="A55" s="121"/>
      <c r="B55" s="17"/>
      <c r="C55" s="17"/>
      <c r="D55" s="3"/>
      <c r="E55" s="3"/>
      <c r="F55" s="4" t="s">
        <v>212</v>
      </c>
      <c r="G55" s="3" t="s">
        <v>6</v>
      </c>
      <c r="H55" s="208" t="s">
        <v>6</v>
      </c>
      <c r="I55" s="209" t="s">
        <v>217</v>
      </c>
    </row>
    <row r="56" spans="1:9" s="191" customFormat="1" x14ac:dyDescent="0.25">
      <c r="A56" s="121"/>
      <c r="B56" s="17"/>
      <c r="C56" s="17"/>
      <c r="D56" s="3"/>
      <c r="E56" s="3"/>
      <c r="F56" s="4" t="s">
        <v>213</v>
      </c>
      <c r="G56" s="3" t="s">
        <v>6</v>
      </c>
      <c r="H56" s="208" t="s">
        <v>6</v>
      </c>
      <c r="I56" s="209" t="s">
        <v>218</v>
      </c>
    </row>
    <row r="57" spans="1:9" s="191" customFormat="1" x14ac:dyDescent="0.25">
      <c r="A57" s="121"/>
      <c r="B57" s="17"/>
      <c r="C57" s="17"/>
      <c r="D57" s="3"/>
      <c r="E57" s="3"/>
      <c r="F57" s="4" t="s">
        <v>251</v>
      </c>
      <c r="G57" s="3" t="s">
        <v>6</v>
      </c>
      <c r="H57" s="208" t="s">
        <v>6</v>
      </c>
      <c r="I57" s="59" t="s">
        <v>6</v>
      </c>
    </row>
    <row r="58" spans="1:9" s="191" customFormat="1" ht="13.8" thickBot="1" x14ac:dyDescent="0.3">
      <c r="A58" s="30"/>
      <c r="B58" s="31"/>
      <c r="C58" s="31"/>
      <c r="D58" s="52"/>
      <c r="E58" s="52"/>
      <c r="F58" s="51" t="s">
        <v>28</v>
      </c>
      <c r="G58" s="52" t="s">
        <v>6</v>
      </c>
      <c r="H58" s="210" t="s">
        <v>6</v>
      </c>
      <c r="I58" s="60" t="s">
        <v>6</v>
      </c>
    </row>
    <row r="59" spans="1:9" s="191" customFormat="1" ht="26.4" x14ac:dyDescent="0.25">
      <c r="A59" s="131">
        <v>148</v>
      </c>
      <c r="B59" s="18">
        <v>150</v>
      </c>
      <c r="C59" s="18">
        <v>3</v>
      </c>
      <c r="D59" s="27" t="s">
        <v>103</v>
      </c>
      <c r="E59" s="27" t="s">
        <v>54</v>
      </c>
      <c r="F59" s="27" t="s">
        <v>104</v>
      </c>
      <c r="G59" s="27" t="s">
        <v>6</v>
      </c>
      <c r="H59" s="424" t="s">
        <v>328</v>
      </c>
      <c r="I59" s="58" t="s">
        <v>6</v>
      </c>
    </row>
    <row r="60" spans="1:9" s="191" customFormat="1" ht="26.4" x14ac:dyDescent="0.25">
      <c r="A60" s="121"/>
      <c r="B60" s="17"/>
      <c r="C60" s="17"/>
      <c r="D60" s="3"/>
      <c r="E60" s="3"/>
      <c r="F60" s="4" t="s">
        <v>32</v>
      </c>
      <c r="G60" s="3" t="s">
        <v>6</v>
      </c>
      <c r="H60" s="424" t="s">
        <v>328</v>
      </c>
      <c r="I60" s="59" t="s">
        <v>6</v>
      </c>
    </row>
    <row r="61" spans="1:9" s="191" customFormat="1" x14ac:dyDescent="0.25">
      <c r="A61" s="121"/>
      <c r="B61" s="17"/>
      <c r="C61" s="17"/>
      <c r="D61" s="3"/>
      <c r="E61" s="3"/>
      <c r="F61" s="122" t="s">
        <v>33</v>
      </c>
      <c r="G61" s="3" t="s">
        <v>6</v>
      </c>
      <c r="H61" s="424" t="s">
        <v>338</v>
      </c>
      <c r="I61" s="59" t="s">
        <v>6</v>
      </c>
    </row>
    <row r="62" spans="1:9" s="191" customFormat="1" x14ac:dyDescent="0.25">
      <c r="A62" s="185"/>
      <c r="B62" s="77"/>
      <c r="C62" s="77"/>
      <c r="D62" s="78"/>
      <c r="E62" s="78"/>
      <c r="F62" s="4" t="s">
        <v>220</v>
      </c>
      <c r="G62" s="78" t="s">
        <v>6</v>
      </c>
      <c r="H62" s="424" t="s">
        <v>338</v>
      </c>
      <c r="I62" s="79" t="s">
        <v>6</v>
      </c>
    </row>
    <row r="63" spans="1:9" s="191" customFormat="1" ht="27" thickBot="1" x14ac:dyDescent="0.3">
      <c r="A63" s="185"/>
      <c r="B63" s="77"/>
      <c r="C63" s="77"/>
      <c r="D63" s="78"/>
      <c r="E63" s="78"/>
      <c r="F63" s="122" t="s">
        <v>221</v>
      </c>
      <c r="G63" s="78" t="s">
        <v>6</v>
      </c>
      <c r="H63" s="424" t="s">
        <v>328</v>
      </c>
      <c r="I63" s="79" t="s">
        <v>6</v>
      </c>
    </row>
    <row r="64" spans="1:9" s="191" customFormat="1" ht="189.75" customHeight="1" thickBot="1" x14ac:dyDescent="0.3">
      <c r="A64" s="20">
        <v>151</v>
      </c>
      <c r="B64" s="21">
        <v>152</v>
      </c>
      <c r="C64" s="21">
        <v>2</v>
      </c>
      <c r="D64" s="48" t="s">
        <v>105</v>
      </c>
      <c r="E64" s="48" t="s">
        <v>54</v>
      </c>
      <c r="F64" s="40" t="s">
        <v>40</v>
      </c>
      <c r="G64" s="40" t="s">
        <v>6</v>
      </c>
      <c r="H64" s="44"/>
      <c r="I64" s="45" t="s">
        <v>6</v>
      </c>
    </row>
    <row r="65" spans="1:9" s="191" customFormat="1" ht="186" customHeight="1" thickBot="1" x14ac:dyDescent="0.3">
      <c r="A65" s="427">
        <v>153</v>
      </c>
      <c r="B65" s="108">
        <v>154</v>
      </c>
      <c r="C65" s="108">
        <v>2</v>
      </c>
      <c r="D65" s="213" t="s">
        <v>106</v>
      </c>
      <c r="E65" s="213" t="s">
        <v>54</v>
      </c>
      <c r="F65" s="112" t="s">
        <v>41</v>
      </c>
      <c r="G65" s="112" t="s">
        <v>6</v>
      </c>
      <c r="H65" s="119"/>
      <c r="I65" s="113" t="s">
        <v>6</v>
      </c>
    </row>
    <row r="66" spans="1:9" s="191" customFormat="1" ht="212.25" customHeight="1" thickBot="1" x14ac:dyDescent="0.3">
      <c r="A66" s="20">
        <v>155</v>
      </c>
      <c r="B66" s="21">
        <v>157</v>
      </c>
      <c r="C66" s="21">
        <v>3</v>
      </c>
      <c r="D66" s="40" t="s">
        <v>341</v>
      </c>
      <c r="E66" s="48" t="s">
        <v>87</v>
      </c>
      <c r="F66" s="40" t="s">
        <v>42</v>
      </c>
      <c r="G66" s="40" t="s">
        <v>6</v>
      </c>
      <c r="H66" s="640" t="s">
        <v>338</v>
      </c>
      <c r="I66" s="214"/>
    </row>
    <row r="67" spans="1:9" s="191" customFormat="1" x14ac:dyDescent="0.25">
      <c r="A67" s="131">
        <v>158</v>
      </c>
      <c r="B67" s="18">
        <v>158</v>
      </c>
      <c r="C67" s="18">
        <v>1</v>
      </c>
      <c r="D67" s="46" t="s">
        <v>108</v>
      </c>
      <c r="E67" s="46" t="s">
        <v>59</v>
      </c>
      <c r="F67" s="365" t="s">
        <v>222</v>
      </c>
      <c r="G67" s="27" t="s">
        <v>6</v>
      </c>
      <c r="H67" s="641" t="s">
        <v>338</v>
      </c>
      <c r="I67" s="61"/>
    </row>
    <row r="68" spans="1:9" s="191" customFormat="1" x14ac:dyDescent="0.25">
      <c r="A68" s="121"/>
      <c r="B68" s="17"/>
      <c r="C68" s="17"/>
      <c r="D68" s="2"/>
      <c r="E68" s="2"/>
      <c r="F68" s="215" t="s">
        <v>223</v>
      </c>
      <c r="G68" s="3" t="s">
        <v>6</v>
      </c>
      <c r="H68" s="642" t="s">
        <v>338</v>
      </c>
      <c r="I68" s="172"/>
    </row>
    <row r="69" spans="1:9" s="191" customFormat="1" ht="13.8" thickBot="1" x14ac:dyDescent="0.3">
      <c r="A69" s="185"/>
      <c r="B69" s="77"/>
      <c r="C69" s="77"/>
      <c r="D69" s="2"/>
      <c r="E69" s="2"/>
      <c r="F69" s="366" t="s">
        <v>224</v>
      </c>
      <c r="G69" s="3" t="s">
        <v>6</v>
      </c>
      <c r="H69" s="642" t="s">
        <v>338</v>
      </c>
      <c r="I69" s="172"/>
    </row>
    <row r="70" spans="1:9" s="191" customFormat="1" ht="106.2" thickBot="1" x14ac:dyDescent="0.3">
      <c r="A70" s="20">
        <v>159</v>
      </c>
      <c r="B70" s="21">
        <v>161</v>
      </c>
      <c r="C70" s="21">
        <v>3</v>
      </c>
      <c r="D70" s="40" t="s">
        <v>342</v>
      </c>
      <c r="E70" s="48" t="s">
        <v>87</v>
      </c>
      <c r="F70" s="40" t="s">
        <v>42</v>
      </c>
      <c r="G70" s="40" t="s">
        <v>6</v>
      </c>
      <c r="H70" s="643" t="s">
        <v>338</v>
      </c>
      <c r="I70" s="214"/>
    </row>
    <row r="71" spans="1:9" s="191" customFormat="1" x14ac:dyDescent="0.25">
      <c r="A71" s="131">
        <v>162</v>
      </c>
      <c r="B71" s="18">
        <v>162</v>
      </c>
      <c r="C71" s="18">
        <v>1</v>
      </c>
      <c r="D71" s="46" t="s">
        <v>110</v>
      </c>
      <c r="E71" s="46" t="s">
        <v>59</v>
      </c>
      <c r="F71" s="365" t="s">
        <v>222</v>
      </c>
      <c r="G71" s="27" t="s">
        <v>6</v>
      </c>
      <c r="H71" s="641" t="s">
        <v>338</v>
      </c>
      <c r="I71" s="61"/>
    </row>
    <row r="72" spans="1:9" s="191" customFormat="1" x14ac:dyDescent="0.25">
      <c r="A72" s="121"/>
      <c r="B72" s="17"/>
      <c r="C72" s="17"/>
      <c r="D72" s="2"/>
      <c r="E72" s="2"/>
      <c r="F72" s="215" t="s">
        <v>223</v>
      </c>
      <c r="G72" s="3" t="s">
        <v>6</v>
      </c>
      <c r="H72" s="642" t="s">
        <v>338</v>
      </c>
      <c r="I72" s="172"/>
    </row>
    <row r="73" spans="1:9" s="191" customFormat="1" ht="13.8" thickBot="1" x14ac:dyDescent="0.3">
      <c r="A73" s="121"/>
      <c r="B73" s="17"/>
      <c r="C73" s="17"/>
      <c r="D73" s="2"/>
      <c r="E73" s="2"/>
      <c r="F73" s="366" t="s">
        <v>224</v>
      </c>
      <c r="G73" s="3" t="s">
        <v>6</v>
      </c>
      <c r="H73" s="642" t="s">
        <v>338</v>
      </c>
      <c r="I73" s="172"/>
    </row>
    <row r="74" spans="1:9" s="191" customFormat="1" ht="79.8" thickBot="1" x14ac:dyDescent="0.3">
      <c r="A74" s="20">
        <v>163</v>
      </c>
      <c r="B74" s="21">
        <v>165</v>
      </c>
      <c r="C74" s="21">
        <v>3</v>
      </c>
      <c r="D74" s="40" t="s">
        <v>343</v>
      </c>
      <c r="E74" s="48" t="s">
        <v>87</v>
      </c>
      <c r="F74" s="40" t="s">
        <v>42</v>
      </c>
      <c r="G74" s="40" t="s">
        <v>6</v>
      </c>
      <c r="H74" s="644" t="s">
        <v>338</v>
      </c>
      <c r="I74" s="214"/>
    </row>
    <row r="75" spans="1:9" s="191" customFormat="1" x14ac:dyDescent="0.25">
      <c r="A75" s="131">
        <v>166</v>
      </c>
      <c r="B75" s="18">
        <v>166</v>
      </c>
      <c r="C75" s="18">
        <v>1</v>
      </c>
      <c r="D75" s="46" t="s">
        <v>112</v>
      </c>
      <c r="E75" s="46" t="s">
        <v>59</v>
      </c>
      <c r="F75" s="365" t="s">
        <v>222</v>
      </c>
      <c r="G75" s="27" t="s">
        <v>6</v>
      </c>
      <c r="H75" s="641" t="s">
        <v>338</v>
      </c>
      <c r="I75" s="61"/>
    </row>
    <row r="76" spans="1:9" s="191" customFormat="1" x14ac:dyDescent="0.25">
      <c r="A76" s="121"/>
      <c r="B76" s="17"/>
      <c r="C76" s="17"/>
      <c r="D76" s="2"/>
      <c r="E76" s="2"/>
      <c r="F76" s="215" t="s">
        <v>223</v>
      </c>
      <c r="G76" s="3" t="s">
        <v>6</v>
      </c>
      <c r="H76" s="642" t="s">
        <v>338</v>
      </c>
      <c r="I76" s="172"/>
    </row>
    <row r="77" spans="1:9" s="191" customFormat="1" ht="13.8" thickBot="1" x14ac:dyDescent="0.3">
      <c r="A77" s="121"/>
      <c r="B77" s="17"/>
      <c r="C77" s="17"/>
      <c r="D77" s="2"/>
      <c r="E77" s="2"/>
      <c r="F77" s="366" t="s">
        <v>224</v>
      </c>
      <c r="G77" s="3" t="s">
        <v>6</v>
      </c>
      <c r="H77" s="645" t="s">
        <v>338</v>
      </c>
      <c r="I77" s="172"/>
    </row>
    <row r="78" spans="1:9" s="191" customFormat="1" ht="79.8" thickBot="1" x14ac:dyDescent="0.3">
      <c r="A78" s="20">
        <v>167</v>
      </c>
      <c r="B78" s="21">
        <v>169</v>
      </c>
      <c r="C78" s="21">
        <v>3</v>
      </c>
      <c r="D78" s="40" t="s">
        <v>344</v>
      </c>
      <c r="E78" s="48" t="s">
        <v>87</v>
      </c>
      <c r="F78" s="44"/>
      <c r="G78" s="44"/>
      <c r="H78" s="640" t="s">
        <v>338</v>
      </c>
      <c r="I78" s="214"/>
    </row>
    <row r="79" spans="1:9" s="191" customFormat="1" x14ac:dyDescent="0.25">
      <c r="A79" s="131">
        <v>170</v>
      </c>
      <c r="B79" s="18">
        <v>170</v>
      </c>
      <c r="C79" s="18">
        <v>1</v>
      </c>
      <c r="D79" s="46" t="s">
        <v>113</v>
      </c>
      <c r="E79" s="46" t="s">
        <v>59</v>
      </c>
      <c r="F79" s="367"/>
      <c r="G79" s="56"/>
      <c r="H79" s="56"/>
      <c r="I79" s="61"/>
    </row>
    <row r="80" spans="1:9" s="191" customFormat="1" x14ac:dyDescent="0.25">
      <c r="A80" s="121"/>
      <c r="B80" s="17"/>
      <c r="C80" s="17"/>
      <c r="D80" s="2"/>
      <c r="E80" s="2"/>
      <c r="F80" s="216"/>
      <c r="G80" s="171"/>
      <c r="H80" s="171"/>
      <c r="I80" s="172"/>
    </row>
    <row r="81" spans="1:9" s="191" customFormat="1" ht="13.8" thickBot="1" x14ac:dyDescent="0.3">
      <c r="A81" s="185"/>
      <c r="B81" s="77"/>
      <c r="C81" s="77"/>
      <c r="D81" s="118"/>
      <c r="E81" s="118"/>
      <c r="F81" s="368"/>
      <c r="G81" s="130"/>
      <c r="H81" s="130"/>
      <c r="I81" s="173"/>
    </row>
    <row r="82" spans="1:9" s="191" customFormat="1" ht="13.8" thickBot="1" x14ac:dyDescent="0.3">
      <c r="A82" s="123">
        <v>171</v>
      </c>
      <c r="B82" s="42">
        <v>171</v>
      </c>
      <c r="C82" s="42">
        <v>1</v>
      </c>
      <c r="D82" s="217" t="s">
        <v>65</v>
      </c>
      <c r="E82" s="217"/>
      <c r="F82" s="218"/>
      <c r="G82" s="217"/>
      <c r="H82" s="219"/>
      <c r="I82" s="214"/>
    </row>
    <row r="83" spans="1:9" s="191" customFormat="1" ht="26.4" x14ac:dyDescent="0.25">
      <c r="A83" s="28">
        <v>172</v>
      </c>
      <c r="B83" s="18">
        <v>174</v>
      </c>
      <c r="C83" s="18">
        <v>3</v>
      </c>
      <c r="D83" s="46" t="s">
        <v>25</v>
      </c>
      <c r="E83" s="46" t="s">
        <v>56</v>
      </c>
      <c r="F83" s="47" t="s">
        <v>225</v>
      </c>
      <c r="G83" s="106" t="s">
        <v>6</v>
      </c>
      <c r="H83" s="424" t="s">
        <v>338</v>
      </c>
      <c r="I83" s="58" t="s">
        <v>6</v>
      </c>
    </row>
    <row r="84" spans="1:9" s="191" customFormat="1" x14ac:dyDescent="0.25">
      <c r="A84" s="121"/>
      <c r="B84" s="17"/>
      <c r="C84" s="17"/>
      <c r="D84" s="3"/>
      <c r="E84" s="3"/>
      <c r="F84" s="4" t="s">
        <v>32</v>
      </c>
      <c r="G84" s="3" t="s">
        <v>6</v>
      </c>
      <c r="H84" s="420"/>
      <c r="I84" s="59" t="s">
        <v>6</v>
      </c>
    </row>
    <row r="85" spans="1:9" s="191" customFormat="1" x14ac:dyDescent="0.25">
      <c r="A85" s="121"/>
      <c r="B85" s="17"/>
      <c r="C85" s="17"/>
      <c r="D85" s="3"/>
      <c r="E85" s="3"/>
      <c r="F85" s="122" t="s">
        <v>33</v>
      </c>
      <c r="G85" s="3" t="s">
        <v>6</v>
      </c>
      <c r="H85" s="420"/>
      <c r="I85" s="59" t="s">
        <v>6</v>
      </c>
    </row>
    <row r="86" spans="1:9" s="191" customFormat="1" x14ac:dyDescent="0.25">
      <c r="A86" s="185"/>
      <c r="B86" s="77"/>
      <c r="C86" s="77"/>
      <c r="D86" s="78"/>
      <c r="E86" s="78"/>
      <c r="F86" s="4" t="s">
        <v>220</v>
      </c>
      <c r="G86" s="78" t="s">
        <v>6</v>
      </c>
      <c r="H86" s="421"/>
      <c r="I86" s="79" t="s">
        <v>6</v>
      </c>
    </row>
    <row r="87" spans="1:9" s="191" customFormat="1" x14ac:dyDescent="0.25">
      <c r="A87" s="185"/>
      <c r="B87" s="77"/>
      <c r="C87" s="77"/>
      <c r="D87" s="78"/>
      <c r="E87" s="78"/>
      <c r="F87" s="122" t="s">
        <v>221</v>
      </c>
      <c r="G87" s="78" t="s">
        <v>6</v>
      </c>
      <c r="H87" s="421"/>
      <c r="I87" s="79" t="s">
        <v>6</v>
      </c>
    </row>
    <row r="88" spans="1:9" s="191" customFormat="1" ht="13.8" thickBot="1" x14ac:dyDescent="0.3">
      <c r="A88" s="185"/>
      <c r="B88" s="77"/>
      <c r="C88" s="77"/>
      <c r="D88" s="78"/>
      <c r="E88" s="118"/>
      <c r="F88" s="130"/>
      <c r="G88" s="130"/>
      <c r="H88" s="646"/>
      <c r="I88" s="233"/>
    </row>
    <row r="89" spans="1:9" s="191" customFormat="1" x14ac:dyDescent="0.25">
      <c r="A89" s="124">
        <v>175</v>
      </c>
      <c r="B89" s="125">
        <v>180</v>
      </c>
      <c r="C89" s="125">
        <v>6</v>
      </c>
      <c r="D89" s="204" t="s">
        <v>65</v>
      </c>
      <c r="E89" s="204"/>
      <c r="F89" s="220"/>
      <c r="G89" s="204"/>
      <c r="H89" s="221"/>
      <c r="I89" s="222"/>
    </row>
    <row r="90" spans="1:9" s="191" customFormat="1" ht="13.8" thickBot="1" x14ac:dyDescent="0.3">
      <c r="A90" s="126">
        <v>181</v>
      </c>
      <c r="B90" s="127">
        <v>192</v>
      </c>
      <c r="C90" s="127">
        <v>12</v>
      </c>
      <c r="D90" s="206" t="s">
        <v>65</v>
      </c>
      <c r="E90" s="206"/>
      <c r="F90" s="223"/>
      <c r="G90" s="128"/>
      <c r="H90" s="224"/>
      <c r="I90" s="225"/>
    </row>
    <row r="91" spans="1:9" s="191" customFormat="1" ht="26.4" x14ac:dyDescent="0.25">
      <c r="A91" s="131">
        <v>193</v>
      </c>
      <c r="B91" s="18">
        <v>194</v>
      </c>
      <c r="C91" s="18">
        <v>2</v>
      </c>
      <c r="D91" s="27" t="s">
        <v>114</v>
      </c>
      <c r="E91" s="27" t="s">
        <v>67</v>
      </c>
      <c r="F91" s="47" t="s">
        <v>209</v>
      </c>
      <c r="G91" s="27" t="s">
        <v>6</v>
      </c>
      <c r="H91" s="207" t="s">
        <v>6</v>
      </c>
      <c r="I91" s="117" t="s">
        <v>214</v>
      </c>
    </row>
    <row r="92" spans="1:9" s="191" customFormat="1" x14ac:dyDescent="0.25">
      <c r="A92" s="121"/>
      <c r="B92" s="17"/>
      <c r="C92" s="17"/>
      <c r="D92" s="3"/>
      <c r="E92" s="3"/>
      <c r="F92" s="4" t="s">
        <v>210</v>
      </c>
      <c r="G92" s="3" t="s">
        <v>6</v>
      </c>
      <c r="H92" s="208" t="s">
        <v>6</v>
      </c>
      <c r="I92" s="209" t="s">
        <v>215</v>
      </c>
    </row>
    <row r="93" spans="1:9" s="191" customFormat="1" x14ac:dyDescent="0.25">
      <c r="A93" s="121"/>
      <c r="B93" s="17"/>
      <c r="C93" s="17"/>
      <c r="D93" s="3"/>
      <c r="E93" s="3"/>
      <c r="F93" s="4" t="s">
        <v>211</v>
      </c>
      <c r="G93" s="3" t="s">
        <v>6</v>
      </c>
      <c r="H93" s="208" t="s">
        <v>6</v>
      </c>
      <c r="I93" s="59" t="s">
        <v>216</v>
      </c>
    </row>
    <row r="94" spans="1:9" s="191" customFormat="1" x14ac:dyDescent="0.25">
      <c r="A94" s="121"/>
      <c r="B94" s="17"/>
      <c r="C94" s="17"/>
      <c r="D94" s="3"/>
      <c r="E94" s="3"/>
      <c r="F94" s="4" t="s">
        <v>212</v>
      </c>
      <c r="G94" s="3" t="s">
        <v>6</v>
      </c>
      <c r="H94" s="208" t="s">
        <v>6</v>
      </c>
      <c r="I94" s="209" t="s">
        <v>217</v>
      </c>
    </row>
    <row r="95" spans="1:9" s="191" customFormat="1" x14ac:dyDescent="0.25">
      <c r="A95" s="121"/>
      <c r="B95" s="17"/>
      <c r="C95" s="17"/>
      <c r="D95" s="3"/>
      <c r="E95" s="3"/>
      <c r="F95" s="4" t="s">
        <v>213</v>
      </c>
      <c r="G95" s="3" t="s">
        <v>6</v>
      </c>
      <c r="H95" s="208" t="s">
        <v>6</v>
      </c>
      <c r="I95" s="209" t="s">
        <v>218</v>
      </c>
    </row>
    <row r="96" spans="1:9" s="191" customFormat="1" x14ac:dyDescent="0.25">
      <c r="A96" s="121"/>
      <c r="B96" s="17"/>
      <c r="C96" s="17"/>
      <c r="D96" s="3"/>
      <c r="E96" s="3"/>
      <c r="F96" s="4" t="s">
        <v>219</v>
      </c>
      <c r="G96" s="3" t="s">
        <v>6</v>
      </c>
      <c r="H96" s="208" t="s">
        <v>6</v>
      </c>
      <c r="I96" s="59" t="s">
        <v>6</v>
      </c>
    </row>
    <row r="97" spans="1:9" s="191" customFormat="1" ht="13.8" thickBot="1" x14ac:dyDescent="0.3">
      <c r="A97" s="185"/>
      <c r="B97" s="77"/>
      <c r="C97" s="77"/>
      <c r="D97" s="78"/>
      <c r="E97" s="78"/>
      <c r="F97" s="51" t="s">
        <v>28</v>
      </c>
      <c r="G97" s="52" t="s">
        <v>6</v>
      </c>
      <c r="H97" s="210" t="s">
        <v>6</v>
      </c>
      <c r="I97" s="60" t="s">
        <v>6</v>
      </c>
    </row>
    <row r="98" spans="1:9" s="191" customFormat="1" x14ac:dyDescent="0.25">
      <c r="A98" s="28">
        <v>195</v>
      </c>
      <c r="B98" s="29">
        <v>197</v>
      </c>
      <c r="C98" s="29">
        <v>3</v>
      </c>
      <c r="D98" s="115" t="s">
        <v>115</v>
      </c>
      <c r="E98" s="116" t="s">
        <v>54</v>
      </c>
      <c r="F98" s="27" t="s">
        <v>104</v>
      </c>
      <c r="G98" s="27" t="s">
        <v>6</v>
      </c>
      <c r="H98" s="424" t="s">
        <v>6</v>
      </c>
      <c r="I98" s="58" t="s">
        <v>6</v>
      </c>
    </row>
    <row r="99" spans="1:9" s="191" customFormat="1" x14ac:dyDescent="0.25">
      <c r="A99" s="121"/>
      <c r="B99" s="17"/>
      <c r="C99" s="17"/>
      <c r="D99" s="3"/>
      <c r="E99" s="3"/>
      <c r="F99" s="4" t="s">
        <v>32</v>
      </c>
      <c r="G99" s="3" t="s">
        <v>6</v>
      </c>
      <c r="H99" s="424" t="s">
        <v>6</v>
      </c>
      <c r="I99" s="59" t="s">
        <v>6</v>
      </c>
    </row>
    <row r="100" spans="1:9" s="191" customFormat="1" x14ac:dyDescent="0.25">
      <c r="A100" s="121"/>
      <c r="B100" s="17"/>
      <c r="C100" s="17"/>
      <c r="D100" s="3"/>
      <c r="E100" s="3"/>
      <c r="F100" s="122" t="s">
        <v>33</v>
      </c>
      <c r="G100" s="3" t="s">
        <v>6</v>
      </c>
      <c r="H100" s="424" t="s">
        <v>338</v>
      </c>
      <c r="I100" s="59" t="s">
        <v>6</v>
      </c>
    </row>
    <row r="101" spans="1:9" s="191" customFormat="1" x14ac:dyDescent="0.25">
      <c r="A101" s="185"/>
      <c r="B101" s="77"/>
      <c r="C101" s="77"/>
      <c r="D101" s="78"/>
      <c r="E101" s="78"/>
      <c r="F101" s="4" t="s">
        <v>220</v>
      </c>
      <c r="G101" s="78" t="s">
        <v>6</v>
      </c>
      <c r="H101" s="424" t="s">
        <v>338</v>
      </c>
      <c r="I101" s="79" t="s">
        <v>6</v>
      </c>
    </row>
    <row r="102" spans="1:9" s="191" customFormat="1" ht="13.8" thickBot="1" x14ac:dyDescent="0.3">
      <c r="A102" s="30"/>
      <c r="B102" s="31"/>
      <c r="C102" s="31"/>
      <c r="D102" s="52"/>
      <c r="E102" s="52"/>
      <c r="F102" s="122" t="s">
        <v>221</v>
      </c>
      <c r="G102" s="78" t="s">
        <v>6</v>
      </c>
      <c r="H102" s="424" t="s">
        <v>6</v>
      </c>
      <c r="I102" s="60" t="s">
        <v>6</v>
      </c>
    </row>
    <row r="103" spans="1:9" s="191" customFormat="1" ht="106.2" thickBot="1" x14ac:dyDescent="0.3">
      <c r="A103" s="427">
        <v>198</v>
      </c>
      <c r="B103" s="108">
        <v>200</v>
      </c>
      <c r="C103" s="108">
        <v>3</v>
      </c>
      <c r="D103" s="112" t="s">
        <v>356</v>
      </c>
      <c r="E103" s="213" t="s">
        <v>87</v>
      </c>
      <c r="F103" s="40" t="s">
        <v>42</v>
      </c>
      <c r="G103" s="40" t="s">
        <v>6</v>
      </c>
      <c r="H103" s="45" t="s">
        <v>339</v>
      </c>
      <c r="I103" s="202"/>
    </row>
    <row r="104" spans="1:9" s="191" customFormat="1" x14ac:dyDescent="0.25">
      <c r="A104" s="28">
        <v>201</v>
      </c>
      <c r="B104" s="29">
        <v>201</v>
      </c>
      <c r="C104" s="29">
        <v>1</v>
      </c>
      <c r="D104" s="115" t="s">
        <v>108</v>
      </c>
      <c r="E104" s="115" t="s">
        <v>59</v>
      </c>
      <c r="F104" s="365" t="s">
        <v>222</v>
      </c>
      <c r="G104" s="27" t="s">
        <v>6</v>
      </c>
      <c r="H104" s="647" t="s">
        <v>338</v>
      </c>
      <c r="I104" s="152"/>
    </row>
    <row r="105" spans="1:9" s="191" customFormat="1" x14ac:dyDescent="0.25">
      <c r="A105" s="121"/>
      <c r="B105" s="17"/>
      <c r="C105" s="17"/>
      <c r="D105" s="2"/>
      <c r="E105" s="2"/>
      <c r="F105" s="215" t="s">
        <v>223</v>
      </c>
      <c r="G105" s="3" t="s">
        <v>6</v>
      </c>
      <c r="H105" s="422" t="s">
        <v>338</v>
      </c>
      <c r="I105" s="172"/>
    </row>
    <row r="106" spans="1:9" s="191" customFormat="1" ht="13.8" thickBot="1" x14ac:dyDescent="0.3">
      <c r="A106" s="30"/>
      <c r="B106" s="31"/>
      <c r="C106" s="31"/>
      <c r="D106" s="50"/>
      <c r="E106" s="118"/>
      <c r="F106" s="366" t="s">
        <v>224</v>
      </c>
      <c r="G106" s="3" t="s">
        <v>6</v>
      </c>
      <c r="H106" s="422" t="s">
        <v>338</v>
      </c>
      <c r="I106" s="153"/>
    </row>
    <row r="107" spans="1:9" s="191" customFormat="1" ht="185.4" thickBot="1" x14ac:dyDescent="0.3">
      <c r="A107" s="427">
        <v>202</v>
      </c>
      <c r="B107" s="108">
        <v>204</v>
      </c>
      <c r="C107" s="108">
        <v>3</v>
      </c>
      <c r="D107" s="112" t="s">
        <v>355</v>
      </c>
      <c r="E107" s="48" t="s">
        <v>87</v>
      </c>
      <c r="F107" s="40" t="s">
        <v>42</v>
      </c>
      <c r="G107" s="40" t="s">
        <v>6</v>
      </c>
      <c r="H107" s="640" t="s">
        <v>338</v>
      </c>
      <c r="I107" s="202"/>
    </row>
    <row r="108" spans="1:9" s="191" customFormat="1" x14ac:dyDescent="0.25">
      <c r="A108" s="28">
        <v>205</v>
      </c>
      <c r="B108" s="29">
        <v>205</v>
      </c>
      <c r="C108" s="29">
        <v>1</v>
      </c>
      <c r="D108" s="115" t="s">
        <v>110</v>
      </c>
      <c r="E108" s="46" t="s">
        <v>59</v>
      </c>
      <c r="F108" s="365" t="s">
        <v>222</v>
      </c>
      <c r="G108" s="27" t="s">
        <v>6</v>
      </c>
      <c r="H108" s="647" t="s">
        <v>338</v>
      </c>
      <c r="I108" s="152"/>
    </row>
    <row r="109" spans="1:9" s="191" customFormat="1" x14ac:dyDescent="0.25">
      <c r="A109" s="121"/>
      <c r="B109" s="17"/>
      <c r="C109" s="17"/>
      <c r="D109" s="2"/>
      <c r="E109" s="2"/>
      <c r="F109" s="215" t="s">
        <v>223</v>
      </c>
      <c r="G109" s="3" t="s">
        <v>6</v>
      </c>
      <c r="H109" s="422" t="s">
        <v>338</v>
      </c>
      <c r="I109" s="172"/>
    </row>
    <row r="110" spans="1:9" s="191" customFormat="1" ht="13.8" thickBot="1" x14ac:dyDescent="0.3">
      <c r="A110" s="30"/>
      <c r="B110" s="31"/>
      <c r="C110" s="31"/>
      <c r="D110" s="50"/>
      <c r="E110" s="50"/>
      <c r="F110" s="366" t="s">
        <v>224</v>
      </c>
      <c r="G110" s="3" t="s">
        <v>6</v>
      </c>
      <c r="H110" s="422" t="s">
        <v>338</v>
      </c>
      <c r="I110" s="153"/>
    </row>
    <row r="111" spans="1:9" s="191" customFormat="1" ht="159" thickBot="1" x14ac:dyDescent="0.3">
      <c r="A111" s="427">
        <v>206</v>
      </c>
      <c r="B111" s="108">
        <v>208</v>
      </c>
      <c r="C111" s="108">
        <v>3</v>
      </c>
      <c r="D111" s="112" t="s">
        <v>354</v>
      </c>
      <c r="E111" s="213" t="s">
        <v>87</v>
      </c>
      <c r="F111" s="40" t="s">
        <v>42</v>
      </c>
      <c r="G111" s="40" t="s">
        <v>6</v>
      </c>
      <c r="H111" s="640" t="s">
        <v>338</v>
      </c>
      <c r="I111" s="202" t="s">
        <v>252</v>
      </c>
    </row>
    <row r="112" spans="1:9" s="191" customFormat="1" x14ac:dyDescent="0.25">
      <c r="A112" s="28">
        <v>209</v>
      </c>
      <c r="B112" s="29">
        <v>209</v>
      </c>
      <c r="C112" s="29">
        <v>1</v>
      </c>
      <c r="D112" s="115" t="s">
        <v>112</v>
      </c>
      <c r="E112" s="115" t="s">
        <v>59</v>
      </c>
      <c r="F112" s="365" t="s">
        <v>222</v>
      </c>
      <c r="G112" s="27" t="s">
        <v>6</v>
      </c>
      <c r="H112" s="647" t="s">
        <v>338</v>
      </c>
      <c r="I112" s="152"/>
    </row>
    <row r="113" spans="1:9" s="191" customFormat="1" x14ac:dyDescent="0.25">
      <c r="A113" s="121"/>
      <c r="B113" s="17"/>
      <c r="C113" s="17"/>
      <c r="D113" s="2"/>
      <c r="E113" s="2"/>
      <c r="F113" s="215" t="s">
        <v>223</v>
      </c>
      <c r="G113" s="3" t="s">
        <v>6</v>
      </c>
      <c r="H113" s="422" t="s">
        <v>338</v>
      </c>
      <c r="I113" s="172"/>
    </row>
    <row r="114" spans="1:9" s="191" customFormat="1" ht="13.8" thickBot="1" x14ac:dyDescent="0.3">
      <c r="A114" s="30"/>
      <c r="B114" s="31"/>
      <c r="C114" s="31"/>
      <c r="D114" s="50"/>
      <c r="E114" s="50"/>
      <c r="F114" s="369" t="s">
        <v>224</v>
      </c>
      <c r="G114" s="52" t="s">
        <v>6</v>
      </c>
      <c r="H114" s="422" t="s">
        <v>338</v>
      </c>
      <c r="I114" s="153"/>
    </row>
    <row r="115" spans="1:9" s="191" customFormat="1" ht="145.80000000000001" thickBot="1" x14ac:dyDescent="0.3">
      <c r="A115" s="427">
        <v>210</v>
      </c>
      <c r="B115" s="108">
        <v>212</v>
      </c>
      <c r="C115" s="108">
        <v>3</v>
      </c>
      <c r="D115" s="112" t="s">
        <v>353</v>
      </c>
      <c r="E115" s="213" t="s">
        <v>87</v>
      </c>
      <c r="F115" s="112" t="s">
        <v>42</v>
      </c>
      <c r="G115" s="112" t="s">
        <v>6</v>
      </c>
      <c r="H115" s="640" t="s">
        <v>338</v>
      </c>
      <c r="I115" s="202"/>
    </row>
    <row r="116" spans="1:9" s="191" customFormat="1" x14ac:dyDescent="0.25">
      <c r="A116" s="28">
        <v>213</v>
      </c>
      <c r="B116" s="29">
        <v>213</v>
      </c>
      <c r="C116" s="29">
        <v>1</v>
      </c>
      <c r="D116" s="115" t="s">
        <v>113</v>
      </c>
      <c r="E116" s="115" t="s">
        <v>59</v>
      </c>
      <c r="F116" s="370" t="s">
        <v>222</v>
      </c>
      <c r="G116" s="116" t="s">
        <v>6</v>
      </c>
      <c r="H116" s="189"/>
      <c r="I116" s="152"/>
    </row>
    <row r="117" spans="1:9" s="191" customFormat="1" x14ac:dyDescent="0.25">
      <c r="A117" s="121"/>
      <c r="B117" s="17"/>
      <c r="C117" s="17"/>
      <c r="D117" s="2"/>
      <c r="E117" s="2"/>
      <c r="F117" s="215" t="s">
        <v>223</v>
      </c>
      <c r="G117" s="3" t="s">
        <v>6</v>
      </c>
      <c r="H117" s="171"/>
      <c r="I117" s="172"/>
    </row>
    <row r="118" spans="1:9" s="191" customFormat="1" ht="13.8" thickBot="1" x14ac:dyDescent="0.3">
      <c r="A118" s="30"/>
      <c r="B118" s="31"/>
      <c r="C118" s="31"/>
      <c r="D118" s="50"/>
      <c r="E118" s="50"/>
      <c r="F118" s="369" t="s">
        <v>224</v>
      </c>
      <c r="G118" s="52" t="s">
        <v>6</v>
      </c>
      <c r="H118" s="128"/>
      <c r="I118" s="153"/>
    </row>
    <row r="119" spans="1:9" s="191" customFormat="1" ht="79.8" thickBot="1" x14ac:dyDescent="0.3">
      <c r="A119" s="428">
        <v>214</v>
      </c>
      <c r="B119" s="114">
        <v>216</v>
      </c>
      <c r="C119" s="114">
        <v>3</v>
      </c>
      <c r="D119" s="119" t="s">
        <v>119</v>
      </c>
      <c r="E119" s="199" t="s">
        <v>87</v>
      </c>
      <c r="F119" s="200"/>
      <c r="G119" s="200"/>
      <c r="H119" s="200"/>
      <c r="I119" s="226"/>
    </row>
    <row r="120" spans="1:9" s="191" customFormat="1" x14ac:dyDescent="0.25">
      <c r="A120" s="124">
        <v>217</v>
      </c>
      <c r="B120" s="125">
        <v>217</v>
      </c>
      <c r="C120" s="125">
        <v>1</v>
      </c>
      <c r="D120" s="204" t="s">
        <v>120</v>
      </c>
      <c r="E120" s="204" t="s">
        <v>59</v>
      </c>
      <c r="F120" s="371"/>
      <c r="G120" s="151"/>
      <c r="H120" s="151"/>
      <c r="I120" s="152"/>
    </row>
    <row r="121" spans="1:9" s="191" customFormat="1" x14ac:dyDescent="0.25">
      <c r="A121" s="179"/>
      <c r="B121" s="180"/>
      <c r="C121" s="180"/>
      <c r="D121" s="227"/>
      <c r="E121" s="227"/>
      <c r="F121" s="216"/>
      <c r="G121" s="171"/>
      <c r="H121" s="171"/>
      <c r="I121" s="172"/>
    </row>
    <row r="122" spans="1:9" s="191" customFormat="1" ht="13.8" thickBot="1" x14ac:dyDescent="0.3">
      <c r="A122" s="126"/>
      <c r="B122" s="127"/>
      <c r="C122" s="127"/>
      <c r="D122" s="206"/>
      <c r="E122" s="206"/>
      <c r="F122" s="372"/>
      <c r="G122" s="128"/>
      <c r="H122" s="128"/>
      <c r="I122" s="153"/>
    </row>
    <row r="123" spans="1:9" s="191" customFormat="1" ht="13.8" thickBot="1" x14ac:dyDescent="0.3">
      <c r="A123" s="428">
        <v>218</v>
      </c>
      <c r="B123" s="114">
        <v>218</v>
      </c>
      <c r="C123" s="114">
        <v>1</v>
      </c>
      <c r="D123" s="199" t="s">
        <v>65</v>
      </c>
      <c r="E123" s="199"/>
      <c r="F123" s="200"/>
      <c r="G123" s="199"/>
      <c r="H123" s="201"/>
      <c r="I123" s="202"/>
    </row>
    <row r="124" spans="1:9" s="191" customFormat="1" ht="26.4" x14ac:dyDescent="0.25">
      <c r="A124" s="28">
        <v>219</v>
      </c>
      <c r="B124" s="29">
        <v>221</v>
      </c>
      <c r="C124" s="29">
        <v>3</v>
      </c>
      <c r="D124" s="116" t="s">
        <v>121</v>
      </c>
      <c r="E124" s="115" t="s">
        <v>56</v>
      </c>
      <c r="F124" s="116" t="s">
        <v>21</v>
      </c>
      <c r="G124" s="116" t="s">
        <v>6</v>
      </c>
      <c r="H124" s="423" t="s">
        <v>340</v>
      </c>
      <c r="I124" s="117" t="s">
        <v>6</v>
      </c>
    </row>
    <row r="125" spans="1:9" s="191" customFormat="1" x14ac:dyDescent="0.25">
      <c r="A125" s="121"/>
      <c r="B125" s="17"/>
      <c r="C125" s="17"/>
      <c r="D125" s="3"/>
      <c r="E125" s="3"/>
      <c r="F125" s="4" t="s">
        <v>32</v>
      </c>
      <c r="G125" s="3" t="s">
        <v>6</v>
      </c>
      <c r="H125" s="422" t="s">
        <v>338</v>
      </c>
      <c r="I125" s="59" t="s">
        <v>6</v>
      </c>
    </row>
    <row r="126" spans="1:9" s="191" customFormat="1" x14ac:dyDescent="0.25">
      <c r="A126" s="121"/>
      <c r="B126" s="17"/>
      <c r="C126" s="17"/>
      <c r="D126" s="3"/>
      <c r="E126" s="3"/>
      <c r="F126" s="122" t="s">
        <v>33</v>
      </c>
      <c r="G126" s="3" t="s">
        <v>6</v>
      </c>
      <c r="H126" s="422" t="s">
        <v>338</v>
      </c>
      <c r="I126" s="59" t="s">
        <v>6</v>
      </c>
    </row>
    <row r="127" spans="1:9" s="191" customFormat="1" x14ac:dyDescent="0.25">
      <c r="A127" s="185"/>
      <c r="B127" s="77"/>
      <c r="C127" s="77"/>
      <c r="D127" s="78"/>
      <c r="E127" s="78"/>
      <c r="F127" s="4" t="s">
        <v>220</v>
      </c>
      <c r="G127" s="78" t="s">
        <v>6</v>
      </c>
      <c r="H127" s="422" t="s">
        <v>338</v>
      </c>
      <c r="I127" s="79" t="s">
        <v>6</v>
      </c>
    </row>
    <row r="128" spans="1:9" s="191" customFormat="1" x14ac:dyDescent="0.25">
      <c r="A128" s="121"/>
      <c r="B128" s="17"/>
      <c r="C128" s="17"/>
      <c r="D128" s="3"/>
      <c r="E128" s="3"/>
      <c r="F128" s="122" t="s">
        <v>221</v>
      </c>
      <c r="G128" s="78" t="s">
        <v>6</v>
      </c>
      <c r="H128" s="422" t="s">
        <v>338</v>
      </c>
      <c r="I128" s="79" t="s">
        <v>6</v>
      </c>
    </row>
    <row r="129" spans="1:9" s="191" customFormat="1" ht="13.8" thickBot="1" x14ac:dyDescent="0.3">
      <c r="A129" s="33"/>
      <c r="B129" s="34"/>
      <c r="C129" s="34"/>
      <c r="D129" s="181"/>
      <c r="E129" s="192"/>
      <c r="F129" s="128"/>
      <c r="G129" s="128"/>
      <c r="H129" s="648"/>
      <c r="I129" s="225"/>
    </row>
    <row r="130" spans="1:9" s="191" customFormat="1" x14ac:dyDescent="0.25">
      <c r="A130" s="426">
        <v>222</v>
      </c>
      <c r="B130" s="53">
        <v>228</v>
      </c>
      <c r="C130" s="53">
        <v>7</v>
      </c>
      <c r="D130" s="54" t="s">
        <v>65</v>
      </c>
      <c r="E130" s="54"/>
      <c r="F130" s="228"/>
      <c r="G130" s="54"/>
      <c r="H130" s="229"/>
      <c r="I130" s="230"/>
    </row>
    <row r="131" spans="1:9" s="191" customFormat="1" ht="13.8" thickBot="1" x14ac:dyDescent="0.3">
      <c r="A131" s="348">
        <v>229</v>
      </c>
      <c r="B131" s="129">
        <v>240</v>
      </c>
      <c r="C131" s="129">
        <v>12</v>
      </c>
      <c r="D131" s="231" t="s">
        <v>65</v>
      </c>
      <c r="E131" s="231"/>
      <c r="F131" s="232"/>
      <c r="G131" s="130"/>
      <c r="H131" s="212"/>
      <c r="I131" s="233"/>
    </row>
    <row r="132" spans="1:9" s="191" customFormat="1" ht="53.25" customHeight="1" x14ac:dyDescent="0.25">
      <c r="A132" s="28">
        <v>241</v>
      </c>
      <c r="B132" s="29">
        <v>242</v>
      </c>
      <c r="C132" s="29">
        <v>2</v>
      </c>
      <c r="D132" s="116" t="s">
        <v>122</v>
      </c>
      <c r="E132" s="116" t="s">
        <v>67</v>
      </c>
      <c r="F132" s="120" t="s">
        <v>209</v>
      </c>
      <c r="G132" s="116" t="s">
        <v>6</v>
      </c>
      <c r="H132" s="207" t="s">
        <v>6</v>
      </c>
      <c r="I132" s="117" t="s">
        <v>214</v>
      </c>
    </row>
    <row r="133" spans="1:9" s="191" customFormat="1" x14ac:dyDescent="0.25">
      <c r="A133" s="121"/>
      <c r="B133" s="17"/>
      <c r="C133" s="17"/>
      <c r="D133" s="3"/>
      <c r="E133" s="3"/>
      <c r="F133" s="4" t="s">
        <v>210</v>
      </c>
      <c r="G133" s="3" t="s">
        <v>6</v>
      </c>
      <c r="H133" s="208" t="s">
        <v>6</v>
      </c>
      <c r="I133" s="209" t="s">
        <v>215</v>
      </c>
    </row>
    <row r="134" spans="1:9" s="191" customFormat="1" x14ac:dyDescent="0.25">
      <c r="A134" s="121"/>
      <c r="B134" s="17"/>
      <c r="C134" s="17"/>
      <c r="D134" s="3"/>
      <c r="E134" s="3"/>
      <c r="F134" s="4" t="s">
        <v>211</v>
      </c>
      <c r="G134" s="3" t="s">
        <v>6</v>
      </c>
      <c r="H134" s="208" t="s">
        <v>6</v>
      </c>
      <c r="I134" s="59" t="s">
        <v>216</v>
      </c>
    </row>
    <row r="135" spans="1:9" s="191" customFormat="1" x14ac:dyDescent="0.25">
      <c r="A135" s="121"/>
      <c r="B135" s="17"/>
      <c r="C135" s="17"/>
      <c r="D135" s="3"/>
      <c r="E135" s="3"/>
      <c r="F135" s="4" t="s">
        <v>212</v>
      </c>
      <c r="G135" s="3" t="s">
        <v>6</v>
      </c>
      <c r="H135" s="208" t="s">
        <v>6</v>
      </c>
      <c r="I135" s="209" t="s">
        <v>217</v>
      </c>
    </row>
    <row r="136" spans="1:9" s="191" customFormat="1" x14ac:dyDescent="0.25">
      <c r="A136" s="121"/>
      <c r="B136" s="17"/>
      <c r="C136" s="17"/>
      <c r="D136" s="3"/>
      <c r="E136" s="3"/>
      <c r="F136" s="4" t="s">
        <v>213</v>
      </c>
      <c r="G136" s="3" t="s">
        <v>6</v>
      </c>
      <c r="H136" s="208" t="s">
        <v>6</v>
      </c>
      <c r="I136" s="209" t="s">
        <v>218</v>
      </c>
    </row>
    <row r="137" spans="1:9" s="191" customFormat="1" x14ac:dyDescent="0.25">
      <c r="A137" s="121"/>
      <c r="B137" s="17"/>
      <c r="C137" s="17"/>
      <c r="D137" s="3"/>
      <c r="E137" s="3"/>
      <c r="F137" s="4" t="s">
        <v>219</v>
      </c>
      <c r="G137" s="3" t="s">
        <v>6</v>
      </c>
      <c r="H137" s="208" t="s">
        <v>6</v>
      </c>
      <c r="I137" s="59" t="s">
        <v>6</v>
      </c>
    </row>
    <row r="138" spans="1:9" s="191" customFormat="1" ht="13.8" thickBot="1" x14ac:dyDescent="0.3">
      <c r="A138" s="30"/>
      <c r="B138" s="31"/>
      <c r="C138" s="31"/>
      <c r="D138" s="52"/>
      <c r="E138" s="52"/>
      <c r="F138" s="51" t="s">
        <v>28</v>
      </c>
      <c r="G138" s="52" t="s">
        <v>6</v>
      </c>
      <c r="H138" s="210" t="s">
        <v>6</v>
      </c>
      <c r="I138" s="60" t="s">
        <v>6</v>
      </c>
    </row>
    <row r="139" spans="1:9" s="191" customFormat="1" ht="39.6" x14ac:dyDescent="0.25">
      <c r="A139" s="131">
        <v>243</v>
      </c>
      <c r="B139" s="18">
        <v>245</v>
      </c>
      <c r="C139" s="18">
        <v>3</v>
      </c>
      <c r="D139" s="27" t="s">
        <v>123</v>
      </c>
      <c r="E139" s="27" t="s">
        <v>54</v>
      </c>
      <c r="F139" s="27" t="s">
        <v>104</v>
      </c>
      <c r="G139" s="27" t="s">
        <v>6</v>
      </c>
      <c r="H139" s="424" t="s">
        <v>6</v>
      </c>
      <c r="I139" s="58" t="s">
        <v>6</v>
      </c>
    </row>
    <row r="140" spans="1:9" s="191" customFormat="1" x14ac:dyDescent="0.25">
      <c r="A140" s="121"/>
      <c r="B140" s="17"/>
      <c r="C140" s="17"/>
      <c r="D140" s="3"/>
      <c r="E140" s="3"/>
      <c r="F140" s="4" t="s">
        <v>32</v>
      </c>
      <c r="G140" s="3" t="s">
        <v>6</v>
      </c>
      <c r="H140" s="424" t="s">
        <v>6</v>
      </c>
      <c r="I140" s="59" t="s">
        <v>6</v>
      </c>
    </row>
    <row r="141" spans="1:9" s="191" customFormat="1" x14ac:dyDescent="0.25">
      <c r="A141" s="121"/>
      <c r="B141" s="17"/>
      <c r="C141" s="17"/>
      <c r="D141" s="3"/>
      <c r="E141" s="3"/>
      <c r="F141" s="122" t="s">
        <v>33</v>
      </c>
      <c r="G141" s="3" t="s">
        <v>6</v>
      </c>
      <c r="H141" s="424" t="s">
        <v>338</v>
      </c>
      <c r="I141" s="59" t="s">
        <v>6</v>
      </c>
    </row>
    <row r="142" spans="1:9" s="191" customFormat="1" x14ac:dyDescent="0.25">
      <c r="A142" s="185"/>
      <c r="B142" s="77"/>
      <c r="C142" s="77"/>
      <c r="D142" s="78"/>
      <c r="E142" s="78"/>
      <c r="F142" s="4" t="s">
        <v>220</v>
      </c>
      <c r="G142" s="78" t="s">
        <v>6</v>
      </c>
      <c r="H142" s="424" t="s">
        <v>338</v>
      </c>
      <c r="I142" s="79" t="s">
        <v>6</v>
      </c>
    </row>
    <row r="143" spans="1:9" s="191" customFormat="1" ht="13.8" thickBot="1" x14ac:dyDescent="0.3">
      <c r="A143" s="185"/>
      <c r="B143" s="77"/>
      <c r="C143" s="77"/>
      <c r="D143" s="78"/>
      <c r="E143" s="78"/>
      <c r="F143" s="122" t="s">
        <v>221</v>
      </c>
      <c r="G143" s="52" t="s">
        <v>6</v>
      </c>
      <c r="H143" s="650" t="s">
        <v>6</v>
      </c>
      <c r="I143" s="60" t="s">
        <v>6</v>
      </c>
    </row>
    <row r="144" spans="1:9" s="191" customFormat="1" ht="93" thickBot="1" x14ac:dyDescent="0.3">
      <c r="A144" s="20">
        <v>246</v>
      </c>
      <c r="B144" s="21">
        <v>248</v>
      </c>
      <c r="C144" s="21">
        <v>3</v>
      </c>
      <c r="D144" s="40" t="s">
        <v>351</v>
      </c>
      <c r="E144" s="48" t="s">
        <v>87</v>
      </c>
      <c r="F144" s="40" t="s">
        <v>42</v>
      </c>
      <c r="G144" s="181" t="s">
        <v>6</v>
      </c>
      <c r="H144" s="649" t="s">
        <v>338</v>
      </c>
      <c r="I144" s="202"/>
    </row>
    <row r="145" spans="1:9" s="191" customFormat="1" x14ac:dyDescent="0.25">
      <c r="A145" s="131">
        <v>249</v>
      </c>
      <c r="B145" s="18">
        <v>249</v>
      </c>
      <c r="C145" s="18">
        <v>1</v>
      </c>
      <c r="D145" s="46" t="s">
        <v>108</v>
      </c>
      <c r="E145" s="46" t="s">
        <v>59</v>
      </c>
      <c r="F145" s="365" t="s">
        <v>222</v>
      </c>
      <c r="G145" s="27" t="s">
        <v>6</v>
      </c>
      <c r="H145" s="647" t="s">
        <v>338</v>
      </c>
      <c r="I145" s="152"/>
    </row>
    <row r="146" spans="1:9" s="191" customFormat="1" x14ac:dyDescent="0.25">
      <c r="A146" s="121"/>
      <c r="B146" s="17"/>
      <c r="C146" s="17"/>
      <c r="D146" s="2"/>
      <c r="E146" s="2"/>
      <c r="F146" s="215" t="s">
        <v>223</v>
      </c>
      <c r="G146" s="3" t="s">
        <v>6</v>
      </c>
      <c r="H146" s="422" t="s">
        <v>338</v>
      </c>
      <c r="I146" s="172"/>
    </row>
    <row r="147" spans="1:9" s="191" customFormat="1" ht="13.8" thickBot="1" x14ac:dyDescent="0.3">
      <c r="A147" s="185"/>
      <c r="B147" s="77"/>
      <c r="C147" s="77"/>
      <c r="D147" s="118"/>
      <c r="E147" s="118"/>
      <c r="F147" s="366" t="s">
        <v>224</v>
      </c>
      <c r="G147" s="3" t="s">
        <v>6</v>
      </c>
      <c r="H147" s="650" t="s">
        <v>338</v>
      </c>
      <c r="I147" s="172"/>
    </row>
    <row r="148" spans="1:9" s="191" customFormat="1" ht="106.2" thickBot="1" x14ac:dyDescent="0.3">
      <c r="A148" s="20">
        <v>250</v>
      </c>
      <c r="B148" s="21">
        <v>252</v>
      </c>
      <c r="C148" s="21">
        <v>3</v>
      </c>
      <c r="D148" s="40" t="s">
        <v>352</v>
      </c>
      <c r="E148" s="48" t="s">
        <v>87</v>
      </c>
      <c r="F148" s="40" t="s">
        <v>42</v>
      </c>
      <c r="G148" s="40" t="s">
        <v>6</v>
      </c>
      <c r="H148" s="640" t="s">
        <v>338</v>
      </c>
      <c r="I148" s="202"/>
    </row>
    <row r="149" spans="1:9" s="191" customFormat="1" x14ac:dyDescent="0.25">
      <c r="A149" s="131">
        <v>253</v>
      </c>
      <c r="B149" s="18">
        <v>253</v>
      </c>
      <c r="C149" s="18">
        <v>1</v>
      </c>
      <c r="D149" s="46" t="s">
        <v>110</v>
      </c>
      <c r="E149" s="46" t="s">
        <v>59</v>
      </c>
      <c r="F149" s="365" t="s">
        <v>222</v>
      </c>
      <c r="G149" s="27" t="s">
        <v>6</v>
      </c>
      <c r="H149" s="647" t="s">
        <v>338</v>
      </c>
      <c r="I149" s="152"/>
    </row>
    <row r="150" spans="1:9" s="191" customFormat="1" x14ac:dyDescent="0.25">
      <c r="A150" s="121"/>
      <c r="B150" s="17"/>
      <c r="C150" s="17"/>
      <c r="D150" s="2"/>
      <c r="E150" s="2"/>
      <c r="F150" s="215" t="s">
        <v>223</v>
      </c>
      <c r="G150" s="3" t="s">
        <v>6</v>
      </c>
      <c r="H150" s="422" t="s">
        <v>338</v>
      </c>
      <c r="I150" s="172"/>
    </row>
    <row r="151" spans="1:9" s="191" customFormat="1" ht="13.8" thickBot="1" x14ac:dyDescent="0.3">
      <c r="A151" s="185"/>
      <c r="B151" s="77"/>
      <c r="C151" s="77"/>
      <c r="D151" s="118"/>
      <c r="E151" s="118"/>
      <c r="F151" s="366" t="s">
        <v>224</v>
      </c>
      <c r="G151" s="3" t="s">
        <v>6</v>
      </c>
      <c r="H151" s="650" t="s">
        <v>338</v>
      </c>
      <c r="I151" s="172"/>
    </row>
    <row r="152" spans="1:9" s="191" customFormat="1" ht="119.4" thickBot="1" x14ac:dyDescent="0.3">
      <c r="A152" s="20">
        <v>254</v>
      </c>
      <c r="B152" s="21">
        <v>256</v>
      </c>
      <c r="C152" s="21">
        <v>3</v>
      </c>
      <c r="D152" s="40" t="s">
        <v>350</v>
      </c>
      <c r="E152" s="48" t="s">
        <v>87</v>
      </c>
      <c r="F152" s="40" t="s">
        <v>42</v>
      </c>
      <c r="G152" s="40" t="s">
        <v>6</v>
      </c>
      <c r="H152" s="640" t="s">
        <v>338</v>
      </c>
      <c r="I152" s="202"/>
    </row>
    <row r="153" spans="1:9" s="191" customFormat="1" x14ac:dyDescent="0.25">
      <c r="A153" s="131">
        <v>257</v>
      </c>
      <c r="B153" s="18">
        <v>257</v>
      </c>
      <c r="C153" s="18">
        <v>1</v>
      </c>
      <c r="D153" s="46" t="s">
        <v>112</v>
      </c>
      <c r="E153" s="46" t="s">
        <v>59</v>
      </c>
      <c r="F153" s="365" t="s">
        <v>222</v>
      </c>
      <c r="G153" s="27" t="s">
        <v>6</v>
      </c>
      <c r="H153" s="647" t="s">
        <v>338</v>
      </c>
      <c r="I153" s="152"/>
    </row>
    <row r="154" spans="1:9" s="191" customFormat="1" x14ac:dyDescent="0.25">
      <c r="A154" s="121"/>
      <c r="B154" s="17"/>
      <c r="C154" s="17"/>
      <c r="D154" s="2"/>
      <c r="E154" s="2"/>
      <c r="F154" s="215" t="s">
        <v>223</v>
      </c>
      <c r="G154" s="3" t="s">
        <v>6</v>
      </c>
      <c r="H154" s="422" t="s">
        <v>338</v>
      </c>
      <c r="I154" s="172"/>
    </row>
    <row r="155" spans="1:9" s="191" customFormat="1" ht="13.8" thickBot="1" x14ac:dyDescent="0.3">
      <c r="A155" s="185"/>
      <c r="B155" s="77"/>
      <c r="C155" s="77"/>
      <c r="D155" s="118"/>
      <c r="E155" s="118"/>
      <c r="F155" s="366" t="s">
        <v>224</v>
      </c>
      <c r="G155" s="3" t="s">
        <v>6</v>
      </c>
      <c r="H155" s="650" t="s">
        <v>338</v>
      </c>
      <c r="I155" s="153"/>
    </row>
    <row r="156" spans="1:9" s="191" customFormat="1" ht="119.4" thickBot="1" x14ac:dyDescent="0.3">
      <c r="A156" s="20">
        <v>258</v>
      </c>
      <c r="B156" s="21">
        <v>260</v>
      </c>
      <c r="C156" s="21">
        <v>3</v>
      </c>
      <c r="D156" s="40" t="s">
        <v>349</v>
      </c>
      <c r="E156" s="48" t="s">
        <v>87</v>
      </c>
      <c r="F156" s="40" t="s">
        <v>42</v>
      </c>
      <c r="G156" s="40" t="s">
        <v>6</v>
      </c>
      <c r="H156" s="640" t="s">
        <v>338</v>
      </c>
      <c r="I156" s="202"/>
    </row>
    <row r="157" spans="1:9" s="191" customFormat="1" x14ac:dyDescent="0.25">
      <c r="A157" s="131">
        <v>261</v>
      </c>
      <c r="B157" s="18">
        <v>261</v>
      </c>
      <c r="C157" s="18">
        <v>1</v>
      </c>
      <c r="D157" s="46" t="s">
        <v>113</v>
      </c>
      <c r="E157" s="46" t="s">
        <v>59</v>
      </c>
      <c r="F157" s="365" t="s">
        <v>222</v>
      </c>
      <c r="G157" s="27" t="s">
        <v>6</v>
      </c>
      <c r="H157" s="189"/>
      <c r="I157" s="152"/>
    </row>
    <row r="158" spans="1:9" s="191" customFormat="1" x14ac:dyDescent="0.25">
      <c r="A158" s="121"/>
      <c r="B158" s="17"/>
      <c r="C158" s="17"/>
      <c r="D158" s="2"/>
      <c r="E158" s="2"/>
      <c r="F158" s="215" t="s">
        <v>223</v>
      </c>
      <c r="G158" s="3" t="s">
        <v>6</v>
      </c>
      <c r="H158" s="171"/>
      <c r="I158" s="172"/>
    </row>
    <row r="159" spans="1:9" s="191" customFormat="1" ht="13.8" thickBot="1" x14ac:dyDescent="0.3">
      <c r="A159" s="121"/>
      <c r="B159" s="17"/>
      <c r="C159" s="17"/>
      <c r="D159" s="2"/>
      <c r="E159" s="2"/>
      <c r="F159" s="366" t="s">
        <v>224</v>
      </c>
      <c r="G159" s="3" t="s">
        <v>6</v>
      </c>
      <c r="H159" s="128"/>
      <c r="I159" s="153"/>
    </row>
    <row r="160" spans="1:9" s="191" customFormat="1" ht="119.4" thickBot="1" x14ac:dyDescent="0.3">
      <c r="A160" s="20">
        <v>262</v>
      </c>
      <c r="B160" s="21">
        <v>264</v>
      </c>
      <c r="C160" s="21">
        <v>3</v>
      </c>
      <c r="D160" s="40" t="s">
        <v>128</v>
      </c>
      <c r="E160" s="48"/>
      <c r="F160" s="40" t="s">
        <v>42</v>
      </c>
      <c r="G160" s="40" t="s">
        <v>6</v>
      </c>
      <c r="H160" s="219"/>
      <c r="I160" s="226"/>
    </row>
    <row r="161" spans="1:9" s="191" customFormat="1" x14ac:dyDescent="0.25">
      <c r="A161" s="131">
        <v>265</v>
      </c>
      <c r="B161" s="18">
        <v>265</v>
      </c>
      <c r="C161" s="18">
        <v>1</v>
      </c>
      <c r="D161" s="46" t="s">
        <v>120</v>
      </c>
      <c r="E161" s="46" t="s">
        <v>59</v>
      </c>
      <c r="F161" s="365" t="s">
        <v>222</v>
      </c>
      <c r="G161" s="27" t="s">
        <v>6</v>
      </c>
      <c r="H161" s="229"/>
      <c r="I161" s="152"/>
    </row>
    <row r="162" spans="1:9" s="191" customFormat="1" x14ac:dyDescent="0.25">
      <c r="A162" s="121"/>
      <c r="B162" s="17"/>
      <c r="C162" s="17"/>
      <c r="D162" s="2"/>
      <c r="E162" s="2"/>
      <c r="F162" s="215" t="s">
        <v>223</v>
      </c>
      <c r="G162" s="3" t="s">
        <v>6</v>
      </c>
      <c r="H162" s="211"/>
      <c r="I162" s="172"/>
    </row>
    <row r="163" spans="1:9" s="191" customFormat="1" ht="13.8" thickBot="1" x14ac:dyDescent="0.3">
      <c r="A163" s="121"/>
      <c r="B163" s="17"/>
      <c r="C163" s="17"/>
      <c r="D163" s="2"/>
      <c r="E163" s="2"/>
      <c r="F163" s="366" t="s">
        <v>224</v>
      </c>
      <c r="G163" s="3" t="s">
        <v>6</v>
      </c>
      <c r="H163" s="211"/>
      <c r="I163" s="153"/>
    </row>
    <row r="164" spans="1:9" s="191" customFormat="1" ht="13.8" thickBot="1" x14ac:dyDescent="0.3">
      <c r="A164" s="123">
        <v>266</v>
      </c>
      <c r="B164" s="42">
        <v>266</v>
      </c>
      <c r="C164" s="42">
        <v>1</v>
      </c>
      <c r="D164" s="217" t="s">
        <v>65</v>
      </c>
      <c r="E164" s="217"/>
      <c r="F164" s="218"/>
      <c r="G164" s="217"/>
      <c r="H164" s="219"/>
      <c r="I164" s="214"/>
    </row>
    <row r="165" spans="1:9" s="191" customFormat="1" ht="54.75" customHeight="1" x14ac:dyDescent="0.25">
      <c r="A165" s="131">
        <v>267</v>
      </c>
      <c r="B165" s="18">
        <v>269</v>
      </c>
      <c r="C165" s="18">
        <v>3</v>
      </c>
      <c r="D165" s="27" t="s">
        <v>129</v>
      </c>
      <c r="E165" s="46" t="s">
        <v>56</v>
      </c>
      <c r="F165" s="27" t="s">
        <v>22</v>
      </c>
      <c r="G165" s="27" t="s">
        <v>6</v>
      </c>
      <c r="H165" s="425" t="s">
        <v>340</v>
      </c>
      <c r="I165" s="257" t="s">
        <v>14</v>
      </c>
    </row>
    <row r="166" spans="1:9" s="191" customFormat="1" x14ac:dyDescent="0.25">
      <c r="A166" s="121"/>
      <c r="B166" s="17"/>
      <c r="C166" s="17"/>
      <c r="D166" s="3"/>
      <c r="E166" s="3"/>
      <c r="F166" s="4" t="s">
        <v>32</v>
      </c>
      <c r="G166" s="3" t="s">
        <v>6</v>
      </c>
      <c r="H166" s="424" t="s">
        <v>338</v>
      </c>
      <c r="I166" s="59" t="s">
        <v>6</v>
      </c>
    </row>
    <row r="167" spans="1:9" s="191" customFormat="1" x14ac:dyDescent="0.25">
      <c r="A167" s="121"/>
      <c r="B167" s="17"/>
      <c r="C167" s="17"/>
      <c r="D167" s="3"/>
      <c r="E167" s="3"/>
      <c r="F167" s="122" t="s">
        <v>33</v>
      </c>
      <c r="G167" s="3" t="s">
        <v>6</v>
      </c>
      <c r="H167" s="424" t="s">
        <v>338</v>
      </c>
      <c r="I167" s="59" t="s">
        <v>6</v>
      </c>
    </row>
    <row r="168" spans="1:9" s="191" customFormat="1" x14ac:dyDescent="0.25">
      <c r="A168" s="185"/>
      <c r="B168" s="77"/>
      <c r="C168" s="77"/>
      <c r="D168" s="78"/>
      <c r="E168" s="78"/>
      <c r="F168" s="4" t="s">
        <v>220</v>
      </c>
      <c r="G168" s="78" t="s">
        <v>6</v>
      </c>
      <c r="H168" s="424" t="s">
        <v>338</v>
      </c>
      <c r="I168" s="79" t="s">
        <v>6</v>
      </c>
    </row>
    <row r="169" spans="1:9" s="191" customFormat="1" x14ac:dyDescent="0.25">
      <c r="A169" s="185"/>
      <c r="B169" s="77"/>
      <c r="C169" s="77"/>
      <c r="D169" s="78"/>
      <c r="E169" s="78"/>
      <c r="F169" s="122" t="s">
        <v>221</v>
      </c>
      <c r="G169" s="3" t="s">
        <v>6</v>
      </c>
      <c r="H169" s="424" t="s">
        <v>338</v>
      </c>
      <c r="I169" s="79" t="s">
        <v>6</v>
      </c>
    </row>
    <row r="170" spans="1:9" s="191" customFormat="1" ht="13.8" thickBot="1" x14ac:dyDescent="0.3">
      <c r="A170" s="30"/>
      <c r="B170" s="31"/>
      <c r="C170" s="31"/>
      <c r="D170" s="52"/>
      <c r="E170" s="50"/>
      <c r="F170" s="128"/>
      <c r="G170" s="128"/>
      <c r="H170" s="128"/>
      <c r="I170" s="225"/>
    </row>
    <row r="171" spans="1:9" s="191" customFormat="1" x14ac:dyDescent="0.25">
      <c r="A171" s="426">
        <v>270</v>
      </c>
      <c r="B171" s="53">
        <v>276</v>
      </c>
      <c r="C171" s="53">
        <v>7</v>
      </c>
      <c r="D171" s="54" t="s">
        <v>65</v>
      </c>
      <c r="E171" s="54"/>
      <c r="F171" s="228"/>
      <c r="G171" s="54"/>
      <c r="H171" s="229"/>
      <c r="I171" s="230"/>
    </row>
    <row r="172" spans="1:9" s="191" customFormat="1" ht="13.8" thickBot="1" x14ac:dyDescent="0.3">
      <c r="A172" s="348">
        <v>277</v>
      </c>
      <c r="B172" s="129">
        <v>288</v>
      </c>
      <c r="C172" s="129">
        <v>12</v>
      </c>
      <c r="D172" s="231" t="s">
        <v>65</v>
      </c>
      <c r="E172" s="231"/>
      <c r="F172" s="232"/>
      <c r="G172" s="130"/>
      <c r="H172" s="212"/>
      <c r="I172" s="233"/>
    </row>
    <row r="173" spans="1:9" s="191" customFormat="1" ht="52.8" x14ac:dyDescent="0.25">
      <c r="A173" s="28">
        <v>289</v>
      </c>
      <c r="B173" s="29">
        <v>290</v>
      </c>
      <c r="C173" s="29">
        <v>2</v>
      </c>
      <c r="D173" s="116" t="s">
        <v>130</v>
      </c>
      <c r="E173" s="116" t="s">
        <v>67</v>
      </c>
      <c r="F173" s="120" t="s">
        <v>209</v>
      </c>
      <c r="G173" s="116" t="s">
        <v>6</v>
      </c>
      <c r="H173" s="207" t="s">
        <v>6</v>
      </c>
      <c r="I173" s="117" t="s">
        <v>214</v>
      </c>
    </row>
    <row r="174" spans="1:9" s="191" customFormat="1" x14ac:dyDescent="0.25">
      <c r="A174" s="121"/>
      <c r="B174" s="17"/>
      <c r="C174" s="17"/>
      <c r="D174" s="3"/>
      <c r="E174" s="3"/>
      <c r="F174" s="4" t="s">
        <v>210</v>
      </c>
      <c r="G174" s="3" t="s">
        <v>6</v>
      </c>
      <c r="H174" s="208" t="s">
        <v>6</v>
      </c>
      <c r="I174" s="209" t="s">
        <v>215</v>
      </c>
    </row>
    <row r="175" spans="1:9" s="191" customFormat="1" x14ac:dyDescent="0.25">
      <c r="A175" s="121"/>
      <c r="B175" s="17"/>
      <c r="C175" s="17"/>
      <c r="D175" s="3"/>
      <c r="E175" s="3"/>
      <c r="F175" s="4" t="s">
        <v>211</v>
      </c>
      <c r="G175" s="3" t="s">
        <v>6</v>
      </c>
      <c r="H175" s="208" t="s">
        <v>6</v>
      </c>
      <c r="I175" s="59" t="s">
        <v>216</v>
      </c>
    </row>
    <row r="176" spans="1:9" s="191" customFormat="1" x14ac:dyDescent="0.25">
      <c r="A176" s="121"/>
      <c r="B176" s="17"/>
      <c r="C176" s="17"/>
      <c r="D176" s="3"/>
      <c r="E176" s="3"/>
      <c r="F176" s="4" t="s">
        <v>212</v>
      </c>
      <c r="G176" s="3" t="s">
        <v>6</v>
      </c>
      <c r="H176" s="208" t="s">
        <v>6</v>
      </c>
      <c r="I176" s="209" t="s">
        <v>217</v>
      </c>
    </row>
    <row r="177" spans="1:9" s="191" customFormat="1" x14ac:dyDescent="0.25">
      <c r="A177" s="121"/>
      <c r="B177" s="17"/>
      <c r="C177" s="17"/>
      <c r="D177" s="3"/>
      <c r="E177" s="3"/>
      <c r="F177" s="4" t="s">
        <v>213</v>
      </c>
      <c r="G177" s="3" t="s">
        <v>6</v>
      </c>
      <c r="H177" s="208" t="s">
        <v>6</v>
      </c>
      <c r="I177" s="209" t="s">
        <v>218</v>
      </c>
    </row>
    <row r="178" spans="1:9" s="191" customFormat="1" x14ac:dyDescent="0.25">
      <c r="A178" s="121"/>
      <c r="B178" s="17"/>
      <c r="C178" s="17"/>
      <c r="D178" s="3"/>
      <c r="E178" s="3"/>
      <c r="F178" s="4" t="s">
        <v>219</v>
      </c>
      <c r="G178" s="3" t="s">
        <v>6</v>
      </c>
      <c r="H178" s="208" t="s">
        <v>6</v>
      </c>
      <c r="I178" s="59" t="s">
        <v>6</v>
      </c>
    </row>
    <row r="179" spans="1:9" s="191" customFormat="1" ht="13.8" thickBot="1" x14ac:dyDescent="0.3">
      <c r="A179" s="33"/>
      <c r="B179" s="34"/>
      <c r="C179" s="34"/>
      <c r="D179" s="181"/>
      <c r="E179" s="181"/>
      <c r="F179" s="51" t="s">
        <v>28</v>
      </c>
      <c r="G179" s="52" t="s">
        <v>6</v>
      </c>
      <c r="H179" s="210" t="s">
        <v>6</v>
      </c>
      <c r="I179" s="60" t="s">
        <v>6</v>
      </c>
    </row>
    <row r="180" spans="1:9" s="191" customFormat="1" ht="55.5" customHeight="1" x14ac:dyDescent="0.25">
      <c r="A180" s="131">
        <v>291</v>
      </c>
      <c r="B180" s="18">
        <v>293</v>
      </c>
      <c r="C180" s="18">
        <v>3</v>
      </c>
      <c r="D180" s="27" t="s">
        <v>131</v>
      </c>
      <c r="E180" s="27" t="s">
        <v>54</v>
      </c>
      <c r="F180" s="27" t="s">
        <v>104</v>
      </c>
      <c r="G180" s="27" t="s">
        <v>6</v>
      </c>
      <c r="H180" s="424" t="s">
        <v>6</v>
      </c>
      <c r="I180" s="58" t="s">
        <v>6</v>
      </c>
    </row>
    <row r="181" spans="1:9" s="191" customFormat="1" x14ac:dyDescent="0.25">
      <c r="A181" s="121"/>
      <c r="B181" s="17"/>
      <c r="C181" s="17"/>
      <c r="D181" s="3"/>
      <c r="E181" s="3"/>
      <c r="F181" s="4" t="s">
        <v>32</v>
      </c>
      <c r="G181" s="3" t="s">
        <v>6</v>
      </c>
      <c r="H181" s="424" t="s">
        <v>6</v>
      </c>
      <c r="I181" s="59" t="s">
        <v>6</v>
      </c>
    </row>
    <row r="182" spans="1:9" s="191" customFormat="1" x14ac:dyDescent="0.25">
      <c r="A182" s="121"/>
      <c r="B182" s="17"/>
      <c r="C182" s="17"/>
      <c r="D182" s="3"/>
      <c r="E182" s="3"/>
      <c r="F182" s="122" t="s">
        <v>33</v>
      </c>
      <c r="G182" s="3" t="s">
        <v>6</v>
      </c>
      <c r="H182" s="422" t="s">
        <v>338</v>
      </c>
      <c r="I182" s="59" t="s">
        <v>6</v>
      </c>
    </row>
    <row r="183" spans="1:9" s="191" customFormat="1" x14ac:dyDescent="0.25">
      <c r="A183" s="121"/>
      <c r="B183" s="17"/>
      <c r="C183" s="17"/>
      <c r="D183" s="3"/>
      <c r="E183" s="3"/>
      <c r="F183" s="4" t="s">
        <v>220</v>
      </c>
      <c r="G183" s="3" t="s">
        <v>6</v>
      </c>
      <c r="H183" s="422" t="s">
        <v>338</v>
      </c>
      <c r="I183" s="59" t="s">
        <v>6</v>
      </c>
    </row>
    <row r="184" spans="1:9" s="191" customFormat="1" ht="13.8" thickBot="1" x14ac:dyDescent="0.3">
      <c r="A184" s="185"/>
      <c r="B184" s="77"/>
      <c r="C184" s="77"/>
      <c r="D184" s="78"/>
      <c r="E184" s="78"/>
      <c r="F184" s="122" t="s">
        <v>221</v>
      </c>
      <c r="G184" s="78" t="s">
        <v>6</v>
      </c>
      <c r="H184" s="424" t="s">
        <v>6</v>
      </c>
      <c r="I184" s="79" t="s">
        <v>6</v>
      </c>
    </row>
    <row r="185" spans="1:9" s="191" customFormat="1" ht="93" thickBot="1" x14ac:dyDescent="0.3">
      <c r="A185" s="20">
        <v>294</v>
      </c>
      <c r="B185" s="21">
        <v>296</v>
      </c>
      <c r="C185" s="21">
        <v>3</v>
      </c>
      <c r="D185" s="40" t="s">
        <v>345</v>
      </c>
      <c r="E185" s="48" t="s">
        <v>87</v>
      </c>
      <c r="F185" s="40" t="s">
        <v>42</v>
      </c>
      <c r="G185" s="40" t="s">
        <v>6</v>
      </c>
      <c r="H185" s="640" t="s">
        <v>338</v>
      </c>
      <c r="I185" s="234"/>
    </row>
    <row r="186" spans="1:9" s="191" customFormat="1" x14ac:dyDescent="0.25">
      <c r="A186" s="131">
        <v>297</v>
      </c>
      <c r="B186" s="18">
        <v>297</v>
      </c>
      <c r="C186" s="18">
        <v>1</v>
      </c>
      <c r="D186" s="46" t="s">
        <v>108</v>
      </c>
      <c r="E186" s="46" t="s">
        <v>59</v>
      </c>
      <c r="F186" s="365" t="s">
        <v>222</v>
      </c>
      <c r="G186" s="27" t="s">
        <v>6</v>
      </c>
      <c r="H186" s="647" t="s">
        <v>338</v>
      </c>
      <c r="I186" s="152"/>
    </row>
    <row r="187" spans="1:9" s="191" customFormat="1" x14ac:dyDescent="0.25">
      <c r="A187" s="121"/>
      <c r="B187" s="17"/>
      <c r="C187" s="17"/>
      <c r="D187" s="2"/>
      <c r="E187" s="2"/>
      <c r="F187" s="215" t="s">
        <v>223</v>
      </c>
      <c r="G187" s="3" t="s">
        <v>6</v>
      </c>
      <c r="H187" s="422" t="s">
        <v>338</v>
      </c>
      <c r="I187" s="172"/>
    </row>
    <row r="188" spans="1:9" s="191" customFormat="1" ht="13.8" thickBot="1" x14ac:dyDescent="0.3">
      <c r="A188" s="185"/>
      <c r="B188" s="77"/>
      <c r="C188" s="77"/>
      <c r="D188" s="118"/>
      <c r="E188" s="118"/>
      <c r="F188" s="366" t="s">
        <v>224</v>
      </c>
      <c r="G188" s="3" t="s">
        <v>6</v>
      </c>
      <c r="H188" s="650" t="s">
        <v>338</v>
      </c>
      <c r="I188" s="153"/>
    </row>
    <row r="189" spans="1:9" s="191" customFormat="1" ht="172.2" thickBot="1" x14ac:dyDescent="0.3">
      <c r="A189" s="20">
        <v>298</v>
      </c>
      <c r="B189" s="21">
        <v>300</v>
      </c>
      <c r="C189" s="21">
        <v>3</v>
      </c>
      <c r="D189" s="40" t="s">
        <v>346</v>
      </c>
      <c r="E189" s="48" t="s">
        <v>87</v>
      </c>
      <c r="F189" s="40" t="s">
        <v>42</v>
      </c>
      <c r="G189" s="40" t="s">
        <v>6</v>
      </c>
      <c r="H189" s="640" t="s">
        <v>338</v>
      </c>
      <c r="I189" s="202"/>
    </row>
    <row r="190" spans="1:9" s="191" customFormat="1" x14ac:dyDescent="0.25">
      <c r="A190" s="131">
        <v>301</v>
      </c>
      <c r="B190" s="18">
        <v>301</v>
      </c>
      <c r="C190" s="18">
        <v>1</v>
      </c>
      <c r="D190" s="46" t="s">
        <v>110</v>
      </c>
      <c r="E190" s="46" t="s">
        <v>59</v>
      </c>
      <c r="F190" s="365" t="s">
        <v>222</v>
      </c>
      <c r="G190" s="27" t="s">
        <v>6</v>
      </c>
      <c r="H190" s="647" t="s">
        <v>338</v>
      </c>
      <c r="I190" s="152"/>
    </row>
    <row r="191" spans="1:9" s="191" customFormat="1" x14ac:dyDescent="0.25">
      <c r="A191" s="121"/>
      <c r="B191" s="17"/>
      <c r="C191" s="17"/>
      <c r="D191" s="2"/>
      <c r="E191" s="2"/>
      <c r="F191" s="215" t="s">
        <v>223</v>
      </c>
      <c r="G191" s="3" t="s">
        <v>6</v>
      </c>
      <c r="H191" s="422" t="s">
        <v>338</v>
      </c>
      <c r="I191" s="172"/>
    </row>
    <row r="192" spans="1:9" s="191" customFormat="1" ht="13.8" thickBot="1" x14ac:dyDescent="0.3">
      <c r="A192" s="185"/>
      <c r="B192" s="77"/>
      <c r="C192" s="77"/>
      <c r="D192" s="118"/>
      <c r="E192" s="118"/>
      <c r="F192" s="366" t="s">
        <v>224</v>
      </c>
      <c r="G192" s="3" t="s">
        <v>6</v>
      </c>
      <c r="H192" s="650" t="s">
        <v>338</v>
      </c>
      <c r="I192" s="153"/>
    </row>
    <row r="193" spans="1:9" s="191" customFormat="1" ht="106.2" thickBot="1" x14ac:dyDescent="0.3">
      <c r="A193" s="20">
        <v>302</v>
      </c>
      <c r="B193" s="21">
        <v>304</v>
      </c>
      <c r="C193" s="21">
        <v>3</v>
      </c>
      <c r="D193" s="40" t="s">
        <v>347</v>
      </c>
      <c r="E193" s="48" t="s">
        <v>87</v>
      </c>
      <c r="F193" s="40" t="s">
        <v>42</v>
      </c>
      <c r="G193" s="40" t="s">
        <v>6</v>
      </c>
      <c r="H193" s="640" t="s">
        <v>338</v>
      </c>
      <c r="I193" s="202"/>
    </row>
    <row r="194" spans="1:9" s="191" customFormat="1" x14ac:dyDescent="0.25">
      <c r="A194" s="131">
        <v>305</v>
      </c>
      <c r="B194" s="18">
        <v>305</v>
      </c>
      <c r="C194" s="18">
        <v>1</v>
      </c>
      <c r="D194" s="46" t="s">
        <v>112</v>
      </c>
      <c r="E194" s="46" t="s">
        <v>59</v>
      </c>
      <c r="F194" s="365" t="s">
        <v>222</v>
      </c>
      <c r="G194" s="27" t="s">
        <v>6</v>
      </c>
      <c r="H194" s="647" t="s">
        <v>338</v>
      </c>
      <c r="I194" s="152"/>
    </row>
    <row r="195" spans="1:9" s="191" customFormat="1" x14ac:dyDescent="0.25">
      <c r="A195" s="121"/>
      <c r="B195" s="17"/>
      <c r="C195" s="17"/>
      <c r="D195" s="2"/>
      <c r="E195" s="2"/>
      <c r="F195" s="215" t="s">
        <v>223</v>
      </c>
      <c r="G195" s="3" t="s">
        <v>6</v>
      </c>
      <c r="H195" s="422" t="s">
        <v>338</v>
      </c>
      <c r="I195" s="172"/>
    </row>
    <row r="196" spans="1:9" s="191" customFormat="1" ht="13.8" thickBot="1" x14ac:dyDescent="0.3">
      <c r="A196" s="185"/>
      <c r="B196" s="77"/>
      <c r="C196" s="77"/>
      <c r="D196" s="118"/>
      <c r="E196" s="118"/>
      <c r="F196" s="366" t="s">
        <v>224</v>
      </c>
      <c r="G196" s="3" t="s">
        <v>6</v>
      </c>
      <c r="H196" s="650" t="s">
        <v>338</v>
      </c>
      <c r="I196" s="153"/>
    </row>
    <row r="197" spans="1:9" s="191" customFormat="1" ht="119.4" thickBot="1" x14ac:dyDescent="0.3">
      <c r="A197" s="20">
        <v>306</v>
      </c>
      <c r="B197" s="21">
        <v>308</v>
      </c>
      <c r="C197" s="21">
        <v>3</v>
      </c>
      <c r="D197" s="40" t="s">
        <v>348</v>
      </c>
      <c r="E197" s="48" t="s">
        <v>87</v>
      </c>
      <c r="F197" s="40" t="s">
        <v>42</v>
      </c>
      <c r="G197" s="40" t="s">
        <v>6</v>
      </c>
      <c r="H197" s="640" t="s">
        <v>338</v>
      </c>
      <c r="I197" s="202"/>
    </row>
    <row r="198" spans="1:9" s="191" customFormat="1" x14ac:dyDescent="0.25">
      <c r="A198" s="131">
        <v>309</v>
      </c>
      <c r="B198" s="18">
        <v>309</v>
      </c>
      <c r="C198" s="18">
        <v>1</v>
      </c>
      <c r="D198" s="46" t="s">
        <v>113</v>
      </c>
      <c r="E198" s="46" t="s">
        <v>59</v>
      </c>
      <c r="F198" s="365" t="s">
        <v>222</v>
      </c>
      <c r="G198" s="27" t="s">
        <v>6</v>
      </c>
      <c r="H198" s="56"/>
      <c r="I198" s="152"/>
    </row>
    <row r="199" spans="1:9" s="191" customFormat="1" x14ac:dyDescent="0.25">
      <c r="A199" s="121"/>
      <c r="B199" s="17"/>
      <c r="C199" s="17"/>
      <c r="D199" s="2"/>
      <c r="E199" s="2"/>
      <c r="F199" s="215" t="s">
        <v>223</v>
      </c>
      <c r="G199" s="3" t="s">
        <v>6</v>
      </c>
      <c r="H199" s="171"/>
      <c r="I199" s="172"/>
    </row>
    <row r="200" spans="1:9" s="191" customFormat="1" ht="13.8" thickBot="1" x14ac:dyDescent="0.3">
      <c r="A200" s="185"/>
      <c r="B200" s="77"/>
      <c r="C200" s="77"/>
      <c r="D200" s="118"/>
      <c r="E200" s="118"/>
      <c r="F200" s="373" t="s">
        <v>224</v>
      </c>
      <c r="G200" s="78" t="s">
        <v>6</v>
      </c>
      <c r="H200" s="130"/>
      <c r="I200" s="153"/>
    </row>
    <row r="201" spans="1:9" s="191" customFormat="1" ht="79.8" thickBot="1" x14ac:dyDescent="0.3">
      <c r="A201" s="123">
        <v>310</v>
      </c>
      <c r="B201" s="42">
        <v>312</v>
      </c>
      <c r="C201" s="42">
        <v>3</v>
      </c>
      <c r="D201" s="44" t="s">
        <v>135</v>
      </c>
      <c r="E201" s="217" t="s">
        <v>87</v>
      </c>
      <c r="F201" s="44"/>
      <c r="G201" s="44"/>
      <c r="H201" s="44"/>
      <c r="I201" s="226"/>
    </row>
    <row r="202" spans="1:9" s="191" customFormat="1" x14ac:dyDescent="0.25">
      <c r="A202" s="426">
        <v>313</v>
      </c>
      <c r="B202" s="53">
        <v>313</v>
      </c>
      <c r="C202" s="53">
        <v>1</v>
      </c>
      <c r="D202" s="54" t="s">
        <v>120</v>
      </c>
      <c r="E202" s="54" t="s">
        <v>59</v>
      </c>
      <c r="F202" s="367"/>
      <c r="G202" s="56"/>
      <c r="H202" s="229"/>
      <c r="I202" s="152"/>
    </row>
    <row r="203" spans="1:9" s="191" customFormat="1" x14ac:dyDescent="0.25">
      <c r="A203" s="179"/>
      <c r="B203" s="180"/>
      <c r="C203" s="180"/>
      <c r="D203" s="227"/>
      <c r="E203" s="227"/>
      <c r="F203" s="216"/>
      <c r="G203" s="171"/>
      <c r="H203" s="211"/>
      <c r="I203" s="172"/>
    </row>
    <row r="204" spans="1:9" s="191" customFormat="1" ht="13.8" thickBot="1" x14ac:dyDescent="0.3">
      <c r="A204" s="348"/>
      <c r="B204" s="129"/>
      <c r="C204" s="129"/>
      <c r="D204" s="231"/>
      <c r="E204" s="231"/>
      <c r="F204" s="368"/>
      <c r="G204" s="130"/>
      <c r="H204" s="212"/>
      <c r="I204" s="153"/>
    </row>
    <row r="205" spans="1:9" s="191" customFormat="1" ht="13.8" thickBot="1" x14ac:dyDescent="0.3">
      <c r="A205" s="123">
        <v>314</v>
      </c>
      <c r="B205" s="42">
        <v>314</v>
      </c>
      <c r="C205" s="42">
        <v>1</v>
      </c>
      <c r="D205" s="217" t="s">
        <v>65</v>
      </c>
      <c r="E205" s="217"/>
      <c r="F205" s="218"/>
      <c r="G205" s="217"/>
      <c r="H205" s="219"/>
      <c r="I205" s="214"/>
    </row>
    <row r="206" spans="1:9" s="191" customFormat="1" ht="52.8" x14ac:dyDescent="0.25">
      <c r="A206" s="131">
        <v>315</v>
      </c>
      <c r="B206" s="18">
        <v>317</v>
      </c>
      <c r="C206" s="18">
        <v>3</v>
      </c>
      <c r="D206" s="27" t="s">
        <v>253</v>
      </c>
      <c r="E206" s="27" t="s">
        <v>56</v>
      </c>
      <c r="F206" s="27" t="s">
        <v>23</v>
      </c>
      <c r="G206" s="27" t="s">
        <v>6</v>
      </c>
      <c r="H206" s="424" t="s">
        <v>338</v>
      </c>
      <c r="I206" s="58" t="s">
        <v>6</v>
      </c>
    </row>
    <row r="207" spans="1:9" s="191" customFormat="1" x14ac:dyDescent="0.25">
      <c r="A207" s="121"/>
      <c r="B207" s="17"/>
      <c r="C207" s="17"/>
      <c r="D207" s="3"/>
      <c r="E207" s="3"/>
      <c r="F207" s="4" t="s">
        <v>32</v>
      </c>
      <c r="G207" s="3" t="s">
        <v>6</v>
      </c>
      <c r="H207" s="424" t="s">
        <v>338</v>
      </c>
      <c r="I207" s="59" t="s">
        <v>6</v>
      </c>
    </row>
    <row r="208" spans="1:9" s="191" customFormat="1" x14ac:dyDescent="0.25">
      <c r="A208" s="121"/>
      <c r="B208" s="17"/>
      <c r="C208" s="17"/>
      <c r="D208" s="3"/>
      <c r="E208" s="3"/>
      <c r="F208" s="122" t="s">
        <v>33</v>
      </c>
      <c r="G208" s="3" t="s">
        <v>6</v>
      </c>
      <c r="H208" s="424" t="s">
        <v>338</v>
      </c>
      <c r="I208" s="59" t="s">
        <v>6</v>
      </c>
    </row>
    <row r="209" spans="1:9" s="191" customFormat="1" x14ac:dyDescent="0.25">
      <c r="A209" s="121"/>
      <c r="B209" s="17"/>
      <c r="C209" s="17"/>
      <c r="D209" s="3"/>
      <c r="E209" s="3"/>
      <c r="F209" s="4" t="s">
        <v>220</v>
      </c>
      <c r="G209" s="3" t="s">
        <v>6</v>
      </c>
      <c r="H209" s="424" t="s">
        <v>338</v>
      </c>
      <c r="I209" s="59" t="s">
        <v>6</v>
      </c>
    </row>
    <row r="210" spans="1:9" s="191" customFormat="1" x14ac:dyDescent="0.25">
      <c r="A210" s="185"/>
      <c r="B210" s="77"/>
      <c r="C210" s="77"/>
      <c r="D210" s="78"/>
      <c r="E210" s="78"/>
      <c r="F210" s="122" t="s">
        <v>221</v>
      </c>
      <c r="G210" s="78" t="s">
        <v>6</v>
      </c>
      <c r="H210" s="424" t="s">
        <v>338</v>
      </c>
      <c r="I210" s="79" t="s">
        <v>6</v>
      </c>
    </row>
    <row r="211" spans="1:9" s="191" customFormat="1" ht="13.8" thickBot="1" x14ac:dyDescent="0.3">
      <c r="A211" s="185"/>
      <c r="B211" s="77"/>
      <c r="C211" s="77"/>
      <c r="D211" s="78"/>
      <c r="E211" s="118"/>
      <c r="F211" s="128"/>
      <c r="G211" s="128"/>
      <c r="H211" s="128"/>
      <c r="I211" s="225"/>
    </row>
    <row r="212" spans="1:9" s="191" customFormat="1" x14ac:dyDescent="0.25">
      <c r="A212" s="124">
        <v>318</v>
      </c>
      <c r="B212" s="125">
        <v>324</v>
      </c>
      <c r="C212" s="125">
        <v>7</v>
      </c>
      <c r="D212" s="204" t="s">
        <v>65</v>
      </c>
      <c r="E212" s="204"/>
      <c r="F212" s="220"/>
      <c r="G212" s="204"/>
      <c r="H212" s="221"/>
      <c r="I212" s="222"/>
    </row>
    <row r="213" spans="1:9" s="191" customFormat="1" ht="13.8" thickBot="1" x14ac:dyDescent="0.3">
      <c r="A213" s="126">
        <v>325</v>
      </c>
      <c r="B213" s="127">
        <v>336</v>
      </c>
      <c r="C213" s="127">
        <v>12</v>
      </c>
      <c r="D213" s="206" t="s">
        <v>65</v>
      </c>
      <c r="E213" s="206"/>
      <c r="F213" s="223"/>
      <c r="G213" s="128"/>
      <c r="H213" s="224"/>
      <c r="I213" s="225"/>
    </row>
    <row r="214" spans="1:9" s="191" customFormat="1" ht="52.8" x14ac:dyDescent="0.25">
      <c r="A214" s="131">
        <v>337</v>
      </c>
      <c r="B214" s="18">
        <v>338</v>
      </c>
      <c r="C214" s="18">
        <v>2</v>
      </c>
      <c r="D214" s="27" t="s">
        <v>136</v>
      </c>
      <c r="E214" s="27" t="s">
        <v>67</v>
      </c>
      <c r="F214" s="47" t="s">
        <v>209</v>
      </c>
      <c r="G214" s="27" t="s">
        <v>6</v>
      </c>
      <c r="H214" s="27" t="s">
        <v>6</v>
      </c>
      <c r="I214" s="117" t="s">
        <v>214</v>
      </c>
    </row>
    <row r="215" spans="1:9" s="191" customFormat="1" x14ac:dyDescent="0.25">
      <c r="A215" s="121"/>
      <c r="B215" s="17"/>
      <c r="C215" s="17"/>
      <c r="D215" s="3"/>
      <c r="E215" s="3"/>
      <c r="F215" s="4" t="s">
        <v>210</v>
      </c>
      <c r="G215" s="3" t="s">
        <v>6</v>
      </c>
      <c r="H215" s="3" t="s">
        <v>6</v>
      </c>
      <c r="I215" s="209" t="s">
        <v>215</v>
      </c>
    </row>
    <row r="216" spans="1:9" s="191" customFormat="1" x14ac:dyDescent="0.25">
      <c r="A216" s="121"/>
      <c r="B216" s="17"/>
      <c r="C216" s="17"/>
      <c r="D216" s="3"/>
      <c r="E216" s="3"/>
      <c r="F216" s="4" t="s">
        <v>211</v>
      </c>
      <c r="G216" s="3" t="s">
        <v>6</v>
      </c>
      <c r="H216" s="3" t="s">
        <v>6</v>
      </c>
      <c r="I216" s="59" t="s">
        <v>216</v>
      </c>
    </row>
    <row r="217" spans="1:9" s="191" customFormat="1" x14ac:dyDescent="0.25">
      <c r="A217" s="121"/>
      <c r="B217" s="17"/>
      <c r="C217" s="17"/>
      <c r="D217" s="3"/>
      <c r="E217" s="3"/>
      <c r="F217" s="4" t="s">
        <v>212</v>
      </c>
      <c r="G217" s="3" t="s">
        <v>6</v>
      </c>
      <c r="H217" s="3" t="s">
        <v>6</v>
      </c>
      <c r="I217" s="209" t="s">
        <v>217</v>
      </c>
    </row>
    <row r="218" spans="1:9" s="191" customFormat="1" x14ac:dyDescent="0.25">
      <c r="A218" s="121"/>
      <c r="B218" s="17"/>
      <c r="C218" s="17"/>
      <c r="D218" s="3"/>
      <c r="E218" s="3"/>
      <c r="F218" s="4" t="s">
        <v>213</v>
      </c>
      <c r="G218" s="3" t="s">
        <v>6</v>
      </c>
      <c r="H218" s="3" t="s">
        <v>6</v>
      </c>
      <c r="I218" s="209" t="s">
        <v>218</v>
      </c>
    </row>
    <row r="219" spans="1:9" s="191" customFormat="1" x14ac:dyDescent="0.25">
      <c r="A219" s="121"/>
      <c r="B219" s="17"/>
      <c r="C219" s="17"/>
      <c r="D219" s="3"/>
      <c r="E219" s="3"/>
      <c r="F219" s="4" t="s">
        <v>219</v>
      </c>
      <c r="G219" s="3" t="s">
        <v>6</v>
      </c>
      <c r="H219" s="3" t="s">
        <v>6</v>
      </c>
      <c r="I219" s="59" t="s">
        <v>6</v>
      </c>
    </row>
    <row r="220" spans="1:9" s="191" customFormat="1" ht="13.8" thickBot="1" x14ac:dyDescent="0.3">
      <c r="A220" s="185"/>
      <c r="B220" s="77"/>
      <c r="C220" s="77"/>
      <c r="D220" s="78"/>
      <c r="E220" s="78"/>
      <c r="F220" s="51" t="s">
        <v>28</v>
      </c>
      <c r="G220" s="52" t="s">
        <v>6</v>
      </c>
      <c r="H220" s="210" t="s">
        <v>6</v>
      </c>
      <c r="I220" s="60" t="s">
        <v>6</v>
      </c>
    </row>
    <row r="221" spans="1:9" s="191" customFormat="1" ht="50.25" customHeight="1" x14ac:dyDescent="0.25">
      <c r="A221" s="28">
        <v>339</v>
      </c>
      <c r="B221" s="29">
        <v>341</v>
      </c>
      <c r="C221" s="29">
        <v>3</v>
      </c>
      <c r="D221" s="116" t="s">
        <v>137</v>
      </c>
      <c r="E221" s="116" t="s">
        <v>54</v>
      </c>
      <c r="F221" s="116" t="s">
        <v>104</v>
      </c>
      <c r="G221" s="116" t="s">
        <v>6</v>
      </c>
      <c r="H221" s="652" t="s">
        <v>6</v>
      </c>
      <c r="I221" s="117" t="s">
        <v>6</v>
      </c>
    </row>
    <row r="222" spans="1:9" s="191" customFormat="1" x14ac:dyDescent="0.25">
      <c r="A222" s="121"/>
      <c r="B222" s="17"/>
      <c r="C222" s="17"/>
      <c r="D222" s="3"/>
      <c r="E222" s="3"/>
      <c r="F222" s="4" t="s">
        <v>32</v>
      </c>
      <c r="G222" s="3" t="s">
        <v>6</v>
      </c>
      <c r="H222" s="424" t="s">
        <v>6</v>
      </c>
      <c r="I222" s="59" t="s">
        <v>6</v>
      </c>
    </row>
    <row r="223" spans="1:9" s="191" customFormat="1" x14ac:dyDescent="0.25">
      <c r="A223" s="121"/>
      <c r="B223" s="17"/>
      <c r="C223" s="17"/>
      <c r="D223" s="3"/>
      <c r="E223" s="3"/>
      <c r="F223" s="122" t="s">
        <v>33</v>
      </c>
      <c r="G223" s="3" t="s">
        <v>6</v>
      </c>
      <c r="H223" s="424" t="s">
        <v>338</v>
      </c>
      <c r="I223" s="59" t="s">
        <v>6</v>
      </c>
    </row>
    <row r="224" spans="1:9" s="191" customFormat="1" x14ac:dyDescent="0.25">
      <c r="A224" s="121"/>
      <c r="B224" s="17"/>
      <c r="C224" s="17"/>
      <c r="D224" s="3"/>
      <c r="E224" s="3"/>
      <c r="F224" s="4" t="s">
        <v>220</v>
      </c>
      <c r="G224" s="3" t="s">
        <v>6</v>
      </c>
      <c r="H224" s="424" t="s">
        <v>338</v>
      </c>
      <c r="I224" s="59" t="s">
        <v>6</v>
      </c>
    </row>
    <row r="225" spans="1:9" s="191" customFormat="1" ht="13.8" thickBot="1" x14ac:dyDescent="0.3">
      <c r="A225" s="30"/>
      <c r="B225" s="31"/>
      <c r="C225" s="31"/>
      <c r="D225" s="52"/>
      <c r="E225" s="52"/>
      <c r="F225" s="51" t="s">
        <v>221</v>
      </c>
      <c r="G225" s="52" t="s">
        <v>6</v>
      </c>
      <c r="H225" s="650" t="s">
        <v>6</v>
      </c>
      <c r="I225" s="60" t="s">
        <v>6</v>
      </c>
    </row>
    <row r="226" spans="1:9" s="191" customFormat="1" ht="93" thickBot="1" x14ac:dyDescent="0.3">
      <c r="A226" s="427">
        <v>342</v>
      </c>
      <c r="B226" s="108">
        <v>344</v>
      </c>
      <c r="C226" s="108">
        <v>3</v>
      </c>
      <c r="D226" s="112" t="s">
        <v>357</v>
      </c>
      <c r="E226" s="213" t="s">
        <v>87</v>
      </c>
      <c r="F226" s="40" t="s">
        <v>42</v>
      </c>
      <c r="G226" s="40" t="s">
        <v>6</v>
      </c>
      <c r="H226" s="640" t="s">
        <v>338</v>
      </c>
      <c r="I226" s="419" t="s">
        <v>323</v>
      </c>
    </row>
    <row r="227" spans="1:9" s="191" customFormat="1" x14ac:dyDescent="0.25">
      <c r="A227" s="28">
        <v>345</v>
      </c>
      <c r="B227" s="29">
        <v>345</v>
      </c>
      <c r="C227" s="29">
        <v>1</v>
      </c>
      <c r="D227" s="115" t="s">
        <v>108</v>
      </c>
      <c r="E227" s="115" t="s">
        <v>59</v>
      </c>
      <c r="F227" s="365" t="s">
        <v>222</v>
      </c>
      <c r="G227" s="27" t="s">
        <v>6</v>
      </c>
      <c r="H227" s="647" t="s">
        <v>338</v>
      </c>
      <c r="I227" s="152"/>
    </row>
    <row r="228" spans="1:9" s="191" customFormat="1" x14ac:dyDescent="0.25">
      <c r="A228" s="121"/>
      <c r="B228" s="17"/>
      <c r="C228" s="17"/>
      <c r="D228" s="2"/>
      <c r="E228" s="2"/>
      <c r="F228" s="215" t="s">
        <v>223</v>
      </c>
      <c r="G228" s="3" t="s">
        <v>6</v>
      </c>
      <c r="H228" s="422" t="s">
        <v>338</v>
      </c>
      <c r="I228" s="172"/>
    </row>
    <row r="229" spans="1:9" s="191" customFormat="1" ht="13.8" thickBot="1" x14ac:dyDescent="0.3">
      <c r="A229" s="30"/>
      <c r="B229" s="31"/>
      <c r="C229" s="31"/>
      <c r="D229" s="50"/>
      <c r="E229" s="50"/>
      <c r="F229" s="366" t="s">
        <v>224</v>
      </c>
      <c r="G229" s="3" t="s">
        <v>6</v>
      </c>
      <c r="H229" s="650" t="s">
        <v>338</v>
      </c>
      <c r="I229" s="173"/>
    </row>
    <row r="230" spans="1:9" s="191" customFormat="1" ht="106.2" thickBot="1" x14ac:dyDescent="0.3">
      <c r="A230" s="427">
        <v>346</v>
      </c>
      <c r="B230" s="108">
        <v>348</v>
      </c>
      <c r="C230" s="108">
        <v>3</v>
      </c>
      <c r="D230" s="112" t="s">
        <v>358</v>
      </c>
      <c r="E230" s="213" t="s">
        <v>87</v>
      </c>
      <c r="F230" s="40" t="s">
        <v>42</v>
      </c>
      <c r="G230" s="40" t="s">
        <v>6</v>
      </c>
      <c r="H230" s="640" t="s">
        <v>338</v>
      </c>
      <c r="I230" s="274" t="s">
        <v>324</v>
      </c>
    </row>
    <row r="231" spans="1:9" s="191" customFormat="1" x14ac:dyDescent="0.25">
      <c r="A231" s="28">
        <v>349</v>
      </c>
      <c r="B231" s="29">
        <v>349</v>
      </c>
      <c r="C231" s="29">
        <v>1</v>
      </c>
      <c r="D231" s="115" t="s">
        <v>110</v>
      </c>
      <c r="E231" s="115" t="s">
        <v>59</v>
      </c>
      <c r="F231" s="365" t="s">
        <v>222</v>
      </c>
      <c r="G231" s="27" t="s">
        <v>6</v>
      </c>
      <c r="H231" s="647" t="s">
        <v>338</v>
      </c>
      <c r="I231" s="61"/>
    </row>
    <row r="232" spans="1:9" s="191" customFormat="1" x14ac:dyDescent="0.25">
      <c r="A232" s="121"/>
      <c r="B232" s="17"/>
      <c r="C232" s="17"/>
      <c r="D232" s="2"/>
      <c r="E232" s="2"/>
      <c r="F232" s="215" t="s">
        <v>223</v>
      </c>
      <c r="G232" s="3" t="s">
        <v>6</v>
      </c>
      <c r="H232" s="422" t="s">
        <v>338</v>
      </c>
      <c r="I232" s="172"/>
    </row>
    <row r="233" spans="1:9" s="191" customFormat="1" ht="13.8" thickBot="1" x14ac:dyDescent="0.3">
      <c r="A233" s="30"/>
      <c r="B233" s="31"/>
      <c r="C233" s="31"/>
      <c r="D233" s="50"/>
      <c r="E233" s="50"/>
      <c r="F233" s="369" t="s">
        <v>224</v>
      </c>
      <c r="G233" s="52" t="s">
        <v>6</v>
      </c>
      <c r="H233" s="650" t="s">
        <v>338</v>
      </c>
      <c r="I233" s="153"/>
    </row>
    <row r="234" spans="1:9" s="191" customFormat="1" ht="119.4" thickBot="1" x14ac:dyDescent="0.3">
      <c r="A234" s="427">
        <v>350</v>
      </c>
      <c r="B234" s="108">
        <v>352</v>
      </c>
      <c r="C234" s="108">
        <v>3</v>
      </c>
      <c r="D234" s="112" t="s">
        <v>359</v>
      </c>
      <c r="E234" s="213" t="s">
        <v>87</v>
      </c>
      <c r="F234" s="181" t="s">
        <v>42</v>
      </c>
      <c r="G234" s="181" t="s">
        <v>6</v>
      </c>
      <c r="H234" s="649" t="s">
        <v>338</v>
      </c>
      <c r="I234" s="202"/>
    </row>
    <row r="235" spans="1:9" s="191" customFormat="1" x14ac:dyDescent="0.25">
      <c r="A235" s="28">
        <v>353</v>
      </c>
      <c r="B235" s="29">
        <v>353</v>
      </c>
      <c r="C235" s="29">
        <v>1</v>
      </c>
      <c r="D235" s="115" t="s">
        <v>112</v>
      </c>
      <c r="E235" s="115" t="s">
        <v>59</v>
      </c>
      <c r="F235" s="365" t="s">
        <v>222</v>
      </c>
      <c r="G235" s="27" t="s">
        <v>6</v>
      </c>
      <c r="H235" s="647" t="s">
        <v>338</v>
      </c>
      <c r="I235" s="152"/>
    </row>
    <row r="236" spans="1:9" s="191" customFormat="1" x14ac:dyDescent="0.25">
      <c r="A236" s="121"/>
      <c r="B236" s="17"/>
      <c r="C236" s="17"/>
      <c r="D236" s="2"/>
      <c r="E236" s="2"/>
      <c r="F236" s="215" t="s">
        <v>223</v>
      </c>
      <c r="G236" s="3" t="s">
        <v>6</v>
      </c>
      <c r="H236" s="422" t="s">
        <v>338</v>
      </c>
      <c r="I236" s="172"/>
    </row>
    <row r="237" spans="1:9" s="191" customFormat="1" ht="13.8" thickBot="1" x14ac:dyDescent="0.3">
      <c r="A237" s="30"/>
      <c r="B237" s="31"/>
      <c r="C237" s="31"/>
      <c r="D237" s="50"/>
      <c r="E237" s="50"/>
      <c r="F237" s="369" t="s">
        <v>224</v>
      </c>
      <c r="G237" s="52" t="s">
        <v>6</v>
      </c>
      <c r="H237" s="650" t="s">
        <v>338</v>
      </c>
      <c r="I237" s="153"/>
    </row>
    <row r="238" spans="1:9" s="191" customFormat="1" ht="198.6" thickBot="1" x14ac:dyDescent="0.3">
      <c r="A238" s="427">
        <v>354</v>
      </c>
      <c r="B238" s="108">
        <v>356</v>
      </c>
      <c r="C238" s="108">
        <v>3</v>
      </c>
      <c r="D238" s="112" t="s">
        <v>360</v>
      </c>
      <c r="E238" s="213" t="s">
        <v>87</v>
      </c>
      <c r="F238" s="112" t="s">
        <v>42</v>
      </c>
      <c r="G238" s="112" t="s">
        <v>6</v>
      </c>
      <c r="H238" s="640" t="s">
        <v>338</v>
      </c>
      <c r="I238" s="202"/>
    </row>
    <row r="239" spans="1:9" s="191" customFormat="1" x14ac:dyDescent="0.25">
      <c r="A239" s="28">
        <v>357</v>
      </c>
      <c r="B239" s="29">
        <v>357</v>
      </c>
      <c r="C239" s="29">
        <v>1</v>
      </c>
      <c r="D239" s="115" t="s">
        <v>113</v>
      </c>
      <c r="E239" s="115" t="s">
        <v>59</v>
      </c>
      <c r="F239" s="370" t="s">
        <v>222</v>
      </c>
      <c r="G239" s="116" t="s">
        <v>6</v>
      </c>
      <c r="H239" s="151"/>
      <c r="I239" s="152"/>
    </row>
    <row r="240" spans="1:9" s="191" customFormat="1" x14ac:dyDescent="0.25">
      <c r="A240" s="121"/>
      <c r="B240" s="17"/>
      <c r="C240" s="17"/>
      <c r="D240" s="2"/>
      <c r="E240" s="2"/>
      <c r="F240" s="215" t="s">
        <v>223</v>
      </c>
      <c r="G240" s="3" t="s">
        <v>6</v>
      </c>
      <c r="H240" s="171"/>
      <c r="I240" s="172"/>
    </row>
    <row r="241" spans="1:9" s="191" customFormat="1" ht="13.8" thickBot="1" x14ac:dyDescent="0.3">
      <c r="A241" s="30"/>
      <c r="B241" s="31"/>
      <c r="C241" s="31"/>
      <c r="D241" s="50"/>
      <c r="E241" s="50"/>
      <c r="F241" s="369" t="s">
        <v>224</v>
      </c>
      <c r="G241" s="52" t="s">
        <v>6</v>
      </c>
      <c r="H241" s="128"/>
      <c r="I241" s="153"/>
    </row>
    <row r="242" spans="1:9" s="191" customFormat="1" ht="93" thickBot="1" x14ac:dyDescent="0.3">
      <c r="A242" s="428">
        <v>358</v>
      </c>
      <c r="B242" s="114">
        <v>360</v>
      </c>
      <c r="C242" s="114">
        <v>3</v>
      </c>
      <c r="D242" s="119" t="s">
        <v>139</v>
      </c>
      <c r="E242" s="199"/>
      <c r="F242" s="200"/>
      <c r="G242" s="119"/>
      <c r="H242" s="201"/>
      <c r="I242" s="202"/>
    </row>
    <row r="243" spans="1:9" s="191" customFormat="1" x14ac:dyDescent="0.25">
      <c r="A243" s="124">
        <v>361</v>
      </c>
      <c r="B243" s="125">
        <v>361</v>
      </c>
      <c r="C243" s="125">
        <v>1</v>
      </c>
      <c r="D243" s="204" t="s">
        <v>120</v>
      </c>
      <c r="E243" s="204" t="s">
        <v>59</v>
      </c>
      <c r="F243" s="371"/>
      <c r="G243" s="151"/>
      <c r="H243" s="151"/>
      <c r="I243" s="152"/>
    </row>
    <row r="244" spans="1:9" s="191" customFormat="1" x14ac:dyDescent="0.25">
      <c r="A244" s="179"/>
      <c r="B244" s="180"/>
      <c r="C244" s="180"/>
      <c r="D244" s="227"/>
      <c r="E244" s="227"/>
      <c r="F244" s="216"/>
      <c r="G244" s="171"/>
      <c r="H244" s="171"/>
      <c r="I244" s="172"/>
    </row>
    <row r="245" spans="1:9" ht="13.8" thickBot="1" x14ac:dyDescent="0.3">
      <c r="A245" s="126"/>
      <c r="B245" s="127"/>
      <c r="C245" s="127"/>
      <c r="D245" s="206"/>
      <c r="E245" s="206"/>
      <c r="F245" s="372"/>
      <c r="G245" s="128"/>
      <c r="H245" s="128"/>
      <c r="I245" s="153"/>
    </row>
    <row r="246" spans="1:9" ht="13.8" thickBot="1" x14ac:dyDescent="0.3">
      <c r="A246" s="428">
        <v>362</v>
      </c>
      <c r="B246" s="114">
        <v>362</v>
      </c>
      <c r="C246" s="114">
        <v>1</v>
      </c>
      <c r="D246" s="199" t="s">
        <v>65</v>
      </c>
      <c r="E246" s="199"/>
      <c r="F246" s="200"/>
      <c r="G246" s="199"/>
      <c r="H246" s="236"/>
      <c r="I246" s="237"/>
    </row>
    <row r="247" spans="1:9" ht="26.4" x14ac:dyDescent="0.25">
      <c r="A247" s="28">
        <v>363</v>
      </c>
      <c r="B247" s="29">
        <v>365</v>
      </c>
      <c r="C247" s="29">
        <v>3</v>
      </c>
      <c r="D247" s="116" t="s">
        <v>269</v>
      </c>
      <c r="E247" s="116" t="s">
        <v>56</v>
      </c>
      <c r="F247" s="116" t="s">
        <v>24</v>
      </c>
      <c r="G247" s="116" t="s">
        <v>6</v>
      </c>
      <c r="H247" s="652" t="s">
        <v>338</v>
      </c>
      <c r="I247" s="152"/>
    </row>
    <row r="248" spans="1:9" s="191" customFormat="1" x14ac:dyDescent="0.25">
      <c r="A248" s="121"/>
      <c r="B248" s="17"/>
      <c r="C248" s="17"/>
      <c r="D248" s="3"/>
      <c r="E248" s="3"/>
      <c r="F248" s="4" t="s">
        <v>32</v>
      </c>
      <c r="G248" s="3" t="s">
        <v>6</v>
      </c>
      <c r="H248" s="424" t="s">
        <v>338</v>
      </c>
      <c r="I248" s="172"/>
    </row>
    <row r="249" spans="1:9" s="191" customFormat="1" x14ac:dyDescent="0.25">
      <c r="A249" s="121"/>
      <c r="B249" s="17"/>
      <c r="C249" s="17"/>
      <c r="D249" s="3"/>
      <c r="E249" s="3"/>
      <c r="F249" s="122" t="s">
        <v>33</v>
      </c>
      <c r="G249" s="3" t="s">
        <v>6</v>
      </c>
      <c r="H249" s="424" t="s">
        <v>338</v>
      </c>
      <c r="I249" s="172"/>
    </row>
    <row r="250" spans="1:9" s="191" customFormat="1" x14ac:dyDescent="0.25">
      <c r="A250" s="121"/>
      <c r="B250" s="17"/>
      <c r="C250" s="17"/>
      <c r="D250" s="3"/>
      <c r="E250" s="3"/>
      <c r="F250" s="4" t="s">
        <v>220</v>
      </c>
      <c r="G250" s="3" t="s">
        <v>6</v>
      </c>
      <c r="H250" s="424" t="s">
        <v>338</v>
      </c>
      <c r="I250" s="172"/>
    </row>
    <row r="251" spans="1:9" s="191" customFormat="1" x14ac:dyDescent="0.25">
      <c r="A251" s="121"/>
      <c r="B251" s="17"/>
      <c r="C251" s="17"/>
      <c r="D251" s="3"/>
      <c r="E251" s="3"/>
      <c r="F251" s="4" t="s">
        <v>221</v>
      </c>
      <c r="G251" s="3" t="s">
        <v>6</v>
      </c>
      <c r="H251" s="424" t="s">
        <v>338</v>
      </c>
      <c r="I251" s="172"/>
    </row>
    <row r="252" spans="1:9" ht="13.8" thickBot="1" x14ac:dyDescent="0.3">
      <c r="A252" s="33"/>
      <c r="B252" s="34"/>
      <c r="C252" s="34"/>
      <c r="D252" s="181"/>
      <c r="E252" s="349"/>
      <c r="F252" s="351"/>
      <c r="G252" s="351"/>
      <c r="H252" s="351"/>
      <c r="I252" s="350"/>
    </row>
    <row r="253" spans="1:9" ht="26.4" x14ac:dyDescent="0.25">
      <c r="A253" s="131">
        <v>366</v>
      </c>
      <c r="B253" s="18">
        <v>367</v>
      </c>
      <c r="C253" s="18">
        <v>2</v>
      </c>
      <c r="D253" s="27" t="s">
        <v>140</v>
      </c>
      <c r="E253" s="27" t="s">
        <v>87</v>
      </c>
      <c r="F253" s="55"/>
      <c r="G253" s="56"/>
      <c r="H253" s="56"/>
      <c r="I253" s="58" t="s">
        <v>214</v>
      </c>
    </row>
    <row r="254" spans="1:9" x14ac:dyDescent="0.25">
      <c r="A254" s="121"/>
      <c r="B254" s="17"/>
      <c r="C254" s="17"/>
      <c r="D254" s="3"/>
      <c r="E254" s="3"/>
      <c r="F254" s="182"/>
      <c r="G254" s="171"/>
      <c r="H254" s="171"/>
      <c r="I254" s="209" t="s">
        <v>215</v>
      </c>
    </row>
    <row r="255" spans="1:9" x14ac:dyDescent="0.25">
      <c r="A255" s="121"/>
      <c r="B255" s="17"/>
      <c r="C255" s="17"/>
      <c r="D255" s="3"/>
      <c r="E255" s="3"/>
      <c r="F255" s="182"/>
      <c r="G255" s="171"/>
      <c r="H255" s="171"/>
      <c r="I255" s="59" t="s">
        <v>216</v>
      </c>
    </row>
    <row r="256" spans="1:9" x14ac:dyDescent="0.25">
      <c r="A256" s="121"/>
      <c r="B256" s="17"/>
      <c r="C256" s="17"/>
      <c r="D256" s="3"/>
      <c r="E256" s="3"/>
      <c r="F256" s="182"/>
      <c r="G256" s="171"/>
      <c r="H256" s="171"/>
      <c r="I256" s="209" t="s">
        <v>217</v>
      </c>
    </row>
    <row r="257" spans="1:9" x14ac:dyDescent="0.25">
      <c r="A257" s="121"/>
      <c r="B257" s="17"/>
      <c r="C257" s="17"/>
      <c r="D257" s="3"/>
      <c r="E257" s="3"/>
      <c r="F257" s="182"/>
      <c r="G257" s="171"/>
      <c r="H257" s="171"/>
      <c r="I257" s="209" t="s">
        <v>218</v>
      </c>
    </row>
    <row r="258" spans="1:9" s="191" customFormat="1" x14ac:dyDescent="0.25">
      <c r="A258" s="121"/>
      <c r="B258" s="17"/>
      <c r="C258" s="17"/>
      <c r="D258" s="3"/>
      <c r="E258" s="3"/>
      <c r="F258" s="182"/>
      <c r="G258" s="171"/>
      <c r="H258" s="211"/>
      <c r="I258" s="59" t="s">
        <v>219</v>
      </c>
    </row>
    <row r="259" spans="1:9" ht="13.8" thickBot="1" x14ac:dyDescent="0.3">
      <c r="A259" s="427"/>
      <c r="B259" s="108"/>
      <c r="C259" s="108"/>
      <c r="D259" s="112"/>
      <c r="E259" s="112"/>
      <c r="F259" s="132"/>
      <c r="G259" s="119"/>
      <c r="H259" s="119"/>
      <c r="I259" s="198" t="s">
        <v>254</v>
      </c>
    </row>
    <row r="260" spans="1:9" ht="26.4" x14ac:dyDescent="0.25">
      <c r="A260" s="28">
        <v>368</v>
      </c>
      <c r="B260" s="29">
        <v>370</v>
      </c>
      <c r="C260" s="29">
        <v>3</v>
      </c>
      <c r="D260" s="116" t="s">
        <v>141</v>
      </c>
      <c r="E260" s="116" t="s">
        <v>54</v>
      </c>
      <c r="F260" s="183"/>
      <c r="G260" s="151"/>
      <c r="H260" s="151"/>
      <c r="I260" s="117" t="s">
        <v>104</v>
      </c>
    </row>
    <row r="261" spans="1:9" x14ac:dyDescent="0.25">
      <c r="A261" s="121"/>
      <c r="B261" s="17"/>
      <c r="C261" s="17"/>
      <c r="D261" s="3"/>
      <c r="E261" s="3"/>
      <c r="F261" s="182"/>
      <c r="G261" s="171"/>
      <c r="H261" s="171"/>
      <c r="I261" s="59" t="s">
        <v>32</v>
      </c>
    </row>
    <row r="262" spans="1:9" x14ac:dyDescent="0.25">
      <c r="A262" s="185"/>
      <c r="B262" s="77"/>
      <c r="C262" s="77"/>
      <c r="D262" s="78"/>
      <c r="E262" s="78"/>
      <c r="F262" s="190"/>
      <c r="G262" s="130"/>
      <c r="H262" s="130"/>
      <c r="I262" s="79" t="s">
        <v>33</v>
      </c>
    </row>
    <row r="263" spans="1:9" x14ac:dyDescent="0.25">
      <c r="A263" s="185"/>
      <c r="B263" s="77"/>
      <c r="C263" s="77"/>
      <c r="D263" s="78"/>
      <c r="E263" s="78"/>
      <c r="F263" s="190"/>
      <c r="G263" s="130"/>
      <c r="H263" s="130"/>
      <c r="I263" s="79" t="s">
        <v>220</v>
      </c>
    </row>
    <row r="264" spans="1:9" ht="13.8" thickBot="1" x14ac:dyDescent="0.3">
      <c r="A264" s="30"/>
      <c r="B264" s="31"/>
      <c r="C264" s="31"/>
      <c r="D264" s="52"/>
      <c r="E264" s="52"/>
      <c r="F264" s="184"/>
      <c r="G264" s="128"/>
      <c r="H264" s="128"/>
      <c r="I264" s="60" t="s">
        <v>221</v>
      </c>
    </row>
    <row r="265" spans="1:9" ht="13.8" thickBot="1" x14ac:dyDescent="0.3">
      <c r="A265" s="124">
        <v>371</v>
      </c>
      <c r="B265" s="125">
        <v>373</v>
      </c>
      <c r="C265" s="125">
        <v>3</v>
      </c>
      <c r="D265" s="151" t="s">
        <v>65</v>
      </c>
      <c r="E265" s="151"/>
      <c r="F265" s="183"/>
      <c r="G265" s="151"/>
      <c r="H265" s="221"/>
      <c r="I265" s="314"/>
    </row>
    <row r="266" spans="1:9" ht="27" thickBot="1" x14ac:dyDescent="0.3">
      <c r="A266" s="20">
        <v>374</v>
      </c>
      <c r="B266" s="21">
        <v>382</v>
      </c>
      <c r="C266" s="21">
        <v>9</v>
      </c>
      <c r="D266" s="48" t="s">
        <v>142</v>
      </c>
      <c r="E266" s="48" t="s">
        <v>56</v>
      </c>
      <c r="F266" s="40" t="s">
        <v>143</v>
      </c>
      <c r="G266" s="40" t="s">
        <v>6</v>
      </c>
      <c r="H266" s="40" t="s">
        <v>6</v>
      </c>
      <c r="I266" s="45" t="s">
        <v>6</v>
      </c>
    </row>
    <row r="267" spans="1:9" ht="66" x14ac:dyDescent="0.25">
      <c r="A267" s="429">
        <v>383</v>
      </c>
      <c r="B267" s="133">
        <v>383</v>
      </c>
      <c r="C267" s="133">
        <v>1</v>
      </c>
      <c r="D267" s="27" t="s">
        <v>144</v>
      </c>
      <c r="E267" s="27" t="s">
        <v>59</v>
      </c>
      <c r="F267" s="47" t="s">
        <v>226</v>
      </c>
      <c r="G267" s="27" t="s">
        <v>6</v>
      </c>
      <c r="H267" s="424" t="s">
        <v>338</v>
      </c>
      <c r="I267" s="58" t="s">
        <v>6</v>
      </c>
    </row>
    <row r="268" spans="1:9" ht="13.8" thickBot="1" x14ac:dyDescent="0.3">
      <c r="A268" s="430"/>
      <c r="B268" s="134"/>
      <c r="C268" s="134"/>
      <c r="D268" s="78"/>
      <c r="E268" s="78"/>
      <c r="F268" s="122" t="s">
        <v>227</v>
      </c>
      <c r="G268" s="78" t="s">
        <v>6</v>
      </c>
      <c r="H268" s="651" t="s">
        <v>338</v>
      </c>
      <c r="I268" s="79" t="s">
        <v>6</v>
      </c>
    </row>
    <row r="269" spans="1:9" ht="66" x14ac:dyDescent="0.25">
      <c r="A269" s="135">
        <v>384</v>
      </c>
      <c r="B269" s="136">
        <v>384</v>
      </c>
      <c r="C269" s="136">
        <v>1</v>
      </c>
      <c r="D269" s="116" t="s">
        <v>145</v>
      </c>
      <c r="E269" s="116" t="s">
        <v>59</v>
      </c>
      <c r="F269" s="120" t="s">
        <v>226</v>
      </c>
      <c r="G269" s="116" t="s">
        <v>6</v>
      </c>
      <c r="H269" s="652" t="s">
        <v>338</v>
      </c>
      <c r="I269" s="117" t="s">
        <v>6</v>
      </c>
    </row>
    <row r="270" spans="1:9" ht="13.8" thickBot="1" x14ac:dyDescent="0.3">
      <c r="A270" s="137"/>
      <c r="B270" s="138"/>
      <c r="C270" s="138"/>
      <c r="D270" s="52"/>
      <c r="E270" s="52"/>
      <c r="F270" s="51" t="s">
        <v>227</v>
      </c>
      <c r="G270" s="52" t="s">
        <v>6</v>
      </c>
      <c r="H270" s="650" t="s">
        <v>338</v>
      </c>
      <c r="I270" s="60" t="s">
        <v>6</v>
      </c>
    </row>
    <row r="271" spans="1:9" ht="79.2" x14ac:dyDescent="0.25">
      <c r="A271" s="429">
        <v>385</v>
      </c>
      <c r="B271" s="133">
        <v>385</v>
      </c>
      <c r="C271" s="133">
        <v>1</v>
      </c>
      <c r="D271" s="27" t="s">
        <v>146</v>
      </c>
      <c r="E271" s="27" t="s">
        <v>59</v>
      </c>
      <c r="F271" s="47" t="s">
        <v>226</v>
      </c>
      <c r="G271" s="27" t="s">
        <v>6</v>
      </c>
      <c r="H271" s="424" t="s">
        <v>338</v>
      </c>
      <c r="I271" s="117" t="s">
        <v>6</v>
      </c>
    </row>
    <row r="272" spans="1:9" ht="13.8" thickBot="1" x14ac:dyDescent="0.3">
      <c r="A272" s="430"/>
      <c r="B272" s="134"/>
      <c r="C272" s="134"/>
      <c r="D272" s="78"/>
      <c r="E272" s="78"/>
      <c r="F272" s="122" t="s">
        <v>227</v>
      </c>
      <c r="G272" s="78" t="s">
        <v>6</v>
      </c>
      <c r="H272" s="651" t="s">
        <v>338</v>
      </c>
      <c r="I272" s="60" t="s">
        <v>6</v>
      </c>
    </row>
    <row r="273" spans="1:9" ht="92.4" x14ac:dyDescent="0.25">
      <c r="A273" s="135">
        <v>386</v>
      </c>
      <c r="B273" s="136">
        <v>386</v>
      </c>
      <c r="C273" s="136">
        <v>1</v>
      </c>
      <c r="D273" s="116" t="s">
        <v>147</v>
      </c>
      <c r="E273" s="116" t="s">
        <v>59</v>
      </c>
      <c r="F273" s="120" t="s">
        <v>226</v>
      </c>
      <c r="G273" s="116" t="s">
        <v>6</v>
      </c>
      <c r="H273" s="652" t="s">
        <v>338</v>
      </c>
      <c r="I273" s="117" t="s">
        <v>6</v>
      </c>
    </row>
    <row r="274" spans="1:9" ht="13.8" thickBot="1" x14ac:dyDescent="0.3">
      <c r="A274" s="137"/>
      <c r="B274" s="138"/>
      <c r="C274" s="138"/>
      <c r="D274" s="52"/>
      <c r="E274" s="52"/>
      <c r="F274" s="51" t="s">
        <v>227</v>
      </c>
      <c r="G274" s="52" t="s">
        <v>6</v>
      </c>
      <c r="H274" s="650" t="s">
        <v>338</v>
      </c>
      <c r="I274" s="60" t="s">
        <v>6</v>
      </c>
    </row>
    <row r="275" spans="1:9" ht="66" x14ac:dyDescent="0.25">
      <c r="A275" s="429">
        <v>387</v>
      </c>
      <c r="B275" s="133">
        <v>387</v>
      </c>
      <c r="C275" s="133">
        <v>1</v>
      </c>
      <c r="D275" s="27" t="s">
        <v>148</v>
      </c>
      <c r="E275" s="27" t="s">
        <v>59</v>
      </c>
      <c r="F275" s="47" t="s">
        <v>226</v>
      </c>
      <c r="G275" s="27" t="s">
        <v>6</v>
      </c>
      <c r="H275" s="424" t="s">
        <v>338</v>
      </c>
      <c r="I275" s="61"/>
    </row>
    <row r="276" spans="1:9" ht="13.8" thickBot="1" x14ac:dyDescent="0.3">
      <c r="A276" s="430"/>
      <c r="B276" s="134"/>
      <c r="C276" s="134"/>
      <c r="D276" s="78"/>
      <c r="E276" s="78"/>
      <c r="F276" s="122" t="s">
        <v>227</v>
      </c>
      <c r="G276" s="78" t="s">
        <v>6</v>
      </c>
      <c r="H276" s="651" t="s">
        <v>338</v>
      </c>
      <c r="I276" s="173"/>
    </row>
    <row r="277" spans="1:9" ht="13.8" thickBot="1" x14ac:dyDescent="0.3">
      <c r="A277" s="139">
        <v>388</v>
      </c>
      <c r="B277" s="140">
        <v>392</v>
      </c>
      <c r="C277" s="140">
        <v>5</v>
      </c>
      <c r="D277" s="44" t="s">
        <v>65</v>
      </c>
      <c r="E277" s="44"/>
      <c r="F277" s="141"/>
      <c r="G277" s="44"/>
      <c r="H277" s="219"/>
      <c r="I277" s="214"/>
    </row>
    <row r="278" spans="1:9" ht="13.8" thickBot="1" x14ac:dyDescent="0.3">
      <c r="A278" s="431">
        <v>393</v>
      </c>
      <c r="B278" s="142">
        <v>402</v>
      </c>
      <c r="C278" s="142">
        <v>10</v>
      </c>
      <c r="D278" s="112" t="s">
        <v>149</v>
      </c>
      <c r="E278" s="112" t="s">
        <v>56</v>
      </c>
      <c r="F278" s="112" t="s">
        <v>150</v>
      </c>
      <c r="G278" s="112" t="s">
        <v>6</v>
      </c>
      <c r="H278" s="112" t="s">
        <v>6</v>
      </c>
      <c r="I278" s="113" t="s">
        <v>6</v>
      </c>
    </row>
    <row r="279" spans="1:9" ht="27" thickBot="1" x14ac:dyDescent="0.3">
      <c r="A279" s="143">
        <v>403</v>
      </c>
      <c r="B279" s="144">
        <v>407</v>
      </c>
      <c r="C279" s="144">
        <v>5</v>
      </c>
      <c r="D279" s="40" t="s">
        <v>151</v>
      </c>
      <c r="E279" s="40" t="s">
        <v>56</v>
      </c>
      <c r="F279" s="40" t="s">
        <v>152</v>
      </c>
      <c r="G279" s="40" t="s">
        <v>6</v>
      </c>
      <c r="H279" s="40" t="s">
        <v>6</v>
      </c>
      <c r="I279" s="45" t="s">
        <v>6</v>
      </c>
    </row>
    <row r="280" spans="1:9" ht="27" thickBot="1" x14ac:dyDescent="0.3">
      <c r="A280" s="431">
        <v>408</v>
      </c>
      <c r="B280" s="142">
        <v>427</v>
      </c>
      <c r="C280" s="142">
        <v>20</v>
      </c>
      <c r="D280" s="112" t="s">
        <v>153</v>
      </c>
      <c r="E280" s="112" t="s">
        <v>59</v>
      </c>
      <c r="F280" s="112" t="s">
        <v>154</v>
      </c>
      <c r="G280" s="112" t="s">
        <v>6</v>
      </c>
      <c r="H280" s="112" t="s">
        <v>6</v>
      </c>
      <c r="I280" s="113" t="s">
        <v>6</v>
      </c>
    </row>
    <row r="281" spans="1:9" ht="13.8" thickBot="1" x14ac:dyDescent="0.3">
      <c r="A281" s="143">
        <v>428</v>
      </c>
      <c r="B281" s="144">
        <v>437</v>
      </c>
      <c r="C281" s="144">
        <v>10</v>
      </c>
      <c r="D281" s="40" t="s">
        <v>155</v>
      </c>
      <c r="E281" s="40" t="s">
        <v>56</v>
      </c>
      <c r="F281" s="40" t="s">
        <v>156</v>
      </c>
      <c r="G281" s="40" t="s">
        <v>6</v>
      </c>
      <c r="H281" s="40" t="s">
        <v>6</v>
      </c>
      <c r="I281" s="45" t="s">
        <v>6</v>
      </c>
    </row>
    <row r="282" spans="1:9" ht="27" thickBot="1" x14ac:dyDescent="0.3">
      <c r="A282" s="431">
        <v>438</v>
      </c>
      <c r="B282" s="142">
        <v>442</v>
      </c>
      <c r="C282" s="142">
        <v>5</v>
      </c>
      <c r="D282" s="112" t="s">
        <v>157</v>
      </c>
      <c r="E282" s="112" t="s">
        <v>56</v>
      </c>
      <c r="F282" s="112" t="s">
        <v>158</v>
      </c>
      <c r="G282" s="112" t="s">
        <v>6</v>
      </c>
      <c r="H282" s="112" t="s">
        <v>6</v>
      </c>
      <c r="I282" s="113" t="s">
        <v>6</v>
      </c>
    </row>
    <row r="283" spans="1:9" ht="27" thickBot="1" x14ac:dyDescent="0.3">
      <c r="A283" s="143">
        <v>443</v>
      </c>
      <c r="B283" s="144">
        <v>462</v>
      </c>
      <c r="C283" s="144">
        <v>20</v>
      </c>
      <c r="D283" s="40" t="s">
        <v>159</v>
      </c>
      <c r="E283" s="40" t="s">
        <v>59</v>
      </c>
      <c r="F283" s="40" t="s">
        <v>160</v>
      </c>
      <c r="G283" s="40" t="s">
        <v>6</v>
      </c>
      <c r="H283" s="40" t="s">
        <v>6</v>
      </c>
      <c r="I283" s="45" t="s">
        <v>6</v>
      </c>
    </row>
    <row r="284" spans="1:9" ht="13.8" thickBot="1" x14ac:dyDescent="0.3">
      <c r="A284" s="431">
        <v>463</v>
      </c>
      <c r="B284" s="142">
        <v>472</v>
      </c>
      <c r="C284" s="142">
        <v>10</v>
      </c>
      <c r="D284" s="112" t="s">
        <v>161</v>
      </c>
      <c r="E284" s="112" t="s">
        <v>56</v>
      </c>
      <c r="F284" s="112" t="s">
        <v>228</v>
      </c>
      <c r="G284" s="112" t="s">
        <v>6</v>
      </c>
      <c r="H284" s="112" t="s">
        <v>6</v>
      </c>
      <c r="I284" s="57"/>
    </row>
    <row r="285" spans="1:9" ht="27" thickBot="1" x14ac:dyDescent="0.3">
      <c r="A285" s="143">
        <v>473</v>
      </c>
      <c r="B285" s="144">
        <v>477</v>
      </c>
      <c r="C285" s="144">
        <v>5</v>
      </c>
      <c r="D285" s="40" t="s">
        <v>162</v>
      </c>
      <c r="E285" s="40" t="s">
        <v>56</v>
      </c>
      <c r="F285" s="40" t="s">
        <v>163</v>
      </c>
      <c r="G285" s="40" t="s">
        <v>6</v>
      </c>
      <c r="H285" s="40" t="s">
        <v>6</v>
      </c>
      <c r="I285" s="57"/>
    </row>
    <row r="286" spans="1:9" ht="13.8" thickBot="1" x14ac:dyDescent="0.3">
      <c r="A286" s="431">
        <v>478</v>
      </c>
      <c r="B286" s="142">
        <v>497</v>
      </c>
      <c r="C286" s="142">
        <v>20</v>
      </c>
      <c r="D286" s="112" t="s">
        <v>164</v>
      </c>
      <c r="E286" s="112" t="s">
        <v>59</v>
      </c>
      <c r="F286" s="112" t="s">
        <v>165</v>
      </c>
      <c r="G286" s="112" t="s">
        <v>6</v>
      </c>
      <c r="H286" s="112" t="s">
        <v>6</v>
      </c>
      <c r="I286" s="57"/>
    </row>
    <row r="287" spans="1:9" ht="27" thickBot="1" x14ac:dyDescent="0.3">
      <c r="A287" s="143">
        <v>498</v>
      </c>
      <c r="B287" s="144">
        <v>507</v>
      </c>
      <c r="C287" s="144">
        <v>10</v>
      </c>
      <c r="D287" s="40" t="s">
        <v>166</v>
      </c>
      <c r="E287" s="40" t="s">
        <v>56</v>
      </c>
      <c r="F287" s="40" t="s">
        <v>167</v>
      </c>
      <c r="G287" s="40" t="s">
        <v>6</v>
      </c>
      <c r="H287" s="40" t="s">
        <v>6</v>
      </c>
      <c r="I287" s="57"/>
    </row>
    <row r="288" spans="1:9" ht="27" thickBot="1" x14ac:dyDescent="0.3">
      <c r="A288" s="431">
        <v>508</v>
      </c>
      <c r="B288" s="142">
        <v>512</v>
      </c>
      <c r="C288" s="142">
        <v>5</v>
      </c>
      <c r="D288" s="112" t="s">
        <v>168</v>
      </c>
      <c r="E288" s="112" t="s">
        <v>56</v>
      </c>
      <c r="F288" s="112" t="s">
        <v>169</v>
      </c>
      <c r="G288" s="112" t="s">
        <v>6</v>
      </c>
      <c r="H288" s="112" t="s">
        <v>6</v>
      </c>
      <c r="I288" s="57"/>
    </row>
    <row r="289" spans="1:9" ht="27" thickBot="1" x14ac:dyDescent="0.3">
      <c r="A289" s="143">
        <v>513</v>
      </c>
      <c r="B289" s="144">
        <v>532</v>
      </c>
      <c r="C289" s="144">
        <v>20</v>
      </c>
      <c r="D289" s="40" t="s">
        <v>170</v>
      </c>
      <c r="E289" s="40" t="s">
        <v>59</v>
      </c>
      <c r="F289" s="40" t="s">
        <v>171</v>
      </c>
      <c r="G289" s="40" t="s">
        <v>6</v>
      </c>
      <c r="H289" s="40" t="s">
        <v>6</v>
      </c>
      <c r="I289" s="57"/>
    </row>
    <row r="290" spans="1:9" ht="13.8" thickBot="1" x14ac:dyDescent="0.3">
      <c r="A290" s="431">
        <v>533</v>
      </c>
      <c r="B290" s="142">
        <v>542</v>
      </c>
      <c r="C290" s="142">
        <v>10</v>
      </c>
      <c r="D290" s="112" t="s">
        <v>172</v>
      </c>
      <c r="E290" s="112" t="s">
        <v>56</v>
      </c>
      <c r="F290" s="112" t="s">
        <v>173</v>
      </c>
      <c r="G290" s="112" t="s">
        <v>6</v>
      </c>
      <c r="H290" s="112" t="s">
        <v>6</v>
      </c>
      <c r="I290" s="57"/>
    </row>
    <row r="291" spans="1:9" ht="27" thickBot="1" x14ac:dyDescent="0.3">
      <c r="A291" s="143">
        <v>543</v>
      </c>
      <c r="B291" s="144">
        <v>547</v>
      </c>
      <c r="C291" s="144">
        <v>5</v>
      </c>
      <c r="D291" s="40" t="s">
        <v>174</v>
      </c>
      <c r="E291" s="40" t="s">
        <v>56</v>
      </c>
      <c r="F291" s="40" t="s">
        <v>175</v>
      </c>
      <c r="G291" s="40" t="s">
        <v>6</v>
      </c>
      <c r="H291" s="40" t="s">
        <v>6</v>
      </c>
      <c r="I291" s="57"/>
    </row>
    <row r="292" spans="1:9" ht="27" thickBot="1" x14ac:dyDescent="0.3">
      <c r="A292" s="143">
        <v>548</v>
      </c>
      <c r="B292" s="144">
        <v>567</v>
      </c>
      <c r="C292" s="144">
        <v>20</v>
      </c>
      <c r="D292" s="40" t="s">
        <v>176</v>
      </c>
      <c r="E292" s="40" t="s">
        <v>59</v>
      </c>
      <c r="F292" s="40" t="s">
        <v>177</v>
      </c>
      <c r="G292" s="40" t="s">
        <v>6</v>
      </c>
      <c r="H292" s="40" t="s">
        <v>6</v>
      </c>
      <c r="I292" s="57"/>
    </row>
    <row r="293" spans="1:9" ht="13.8" thickBot="1" x14ac:dyDescent="0.3">
      <c r="A293" s="139">
        <v>568</v>
      </c>
      <c r="B293" s="140">
        <v>583</v>
      </c>
      <c r="C293" s="140">
        <v>16</v>
      </c>
      <c r="D293" s="44" t="s">
        <v>65</v>
      </c>
      <c r="E293" s="44"/>
      <c r="F293" s="44"/>
      <c r="G293" s="146"/>
      <c r="H293" s="219"/>
      <c r="I293" s="214"/>
    </row>
    <row r="294" spans="1:9" ht="13.8" thickBot="1" x14ac:dyDescent="0.3">
      <c r="A294" s="427">
        <v>584</v>
      </c>
      <c r="B294" s="108">
        <v>585</v>
      </c>
      <c r="C294" s="108">
        <v>2</v>
      </c>
      <c r="D294" s="145" t="s">
        <v>178</v>
      </c>
      <c r="E294" s="145"/>
      <c r="F294" s="112" t="s">
        <v>179</v>
      </c>
      <c r="G294" s="112" t="s">
        <v>6</v>
      </c>
      <c r="H294" s="112" t="s">
        <v>6</v>
      </c>
      <c r="I294" s="113" t="s">
        <v>6</v>
      </c>
    </row>
    <row r="295" spans="1:9" ht="35.4" thickBot="1" x14ac:dyDescent="0.3">
      <c r="A295" s="85">
        <v>586</v>
      </c>
      <c r="B295" s="86">
        <v>591</v>
      </c>
      <c r="C295" s="374">
        <v>6</v>
      </c>
      <c r="D295" s="375" t="s">
        <v>180</v>
      </c>
      <c r="E295" s="375" t="s">
        <v>87</v>
      </c>
      <c r="F295" s="376" t="s">
        <v>31</v>
      </c>
      <c r="G295" s="87" t="s">
        <v>6</v>
      </c>
      <c r="H295" s="87" t="s">
        <v>6</v>
      </c>
      <c r="I295" s="88" t="s">
        <v>6</v>
      </c>
    </row>
    <row r="296" spans="1:9" ht="35.4" thickBot="1" x14ac:dyDescent="0.3">
      <c r="A296" s="85">
        <v>592</v>
      </c>
      <c r="B296" s="86">
        <v>621</v>
      </c>
      <c r="C296" s="374">
        <v>30</v>
      </c>
      <c r="D296" s="375" t="s">
        <v>181</v>
      </c>
      <c r="E296" s="375" t="s">
        <v>56</v>
      </c>
      <c r="F296" s="376" t="s">
        <v>30</v>
      </c>
      <c r="G296" s="87" t="s">
        <v>6</v>
      </c>
      <c r="H296" s="87" t="s">
        <v>6</v>
      </c>
      <c r="I296" s="88" t="s">
        <v>6</v>
      </c>
    </row>
    <row r="297" spans="1:9" x14ac:dyDescent="0.25">
      <c r="A297" s="432">
        <v>622</v>
      </c>
      <c r="B297" s="91">
        <v>622</v>
      </c>
      <c r="C297" s="377">
        <v>1</v>
      </c>
      <c r="D297" s="378" t="s">
        <v>182</v>
      </c>
      <c r="E297" s="378" t="s">
        <v>59</v>
      </c>
      <c r="F297" s="378" t="s">
        <v>17</v>
      </c>
      <c r="G297" s="378" t="s">
        <v>17</v>
      </c>
      <c r="H297" s="378" t="s">
        <v>17</v>
      </c>
      <c r="I297" s="379" t="s">
        <v>17</v>
      </c>
    </row>
    <row r="298" spans="1:9" x14ac:dyDescent="0.25">
      <c r="A298" s="100"/>
      <c r="B298" s="13"/>
      <c r="C298" s="380"/>
      <c r="D298" s="381"/>
      <c r="E298" s="381"/>
      <c r="F298" s="381" t="s">
        <v>229</v>
      </c>
      <c r="G298" s="381" t="s">
        <v>229</v>
      </c>
      <c r="H298" s="381" t="s">
        <v>229</v>
      </c>
      <c r="I298" s="382" t="s">
        <v>229</v>
      </c>
    </row>
    <row r="299" spans="1:9" x14ac:dyDescent="0.25">
      <c r="A299" s="100"/>
      <c r="B299" s="13"/>
      <c r="C299" s="383"/>
      <c r="D299" s="381"/>
      <c r="E299" s="381"/>
      <c r="F299" s="381" t="s">
        <v>230</v>
      </c>
      <c r="G299" s="381" t="s">
        <v>230</v>
      </c>
      <c r="H299" s="381" t="s">
        <v>230</v>
      </c>
      <c r="I299" s="382" t="s">
        <v>230</v>
      </c>
    </row>
    <row r="300" spans="1:9" x14ac:dyDescent="0.25">
      <c r="A300" s="100"/>
      <c r="B300" s="13"/>
      <c r="C300" s="383"/>
      <c r="D300" s="381"/>
      <c r="E300" s="381"/>
      <c r="F300" s="381" t="s">
        <v>231</v>
      </c>
      <c r="G300" s="381" t="s">
        <v>231</v>
      </c>
      <c r="H300" s="381" t="s">
        <v>231</v>
      </c>
      <c r="I300" s="382" t="s">
        <v>231</v>
      </c>
    </row>
    <row r="301" spans="1:9" x14ac:dyDescent="0.25">
      <c r="A301" s="100"/>
      <c r="B301" s="13"/>
      <c r="C301" s="383"/>
      <c r="D301" s="381"/>
      <c r="E301" s="381"/>
      <c r="F301" s="381" t="s">
        <v>232</v>
      </c>
      <c r="G301" s="381" t="s">
        <v>232</v>
      </c>
      <c r="H301" s="381" t="s">
        <v>232</v>
      </c>
      <c r="I301" s="382" t="s">
        <v>232</v>
      </c>
    </row>
    <row r="302" spans="1:9" x14ac:dyDescent="0.25">
      <c r="A302" s="100"/>
      <c r="B302" s="13"/>
      <c r="C302" s="383"/>
      <c r="D302" s="381"/>
      <c r="E302" s="381"/>
      <c r="F302" s="381" t="s">
        <v>233</v>
      </c>
      <c r="G302" s="381" t="s">
        <v>233</v>
      </c>
      <c r="H302" s="381" t="s">
        <v>233</v>
      </c>
      <c r="I302" s="382" t="s">
        <v>233</v>
      </c>
    </row>
    <row r="303" spans="1:9" x14ac:dyDescent="0.25">
      <c r="A303" s="100"/>
      <c r="B303" s="13"/>
      <c r="C303" s="383"/>
      <c r="D303" s="381"/>
      <c r="E303" s="381"/>
      <c r="F303" s="381"/>
      <c r="G303" s="381" t="s">
        <v>234</v>
      </c>
      <c r="H303" s="381" t="s">
        <v>234</v>
      </c>
      <c r="I303" s="382" t="s">
        <v>234</v>
      </c>
    </row>
    <row r="304" spans="1:9" x14ac:dyDescent="0.25">
      <c r="A304" s="100"/>
      <c r="B304" s="13"/>
      <c r="C304" s="383"/>
      <c r="D304" s="381"/>
      <c r="E304" s="381"/>
      <c r="F304" s="381"/>
      <c r="G304" s="381" t="s">
        <v>235</v>
      </c>
      <c r="H304" s="381" t="s">
        <v>235</v>
      </c>
      <c r="I304" s="382" t="s">
        <v>235</v>
      </c>
    </row>
    <row r="305" spans="1:9" x14ac:dyDescent="0.25">
      <c r="A305" s="100"/>
      <c r="B305" s="13"/>
      <c r="C305" s="383"/>
      <c r="D305" s="381"/>
      <c r="E305" s="381"/>
      <c r="F305" s="381"/>
      <c r="G305" s="381" t="s">
        <v>236</v>
      </c>
      <c r="H305" s="381" t="s">
        <v>236</v>
      </c>
      <c r="I305" s="382" t="s">
        <v>236</v>
      </c>
    </row>
    <row r="306" spans="1:9" x14ac:dyDescent="0.25">
      <c r="A306" s="100"/>
      <c r="B306" s="13"/>
      <c r="C306" s="383"/>
      <c r="D306" s="381"/>
      <c r="E306" s="381"/>
      <c r="F306" s="381"/>
      <c r="G306" s="381" t="s">
        <v>237</v>
      </c>
      <c r="H306" s="381" t="s">
        <v>237</v>
      </c>
      <c r="I306" s="382" t="s">
        <v>237</v>
      </c>
    </row>
    <row r="307" spans="1:9" ht="13.8" thickBot="1" x14ac:dyDescent="0.3">
      <c r="A307" s="433"/>
      <c r="B307" s="92"/>
      <c r="C307" s="384"/>
      <c r="D307" s="385"/>
      <c r="E307" s="385"/>
      <c r="F307" s="385"/>
      <c r="G307" s="385" t="s">
        <v>238</v>
      </c>
      <c r="H307" s="385" t="s">
        <v>238</v>
      </c>
      <c r="I307" s="386" t="s">
        <v>238</v>
      </c>
    </row>
    <row r="308" spans="1:9" x14ac:dyDescent="0.25">
      <c r="A308" s="94">
        <v>623</v>
      </c>
      <c r="B308" s="95">
        <v>623</v>
      </c>
      <c r="C308" s="387">
        <v>1</v>
      </c>
      <c r="D308" s="388" t="s">
        <v>35</v>
      </c>
      <c r="E308" s="389" t="s">
        <v>59</v>
      </c>
      <c r="F308" s="390"/>
      <c r="G308" s="389" t="s">
        <v>239</v>
      </c>
      <c r="H308" s="390"/>
      <c r="I308" s="391"/>
    </row>
    <row r="309" spans="1:9" x14ac:dyDescent="0.25">
      <c r="A309" s="100"/>
      <c r="B309" s="13"/>
      <c r="C309" s="383"/>
      <c r="D309" s="381"/>
      <c r="E309" s="381"/>
      <c r="F309" s="392"/>
      <c r="G309" s="381" t="s">
        <v>240</v>
      </c>
      <c r="H309" s="392"/>
      <c r="I309" s="393"/>
    </row>
    <row r="310" spans="1:9" x14ac:dyDescent="0.25">
      <c r="A310" s="100"/>
      <c r="B310" s="13"/>
      <c r="C310" s="383"/>
      <c r="D310" s="381"/>
      <c r="E310" s="381"/>
      <c r="F310" s="392"/>
      <c r="G310" s="381" t="s">
        <v>241</v>
      </c>
      <c r="H310" s="392"/>
      <c r="I310" s="393"/>
    </row>
    <row r="311" spans="1:9" x14ac:dyDescent="0.25">
      <c r="A311" s="100"/>
      <c r="B311" s="13"/>
      <c r="C311" s="383"/>
      <c r="D311" s="381"/>
      <c r="E311" s="381"/>
      <c r="F311" s="392"/>
      <c r="G311" s="381" t="s">
        <v>242</v>
      </c>
      <c r="H311" s="392"/>
      <c r="I311" s="393"/>
    </row>
    <row r="312" spans="1:9" ht="13.8" thickBot="1" x14ac:dyDescent="0.3">
      <c r="A312" s="433"/>
      <c r="B312" s="92"/>
      <c r="C312" s="384"/>
      <c r="D312" s="385"/>
      <c r="E312" s="385"/>
      <c r="F312" s="394"/>
      <c r="G312" s="385" t="s">
        <v>243</v>
      </c>
      <c r="H312" s="394"/>
      <c r="I312" s="395"/>
    </row>
    <row r="313" spans="1:9" ht="13.8" thickBot="1" x14ac:dyDescent="0.3">
      <c r="A313" s="85">
        <v>624</v>
      </c>
      <c r="B313" s="86">
        <v>653</v>
      </c>
      <c r="C313" s="396">
        <v>30</v>
      </c>
      <c r="D313" s="375" t="s">
        <v>183</v>
      </c>
      <c r="E313" s="375" t="s">
        <v>59</v>
      </c>
      <c r="F313" s="397" t="s">
        <v>256</v>
      </c>
      <c r="G313" s="375" t="s">
        <v>6</v>
      </c>
      <c r="H313" s="238" t="s">
        <v>6</v>
      </c>
      <c r="I313" s="239" t="s">
        <v>6</v>
      </c>
    </row>
    <row r="314" spans="1:9" x14ac:dyDescent="0.25">
      <c r="A314" s="97">
        <v>654</v>
      </c>
      <c r="B314" s="98">
        <v>654</v>
      </c>
      <c r="C314" s="398">
        <v>1</v>
      </c>
      <c r="D314" s="399" t="s">
        <v>184</v>
      </c>
      <c r="E314" s="400" t="s">
        <v>59</v>
      </c>
      <c r="F314" s="400" t="s">
        <v>226</v>
      </c>
      <c r="G314" s="151"/>
      <c r="H314" s="151"/>
      <c r="I314" s="152"/>
    </row>
    <row r="315" spans="1:9" x14ac:dyDescent="0.25">
      <c r="A315" s="100"/>
      <c r="B315" s="13"/>
      <c r="C315" s="383"/>
      <c r="D315" s="381"/>
      <c r="E315" s="381"/>
      <c r="F315" s="381" t="s">
        <v>227</v>
      </c>
      <c r="G315" s="171"/>
      <c r="H315" s="171"/>
      <c r="I315" s="172"/>
    </row>
    <row r="316" spans="1:9" ht="13.8" thickBot="1" x14ac:dyDescent="0.3">
      <c r="A316" s="101"/>
      <c r="B316" s="62"/>
      <c r="C316" s="62"/>
      <c r="D316" s="164"/>
      <c r="E316" s="164"/>
      <c r="F316" s="164" t="s">
        <v>244</v>
      </c>
      <c r="G316" s="128"/>
      <c r="H316" s="128"/>
      <c r="I316" s="153"/>
    </row>
    <row r="317" spans="1:9" ht="23.4" x14ac:dyDescent="0.25">
      <c r="A317" s="434">
        <v>655</v>
      </c>
      <c r="B317" s="80">
        <v>655</v>
      </c>
      <c r="C317" s="401">
        <v>1</v>
      </c>
      <c r="D317" s="402" t="s">
        <v>185</v>
      </c>
      <c r="E317" s="403" t="s">
        <v>59</v>
      </c>
      <c r="F317" s="403" t="s">
        <v>226</v>
      </c>
      <c r="G317" s="56"/>
      <c r="H317" s="56"/>
      <c r="I317" s="61"/>
    </row>
    <row r="318" spans="1:9" x14ac:dyDescent="0.25">
      <c r="A318" s="100"/>
      <c r="B318" s="13"/>
      <c r="C318" s="383"/>
      <c r="D318" s="404"/>
      <c r="E318" s="381"/>
      <c r="F318" s="381" t="s">
        <v>227</v>
      </c>
      <c r="G318" s="171"/>
      <c r="H318" s="171"/>
      <c r="I318" s="172"/>
    </row>
    <row r="319" spans="1:9" ht="13.8" thickBot="1" x14ac:dyDescent="0.3">
      <c r="A319" s="435"/>
      <c r="B319" s="63"/>
      <c r="C319" s="63"/>
      <c r="D319" s="169"/>
      <c r="E319" s="165"/>
      <c r="F319" s="165" t="s">
        <v>244</v>
      </c>
      <c r="G319" s="130"/>
      <c r="H319" s="130"/>
      <c r="I319" s="153"/>
    </row>
    <row r="320" spans="1:9" x14ac:dyDescent="0.25">
      <c r="A320" s="97">
        <v>656</v>
      </c>
      <c r="B320" s="98">
        <v>656</v>
      </c>
      <c r="C320" s="398">
        <v>1</v>
      </c>
      <c r="D320" s="399" t="s">
        <v>36</v>
      </c>
      <c r="E320" s="400" t="s">
        <v>59</v>
      </c>
      <c r="F320" s="400" t="s">
        <v>226</v>
      </c>
      <c r="G320" s="151"/>
      <c r="H320" s="151"/>
      <c r="I320" s="61"/>
    </row>
    <row r="321" spans="1:9" x14ac:dyDescent="0.25">
      <c r="A321" s="100"/>
      <c r="B321" s="13"/>
      <c r="C321" s="383"/>
      <c r="D321" s="404"/>
      <c r="E321" s="381"/>
      <c r="F321" s="381" t="s">
        <v>227</v>
      </c>
      <c r="G321" s="171"/>
      <c r="H321" s="171"/>
      <c r="I321" s="172"/>
    </row>
    <row r="322" spans="1:9" ht="13.8" thickBot="1" x14ac:dyDescent="0.3">
      <c r="A322" s="101"/>
      <c r="B322" s="62"/>
      <c r="C322" s="62"/>
      <c r="D322" s="170"/>
      <c r="E322" s="164"/>
      <c r="F322" s="164" t="s">
        <v>244</v>
      </c>
      <c r="G322" s="128"/>
      <c r="H322" s="128"/>
      <c r="I322" s="153"/>
    </row>
    <row r="323" spans="1:9" ht="23.4" x14ac:dyDescent="0.25">
      <c r="A323" s="434">
        <v>657</v>
      </c>
      <c r="B323" s="80">
        <v>657</v>
      </c>
      <c r="C323" s="401">
        <v>1</v>
      </c>
      <c r="D323" s="402" t="s">
        <v>37</v>
      </c>
      <c r="E323" s="403" t="s">
        <v>59</v>
      </c>
      <c r="F323" s="403" t="s">
        <v>226</v>
      </c>
      <c r="G323" s="56"/>
      <c r="H323" s="56"/>
      <c r="I323" s="61"/>
    </row>
    <row r="324" spans="1:9" x14ac:dyDescent="0.25">
      <c r="A324" s="100"/>
      <c r="B324" s="13"/>
      <c r="C324" s="383"/>
      <c r="D324" s="404"/>
      <c r="E324" s="381"/>
      <c r="F324" s="381" t="s">
        <v>227</v>
      </c>
      <c r="G324" s="171"/>
      <c r="H324" s="171"/>
      <c r="I324" s="172"/>
    </row>
    <row r="325" spans="1:9" ht="13.8" thickBot="1" x14ac:dyDescent="0.3">
      <c r="A325" s="435"/>
      <c r="B325" s="63"/>
      <c r="C325" s="63"/>
      <c r="D325" s="169"/>
      <c r="E325" s="165"/>
      <c r="F325" s="165" t="s">
        <v>244</v>
      </c>
      <c r="G325" s="130"/>
      <c r="H325" s="130"/>
      <c r="I325" s="173"/>
    </row>
    <row r="326" spans="1:9" ht="23.4" x14ac:dyDescent="0.25">
      <c r="A326" s="97">
        <v>658</v>
      </c>
      <c r="B326" s="98">
        <v>658</v>
      </c>
      <c r="C326" s="398">
        <v>1</v>
      </c>
      <c r="D326" s="399" t="s">
        <v>186</v>
      </c>
      <c r="E326" s="400" t="s">
        <v>59</v>
      </c>
      <c r="F326" s="400" t="s">
        <v>226</v>
      </c>
      <c r="G326" s="151"/>
      <c r="H326" s="151"/>
      <c r="I326" s="152"/>
    </row>
    <row r="327" spans="1:9" x14ac:dyDescent="0.25">
      <c r="A327" s="100"/>
      <c r="B327" s="13"/>
      <c r="C327" s="383"/>
      <c r="D327" s="404"/>
      <c r="E327" s="381"/>
      <c r="F327" s="381" t="s">
        <v>227</v>
      </c>
      <c r="G327" s="171"/>
      <c r="H327" s="171"/>
      <c r="I327" s="172"/>
    </row>
    <row r="328" spans="1:9" ht="13.8" thickBot="1" x14ac:dyDescent="0.3">
      <c r="A328" s="101"/>
      <c r="B328" s="62"/>
      <c r="C328" s="62"/>
      <c r="D328" s="170"/>
      <c r="E328" s="164"/>
      <c r="F328" s="164" t="s">
        <v>244</v>
      </c>
      <c r="G328" s="128"/>
      <c r="H328" s="128"/>
      <c r="I328" s="153"/>
    </row>
    <row r="329" spans="1:9" x14ac:dyDescent="0.25">
      <c r="A329" s="434">
        <v>659</v>
      </c>
      <c r="B329" s="80">
        <v>659</v>
      </c>
      <c r="C329" s="401">
        <v>1</v>
      </c>
      <c r="D329" s="403" t="s">
        <v>187</v>
      </c>
      <c r="E329" s="403" t="s">
        <v>59</v>
      </c>
      <c r="F329" s="403" t="s">
        <v>226</v>
      </c>
      <c r="G329" s="83" t="s">
        <v>6</v>
      </c>
      <c r="H329" s="424" t="s">
        <v>338</v>
      </c>
      <c r="I329" s="84" t="s">
        <v>6</v>
      </c>
    </row>
    <row r="330" spans="1:9" ht="13.8" thickBot="1" x14ac:dyDescent="0.3">
      <c r="A330" s="435"/>
      <c r="B330" s="63"/>
      <c r="C330" s="63"/>
      <c r="D330" s="165"/>
      <c r="E330" s="165"/>
      <c r="F330" s="165" t="s">
        <v>227</v>
      </c>
      <c r="G330" s="74" t="s">
        <v>6</v>
      </c>
      <c r="H330" s="651" t="s">
        <v>338</v>
      </c>
      <c r="I330" s="75" t="s">
        <v>6</v>
      </c>
    </row>
    <row r="331" spans="1:9" x14ac:dyDescent="0.25">
      <c r="A331" s="97">
        <v>660</v>
      </c>
      <c r="B331" s="98">
        <v>660</v>
      </c>
      <c r="C331" s="398">
        <v>1</v>
      </c>
      <c r="D331" s="400" t="s">
        <v>188</v>
      </c>
      <c r="E331" s="400" t="s">
        <v>59</v>
      </c>
      <c r="F331" s="400" t="s">
        <v>226</v>
      </c>
      <c r="G331" s="89" t="s">
        <v>6</v>
      </c>
      <c r="H331" s="652" t="s">
        <v>338</v>
      </c>
      <c r="I331" s="90" t="s">
        <v>6</v>
      </c>
    </row>
    <row r="332" spans="1:9" ht="13.8" thickBot="1" x14ac:dyDescent="0.3">
      <c r="A332" s="101"/>
      <c r="B332" s="62"/>
      <c r="C332" s="62"/>
      <c r="D332" s="164"/>
      <c r="E332" s="164"/>
      <c r="F332" s="164" t="s">
        <v>227</v>
      </c>
      <c r="G332" s="102" t="s">
        <v>6</v>
      </c>
      <c r="H332" s="650" t="s">
        <v>338</v>
      </c>
      <c r="I332" s="103" t="s">
        <v>6</v>
      </c>
    </row>
    <row r="333" spans="1:9" ht="23.4" x14ac:dyDescent="0.25">
      <c r="A333" s="434">
        <v>661</v>
      </c>
      <c r="B333" s="80">
        <v>661</v>
      </c>
      <c r="C333" s="401">
        <v>1</v>
      </c>
      <c r="D333" s="402" t="s">
        <v>261</v>
      </c>
      <c r="E333" s="403" t="s">
        <v>59</v>
      </c>
      <c r="F333" s="403" t="s">
        <v>226</v>
      </c>
      <c r="G333" s="83" t="s">
        <v>6</v>
      </c>
      <c r="H333" s="424" t="s">
        <v>338</v>
      </c>
      <c r="I333" s="90" t="s">
        <v>6</v>
      </c>
    </row>
    <row r="334" spans="1:9" ht="13.8" thickBot="1" x14ac:dyDescent="0.3">
      <c r="A334" s="435"/>
      <c r="B334" s="63"/>
      <c r="C334" s="63"/>
      <c r="D334" s="165"/>
      <c r="E334" s="165"/>
      <c r="F334" s="165" t="s">
        <v>227</v>
      </c>
      <c r="G334" s="74" t="s">
        <v>6</v>
      </c>
      <c r="H334" s="651" t="s">
        <v>338</v>
      </c>
      <c r="I334" s="75" t="s">
        <v>6</v>
      </c>
    </row>
    <row r="335" spans="1:9" ht="23.4" x14ac:dyDescent="0.25">
      <c r="A335" s="97">
        <v>662</v>
      </c>
      <c r="B335" s="98">
        <v>662</v>
      </c>
      <c r="C335" s="398">
        <v>1</v>
      </c>
      <c r="D335" s="399" t="s">
        <v>265</v>
      </c>
      <c r="E335" s="400" t="s">
        <v>59</v>
      </c>
      <c r="F335" s="400" t="s">
        <v>226</v>
      </c>
      <c r="G335" s="89" t="s">
        <v>6</v>
      </c>
      <c r="H335" s="652" t="s">
        <v>338</v>
      </c>
      <c r="I335" s="90" t="s">
        <v>6</v>
      </c>
    </row>
    <row r="336" spans="1:9" ht="13.8" thickBot="1" x14ac:dyDescent="0.3">
      <c r="A336" s="101"/>
      <c r="B336" s="62"/>
      <c r="C336" s="62"/>
      <c r="D336" s="164"/>
      <c r="E336" s="164"/>
      <c r="F336" s="164" t="s">
        <v>227</v>
      </c>
      <c r="G336" s="102" t="s">
        <v>6</v>
      </c>
      <c r="H336" s="650" t="s">
        <v>338</v>
      </c>
      <c r="I336" s="103" t="s">
        <v>6</v>
      </c>
    </row>
    <row r="337" spans="1:9" x14ac:dyDescent="0.25">
      <c r="A337" s="434">
        <v>663</v>
      </c>
      <c r="B337" s="80">
        <v>663</v>
      </c>
      <c r="C337" s="401">
        <v>1</v>
      </c>
      <c r="D337" s="403" t="s">
        <v>189</v>
      </c>
      <c r="E337" s="403" t="s">
        <v>59</v>
      </c>
      <c r="F337" s="403" t="s">
        <v>226</v>
      </c>
      <c r="G337" s="83" t="s">
        <v>6</v>
      </c>
      <c r="H337" s="424" t="s">
        <v>338</v>
      </c>
      <c r="I337" s="61"/>
    </row>
    <row r="338" spans="1:9" ht="13.8" thickBot="1" x14ac:dyDescent="0.3">
      <c r="A338" s="435"/>
      <c r="B338" s="63"/>
      <c r="C338" s="63"/>
      <c r="D338" s="165"/>
      <c r="E338" s="165"/>
      <c r="F338" s="165" t="s">
        <v>227</v>
      </c>
      <c r="G338" s="74" t="s">
        <v>6</v>
      </c>
      <c r="H338" s="651" t="s">
        <v>338</v>
      </c>
      <c r="I338" s="173"/>
    </row>
    <row r="339" spans="1:9" x14ac:dyDescent="0.25">
      <c r="A339" s="97">
        <v>664</v>
      </c>
      <c r="B339" s="98">
        <v>664</v>
      </c>
      <c r="C339" s="398">
        <v>1</v>
      </c>
      <c r="D339" s="400" t="s">
        <v>196</v>
      </c>
      <c r="E339" s="400" t="s">
        <v>59</v>
      </c>
      <c r="F339" s="400" t="s">
        <v>226</v>
      </c>
      <c r="G339" s="151"/>
      <c r="H339" s="652" t="s">
        <v>338</v>
      </c>
      <c r="I339" s="90" t="s">
        <v>6</v>
      </c>
    </row>
    <row r="340" spans="1:9" ht="13.8" thickBot="1" x14ac:dyDescent="0.3">
      <c r="A340" s="101"/>
      <c r="B340" s="62"/>
      <c r="C340" s="62"/>
      <c r="D340" s="164"/>
      <c r="E340" s="164"/>
      <c r="F340" s="164" t="s">
        <v>227</v>
      </c>
      <c r="G340" s="128"/>
      <c r="H340" s="650" t="s">
        <v>338</v>
      </c>
      <c r="I340" s="103" t="s">
        <v>6</v>
      </c>
    </row>
    <row r="341" spans="1:9" x14ac:dyDescent="0.25">
      <c r="A341" s="434">
        <v>665</v>
      </c>
      <c r="B341" s="80">
        <v>665</v>
      </c>
      <c r="C341" s="401">
        <v>1</v>
      </c>
      <c r="D341" s="403" t="s">
        <v>197</v>
      </c>
      <c r="E341" s="403" t="s">
        <v>59</v>
      </c>
      <c r="F341" s="403" t="s">
        <v>226</v>
      </c>
      <c r="G341" s="56"/>
      <c r="H341" s="424" t="s">
        <v>338</v>
      </c>
      <c r="I341" s="84" t="s">
        <v>6</v>
      </c>
    </row>
    <row r="342" spans="1:9" ht="13.8" thickBot="1" x14ac:dyDescent="0.3">
      <c r="A342" s="435"/>
      <c r="B342" s="63"/>
      <c r="C342" s="63"/>
      <c r="D342" s="165"/>
      <c r="E342" s="165"/>
      <c r="F342" s="165" t="s">
        <v>227</v>
      </c>
      <c r="G342" s="130"/>
      <c r="H342" s="651" t="s">
        <v>338</v>
      </c>
      <c r="I342" s="75" t="s">
        <v>6</v>
      </c>
    </row>
    <row r="343" spans="1:9" ht="23.4" x14ac:dyDescent="0.25">
      <c r="A343" s="97">
        <v>666</v>
      </c>
      <c r="B343" s="98">
        <v>666</v>
      </c>
      <c r="C343" s="398">
        <v>1</v>
      </c>
      <c r="D343" s="399" t="s">
        <v>262</v>
      </c>
      <c r="E343" s="400" t="s">
        <v>59</v>
      </c>
      <c r="F343" s="400" t="s">
        <v>226</v>
      </c>
      <c r="G343" s="151"/>
      <c r="H343" s="652" t="s">
        <v>338</v>
      </c>
      <c r="I343" s="90" t="s">
        <v>6</v>
      </c>
    </row>
    <row r="344" spans="1:9" ht="13.8" thickBot="1" x14ac:dyDescent="0.3">
      <c r="A344" s="101"/>
      <c r="B344" s="62"/>
      <c r="C344" s="62"/>
      <c r="D344" s="164"/>
      <c r="E344" s="164"/>
      <c r="F344" s="164" t="s">
        <v>227</v>
      </c>
      <c r="G344" s="128"/>
      <c r="H344" s="650" t="s">
        <v>338</v>
      </c>
      <c r="I344" s="103" t="s">
        <v>6</v>
      </c>
    </row>
    <row r="345" spans="1:9" ht="23.4" x14ac:dyDescent="0.25">
      <c r="A345" s="434">
        <v>667</v>
      </c>
      <c r="B345" s="80">
        <v>667</v>
      </c>
      <c r="C345" s="401">
        <v>1</v>
      </c>
      <c r="D345" s="402" t="s">
        <v>266</v>
      </c>
      <c r="E345" s="403" t="s">
        <v>59</v>
      </c>
      <c r="F345" s="403" t="s">
        <v>226</v>
      </c>
      <c r="G345" s="56"/>
      <c r="H345" s="424" t="s">
        <v>338</v>
      </c>
      <c r="I345" s="84" t="s">
        <v>6</v>
      </c>
    </row>
    <row r="346" spans="1:9" ht="13.8" thickBot="1" x14ac:dyDescent="0.3">
      <c r="A346" s="435"/>
      <c r="B346" s="63"/>
      <c r="C346" s="63"/>
      <c r="D346" s="164"/>
      <c r="E346" s="165"/>
      <c r="F346" s="165" t="s">
        <v>227</v>
      </c>
      <c r="G346" s="130"/>
      <c r="H346" s="651" t="s">
        <v>338</v>
      </c>
      <c r="I346" s="75" t="s">
        <v>6</v>
      </c>
    </row>
    <row r="347" spans="1:9" x14ac:dyDescent="0.25">
      <c r="A347" s="97">
        <v>668</v>
      </c>
      <c r="B347" s="98">
        <v>668</v>
      </c>
      <c r="C347" s="398">
        <v>1</v>
      </c>
      <c r="D347" s="400" t="s">
        <v>198</v>
      </c>
      <c r="E347" s="400" t="s">
        <v>59</v>
      </c>
      <c r="F347" s="400" t="s">
        <v>226</v>
      </c>
      <c r="G347" s="151"/>
      <c r="H347" s="652" t="s">
        <v>338</v>
      </c>
      <c r="I347" s="152"/>
    </row>
    <row r="348" spans="1:9" ht="13.8" thickBot="1" x14ac:dyDescent="0.3">
      <c r="A348" s="101"/>
      <c r="B348" s="62"/>
      <c r="C348" s="62"/>
      <c r="D348" s="164"/>
      <c r="E348" s="164"/>
      <c r="F348" s="164" t="s">
        <v>227</v>
      </c>
      <c r="G348" s="128"/>
      <c r="H348" s="650" t="s">
        <v>338</v>
      </c>
      <c r="I348" s="153"/>
    </row>
    <row r="349" spans="1:9" x14ac:dyDescent="0.25">
      <c r="A349" s="97">
        <v>669</v>
      </c>
      <c r="B349" s="98">
        <v>669</v>
      </c>
      <c r="C349" s="398">
        <v>1</v>
      </c>
      <c r="D349" s="400" t="s">
        <v>190</v>
      </c>
      <c r="E349" s="400" t="s">
        <v>59</v>
      </c>
      <c r="F349" s="400" t="s">
        <v>226</v>
      </c>
      <c r="G349" s="89" t="s">
        <v>6</v>
      </c>
      <c r="H349" s="652" t="s">
        <v>338</v>
      </c>
      <c r="I349" s="90" t="s">
        <v>6</v>
      </c>
    </row>
    <row r="350" spans="1:9" ht="13.8" thickBot="1" x14ac:dyDescent="0.3">
      <c r="A350" s="101"/>
      <c r="B350" s="62"/>
      <c r="C350" s="62"/>
      <c r="D350" s="164"/>
      <c r="E350" s="164"/>
      <c r="F350" s="164" t="s">
        <v>227</v>
      </c>
      <c r="G350" s="102" t="s">
        <v>6</v>
      </c>
      <c r="H350" s="650" t="s">
        <v>338</v>
      </c>
      <c r="I350" s="103" t="s">
        <v>6</v>
      </c>
    </row>
    <row r="351" spans="1:9" x14ac:dyDescent="0.25">
      <c r="A351" s="434">
        <v>670</v>
      </c>
      <c r="B351" s="80">
        <v>670</v>
      </c>
      <c r="C351" s="401">
        <v>1</v>
      </c>
      <c r="D351" s="403" t="s">
        <v>191</v>
      </c>
      <c r="E351" s="403" t="s">
        <v>59</v>
      </c>
      <c r="F351" s="403" t="s">
        <v>226</v>
      </c>
      <c r="G351" s="83" t="s">
        <v>6</v>
      </c>
      <c r="H351" s="424" t="s">
        <v>338</v>
      </c>
      <c r="I351" s="84" t="s">
        <v>6</v>
      </c>
    </row>
    <row r="352" spans="1:9" ht="13.8" thickBot="1" x14ac:dyDescent="0.3">
      <c r="A352" s="435"/>
      <c r="B352" s="63"/>
      <c r="C352" s="63"/>
      <c r="D352" s="165"/>
      <c r="E352" s="165"/>
      <c r="F352" s="165" t="s">
        <v>227</v>
      </c>
      <c r="G352" s="74" t="s">
        <v>6</v>
      </c>
      <c r="H352" s="651" t="s">
        <v>338</v>
      </c>
      <c r="I352" s="75" t="s">
        <v>6</v>
      </c>
    </row>
    <row r="353" spans="1:9" ht="23.4" x14ac:dyDescent="0.25">
      <c r="A353" s="97">
        <v>671</v>
      </c>
      <c r="B353" s="98">
        <v>671</v>
      </c>
      <c r="C353" s="398">
        <v>1</v>
      </c>
      <c r="D353" s="399" t="s">
        <v>263</v>
      </c>
      <c r="E353" s="400" t="s">
        <v>59</v>
      </c>
      <c r="F353" s="400" t="s">
        <v>226</v>
      </c>
      <c r="G353" s="89" t="s">
        <v>6</v>
      </c>
      <c r="H353" s="652" t="s">
        <v>338</v>
      </c>
      <c r="I353" s="90" t="s">
        <v>6</v>
      </c>
    </row>
    <row r="354" spans="1:9" ht="13.8" thickBot="1" x14ac:dyDescent="0.3">
      <c r="A354" s="101"/>
      <c r="B354" s="62"/>
      <c r="C354" s="62"/>
      <c r="D354" s="164"/>
      <c r="E354" s="164"/>
      <c r="F354" s="164" t="s">
        <v>227</v>
      </c>
      <c r="G354" s="102" t="s">
        <v>6</v>
      </c>
      <c r="H354" s="650" t="s">
        <v>338</v>
      </c>
      <c r="I354" s="103" t="s">
        <v>6</v>
      </c>
    </row>
    <row r="355" spans="1:9" ht="23.4" x14ac:dyDescent="0.25">
      <c r="A355" s="434">
        <v>672</v>
      </c>
      <c r="B355" s="80">
        <v>672</v>
      </c>
      <c r="C355" s="401">
        <v>1</v>
      </c>
      <c r="D355" s="402" t="s">
        <v>267</v>
      </c>
      <c r="E355" s="403" t="s">
        <v>59</v>
      </c>
      <c r="F355" s="403" t="s">
        <v>226</v>
      </c>
      <c r="G355" s="83" t="s">
        <v>6</v>
      </c>
      <c r="H355" s="424" t="s">
        <v>338</v>
      </c>
      <c r="I355" s="84" t="s">
        <v>6</v>
      </c>
    </row>
    <row r="356" spans="1:9" ht="13.8" thickBot="1" x14ac:dyDescent="0.3">
      <c r="A356" s="435"/>
      <c r="B356" s="63"/>
      <c r="C356" s="63"/>
      <c r="D356" s="164"/>
      <c r="E356" s="165"/>
      <c r="F356" s="165" t="s">
        <v>227</v>
      </c>
      <c r="G356" s="74" t="s">
        <v>6</v>
      </c>
      <c r="H356" s="651" t="s">
        <v>338</v>
      </c>
      <c r="I356" s="75" t="s">
        <v>6</v>
      </c>
    </row>
    <row r="357" spans="1:9" x14ac:dyDescent="0.25">
      <c r="A357" s="97">
        <v>673</v>
      </c>
      <c r="B357" s="98">
        <v>673</v>
      </c>
      <c r="C357" s="398">
        <v>1</v>
      </c>
      <c r="D357" s="400" t="s">
        <v>192</v>
      </c>
      <c r="E357" s="400" t="s">
        <v>59</v>
      </c>
      <c r="F357" s="400" t="s">
        <v>226</v>
      </c>
      <c r="G357" s="89" t="s">
        <v>6</v>
      </c>
      <c r="H357" s="652" t="s">
        <v>338</v>
      </c>
      <c r="I357" s="152"/>
    </row>
    <row r="358" spans="1:9" ht="13.8" thickBot="1" x14ac:dyDescent="0.3">
      <c r="A358" s="101"/>
      <c r="B358" s="62"/>
      <c r="C358" s="62"/>
      <c r="D358" s="164"/>
      <c r="E358" s="164"/>
      <c r="F358" s="164" t="s">
        <v>227</v>
      </c>
      <c r="G358" s="102" t="s">
        <v>6</v>
      </c>
      <c r="H358" s="650" t="s">
        <v>338</v>
      </c>
      <c r="I358" s="153"/>
    </row>
    <row r="359" spans="1:9" x14ac:dyDescent="0.25">
      <c r="A359" s="434">
        <v>674</v>
      </c>
      <c r="B359" s="80">
        <v>674</v>
      </c>
      <c r="C359" s="401">
        <v>1</v>
      </c>
      <c r="D359" s="403" t="s">
        <v>193</v>
      </c>
      <c r="E359" s="403" t="s">
        <v>59</v>
      </c>
      <c r="F359" s="403" t="s">
        <v>226</v>
      </c>
      <c r="G359" s="83" t="s">
        <v>6</v>
      </c>
      <c r="H359" s="83" t="s">
        <v>6</v>
      </c>
      <c r="I359" s="84" t="s">
        <v>6</v>
      </c>
    </row>
    <row r="360" spans="1:9" ht="13.8" thickBot="1" x14ac:dyDescent="0.3">
      <c r="A360" s="435"/>
      <c r="B360" s="63"/>
      <c r="C360" s="63"/>
      <c r="D360" s="165"/>
      <c r="E360" s="165"/>
      <c r="F360" s="165" t="s">
        <v>227</v>
      </c>
      <c r="G360" s="74" t="s">
        <v>6</v>
      </c>
      <c r="H360" s="74" t="s">
        <v>6</v>
      </c>
      <c r="I360" s="75" t="s">
        <v>6</v>
      </c>
    </row>
    <row r="361" spans="1:9" x14ac:dyDescent="0.25">
      <c r="A361" s="97">
        <v>675</v>
      </c>
      <c r="B361" s="98">
        <v>675</v>
      </c>
      <c r="C361" s="398">
        <v>1</v>
      </c>
      <c r="D361" s="400" t="s">
        <v>194</v>
      </c>
      <c r="E361" s="400" t="s">
        <v>59</v>
      </c>
      <c r="F361" s="400" t="s">
        <v>226</v>
      </c>
      <c r="G361" s="89" t="s">
        <v>6</v>
      </c>
      <c r="H361" s="89" t="s">
        <v>6</v>
      </c>
      <c r="I361" s="90" t="s">
        <v>6</v>
      </c>
    </row>
    <row r="362" spans="1:9" ht="13.8" thickBot="1" x14ac:dyDescent="0.3">
      <c r="A362" s="101"/>
      <c r="B362" s="62"/>
      <c r="C362" s="62"/>
      <c r="D362" s="164"/>
      <c r="E362" s="164"/>
      <c r="F362" s="164" t="s">
        <v>227</v>
      </c>
      <c r="G362" s="102" t="s">
        <v>6</v>
      </c>
      <c r="H362" s="102" t="s">
        <v>6</v>
      </c>
      <c r="I362" s="103" t="s">
        <v>6</v>
      </c>
    </row>
    <row r="363" spans="1:9" ht="23.4" x14ac:dyDescent="0.25">
      <c r="A363" s="434">
        <v>676</v>
      </c>
      <c r="B363" s="80">
        <v>676</v>
      </c>
      <c r="C363" s="401">
        <v>1</v>
      </c>
      <c r="D363" s="402" t="s">
        <v>264</v>
      </c>
      <c r="E363" s="403" t="s">
        <v>59</v>
      </c>
      <c r="F363" s="403" t="s">
        <v>226</v>
      </c>
      <c r="G363" s="83" t="s">
        <v>6</v>
      </c>
      <c r="H363" s="83" t="s">
        <v>6</v>
      </c>
      <c r="I363" s="90" t="s">
        <v>6</v>
      </c>
    </row>
    <row r="364" spans="1:9" ht="13.8" thickBot="1" x14ac:dyDescent="0.3">
      <c r="A364" s="435"/>
      <c r="B364" s="63"/>
      <c r="C364" s="63"/>
      <c r="D364" s="165"/>
      <c r="E364" s="165"/>
      <c r="F364" s="165" t="s">
        <v>227</v>
      </c>
      <c r="G364" s="74" t="s">
        <v>6</v>
      </c>
      <c r="H364" s="74" t="s">
        <v>6</v>
      </c>
      <c r="I364" s="103" t="s">
        <v>6</v>
      </c>
    </row>
    <row r="365" spans="1:9" ht="23.4" x14ac:dyDescent="0.25">
      <c r="A365" s="97">
        <v>677</v>
      </c>
      <c r="B365" s="98">
        <v>677</v>
      </c>
      <c r="C365" s="398">
        <v>1</v>
      </c>
      <c r="D365" s="399" t="s">
        <v>268</v>
      </c>
      <c r="E365" s="400" t="s">
        <v>59</v>
      </c>
      <c r="F365" s="400" t="s">
        <v>226</v>
      </c>
      <c r="G365" s="89" t="s">
        <v>6</v>
      </c>
      <c r="H365" s="89" t="s">
        <v>6</v>
      </c>
      <c r="I365" s="84" t="s">
        <v>6</v>
      </c>
    </row>
    <row r="366" spans="1:9" ht="13.8" thickBot="1" x14ac:dyDescent="0.3">
      <c r="A366" s="101"/>
      <c r="B366" s="62"/>
      <c r="C366" s="62"/>
      <c r="D366" s="164"/>
      <c r="E366" s="164"/>
      <c r="F366" s="164" t="s">
        <v>227</v>
      </c>
      <c r="G366" s="102" t="s">
        <v>6</v>
      </c>
      <c r="H366" s="102" t="s">
        <v>6</v>
      </c>
      <c r="I366" s="103" t="s">
        <v>6</v>
      </c>
    </row>
    <row r="367" spans="1:9" x14ac:dyDescent="0.25">
      <c r="A367" s="434">
        <v>678</v>
      </c>
      <c r="B367" s="80">
        <v>678</v>
      </c>
      <c r="C367" s="401">
        <v>1</v>
      </c>
      <c r="D367" s="403" t="s">
        <v>195</v>
      </c>
      <c r="E367" s="403" t="s">
        <v>59</v>
      </c>
      <c r="F367" s="403" t="s">
        <v>226</v>
      </c>
      <c r="G367" s="83" t="s">
        <v>6</v>
      </c>
      <c r="H367" s="83" t="s">
        <v>6</v>
      </c>
      <c r="I367" s="61"/>
    </row>
    <row r="368" spans="1:9" ht="13.8" thickBot="1" x14ac:dyDescent="0.3">
      <c r="A368" s="435"/>
      <c r="B368" s="63"/>
      <c r="C368" s="63"/>
      <c r="D368" s="165"/>
      <c r="E368" s="165"/>
      <c r="F368" s="165" t="s">
        <v>227</v>
      </c>
      <c r="G368" s="74" t="s">
        <v>6</v>
      </c>
      <c r="H368" s="74" t="s">
        <v>6</v>
      </c>
      <c r="I368" s="173"/>
    </row>
    <row r="369" spans="1:9" ht="53.4" thickBot="1" x14ac:dyDescent="0.3">
      <c r="A369" s="9">
        <v>679</v>
      </c>
      <c r="B369" s="10">
        <v>687</v>
      </c>
      <c r="C369" s="396">
        <v>9</v>
      </c>
      <c r="D369" s="376" t="s">
        <v>200</v>
      </c>
      <c r="E369" s="376" t="s">
        <v>250</v>
      </c>
      <c r="F369" s="156" t="s">
        <v>249</v>
      </c>
      <c r="G369" s="157" t="s">
        <v>6</v>
      </c>
      <c r="H369" s="157" t="s">
        <v>6</v>
      </c>
      <c r="I369" s="158" t="s">
        <v>6</v>
      </c>
    </row>
    <row r="370" spans="1:9" ht="53.4" thickBot="1" x14ac:dyDescent="0.3">
      <c r="A370" s="70">
        <v>688</v>
      </c>
      <c r="B370" s="71">
        <v>696</v>
      </c>
      <c r="C370" s="387">
        <v>9</v>
      </c>
      <c r="D370" s="388" t="s">
        <v>199</v>
      </c>
      <c r="E370" s="376" t="s">
        <v>250</v>
      </c>
      <c r="F370" s="156" t="s">
        <v>249</v>
      </c>
      <c r="G370" s="159" t="s">
        <v>6</v>
      </c>
      <c r="H370" s="159" t="s">
        <v>6</v>
      </c>
      <c r="I370" s="160" t="s">
        <v>6</v>
      </c>
    </row>
    <row r="371" spans="1:9" ht="53.4" thickBot="1" x14ac:dyDescent="0.3">
      <c r="A371" s="9">
        <v>697</v>
      </c>
      <c r="B371" s="76">
        <v>705</v>
      </c>
      <c r="C371" s="374">
        <v>9</v>
      </c>
      <c r="D371" s="376" t="s">
        <v>309</v>
      </c>
      <c r="E371" s="376" t="s">
        <v>250</v>
      </c>
      <c r="F371" s="156" t="s">
        <v>249</v>
      </c>
      <c r="G371" s="157" t="s">
        <v>6</v>
      </c>
      <c r="H371" s="157" t="s">
        <v>6</v>
      </c>
      <c r="I371" s="260"/>
    </row>
    <row r="372" spans="1:9" ht="53.4" thickBot="1" x14ac:dyDescent="0.3">
      <c r="A372" s="9">
        <v>706</v>
      </c>
      <c r="B372" s="76">
        <v>714</v>
      </c>
      <c r="C372" s="405">
        <v>9</v>
      </c>
      <c r="D372" s="406" t="s">
        <v>201</v>
      </c>
      <c r="E372" s="376" t="s">
        <v>250</v>
      </c>
      <c r="F372" s="156" t="s">
        <v>249</v>
      </c>
      <c r="G372" s="161" t="s">
        <v>6</v>
      </c>
      <c r="H372" s="161" t="s">
        <v>6</v>
      </c>
      <c r="I372" s="312"/>
    </row>
    <row r="373" spans="1:9" ht="53.4" thickBot="1" x14ac:dyDescent="0.3">
      <c r="A373" s="9">
        <v>715</v>
      </c>
      <c r="B373" s="76">
        <v>723</v>
      </c>
      <c r="C373" s="396">
        <v>9</v>
      </c>
      <c r="D373" s="376" t="s">
        <v>202</v>
      </c>
      <c r="E373" s="376" t="s">
        <v>250</v>
      </c>
      <c r="F373" s="156" t="s">
        <v>249</v>
      </c>
      <c r="G373" s="157" t="s">
        <v>6</v>
      </c>
      <c r="H373" s="157" t="s">
        <v>6</v>
      </c>
      <c r="I373" s="260"/>
    </row>
    <row r="374" spans="1:9" ht="27" thickBot="1" x14ac:dyDescent="0.3">
      <c r="A374" s="9">
        <v>724</v>
      </c>
      <c r="B374" s="76">
        <v>743</v>
      </c>
      <c r="C374" s="405">
        <v>20</v>
      </c>
      <c r="D374" s="406" t="s">
        <v>204</v>
      </c>
      <c r="E374" s="376" t="s">
        <v>250</v>
      </c>
      <c r="F374" s="156" t="s">
        <v>29</v>
      </c>
      <c r="G374" s="161" t="s">
        <v>6</v>
      </c>
      <c r="H374" s="161" t="s">
        <v>6</v>
      </c>
      <c r="I374" s="162" t="s">
        <v>6</v>
      </c>
    </row>
    <row r="375" spans="1:9" ht="27" thickBot="1" x14ac:dyDescent="0.3">
      <c r="A375" s="9">
        <v>744</v>
      </c>
      <c r="B375" s="76">
        <v>763</v>
      </c>
      <c r="C375" s="396">
        <v>20</v>
      </c>
      <c r="D375" s="376" t="s">
        <v>203</v>
      </c>
      <c r="E375" s="376" t="s">
        <v>250</v>
      </c>
      <c r="F375" s="156" t="s">
        <v>29</v>
      </c>
      <c r="G375" s="157" t="s">
        <v>6</v>
      </c>
      <c r="H375" s="157" t="s">
        <v>6</v>
      </c>
      <c r="I375" s="158" t="s">
        <v>6</v>
      </c>
    </row>
    <row r="376" spans="1:9" ht="27" thickBot="1" x14ac:dyDescent="0.3">
      <c r="A376" s="9">
        <v>764</v>
      </c>
      <c r="B376" s="76">
        <v>783</v>
      </c>
      <c r="C376" s="407">
        <v>20</v>
      </c>
      <c r="D376" s="408" t="s">
        <v>310</v>
      </c>
      <c r="E376" s="376" t="s">
        <v>250</v>
      </c>
      <c r="F376" s="156" t="s">
        <v>29</v>
      </c>
      <c r="G376" s="163" t="s">
        <v>6</v>
      </c>
      <c r="H376" s="163" t="s">
        <v>6</v>
      </c>
      <c r="I376" s="313"/>
    </row>
    <row r="377" spans="1:9" ht="27" thickBot="1" x14ac:dyDescent="0.3">
      <c r="A377" s="9">
        <v>784</v>
      </c>
      <c r="B377" s="76">
        <v>803</v>
      </c>
      <c r="C377" s="405">
        <v>20</v>
      </c>
      <c r="D377" s="406" t="s">
        <v>205</v>
      </c>
      <c r="E377" s="376" t="s">
        <v>250</v>
      </c>
      <c r="F377" s="156" t="s">
        <v>29</v>
      </c>
      <c r="G377" s="161" t="s">
        <v>6</v>
      </c>
      <c r="H377" s="161" t="s">
        <v>6</v>
      </c>
      <c r="I377" s="312"/>
    </row>
    <row r="378" spans="1:9" ht="27" thickBot="1" x14ac:dyDescent="0.3">
      <c r="A378" s="9">
        <v>804</v>
      </c>
      <c r="B378" s="76">
        <v>823</v>
      </c>
      <c r="C378" s="396">
        <v>20</v>
      </c>
      <c r="D378" s="376" t="s">
        <v>206</v>
      </c>
      <c r="E378" s="376" t="s">
        <v>250</v>
      </c>
      <c r="F378" s="156" t="s">
        <v>29</v>
      </c>
      <c r="G378" s="157" t="s">
        <v>6</v>
      </c>
      <c r="H378" s="157" t="s">
        <v>6</v>
      </c>
      <c r="I378" s="260"/>
    </row>
    <row r="414" spans="7:7" x14ac:dyDescent="0.25">
      <c r="G414" s="15"/>
    </row>
  </sheetData>
  <mergeCells count="1">
    <mergeCell ref="A1:I1"/>
  </mergeCells>
  <phoneticPr fontId="3" type="noConversion"/>
  <pageMargins left="0.42" right="0.28999999999999998" top="0.5" bottom="0.46" header="0.5" footer="0.5"/>
  <pageSetup scale="62"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7"/>
  <sheetViews>
    <sheetView topLeftCell="A25" zoomScale="70" zoomScaleNormal="70" workbookViewId="0">
      <selection activeCell="F59" sqref="F5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5" customWidth="1"/>
    <col min="7" max="16384" width="9.109375" style="235"/>
  </cols>
  <sheetData>
    <row r="1" spans="1:6" s="191" customFormat="1" ht="13.8" thickBot="1" x14ac:dyDescent="0.3">
      <c r="A1" s="174" t="s">
        <v>44</v>
      </c>
      <c r="B1" s="175" t="s">
        <v>45</v>
      </c>
      <c r="C1" s="176" t="s">
        <v>46</v>
      </c>
      <c r="D1" s="177" t="s">
        <v>47</v>
      </c>
      <c r="E1" s="177" t="s">
        <v>48</v>
      </c>
      <c r="F1" s="247" t="s">
        <v>61</v>
      </c>
    </row>
    <row r="2" spans="1:6" s="191" customFormat="1" ht="13.8" thickBot="1" x14ac:dyDescent="0.3">
      <c r="A2" s="20">
        <v>1</v>
      </c>
      <c r="B2" s="21">
        <v>11</v>
      </c>
      <c r="C2" s="21">
        <v>11</v>
      </c>
      <c r="D2" s="22" t="s">
        <v>49</v>
      </c>
      <c r="E2" s="48" t="s">
        <v>50</v>
      </c>
      <c r="F2" s="262"/>
    </row>
    <row r="3" spans="1:6" s="191" customFormat="1" ht="13.8" thickBot="1" x14ac:dyDescent="0.3">
      <c r="A3" s="20">
        <v>12</v>
      </c>
      <c r="B3" s="21">
        <v>19</v>
      </c>
      <c r="C3" s="21">
        <v>8</v>
      </c>
      <c r="D3" s="38" t="s">
        <v>51</v>
      </c>
      <c r="E3" s="48" t="s">
        <v>50</v>
      </c>
      <c r="F3" s="263"/>
    </row>
    <row r="4" spans="1:6" s="191" customFormat="1" ht="13.8" thickBot="1" x14ac:dyDescent="0.3">
      <c r="A4" s="33">
        <v>20</v>
      </c>
      <c r="B4" s="34">
        <v>20</v>
      </c>
      <c r="C4" s="34">
        <v>1</v>
      </c>
      <c r="D4" s="35" t="s">
        <v>52</v>
      </c>
      <c r="E4" s="192" t="s">
        <v>50</v>
      </c>
      <c r="F4" s="264"/>
    </row>
    <row r="5" spans="1:6" s="191" customFormat="1" ht="27" thickBot="1" x14ac:dyDescent="0.3">
      <c r="A5" s="21">
        <v>21</v>
      </c>
      <c r="B5" s="21">
        <v>29</v>
      </c>
      <c r="C5" s="21">
        <v>9</v>
      </c>
      <c r="D5" s="39" t="s">
        <v>53</v>
      </c>
      <c r="E5" s="38" t="s">
        <v>54</v>
      </c>
      <c r="F5" s="265"/>
    </row>
    <row r="6" spans="1:6" s="191" customFormat="1" ht="13.8" thickBot="1" x14ac:dyDescent="0.3">
      <c r="A6" s="21">
        <v>30</v>
      </c>
      <c r="B6" s="21">
        <v>31</v>
      </c>
      <c r="C6" s="21">
        <v>2</v>
      </c>
      <c r="D6" s="41" t="s">
        <v>55</v>
      </c>
      <c r="E6" s="41" t="s">
        <v>56</v>
      </c>
      <c r="F6" s="265" t="s">
        <v>74</v>
      </c>
    </row>
    <row r="7" spans="1:6" s="191" customFormat="1" ht="13.8" thickBot="1" x14ac:dyDescent="0.3">
      <c r="A7" s="21">
        <v>32</v>
      </c>
      <c r="B7" s="21">
        <v>32</v>
      </c>
      <c r="C7" s="21">
        <v>1</v>
      </c>
      <c r="D7" s="41" t="s">
        <v>58</v>
      </c>
      <c r="E7" s="41" t="s">
        <v>59</v>
      </c>
      <c r="F7" s="265" t="s">
        <v>75</v>
      </c>
    </row>
    <row r="8" spans="1:6" s="191" customFormat="1" ht="13.8" thickBot="1" x14ac:dyDescent="0.3">
      <c r="A8" s="42">
        <v>33</v>
      </c>
      <c r="B8" s="42">
        <v>37</v>
      </c>
      <c r="C8" s="42">
        <v>5</v>
      </c>
      <c r="D8" s="43" t="s">
        <v>65</v>
      </c>
      <c r="E8" s="43"/>
      <c r="F8" s="266"/>
    </row>
    <row r="9" spans="1:6" s="191" customFormat="1" ht="13.8" thickBot="1" x14ac:dyDescent="0.3">
      <c r="A9" s="21">
        <v>38</v>
      </c>
      <c r="B9" s="21">
        <v>39</v>
      </c>
      <c r="C9" s="21">
        <v>2</v>
      </c>
      <c r="D9" s="41" t="s">
        <v>66</v>
      </c>
      <c r="E9" s="41" t="s">
        <v>67</v>
      </c>
      <c r="F9" s="265" t="s">
        <v>247</v>
      </c>
    </row>
    <row r="10" spans="1:6" s="191" customFormat="1" ht="13.8" thickBot="1" x14ac:dyDescent="0.3">
      <c r="A10" s="20">
        <v>40</v>
      </c>
      <c r="B10" s="21">
        <v>41</v>
      </c>
      <c r="C10" s="21">
        <v>2</v>
      </c>
      <c r="D10" s="41" t="s">
        <v>68</v>
      </c>
      <c r="E10" s="48" t="s">
        <v>67</v>
      </c>
      <c r="F10" s="265" t="s">
        <v>248</v>
      </c>
    </row>
    <row r="11" spans="1:6" s="191" customFormat="1" ht="13.8" thickBot="1" x14ac:dyDescent="0.3">
      <c r="A11" s="21">
        <v>42</v>
      </c>
      <c r="B11" s="21">
        <v>45</v>
      </c>
      <c r="C11" s="21">
        <v>4</v>
      </c>
      <c r="D11" s="41" t="s">
        <v>69</v>
      </c>
      <c r="E11" s="40" t="s">
        <v>67</v>
      </c>
      <c r="F11" s="265" t="s">
        <v>246</v>
      </c>
    </row>
    <row r="12" spans="1:6" s="191" customFormat="1" ht="40.200000000000003" thickBot="1" x14ac:dyDescent="0.3">
      <c r="A12" s="21">
        <v>46</v>
      </c>
      <c r="B12" s="21">
        <v>47</v>
      </c>
      <c r="C12" s="21">
        <v>2</v>
      </c>
      <c r="D12" s="48" t="s">
        <v>71</v>
      </c>
      <c r="E12" s="48" t="s">
        <v>67</v>
      </c>
      <c r="F12" s="267" t="s">
        <v>18</v>
      </c>
    </row>
    <row r="13" spans="1:6" s="191" customFormat="1" x14ac:dyDescent="0.25">
      <c r="A13" s="18">
        <v>48</v>
      </c>
      <c r="B13" s="18">
        <v>48</v>
      </c>
      <c r="C13" s="18">
        <v>1</v>
      </c>
      <c r="D13" s="46" t="s">
        <v>72</v>
      </c>
      <c r="E13" s="46" t="s">
        <v>50</v>
      </c>
      <c r="F13" s="268" t="s">
        <v>76</v>
      </c>
    </row>
    <row r="14" spans="1:6" s="191" customFormat="1" x14ac:dyDescent="0.25">
      <c r="A14" s="17"/>
      <c r="B14" s="17"/>
      <c r="C14" s="17"/>
      <c r="D14" s="2"/>
      <c r="E14" s="2"/>
      <c r="F14" s="269" t="s">
        <v>77</v>
      </c>
    </row>
    <row r="15" spans="1:6" s="191" customFormat="1" ht="13.8" thickBot="1" x14ac:dyDescent="0.3">
      <c r="A15" s="31"/>
      <c r="B15" s="31"/>
      <c r="C15" s="31"/>
      <c r="D15" s="50"/>
      <c r="E15" s="50"/>
      <c r="F15" s="271" t="s">
        <v>78</v>
      </c>
    </row>
    <row r="16" spans="1:6" s="191" customFormat="1" x14ac:dyDescent="0.25">
      <c r="A16" s="18">
        <v>49</v>
      </c>
      <c r="B16" s="18">
        <v>49</v>
      </c>
      <c r="C16" s="18">
        <v>1</v>
      </c>
      <c r="D16" s="46" t="s">
        <v>73</v>
      </c>
      <c r="E16" s="19" t="s">
        <v>67</v>
      </c>
      <c r="F16" s="268" t="s">
        <v>79</v>
      </c>
    </row>
    <row r="17" spans="1:6" s="191" customFormat="1" x14ac:dyDescent="0.25">
      <c r="A17" s="17"/>
      <c r="B17" s="17"/>
      <c r="C17" s="17"/>
      <c r="D17" s="2"/>
      <c r="E17" s="16"/>
      <c r="F17" s="269" t="s">
        <v>80</v>
      </c>
    </row>
    <row r="18" spans="1:6" s="191" customFormat="1" x14ac:dyDescent="0.25">
      <c r="A18" s="17"/>
      <c r="B18" s="17"/>
      <c r="C18" s="17"/>
      <c r="D18" s="2"/>
      <c r="E18" s="16"/>
      <c r="F18" s="269" t="s">
        <v>81</v>
      </c>
    </row>
    <row r="19" spans="1:6" s="191" customFormat="1" x14ac:dyDescent="0.25">
      <c r="A19" s="17"/>
      <c r="B19" s="17"/>
      <c r="C19" s="17"/>
      <c r="D19" s="2"/>
      <c r="E19" s="16"/>
      <c r="F19" s="269" t="s">
        <v>82</v>
      </c>
    </row>
    <row r="20" spans="1:6" s="191" customFormat="1" x14ac:dyDescent="0.25">
      <c r="A20" s="17"/>
      <c r="B20" s="17"/>
      <c r="C20" s="17"/>
      <c r="D20" s="2"/>
      <c r="E20" s="16"/>
      <c r="F20" s="269" t="s">
        <v>19</v>
      </c>
    </row>
    <row r="21" spans="1:6" s="191" customFormat="1" x14ac:dyDescent="0.25">
      <c r="A21" s="17"/>
      <c r="B21" s="17"/>
      <c r="C21" s="17"/>
      <c r="D21" s="2"/>
      <c r="E21" s="16"/>
      <c r="F21" s="269" t="s">
        <v>83</v>
      </c>
    </row>
    <row r="22" spans="1:6" s="191" customFormat="1" x14ac:dyDescent="0.25">
      <c r="A22" s="17"/>
      <c r="B22" s="17"/>
      <c r="C22" s="17"/>
      <c r="D22" s="2"/>
      <c r="E22" s="16"/>
      <c r="F22" s="269" t="s">
        <v>84</v>
      </c>
    </row>
    <row r="23" spans="1:6" s="191" customFormat="1" ht="13.8" thickBot="1" x14ac:dyDescent="0.3">
      <c r="A23" s="31"/>
      <c r="B23" s="31"/>
      <c r="C23" s="31"/>
      <c r="D23" s="50"/>
      <c r="E23" s="32"/>
      <c r="F23" s="60" t="s">
        <v>38</v>
      </c>
    </row>
    <row r="24" spans="1:6" s="191" customFormat="1" x14ac:dyDescent="0.25">
      <c r="A24" s="53">
        <v>50</v>
      </c>
      <c r="B24" s="53">
        <v>58</v>
      </c>
      <c r="C24" s="53">
        <v>9</v>
      </c>
      <c r="D24" s="54" t="s">
        <v>65</v>
      </c>
      <c r="E24" s="54"/>
      <c r="F24" s="272"/>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273" t="s">
        <v>207</v>
      </c>
    </row>
    <row r="30" spans="1:6" s="191" customFormat="1" ht="13.8" thickBot="1" x14ac:dyDescent="0.3">
      <c r="A30" s="20">
        <v>113</v>
      </c>
      <c r="B30" s="21">
        <v>114</v>
      </c>
      <c r="C30" s="21">
        <v>2</v>
      </c>
      <c r="D30" s="48" t="s">
        <v>91</v>
      </c>
      <c r="E30" s="48" t="s">
        <v>67</v>
      </c>
      <c r="F30" s="274" t="s">
        <v>208</v>
      </c>
    </row>
    <row r="31" spans="1:6" s="191" customFormat="1" ht="13.8" thickBot="1" x14ac:dyDescent="0.3">
      <c r="A31" s="108">
        <v>115</v>
      </c>
      <c r="B31" s="108">
        <v>118</v>
      </c>
      <c r="C31" s="108">
        <v>4</v>
      </c>
      <c r="D31" s="112" t="s">
        <v>92</v>
      </c>
      <c r="E31" s="112" t="s">
        <v>87</v>
      </c>
      <c r="F31" s="113" t="s">
        <v>70</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26"/>
    </row>
    <row r="34" spans="1:6" s="191" customFormat="1" x14ac:dyDescent="0.25">
      <c r="A34" s="147">
        <v>126</v>
      </c>
      <c r="B34" s="148">
        <v>126</v>
      </c>
      <c r="C34" s="148">
        <v>1</v>
      </c>
      <c r="D34" s="203" t="s">
        <v>94</v>
      </c>
      <c r="E34" s="203" t="s">
        <v>50</v>
      </c>
      <c r="F34" s="275" t="s">
        <v>226</v>
      </c>
    </row>
    <row r="35" spans="1:6" s="191" customFormat="1" ht="13.8" thickBot="1" x14ac:dyDescent="0.3">
      <c r="A35" s="30"/>
      <c r="B35" s="31"/>
      <c r="C35" s="31"/>
      <c r="D35" s="50"/>
      <c r="E35" s="50"/>
      <c r="F35" s="276" t="s">
        <v>39</v>
      </c>
    </row>
    <row r="36" spans="1:6" s="191" customFormat="1" x14ac:dyDescent="0.25">
      <c r="A36" s="131">
        <v>127</v>
      </c>
      <c r="B36" s="18">
        <v>127</v>
      </c>
      <c r="C36" s="18">
        <v>1</v>
      </c>
      <c r="D36" s="46" t="s">
        <v>95</v>
      </c>
      <c r="E36" s="46" t="s">
        <v>50</v>
      </c>
      <c r="F36" s="277" t="s">
        <v>226</v>
      </c>
    </row>
    <row r="37" spans="1:6" s="191" customFormat="1" ht="13.8" thickBot="1" x14ac:dyDescent="0.3">
      <c r="A37" s="30"/>
      <c r="B37" s="31"/>
      <c r="C37" s="31"/>
      <c r="D37" s="50"/>
      <c r="E37" s="50"/>
      <c r="F37" s="276" t="s">
        <v>39</v>
      </c>
    </row>
    <row r="38" spans="1:6" s="191" customFormat="1" x14ac:dyDescent="0.25">
      <c r="A38" s="18">
        <v>128</v>
      </c>
      <c r="B38" s="18">
        <v>128</v>
      </c>
      <c r="C38" s="18">
        <v>1</v>
      </c>
      <c r="D38" s="46" t="s">
        <v>96</v>
      </c>
      <c r="E38" s="46" t="s">
        <v>50</v>
      </c>
      <c r="F38" s="277" t="s">
        <v>226</v>
      </c>
    </row>
    <row r="39" spans="1:6" s="191" customFormat="1" ht="13.8" thickBot="1" x14ac:dyDescent="0.3">
      <c r="A39" s="77"/>
      <c r="B39" s="77"/>
      <c r="C39" s="77"/>
      <c r="D39" s="118"/>
      <c r="E39" s="118"/>
      <c r="F39" s="278" t="s">
        <v>39</v>
      </c>
    </row>
    <row r="40" spans="1:6" s="191" customFormat="1" ht="39.6" x14ac:dyDescent="0.25">
      <c r="A40" s="28">
        <v>129</v>
      </c>
      <c r="B40" s="29">
        <v>129</v>
      </c>
      <c r="C40" s="29">
        <v>1</v>
      </c>
      <c r="D40" s="116" t="s">
        <v>97</v>
      </c>
      <c r="E40" s="115" t="s">
        <v>50</v>
      </c>
      <c r="F40" s="279" t="s">
        <v>226</v>
      </c>
    </row>
    <row r="41" spans="1:6" s="191" customFormat="1" ht="13.8" thickBot="1" x14ac:dyDescent="0.3">
      <c r="A41" s="30"/>
      <c r="B41" s="31"/>
      <c r="C41" s="31"/>
      <c r="D41" s="52"/>
      <c r="E41" s="52"/>
      <c r="F41" s="276" t="s">
        <v>39</v>
      </c>
    </row>
    <row r="42" spans="1:6" s="191" customFormat="1" ht="39.6" x14ac:dyDescent="0.25">
      <c r="A42" s="18">
        <v>130</v>
      </c>
      <c r="B42" s="18">
        <v>130</v>
      </c>
      <c r="C42" s="18">
        <v>1</v>
      </c>
      <c r="D42" s="27" t="s">
        <v>98</v>
      </c>
      <c r="E42" s="46" t="s">
        <v>50</v>
      </c>
      <c r="F42" s="277" t="s">
        <v>226</v>
      </c>
    </row>
    <row r="43" spans="1:6" s="191" customFormat="1" ht="13.8" thickBot="1" x14ac:dyDescent="0.3">
      <c r="A43" s="77"/>
      <c r="B43" s="77"/>
      <c r="C43" s="77"/>
      <c r="D43" s="78"/>
      <c r="E43" s="78"/>
      <c r="F43" s="278" t="s">
        <v>39</v>
      </c>
    </row>
    <row r="44" spans="1:6" s="191" customFormat="1" x14ac:dyDescent="0.25">
      <c r="A44" s="28">
        <v>131</v>
      </c>
      <c r="B44" s="29">
        <v>131</v>
      </c>
      <c r="C44" s="29">
        <v>1</v>
      </c>
      <c r="D44" s="115" t="s">
        <v>99</v>
      </c>
      <c r="E44" s="115" t="s">
        <v>50</v>
      </c>
      <c r="F44" s="279" t="s">
        <v>226</v>
      </c>
    </row>
    <row r="45" spans="1:6" s="191" customFormat="1" ht="13.8" thickBot="1" x14ac:dyDescent="0.3">
      <c r="A45" s="30"/>
      <c r="B45" s="31"/>
      <c r="C45" s="31"/>
      <c r="D45" s="50"/>
      <c r="E45" s="50"/>
      <c r="F45" s="276" t="s">
        <v>39</v>
      </c>
    </row>
    <row r="46" spans="1:6" s="191" customFormat="1" x14ac:dyDescent="0.25">
      <c r="A46" s="18">
        <v>132</v>
      </c>
      <c r="B46" s="18">
        <v>132</v>
      </c>
      <c r="C46" s="18">
        <v>1</v>
      </c>
      <c r="D46" s="46" t="s">
        <v>100</v>
      </c>
      <c r="E46" s="46" t="s">
        <v>50</v>
      </c>
      <c r="F46" s="277" t="s">
        <v>226</v>
      </c>
    </row>
    <row r="47" spans="1:6" s="191" customFormat="1" ht="13.8" thickBot="1" x14ac:dyDescent="0.3">
      <c r="A47" s="77"/>
      <c r="B47" s="77"/>
      <c r="C47" s="77"/>
      <c r="D47" s="118"/>
      <c r="E47" s="118"/>
      <c r="F47" s="278" t="s">
        <v>39</v>
      </c>
    </row>
    <row r="48" spans="1:6" s="191" customFormat="1" x14ac:dyDescent="0.25">
      <c r="A48" s="124">
        <v>133</v>
      </c>
      <c r="B48" s="125">
        <v>133</v>
      </c>
      <c r="C48" s="125">
        <v>1</v>
      </c>
      <c r="D48" s="204" t="s">
        <v>101</v>
      </c>
      <c r="E48" s="204" t="s">
        <v>50</v>
      </c>
      <c r="F48" s="258"/>
    </row>
    <row r="49" spans="1:6" s="191" customFormat="1" ht="13.8" thickBot="1" x14ac:dyDescent="0.3">
      <c r="A49" s="126"/>
      <c r="B49" s="127"/>
      <c r="C49" s="127"/>
      <c r="D49" s="205" t="s">
        <v>255</v>
      </c>
      <c r="E49" s="206"/>
      <c r="F49" s="280"/>
    </row>
    <row r="50" spans="1:6" s="191" customFormat="1" ht="13.8" thickBot="1" x14ac:dyDescent="0.3">
      <c r="A50" s="108">
        <v>134</v>
      </c>
      <c r="B50" s="108">
        <v>145</v>
      </c>
      <c r="C50" s="108">
        <v>12</v>
      </c>
      <c r="D50" s="213" t="s">
        <v>257</v>
      </c>
      <c r="E50" s="213" t="s">
        <v>54</v>
      </c>
      <c r="F50" s="311" t="s">
        <v>260</v>
      </c>
    </row>
    <row r="51" spans="1:6" s="191" customFormat="1" ht="26.4" x14ac:dyDescent="0.25">
      <c r="A51" s="28">
        <v>146</v>
      </c>
      <c r="B51" s="29">
        <v>147</v>
      </c>
      <c r="C51" s="29">
        <v>2</v>
      </c>
      <c r="D51" s="116" t="s">
        <v>102</v>
      </c>
      <c r="E51" s="116" t="s">
        <v>67</v>
      </c>
      <c r="F51" s="281" t="s">
        <v>209</v>
      </c>
    </row>
    <row r="52" spans="1:6" s="191" customFormat="1" x14ac:dyDescent="0.25">
      <c r="A52" s="121"/>
      <c r="B52" s="17"/>
      <c r="C52" s="17"/>
      <c r="D52" s="3"/>
      <c r="E52" s="3"/>
      <c r="F52" s="269" t="s">
        <v>210</v>
      </c>
    </row>
    <row r="53" spans="1:6" s="191" customFormat="1" x14ac:dyDescent="0.25">
      <c r="A53" s="121"/>
      <c r="B53" s="17"/>
      <c r="C53" s="17"/>
      <c r="D53" s="3"/>
      <c r="E53" s="3"/>
      <c r="F53" s="269" t="s">
        <v>211</v>
      </c>
    </row>
    <row r="54" spans="1:6" s="191" customFormat="1" x14ac:dyDescent="0.25">
      <c r="A54" s="121"/>
      <c r="B54" s="17"/>
      <c r="C54" s="17"/>
      <c r="D54" s="3"/>
      <c r="E54" s="3"/>
      <c r="F54" s="269" t="s">
        <v>212</v>
      </c>
    </row>
    <row r="55" spans="1:6" s="191" customFormat="1" x14ac:dyDescent="0.25">
      <c r="A55" s="121"/>
      <c r="B55" s="17"/>
      <c r="C55" s="17"/>
      <c r="D55" s="3"/>
      <c r="E55" s="3"/>
      <c r="F55" s="269" t="s">
        <v>213</v>
      </c>
    </row>
    <row r="56" spans="1:6" s="191" customFormat="1" x14ac:dyDescent="0.25">
      <c r="A56" s="121"/>
      <c r="B56" s="17"/>
      <c r="C56" s="17"/>
      <c r="D56" s="3"/>
      <c r="E56" s="3"/>
      <c r="F56" s="269" t="s">
        <v>251</v>
      </c>
    </row>
    <row r="57" spans="1:6" s="191" customFormat="1" ht="13.8" thickBot="1" x14ac:dyDescent="0.3">
      <c r="A57" s="30"/>
      <c r="B57" s="31"/>
      <c r="C57" s="31"/>
      <c r="D57" s="52"/>
      <c r="E57" s="52"/>
      <c r="F57" s="271" t="s">
        <v>28</v>
      </c>
    </row>
    <row r="58" spans="1:6" s="191" customFormat="1" x14ac:dyDescent="0.25">
      <c r="A58" s="18">
        <v>148</v>
      </c>
      <c r="B58" s="18">
        <v>150</v>
      </c>
      <c r="C58" s="18">
        <v>3</v>
      </c>
      <c r="D58" s="27" t="s">
        <v>103</v>
      </c>
      <c r="E58" s="27" t="s">
        <v>54</v>
      </c>
      <c r="F58" s="58" t="s">
        <v>104</v>
      </c>
    </row>
    <row r="59" spans="1:6" s="191" customFormat="1" x14ac:dyDescent="0.25">
      <c r="A59" s="17"/>
      <c r="B59" s="17"/>
      <c r="C59" s="17"/>
      <c r="D59" s="3"/>
      <c r="E59" s="3"/>
      <c r="F59" s="269" t="s">
        <v>32</v>
      </c>
    </row>
    <row r="60" spans="1:6" s="191" customFormat="1" x14ac:dyDescent="0.25">
      <c r="A60" s="17"/>
      <c r="B60" s="17"/>
      <c r="C60" s="17"/>
      <c r="D60" s="3"/>
      <c r="E60" s="3"/>
      <c r="F60" s="270" t="s">
        <v>33</v>
      </c>
    </row>
    <row r="61" spans="1:6" s="191" customFormat="1" x14ac:dyDescent="0.25">
      <c r="A61" s="77"/>
      <c r="B61" s="77"/>
      <c r="C61" s="77"/>
      <c r="D61" s="78"/>
      <c r="E61" s="78"/>
      <c r="F61" s="269" t="s">
        <v>220</v>
      </c>
    </row>
    <row r="62" spans="1:6" s="191" customFormat="1" ht="13.8" thickBot="1" x14ac:dyDescent="0.3">
      <c r="A62" s="77"/>
      <c r="B62" s="77"/>
      <c r="C62" s="77"/>
      <c r="D62" s="78"/>
      <c r="E62" s="78"/>
      <c r="F62" s="270" t="s">
        <v>221</v>
      </c>
    </row>
    <row r="63" spans="1:6" s="191" customFormat="1" ht="185.4" thickBot="1" x14ac:dyDescent="0.3">
      <c r="A63" s="20">
        <v>151</v>
      </c>
      <c r="B63" s="21">
        <v>152</v>
      </c>
      <c r="C63" s="21">
        <v>2</v>
      </c>
      <c r="D63" s="48" t="s">
        <v>105</v>
      </c>
      <c r="E63" s="48" t="s">
        <v>54</v>
      </c>
      <c r="F63" s="45" t="s">
        <v>40</v>
      </c>
    </row>
    <row r="64" spans="1:6" s="191" customFormat="1" ht="185.4" thickBot="1" x14ac:dyDescent="0.3">
      <c r="A64" s="108">
        <v>153</v>
      </c>
      <c r="B64" s="108">
        <v>154</v>
      </c>
      <c r="C64" s="108">
        <v>2</v>
      </c>
      <c r="D64" s="213" t="s">
        <v>106</v>
      </c>
      <c r="E64" s="213" t="s">
        <v>54</v>
      </c>
      <c r="F64" s="113" t="s">
        <v>41</v>
      </c>
    </row>
    <row r="65" spans="1:6" s="191" customFormat="1" ht="119.4" thickBot="1" x14ac:dyDescent="0.3">
      <c r="A65" s="20">
        <v>155</v>
      </c>
      <c r="B65" s="21">
        <v>157</v>
      </c>
      <c r="C65" s="21">
        <v>3</v>
      </c>
      <c r="D65" s="40" t="s">
        <v>107</v>
      </c>
      <c r="E65" s="48" t="s">
        <v>87</v>
      </c>
      <c r="F65" s="45" t="s">
        <v>42</v>
      </c>
    </row>
    <row r="66" spans="1:6" s="191" customFormat="1" x14ac:dyDescent="0.25">
      <c r="A66" s="18">
        <v>158</v>
      </c>
      <c r="B66" s="18">
        <v>158</v>
      </c>
      <c r="C66" s="18">
        <v>1</v>
      </c>
      <c r="D66" s="46" t="s">
        <v>108</v>
      </c>
      <c r="E66" s="46" t="s">
        <v>59</v>
      </c>
      <c r="F66" s="282" t="s">
        <v>222</v>
      </c>
    </row>
    <row r="67" spans="1:6" s="191" customFormat="1" x14ac:dyDescent="0.25">
      <c r="A67" s="17"/>
      <c r="B67" s="17"/>
      <c r="C67" s="17"/>
      <c r="D67" s="2"/>
      <c r="E67" s="2"/>
      <c r="F67" s="283" t="s">
        <v>223</v>
      </c>
    </row>
    <row r="68" spans="1:6" s="191" customFormat="1" ht="13.8" thickBot="1" x14ac:dyDescent="0.3">
      <c r="A68" s="77"/>
      <c r="B68" s="77"/>
      <c r="C68" s="77"/>
      <c r="D68" s="2"/>
      <c r="E68" s="2"/>
      <c r="F68" s="284" t="s">
        <v>224</v>
      </c>
    </row>
    <row r="69" spans="1:6" s="191" customFormat="1" ht="119.4" thickBot="1" x14ac:dyDescent="0.3">
      <c r="A69" s="20">
        <v>159</v>
      </c>
      <c r="B69" s="21">
        <v>161</v>
      </c>
      <c r="C69" s="21">
        <v>3</v>
      </c>
      <c r="D69" s="40" t="s">
        <v>109</v>
      </c>
      <c r="E69" s="48" t="s">
        <v>87</v>
      </c>
      <c r="F69" s="45" t="s">
        <v>42</v>
      </c>
    </row>
    <row r="70" spans="1:6" s="191" customFormat="1" x14ac:dyDescent="0.25">
      <c r="A70" s="18">
        <v>162</v>
      </c>
      <c r="B70" s="18">
        <v>162</v>
      </c>
      <c r="C70" s="18">
        <v>1</v>
      </c>
      <c r="D70" s="46" t="s">
        <v>110</v>
      </c>
      <c r="E70" s="46" t="s">
        <v>59</v>
      </c>
      <c r="F70" s="282" t="s">
        <v>222</v>
      </c>
    </row>
    <row r="71" spans="1:6" s="191" customFormat="1" x14ac:dyDescent="0.25">
      <c r="A71" s="17"/>
      <c r="B71" s="17"/>
      <c r="C71" s="17"/>
      <c r="D71" s="2"/>
      <c r="E71" s="2"/>
      <c r="F71" s="283" t="s">
        <v>223</v>
      </c>
    </row>
    <row r="72" spans="1:6" s="191" customFormat="1" ht="13.8" thickBot="1" x14ac:dyDescent="0.3">
      <c r="A72" s="17"/>
      <c r="B72" s="17"/>
      <c r="C72" s="17"/>
      <c r="D72" s="2"/>
      <c r="E72" s="2"/>
      <c r="F72" s="284" t="s">
        <v>224</v>
      </c>
    </row>
    <row r="73" spans="1:6" s="191" customFormat="1" ht="79.8" thickBot="1" x14ac:dyDescent="0.3">
      <c r="A73" s="20">
        <v>163</v>
      </c>
      <c r="B73" s="21">
        <v>165</v>
      </c>
      <c r="C73" s="21">
        <v>3</v>
      </c>
      <c r="D73" s="40" t="s">
        <v>111</v>
      </c>
      <c r="E73" s="48" t="s">
        <v>87</v>
      </c>
      <c r="F73" s="45" t="s">
        <v>42</v>
      </c>
    </row>
    <row r="74" spans="1:6" s="191" customFormat="1" x14ac:dyDescent="0.25">
      <c r="A74" s="18">
        <v>166</v>
      </c>
      <c r="B74" s="18">
        <v>166</v>
      </c>
      <c r="C74" s="18">
        <v>1</v>
      </c>
      <c r="D74" s="46" t="s">
        <v>112</v>
      </c>
      <c r="E74" s="46" t="s">
        <v>59</v>
      </c>
      <c r="F74" s="282" t="s">
        <v>222</v>
      </c>
    </row>
    <row r="75" spans="1:6" s="191" customFormat="1" x14ac:dyDescent="0.25">
      <c r="A75" s="17"/>
      <c r="B75" s="17"/>
      <c r="C75" s="17"/>
      <c r="D75" s="2"/>
      <c r="E75" s="2"/>
      <c r="F75" s="283" t="s">
        <v>223</v>
      </c>
    </row>
    <row r="76" spans="1:6" s="191" customFormat="1" ht="13.8" thickBot="1" x14ac:dyDescent="0.3">
      <c r="A76" s="17"/>
      <c r="B76" s="17"/>
      <c r="C76" s="17"/>
      <c r="D76" s="2"/>
      <c r="E76" s="2"/>
      <c r="F76" s="284" t="s">
        <v>224</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285"/>
    </row>
    <row r="79" spans="1:6" s="191" customFormat="1" x14ac:dyDescent="0.25">
      <c r="A79" s="180"/>
      <c r="B79" s="180"/>
      <c r="C79" s="180"/>
      <c r="D79" s="227"/>
      <c r="E79" s="227"/>
      <c r="F79" s="286"/>
    </row>
    <row r="80" spans="1:6" s="191" customFormat="1" ht="13.8" thickBot="1" x14ac:dyDescent="0.3">
      <c r="A80" s="129"/>
      <c r="B80" s="129"/>
      <c r="C80" s="129"/>
      <c r="D80" s="231"/>
      <c r="E80" s="231"/>
      <c r="F80" s="287"/>
    </row>
    <row r="81" spans="1:6" s="191" customFormat="1" ht="13.8" thickBot="1" x14ac:dyDescent="0.3">
      <c r="A81" s="123">
        <v>171</v>
      </c>
      <c r="B81" s="42">
        <v>171</v>
      </c>
      <c r="C81" s="42">
        <v>1</v>
      </c>
      <c r="D81" s="217" t="s">
        <v>65</v>
      </c>
      <c r="E81" s="217"/>
      <c r="F81" s="288"/>
    </row>
    <row r="82" spans="1:6" s="191" customFormat="1" ht="26.4" x14ac:dyDescent="0.25">
      <c r="A82" s="28">
        <v>172</v>
      </c>
      <c r="B82" s="18">
        <v>174</v>
      </c>
      <c r="C82" s="18">
        <v>3</v>
      </c>
      <c r="D82" s="46" t="s">
        <v>25</v>
      </c>
      <c r="E82" s="46" t="s">
        <v>56</v>
      </c>
      <c r="F82" s="268" t="s">
        <v>225</v>
      </c>
    </row>
    <row r="83" spans="1:6" s="191" customFormat="1" x14ac:dyDescent="0.25">
      <c r="A83" s="17"/>
      <c r="B83" s="17"/>
      <c r="C83" s="17"/>
      <c r="D83" s="3"/>
      <c r="E83" s="3"/>
      <c r="F83" s="269" t="s">
        <v>32</v>
      </c>
    </row>
    <row r="84" spans="1:6" s="191" customFormat="1" x14ac:dyDescent="0.25">
      <c r="A84" s="17"/>
      <c r="B84" s="17"/>
      <c r="C84" s="17"/>
      <c r="D84" s="3"/>
      <c r="E84" s="3"/>
      <c r="F84" s="270" t="s">
        <v>33</v>
      </c>
    </row>
    <row r="85" spans="1:6" s="191" customFormat="1" x14ac:dyDescent="0.25">
      <c r="A85" s="77"/>
      <c r="B85" s="77"/>
      <c r="C85" s="77"/>
      <c r="D85" s="78"/>
      <c r="E85" s="78"/>
      <c r="F85" s="269" t="s">
        <v>220</v>
      </c>
    </row>
    <row r="86" spans="1:6" s="191" customFormat="1" x14ac:dyDescent="0.25">
      <c r="A86" s="77"/>
      <c r="B86" s="77"/>
      <c r="C86" s="77"/>
      <c r="D86" s="78"/>
      <c r="E86" s="78"/>
      <c r="F86" s="270" t="s">
        <v>221</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89"/>
    </row>
    <row r="89" spans="1:6" s="191" customFormat="1" ht="13.8" thickBot="1" x14ac:dyDescent="0.3">
      <c r="A89" s="126">
        <v>181</v>
      </c>
      <c r="B89" s="127">
        <v>192</v>
      </c>
      <c r="C89" s="127">
        <v>12</v>
      </c>
      <c r="D89" s="206" t="s">
        <v>65</v>
      </c>
      <c r="E89" s="206"/>
      <c r="F89" s="290"/>
    </row>
    <row r="90" spans="1:6" s="191" customFormat="1" ht="26.4" x14ac:dyDescent="0.25">
      <c r="A90" s="18">
        <v>193</v>
      </c>
      <c r="B90" s="18">
        <v>194</v>
      </c>
      <c r="C90" s="18">
        <v>2</v>
      </c>
      <c r="D90" s="27" t="s">
        <v>114</v>
      </c>
      <c r="E90" s="27" t="s">
        <v>67</v>
      </c>
      <c r="F90" s="268" t="s">
        <v>209</v>
      </c>
    </row>
    <row r="91" spans="1:6" s="191" customFormat="1" x14ac:dyDescent="0.25">
      <c r="A91" s="17"/>
      <c r="B91" s="17"/>
      <c r="C91" s="17"/>
      <c r="D91" s="3"/>
      <c r="E91" s="3"/>
      <c r="F91" s="269" t="s">
        <v>210</v>
      </c>
    </row>
    <row r="92" spans="1:6" s="191" customFormat="1" x14ac:dyDescent="0.25">
      <c r="A92" s="17"/>
      <c r="B92" s="17"/>
      <c r="C92" s="17"/>
      <c r="D92" s="3"/>
      <c r="E92" s="3"/>
      <c r="F92" s="269" t="s">
        <v>211</v>
      </c>
    </row>
    <row r="93" spans="1:6" s="191" customFormat="1" x14ac:dyDescent="0.25">
      <c r="A93" s="17"/>
      <c r="B93" s="17"/>
      <c r="C93" s="17"/>
      <c r="D93" s="3"/>
      <c r="E93" s="3"/>
      <c r="F93" s="269" t="s">
        <v>212</v>
      </c>
    </row>
    <row r="94" spans="1:6" s="191" customFormat="1" x14ac:dyDescent="0.25">
      <c r="A94" s="17"/>
      <c r="B94" s="17"/>
      <c r="C94" s="17"/>
      <c r="D94" s="3"/>
      <c r="E94" s="3"/>
      <c r="F94" s="269" t="s">
        <v>213</v>
      </c>
    </row>
    <row r="95" spans="1:6" s="191" customFormat="1" x14ac:dyDescent="0.25">
      <c r="A95" s="17"/>
      <c r="B95" s="17"/>
      <c r="C95" s="17"/>
      <c r="D95" s="3"/>
      <c r="E95" s="3"/>
      <c r="F95" s="269" t="s">
        <v>219</v>
      </c>
    </row>
    <row r="96" spans="1:6" s="191" customFormat="1" ht="13.8" thickBot="1" x14ac:dyDescent="0.3">
      <c r="A96" s="77"/>
      <c r="B96" s="77"/>
      <c r="C96" s="77"/>
      <c r="D96" s="78"/>
      <c r="E96" s="78"/>
      <c r="F96" s="271" t="s">
        <v>28</v>
      </c>
    </row>
    <row r="97" spans="1:6" s="191" customFormat="1" x14ac:dyDescent="0.25">
      <c r="A97" s="28">
        <v>195</v>
      </c>
      <c r="B97" s="29">
        <v>197</v>
      </c>
      <c r="C97" s="29">
        <v>3</v>
      </c>
      <c r="D97" s="115" t="s">
        <v>115</v>
      </c>
      <c r="E97" s="116" t="s">
        <v>54</v>
      </c>
      <c r="F97" s="58" t="s">
        <v>104</v>
      </c>
    </row>
    <row r="98" spans="1:6" s="191" customFormat="1" x14ac:dyDescent="0.25">
      <c r="A98" s="121"/>
      <c r="B98" s="17"/>
      <c r="C98" s="17"/>
      <c r="D98" s="3"/>
      <c r="E98" s="3"/>
      <c r="F98" s="269" t="s">
        <v>32</v>
      </c>
    </row>
    <row r="99" spans="1:6" s="191" customFormat="1" x14ac:dyDescent="0.25">
      <c r="A99" s="121"/>
      <c r="B99" s="17"/>
      <c r="C99" s="17"/>
      <c r="D99" s="3"/>
      <c r="E99" s="3"/>
      <c r="F99" s="270" t="s">
        <v>33</v>
      </c>
    </row>
    <row r="100" spans="1:6" s="191" customFormat="1" x14ac:dyDescent="0.25">
      <c r="A100" s="185"/>
      <c r="B100" s="77"/>
      <c r="C100" s="77"/>
      <c r="D100" s="78"/>
      <c r="E100" s="78"/>
      <c r="F100" s="269" t="s">
        <v>220</v>
      </c>
    </row>
    <row r="101" spans="1:6" s="191" customFormat="1" ht="13.8" thickBot="1" x14ac:dyDescent="0.3">
      <c r="A101" s="30"/>
      <c r="B101" s="31"/>
      <c r="C101" s="31"/>
      <c r="D101" s="52"/>
      <c r="E101" s="52"/>
      <c r="F101" s="270" t="s">
        <v>221</v>
      </c>
    </row>
    <row r="102" spans="1:6" s="191" customFormat="1" ht="106.2" thickBot="1" x14ac:dyDescent="0.3">
      <c r="A102" s="108">
        <v>198</v>
      </c>
      <c r="B102" s="108">
        <v>200</v>
      </c>
      <c r="C102" s="108">
        <v>3</v>
      </c>
      <c r="D102" s="112" t="s">
        <v>116</v>
      </c>
      <c r="E102" s="213" t="s">
        <v>87</v>
      </c>
      <c r="F102" s="45" t="s">
        <v>42</v>
      </c>
    </row>
    <row r="103" spans="1:6" s="191" customFormat="1" x14ac:dyDescent="0.25">
      <c r="A103" s="28">
        <v>201</v>
      </c>
      <c r="B103" s="29">
        <v>201</v>
      </c>
      <c r="C103" s="29">
        <v>1</v>
      </c>
      <c r="D103" s="115" t="s">
        <v>108</v>
      </c>
      <c r="E103" s="115" t="s">
        <v>59</v>
      </c>
      <c r="F103" s="282" t="s">
        <v>222</v>
      </c>
    </row>
    <row r="104" spans="1:6" s="191" customFormat="1" x14ac:dyDescent="0.25">
      <c r="A104" s="121"/>
      <c r="B104" s="17"/>
      <c r="C104" s="17"/>
      <c r="D104" s="2"/>
      <c r="E104" s="2"/>
      <c r="F104" s="283" t="s">
        <v>223</v>
      </c>
    </row>
    <row r="105" spans="1:6" s="191" customFormat="1" ht="13.8" thickBot="1" x14ac:dyDescent="0.3">
      <c r="A105" s="30"/>
      <c r="B105" s="31"/>
      <c r="C105" s="31"/>
      <c r="D105" s="50"/>
      <c r="E105" s="118"/>
      <c r="F105" s="284" t="s">
        <v>224</v>
      </c>
    </row>
    <row r="106" spans="1:6" s="191" customFormat="1" ht="198.6" thickBot="1" x14ac:dyDescent="0.3">
      <c r="A106" s="108">
        <v>202</v>
      </c>
      <c r="B106" s="108">
        <v>204</v>
      </c>
      <c r="C106" s="108">
        <v>3</v>
      </c>
      <c r="D106" s="112" t="s">
        <v>26</v>
      </c>
      <c r="E106" s="48" t="s">
        <v>87</v>
      </c>
      <c r="F106" s="45" t="s">
        <v>42</v>
      </c>
    </row>
    <row r="107" spans="1:6" s="191" customFormat="1" x14ac:dyDescent="0.25">
      <c r="A107" s="28">
        <v>205</v>
      </c>
      <c r="B107" s="29">
        <v>205</v>
      </c>
      <c r="C107" s="29">
        <v>1</v>
      </c>
      <c r="D107" s="115" t="s">
        <v>110</v>
      </c>
      <c r="E107" s="46" t="s">
        <v>59</v>
      </c>
      <c r="F107" s="282" t="s">
        <v>222</v>
      </c>
    </row>
    <row r="108" spans="1:6" s="191" customFormat="1" x14ac:dyDescent="0.25">
      <c r="A108" s="121"/>
      <c r="B108" s="17"/>
      <c r="C108" s="17"/>
      <c r="D108" s="2"/>
      <c r="E108" s="2"/>
      <c r="F108" s="283" t="s">
        <v>223</v>
      </c>
    </row>
    <row r="109" spans="1:6" s="191" customFormat="1" ht="13.8" thickBot="1" x14ac:dyDescent="0.3">
      <c r="A109" s="30"/>
      <c r="B109" s="31"/>
      <c r="C109" s="31"/>
      <c r="D109" s="50"/>
      <c r="E109" s="50"/>
      <c r="F109" s="284" t="s">
        <v>224</v>
      </c>
    </row>
    <row r="110" spans="1:6" s="191" customFormat="1" ht="159" thickBot="1" x14ac:dyDescent="0.3">
      <c r="A110" s="108">
        <v>206</v>
      </c>
      <c r="B110" s="108">
        <v>208</v>
      </c>
      <c r="C110" s="108">
        <v>3</v>
      </c>
      <c r="D110" s="112" t="s">
        <v>117</v>
      </c>
      <c r="E110" s="213" t="s">
        <v>87</v>
      </c>
      <c r="F110" s="45" t="s">
        <v>42</v>
      </c>
    </row>
    <row r="111" spans="1:6" s="191" customFormat="1" x14ac:dyDescent="0.25">
      <c r="A111" s="28">
        <v>209</v>
      </c>
      <c r="B111" s="29">
        <v>209</v>
      </c>
      <c r="C111" s="29">
        <v>1</v>
      </c>
      <c r="D111" s="115" t="s">
        <v>112</v>
      </c>
      <c r="E111" s="115" t="s">
        <v>59</v>
      </c>
      <c r="F111" s="282" t="s">
        <v>222</v>
      </c>
    </row>
    <row r="112" spans="1:6" s="191" customFormat="1" x14ac:dyDescent="0.25">
      <c r="A112" s="121"/>
      <c r="B112" s="17"/>
      <c r="C112" s="17"/>
      <c r="D112" s="2"/>
      <c r="E112" s="2"/>
      <c r="F112" s="283" t="s">
        <v>223</v>
      </c>
    </row>
    <row r="113" spans="1:6" s="191" customFormat="1" ht="13.8" thickBot="1" x14ac:dyDescent="0.3">
      <c r="A113" s="30"/>
      <c r="B113" s="31"/>
      <c r="C113" s="31"/>
      <c r="D113" s="50"/>
      <c r="E113" s="50"/>
      <c r="F113" s="291" t="s">
        <v>224</v>
      </c>
    </row>
    <row r="114" spans="1:6" s="191" customFormat="1" ht="159" thickBot="1" x14ac:dyDescent="0.3">
      <c r="A114" s="108">
        <v>210</v>
      </c>
      <c r="B114" s="108">
        <v>212</v>
      </c>
      <c r="C114" s="108">
        <v>3</v>
      </c>
      <c r="D114" s="112" t="s">
        <v>118</v>
      </c>
      <c r="E114" s="213" t="s">
        <v>87</v>
      </c>
      <c r="F114" s="113" t="s">
        <v>42</v>
      </c>
    </row>
    <row r="115" spans="1:6" s="191" customFormat="1" x14ac:dyDescent="0.25">
      <c r="A115" s="28">
        <v>213</v>
      </c>
      <c r="B115" s="29">
        <v>213</v>
      </c>
      <c r="C115" s="29">
        <v>1</v>
      </c>
      <c r="D115" s="115" t="s">
        <v>113</v>
      </c>
      <c r="E115" s="115" t="s">
        <v>59</v>
      </c>
      <c r="F115" s="292" t="s">
        <v>222</v>
      </c>
    </row>
    <row r="116" spans="1:6" s="191" customFormat="1" x14ac:dyDescent="0.25">
      <c r="A116" s="121"/>
      <c r="B116" s="17"/>
      <c r="C116" s="17"/>
      <c r="D116" s="2"/>
      <c r="E116" s="2"/>
      <c r="F116" s="283" t="s">
        <v>223</v>
      </c>
    </row>
    <row r="117" spans="1:6" s="191" customFormat="1" ht="13.8" thickBot="1" x14ac:dyDescent="0.3">
      <c r="A117" s="30"/>
      <c r="B117" s="31"/>
      <c r="C117" s="31"/>
      <c r="D117" s="50"/>
      <c r="E117" s="50"/>
      <c r="F117" s="291" t="s">
        <v>224</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293"/>
    </row>
    <row r="120" spans="1:6" s="191" customFormat="1" x14ac:dyDescent="0.25">
      <c r="A120" s="179"/>
      <c r="B120" s="180"/>
      <c r="C120" s="180"/>
      <c r="D120" s="227"/>
      <c r="E120" s="227"/>
      <c r="F120" s="286"/>
    </row>
    <row r="121" spans="1:6" s="191" customFormat="1" ht="13.8" thickBot="1" x14ac:dyDescent="0.3">
      <c r="A121" s="126"/>
      <c r="B121" s="127"/>
      <c r="C121" s="127"/>
      <c r="D121" s="206"/>
      <c r="E121" s="206"/>
      <c r="F121" s="294"/>
    </row>
    <row r="122" spans="1:6" s="191" customFormat="1" ht="13.8" thickBot="1" x14ac:dyDescent="0.3">
      <c r="A122" s="114">
        <v>218</v>
      </c>
      <c r="B122" s="114">
        <v>218</v>
      </c>
      <c r="C122" s="114">
        <v>1</v>
      </c>
      <c r="D122" s="199" t="s">
        <v>65</v>
      </c>
      <c r="E122" s="199"/>
      <c r="F122" s="226"/>
    </row>
    <row r="123" spans="1:6" s="191" customFormat="1" ht="26.4" x14ac:dyDescent="0.25">
      <c r="A123" s="28">
        <v>219</v>
      </c>
      <c r="B123" s="29">
        <v>221</v>
      </c>
      <c r="C123" s="29">
        <v>3</v>
      </c>
      <c r="D123" s="116" t="s">
        <v>121</v>
      </c>
      <c r="E123" s="115" t="s">
        <v>56</v>
      </c>
      <c r="F123" s="117" t="s">
        <v>21</v>
      </c>
    </row>
    <row r="124" spans="1:6" s="191" customFormat="1" x14ac:dyDescent="0.25">
      <c r="A124" s="121"/>
      <c r="B124" s="17"/>
      <c r="C124" s="17"/>
      <c r="D124" s="3"/>
      <c r="E124" s="3"/>
      <c r="F124" s="269" t="s">
        <v>32</v>
      </c>
    </row>
    <row r="125" spans="1:6" s="191" customFormat="1" x14ac:dyDescent="0.25">
      <c r="A125" s="121"/>
      <c r="B125" s="17"/>
      <c r="C125" s="17"/>
      <c r="D125" s="3"/>
      <c r="E125" s="3"/>
      <c r="F125" s="270" t="s">
        <v>33</v>
      </c>
    </row>
    <row r="126" spans="1:6" s="191" customFormat="1" x14ac:dyDescent="0.25">
      <c r="A126" s="185"/>
      <c r="B126" s="77"/>
      <c r="C126" s="77"/>
      <c r="D126" s="78"/>
      <c r="E126" s="78"/>
      <c r="F126" s="269" t="s">
        <v>220</v>
      </c>
    </row>
    <row r="127" spans="1:6" s="191" customFormat="1" x14ac:dyDescent="0.25">
      <c r="A127" s="121"/>
      <c r="B127" s="17"/>
      <c r="C127" s="17"/>
      <c r="D127" s="3"/>
      <c r="E127" s="3"/>
      <c r="F127" s="269" t="s">
        <v>221</v>
      </c>
    </row>
    <row r="128" spans="1:6" s="191" customFormat="1" ht="13.8" thickBot="1" x14ac:dyDescent="0.3">
      <c r="A128" s="33"/>
      <c r="B128" s="34"/>
      <c r="C128" s="34"/>
      <c r="D128" s="181"/>
      <c r="E128" s="192"/>
      <c r="F128" s="350"/>
    </row>
    <row r="129" spans="1:6" s="191" customFormat="1" x14ac:dyDescent="0.25">
      <c r="A129" s="53">
        <v>222</v>
      </c>
      <c r="B129" s="53">
        <v>228</v>
      </c>
      <c r="C129" s="53">
        <v>7</v>
      </c>
      <c r="D129" s="54" t="s">
        <v>65</v>
      </c>
      <c r="E129" s="54"/>
      <c r="F129" s="295"/>
    </row>
    <row r="130" spans="1:6" s="191" customFormat="1" ht="13.8" thickBot="1" x14ac:dyDescent="0.3">
      <c r="A130" s="129">
        <v>229</v>
      </c>
      <c r="B130" s="129">
        <v>240</v>
      </c>
      <c r="C130" s="129">
        <v>12</v>
      </c>
      <c r="D130" s="231" t="s">
        <v>65</v>
      </c>
      <c r="E130" s="231"/>
      <c r="F130" s="296"/>
    </row>
    <row r="131" spans="1:6" s="191" customFormat="1" ht="39.6" x14ac:dyDescent="0.25">
      <c r="A131" s="28">
        <v>241</v>
      </c>
      <c r="B131" s="29">
        <v>242</v>
      </c>
      <c r="C131" s="29">
        <v>2</v>
      </c>
      <c r="D131" s="116" t="s">
        <v>122</v>
      </c>
      <c r="E131" s="116" t="s">
        <v>67</v>
      </c>
      <c r="F131" s="281" t="s">
        <v>209</v>
      </c>
    </row>
    <row r="132" spans="1:6" s="191" customFormat="1" x14ac:dyDescent="0.25">
      <c r="A132" s="121"/>
      <c r="B132" s="17"/>
      <c r="C132" s="17"/>
      <c r="D132" s="3"/>
      <c r="E132" s="3"/>
      <c r="F132" s="269" t="s">
        <v>210</v>
      </c>
    </row>
    <row r="133" spans="1:6" s="191" customFormat="1" x14ac:dyDescent="0.25">
      <c r="A133" s="121"/>
      <c r="B133" s="17"/>
      <c r="C133" s="17"/>
      <c r="D133" s="3"/>
      <c r="E133" s="3"/>
      <c r="F133" s="269" t="s">
        <v>211</v>
      </c>
    </row>
    <row r="134" spans="1:6" s="191" customFormat="1" x14ac:dyDescent="0.25">
      <c r="A134" s="121"/>
      <c r="B134" s="17"/>
      <c r="C134" s="17"/>
      <c r="D134" s="3"/>
      <c r="E134" s="3"/>
      <c r="F134" s="269" t="s">
        <v>212</v>
      </c>
    </row>
    <row r="135" spans="1:6" s="191" customFormat="1" x14ac:dyDescent="0.25">
      <c r="A135" s="121"/>
      <c r="B135" s="17"/>
      <c r="C135" s="17"/>
      <c r="D135" s="3"/>
      <c r="E135" s="3"/>
      <c r="F135" s="269" t="s">
        <v>213</v>
      </c>
    </row>
    <row r="136" spans="1:6" s="191" customFormat="1" x14ac:dyDescent="0.25">
      <c r="A136" s="121"/>
      <c r="B136" s="17"/>
      <c r="C136" s="17"/>
      <c r="D136" s="3"/>
      <c r="E136" s="3"/>
      <c r="F136" s="269" t="s">
        <v>219</v>
      </c>
    </row>
    <row r="137" spans="1:6" s="191" customFormat="1" ht="13.8" thickBot="1" x14ac:dyDescent="0.3">
      <c r="A137" s="30"/>
      <c r="B137" s="31"/>
      <c r="C137" s="31"/>
      <c r="D137" s="52"/>
      <c r="E137" s="52"/>
      <c r="F137" s="271" t="s">
        <v>28</v>
      </c>
    </row>
    <row r="138" spans="1:6" s="191" customFormat="1" ht="39.6" x14ac:dyDescent="0.25">
      <c r="A138" s="18">
        <v>243</v>
      </c>
      <c r="B138" s="18">
        <v>245</v>
      </c>
      <c r="C138" s="18">
        <v>3</v>
      </c>
      <c r="D138" s="27" t="s">
        <v>123</v>
      </c>
      <c r="E138" s="27" t="s">
        <v>54</v>
      </c>
      <c r="F138" s="58" t="s">
        <v>104</v>
      </c>
    </row>
    <row r="139" spans="1:6" s="191" customFormat="1" x14ac:dyDescent="0.25">
      <c r="A139" s="17"/>
      <c r="B139" s="17"/>
      <c r="C139" s="17"/>
      <c r="D139" s="3"/>
      <c r="E139" s="3"/>
      <c r="F139" s="269" t="s">
        <v>32</v>
      </c>
    </row>
    <row r="140" spans="1:6" s="191" customFormat="1" x14ac:dyDescent="0.25">
      <c r="A140" s="17"/>
      <c r="B140" s="17"/>
      <c r="C140" s="17"/>
      <c r="D140" s="3"/>
      <c r="E140" s="3"/>
      <c r="F140" s="270" t="s">
        <v>33</v>
      </c>
    </row>
    <row r="141" spans="1:6" s="191" customFormat="1" x14ac:dyDescent="0.25">
      <c r="A141" s="77"/>
      <c r="B141" s="77"/>
      <c r="C141" s="77"/>
      <c r="D141" s="78"/>
      <c r="E141" s="78"/>
      <c r="F141" s="269" t="s">
        <v>220</v>
      </c>
    </row>
    <row r="142" spans="1:6" s="191" customFormat="1" ht="13.8" thickBot="1" x14ac:dyDescent="0.3">
      <c r="A142" s="77"/>
      <c r="B142" s="77"/>
      <c r="C142" s="77"/>
      <c r="D142" s="78"/>
      <c r="E142" s="78"/>
      <c r="F142" s="270" t="s">
        <v>221</v>
      </c>
    </row>
    <row r="143" spans="1:6" s="191" customFormat="1" ht="93" thickBot="1" x14ac:dyDescent="0.3">
      <c r="A143" s="20">
        <v>246</v>
      </c>
      <c r="B143" s="21">
        <v>248</v>
      </c>
      <c r="C143" s="21">
        <v>3</v>
      </c>
      <c r="D143" s="40" t="s">
        <v>124</v>
      </c>
      <c r="E143" s="48" t="s">
        <v>87</v>
      </c>
      <c r="F143" s="45" t="s">
        <v>42</v>
      </c>
    </row>
    <row r="144" spans="1:6" s="191" customFormat="1" x14ac:dyDescent="0.25">
      <c r="A144" s="18">
        <v>249</v>
      </c>
      <c r="B144" s="18">
        <v>249</v>
      </c>
      <c r="C144" s="18">
        <v>1</v>
      </c>
      <c r="D144" s="46" t="s">
        <v>108</v>
      </c>
      <c r="E144" s="46" t="s">
        <v>59</v>
      </c>
      <c r="F144" s="282" t="s">
        <v>222</v>
      </c>
    </row>
    <row r="145" spans="1:6" s="191" customFormat="1" x14ac:dyDescent="0.25">
      <c r="A145" s="17"/>
      <c r="B145" s="17"/>
      <c r="C145" s="17"/>
      <c r="D145" s="2"/>
      <c r="E145" s="2"/>
      <c r="F145" s="283" t="s">
        <v>223</v>
      </c>
    </row>
    <row r="146" spans="1:6" s="191" customFormat="1" ht="13.8" thickBot="1" x14ac:dyDescent="0.3">
      <c r="A146" s="77"/>
      <c r="B146" s="77"/>
      <c r="C146" s="77"/>
      <c r="D146" s="118"/>
      <c r="E146" s="118"/>
      <c r="F146" s="284" t="s">
        <v>224</v>
      </c>
    </row>
    <row r="147" spans="1:6" s="191" customFormat="1" ht="119.4" thickBot="1" x14ac:dyDescent="0.3">
      <c r="A147" s="20">
        <v>250</v>
      </c>
      <c r="B147" s="21">
        <v>252</v>
      </c>
      <c r="C147" s="21">
        <v>3</v>
      </c>
      <c r="D147" s="40" t="s">
        <v>125</v>
      </c>
      <c r="E147" s="48" t="s">
        <v>87</v>
      </c>
      <c r="F147" s="45" t="s">
        <v>42</v>
      </c>
    </row>
    <row r="148" spans="1:6" s="191" customFormat="1" x14ac:dyDescent="0.25">
      <c r="A148" s="18">
        <v>253</v>
      </c>
      <c r="B148" s="18">
        <v>253</v>
      </c>
      <c r="C148" s="18">
        <v>1</v>
      </c>
      <c r="D148" s="46" t="s">
        <v>110</v>
      </c>
      <c r="E148" s="46" t="s">
        <v>59</v>
      </c>
      <c r="F148" s="282" t="s">
        <v>222</v>
      </c>
    </row>
    <row r="149" spans="1:6" s="191" customFormat="1" x14ac:dyDescent="0.25">
      <c r="A149" s="17"/>
      <c r="B149" s="17"/>
      <c r="C149" s="17"/>
      <c r="D149" s="2"/>
      <c r="E149" s="2"/>
      <c r="F149" s="283" t="s">
        <v>223</v>
      </c>
    </row>
    <row r="150" spans="1:6" s="191" customFormat="1" ht="13.8" thickBot="1" x14ac:dyDescent="0.3">
      <c r="A150" s="77"/>
      <c r="B150" s="77"/>
      <c r="C150" s="77"/>
      <c r="D150" s="118"/>
      <c r="E150" s="118"/>
      <c r="F150" s="284" t="s">
        <v>224</v>
      </c>
    </row>
    <row r="151" spans="1:6" s="191" customFormat="1" ht="119.4" thickBot="1" x14ac:dyDescent="0.3">
      <c r="A151" s="20">
        <v>254</v>
      </c>
      <c r="B151" s="21">
        <v>256</v>
      </c>
      <c r="C151" s="21">
        <v>3</v>
      </c>
      <c r="D151" s="40" t="s">
        <v>126</v>
      </c>
      <c r="E151" s="48" t="s">
        <v>87</v>
      </c>
      <c r="F151" s="45" t="s">
        <v>42</v>
      </c>
    </row>
    <row r="152" spans="1:6" s="191" customFormat="1" x14ac:dyDescent="0.25">
      <c r="A152" s="18">
        <v>257</v>
      </c>
      <c r="B152" s="18">
        <v>257</v>
      </c>
      <c r="C152" s="18">
        <v>1</v>
      </c>
      <c r="D152" s="46" t="s">
        <v>112</v>
      </c>
      <c r="E152" s="46" t="s">
        <v>59</v>
      </c>
      <c r="F152" s="282" t="s">
        <v>222</v>
      </c>
    </row>
    <row r="153" spans="1:6" s="191" customFormat="1" x14ac:dyDescent="0.25">
      <c r="A153" s="17"/>
      <c r="B153" s="17"/>
      <c r="C153" s="17"/>
      <c r="D153" s="2"/>
      <c r="E153" s="2"/>
      <c r="F153" s="283" t="s">
        <v>223</v>
      </c>
    </row>
    <row r="154" spans="1:6" s="191" customFormat="1" ht="13.8" thickBot="1" x14ac:dyDescent="0.3">
      <c r="A154" s="77"/>
      <c r="B154" s="77"/>
      <c r="C154" s="77"/>
      <c r="D154" s="118"/>
      <c r="E154" s="118"/>
      <c r="F154" s="284" t="s">
        <v>224</v>
      </c>
    </row>
    <row r="155" spans="1:6" s="191" customFormat="1" ht="132.6" thickBot="1" x14ac:dyDescent="0.3">
      <c r="A155" s="20">
        <v>258</v>
      </c>
      <c r="B155" s="21">
        <v>260</v>
      </c>
      <c r="C155" s="21">
        <v>3</v>
      </c>
      <c r="D155" s="40" t="s">
        <v>127</v>
      </c>
      <c r="E155" s="48" t="s">
        <v>87</v>
      </c>
      <c r="F155" s="45" t="s">
        <v>42</v>
      </c>
    </row>
    <row r="156" spans="1:6" s="191" customFormat="1" x14ac:dyDescent="0.25">
      <c r="A156" s="18">
        <v>261</v>
      </c>
      <c r="B156" s="18">
        <v>261</v>
      </c>
      <c r="C156" s="18">
        <v>1</v>
      </c>
      <c r="D156" s="46" t="s">
        <v>113</v>
      </c>
      <c r="E156" s="46" t="s">
        <v>59</v>
      </c>
      <c r="F156" s="282" t="s">
        <v>222</v>
      </c>
    </row>
    <row r="157" spans="1:6" s="191" customFormat="1" x14ac:dyDescent="0.25">
      <c r="A157" s="17"/>
      <c r="B157" s="17"/>
      <c r="C157" s="17"/>
      <c r="D157" s="2"/>
      <c r="E157" s="2"/>
      <c r="F157" s="283" t="s">
        <v>223</v>
      </c>
    </row>
    <row r="158" spans="1:6" s="191" customFormat="1" ht="13.8" thickBot="1" x14ac:dyDescent="0.3">
      <c r="A158" s="17"/>
      <c r="B158" s="17"/>
      <c r="C158" s="17"/>
      <c r="D158" s="2"/>
      <c r="E158" s="2"/>
      <c r="F158" s="284" t="s">
        <v>224</v>
      </c>
    </row>
    <row r="159" spans="1:6" s="191" customFormat="1" ht="119.4" thickBot="1" x14ac:dyDescent="0.3">
      <c r="A159" s="20">
        <v>262</v>
      </c>
      <c r="B159" s="21">
        <v>264</v>
      </c>
      <c r="C159" s="21">
        <v>3</v>
      </c>
      <c r="D159" s="40" t="s">
        <v>128</v>
      </c>
      <c r="E159" s="48"/>
      <c r="F159" s="45" t="s">
        <v>42</v>
      </c>
    </row>
    <row r="160" spans="1:6" s="191" customFormat="1" x14ac:dyDescent="0.25">
      <c r="A160" s="18">
        <v>265</v>
      </c>
      <c r="B160" s="18">
        <v>265</v>
      </c>
      <c r="C160" s="18">
        <v>1</v>
      </c>
      <c r="D160" s="46" t="s">
        <v>120</v>
      </c>
      <c r="E160" s="46" t="s">
        <v>59</v>
      </c>
      <c r="F160" s="282" t="s">
        <v>222</v>
      </c>
    </row>
    <row r="161" spans="1:6" s="191" customFormat="1" x14ac:dyDescent="0.25">
      <c r="A161" s="17"/>
      <c r="B161" s="17"/>
      <c r="C161" s="17"/>
      <c r="D161" s="2"/>
      <c r="E161" s="2"/>
      <c r="F161" s="283" t="s">
        <v>223</v>
      </c>
    </row>
    <row r="162" spans="1:6" s="191" customFormat="1" ht="13.8" thickBot="1" x14ac:dyDescent="0.3">
      <c r="A162" s="17"/>
      <c r="B162" s="17"/>
      <c r="C162" s="17"/>
      <c r="D162" s="2"/>
      <c r="E162" s="2"/>
      <c r="F162" s="284" t="s">
        <v>224</v>
      </c>
    </row>
    <row r="163" spans="1:6" s="191" customFormat="1" ht="13.8" thickBot="1" x14ac:dyDescent="0.3">
      <c r="A163" s="123">
        <v>266</v>
      </c>
      <c r="B163" s="42">
        <v>266</v>
      </c>
      <c r="C163" s="42">
        <v>1</v>
      </c>
      <c r="D163" s="217" t="s">
        <v>65</v>
      </c>
      <c r="E163" s="217"/>
      <c r="F163" s="288"/>
    </row>
    <row r="164" spans="1:6" s="191" customFormat="1" ht="39.6" x14ac:dyDescent="0.25">
      <c r="A164" s="131">
        <v>267</v>
      </c>
      <c r="B164" s="18">
        <v>269</v>
      </c>
      <c r="C164" s="18">
        <v>3</v>
      </c>
      <c r="D164" s="27" t="s">
        <v>129</v>
      </c>
      <c r="E164" s="46" t="s">
        <v>56</v>
      </c>
      <c r="F164" s="58" t="s">
        <v>22</v>
      </c>
    </row>
    <row r="165" spans="1:6" s="191" customFormat="1" x14ac:dyDescent="0.25">
      <c r="A165" s="17"/>
      <c r="B165" s="17"/>
      <c r="C165" s="17"/>
      <c r="D165" s="3"/>
      <c r="E165" s="3"/>
      <c r="F165" s="269" t="s">
        <v>32</v>
      </c>
    </row>
    <row r="166" spans="1:6" s="191" customFormat="1" x14ac:dyDescent="0.25">
      <c r="A166" s="17"/>
      <c r="B166" s="17"/>
      <c r="C166" s="17"/>
      <c r="D166" s="3"/>
      <c r="E166" s="3"/>
      <c r="F166" s="270" t="s">
        <v>33</v>
      </c>
    </row>
    <row r="167" spans="1:6" s="191" customFormat="1" x14ac:dyDescent="0.25">
      <c r="A167" s="77"/>
      <c r="B167" s="77"/>
      <c r="C167" s="77"/>
      <c r="D167" s="78"/>
      <c r="E167" s="78"/>
      <c r="F167" s="269" t="s">
        <v>220</v>
      </c>
    </row>
    <row r="168" spans="1:6" s="191" customFormat="1" x14ac:dyDescent="0.25">
      <c r="A168" s="77"/>
      <c r="B168" s="77"/>
      <c r="C168" s="77"/>
      <c r="D168" s="78"/>
      <c r="E168" s="78"/>
      <c r="F168" s="269" t="s">
        <v>221</v>
      </c>
    </row>
    <row r="169" spans="1:6" s="191" customFormat="1" ht="13.8" thickBot="1" x14ac:dyDescent="0.3">
      <c r="A169" s="30"/>
      <c r="B169" s="31"/>
      <c r="C169" s="31"/>
      <c r="D169" s="52"/>
      <c r="E169" s="50"/>
      <c r="F169" s="350"/>
    </row>
    <row r="170" spans="1:6" s="191" customFormat="1" x14ac:dyDescent="0.25">
      <c r="A170" s="53">
        <v>270</v>
      </c>
      <c r="B170" s="53">
        <v>276</v>
      </c>
      <c r="C170" s="53">
        <v>7</v>
      </c>
      <c r="D170" s="54" t="s">
        <v>65</v>
      </c>
      <c r="E170" s="54"/>
      <c r="F170" s="295"/>
    </row>
    <row r="171" spans="1:6" s="191" customFormat="1" ht="13.8" thickBot="1" x14ac:dyDescent="0.3">
      <c r="A171" s="129">
        <v>277</v>
      </c>
      <c r="B171" s="129">
        <v>288</v>
      </c>
      <c r="C171" s="129">
        <v>12</v>
      </c>
      <c r="D171" s="231" t="s">
        <v>65</v>
      </c>
      <c r="E171" s="231"/>
      <c r="F171" s="296"/>
    </row>
    <row r="172" spans="1:6" s="191" customFormat="1" ht="52.8" x14ac:dyDescent="0.25">
      <c r="A172" s="28">
        <v>289</v>
      </c>
      <c r="B172" s="29">
        <v>290</v>
      </c>
      <c r="C172" s="29">
        <v>2</v>
      </c>
      <c r="D172" s="116" t="s">
        <v>130</v>
      </c>
      <c r="E172" s="116" t="s">
        <v>67</v>
      </c>
      <c r="F172" s="281" t="s">
        <v>209</v>
      </c>
    </row>
    <row r="173" spans="1:6" s="191" customFormat="1" x14ac:dyDescent="0.25">
      <c r="A173" s="121"/>
      <c r="B173" s="17"/>
      <c r="C173" s="17"/>
      <c r="D173" s="3"/>
      <c r="E173" s="3"/>
      <c r="F173" s="269" t="s">
        <v>210</v>
      </c>
    </row>
    <row r="174" spans="1:6" s="191" customFormat="1" x14ac:dyDescent="0.25">
      <c r="A174" s="121"/>
      <c r="B174" s="17"/>
      <c r="C174" s="17"/>
      <c r="D174" s="3"/>
      <c r="E174" s="3"/>
      <c r="F174" s="269" t="s">
        <v>211</v>
      </c>
    </row>
    <row r="175" spans="1:6" s="191" customFormat="1" x14ac:dyDescent="0.25">
      <c r="A175" s="121"/>
      <c r="B175" s="17"/>
      <c r="C175" s="17"/>
      <c r="D175" s="3"/>
      <c r="E175" s="3"/>
      <c r="F175" s="269" t="s">
        <v>212</v>
      </c>
    </row>
    <row r="176" spans="1:6" s="191" customFormat="1" x14ac:dyDescent="0.25">
      <c r="A176" s="121"/>
      <c r="B176" s="17"/>
      <c r="C176" s="17"/>
      <c r="D176" s="3"/>
      <c r="E176" s="3"/>
      <c r="F176" s="269" t="s">
        <v>213</v>
      </c>
    </row>
    <row r="177" spans="1:6" s="191" customFormat="1" x14ac:dyDescent="0.25">
      <c r="A177" s="17"/>
      <c r="B177" s="17"/>
      <c r="C177" s="17"/>
      <c r="D177" s="3"/>
      <c r="E177" s="3"/>
      <c r="F177" s="269" t="s">
        <v>219</v>
      </c>
    </row>
    <row r="178" spans="1:6" s="191" customFormat="1" ht="13.8" thickBot="1" x14ac:dyDescent="0.3">
      <c r="A178" s="33"/>
      <c r="B178" s="34"/>
      <c r="C178" s="34"/>
      <c r="D178" s="181"/>
      <c r="E178" s="181"/>
      <c r="F178" s="271" t="s">
        <v>28</v>
      </c>
    </row>
    <row r="179" spans="1:6" s="191" customFormat="1" ht="39.6" x14ac:dyDescent="0.25">
      <c r="A179" s="18">
        <v>291</v>
      </c>
      <c r="B179" s="18">
        <v>293</v>
      </c>
      <c r="C179" s="18">
        <v>3</v>
      </c>
      <c r="D179" s="27" t="s">
        <v>131</v>
      </c>
      <c r="E179" s="27" t="s">
        <v>54</v>
      </c>
      <c r="F179" s="58" t="s">
        <v>104</v>
      </c>
    </row>
    <row r="180" spans="1:6" s="191" customFormat="1" x14ac:dyDescent="0.25">
      <c r="A180" s="17"/>
      <c r="B180" s="17"/>
      <c r="C180" s="17"/>
      <c r="D180" s="3"/>
      <c r="E180" s="3"/>
      <c r="F180" s="269" t="s">
        <v>32</v>
      </c>
    </row>
    <row r="181" spans="1:6" s="191" customFormat="1" x14ac:dyDescent="0.25">
      <c r="A181" s="17"/>
      <c r="B181" s="17"/>
      <c r="C181" s="17"/>
      <c r="D181" s="3"/>
      <c r="E181" s="3"/>
      <c r="F181" s="270" t="s">
        <v>33</v>
      </c>
    </row>
    <row r="182" spans="1:6" s="191" customFormat="1" x14ac:dyDescent="0.25">
      <c r="A182" s="17"/>
      <c r="B182" s="17"/>
      <c r="C182" s="17"/>
      <c r="D182" s="3"/>
      <c r="E182" s="3"/>
      <c r="F182" s="269" t="s">
        <v>220</v>
      </c>
    </row>
    <row r="183" spans="1:6" s="191" customFormat="1" ht="13.8" thickBot="1" x14ac:dyDescent="0.3">
      <c r="A183" s="77"/>
      <c r="B183" s="77"/>
      <c r="C183" s="77"/>
      <c r="D183" s="78"/>
      <c r="E183" s="78"/>
      <c r="F183" s="270" t="s">
        <v>221</v>
      </c>
    </row>
    <row r="184" spans="1:6" s="191" customFormat="1" ht="93" thickBot="1" x14ac:dyDescent="0.3">
      <c r="A184" s="20">
        <v>294</v>
      </c>
      <c r="B184" s="21">
        <v>296</v>
      </c>
      <c r="C184" s="21">
        <v>3</v>
      </c>
      <c r="D184" s="40" t="s">
        <v>132</v>
      </c>
      <c r="E184" s="48" t="s">
        <v>87</v>
      </c>
      <c r="F184" s="45" t="s">
        <v>42</v>
      </c>
    </row>
    <row r="185" spans="1:6" s="191" customFormat="1" x14ac:dyDescent="0.25">
      <c r="A185" s="18">
        <v>297</v>
      </c>
      <c r="B185" s="18">
        <v>297</v>
      </c>
      <c r="C185" s="18">
        <v>1</v>
      </c>
      <c r="D185" s="46" t="s">
        <v>108</v>
      </c>
      <c r="E185" s="46" t="s">
        <v>59</v>
      </c>
      <c r="F185" s="282" t="s">
        <v>222</v>
      </c>
    </row>
    <row r="186" spans="1:6" s="191" customFormat="1" x14ac:dyDescent="0.25">
      <c r="A186" s="17"/>
      <c r="B186" s="17"/>
      <c r="C186" s="17"/>
      <c r="D186" s="2"/>
      <c r="E186" s="2"/>
      <c r="F186" s="283" t="s">
        <v>223</v>
      </c>
    </row>
    <row r="187" spans="1:6" s="191" customFormat="1" ht="13.8" thickBot="1" x14ac:dyDescent="0.3">
      <c r="A187" s="77"/>
      <c r="B187" s="77"/>
      <c r="C187" s="77"/>
      <c r="D187" s="118"/>
      <c r="E187" s="118"/>
      <c r="F187" s="284" t="s">
        <v>224</v>
      </c>
    </row>
    <row r="188" spans="1:6" s="191" customFormat="1" ht="185.4" thickBot="1" x14ac:dyDescent="0.3">
      <c r="A188" s="20">
        <v>298</v>
      </c>
      <c r="B188" s="21">
        <v>300</v>
      </c>
      <c r="C188" s="21">
        <v>3</v>
      </c>
      <c r="D188" s="40" t="s">
        <v>27</v>
      </c>
      <c r="E188" s="48" t="s">
        <v>87</v>
      </c>
      <c r="F188" s="45" t="s">
        <v>42</v>
      </c>
    </row>
    <row r="189" spans="1:6" s="191" customFormat="1" x14ac:dyDescent="0.25">
      <c r="A189" s="18">
        <v>301</v>
      </c>
      <c r="B189" s="18">
        <v>301</v>
      </c>
      <c r="C189" s="18">
        <v>1</v>
      </c>
      <c r="D189" s="46" t="s">
        <v>110</v>
      </c>
      <c r="E189" s="46" t="s">
        <v>59</v>
      </c>
      <c r="F189" s="282" t="s">
        <v>222</v>
      </c>
    </row>
    <row r="190" spans="1:6" s="191" customFormat="1" x14ac:dyDescent="0.25">
      <c r="A190" s="17"/>
      <c r="B190" s="17"/>
      <c r="C190" s="17"/>
      <c r="D190" s="2"/>
      <c r="E190" s="2"/>
      <c r="F190" s="283" t="s">
        <v>223</v>
      </c>
    </row>
    <row r="191" spans="1:6" s="191" customFormat="1" ht="13.8" thickBot="1" x14ac:dyDescent="0.3">
      <c r="A191" s="77"/>
      <c r="B191" s="77"/>
      <c r="C191" s="77"/>
      <c r="D191" s="118"/>
      <c r="E191" s="118"/>
      <c r="F191" s="284" t="s">
        <v>224</v>
      </c>
    </row>
    <row r="192" spans="1:6" s="191" customFormat="1" ht="106.2" thickBot="1" x14ac:dyDescent="0.3">
      <c r="A192" s="20">
        <v>302</v>
      </c>
      <c r="B192" s="21">
        <v>304</v>
      </c>
      <c r="C192" s="21">
        <v>3</v>
      </c>
      <c r="D192" s="40" t="s">
        <v>133</v>
      </c>
      <c r="E192" s="48" t="s">
        <v>87</v>
      </c>
      <c r="F192" s="45" t="s">
        <v>42</v>
      </c>
    </row>
    <row r="193" spans="1:6" s="191" customFormat="1" x14ac:dyDescent="0.25">
      <c r="A193" s="18">
        <v>305</v>
      </c>
      <c r="B193" s="18">
        <v>305</v>
      </c>
      <c r="C193" s="18">
        <v>1</v>
      </c>
      <c r="D193" s="46" t="s">
        <v>112</v>
      </c>
      <c r="E193" s="46" t="s">
        <v>59</v>
      </c>
      <c r="F193" s="282" t="s">
        <v>222</v>
      </c>
    </row>
    <row r="194" spans="1:6" s="191" customFormat="1" x14ac:dyDescent="0.25">
      <c r="A194" s="17"/>
      <c r="B194" s="17"/>
      <c r="C194" s="17"/>
      <c r="D194" s="2"/>
      <c r="E194" s="2"/>
      <c r="F194" s="283" t="s">
        <v>223</v>
      </c>
    </row>
    <row r="195" spans="1:6" s="191" customFormat="1" ht="13.8" thickBot="1" x14ac:dyDescent="0.3">
      <c r="A195" s="77"/>
      <c r="B195" s="77"/>
      <c r="C195" s="77"/>
      <c r="D195" s="118"/>
      <c r="E195" s="118"/>
      <c r="F195" s="284" t="s">
        <v>224</v>
      </c>
    </row>
    <row r="196" spans="1:6" s="191" customFormat="1" ht="132.6" thickBot="1" x14ac:dyDescent="0.3">
      <c r="A196" s="20">
        <v>306</v>
      </c>
      <c r="B196" s="21">
        <v>308</v>
      </c>
      <c r="C196" s="21">
        <v>3</v>
      </c>
      <c r="D196" s="40" t="s">
        <v>134</v>
      </c>
      <c r="E196" s="48" t="s">
        <v>87</v>
      </c>
      <c r="F196" s="45" t="s">
        <v>42</v>
      </c>
    </row>
    <row r="197" spans="1:6" s="191" customFormat="1" x14ac:dyDescent="0.25">
      <c r="A197" s="18">
        <v>309</v>
      </c>
      <c r="B197" s="18">
        <v>309</v>
      </c>
      <c r="C197" s="18">
        <v>1</v>
      </c>
      <c r="D197" s="46" t="s">
        <v>113</v>
      </c>
      <c r="E197" s="46" t="s">
        <v>59</v>
      </c>
      <c r="F197" s="282" t="s">
        <v>222</v>
      </c>
    </row>
    <row r="198" spans="1:6" s="191" customFormat="1" x14ac:dyDescent="0.25">
      <c r="A198" s="17"/>
      <c r="B198" s="17"/>
      <c r="C198" s="17"/>
      <c r="D198" s="2"/>
      <c r="E198" s="2"/>
      <c r="F198" s="283" t="s">
        <v>223</v>
      </c>
    </row>
    <row r="199" spans="1:6" s="191" customFormat="1" ht="13.8" thickBot="1" x14ac:dyDescent="0.3">
      <c r="A199" s="77"/>
      <c r="B199" s="77"/>
      <c r="C199" s="77"/>
      <c r="D199" s="118"/>
      <c r="E199" s="118"/>
      <c r="F199" s="297" t="s">
        <v>224</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285"/>
    </row>
    <row r="202" spans="1:6" s="191" customFormat="1" x14ac:dyDescent="0.25">
      <c r="A202" s="180"/>
      <c r="B202" s="180"/>
      <c r="C202" s="180"/>
      <c r="D202" s="227"/>
      <c r="E202" s="227"/>
      <c r="F202" s="286"/>
    </row>
    <row r="203" spans="1:6" s="191" customFormat="1" ht="13.8" thickBot="1" x14ac:dyDescent="0.3">
      <c r="A203" s="129"/>
      <c r="B203" s="129"/>
      <c r="C203" s="129"/>
      <c r="D203" s="231"/>
      <c r="E203" s="231"/>
      <c r="F203" s="287"/>
    </row>
    <row r="204" spans="1:6" s="191" customFormat="1" ht="13.8" thickBot="1" x14ac:dyDescent="0.3">
      <c r="A204" s="123">
        <v>314</v>
      </c>
      <c r="B204" s="42">
        <v>314</v>
      </c>
      <c r="C204" s="42">
        <v>1</v>
      </c>
      <c r="D204" s="217" t="s">
        <v>65</v>
      </c>
      <c r="E204" s="217"/>
      <c r="F204" s="288"/>
    </row>
    <row r="205" spans="1:6" s="191" customFormat="1" ht="52.8" x14ac:dyDescent="0.25">
      <c r="A205" s="18">
        <v>315</v>
      </c>
      <c r="B205" s="18">
        <v>317</v>
      </c>
      <c r="C205" s="18">
        <v>3</v>
      </c>
      <c r="D205" s="27" t="s">
        <v>253</v>
      </c>
      <c r="E205" s="27" t="s">
        <v>56</v>
      </c>
      <c r="F205" s="58" t="s">
        <v>23</v>
      </c>
    </row>
    <row r="206" spans="1:6" s="191" customFormat="1" x14ac:dyDescent="0.25">
      <c r="A206" s="17"/>
      <c r="B206" s="17"/>
      <c r="C206" s="17"/>
      <c r="D206" s="3"/>
      <c r="E206" s="3"/>
      <c r="F206" s="269" t="s">
        <v>32</v>
      </c>
    </row>
    <row r="207" spans="1:6" s="191" customFormat="1" x14ac:dyDescent="0.25">
      <c r="A207" s="17"/>
      <c r="B207" s="17"/>
      <c r="C207" s="17"/>
      <c r="D207" s="3"/>
      <c r="E207" s="3"/>
      <c r="F207" s="270" t="s">
        <v>33</v>
      </c>
    </row>
    <row r="208" spans="1:6" s="191" customFormat="1" x14ac:dyDescent="0.25">
      <c r="A208" s="17"/>
      <c r="B208" s="17"/>
      <c r="C208" s="17"/>
      <c r="D208" s="3"/>
      <c r="E208" s="3"/>
      <c r="F208" s="269" t="s">
        <v>220</v>
      </c>
    </row>
    <row r="209" spans="1:6" s="191" customFormat="1" x14ac:dyDescent="0.25">
      <c r="A209" s="77"/>
      <c r="B209" s="77"/>
      <c r="C209" s="77"/>
      <c r="D209" s="78"/>
      <c r="E209" s="78"/>
      <c r="F209" s="269" t="s">
        <v>221</v>
      </c>
    </row>
    <row r="210" spans="1:6" s="191" customFormat="1" ht="13.8" thickBot="1" x14ac:dyDescent="0.3">
      <c r="A210" s="77"/>
      <c r="B210" s="77"/>
      <c r="C210" s="77"/>
      <c r="D210" s="78"/>
      <c r="E210" s="118"/>
      <c r="F210" s="350"/>
    </row>
    <row r="211" spans="1:6" s="191" customFormat="1" x14ac:dyDescent="0.25">
      <c r="A211" s="124">
        <v>318</v>
      </c>
      <c r="B211" s="125">
        <v>324</v>
      </c>
      <c r="C211" s="125">
        <v>7</v>
      </c>
      <c r="D211" s="204" t="s">
        <v>65</v>
      </c>
      <c r="E211" s="204"/>
      <c r="F211" s="289"/>
    </row>
    <row r="212" spans="1:6" s="191" customFormat="1" ht="13.8" thickBot="1" x14ac:dyDescent="0.3">
      <c r="A212" s="126">
        <v>325</v>
      </c>
      <c r="B212" s="127">
        <v>336</v>
      </c>
      <c r="C212" s="127">
        <v>12</v>
      </c>
      <c r="D212" s="206" t="s">
        <v>65</v>
      </c>
      <c r="E212" s="206"/>
      <c r="F212" s="290"/>
    </row>
    <row r="213" spans="1:6" s="191" customFormat="1" ht="52.8" x14ac:dyDescent="0.25">
      <c r="A213" s="18">
        <v>337</v>
      </c>
      <c r="B213" s="18">
        <v>338</v>
      </c>
      <c r="C213" s="18">
        <v>2</v>
      </c>
      <c r="D213" s="27" t="s">
        <v>136</v>
      </c>
      <c r="E213" s="27" t="s">
        <v>67</v>
      </c>
      <c r="F213" s="268" t="s">
        <v>209</v>
      </c>
    </row>
    <row r="214" spans="1:6" s="191" customFormat="1" x14ac:dyDescent="0.25">
      <c r="A214" s="17"/>
      <c r="B214" s="17"/>
      <c r="C214" s="17"/>
      <c r="D214" s="3"/>
      <c r="E214" s="3"/>
      <c r="F214" s="269" t="s">
        <v>210</v>
      </c>
    </row>
    <row r="215" spans="1:6" s="191" customFormat="1" x14ac:dyDescent="0.25">
      <c r="A215" s="17"/>
      <c r="B215" s="17"/>
      <c r="C215" s="17"/>
      <c r="D215" s="3"/>
      <c r="E215" s="3"/>
      <c r="F215" s="269" t="s">
        <v>211</v>
      </c>
    </row>
    <row r="216" spans="1:6" s="191" customFormat="1" x14ac:dyDescent="0.25">
      <c r="A216" s="17"/>
      <c r="B216" s="17"/>
      <c r="C216" s="17"/>
      <c r="D216" s="3"/>
      <c r="E216" s="3"/>
      <c r="F216" s="269" t="s">
        <v>212</v>
      </c>
    </row>
    <row r="217" spans="1:6" s="191" customFormat="1" x14ac:dyDescent="0.25">
      <c r="A217" s="17"/>
      <c r="B217" s="17"/>
      <c r="C217" s="17"/>
      <c r="D217" s="3"/>
      <c r="E217" s="3"/>
      <c r="F217" s="269" t="s">
        <v>213</v>
      </c>
    </row>
    <row r="218" spans="1:6" s="191" customFormat="1" x14ac:dyDescent="0.25">
      <c r="A218" s="17"/>
      <c r="B218" s="17"/>
      <c r="C218" s="17"/>
      <c r="D218" s="3"/>
      <c r="E218" s="3"/>
      <c r="F218" s="269" t="s">
        <v>219</v>
      </c>
    </row>
    <row r="219" spans="1:6" s="191" customFormat="1" ht="13.8" thickBot="1" x14ac:dyDescent="0.3">
      <c r="A219" s="77"/>
      <c r="B219" s="77"/>
      <c r="C219" s="77"/>
      <c r="D219" s="78"/>
      <c r="E219" s="78"/>
      <c r="F219" s="271" t="s">
        <v>28</v>
      </c>
    </row>
    <row r="220" spans="1:6" s="191" customFormat="1" ht="39.6" x14ac:dyDescent="0.25">
      <c r="A220" s="28">
        <v>339</v>
      </c>
      <c r="B220" s="29">
        <v>341</v>
      </c>
      <c r="C220" s="29">
        <v>3</v>
      </c>
      <c r="D220" s="116" t="s">
        <v>137</v>
      </c>
      <c r="E220" s="116" t="s">
        <v>54</v>
      </c>
      <c r="F220" s="117" t="s">
        <v>104</v>
      </c>
    </row>
    <row r="221" spans="1:6" s="191" customFormat="1" x14ac:dyDescent="0.25">
      <c r="A221" s="121"/>
      <c r="B221" s="17"/>
      <c r="C221" s="17"/>
      <c r="D221" s="3"/>
      <c r="E221" s="3"/>
      <c r="F221" s="269" t="s">
        <v>32</v>
      </c>
    </row>
    <row r="222" spans="1:6" s="191" customFormat="1" x14ac:dyDescent="0.25">
      <c r="A222" s="121"/>
      <c r="B222" s="17"/>
      <c r="C222" s="17"/>
      <c r="D222" s="3"/>
      <c r="E222" s="3"/>
      <c r="F222" s="270" t="s">
        <v>33</v>
      </c>
    </row>
    <row r="223" spans="1:6" s="191" customFormat="1" x14ac:dyDescent="0.25">
      <c r="A223" s="121"/>
      <c r="B223" s="17"/>
      <c r="C223" s="17"/>
      <c r="D223" s="3"/>
      <c r="E223" s="3"/>
      <c r="F223" s="269" t="s">
        <v>220</v>
      </c>
    </row>
    <row r="224" spans="1:6" s="191" customFormat="1" ht="13.8" thickBot="1" x14ac:dyDescent="0.3">
      <c r="A224" s="30"/>
      <c r="B224" s="31"/>
      <c r="C224" s="31"/>
      <c r="D224" s="52"/>
      <c r="E224" s="52"/>
      <c r="F224" s="271" t="s">
        <v>221</v>
      </c>
    </row>
    <row r="225" spans="1:6" s="191" customFormat="1" ht="93" thickBot="1" x14ac:dyDescent="0.3">
      <c r="A225" s="108">
        <v>342</v>
      </c>
      <c r="B225" s="108">
        <v>344</v>
      </c>
      <c r="C225" s="108">
        <v>3</v>
      </c>
      <c r="D225" s="112" t="s">
        <v>138</v>
      </c>
      <c r="E225" s="213" t="s">
        <v>87</v>
      </c>
      <c r="F225" s="45" t="s">
        <v>42</v>
      </c>
    </row>
    <row r="226" spans="1:6" s="191" customFormat="1" x14ac:dyDescent="0.25">
      <c r="A226" s="28">
        <v>345</v>
      </c>
      <c r="B226" s="29">
        <v>345</v>
      </c>
      <c r="C226" s="29">
        <v>1</v>
      </c>
      <c r="D226" s="115" t="s">
        <v>108</v>
      </c>
      <c r="E226" s="115" t="s">
        <v>59</v>
      </c>
      <c r="F226" s="282" t="s">
        <v>222</v>
      </c>
    </row>
    <row r="227" spans="1:6" s="191" customFormat="1" x14ac:dyDescent="0.25">
      <c r="A227" s="121"/>
      <c r="B227" s="17"/>
      <c r="C227" s="17"/>
      <c r="D227" s="2"/>
      <c r="E227" s="2"/>
      <c r="F227" s="283" t="s">
        <v>223</v>
      </c>
    </row>
    <row r="228" spans="1:6" s="191" customFormat="1" ht="13.8" thickBot="1" x14ac:dyDescent="0.3">
      <c r="A228" s="30"/>
      <c r="B228" s="31"/>
      <c r="C228" s="31"/>
      <c r="D228" s="50"/>
      <c r="E228" s="50"/>
      <c r="F228" s="284" t="s">
        <v>224</v>
      </c>
    </row>
    <row r="229" spans="1:6" s="191" customFormat="1" ht="106.2" thickBot="1" x14ac:dyDescent="0.3">
      <c r="A229" s="108">
        <v>346</v>
      </c>
      <c r="B229" s="108">
        <v>348</v>
      </c>
      <c r="C229" s="108">
        <v>3</v>
      </c>
      <c r="D229" s="112" t="s">
        <v>34</v>
      </c>
      <c r="E229" s="213" t="s">
        <v>87</v>
      </c>
      <c r="F229" s="45" t="s">
        <v>42</v>
      </c>
    </row>
    <row r="230" spans="1:6" s="191" customFormat="1" x14ac:dyDescent="0.25">
      <c r="A230" s="28">
        <v>349</v>
      </c>
      <c r="B230" s="29">
        <v>349</v>
      </c>
      <c r="C230" s="29">
        <v>1</v>
      </c>
      <c r="D230" s="115" t="s">
        <v>110</v>
      </c>
      <c r="E230" s="115" t="s">
        <v>59</v>
      </c>
      <c r="F230" s="282" t="s">
        <v>222</v>
      </c>
    </row>
    <row r="231" spans="1:6" s="191" customFormat="1" x14ac:dyDescent="0.25">
      <c r="A231" s="121"/>
      <c r="B231" s="17"/>
      <c r="C231" s="17"/>
      <c r="D231" s="2"/>
      <c r="E231" s="2"/>
      <c r="F231" s="283" t="s">
        <v>223</v>
      </c>
    </row>
    <row r="232" spans="1:6" s="191" customFormat="1" ht="13.8" thickBot="1" x14ac:dyDescent="0.3">
      <c r="A232" s="121"/>
      <c r="B232" s="31"/>
      <c r="C232" s="31"/>
      <c r="D232" s="50"/>
      <c r="E232" s="50"/>
      <c r="F232" s="291" t="s">
        <v>224</v>
      </c>
    </row>
    <row r="233" spans="1:6" s="191" customFormat="1" ht="119.4" thickBot="1" x14ac:dyDescent="0.3">
      <c r="A233" s="108">
        <v>350</v>
      </c>
      <c r="B233" s="108">
        <v>352</v>
      </c>
      <c r="C233" s="108">
        <v>3</v>
      </c>
      <c r="D233" s="112" t="s">
        <v>15</v>
      </c>
      <c r="E233" s="213" t="s">
        <v>87</v>
      </c>
      <c r="F233" s="242" t="s">
        <v>42</v>
      </c>
    </row>
    <row r="234" spans="1:6" s="191" customFormat="1" x14ac:dyDescent="0.25">
      <c r="A234" s="28">
        <v>353</v>
      </c>
      <c r="B234" s="29">
        <v>353</v>
      </c>
      <c r="C234" s="29">
        <v>1</v>
      </c>
      <c r="D234" s="115" t="s">
        <v>112</v>
      </c>
      <c r="E234" s="115" t="s">
        <v>59</v>
      </c>
      <c r="F234" s="282" t="s">
        <v>222</v>
      </c>
    </row>
    <row r="235" spans="1:6" s="191" customFormat="1" x14ac:dyDescent="0.25">
      <c r="A235" s="121"/>
      <c r="B235" s="17"/>
      <c r="C235" s="17"/>
      <c r="D235" s="2"/>
      <c r="E235" s="2"/>
      <c r="F235" s="283" t="s">
        <v>223</v>
      </c>
    </row>
    <row r="236" spans="1:6" s="191" customFormat="1" ht="13.8" thickBot="1" x14ac:dyDescent="0.3">
      <c r="A236" s="30"/>
      <c r="B236" s="31"/>
      <c r="C236" s="31"/>
      <c r="D236" s="50"/>
      <c r="E236" s="50"/>
      <c r="F236" s="291" t="s">
        <v>224</v>
      </c>
    </row>
    <row r="237" spans="1:6" s="191" customFormat="1" ht="211.8" thickBot="1" x14ac:dyDescent="0.3">
      <c r="A237" s="108">
        <v>354</v>
      </c>
      <c r="B237" s="108">
        <v>356</v>
      </c>
      <c r="C237" s="108">
        <v>3</v>
      </c>
      <c r="D237" s="112" t="s">
        <v>16</v>
      </c>
      <c r="E237" s="213" t="s">
        <v>87</v>
      </c>
      <c r="F237" s="113" t="s">
        <v>42</v>
      </c>
    </row>
    <row r="238" spans="1:6" s="191" customFormat="1" x14ac:dyDescent="0.25">
      <c r="A238" s="28">
        <v>357</v>
      </c>
      <c r="B238" s="29">
        <v>357</v>
      </c>
      <c r="C238" s="29">
        <v>1</v>
      </c>
      <c r="D238" s="115" t="s">
        <v>113</v>
      </c>
      <c r="E238" s="115" t="s">
        <v>59</v>
      </c>
      <c r="F238" s="292" t="s">
        <v>222</v>
      </c>
    </row>
    <row r="239" spans="1:6" s="191" customFormat="1" x14ac:dyDescent="0.25">
      <c r="A239" s="121"/>
      <c r="B239" s="17"/>
      <c r="C239" s="17"/>
      <c r="D239" s="2"/>
      <c r="E239" s="2"/>
      <c r="F239" s="283" t="s">
        <v>223</v>
      </c>
    </row>
    <row r="240" spans="1:6" s="191" customFormat="1" ht="13.8" thickBot="1" x14ac:dyDescent="0.3">
      <c r="A240" s="30"/>
      <c r="B240" s="31"/>
      <c r="C240" s="31"/>
      <c r="D240" s="50"/>
      <c r="E240" s="50"/>
      <c r="F240" s="291" t="s">
        <v>224</v>
      </c>
    </row>
    <row r="241" spans="1:6" s="191" customFormat="1" ht="93" thickBot="1" x14ac:dyDescent="0.3">
      <c r="A241" s="114">
        <v>358</v>
      </c>
      <c r="B241" s="114">
        <v>360</v>
      </c>
      <c r="C241" s="114">
        <v>3</v>
      </c>
      <c r="D241" s="119" t="s">
        <v>139</v>
      </c>
      <c r="E241" s="199"/>
      <c r="F241" s="226"/>
    </row>
    <row r="242" spans="1:6" s="191" customFormat="1" x14ac:dyDescent="0.25">
      <c r="A242" s="124">
        <v>361</v>
      </c>
      <c r="B242" s="125">
        <v>361</v>
      </c>
      <c r="C242" s="125">
        <v>1</v>
      </c>
      <c r="D242" s="204" t="s">
        <v>120</v>
      </c>
      <c r="E242" s="204" t="s">
        <v>59</v>
      </c>
      <c r="F242" s="293"/>
    </row>
    <row r="243" spans="1:6" s="191" customFormat="1" x14ac:dyDescent="0.25">
      <c r="A243" s="179"/>
      <c r="B243" s="180"/>
      <c r="C243" s="180"/>
      <c r="D243" s="227"/>
      <c r="E243" s="227"/>
      <c r="F243" s="286"/>
    </row>
    <row r="244" spans="1:6" ht="13.8" thickBot="1" x14ac:dyDescent="0.3">
      <c r="A244" s="126"/>
      <c r="B244" s="127"/>
      <c r="C244" s="127"/>
      <c r="D244" s="206"/>
      <c r="E244" s="206"/>
      <c r="F244" s="294"/>
    </row>
    <row r="245" spans="1:6" ht="13.8" thickBot="1" x14ac:dyDescent="0.3">
      <c r="A245" s="114">
        <v>362</v>
      </c>
      <c r="B245" s="114">
        <v>362</v>
      </c>
      <c r="C245" s="114">
        <v>1</v>
      </c>
      <c r="D245" s="199" t="s">
        <v>65</v>
      </c>
      <c r="E245" s="199"/>
      <c r="F245" s="226"/>
    </row>
    <row r="246" spans="1:6" ht="39" customHeight="1" x14ac:dyDescent="0.25">
      <c r="A246" s="28">
        <v>363</v>
      </c>
      <c r="B246" s="29">
        <v>365</v>
      </c>
      <c r="C246" s="29">
        <v>3</v>
      </c>
      <c r="D246" s="116" t="s">
        <v>269</v>
      </c>
      <c r="E246" s="116" t="s">
        <v>56</v>
      </c>
      <c r="F246" s="117" t="s">
        <v>24</v>
      </c>
    </row>
    <row r="247" spans="1:6" s="191" customFormat="1" x14ac:dyDescent="0.25">
      <c r="A247" s="121"/>
      <c r="B247" s="17"/>
      <c r="C247" s="17"/>
      <c r="D247" s="3"/>
      <c r="E247" s="3"/>
      <c r="F247" s="269" t="s">
        <v>32</v>
      </c>
    </row>
    <row r="248" spans="1:6" s="191" customFormat="1" x14ac:dyDescent="0.25">
      <c r="A248" s="121"/>
      <c r="B248" s="17"/>
      <c r="C248" s="17"/>
      <c r="D248" s="3"/>
      <c r="E248" s="3"/>
      <c r="F248" s="270" t="s">
        <v>33</v>
      </c>
    </row>
    <row r="249" spans="1:6" s="191" customFormat="1" x14ac:dyDescent="0.25">
      <c r="A249" s="121"/>
      <c r="B249" s="17"/>
      <c r="C249" s="17"/>
      <c r="D249" s="3"/>
      <c r="E249" s="3"/>
      <c r="F249" s="269" t="s">
        <v>220</v>
      </c>
    </row>
    <row r="250" spans="1:6" s="191" customFormat="1" x14ac:dyDescent="0.25">
      <c r="A250" s="121"/>
      <c r="B250" s="17"/>
      <c r="C250" s="17"/>
      <c r="D250" s="3"/>
      <c r="E250" s="3"/>
      <c r="F250" s="269" t="s">
        <v>221</v>
      </c>
    </row>
    <row r="251" spans="1:6" ht="13.8" thickBot="1" x14ac:dyDescent="0.3">
      <c r="A251" s="33"/>
      <c r="B251" s="34"/>
      <c r="C251" s="34"/>
      <c r="D251" s="181"/>
      <c r="E251" s="349"/>
      <c r="F251" s="350"/>
    </row>
    <row r="252" spans="1:6" ht="26.4" x14ac:dyDescent="0.25">
      <c r="A252" s="53">
        <v>366</v>
      </c>
      <c r="B252" s="53">
        <v>367</v>
      </c>
      <c r="C252" s="53">
        <v>2</v>
      </c>
      <c r="D252" s="56" t="s">
        <v>140</v>
      </c>
      <c r="E252" s="56" t="s">
        <v>87</v>
      </c>
      <c r="F252" s="272"/>
    </row>
    <row r="253" spans="1:6" x14ac:dyDescent="0.25">
      <c r="A253" s="180"/>
      <c r="B253" s="180"/>
      <c r="C253" s="180"/>
      <c r="D253" s="171"/>
      <c r="E253" s="171"/>
      <c r="F253" s="298"/>
    </row>
    <row r="254" spans="1:6" x14ac:dyDescent="0.25">
      <c r="A254" s="180"/>
      <c r="B254" s="180"/>
      <c r="C254" s="180"/>
      <c r="D254" s="171"/>
      <c r="E254" s="171"/>
      <c r="F254" s="298"/>
    </row>
    <row r="255" spans="1:6" x14ac:dyDescent="0.25">
      <c r="A255" s="180"/>
      <c r="B255" s="180"/>
      <c r="C255" s="180"/>
      <c r="D255" s="171"/>
      <c r="E255" s="171"/>
      <c r="F255" s="298"/>
    </row>
    <row r="256" spans="1:6" x14ac:dyDescent="0.25">
      <c r="A256" s="180"/>
      <c r="B256" s="180"/>
      <c r="C256" s="180"/>
      <c r="D256" s="171"/>
      <c r="E256" s="171"/>
      <c r="F256" s="298"/>
    </row>
    <row r="257" spans="1:6" s="191" customFormat="1" x14ac:dyDescent="0.25">
      <c r="A257" s="179"/>
      <c r="B257" s="180"/>
      <c r="C257" s="180"/>
      <c r="D257" s="171"/>
      <c r="E257" s="171"/>
      <c r="F257" s="298"/>
    </row>
    <row r="258" spans="1:6" ht="13.8" thickBot="1" x14ac:dyDescent="0.3">
      <c r="A258" s="114"/>
      <c r="B258" s="114"/>
      <c r="C258" s="114"/>
      <c r="D258" s="119"/>
      <c r="E258" s="119"/>
      <c r="F258" s="299"/>
    </row>
    <row r="259" spans="1:6" ht="26.4" x14ac:dyDescent="0.25">
      <c r="A259" s="124">
        <v>368</v>
      </c>
      <c r="B259" s="125">
        <v>370</v>
      </c>
      <c r="C259" s="125">
        <v>3</v>
      </c>
      <c r="D259" s="151" t="s">
        <v>141</v>
      </c>
      <c r="E259" s="151" t="s">
        <v>54</v>
      </c>
      <c r="F259" s="300"/>
    </row>
    <row r="260" spans="1:6" x14ac:dyDescent="0.25">
      <c r="A260" s="179"/>
      <c r="B260" s="180"/>
      <c r="C260" s="180"/>
      <c r="D260" s="171"/>
      <c r="E260" s="171"/>
      <c r="F260" s="298"/>
    </row>
    <row r="261" spans="1:6" x14ac:dyDescent="0.25">
      <c r="A261" s="348"/>
      <c r="B261" s="129"/>
      <c r="C261" s="129"/>
      <c r="D261" s="130"/>
      <c r="E261" s="130"/>
      <c r="F261" s="301"/>
    </row>
    <row r="262" spans="1:6" x14ac:dyDescent="0.25">
      <c r="A262" s="348"/>
      <c r="B262" s="129"/>
      <c r="C262" s="129"/>
      <c r="D262" s="130"/>
      <c r="E262" s="130"/>
      <c r="F262" s="301"/>
    </row>
    <row r="263" spans="1:6" ht="13.8" thickBot="1" x14ac:dyDescent="0.3">
      <c r="A263" s="126"/>
      <c r="B263" s="127"/>
      <c r="C263" s="127"/>
      <c r="D263" s="128"/>
      <c r="E263" s="128"/>
      <c r="F263" s="302"/>
    </row>
    <row r="264" spans="1:6" ht="13.8" thickBot="1" x14ac:dyDescent="0.3">
      <c r="A264" s="125">
        <v>371</v>
      </c>
      <c r="B264" s="125">
        <v>373</v>
      </c>
      <c r="C264" s="125">
        <v>3</v>
      </c>
      <c r="D264" s="151" t="s">
        <v>65</v>
      </c>
      <c r="E264" s="151"/>
      <c r="F264" s="300"/>
    </row>
    <row r="265" spans="1:6" ht="27" thickBot="1" x14ac:dyDescent="0.3">
      <c r="A265" s="20">
        <v>374</v>
      </c>
      <c r="B265" s="21">
        <v>382</v>
      </c>
      <c r="C265" s="21">
        <v>9</v>
      </c>
      <c r="D265" s="48" t="s">
        <v>142</v>
      </c>
      <c r="E265" s="48" t="s">
        <v>56</v>
      </c>
      <c r="F265" s="45" t="s">
        <v>143</v>
      </c>
    </row>
    <row r="266" spans="1:6" ht="66" x14ac:dyDescent="0.25">
      <c r="A266" s="133">
        <v>383</v>
      </c>
      <c r="B266" s="133">
        <v>383</v>
      </c>
      <c r="C266" s="133">
        <v>1</v>
      </c>
      <c r="D266" s="27" t="s">
        <v>144</v>
      </c>
      <c r="E266" s="27" t="s">
        <v>59</v>
      </c>
      <c r="F266" s="268" t="s">
        <v>226</v>
      </c>
    </row>
    <row r="267" spans="1:6" ht="13.8" thickBot="1" x14ac:dyDescent="0.3">
      <c r="A267" s="134"/>
      <c r="B267" s="134"/>
      <c r="C267" s="134"/>
      <c r="D267" s="78"/>
      <c r="E267" s="78"/>
      <c r="F267" s="270" t="s">
        <v>227</v>
      </c>
    </row>
    <row r="268" spans="1:6" ht="66" x14ac:dyDescent="0.25">
      <c r="A268" s="135">
        <v>384</v>
      </c>
      <c r="B268" s="136">
        <v>384</v>
      </c>
      <c r="C268" s="136">
        <v>1</v>
      </c>
      <c r="D268" s="116" t="s">
        <v>145</v>
      </c>
      <c r="E268" s="116" t="s">
        <v>59</v>
      </c>
      <c r="F268" s="281" t="s">
        <v>226</v>
      </c>
    </row>
    <row r="269" spans="1:6" ht="13.8" thickBot="1" x14ac:dyDescent="0.3">
      <c r="A269" s="137"/>
      <c r="B269" s="138"/>
      <c r="C269" s="138"/>
      <c r="D269" s="52"/>
      <c r="E269" s="52"/>
      <c r="F269" s="271" t="s">
        <v>227</v>
      </c>
    </row>
    <row r="270" spans="1:6" ht="79.2" x14ac:dyDescent="0.25">
      <c r="A270" s="133">
        <v>385</v>
      </c>
      <c r="B270" s="133">
        <v>385</v>
      </c>
      <c r="C270" s="133">
        <v>1</v>
      </c>
      <c r="D270" s="27" t="s">
        <v>146</v>
      </c>
      <c r="E270" s="27" t="s">
        <v>59</v>
      </c>
      <c r="F270" s="268" t="s">
        <v>226</v>
      </c>
    </row>
    <row r="271" spans="1:6" ht="13.8" thickBot="1" x14ac:dyDescent="0.3">
      <c r="A271" s="134"/>
      <c r="B271" s="134"/>
      <c r="C271" s="134"/>
      <c r="D271" s="78"/>
      <c r="E271" s="78"/>
      <c r="F271" s="270" t="s">
        <v>227</v>
      </c>
    </row>
    <row r="272" spans="1:6" ht="92.4" x14ac:dyDescent="0.25">
      <c r="A272" s="135">
        <v>386</v>
      </c>
      <c r="B272" s="136">
        <v>386</v>
      </c>
      <c r="C272" s="136">
        <v>1</v>
      </c>
      <c r="D272" s="116" t="s">
        <v>147</v>
      </c>
      <c r="E272" s="116" t="s">
        <v>59</v>
      </c>
      <c r="F272" s="281" t="s">
        <v>226</v>
      </c>
    </row>
    <row r="273" spans="1:6" ht="13.8" thickBot="1" x14ac:dyDescent="0.3">
      <c r="A273" s="137"/>
      <c r="B273" s="138"/>
      <c r="C273" s="138"/>
      <c r="D273" s="52"/>
      <c r="E273" s="52"/>
      <c r="F273" s="271" t="s">
        <v>227</v>
      </c>
    </row>
    <row r="274" spans="1:6" ht="66" x14ac:dyDescent="0.25">
      <c r="A274" s="133">
        <v>387</v>
      </c>
      <c r="B274" s="133">
        <v>387</v>
      </c>
      <c r="C274" s="133">
        <v>1</v>
      </c>
      <c r="D274" s="27" t="s">
        <v>148</v>
      </c>
      <c r="E274" s="27" t="s">
        <v>59</v>
      </c>
      <c r="F274" s="268" t="s">
        <v>226</v>
      </c>
    </row>
    <row r="275" spans="1:6" ht="13.8" thickBot="1" x14ac:dyDescent="0.3">
      <c r="A275" s="134"/>
      <c r="B275" s="134"/>
      <c r="C275" s="134"/>
      <c r="D275" s="78"/>
      <c r="E275" s="78"/>
      <c r="F275" s="270" t="s">
        <v>227</v>
      </c>
    </row>
    <row r="276" spans="1:6" ht="13.8" thickBot="1" x14ac:dyDescent="0.3">
      <c r="A276" s="139">
        <v>388</v>
      </c>
      <c r="B276" s="140">
        <v>392</v>
      </c>
      <c r="C276" s="140">
        <v>5</v>
      </c>
      <c r="D276" s="44" t="s">
        <v>65</v>
      </c>
      <c r="E276" s="44"/>
      <c r="F276" s="303"/>
    </row>
    <row r="277" spans="1:6" ht="13.8" thickBot="1" x14ac:dyDescent="0.3">
      <c r="A277" s="142">
        <v>393</v>
      </c>
      <c r="B277" s="142">
        <v>402</v>
      </c>
      <c r="C277" s="142">
        <v>10</v>
      </c>
      <c r="D277" s="112" t="s">
        <v>149</v>
      </c>
      <c r="E277" s="112" t="s">
        <v>56</v>
      </c>
      <c r="F277" s="113" t="s">
        <v>150</v>
      </c>
    </row>
    <row r="278" spans="1:6" ht="27" thickBot="1" x14ac:dyDescent="0.3">
      <c r="A278" s="143">
        <v>403</v>
      </c>
      <c r="B278" s="144">
        <v>407</v>
      </c>
      <c r="C278" s="144">
        <v>5</v>
      </c>
      <c r="D278" s="40" t="s">
        <v>151</v>
      </c>
      <c r="E278" s="40" t="s">
        <v>56</v>
      </c>
      <c r="F278" s="45" t="s">
        <v>152</v>
      </c>
    </row>
    <row r="279" spans="1:6" ht="27" thickBot="1" x14ac:dyDescent="0.3">
      <c r="A279" s="142">
        <v>408</v>
      </c>
      <c r="B279" s="142">
        <v>427</v>
      </c>
      <c r="C279" s="142">
        <v>20</v>
      </c>
      <c r="D279" s="112" t="s">
        <v>153</v>
      </c>
      <c r="E279" s="112" t="s">
        <v>59</v>
      </c>
      <c r="F279" s="113" t="s">
        <v>154</v>
      </c>
    </row>
    <row r="280" spans="1:6" ht="13.8" thickBot="1" x14ac:dyDescent="0.3">
      <c r="A280" s="143">
        <v>428</v>
      </c>
      <c r="B280" s="144">
        <v>437</v>
      </c>
      <c r="C280" s="144">
        <v>10</v>
      </c>
      <c r="D280" s="40" t="s">
        <v>155</v>
      </c>
      <c r="E280" s="40" t="s">
        <v>56</v>
      </c>
      <c r="F280" s="45" t="s">
        <v>156</v>
      </c>
    </row>
    <row r="281" spans="1:6" ht="27" thickBot="1" x14ac:dyDescent="0.3">
      <c r="A281" s="142">
        <v>438</v>
      </c>
      <c r="B281" s="142">
        <v>442</v>
      </c>
      <c r="C281" s="142">
        <v>5</v>
      </c>
      <c r="D281" s="112" t="s">
        <v>157</v>
      </c>
      <c r="E281" s="112" t="s">
        <v>56</v>
      </c>
      <c r="F281" s="113" t="s">
        <v>158</v>
      </c>
    </row>
    <row r="282" spans="1:6" ht="27" thickBot="1" x14ac:dyDescent="0.3">
      <c r="A282" s="143">
        <v>443</v>
      </c>
      <c r="B282" s="144">
        <v>462</v>
      </c>
      <c r="C282" s="144">
        <v>20</v>
      </c>
      <c r="D282" s="40" t="s">
        <v>159</v>
      </c>
      <c r="E282" s="40" t="s">
        <v>59</v>
      </c>
      <c r="F282" s="45" t="s">
        <v>160</v>
      </c>
    </row>
    <row r="283" spans="1:6" ht="13.8" thickBot="1" x14ac:dyDescent="0.3">
      <c r="A283" s="142">
        <v>463</v>
      </c>
      <c r="B283" s="142">
        <v>472</v>
      </c>
      <c r="C283" s="142">
        <v>10</v>
      </c>
      <c r="D283" s="112" t="s">
        <v>161</v>
      </c>
      <c r="E283" s="112" t="s">
        <v>56</v>
      </c>
      <c r="F283" s="113" t="s">
        <v>228</v>
      </c>
    </row>
    <row r="284" spans="1:6" ht="27" thickBot="1" x14ac:dyDescent="0.3">
      <c r="A284" s="143">
        <v>473</v>
      </c>
      <c r="B284" s="144">
        <v>477</v>
      </c>
      <c r="C284" s="144">
        <v>5</v>
      </c>
      <c r="D284" s="40" t="s">
        <v>162</v>
      </c>
      <c r="E284" s="40" t="s">
        <v>56</v>
      </c>
      <c r="F284" s="45" t="s">
        <v>163</v>
      </c>
    </row>
    <row r="285" spans="1:6" ht="13.8" thickBot="1" x14ac:dyDescent="0.3">
      <c r="A285" s="142">
        <v>478</v>
      </c>
      <c r="B285" s="142">
        <v>497</v>
      </c>
      <c r="C285" s="142">
        <v>20</v>
      </c>
      <c r="D285" s="112" t="s">
        <v>164</v>
      </c>
      <c r="E285" s="112" t="s">
        <v>59</v>
      </c>
      <c r="F285" s="113" t="s">
        <v>165</v>
      </c>
    </row>
    <row r="286" spans="1:6" ht="27" thickBot="1" x14ac:dyDescent="0.3">
      <c r="A286" s="143">
        <v>498</v>
      </c>
      <c r="B286" s="144">
        <v>507</v>
      </c>
      <c r="C286" s="144">
        <v>10</v>
      </c>
      <c r="D286" s="40" t="s">
        <v>166</v>
      </c>
      <c r="E286" s="40" t="s">
        <v>56</v>
      </c>
      <c r="F286" s="45" t="s">
        <v>167</v>
      </c>
    </row>
    <row r="287" spans="1:6" ht="27" thickBot="1" x14ac:dyDescent="0.3">
      <c r="A287" s="142">
        <v>508</v>
      </c>
      <c r="B287" s="142">
        <v>512</v>
      </c>
      <c r="C287" s="142">
        <v>5</v>
      </c>
      <c r="D287" s="112" t="s">
        <v>168</v>
      </c>
      <c r="E287" s="112" t="s">
        <v>56</v>
      </c>
      <c r="F287" s="113" t="s">
        <v>169</v>
      </c>
    </row>
    <row r="288" spans="1:6" ht="27" thickBot="1" x14ac:dyDescent="0.3">
      <c r="A288" s="143">
        <v>513</v>
      </c>
      <c r="B288" s="144">
        <v>532</v>
      </c>
      <c r="C288" s="144">
        <v>20</v>
      </c>
      <c r="D288" s="40" t="s">
        <v>170</v>
      </c>
      <c r="E288" s="40" t="s">
        <v>59</v>
      </c>
      <c r="F288" s="45" t="s">
        <v>171</v>
      </c>
    </row>
    <row r="289" spans="1:6" ht="13.8" thickBot="1" x14ac:dyDescent="0.3">
      <c r="A289" s="142">
        <v>533</v>
      </c>
      <c r="B289" s="142">
        <v>542</v>
      </c>
      <c r="C289" s="142">
        <v>10</v>
      </c>
      <c r="D289" s="112" t="s">
        <v>172</v>
      </c>
      <c r="E289" s="112" t="s">
        <v>56</v>
      </c>
      <c r="F289" s="113" t="s">
        <v>173</v>
      </c>
    </row>
    <row r="290" spans="1:6" ht="27" thickBot="1" x14ac:dyDescent="0.3">
      <c r="A290" s="143">
        <v>543</v>
      </c>
      <c r="B290" s="144">
        <v>547</v>
      </c>
      <c r="C290" s="144">
        <v>5</v>
      </c>
      <c r="D290" s="40" t="s">
        <v>174</v>
      </c>
      <c r="E290" s="40" t="s">
        <v>56</v>
      </c>
      <c r="F290" s="45" t="s">
        <v>175</v>
      </c>
    </row>
    <row r="291" spans="1:6" ht="27" thickBot="1" x14ac:dyDescent="0.3">
      <c r="A291" s="143">
        <v>548</v>
      </c>
      <c r="B291" s="144">
        <v>567</v>
      </c>
      <c r="C291" s="144">
        <v>20</v>
      </c>
      <c r="D291" s="40" t="s">
        <v>176</v>
      </c>
      <c r="E291" s="40" t="s">
        <v>59</v>
      </c>
      <c r="F291" s="45" t="s">
        <v>177</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
        <v>179</v>
      </c>
    </row>
    <row r="294" spans="1:6" ht="34.799999999999997" thickBot="1" x14ac:dyDescent="0.3">
      <c r="A294" s="85">
        <v>586</v>
      </c>
      <c r="B294" s="86">
        <v>591</v>
      </c>
      <c r="C294" s="69">
        <v>6</v>
      </c>
      <c r="D294" s="5" t="s">
        <v>180</v>
      </c>
      <c r="E294" s="5" t="s">
        <v>87</v>
      </c>
      <c r="F294" s="304" t="s">
        <v>31</v>
      </c>
    </row>
    <row r="295" spans="1:6" ht="34.799999999999997" thickBot="1" x14ac:dyDescent="0.3">
      <c r="A295" s="86">
        <v>592</v>
      </c>
      <c r="B295" s="86">
        <v>621</v>
      </c>
      <c r="C295" s="69">
        <v>30</v>
      </c>
      <c r="D295" s="5" t="s">
        <v>181</v>
      </c>
      <c r="E295" s="5" t="s">
        <v>56</v>
      </c>
      <c r="F295" s="304" t="s">
        <v>30</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row>
    <row r="303" spans="1:6" x14ac:dyDescent="0.25">
      <c r="A303" s="13"/>
      <c r="B303" s="13"/>
      <c r="C303" s="14"/>
      <c r="D303" s="7"/>
      <c r="E303" s="7"/>
      <c r="F303" s="245"/>
    </row>
    <row r="304" spans="1:6" x14ac:dyDescent="0.25">
      <c r="A304" s="13"/>
      <c r="B304" s="13"/>
      <c r="C304" s="14"/>
      <c r="D304" s="7"/>
      <c r="E304" s="7"/>
      <c r="F304" s="245"/>
    </row>
    <row r="305" spans="1:6" x14ac:dyDescent="0.25">
      <c r="A305" s="13"/>
      <c r="B305" s="13"/>
      <c r="C305" s="14"/>
      <c r="D305" s="7"/>
      <c r="E305" s="7"/>
      <c r="F305" s="245"/>
    </row>
    <row r="306" spans="1:6" ht="13.8" thickBot="1" x14ac:dyDescent="0.3">
      <c r="A306" s="92"/>
      <c r="B306" s="92"/>
      <c r="C306" s="64"/>
      <c r="D306" s="93"/>
      <c r="E306" s="93"/>
      <c r="F306" s="246"/>
    </row>
    <row r="307" spans="1:6" x14ac:dyDescent="0.25">
      <c r="A307" s="318">
        <v>623</v>
      </c>
      <c r="B307" s="319">
        <v>623</v>
      </c>
      <c r="C307" s="320">
        <v>1</v>
      </c>
      <c r="D307" s="321" t="s">
        <v>35</v>
      </c>
      <c r="E307" s="322" t="s">
        <v>59</v>
      </c>
      <c r="F307" s="186"/>
    </row>
    <row r="308" spans="1:6" x14ac:dyDescent="0.25">
      <c r="A308" s="180"/>
      <c r="B308" s="180"/>
      <c r="C308" s="323"/>
      <c r="D308" s="324"/>
      <c r="E308" s="324"/>
      <c r="F308" s="187"/>
    </row>
    <row r="309" spans="1:6" x14ac:dyDescent="0.25">
      <c r="A309" s="180"/>
      <c r="B309" s="180"/>
      <c r="C309" s="323"/>
      <c r="D309" s="324"/>
      <c r="E309" s="324"/>
      <c r="F309" s="187"/>
    </row>
    <row r="310" spans="1:6" x14ac:dyDescent="0.25">
      <c r="A310" s="180"/>
      <c r="B310" s="180"/>
      <c r="C310" s="323"/>
      <c r="D310" s="324"/>
      <c r="E310" s="324"/>
      <c r="F310" s="187"/>
    </row>
    <row r="311" spans="1:6" ht="13.8" thickBot="1" x14ac:dyDescent="0.3">
      <c r="A311" s="129"/>
      <c r="B311" s="129"/>
      <c r="C311" s="325"/>
      <c r="D311" s="326"/>
      <c r="E311" s="326"/>
      <c r="F311" s="188"/>
    </row>
    <row r="312" spans="1:6" ht="13.8" thickBot="1" x14ac:dyDescent="0.3">
      <c r="A312" s="85">
        <v>624</v>
      </c>
      <c r="B312" s="86">
        <v>653</v>
      </c>
      <c r="C312" s="11">
        <v>30</v>
      </c>
      <c r="D312" s="5" t="s">
        <v>183</v>
      </c>
      <c r="E312" s="5" t="s">
        <v>59</v>
      </c>
      <c r="F312" s="305" t="s">
        <v>256</v>
      </c>
    </row>
    <row r="313" spans="1:6" x14ac:dyDescent="0.25">
      <c r="A313" s="97">
        <v>654</v>
      </c>
      <c r="B313" s="98">
        <v>654</v>
      </c>
      <c r="C313" s="99">
        <v>1</v>
      </c>
      <c r="D313" s="166" t="s">
        <v>184</v>
      </c>
      <c r="E313" s="6" t="s">
        <v>59</v>
      </c>
      <c r="F313" s="306" t="s">
        <v>226</v>
      </c>
    </row>
    <row r="314" spans="1:6" x14ac:dyDescent="0.25">
      <c r="A314" s="100"/>
      <c r="B314" s="13"/>
      <c r="C314" s="14"/>
      <c r="D314" s="7"/>
      <c r="E314" s="7"/>
      <c r="F314" s="245" t="s">
        <v>227</v>
      </c>
    </row>
    <row r="315" spans="1:6" ht="13.8" thickBot="1" x14ac:dyDescent="0.3">
      <c r="A315" s="101"/>
      <c r="B315" s="62"/>
      <c r="C315" s="62"/>
      <c r="D315" s="164"/>
      <c r="E315" s="164"/>
      <c r="F315" s="307" t="s">
        <v>244</v>
      </c>
    </row>
    <row r="316" spans="1:6" ht="22.8" x14ac:dyDescent="0.25">
      <c r="A316" s="80">
        <v>655</v>
      </c>
      <c r="B316" s="80">
        <v>655</v>
      </c>
      <c r="C316" s="81">
        <v>1</v>
      </c>
      <c r="D316" s="167" t="s">
        <v>185</v>
      </c>
      <c r="E316" s="82" t="s">
        <v>59</v>
      </c>
      <c r="F316" s="308" t="s">
        <v>226</v>
      </c>
    </row>
    <row r="317" spans="1:6" x14ac:dyDescent="0.25">
      <c r="A317" s="13"/>
      <c r="B317" s="13"/>
      <c r="C317" s="14"/>
      <c r="D317" s="168"/>
      <c r="E317" s="7"/>
      <c r="F317" s="245" t="s">
        <v>227</v>
      </c>
    </row>
    <row r="318" spans="1:6" ht="13.8" thickBot="1" x14ac:dyDescent="0.3">
      <c r="A318" s="63"/>
      <c r="B318" s="63"/>
      <c r="C318" s="63"/>
      <c r="D318" s="169"/>
      <c r="E318" s="165"/>
      <c r="F318" s="309" t="s">
        <v>244</v>
      </c>
    </row>
    <row r="319" spans="1:6" x14ac:dyDescent="0.25">
      <c r="A319" s="97">
        <v>656</v>
      </c>
      <c r="B319" s="98">
        <v>656</v>
      </c>
      <c r="C319" s="99">
        <v>1</v>
      </c>
      <c r="D319" s="166" t="s">
        <v>36</v>
      </c>
      <c r="E319" s="6" t="s">
        <v>59</v>
      </c>
      <c r="F319" s="306" t="s">
        <v>226</v>
      </c>
    </row>
    <row r="320" spans="1:6" x14ac:dyDescent="0.25">
      <c r="A320" s="100"/>
      <c r="B320" s="13"/>
      <c r="C320" s="14"/>
      <c r="D320" s="168"/>
      <c r="E320" s="7"/>
      <c r="F320" s="245" t="s">
        <v>227</v>
      </c>
    </row>
    <row r="321" spans="1:6" ht="13.8" thickBot="1" x14ac:dyDescent="0.3">
      <c r="A321" s="101"/>
      <c r="B321" s="62"/>
      <c r="C321" s="62"/>
      <c r="D321" s="170"/>
      <c r="E321" s="164"/>
      <c r="F321" s="307" t="s">
        <v>244</v>
      </c>
    </row>
    <row r="322" spans="1:6" ht="22.8" x14ac:dyDescent="0.25">
      <c r="A322" s="80">
        <v>657</v>
      </c>
      <c r="B322" s="80">
        <v>657</v>
      </c>
      <c r="C322" s="81">
        <v>1</v>
      </c>
      <c r="D322" s="167" t="s">
        <v>37</v>
      </c>
      <c r="E322" s="82" t="s">
        <v>59</v>
      </c>
      <c r="F322" s="308" t="s">
        <v>226</v>
      </c>
    </row>
    <row r="323" spans="1:6" x14ac:dyDescent="0.25">
      <c r="A323" s="13"/>
      <c r="B323" s="13"/>
      <c r="C323" s="14"/>
      <c r="D323" s="168"/>
      <c r="E323" s="7"/>
      <c r="F323" s="245" t="s">
        <v>227</v>
      </c>
    </row>
    <row r="324" spans="1:6" ht="13.8" thickBot="1" x14ac:dyDescent="0.3">
      <c r="A324" s="63"/>
      <c r="B324" s="63"/>
      <c r="C324" s="63"/>
      <c r="D324" s="169"/>
      <c r="E324" s="165"/>
      <c r="F324" s="309" t="s">
        <v>244</v>
      </c>
    </row>
    <row r="325" spans="1:6" ht="22.8" x14ac:dyDescent="0.25">
      <c r="A325" s="97">
        <v>658</v>
      </c>
      <c r="B325" s="98">
        <v>658</v>
      </c>
      <c r="C325" s="99">
        <v>1</v>
      </c>
      <c r="D325" s="166" t="s">
        <v>186</v>
      </c>
      <c r="E325" s="6" t="s">
        <v>59</v>
      </c>
      <c r="F325" s="306" t="s">
        <v>226</v>
      </c>
    </row>
    <row r="326" spans="1:6" x14ac:dyDescent="0.25">
      <c r="A326" s="100"/>
      <c r="B326" s="13"/>
      <c r="C326" s="14"/>
      <c r="D326" s="168"/>
      <c r="E326" s="7"/>
      <c r="F326" s="245" t="s">
        <v>227</v>
      </c>
    </row>
    <row r="327" spans="1:6" ht="13.8" thickBot="1" x14ac:dyDescent="0.3">
      <c r="A327" s="101"/>
      <c r="B327" s="62"/>
      <c r="C327" s="62"/>
      <c r="D327" s="170"/>
      <c r="E327" s="164"/>
      <c r="F327" s="307" t="s">
        <v>244</v>
      </c>
    </row>
    <row r="328" spans="1:6" x14ac:dyDescent="0.25">
      <c r="A328" s="80">
        <v>659</v>
      </c>
      <c r="B328" s="80">
        <v>659</v>
      </c>
      <c r="C328" s="81">
        <v>1</v>
      </c>
      <c r="D328" s="82" t="s">
        <v>187</v>
      </c>
      <c r="E328" s="82" t="s">
        <v>59</v>
      </c>
      <c r="F328" s="308" t="s">
        <v>226</v>
      </c>
    </row>
    <row r="329" spans="1:6" ht="13.8" thickBot="1" x14ac:dyDescent="0.3">
      <c r="A329" s="63"/>
      <c r="B329" s="63"/>
      <c r="C329" s="63"/>
      <c r="D329" s="165"/>
      <c r="E329" s="165"/>
      <c r="F329" s="309" t="s">
        <v>227</v>
      </c>
    </row>
    <row r="330" spans="1:6" x14ac:dyDescent="0.25">
      <c r="A330" s="97">
        <v>660</v>
      </c>
      <c r="B330" s="98">
        <v>660</v>
      </c>
      <c r="C330" s="99">
        <v>1</v>
      </c>
      <c r="D330" s="6" t="s">
        <v>188</v>
      </c>
      <c r="E330" s="6" t="s">
        <v>59</v>
      </c>
      <c r="F330" s="306" t="s">
        <v>226</v>
      </c>
    </row>
    <row r="331" spans="1:6" ht="13.8" thickBot="1" x14ac:dyDescent="0.3">
      <c r="A331" s="101"/>
      <c r="B331" s="62"/>
      <c r="C331" s="62"/>
      <c r="D331" s="164"/>
      <c r="E331" s="164"/>
      <c r="F331" s="307" t="s">
        <v>227</v>
      </c>
    </row>
    <row r="332" spans="1:6" ht="22.8" x14ac:dyDescent="0.25">
      <c r="A332" s="80">
        <v>661</v>
      </c>
      <c r="B332" s="80">
        <v>661</v>
      </c>
      <c r="C332" s="81">
        <v>1</v>
      </c>
      <c r="D332" s="167" t="s">
        <v>261</v>
      </c>
      <c r="E332" s="82" t="s">
        <v>59</v>
      </c>
      <c r="F332" s="308" t="s">
        <v>226</v>
      </c>
    </row>
    <row r="333" spans="1:6" ht="13.8" thickBot="1" x14ac:dyDescent="0.3">
      <c r="A333" s="63"/>
      <c r="B333" s="63"/>
      <c r="C333" s="63"/>
      <c r="D333" s="165"/>
      <c r="E333" s="165"/>
      <c r="F333" s="309" t="s">
        <v>227</v>
      </c>
    </row>
    <row r="334" spans="1:6" ht="22.8" x14ac:dyDescent="0.25">
      <c r="A334" s="97">
        <v>662</v>
      </c>
      <c r="B334" s="98">
        <v>662</v>
      </c>
      <c r="C334" s="99">
        <v>1</v>
      </c>
      <c r="D334" s="166" t="s">
        <v>265</v>
      </c>
      <c r="E334" s="6" t="s">
        <v>59</v>
      </c>
      <c r="F334" s="306" t="s">
        <v>226</v>
      </c>
    </row>
    <row r="335" spans="1:6" ht="13.8" thickBot="1" x14ac:dyDescent="0.3">
      <c r="A335" s="101"/>
      <c r="B335" s="62"/>
      <c r="C335" s="62"/>
      <c r="D335" s="164"/>
      <c r="E335" s="164"/>
      <c r="F335" s="307" t="s">
        <v>227</v>
      </c>
    </row>
    <row r="336" spans="1:6" x14ac:dyDescent="0.25">
      <c r="A336" s="80">
        <v>663</v>
      </c>
      <c r="B336" s="80">
        <v>663</v>
      </c>
      <c r="C336" s="81">
        <v>1</v>
      </c>
      <c r="D336" s="82" t="s">
        <v>189</v>
      </c>
      <c r="E336" s="82" t="s">
        <v>59</v>
      </c>
      <c r="F336" s="308" t="s">
        <v>226</v>
      </c>
    </row>
    <row r="337" spans="1:6" ht="13.8" thickBot="1" x14ac:dyDescent="0.3">
      <c r="A337" s="63"/>
      <c r="B337" s="63"/>
      <c r="C337" s="63"/>
      <c r="D337" s="165"/>
      <c r="E337" s="165"/>
      <c r="F337" s="309" t="s">
        <v>227</v>
      </c>
    </row>
    <row r="338" spans="1:6" x14ac:dyDescent="0.25">
      <c r="A338" s="97">
        <v>664</v>
      </c>
      <c r="B338" s="98">
        <v>664</v>
      </c>
      <c r="C338" s="99">
        <v>1</v>
      </c>
      <c r="D338" s="6" t="s">
        <v>196</v>
      </c>
      <c r="E338" s="6" t="s">
        <v>59</v>
      </c>
      <c r="F338" s="306" t="s">
        <v>226</v>
      </c>
    </row>
    <row r="339" spans="1:6" ht="13.8" thickBot="1" x14ac:dyDescent="0.3">
      <c r="A339" s="101"/>
      <c r="B339" s="62"/>
      <c r="C339" s="62"/>
      <c r="D339" s="164"/>
      <c r="E339" s="164"/>
      <c r="F339" s="307" t="s">
        <v>227</v>
      </c>
    </row>
    <row r="340" spans="1:6" x14ac:dyDescent="0.25">
      <c r="A340" s="80">
        <v>665</v>
      </c>
      <c r="B340" s="80">
        <v>665</v>
      </c>
      <c r="C340" s="81">
        <v>1</v>
      </c>
      <c r="D340" s="82" t="s">
        <v>197</v>
      </c>
      <c r="E340" s="82" t="s">
        <v>59</v>
      </c>
      <c r="F340" s="308" t="s">
        <v>226</v>
      </c>
    </row>
    <row r="341" spans="1:6" ht="13.8" thickBot="1" x14ac:dyDescent="0.3">
      <c r="A341" s="63"/>
      <c r="B341" s="63"/>
      <c r="C341" s="63"/>
      <c r="D341" s="165"/>
      <c r="E341" s="165"/>
      <c r="F341" s="309" t="s">
        <v>227</v>
      </c>
    </row>
    <row r="342" spans="1:6" ht="22.8" x14ac:dyDescent="0.25">
      <c r="A342" s="97">
        <v>666</v>
      </c>
      <c r="B342" s="98">
        <v>666</v>
      </c>
      <c r="C342" s="99">
        <v>1</v>
      </c>
      <c r="D342" s="166" t="s">
        <v>262</v>
      </c>
      <c r="E342" s="6" t="s">
        <v>59</v>
      </c>
      <c r="F342" s="306" t="s">
        <v>226</v>
      </c>
    </row>
    <row r="343" spans="1:6" ht="13.8" thickBot="1" x14ac:dyDescent="0.3">
      <c r="A343" s="101"/>
      <c r="B343" s="62"/>
      <c r="C343" s="62"/>
      <c r="D343" s="164"/>
      <c r="E343" s="164"/>
      <c r="F343" s="307" t="s">
        <v>227</v>
      </c>
    </row>
    <row r="344" spans="1:6" ht="22.8" x14ac:dyDescent="0.25">
      <c r="A344" s="80">
        <v>667</v>
      </c>
      <c r="B344" s="80">
        <v>667</v>
      </c>
      <c r="C344" s="81">
        <v>1</v>
      </c>
      <c r="D344" s="167" t="s">
        <v>266</v>
      </c>
      <c r="E344" s="82" t="s">
        <v>59</v>
      </c>
      <c r="F344" s="308" t="s">
        <v>226</v>
      </c>
    </row>
    <row r="345" spans="1:6" ht="13.8" thickBot="1" x14ac:dyDescent="0.3">
      <c r="A345" s="63"/>
      <c r="B345" s="63"/>
      <c r="C345" s="63"/>
      <c r="D345" s="164"/>
      <c r="E345" s="165"/>
      <c r="F345" s="309" t="s">
        <v>227</v>
      </c>
    </row>
    <row r="346" spans="1:6" x14ac:dyDescent="0.25">
      <c r="A346" s="97">
        <v>668</v>
      </c>
      <c r="B346" s="98">
        <v>668</v>
      </c>
      <c r="C346" s="99">
        <v>1</v>
      </c>
      <c r="D346" s="6" t="s">
        <v>198</v>
      </c>
      <c r="E346" s="6" t="s">
        <v>59</v>
      </c>
      <c r="F346" s="306" t="s">
        <v>226</v>
      </c>
    </row>
    <row r="347" spans="1:6" ht="13.8" thickBot="1" x14ac:dyDescent="0.3">
      <c r="A347" s="101"/>
      <c r="B347" s="62"/>
      <c r="C347" s="62"/>
      <c r="D347" s="164"/>
      <c r="E347" s="164"/>
      <c r="F347" s="307" t="s">
        <v>227</v>
      </c>
    </row>
    <row r="348" spans="1:6" x14ac:dyDescent="0.25">
      <c r="A348" s="97">
        <v>669</v>
      </c>
      <c r="B348" s="98">
        <v>669</v>
      </c>
      <c r="C348" s="99">
        <v>1</v>
      </c>
      <c r="D348" s="6" t="s">
        <v>190</v>
      </c>
      <c r="E348" s="6" t="s">
        <v>59</v>
      </c>
      <c r="F348" s="306" t="s">
        <v>226</v>
      </c>
    </row>
    <row r="349" spans="1:6" ht="13.8" thickBot="1" x14ac:dyDescent="0.3">
      <c r="A349" s="101"/>
      <c r="B349" s="62"/>
      <c r="C349" s="62"/>
      <c r="D349" s="164"/>
      <c r="E349" s="164"/>
      <c r="F349" s="307" t="s">
        <v>227</v>
      </c>
    </row>
    <row r="350" spans="1:6" x14ac:dyDescent="0.25">
      <c r="A350" s="80">
        <v>670</v>
      </c>
      <c r="B350" s="80">
        <v>670</v>
      </c>
      <c r="C350" s="81">
        <v>1</v>
      </c>
      <c r="D350" s="82" t="s">
        <v>191</v>
      </c>
      <c r="E350" s="82" t="s">
        <v>59</v>
      </c>
      <c r="F350" s="308" t="s">
        <v>226</v>
      </c>
    </row>
    <row r="351" spans="1:6" ht="13.8" thickBot="1" x14ac:dyDescent="0.3">
      <c r="A351" s="63"/>
      <c r="B351" s="63"/>
      <c r="C351" s="63"/>
      <c r="D351" s="165"/>
      <c r="E351" s="165"/>
      <c r="F351" s="309" t="s">
        <v>227</v>
      </c>
    </row>
    <row r="352" spans="1:6" ht="22.8" x14ac:dyDescent="0.25">
      <c r="A352" s="97">
        <v>671</v>
      </c>
      <c r="B352" s="98">
        <v>671</v>
      </c>
      <c r="C352" s="99">
        <v>1</v>
      </c>
      <c r="D352" s="166" t="s">
        <v>263</v>
      </c>
      <c r="E352" s="6" t="s">
        <v>59</v>
      </c>
      <c r="F352" s="306" t="s">
        <v>226</v>
      </c>
    </row>
    <row r="353" spans="1:6" ht="13.8" thickBot="1" x14ac:dyDescent="0.3">
      <c r="A353" s="101"/>
      <c r="B353" s="62"/>
      <c r="C353" s="62"/>
      <c r="D353" s="164"/>
      <c r="E353" s="164"/>
      <c r="F353" s="307" t="s">
        <v>227</v>
      </c>
    </row>
    <row r="354" spans="1:6" ht="22.8" x14ac:dyDescent="0.25">
      <c r="A354" s="80">
        <v>672</v>
      </c>
      <c r="B354" s="80">
        <v>672</v>
      </c>
      <c r="C354" s="81">
        <v>1</v>
      </c>
      <c r="D354" s="167" t="s">
        <v>267</v>
      </c>
      <c r="E354" s="82" t="s">
        <v>59</v>
      </c>
      <c r="F354" s="308" t="s">
        <v>226</v>
      </c>
    </row>
    <row r="355" spans="1:6" ht="13.8" thickBot="1" x14ac:dyDescent="0.3">
      <c r="A355" s="63"/>
      <c r="B355" s="63"/>
      <c r="C355" s="63"/>
      <c r="D355" s="164"/>
      <c r="E355" s="165"/>
      <c r="F355" s="309" t="s">
        <v>227</v>
      </c>
    </row>
    <row r="356" spans="1:6" x14ac:dyDescent="0.25">
      <c r="A356" s="97">
        <v>673</v>
      </c>
      <c r="B356" s="98">
        <v>673</v>
      </c>
      <c r="C356" s="99">
        <v>1</v>
      </c>
      <c r="D356" s="6" t="s">
        <v>192</v>
      </c>
      <c r="E356" s="6" t="s">
        <v>59</v>
      </c>
      <c r="F356" s="306" t="s">
        <v>226</v>
      </c>
    </row>
    <row r="357" spans="1:6" ht="13.8" thickBot="1" x14ac:dyDescent="0.3">
      <c r="A357" s="101"/>
      <c r="B357" s="62"/>
      <c r="C357" s="62"/>
      <c r="D357" s="164"/>
      <c r="E357" s="164"/>
      <c r="F357" s="307" t="s">
        <v>227</v>
      </c>
    </row>
    <row r="358" spans="1:6" x14ac:dyDescent="0.25">
      <c r="A358" s="80">
        <v>674</v>
      </c>
      <c r="B358" s="80">
        <v>674</v>
      </c>
      <c r="C358" s="81">
        <v>1</v>
      </c>
      <c r="D358" s="82" t="s">
        <v>193</v>
      </c>
      <c r="E358" s="82" t="s">
        <v>59</v>
      </c>
      <c r="F358" s="308" t="s">
        <v>226</v>
      </c>
    </row>
    <row r="359" spans="1:6" ht="13.8" thickBot="1" x14ac:dyDescent="0.3">
      <c r="A359" s="63"/>
      <c r="B359" s="63"/>
      <c r="C359" s="63"/>
      <c r="D359" s="165"/>
      <c r="E359" s="165"/>
      <c r="F359" s="309" t="s">
        <v>227</v>
      </c>
    </row>
    <row r="360" spans="1:6" x14ac:dyDescent="0.25">
      <c r="A360" s="97">
        <v>675</v>
      </c>
      <c r="B360" s="98">
        <v>675</v>
      </c>
      <c r="C360" s="99">
        <v>1</v>
      </c>
      <c r="D360" s="6" t="s">
        <v>194</v>
      </c>
      <c r="E360" s="6" t="s">
        <v>59</v>
      </c>
      <c r="F360" s="306" t="s">
        <v>226</v>
      </c>
    </row>
    <row r="361" spans="1:6" ht="13.8" thickBot="1" x14ac:dyDescent="0.3">
      <c r="A361" s="101"/>
      <c r="B361" s="62"/>
      <c r="C361" s="62"/>
      <c r="D361" s="164"/>
      <c r="E361" s="164"/>
      <c r="F361" s="307" t="s">
        <v>227</v>
      </c>
    </row>
    <row r="362" spans="1:6" ht="22.8" x14ac:dyDescent="0.25">
      <c r="A362" s="80">
        <v>676</v>
      </c>
      <c r="B362" s="80">
        <v>676</v>
      </c>
      <c r="C362" s="81">
        <v>1</v>
      </c>
      <c r="D362" s="167" t="s">
        <v>264</v>
      </c>
      <c r="E362" s="82" t="s">
        <v>59</v>
      </c>
      <c r="F362" s="308" t="s">
        <v>226</v>
      </c>
    </row>
    <row r="363" spans="1:6" ht="13.8" thickBot="1" x14ac:dyDescent="0.3">
      <c r="A363" s="63"/>
      <c r="B363" s="63"/>
      <c r="C363" s="63"/>
      <c r="D363" s="165"/>
      <c r="E363" s="165"/>
      <c r="F363" s="309" t="s">
        <v>227</v>
      </c>
    </row>
    <row r="364" spans="1:6" ht="22.8" x14ac:dyDescent="0.25">
      <c r="A364" s="97">
        <v>677</v>
      </c>
      <c r="B364" s="98">
        <v>677</v>
      </c>
      <c r="C364" s="99">
        <v>1</v>
      </c>
      <c r="D364" s="166" t="s">
        <v>268</v>
      </c>
      <c r="E364" s="6" t="s">
        <v>59</v>
      </c>
      <c r="F364" s="306" t="s">
        <v>226</v>
      </c>
    </row>
    <row r="365" spans="1:6" ht="13.8" thickBot="1" x14ac:dyDescent="0.3">
      <c r="A365" s="101"/>
      <c r="B365" s="62"/>
      <c r="C365" s="62"/>
      <c r="D365" s="164"/>
      <c r="E365" s="164"/>
      <c r="F365" s="307" t="s">
        <v>227</v>
      </c>
    </row>
    <row r="366" spans="1:6" x14ac:dyDescent="0.25">
      <c r="A366" s="80">
        <v>678</v>
      </c>
      <c r="B366" s="80">
        <v>678</v>
      </c>
      <c r="C366" s="81">
        <v>1</v>
      </c>
      <c r="D366" s="82" t="s">
        <v>195</v>
      </c>
      <c r="E366" s="82" t="s">
        <v>59</v>
      </c>
      <c r="F366" s="308" t="s">
        <v>226</v>
      </c>
    </row>
    <row r="367" spans="1:6" ht="13.8" thickBot="1" x14ac:dyDescent="0.3">
      <c r="A367" s="63"/>
      <c r="B367" s="63"/>
      <c r="C367" s="63"/>
      <c r="D367" s="165"/>
      <c r="E367" s="165"/>
      <c r="F367" s="309" t="s">
        <v>227</v>
      </c>
    </row>
    <row r="368" spans="1:6" ht="53.4" thickBot="1" x14ac:dyDescent="0.3">
      <c r="A368" s="9">
        <v>679</v>
      </c>
      <c r="B368" s="10">
        <v>687</v>
      </c>
      <c r="C368" s="11">
        <v>9</v>
      </c>
      <c r="D368" s="12" t="s">
        <v>200</v>
      </c>
      <c r="E368" s="12" t="s">
        <v>250</v>
      </c>
      <c r="F368" s="310" t="s">
        <v>249</v>
      </c>
    </row>
    <row r="369" spans="1:6" ht="53.4" thickBot="1" x14ac:dyDescent="0.3">
      <c r="A369" s="70">
        <v>688</v>
      </c>
      <c r="B369" s="71">
        <v>696</v>
      </c>
      <c r="C369" s="72">
        <v>9</v>
      </c>
      <c r="D369" s="73" t="s">
        <v>199</v>
      </c>
      <c r="E369" s="12" t="s">
        <v>250</v>
      </c>
      <c r="F369" s="310" t="s">
        <v>249</v>
      </c>
    </row>
    <row r="370" spans="1:6" ht="53.4" thickBot="1" x14ac:dyDescent="0.3">
      <c r="A370" s="9">
        <v>697</v>
      </c>
      <c r="B370" s="76">
        <v>705</v>
      </c>
      <c r="C370" s="69">
        <v>9</v>
      </c>
      <c r="D370" s="12" t="s">
        <v>309</v>
      </c>
      <c r="E370" s="12" t="s">
        <v>250</v>
      </c>
      <c r="F370" s="310" t="s">
        <v>249</v>
      </c>
    </row>
    <row r="371" spans="1:6" ht="53.4" thickBot="1" x14ac:dyDescent="0.3">
      <c r="A371" s="9">
        <v>706</v>
      </c>
      <c r="B371" s="76">
        <v>714</v>
      </c>
      <c r="C371" s="65">
        <v>9</v>
      </c>
      <c r="D371" s="66" t="s">
        <v>201</v>
      </c>
      <c r="E371" s="12" t="s">
        <v>250</v>
      </c>
      <c r="F371" s="310" t="s">
        <v>249</v>
      </c>
    </row>
    <row r="372" spans="1:6" ht="53.4" thickBot="1" x14ac:dyDescent="0.3">
      <c r="A372" s="9">
        <v>715</v>
      </c>
      <c r="B372" s="76">
        <v>723</v>
      </c>
      <c r="C372" s="11">
        <v>9</v>
      </c>
      <c r="D372" s="12" t="s">
        <v>202</v>
      </c>
      <c r="E372" s="12" t="s">
        <v>250</v>
      </c>
      <c r="F372" s="310" t="s">
        <v>249</v>
      </c>
    </row>
    <row r="373" spans="1:6" ht="27" thickBot="1" x14ac:dyDescent="0.3">
      <c r="A373" s="9">
        <v>724</v>
      </c>
      <c r="B373" s="76">
        <v>743</v>
      </c>
      <c r="C373" s="65">
        <v>20</v>
      </c>
      <c r="D373" s="66" t="s">
        <v>204</v>
      </c>
      <c r="E373" s="12" t="s">
        <v>250</v>
      </c>
      <c r="F373" s="310" t="s">
        <v>29</v>
      </c>
    </row>
    <row r="374" spans="1:6" ht="27" thickBot="1" x14ac:dyDescent="0.3">
      <c r="A374" s="9">
        <v>744</v>
      </c>
      <c r="B374" s="76">
        <v>763</v>
      </c>
      <c r="C374" s="11">
        <v>20</v>
      </c>
      <c r="D374" s="12" t="s">
        <v>203</v>
      </c>
      <c r="E374" s="12" t="s">
        <v>250</v>
      </c>
      <c r="F374" s="310" t="s">
        <v>29</v>
      </c>
    </row>
    <row r="375" spans="1:6" ht="27" thickBot="1" x14ac:dyDescent="0.3">
      <c r="A375" s="9">
        <v>764</v>
      </c>
      <c r="B375" s="76">
        <v>783</v>
      </c>
      <c r="C375" s="67">
        <v>20</v>
      </c>
      <c r="D375" s="68" t="s">
        <v>310</v>
      </c>
      <c r="E375" s="12" t="s">
        <v>250</v>
      </c>
      <c r="F375" s="310" t="s">
        <v>29</v>
      </c>
    </row>
    <row r="376" spans="1:6" ht="27" thickBot="1" x14ac:dyDescent="0.3">
      <c r="A376" s="9">
        <v>784</v>
      </c>
      <c r="B376" s="76">
        <v>803</v>
      </c>
      <c r="C376" s="65">
        <v>20</v>
      </c>
      <c r="D376" s="66" t="s">
        <v>205</v>
      </c>
      <c r="E376" s="12" t="s">
        <v>250</v>
      </c>
      <c r="F376" s="310" t="s">
        <v>29</v>
      </c>
    </row>
    <row r="377" spans="1:6" ht="27" thickBot="1" x14ac:dyDescent="0.3">
      <c r="A377" s="9">
        <v>804</v>
      </c>
      <c r="B377" s="76">
        <v>823</v>
      </c>
      <c r="C377" s="11">
        <v>20</v>
      </c>
      <c r="D377" s="12" t="s">
        <v>206</v>
      </c>
      <c r="E377" s="12" t="s">
        <v>250</v>
      </c>
      <c r="F377" s="310" t="s">
        <v>29</v>
      </c>
    </row>
  </sheetData>
  <phoneticPr fontId="3" type="noConversion"/>
  <pageMargins left="0.75" right="0.75" top="1" bottom="1" header="0.5" footer="0.5"/>
  <pageSetup scale="94" fitToHeight="1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3"/>
  <sheetViews>
    <sheetView zoomScale="55" zoomScaleNormal="55" workbookViewId="0">
      <selection activeCell="L28" sqref="L28"/>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 customWidth="1"/>
    <col min="7" max="16384" width="9.109375" style="235"/>
  </cols>
  <sheetData>
    <row r="1" spans="1:6" s="191" customFormat="1" ht="13.8" thickBot="1" x14ac:dyDescent="0.3">
      <c r="A1" s="174" t="s">
        <v>44</v>
      </c>
      <c r="B1" s="175" t="s">
        <v>45</v>
      </c>
      <c r="C1" s="176" t="s">
        <v>46</v>
      </c>
      <c r="D1" s="177" t="s">
        <v>47</v>
      </c>
      <c r="E1" s="177" t="s">
        <v>48</v>
      </c>
      <c r="F1" s="247" t="s">
        <v>62</v>
      </c>
    </row>
    <row r="2" spans="1:6" s="191" customFormat="1" ht="13.8" thickBot="1" x14ac:dyDescent="0.3">
      <c r="A2" s="20">
        <v>1</v>
      </c>
      <c r="B2" s="21">
        <v>11</v>
      </c>
      <c r="C2" s="21">
        <v>11</v>
      </c>
      <c r="D2" s="22" t="s">
        <v>49</v>
      </c>
      <c r="E2" s="48" t="s">
        <v>50</v>
      </c>
      <c r="F2" s="248"/>
    </row>
    <row r="3" spans="1:6" s="191" customFormat="1" ht="13.8" thickBot="1" x14ac:dyDescent="0.3">
      <c r="A3" s="20">
        <v>12</v>
      </c>
      <c r="B3" s="21">
        <v>19</v>
      </c>
      <c r="C3" s="21">
        <v>8</v>
      </c>
      <c r="D3" s="38" t="s">
        <v>51</v>
      </c>
      <c r="E3" s="48" t="s">
        <v>50</v>
      </c>
      <c r="F3" s="249"/>
    </row>
    <row r="4" spans="1:6" s="191" customFormat="1" ht="13.8" thickBot="1" x14ac:dyDescent="0.3">
      <c r="A4" s="33">
        <v>20</v>
      </c>
      <c r="B4" s="34">
        <v>20</v>
      </c>
      <c r="C4" s="34">
        <v>1</v>
      </c>
      <c r="D4" s="35" t="s">
        <v>52</v>
      </c>
      <c r="E4" s="192" t="s">
        <v>50</v>
      </c>
      <c r="F4" s="250"/>
    </row>
    <row r="5" spans="1:6" s="191" customFormat="1" ht="27" thickBot="1" x14ac:dyDescent="0.3">
      <c r="A5" s="21">
        <v>21</v>
      </c>
      <c r="B5" s="21">
        <v>29</v>
      </c>
      <c r="C5" s="21">
        <v>9</v>
      </c>
      <c r="D5" s="39" t="s">
        <v>53</v>
      </c>
      <c r="E5" s="38" t="s">
        <v>54</v>
      </c>
      <c r="F5" s="251"/>
    </row>
    <row r="6" spans="1:6" s="191" customFormat="1" ht="13.8" thickBot="1" x14ac:dyDescent="0.3">
      <c r="A6" s="21">
        <v>30</v>
      </c>
      <c r="B6" s="21">
        <v>31</v>
      </c>
      <c r="C6" s="21">
        <v>2</v>
      </c>
      <c r="D6" s="41" t="s">
        <v>55</v>
      </c>
      <c r="E6" s="41" t="s">
        <v>56</v>
      </c>
      <c r="F6" s="251" t="s">
        <v>57</v>
      </c>
    </row>
    <row r="7" spans="1:6" s="191" customFormat="1" ht="13.8" thickBot="1" x14ac:dyDescent="0.3">
      <c r="A7" s="21">
        <v>32</v>
      </c>
      <c r="B7" s="21">
        <v>32</v>
      </c>
      <c r="C7" s="21">
        <v>1</v>
      </c>
      <c r="D7" s="41" t="s">
        <v>58</v>
      </c>
      <c r="E7" s="41" t="s">
        <v>59</v>
      </c>
      <c r="F7" s="251" t="s">
        <v>75</v>
      </c>
    </row>
    <row r="8" spans="1:6" s="191" customFormat="1" ht="13.8" thickBot="1" x14ac:dyDescent="0.3">
      <c r="A8" s="42">
        <v>33</v>
      </c>
      <c r="B8" s="42">
        <v>37</v>
      </c>
      <c r="C8" s="42">
        <v>5</v>
      </c>
      <c r="D8" s="43" t="s">
        <v>65</v>
      </c>
      <c r="E8" s="43"/>
      <c r="F8" s="252"/>
    </row>
    <row r="9" spans="1:6" s="191" customFormat="1" ht="13.8" thickBot="1" x14ac:dyDescent="0.3">
      <c r="A9" s="21">
        <v>38</v>
      </c>
      <c r="B9" s="21">
        <v>39</v>
      </c>
      <c r="C9" s="21">
        <v>2</v>
      </c>
      <c r="D9" s="41" t="s">
        <v>66</v>
      </c>
      <c r="E9" s="41" t="s">
        <v>67</v>
      </c>
      <c r="F9" s="265" t="str">
        <f>OAA!F9</f>
        <v>01, 02,..., 12</v>
      </c>
    </row>
    <row r="10" spans="1:6" s="191" customFormat="1" ht="13.8" thickBot="1" x14ac:dyDescent="0.3">
      <c r="A10" s="20">
        <v>40</v>
      </c>
      <c r="B10" s="21">
        <v>41</v>
      </c>
      <c r="C10" s="21">
        <v>2</v>
      </c>
      <c r="D10" s="41" t="s">
        <v>68</v>
      </c>
      <c r="E10" s="48" t="s">
        <v>67</v>
      </c>
      <c r="F10" s="265" t="str">
        <f>OAA!F10</f>
        <v>01, 02,..., 31</v>
      </c>
    </row>
    <row r="11" spans="1:6" s="191" customFormat="1" ht="13.8" thickBot="1" x14ac:dyDescent="0.3">
      <c r="A11" s="21">
        <v>42</v>
      </c>
      <c r="B11" s="21">
        <v>45</v>
      </c>
      <c r="C11" s="21">
        <v>4</v>
      </c>
      <c r="D11" s="41" t="s">
        <v>69</v>
      </c>
      <c r="E11" s="40" t="s">
        <v>67</v>
      </c>
      <c r="F11" s="265" t="str">
        <f>OAA!F11</f>
        <v>CCYY Format</v>
      </c>
    </row>
    <row r="12" spans="1:6" s="191" customFormat="1" ht="40.200000000000003" thickBot="1" x14ac:dyDescent="0.3">
      <c r="A12" s="21">
        <v>46</v>
      </c>
      <c r="B12" s="21">
        <v>47</v>
      </c>
      <c r="C12" s="21">
        <v>2</v>
      </c>
      <c r="D12" s="48" t="s">
        <v>71</v>
      </c>
      <c r="E12" s="48" t="s">
        <v>67</v>
      </c>
      <c r="F12" s="267" t="str">
        <f>OAA!F12</f>
        <v>22=Kindergarten, 01, 02, …. 13=Adult HS, 14=OGT Only, blank=missing/unknown</v>
      </c>
    </row>
    <row r="13" spans="1:6" s="191" customFormat="1" x14ac:dyDescent="0.25">
      <c r="A13" s="18">
        <v>48</v>
      </c>
      <c r="B13" s="18">
        <v>48</v>
      </c>
      <c r="C13" s="18">
        <v>1</v>
      </c>
      <c r="D13" s="46" t="s">
        <v>72</v>
      </c>
      <c r="E13" s="46" t="s">
        <v>50</v>
      </c>
      <c r="F13" s="268" t="str">
        <f>OAA!F13</f>
        <v>F=Female</v>
      </c>
    </row>
    <row r="14" spans="1:6" s="191" customFormat="1" x14ac:dyDescent="0.25">
      <c r="A14" s="17"/>
      <c r="B14" s="17"/>
      <c r="C14" s="17"/>
      <c r="D14" s="2"/>
      <c r="E14" s="2"/>
      <c r="F14" s="269" t="str">
        <f>OAA!F14</f>
        <v>M=Male</v>
      </c>
    </row>
    <row r="15" spans="1:6" s="191" customFormat="1" ht="13.8" thickBot="1" x14ac:dyDescent="0.3">
      <c r="A15" s="31"/>
      <c r="B15" s="31"/>
      <c r="C15" s="31"/>
      <c r="D15" s="50"/>
      <c r="E15" s="50"/>
      <c r="F15" s="271" t="str">
        <f>OAA!F15</f>
        <v>blank=unknown</v>
      </c>
    </row>
    <row r="16" spans="1:6" s="191" customFormat="1" x14ac:dyDescent="0.25">
      <c r="A16" s="18">
        <v>49</v>
      </c>
      <c r="B16" s="18">
        <v>49</v>
      </c>
      <c r="C16" s="18">
        <v>1</v>
      </c>
      <c r="D16" s="46" t="s">
        <v>73</v>
      </c>
      <c r="E16" s="19" t="s">
        <v>67</v>
      </c>
      <c r="F16" s="268" t="str">
        <f>OAA!F16</f>
        <v>1=American Indian</v>
      </c>
    </row>
    <row r="17" spans="1:6" s="191" customFormat="1" x14ac:dyDescent="0.25">
      <c r="A17" s="17"/>
      <c r="B17" s="17"/>
      <c r="C17" s="17"/>
      <c r="D17" s="2"/>
      <c r="E17" s="16"/>
      <c r="F17" s="269" t="str">
        <f>OAA!F17</f>
        <v>2=Asian/Pacific Islander</v>
      </c>
    </row>
    <row r="18" spans="1:6" s="191" customFormat="1" x14ac:dyDescent="0.25">
      <c r="A18" s="17"/>
      <c r="B18" s="17"/>
      <c r="C18" s="17"/>
      <c r="D18" s="2"/>
      <c r="E18" s="16"/>
      <c r="F18" s="269" t="str">
        <f>OAA!F18</f>
        <v>3=Black/African American</v>
      </c>
    </row>
    <row r="19" spans="1:6" s="191" customFormat="1" x14ac:dyDescent="0.25">
      <c r="A19" s="17"/>
      <c r="B19" s="17"/>
      <c r="C19" s="17"/>
      <c r="D19" s="2"/>
      <c r="E19" s="16"/>
      <c r="F19" s="269" t="str">
        <f>OAA!F19</f>
        <v>4=Hispanic</v>
      </c>
    </row>
    <row r="20" spans="1:6" s="191" customFormat="1" x14ac:dyDescent="0.25">
      <c r="A20" s="17"/>
      <c r="B20" s="17"/>
      <c r="C20" s="17"/>
      <c r="D20" s="2"/>
      <c r="E20" s="16"/>
      <c r="F20" s="269" t="str">
        <f>OAA!F20</f>
        <v>5=White</v>
      </c>
    </row>
    <row r="21" spans="1:6" s="191" customFormat="1" x14ac:dyDescent="0.25">
      <c r="A21" s="17"/>
      <c r="B21" s="17"/>
      <c r="C21" s="17"/>
      <c r="D21" s="2"/>
      <c r="E21" s="16"/>
      <c r="F21" s="269" t="str">
        <f>OAA!F21</f>
        <v>6=Multi-Racial</v>
      </c>
    </row>
    <row r="22" spans="1:6" s="191" customFormat="1" x14ac:dyDescent="0.25">
      <c r="A22" s="17"/>
      <c r="B22" s="17"/>
      <c r="C22" s="17"/>
      <c r="D22" s="2"/>
      <c r="E22" s="16"/>
      <c r="F22" s="269" t="str">
        <f>OAA!F22</f>
        <v>7=Other</v>
      </c>
    </row>
    <row r="23" spans="1:6" s="191" customFormat="1" ht="13.8" thickBot="1" x14ac:dyDescent="0.3">
      <c r="A23" s="31"/>
      <c r="B23" s="31"/>
      <c r="C23" s="31"/>
      <c r="D23" s="50"/>
      <c r="E23" s="32"/>
      <c r="F23" s="60" t="str">
        <f>OAA!F23</f>
        <v>Blank=Unknown</v>
      </c>
    </row>
    <row r="24" spans="1:6" s="191" customFormat="1" x14ac:dyDescent="0.25">
      <c r="A24" s="53">
        <v>50</v>
      </c>
      <c r="B24" s="53">
        <v>58</v>
      </c>
      <c r="C24" s="53">
        <v>9</v>
      </c>
      <c r="D24" s="54" t="s">
        <v>65</v>
      </c>
      <c r="E24" s="54"/>
      <c r="F24" s="61"/>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113" t="str">
        <f>OAA!F29</f>
        <v>MM</v>
      </c>
    </row>
    <row r="30" spans="1:6" s="191" customFormat="1" ht="13.8" thickBot="1" x14ac:dyDescent="0.3">
      <c r="A30" s="20">
        <v>113</v>
      </c>
      <c r="B30" s="21">
        <v>114</v>
      </c>
      <c r="C30" s="21">
        <v>2</v>
      </c>
      <c r="D30" s="48" t="s">
        <v>91</v>
      </c>
      <c r="E30" s="48" t="s">
        <v>67</v>
      </c>
      <c r="F30" s="45" t="str">
        <f>OAA!F30</f>
        <v>DD</v>
      </c>
    </row>
    <row r="31" spans="1:6" s="191" customFormat="1" ht="13.8" thickBot="1" x14ac:dyDescent="0.3">
      <c r="A31" s="108">
        <v>115</v>
      </c>
      <c r="B31" s="108">
        <v>118</v>
      </c>
      <c r="C31" s="108">
        <v>4</v>
      </c>
      <c r="D31" s="112" t="s">
        <v>92</v>
      </c>
      <c r="E31" s="112" t="s">
        <v>87</v>
      </c>
      <c r="F31" s="113" t="str">
        <f>OAA!F31</f>
        <v>CCYY format</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55"/>
    </row>
    <row r="34" spans="1:6" s="191" customFormat="1" x14ac:dyDescent="0.25">
      <c r="A34" s="147">
        <v>126</v>
      </c>
      <c r="B34" s="148">
        <v>126</v>
      </c>
      <c r="C34" s="148">
        <v>1</v>
      </c>
      <c r="D34" s="203" t="s">
        <v>94</v>
      </c>
      <c r="E34" s="203" t="s">
        <v>50</v>
      </c>
      <c r="F34" s="150" t="str">
        <f>OAA!F34</f>
        <v>Y=Yes</v>
      </c>
    </row>
    <row r="35" spans="1:6" s="191" customFormat="1" ht="13.8" thickBot="1" x14ac:dyDescent="0.3">
      <c r="A35" s="30"/>
      <c r="B35" s="31"/>
      <c r="C35" s="31"/>
      <c r="D35" s="50"/>
      <c r="E35" s="50"/>
      <c r="F35" s="60" t="str">
        <f>OAA!F35</f>
        <v>Blank=Not Indicated</v>
      </c>
    </row>
    <row r="36" spans="1:6" s="191" customFormat="1" x14ac:dyDescent="0.25">
      <c r="A36" s="131">
        <v>127</v>
      </c>
      <c r="B36" s="18">
        <v>127</v>
      </c>
      <c r="C36" s="18">
        <v>1</v>
      </c>
      <c r="D36" s="46" t="s">
        <v>95</v>
      </c>
      <c r="E36" s="46" t="s">
        <v>50</v>
      </c>
      <c r="F36" s="58" t="str">
        <f>OAA!F36</f>
        <v>Y=Yes</v>
      </c>
    </row>
    <row r="37" spans="1:6" s="191" customFormat="1" ht="13.8" thickBot="1" x14ac:dyDescent="0.3">
      <c r="A37" s="30"/>
      <c r="B37" s="31"/>
      <c r="C37" s="31"/>
      <c r="D37" s="50"/>
      <c r="E37" s="50"/>
      <c r="F37" s="60" t="str">
        <f>OAA!F37</f>
        <v>Blank=Not Indicated</v>
      </c>
    </row>
    <row r="38" spans="1:6" s="191" customFormat="1" x14ac:dyDescent="0.25">
      <c r="A38" s="18">
        <v>128</v>
      </c>
      <c r="B38" s="18">
        <v>128</v>
      </c>
      <c r="C38" s="18">
        <v>1</v>
      </c>
      <c r="D38" s="46" t="s">
        <v>96</v>
      </c>
      <c r="E38" s="46" t="s">
        <v>50</v>
      </c>
      <c r="F38" s="58" t="str">
        <f>OAA!F38</f>
        <v>Y=Yes</v>
      </c>
    </row>
    <row r="39" spans="1:6" s="191" customFormat="1" ht="13.8" thickBot="1" x14ac:dyDescent="0.3">
      <c r="A39" s="77"/>
      <c r="B39" s="77"/>
      <c r="C39" s="77"/>
      <c r="D39" s="118"/>
      <c r="E39" s="118"/>
      <c r="F39" s="79" t="str">
        <f>OAA!F39</f>
        <v>Blank=Not Indicated</v>
      </c>
    </row>
    <row r="40" spans="1:6" s="191" customFormat="1" ht="39.6" x14ac:dyDescent="0.25">
      <c r="A40" s="28">
        <v>129</v>
      </c>
      <c r="B40" s="29">
        <v>129</v>
      </c>
      <c r="C40" s="29">
        <v>1</v>
      </c>
      <c r="D40" s="116" t="s">
        <v>97</v>
      </c>
      <c r="E40" s="115" t="s">
        <v>50</v>
      </c>
      <c r="F40" s="117" t="str">
        <f>OAA!F40</f>
        <v>Y=Yes</v>
      </c>
    </row>
    <row r="41" spans="1:6" s="191" customFormat="1" ht="13.8" thickBot="1" x14ac:dyDescent="0.3">
      <c r="A41" s="30"/>
      <c r="B41" s="31"/>
      <c r="C41" s="31"/>
      <c r="D41" s="52"/>
      <c r="E41" s="52"/>
      <c r="F41" s="60" t="str">
        <f>OAA!F41</f>
        <v>Blank=Not Indicated</v>
      </c>
    </row>
    <row r="42" spans="1:6" s="191" customFormat="1" ht="39.6" x14ac:dyDescent="0.25">
      <c r="A42" s="18">
        <v>130</v>
      </c>
      <c r="B42" s="18">
        <v>130</v>
      </c>
      <c r="C42" s="18">
        <v>1</v>
      </c>
      <c r="D42" s="27" t="s">
        <v>98</v>
      </c>
      <c r="E42" s="46" t="s">
        <v>50</v>
      </c>
      <c r="F42" s="58" t="str">
        <f>OAA!F42</f>
        <v>Y=Yes</v>
      </c>
    </row>
    <row r="43" spans="1:6" s="191" customFormat="1" ht="13.8" thickBot="1" x14ac:dyDescent="0.3">
      <c r="A43" s="77"/>
      <c r="B43" s="77"/>
      <c r="C43" s="77"/>
      <c r="D43" s="78"/>
      <c r="E43" s="78"/>
      <c r="F43" s="79" t="str">
        <f>OAA!F43</f>
        <v>Blank=Not Indicated</v>
      </c>
    </row>
    <row r="44" spans="1:6" s="191" customFormat="1" x14ac:dyDescent="0.25">
      <c r="A44" s="28">
        <v>131</v>
      </c>
      <c r="B44" s="29">
        <v>131</v>
      </c>
      <c r="C44" s="29">
        <v>1</v>
      </c>
      <c r="D44" s="115" t="s">
        <v>99</v>
      </c>
      <c r="E44" s="115" t="s">
        <v>50</v>
      </c>
      <c r="F44" s="117" t="str">
        <f>OAA!F44</f>
        <v>Y=Yes</v>
      </c>
    </row>
    <row r="45" spans="1:6" s="191" customFormat="1" ht="13.8" thickBot="1" x14ac:dyDescent="0.3">
      <c r="A45" s="30"/>
      <c r="B45" s="31"/>
      <c r="C45" s="31"/>
      <c r="D45" s="50"/>
      <c r="E45" s="50"/>
      <c r="F45" s="60" t="str">
        <f>OAA!F45</f>
        <v>Blank=Not Indicated</v>
      </c>
    </row>
    <row r="46" spans="1:6" s="191" customFormat="1" x14ac:dyDescent="0.25">
      <c r="A46" s="18">
        <v>132</v>
      </c>
      <c r="B46" s="18">
        <v>132</v>
      </c>
      <c r="C46" s="18">
        <v>1</v>
      </c>
      <c r="D46" s="46" t="s">
        <v>100</v>
      </c>
      <c r="E46" s="46" t="s">
        <v>50</v>
      </c>
      <c r="F46" s="58" t="str">
        <f>OAA!F46</f>
        <v>Y=Yes</v>
      </c>
    </row>
    <row r="47" spans="1:6" s="191" customFormat="1" ht="13.8" thickBot="1" x14ac:dyDescent="0.3">
      <c r="A47" s="77"/>
      <c r="B47" s="77"/>
      <c r="C47" s="77"/>
      <c r="D47" s="118"/>
      <c r="E47" s="118"/>
      <c r="F47" s="79" t="str">
        <f>OAA!F47</f>
        <v>Blank=Not Indicated</v>
      </c>
    </row>
    <row r="48" spans="1:6" s="191" customFormat="1" x14ac:dyDescent="0.25">
      <c r="A48" s="124">
        <v>133</v>
      </c>
      <c r="B48" s="125">
        <v>133</v>
      </c>
      <c r="C48" s="125">
        <v>1</v>
      </c>
      <c r="D48" s="204" t="s">
        <v>101</v>
      </c>
      <c r="E48" s="204" t="s">
        <v>50</v>
      </c>
      <c r="F48" s="152"/>
    </row>
    <row r="49" spans="1:6" s="191" customFormat="1" ht="13.8" thickBot="1" x14ac:dyDescent="0.3">
      <c r="A49" s="126"/>
      <c r="B49" s="127"/>
      <c r="C49" s="127"/>
      <c r="D49" s="205" t="s">
        <v>255</v>
      </c>
      <c r="E49" s="206"/>
      <c r="F49" s="153"/>
    </row>
    <row r="50" spans="1:6" s="191" customFormat="1" ht="27" thickBot="1" x14ac:dyDescent="0.3">
      <c r="A50" s="108">
        <v>134</v>
      </c>
      <c r="B50" s="108">
        <v>145</v>
      </c>
      <c r="C50" s="108">
        <v>12</v>
      </c>
      <c r="D50" s="213" t="s">
        <v>257</v>
      </c>
      <c r="E50" s="213" t="s">
        <v>54</v>
      </c>
      <c r="F50" s="112" t="s">
        <v>259</v>
      </c>
    </row>
    <row r="51" spans="1:6" s="191" customFormat="1" ht="26.4" x14ac:dyDescent="0.25">
      <c r="A51" s="28">
        <v>146</v>
      </c>
      <c r="B51" s="29">
        <v>147</v>
      </c>
      <c r="C51" s="29">
        <v>2</v>
      </c>
      <c r="D51" s="116" t="s">
        <v>102</v>
      </c>
      <c r="E51" s="116" t="s">
        <v>67</v>
      </c>
      <c r="F51" s="281" t="str">
        <f>OAA!F51</f>
        <v>11=Advanced</v>
      </c>
    </row>
    <row r="52" spans="1:6" s="191" customFormat="1" x14ac:dyDescent="0.25">
      <c r="A52" s="121"/>
      <c r="B52" s="17"/>
      <c r="C52" s="17"/>
      <c r="D52" s="3"/>
      <c r="E52" s="3"/>
      <c r="F52" s="269" t="str">
        <f>OAA!F52</f>
        <v>12=Accelerated</v>
      </c>
    </row>
    <row r="53" spans="1:6" s="191" customFormat="1" x14ac:dyDescent="0.25">
      <c r="A53" s="121"/>
      <c r="B53" s="17"/>
      <c r="C53" s="17"/>
      <c r="D53" s="3"/>
      <c r="E53" s="3"/>
      <c r="F53" s="269" t="str">
        <f>OAA!F53</f>
        <v>13=Proficient</v>
      </c>
    </row>
    <row r="54" spans="1:6" s="191" customFormat="1" x14ac:dyDescent="0.25">
      <c r="A54" s="121"/>
      <c r="B54" s="17"/>
      <c r="C54" s="17"/>
      <c r="D54" s="3"/>
      <c r="E54" s="3"/>
      <c r="F54" s="269" t="str">
        <f>OAA!F54</f>
        <v>14=Basic</v>
      </c>
    </row>
    <row r="55" spans="1:6" s="191" customFormat="1" x14ac:dyDescent="0.25">
      <c r="A55" s="121"/>
      <c r="B55" s="17"/>
      <c r="C55" s="17"/>
      <c r="D55" s="3"/>
      <c r="E55" s="3"/>
      <c r="F55" s="269" t="str">
        <f>OAA!F55</f>
        <v>15=Limited</v>
      </c>
    </row>
    <row r="56" spans="1:6" s="191" customFormat="1" x14ac:dyDescent="0.25">
      <c r="A56" s="121"/>
      <c r="B56" s="17"/>
      <c r="C56" s="17"/>
      <c r="D56" s="3"/>
      <c r="E56" s="3"/>
      <c r="F56" s="269" t="str">
        <f>OAA!F56</f>
        <v>99=invalidated (INV)</v>
      </c>
    </row>
    <row r="57" spans="1:6" s="191" customFormat="1" ht="13.8" thickBot="1" x14ac:dyDescent="0.3">
      <c r="A57" s="30"/>
      <c r="B57" s="31"/>
      <c r="C57" s="31"/>
      <c r="D57" s="52"/>
      <c r="E57" s="52"/>
      <c r="F57" s="271" t="str">
        <f>OAA!F57</f>
        <v>blank=DNA/TOG/DNS/Missing</v>
      </c>
    </row>
    <row r="58" spans="1:6" s="191" customFormat="1" x14ac:dyDescent="0.25">
      <c r="A58" s="18">
        <v>148</v>
      </c>
      <c r="B58" s="18">
        <v>150</v>
      </c>
      <c r="C58" s="18">
        <v>3</v>
      </c>
      <c r="D58" s="27" t="s">
        <v>103</v>
      </c>
      <c r="E58" s="27" t="s">
        <v>54</v>
      </c>
      <c r="F58" s="58" t="str">
        <f>OAA!F58</f>
        <v>Range 000-999</v>
      </c>
    </row>
    <row r="59" spans="1:6" s="191" customFormat="1" x14ac:dyDescent="0.25">
      <c r="A59" s="17"/>
      <c r="B59" s="17"/>
      <c r="C59" s="17"/>
      <c r="D59" s="3"/>
      <c r="E59" s="3"/>
      <c r="F59" s="269" t="str">
        <f>OAA!F59</f>
        <v>DNA=Did Not Attempt</v>
      </c>
    </row>
    <row r="60" spans="1:6" s="191" customFormat="1" x14ac:dyDescent="0.25">
      <c r="A60" s="17"/>
      <c r="B60" s="17"/>
      <c r="C60" s="17"/>
      <c r="D60" s="3"/>
      <c r="E60" s="3"/>
      <c r="F60" s="269" t="str">
        <f>OAA!F60</f>
        <v>TOG=Tested Out of Grade</v>
      </c>
    </row>
    <row r="61" spans="1:6" s="191" customFormat="1" x14ac:dyDescent="0.25">
      <c r="A61" s="77"/>
      <c r="B61" s="77"/>
      <c r="C61" s="77"/>
      <c r="D61" s="78"/>
      <c r="E61" s="78"/>
      <c r="F61" s="270" t="str">
        <f>OAA!F61</f>
        <v>DNS=Do Not Score</v>
      </c>
    </row>
    <row r="62" spans="1:6" s="191" customFormat="1" ht="13.8" thickBot="1" x14ac:dyDescent="0.3">
      <c r="A62" s="77"/>
      <c r="B62" s="77"/>
      <c r="C62" s="77"/>
      <c r="D62" s="78"/>
      <c r="E62" s="78"/>
      <c r="F62" s="270" t="str">
        <f>OAA!F62</f>
        <v>INV=Invalidated</v>
      </c>
    </row>
    <row r="63" spans="1:6" s="191" customFormat="1" ht="185.4" thickBot="1" x14ac:dyDescent="0.3">
      <c r="A63" s="20">
        <v>151</v>
      </c>
      <c r="B63" s="21">
        <v>152</v>
      </c>
      <c r="C63" s="21">
        <v>2</v>
      </c>
      <c r="D63" s="48" t="s">
        <v>105</v>
      </c>
      <c r="E63" s="48" t="s">
        <v>54</v>
      </c>
      <c r="F63"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4" spans="1:6" s="191" customFormat="1" ht="185.4" thickBot="1" x14ac:dyDescent="0.3">
      <c r="A64" s="108">
        <v>153</v>
      </c>
      <c r="B64" s="108">
        <v>154</v>
      </c>
      <c r="C64" s="108">
        <v>2</v>
      </c>
      <c r="D64" s="213" t="s">
        <v>106</v>
      </c>
      <c r="E64" s="213" t="s">
        <v>54</v>
      </c>
      <c r="F64"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19.4" thickBot="1" x14ac:dyDescent="0.3">
      <c r="A65" s="20">
        <v>155</v>
      </c>
      <c r="B65" s="21">
        <v>157</v>
      </c>
      <c r="C65" s="21">
        <v>3</v>
      </c>
      <c r="D65" s="40" t="s">
        <v>107</v>
      </c>
      <c r="E65" s="48" t="s">
        <v>87</v>
      </c>
      <c r="F65" s="45" t="str">
        <f>OAA!F65</f>
        <v>Numeric - 99.9 - implied decimal
Ex:  045=4.5; 040=4.0</v>
      </c>
    </row>
    <row r="66" spans="1:6" s="191" customFormat="1" x14ac:dyDescent="0.25">
      <c r="A66" s="18">
        <v>158</v>
      </c>
      <c r="B66" s="18">
        <v>158</v>
      </c>
      <c r="C66" s="18">
        <v>1</v>
      </c>
      <c r="D66" s="46" t="s">
        <v>108</v>
      </c>
      <c r="E66" s="46" t="s">
        <v>59</v>
      </c>
      <c r="F66" s="268" t="str">
        <f>OAA!F66</f>
        <v>+=higher</v>
      </c>
    </row>
    <row r="67" spans="1:6" s="191" customFormat="1" x14ac:dyDescent="0.25">
      <c r="A67" s="17"/>
      <c r="B67" s="17"/>
      <c r="C67" s="17"/>
      <c r="D67" s="2"/>
      <c r="E67" s="2"/>
      <c r="F67" s="269" t="str">
        <f>OAA!F67</f>
        <v>*=at</v>
      </c>
    </row>
    <row r="68" spans="1:6" s="191" customFormat="1" ht="13.8" thickBot="1" x14ac:dyDescent="0.3">
      <c r="A68" s="77"/>
      <c r="B68" s="77"/>
      <c r="C68" s="77"/>
      <c r="D68" s="2"/>
      <c r="E68" s="2"/>
      <c r="F68" s="269" t="str">
        <f>OAA!F68</f>
        <v>-=lower than standard</v>
      </c>
    </row>
    <row r="69" spans="1:6" s="191" customFormat="1" ht="119.4" thickBot="1" x14ac:dyDescent="0.3">
      <c r="A69" s="20">
        <v>159</v>
      </c>
      <c r="B69" s="21">
        <v>161</v>
      </c>
      <c r="C69" s="21">
        <v>3</v>
      </c>
      <c r="D69" s="40" t="s">
        <v>109</v>
      </c>
      <c r="E69" s="48" t="s">
        <v>87</v>
      </c>
      <c r="F69" s="45" t="str">
        <f>OAA!F69</f>
        <v>Numeric - 99.9 - implied decimal
Ex:  045=4.5; 040=4.0</v>
      </c>
    </row>
    <row r="70" spans="1:6" s="191" customFormat="1" x14ac:dyDescent="0.25">
      <c r="A70" s="18">
        <v>162</v>
      </c>
      <c r="B70" s="18">
        <v>162</v>
      </c>
      <c r="C70" s="18">
        <v>1</v>
      </c>
      <c r="D70" s="46" t="s">
        <v>110</v>
      </c>
      <c r="E70" s="46" t="s">
        <v>59</v>
      </c>
      <c r="F70" s="268" t="str">
        <f>OAA!F70</f>
        <v>+=higher</v>
      </c>
    </row>
    <row r="71" spans="1:6" s="191" customFormat="1" x14ac:dyDescent="0.25">
      <c r="A71" s="17"/>
      <c r="B71" s="17"/>
      <c r="C71" s="17"/>
      <c r="D71" s="2"/>
      <c r="E71" s="2"/>
      <c r="F71" s="269" t="str">
        <f>OAA!F71</f>
        <v>*=at</v>
      </c>
    </row>
    <row r="72" spans="1:6" s="191" customFormat="1" ht="13.8" thickBot="1" x14ac:dyDescent="0.3">
      <c r="A72" s="17"/>
      <c r="B72" s="17"/>
      <c r="C72" s="17"/>
      <c r="D72" s="2"/>
      <c r="E72" s="2"/>
      <c r="F72" s="269" t="str">
        <f>OAA!F72</f>
        <v>-=lower than standard</v>
      </c>
    </row>
    <row r="73" spans="1:6" s="191" customFormat="1" ht="79.8" thickBot="1" x14ac:dyDescent="0.3">
      <c r="A73" s="20">
        <v>163</v>
      </c>
      <c r="B73" s="21">
        <v>165</v>
      </c>
      <c r="C73" s="21">
        <v>3</v>
      </c>
      <c r="D73" s="40" t="s">
        <v>111</v>
      </c>
      <c r="E73" s="48" t="s">
        <v>87</v>
      </c>
      <c r="F73" s="45" t="str">
        <f>OAA!F73</f>
        <v>Numeric - 99.9 - implied decimal
Ex:  045=4.5; 040=4.0</v>
      </c>
    </row>
    <row r="74" spans="1:6" s="191" customFormat="1" x14ac:dyDescent="0.25">
      <c r="A74" s="18">
        <v>166</v>
      </c>
      <c r="B74" s="18">
        <v>166</v>
      </c>
      <c r="C74" s="18">
        <v>1</v>
      </c>
      <c r="D74" s="46" t="s">
        <v>112</v>
      </c>
      <c r="E74" s="46" t="s">
        <v>59</v>
      </c>
      <c r="F74" s="268" t="str">
        <f>OAA!F74</f>
        <v>+=higher</v>
      </c>
    </row>
    <row r="75" spans="1:6" s="191" customFormat="1" x14ac:dyDescent="0.25">
      <c r="A75" s="17"/>
      <c r="B75" s="17"/>
      <c r="C75" s="17"/>
      <c r="D75" s="2"/>
      <c r="E75" s="2"/>
      <c r="F75" s="269" t="str">
        <f>OAA!F75</f>
        <v>*=at</v>
      </c>
    </row>
    <row r="76" spans="1:6" s="191" customFormat="1" ht="13.8" thickBot="1" x14ac:dyDescent="0.3">
      <c r="A76" s="17"/>
      <c r="B76" s="17"/>
      <c r="C76" s="17"/>
      <c r="D76" s="2"/>
      <c r="E76" s="2"/>
      <c r="F76" s="269" t="str">
        <f>OAA!F76</f>
        <v>-=lower than standard</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61"/>
    </row>
    <row r="79" spans="1:6" s="191" customFormat="1" x14ac:dyDescent="0.25">
      <c r="A79" s="180"/>
      <c r="B79" s="180"/>
      <c r="C79" s="180"/>
      <c r="D79" s="227"/>
      <c r="E79" s="227"/>
      <c r="F79" s="172"/>
    </row>
    <row r="80" spans="1:6" s="191" customFormat="1" ht="13.8" thickBot="1" x14ac:dyDescent="0.3">
      <c r="A80" s="129"/>
      <c r="B80" s="129"/>
      <c r="C80" s="129"/>
      <c r="D80" s="231"/>
      <c r="E80" s="231"/>
      <c r="F80" s="173"/>
    </row>
    <row r="81" spans="1:6" s="191" customFormat="1" ht="13.8" thickBot="1" x14ac:dyDescent="0.3">
      <c r="A81" s="123">
        <v>171</v>
      </c>
      <c r="B81" s="42">
        <v>171</v>
      </c>
      <c r="C81" s="42">
        <v>1</v>
      </c>
      <c r="D81" s="217" t="s">
        <v>65</v>
      </c>
      <c r="E81" s="217"/>
      <c r="F81" s="256"/>
    </row>
    <row r="82" spans="1:6" s="191" customFormat="1" ht="26.4" x14ac:dyDescent="0.25">
      <c r="A82" s="28">
        <v>172</v>
      </c>
      <c r="B82" s="18">
        <v>174</v>
      </c>
      <c r="C82" s="18">
        <v>3</v>
      </c>
      <c r="D82" s="46" t="s">
        <v>25</v>
      </c>
      <c r="E82" s="46" t="s">
        <v>56</v>
      </c>
      <c r="F82" s="409" t="str">
        <f>OAA!F82</f>
        <v>With implied decimal, all tests other than OGT will end with 0</v>
      </c>
    </row>
    <row r="83" spans="1:6" s="191" customFormat="1" x14ac:dyDescent="0.25">
      <c r="A83" s="17"/>
      <c r="B83" s="17"/>
      <c r="C83" s="17"/>
      <c r="D83" s="3"/>
      <c r="E83" s="3"/>
      <c r="F83" s="269" t="str">
        <f>OAA!F83</f>
        <v>DNA=Did Not Attempt</v>
      </c>
    </row>
    <row r="84" spans="1:6" s="191" customFormat="1" x14ac:dyDescent="0.25">
      <c r="A84" s="17"/>
      <c r="B84" s="17"/>
      <c r="C84" s="17"/>
      <c r="D84" s="3"/>
      <c r="E84" s="3"/>
      <c r="F84" s="270" t="str">
        <f>OAA!F84</f>
        <v>TOG=Tested Out of Grade</v>
      </c>
    </row>
    <row r="85" spans="1:6" s="191" customFormat="1" x14ac:dyDescent="0.25">
      <c r="A85" s="77"/>
      <c r="B85" s="77"/>
      <c r="C85" s="77"/>
      <c r="D85" s="78"/>
      <c r="E85" s="78"/>
      <c r="F85" s="269" t="str">
        <f>OAA!F85</f>
        <v>DNS=Do Not Score</v>
      </c>
    </row>
    <row r="86" spans="1:6" s="191" customFormat="1" x14ac:dyDescent="0.25">
      <c r="A86" s="77"/>
      <c r="B86" s="77"/>
      <c r="C86" s="77"/>
      <c r="D86" s="78"/>
      <c r="E86" s="78"/>
      <c r="F86" s="270" t="str">
        <f>OAA!F86</f>
        <v>INV=Invalidated</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58"/>
    </row>
    <row r="89" spans="1:6" s="191" customFormat="1" ht="13.8" thickBot="1" x14ac:dyDescent="0.3">
      <c r="A89" s="126">
        <v>181</v>
      </c>
      <c r="B89" s="127">
        <v>192</v>
      </c>
      <c r="C89" s="127">
        <v>12</v>
      </c>
      <c r="D89" s="206" t="s">
        <v>65</v>
      </c>
      <c r="E89" s="206"/>
      <c r="F89" s="153"/>
    </row>
    <row r="90" spans="1:6" s="191" customFormat="1" ht="26.4" x14ac:dyDescent="0.25">
      <c r="A90" s="18">
        <v>193</v>
      </c>
      <c r="B90" s="18">
        <v>194</v>
      </c>
      <c r="C90" s="18">
        <v>2</v>
      </c>
      <c r="D90" s="27" t="s">
        <v>114</v>
      </c>
      <c r="E90" s="27" t="s">
        <v>67</v>
      </c>
      <c r="F90" s="268" t="str">
        <f>OAA!F90</f>
        <v>11=Advanced</v>
      </c>
    </row>
    <row r="91" spans="1:6" s="191" customFormat="1" x14ac:dyDescent="0.25">
      <c r="A91" s="17"/>
      <c r="B91" s="17"/>
      <c r="C91" s="17"/>
      <c r="D91" s="3"/>
      <c r="E91" s="3"/>
      <c r="F91" s="269" t="str">
        <f>OAA!F91</f>
        <v>12=Accelerated</v>
      </c>
    </row>
    <row r="92" spans="1:6" s="191" customFormat="1" x14ac:dyDescent="0.25">
      <c r="A92" s="17"/>
      <c r="B92" s="17"/>
      <c r="C92" s="17"/>
      <c r="D92" s="3"/>
      <c r="E92" s="3"/>
      <c r="F92" s="269" t="str">
        <f>OAA!F92</f>
        <v>13=Proficient</v>
      </c>
    </row>
    <row r="93" spans="1:6" s="191" customFormat="1" x14ac:dyDescent="0.25">
      <c r="A93" s="17"/>
      <c r="B93" s="17"/>
      <c r="C93" s="17"/>
      <c r="D93" s="3"/>
      <c r="E93" s="3"/>
      <c r="F93" s="269" t="str">
        <f>OAA!F93</f>
        <v>14=Basic</v>
      </c>
    </row>
    <row r="94" spans="1:6" s="191" customFormat="1" x14ac:dyDescent="0.25">
      <c r="A94" s="17"/>
      <c r="B94" s="17"/>
      <c r="C94" s="17"/>
      <c r="D94" s="3"/>
      <c r="E94" s="3"/>
      <c r="F94" s="269" t="str">
        <f>OAA!F94</f>
        <v>15=Limited</v>
      </c>
    </row>
    <row r="95" spans="1:6" s="191" customFormat="1" x14ac:dyDescent="0.25">
      <c r="A95" s="17"/>
      <c r="B95" s="17"/>
      <c r="C95" s="17"/>
      <c r="D95" s="3"/>
      <c r="E95" s="3"/>
      <c r="F95" s="269" t="str">
        <f>OAA!F95</f>
        <v>99=invalidated</v>
      </c>
    </row>
    <row r="96" spans="1:6" s="191" customFormat="1" ht="13.8" thickBot="1" x14ac:dyDescent="0.3">
      <c r="A96" s="77"/>
      <c r="B96" s="77"/>
      <c r="C96" s="77"/>
      <c r="D96" s="78"/>
      <c r="E96" s="78"/>
      <c r="F96" s="271" t="str">
        <f>OAA!F96</f>
        <v>blank=DNA/TOG/DNS/Missing</v>
      </c>
    </row>
    <row r="97" spans="1:6" s="191" customFormat="1" x14ac:dyDescent="0.25">
      <c r="A97" s="28">
        <v>195</v>
      </c>
      <c r="B97" s="29">
        <v>197</v>
      </c>
      <c r="C97" s="29">
        <v>3</v>
      </c>
      <c r="D97" s="115" t="s">
        <v>115</v>
      </c>
      <c r="E97" s="116" t="s">
        <v>54</v>
      </c>
      <c r="F97" s="58" t="str">
        <f>OAA!F97</f>
        <v>Range 000-999</v>
      </c>
    </row>
    <row r="98" spans="1:6" s="191" customFormat="1" x14ac:dyDescent="0.25">
      <c r="A98" s="121"/>
      <c r="B98" s="17"/>
      <c r="C98" s="17"/>
      <c r="D98" s="3"/>
      <c r="E98" s="3"/>
      <c r="F98" s="269" t="str">
        <f>OAA!F98</f>
        <v>DNA=Did Not Attempt</v>
      </c>
    </row>
    <row r="99" spans="1:6" s="191" customFormat="1" x14ac:dyDescent="0.25">
      <c r="A99" s="121"/>
      <c r="B99" s="17"/>
      <c r="C99" s="17"/>
      <c r="D99" s="3"/>
      <c r="E99" s="3"/>
      <c r="F99" s="269" t="str">
        <f>OAA!F99</f>
        <v>TOG=Tested Out of Grade</v>
      </c>
    </row>
    <row r="100" spans="1:6" s="191" customFormat="1" x14ac:dyDescent="0.25">
      <c r="A100" s="185"/>
      <c r="B100" s="77"/>
      <c r="C100" s="77"/>
      <c r="D100" s="78"/>
      <c r="E100" s="78"/>
      <c r="F100" s="270" t="str">
        <f>OAA!F100</f>
        <v>DNS=Do Not Score</v>
      </c>
    </row>
    <row r="101" spans="1:6" s="191" customFormat="1" ht="13.8" thickBot="1" x14ac:dyDescent="0.3">
      <c r="A101" s="30"/>
      <c r="B101" s="31"/>
      <c r="C101" s="31"/>
      <c r="D101" s="52"/>
      <c r="E101" s="52"/>
      <c r="F101" s="270" t="str">
        <f>OAA!F101</f>
        <v>INV=Invalidated</v>
      </c>
    </row>
    <row r="102" spans="1:6" s="191" customFormat="1" ht="106.2" thickBot="1" x14ac:dyDescent="0.3">
      <c r="A102" s="108">
        <v>198</v>
      </c>
      <c r="B102" s="108">
        <v>200</v>
      </c>
      <c r="C102" s="108">
        <v>3</v>
      </c>
      <c r="D102" s="112" t="s">
        <v>116</v>
      </c>
      <c r="E102" s="213" t="s">
        <v>87</v>
      </c>
      <c r="F102" s="45" t="str">
        <f>OAA!F102</f>
        <v>Numeric - 99.9 - implied decimal
Ex:  045=4.5; 040=4.0</v>
      </c>
    </row>
    <row r="103" spans="1:6" s="191" customFormat="1" x14ac:dyDescent="0.25">
      <c r="A103" s="28">
        <v>201</v>
      </c>
      <c r="B103" s="29">
        <v>201</v>
      </c>
      <c r="C103" s="29">
        <v>1</v>
      </c>
      <c r="D103" s="115" t="s">
        <v>108</v>
      </c>
      <c r="E103" s="115" t="s">
        <v>59</v>
      </c>
      <c r="F103" s="268" t="str">
        <f>OAA!F103</f>
        <v>+=higher</v>
      </c>
    </row>
    <row r="104" spans="1:6" s="191" customFormat="1" x14ac:dyDescent="0.25">
      <c r="A104" s="121"/>
      <c r="B104" s="17"/>
      <c r="C104" s="17"/>
      <c r="D104" s="2"/>
      <c r="E104" s="2"/>
      <c r="F104" s="269" t="str">
        <f>OAA!F104</f>
        <v>*=at</v>
      </c>
    </row>
    <row r="105" spans="1:6" s="191" customFormat="1" ht="13.8" thickBot="1" x14ac:dyDescent="0.3">
      <c r="A105" s="30"/>
      <c r="B105" s="31"/>
      <c r="C105" s="31"/>
      <c r="D105" s="50"/>
      <c r="E105" s="118"/>
      <c r="F105" s="269" t="str">
        <f>OAA!F105</f>
        <v>-=lower than standard</v>
      </c>
    </row>
    <row r="106" spans="1:6" s="191" customFormat="1" ht="198.6" thickBot="1" x14ac:dyDescent="0.3">
      <c r="A106" s="108">
        <v>202</v>
      </c>
      <c r="B106" s="108">
        <v>204</v>
      </c>
      <c r="C106" s="108">
        <v>3</v>
      </c>
      <c r="D106" s="112" t="s">
        <v>26</v>
      </c>
      <c r="E106" s="48" t="s">
        <v>87</v>
      </c>
      <c r="F106" s="45" t="str">
        <f>OAA!F106</f>
        <v>Numeric - 99.9 - implied decimal
Ex:  045=4.5; 040=4.0</v>
      </c>
    </row>
    <row r="107" spans="1:6" s="191" customFormat="1" x14ac:dyDescent="0.25">
      <c r="A107" s="28">
        <v>205</v>
      </c>
      <c r="B107" s="29">
        <v>205</v>
      </c>
      <c r="C107" s="29">
        <v>1</v>
      </c>
      <c r="D107" s="115" t="s">
        <v>110</v>
      </c>
      <c r="E107" s="46" t="s">
        <v>59</v>
      </c>
      <c r="F107" s="268" t="str">
        <f>OAA!F107</f>
        <v>+=higher</v>
      </c>
    </row>
    <row r="108" spans="1:6" s="191" customFormat="1" x14ac:dyDescent="0.25">
      <c r="A108" s="121"/>
      <c r="B108" s="17"/>
      <c r="C108" s="17"/>
      <c r="D108" s="2"/>
      <c r="E108" s="2"/>
      <c r="F108" s="269" t="str">
        <f>OAA!F108</f>
        <v>*=at</v>
      </c>
    </row>
    <row r="109" spans="1:6" s="191" customFormat="1" ht="13.8" thickBot="1" x14ac:dyDescent="0.3">
      <c r="A109" s="30"/>
      <c r="B109" s="31"/>
      <c r="C109" s="31"/>
      <c r="D109" s="50"/>
      <c r="E109" s="50"/>
      <c r="F109" s="269" t="str">
        <f>OAA!F109</f>
        <v>-=lower than standard</v>
      </c>
    </row>
    <row r="110" spans="1:6" s="191" customFormat="1" ht="159" thickBot="1" x14ac:dyDescent="0.3">
      <c r="A110" s="108">
        <v>206</v>
      </c>
      <c r="B110" s="108">
        <v>208</v>
      </c>
      <c r="C110" s="108">
        <v>3</v>
      </c>
      <c r="D110" s="112" t="s">
        <v>117</v>
      </c>
      <c r="E110" s="213" t="s">
        <v>87</v>
      </c>
      <c r="F110" s="45" t="str">
        <f>OAA!F110</f>
        <v>Numeric - 99.9 - implied decimal
Ex:  045=4.5; 040=4.0</v>
      </c>
    </row>
    <row r="111" spans="1:6" s="191" customFormat="1" x14ac:dyDescent="0.25">
      <c r="A111" s="28">
        <v>209</v>
      </c>
      <c r="B111" s="29">
        <v>209</v>
      </c>
      <c r="C111" s="29">
        <v>1</v>
      </c>
      <c r="D111" s="115" t="s">
        <v>112</v>
      </c>
      <c r="E111" s="115" t="s">
        <v>59</v>
      </c>
      <c r="F111" s="268" t="str">
        <f>OAA!F111</f>
        <v>+=higher</v>
      </c>
    </row>
    <row r="112" spans="1:6" s="191" customFormat="1" x14ac:dyDescent="0.25">
      <c r="A112" s="121"/>
      <c r="B112" s="17"/>
      <c r="C112" s="17"/>
      <c r="D112" s="2"/>
      <c r="E112" s="2"/>
      <c r="F112" s="269" t="str">
        <f>OAA!F112</f>
        <v>*=at</v>
      </c>
    </row>
    <row r="113" spans="1:6" s="191" customFormat="1" ht="13.8" thickBot="1" x14ac:dyDescent="0.3">
      <c r="A113" s="30"/>
      <c r="B113" s="31"/>
      <c r="C113" s="31"/>
      <c r="D113" s="50"/>
      <c r="E113" s="50"/>
      <c r="F113" s="271" t="str">
        <f>OAA!F113</f>
        <v>-=lower than standard</v>
      </c>
    </row>
    <row r="114" spans="1:6" s="191" customFormat="1" ht="159" thickBot="1" x14ac:dyDescent="0.3">
      <c r="A114" s="108">
        <v>210</v>
      </c>
      <c r="B114" s="108">
        <v>212</v>
      </c>
      <c r="C114" s="108">
        <v>3</v>
      </c>
      <c r="D114" s="112" t="s">
        <v>118</v>
      </c>
      <c r="E114" s="213" t="s">
        <v>87</v>
      </c>
      <c r="F114" s="113" t="str">
        <f>OAA!F114</f>
        <v>Numeric - 99.9 - implied decimal
Ex:  045=4.5; 040=4.0</v>
      </c>
    </row>
    <row r="115" spans="1:6" s="191" customFormat="1" x14ac:dyDescent="0.25">
      <c r="A115" s="28">
        <v>213</v>
      </c>
      <c r="B115" s="29">
        <v>213</v>
      </c>
      <c r="C115" s="29">
        <v>1</v>
      </c>
      <c r="D115" s="115" t="s">
        <v>113</v>
      </c>
      <c r="E115" s="115" t="s">
        <v>59</v>
      </c>
      <c r="F115" s="281" t="str">
        <f>OAA!F115</f>
        <v>+=higher</v>
      </c>
    </row>
    <row r="116" spans="1:6" s="191" customFormat="1" x14ac:dyDescent="0.25">
      <c r="A116" s="121"/>
      <c r="B116" s="17"/>
      <c r="C116" s="17"/>
      <c r="D116" s="2"/>
      <c r="E116" s="2"/>
      <c r="F116" s="269" t="str">
        <f>OAA!F116</f>
        <v>*=at</v>
      </c>
    </row>
    <row r="117" spans="1:6" s="191" customFormat="1" ht="13.8" thickBot="1" x14ac:dyDescent="0.3">
      <c r="A117" s="30"/>
      <c r="B117" s="31"/>
      <c r="C117" s="31"/>
      <c r="D117" s="50"/>
      <c r="E117" s="50"/>
      <c r="F117" s="271" t="str">
        <f>OAA!F117</f>
        <v>-=lower than standard</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152"/>
    </row>
    <row r="120" spans="1:6" s="191" customFormat="1" x14ac:dyDescent="0.25">
      <c r="A120" s="179"/>
      <c r="B120" s="180"/>
      <c r="C120" s="180"/>
      <c r="D120" s="227"/>
      <c r="E120" s="227"/>
      <c r="F120" s="172"/>
    </row>
    <row r="121" spans="1:6" s="191" customFormat="1" ht="13.8" thickBot="1" x14ac:dyDescent="0.3">
      <c r="A121" s="126"/>
      <c r="B121" s="127"/>
      <c r="C121" s="127"/>
      <c r="D121" s="206"/>
      <c r="E121" s="206"/>
      <c r="F121" s="153"/>
    </row>
    <row r="122" spans="1:6" s="191" customFormat="1" ht="13.8" thickBot="1" x14ac:dyDescent="0.3">
      <c r="A122" s="114">
        <v>218</v>
      </c>
      <c r="B122" s="114">
        <v>218</v>
      </c>
      <c r="C122" s="114">
        <v>1</v>
      </c>
      <c r="D122" s="199" t="s">
        <v>65</v>
      </c>
      <c r="E122" s="199"/>
      <c r="F122" s="255"/>
    </row>
    <row r="123" spans="1:6" s="191" customFormat="1" ht="26.4" x14ac:dyDescent="0.25">
      <c r="A123" s="28">
        <v>219</v>
      </c>
      <c r="B123" s="29">
        <v>221</v>
      </c>
      <c r="C123" s="29">
        <v>3</v>
      </c>
      <c r="D123" s="116" t="s">
        <v>121</v>
      </c>
      <c r="E123" s="115" t="s">
        <v>56</v>
      </c>
      <c r="F123" s="117" t="str">
        <f>OAA!F123</f>
        <v>Total raw score for Reading
99v9 - implied decimal</v>
      </c>
    </row>
    <row r="124" spans="1:6" s="191" customFormat="1" x14ac:dyDescent="0.25">
      <c r="A124" s="121"/>
      <c r="B124" s="17"/>
      <c r="C124" s="17"/>
      <c r="D124" s="3"/>
      <c r="E124" s="3"/>
      <c r="F124" s="269" t="str">
        <f>OAA!F124</f>
        <v>DNA=Did Not Attempt</v>
      </c>
    </row>
    <row r="125" spans="1:6" s="191" customFormat="1" x14ac:dyDescent="0.25">
      <c r="A125" s="121"/>
      <c r="B125" s="17"/>
      <c r="C125" s="17"/>
      <c r="D125" s="3"/>
      <c r="E125" s="3"/>
      <c r="F125" s="270" t="str">
        <f>OAA!F125</f>
        <v>TOG=Tested Out of Grade</v>
      </c>
    </row>
    <row r="126" spans="1:6" s="191" customFormat="1" x14ac:dyDescent="0.25">
      <c r="A126" s="185"/>
      <c r="B126" s="77"/>
      <c r="C126" s="77"/>
      <c r="D126" s="78"/>
      <c r="E126" s="78"/>
      <c r="F126" s="269" t="str">
        <f>OAA!F126</f>
        <v>DNS=Do Not Score</v>
      </c>
    </row>
    <row r="127" spans="1:6" s="191" customFormat="1" x14ac:dyDescent="0.25">
      <c r="A127" s="121"/>
      <c r="B127" s="17"/>
      <c r="C127" s="17"/>
      <c r="D127" s="3"/>
      <c r="E127" s="3"/>
      <c r="F127" s="269" t="str">
        <f>OAA!F127</f>
        <v>INV=Invalidated</v>
      </c>
    </row>
    <row r="128" spans="1:6" s="191" customFormat="1" ht="13.8" thickBot="1" x14ac:dyDescent="0.3">
      <c r="A128" s="30"/>
      <c r="B128" s="31"/>
      <c r="C128" s="31"/>
      <c r="D128" s="52"/>
      <c r="E128" s="50"/>
      <c r="F128" s="153"/>
    </row>
    <row r="129" spans="1:6" s="191" customFormat="1" x14ac:dyDescent="0.25">
      <c r="A129" s="53">
        <v>222</v>
      </c>
      <c r="B129" s="53">
        <v>228</v>
      </c>
      <c r="C129" s="53">
        <v>7</v>
      </c>
      <c r="D129" s="54" t="s">
        <v>65</v>
      </c>
      <c r="E129" s="54"/>
      <c r="F129" s="259"/>
    </row>
    <row r="130" spans="1:6" s="191" customFormat="1" ht="13.8" thickBot="1" x14ac:dyDescent="0.3">
      <c r="A130" s="129">
        <v>229</v>
      </c>
      <c r="B130" s="129">
        <v>240</v>
      </c>
      <c r="C130" s="129">
        <v>12</v>
      </c>
      <c r="D130" s="231" t="s">
        <v>65</v>
      </c>
      <c r="E130" s="231"/>
      <c r="F130" s="173"/>
    </row>
    <row r="131" spans="1:6" s="191" customFormat="1" ht="39.6" x14ac:dyDescent="0.25">
      <c r="A131" s="28">
        <v>241</v>
      </c>
      <c r="B131" s="29">
        <v>242</v>
      </c>
      <c r="C131" s="29">
        <v>2</v>
      </c>
      <c r="D131" s="116" t="s">
        <v>122</v>
      </c>
      <c r="E131" s="116" t="s">
        <v>67</v>
      </c>
      <c r="F131" s="281" t="str">
        <f>OAA!F131</f>
        <v>11=Advanced</v>
      </c>
    </row>
    <row r="132" spans="1:6" s="191" customFormat="1" x14ac:dyDescent="0.25">
      <c r="A132" s="121"/>
      <c r="B132" s="17"/>
      <c r="C132" s="17"/>
      <c r="D132" s="3"/>
      <c r="E132" s="3"/>
      <c r="F132" s="269" t="str">
        <f>OAA!F132</f>
        <v>12=Accelerated</v>
      </c>
    </row>
    <row r="133" spans="1:6" s="191" customFormat="1" x14ac:dyDescent="0.25">
      <c r="A133" s="121"/>
      <c r="B133" s="17"/>
      <c r="C133" s="17"/>
      <c r="D133" s="3"/>
      <c r="E133" s="3"/>
      <c r="F133" s="269" t="str">
        <f>OAA!F133</f>
        <v>13=Proficient</v>
      </c>
    </row>
    <row r="134" spans="1:6" s="191" customFormat="1" x14ac:dyDescent="0.25">
      <c r="A134" s="121"/>
      <c r="B134" s="17"/>
      <c r="C134" s="17"/>
      <c r="D134" s="3"/>
      <c r="E134" s="3"/>
      <c r="F134" s="269" t="str">
        <f>OAA!F134</f>
        <v>14=Basic</v>
      </c>
    </row>
    <row r="135" spans="1:6" s="191" customFormat="1" x14ac:dyDescent="0.25">
      <c r="A135" s="121"/>
      <c r="B135" s="17"/>
      <c r="C135" s="17"/>
      <c r="D135" s="3"/>
      <c r="E135" s="3"/>
      <c r="F135" s="269" t="str">
        <f>OAA!F135</f>
        <v>15=Limited</v>
      </c>
    </row>
    <row r="136" spans="1:6" s="191" customFormat="1" x14ac:dyDescent="0.25">
      <c r="A136" s="121"/>
      <c r="B136" s="17"/>
      <c r="C136" s="17"/>
      <c r="D136" s="3"/>
      <c r="E136" s="3"/>
      <c r="F136" s="269" t="str">
        <f>OAA!F136</f>
        <v>99=invalidated</v>
      </c>
    </row>
    <row r="137" spans="1:6" s="191" customFormat="1" ht="13.8" thickBot="1" x14ac:dyDescent="0.3">
      <c r="A137" s="30"/>
      <c r="B137" s="31"/>
      <c r="C137" s="31"/>
      <c r="D137" s="52"/>
      <c r="E137" s="52"/>
      <c r="F137" s="271" t="str">
        <f>OAA!F137</f>
        <v>blank=DNA/TOG/DNS/Missing</v>
      </c>
    </row>
    <row r="138" spans="1:6" s="191" customFormat="1" ht="39.6" x14ac:dyDescent="0.25">
      <c r="A138" s="18">
        <v>243</v>
      </c>
      <c r="B138" s="18">
        <v>245</v>
      </c>
      <c r="C138" s="18">
        <v>3</v>
      </c>
      <c r="D138" s="27" t="s">
        <v>123</v>
      </c>
      <c r="E138" s="27" t="s">
        <v>54</v>
      </c>
      <c r="F138" s="58" t="str">
        <f>OAA!F138</f>
        <v>Range 000-999</v>
      </c>
    </row>
    <row r="139" spans="1:6" s="191" customFormat="1" x14ac:dyDescent="0.25">
      <c r="A139" s="17"/>
      <c r="B139" s="17"/>
      <c r="C139" s="17"/>
      <c r="D139" s="3"/>
      <c r="E139" s="3"/>
      <c r="F139" s="269" t="str">
        <f>OAA!F139</f>
        <v>DNA=Did Not Attempt</v>
      </c>
    </row>
    <row r="140" spans="1:6" s="191" customFormat="1" x14ac:dyDescent="0.25">
      <c r="A140" s="17"/>
      <c r="B140" s="17"/>
      <c r="C140" s="17"/>
      <c r="D140" s="3"/>
      <c r="E140" s="3"/>
      <c r="F140" s="269" t="str">
        <f>OAA!F140</f>
        <v>TOG=Tested Out of Grade</v>
      </c>
    </row>
    <row r="141" spans="1:6" s="191" customFormat="1" x14ac:dyDescent="0.25">
      <c r="A141" s="77"/>
      <c r="B141" s="77"/>
      <c r="C141" s="77"/>
      <c r="D141" s="78"/>
      <c r="E141" s="78"/>
      <c r="F141" s="270" t="str">
        <f>OAA!F141</f>
        <v>DNS=Do Not Score</v>
      </c>
    </row>
    <row r="142" spans="1:6" s="191" customFormat="1" ht="13.8" thickBot="1" x14ac:dyDescent="0.3">
      <c r="A142" s="77"/>
      <c r="B142" s="77"/>
      <c r="C142" s="77"/>
      <c r="D142" s="78"/>
      <c r="E142" s="78"/>
      <c r="F142" s="271" t="str">
        <f>OAA!F142</f>
        <v>INV=Invalidated</v>
      </c>
    </row>
    <row r="143" spans="1:6" s="191" customFormat="1" ht="93" thickBot="1" x14ac:dyDescent="0.3">
      <c r="A143" s="20">
        <v>246</v>
      </c>
      <c r="B143" s="21">
        <v>248</v>
      </c>
      <c r="C143" s="21">
        <v>3</v>
      </c>
      <c r="D143" s="40" t="s">
        <v>124</v>
      </c>
      <c r="E143" s="48" t="s">
        <v>87</v>
      </c>
      <c r="F143" s="242" t="str">
        <f>OAA!F143</f>
        <v>Numeric - 99.9 - implied decimal
Ex:  045=4.5; 040=4.0</v>
      </c>
    </row>
    <row r="144" spans="1:6" s="191" customFormat="1" x14ac:dyDescent="0.25">
      <c r="A144" s="18">
        <v>249</v>
      </c>
      <c r="B144" s="18">
        <v>249</v>
      </c>
      <c r="C144" s="18">
        <v>1</v>
      </c>
      <c r="D144" s="46" t="s">
        <v>108</v>
      </c>
      <c r="E144" s="46" t="s">
        <v>59</v>
      </c>
      <c r="F144" s="268" t="str">
        <f>OAA!F144</f>
        <v>+=higher</v>
      </c>
    </row>
    <row r="145" spans="1:6" s="191" customFormat="1" x14ac:dyDescent="0.25">
      <c r="A145" s="17"/>
      <c r="B145" s="17"/>
      <c r="C145" s="17"/>
      <c r="D145" s="2"/>
      <c r="E145" s="2"/>
      <c r="F145" s="269" t="str">
        <f>OAA!F145</f>
        <v>*=at</v>
      </c>
    </row>
    <row r="146" spans="1:6" s="191" customFormat="1" ht="13.8" thickBot="1" x14ac:dyDescent="0.3">
      <c r="A146" s="77"/>
      <c r="B146" s="77"/>
      <c r="C146" s="77"/>
      <c r="D146" s="118"/>
      <c r="E146" s="118"/>
      <c r="F146" s="269" t="str">
        <f>OAA!F146</f>
        <v>-=lower than standard</v>
      </c>
    </row>
    <row r="147" spans="1:6" s="191" customFormat="1" ht="119.4" thickBot="1" x14ac:dyDescent="0.3">
      <c r="A147" s="20">
        <v>250</v>
      </c>
      <c r="B147" s="21">
        <v>252</v>
      </c>
      <c r="C147" s="21">
        <v>3</v>
      </c>
      <c r="D147" s="40" t="s">
        <v>125</v>
      </c>
      <c r="E147" s="48" t="s">
        <v>87</v>
      </c>
      <c r="F147" s="45" t="str">
        <f>OAA!F147</f>
        <v>Numeric - 99.9 - implied decimal
Ex:  045=4.5; 040=4.0</v>
      </c>
    </row>
    <row r="148" spans="1:6" s="191" customFormat="1" x14ac:dyDescent="0.25">
      <c r="A148" s="18">
        <v>253</v>
      </c>
      <c r="B148" s="18">
        <v>253</v>
      </c>
      <c r="C148" s="18">
        <v>1</v>
      </c>
      <c r="D148" s="46" t="s">
        <v>110</v>
      </c>
      <c r="E148" s="46" t="s">
        <v>59</v>
      </c>
      <c r="F148" s="268" t="str">
        <f>OAA!F148</f>
        <v>+=higher</v>
      </c>
    </row>
    <row r="149" spans="1:6" s="191" customFormat="1" x14ac:dyDescent="0.25">
      <c r="A149" s="17"/>
      <c r="B149" s="17"/>
      <c r="C149" s="17"/>
      <c r="D149" s="2"/>
      <c r="E149" s="2"/>
      <c r="F149" s="269" t="str">
        <f>OAA!F149</f>
        <v>*=at</v>
      </c>
    </row>
    <row r="150" spans="1:6" s="191" customFormat="1" ht="13.8" thickBot="1" x14ac:dyDescent="0.3">
      <c r="A150" s="77"/>
      <c r="B150" s="77"/>
      <c r="C150" s="77"/>
      <c r="D150" s="118"/>
      <c r="E150" s="118"/>
      <c r="F150" s="269" t="str">
        <f>OAA!F150</f>
        <v>-=lower than standard</v>
      </c>
    </row>
    <row r="151" spans="1:6" s="191" customFormat="1" ht="119.4" thickBot="1" x14ac:dyDescent="0.3">
      <c r="A151" s="20">
        <v>254</v>
      </c>
      <c r="B151" s="21">
        <v>256</v>
      </c>
      <c r="C151" s="21">
        <v>3</v>
      </c>
      <c r="D151" s="40" t="s">
        <v>126</v>
      </c>
      <c r="E151" s="48" t="s">
        <v>87</v>
      </c>
      <c r="F151" s="45" t="str">
        <f>OAA!F151</f>
        <v>Numeric - 99.9 - implied decimal
Ex:  045=4.5; 040=4.0</v>
      </c>
    </row>
    <row r="152" spans="1:6" s="191" customFormat="1" x14ac:dyDescent="0.25">
      <c r="A152" s="18">
        <v>257</v>
      </c>
      <c r="B152" s="18">
        <v>257</v>
      </c>
      <c r="C152" s="18">
        <v>1</v>
      </c>
      <c r="D152" s="46" t="s">
        <v>112</v>
      </c>
      <c r="E152" s="46" t="s">
        <v>59</v>
      </c>
      <c r="F152" s="268" t="str">
        <f>OAA!F152</f>
        <v>+=higher</v>
      </c>
    </row>
    <row r="153" spans="1:6" s="191" customFormat="1" x14ac:dyDescent="0.25">
      <c r="A153" s="17"/>
      <c r="B153" s="17"/>
      <c r="C153" s="17"/>
      <c r="D153" s="2"/>
      <c r="E153" s="2"/>
      <c r="F153" s="269" t="str">
        <f>OAA!F153</f>
        <v>*=at</v>
      </c>
    </row>
    <row r="154" spans="1:6" s="191" customFormat="1" ht="13.8" thickBot="1" x14ac:dyDescent="0.3">
      <c r="A154" s="77"/>
      <c r="B154" s="77"/>
      <c r="C154" s="77"/>
      <c r="D154" s="118"/>
      <c r="E154" s="118"/>
      <c r="F154" s="269" t="str">
        <f>OAA!F154</f>
        <v>-=lower than standard</v>
      </c>
    </row>
    <row r="155" spans="1:6" s="191" customFormat="1" ht="132.6" thickBot="1" x14ac:dyDescent="0.3">
      <c r="A155" s="20">
        <v>258</v>
      </c>
      <c r="B155" s="21">
        <v>260</v>
      </c>
      <c r="C155" s="21">
        <v>3</v>
      </c>
      <c r="D155" s="40" t="s">
        <v>127</v>
      </c>
      <c r="E155" s="48" t="s">
        <v>87</v>
      </c>
      <c r="F155" s="45" t="str">
        <f>OAA!F155</f>
        <v>Numeric - 99.9 - implied decimal
Ex:  045=4.5; 040=4.0</v>
      </c>
    </row>
    <row r="156" spans="1:6" s="191" customFormat="1" x14ac:dyDescent="0.25">
      <c r="A156" s="18">
        <v>261</v>
      </c>
      <c r="B156" s="18">
        <v>261</v>
      </c>
      <c r="C156" s="18">
        <v>1</v>
      </c>
      <c r="D156" s="46" t="s">
        <v>113</v>
      </c>
      <c r="E156" s="46" t="s">
        <v>59</v>
      </c>
      <c r="F156" s="268" t="str">
        <f>OAA!F156</f>
        <v>+=higher</v>
      </c>
    </row>
    <row r="157" spans="1:6" s="191" customFormat="1" x14ac:dyDescent="0.25">
      <c r="A157" s="17"/>
      <c r="B157" s="17"/>
      <c r="C157" s="17"/>
      <c r="D157" s="2"/>
      <c r="E157" s="2"/>
      <c r="F157" s="269" t="str">
        <f>OAA!F157</f>
        <v>*=at</v>
      </c>
    </row>
    <row r="158" spans="1:6" s="191" customFormat="1" ht="13.8" thickBot="1" x14ac:dyDescent="0.3">
      <c r="A158" s="17"/>
      <c r="B158" s="17"/>
      <c r="C158" s="17"/>
      <c r="D158" s="2"/>
      <c r="E158" s="2"/>
      <c r="F158" s="269" t="str">
        <f>OAA!F158</f>
        <v>-=lower than standard</v>
      </c>
    </row>
    <row r="159" spans="1:6" s="191" customFormat="1" ht="119.4" thickBot="1" x14ac:dyDescent="0.3">
      <c r="A159" s="20">
        <v>262</v>
      </c>
      <c r="B159" s="21">
        <v>264</v>
      </c>
      <c r="C159" s="21">
        <v>3</v>
      </c>
      <c r="D159" s="40" t="s">
        <v>128</v>
      </c>
      <c r="E159" s="48"/>
      <c r="F159" s="45" t="str">
        <f>OAA!F159</f>
        <v>Numeric - 99.9 - implied decimal
Ex:  045=4.5; 040=4.0</v>
      </c>
    </row>
    <row r="160" spans="1:6" s="191" customFormat="1" x14ac:dyDescent="0.25">
      <c r="A160" s="18">
        <v>265</v>
      </c>
      <c r="B160" s="18">
        <v>265</v>
      </c>
      <c r="C160" s="18">
        <v>1</v>
      </c>
      <c r="D160" s="46" t="s">
        <v>120</v>
      </c>
      <c r="E160" s="46" t="s">
        <v>59</v>
      </c>
      <c r="F160" s="268" t="str">
        <f>OAA!F160</f>
        <v>+=higher</v>
      </c>
    </row>
    <row r="161" spans="1:6" s="191" customFormat="1" x14ac:dyDescent="0.25">
      <c r="A161" s="17"/>
      <c r="B161" s="17"/>
      <c r="C161" s="17"/>
      <c r="D161" s="2"/>
      <c r="E161" s="2"/>
      <c r="F161" s="269" t="str">
        <f>OAA!F161</f>
        <v>*=at</v>
      </c>
    </row>
    <row r="162" spans="1:6" s="191" customFormat="1" ht="13.8" thickBot="1" x14ac:dyDescent="0.3">
      <c r="A162" s="17"/>
      <c r="B162" s="17"/>
      <c r="C162" s="17"/>
      <c r="D162" s="2"/>
      <c r="E162" s="2"/>
      <c r="F162" s="269" t="str">
        <f>OAA!F162</f>
        <v>-=lower than standard</v>
      </c>
    </row>
    <row r="163" spans="1:6" s="191" customFormat="1" ht="13.8" thickBot="1" x14ac:dyDescent="0.3">
      <c r="A163" s="123">
        <v>266</v>
      </c>
      <c r="B163" s="42">
        <v>266</v>
      </c>
      <c r="C163" s="42">
        <v>1</v>
      </c>
      <c r="D163" s="217" t="s">
        <v>65</v>
      </c>
      <c r="E163" s="217"/>
      <c r="F163" s="256"/>
    </row>
    <row r="164" spans="1:6" s="191" customFormat="1" ht="39.6" x14ac:dyDescent="0.25">
      <c r="A164" s="131">
        <v>267</v>
      </c>
      <c r="B164" s="18">
        <v>269</v>
      </c>
      <c r="C164" s="18">
        <v>3</v>
      </c>
      <c r="D164" s="27" t="s">
        <v>129</v>
      </c>
      <c r="E164" s="46" t="s">
        <v>56</v>
      </c>
      <c r="F164" s="58" t="str">
        <f>OAA!F164</f>
        <v>Total raw score for Math
99v9 - implied decimal</v>
      </c>
    </row>
    <row r="165" spans="1:6" s="191" customFormat="1" x14ac:dyDescent="0.25">
      <c r="A165" s="17"/>
      <c r="B165" s="17"/>
      <c r="C165" s="17"/>
      <c r="D165" s="3"/>
      <c r="E165" s="3"/>
      <c r="F165" s="269" t="str">
        <f>OAA!F165</f>
        <v>DNA=Did Not Attempt</v>
      </c>
    </row>
    <row r="166" spans="1:6" s="191" customFormat="1" x14ac:dyDescent="0.25">
      <c r="A166" s="17"/>
      <c r="B166" s="17"/>
      <c r="C166" s="17"/>
      <c r="D166" s="3"/>
      <c r="E166" s="3"/>
      <c r="F166" s="270" t="str">
        <f>OAA!F166</f>
        <v>TOG=Tested Out of Grade</v>
      </c>
    </row>
    <row r="167" spans="1:6" s="191" customFormat="1" x14ac:dyDescent="0.25">
      <c r="A167" s="77"/>
      <c r="B167" s="77"/>
      <c r="C167" s="77"/>
      <c r="D167" s="78"/>
      <c r="E167" s="78"/>
      <c r="F167" s="269" t="str">
        <f>OAA!F167</f>
        <v>DNS=Do Not Score</v>
      </c>
    </row>
    <row r="168" spans="1:6" s="191" customFormat="1" x14ac:dyDescent="0.25">
      <c r="A168" s="77"/>
      <c r="B168" s="77"/>
      <c r="C168" s="77"/>
      <c r="D168" s="78"/>
      <c r="E168" s="78"/>
      <c r="F168" s="269" t="str">
        <f>OAA!F168</f>
        <v>INV=Invalidated</v>
      </c>
    </row>
    <row r="169" spans="1:6" s="191" customFormat="1" ht="13.8" thickBot="1" x14ac:dyDescent="0.3">
      <c r="A169" s="30"/>
      <c r="B169" s="31"/>
      <c r="C169" s="31"/>
      <c r="D169" s="52"/>
      <c r="E169" s="50"/>
      <c r="F169" s="153"/>
    </row>
    <row r="170" spans="1:6" s="191" customFormat="1" x14ac:dyDescent="0.25">
      <c r="A170" s="53">
        <v>270</v>
      </c>
      <c r="B170" s="53">
        <v>276</v>
      </c>
      <c r="C170" s="53">
        <v>7</v>
      </c>
      <c r="D170" s="54" t="s">
        <v>65</v>
      </c>
      <c r="E170" s="54"/>
      <c r="F170" s="259"/>
    </row>
    <row r="171" spans="1:6" s="191" customFormat="1" ht="13.8" thickBot="1" x14ac:dyDescent="0.3">
      <c r="A171" s="129">
        <v>277</v>
      </c>
      <c r="B171" s="129">
        <v>288</v>
      </c>
      <c r="C171" s="129">
        <v>12</v>
      </c>
      <c r="D171" s="231" t="s">
        <v>65</v>
      </c>
      <c r="E171" s="231"/>
      <c r="F171" s="173"/>
    </row>
    <row r="172" spans="1:6" s="191" customFormat="1" ht="52.8" x14ac:dyDescent="0.25">
      <c r="A172" s="28">
        <v>289</v>
      </c>
      <c r="B172" s="29">
        <v>290</v>
      </c>
      <c r="C172" s="29">
        <v>2</v>
      </c>
      <c r="D172" s="116" t="s">
        <v>130</v>
      </c>
      <c r="E172" s="116" t="s">
        <v>67</v>
      </c>
      <c r="F172" s="281" t="str">
        <f>OAA!F172</f>
        <v>11=Advanced</v>
      </c>
    </row>
    <row r="173" spans="1:6" s="191" customFormat="1" x14ac:dyDescent="0.25">
      <c r="A173" s="121"/>
      <c r="B173" s="17"/>
      <c r="C173" s="17"/>
      <c r="D173" s="3"/>
      <c r="E173" s="3"/>
      <c r="F173" s="269" t="str">
        <f>OAA!F173</f>
        <v>12=Accelerated</v>
      </c>
    </row>
    <row r="174" spans="1:6" s="191" customFormat="1" x14ac:dyDescent="0.25">
      <c r="A174" s="121"/>
      <c r="B174" s="17"/>
      <c r="C174" s="17"/>
      <c r="D174" s="3"/>
      <c r="E174" s="3"/>
      <c r="F174" s="269" t="str">
        <f>OAA!F174</f>
        <v>13=Proficient</v>
      </c>
    </row>
    <row r="175" spans="1:6" s="191" customFormat="1" x14ac:dyDescent="0.25">
      <c r="A175" s="121"/>
      <c r="B175" s="17"/>
      <c r="C175" s="17"/>
      <c r="D175" s="3"/>
      <c r="E175" s="3"/>
      <c r="F175" s="269" t="str">
        <f>OAA!F175</f>
        <v>14=Basic</v>
      </c>
    </row>
    <row r="176" spans="1:6" s="191" customFormat="1" x14ac:dyDescent="0.25">
      <c r="A176" s="121"/>
      <c r="B176" s="17"/>
      <c r="C176" s="17"/>
      <c r="D176" s="3"/>
      <c r="E176" s="3"/>
      <c r="F176" s="269" t="str">
        <f>OAA!F176</f>
        <v>15=Limited</v>
      </c>
    </row>
    <row r="177" spans="1:6" s="191" customFormat="1" x14ac:dyDescent="0.25">
      <c r="A177" s="17"/>
      <c r="B177" s="17"/>
      <c r="C177" s="17"/>
      <c r="D177" s="3"/>
      <c r="E177" s="3"/>
      <c r="F177" s="269" t="str">
        <f>OAA!F177</f>
        <v>99=invalidated</v>
      </c>
    </row>
    <row r="178" spans="1:6" s="191" customFormat="1" ht="13.8" thickBot="1" x14ac:dyDescent="0.3">
      <c r="A178" s="33"/>
      <c r="B178" s="34"/>
      <c r="C178" s="34"/>
      <c r="D178" s="181"/>
      <c r="E178" s="181"/>
      <c r="F178" s="271" t="str">
        <f>OAA!F178</f>
        <v>blank=DNA/TOG/DNS/Missing</v>
      </c>
    </row>
    <row r="179" spans="1:6" s="191" customFormat="1" ht="39.6" x14ac:dyDescent="0.25">
      <c r="A179" s="18">
        <v>291</v>
      </c>
      <c r="B179" s="18">
        <v>293</v>
      </c>
      <c r="C179" s="18">
        <v>3</v>
      </c>
      <c r="D179" s="27" t="s">
        <v>131</v>
      </c>
      <c r="E179" s="27" t="s">
        <v>54</v>
      </c>
      <c r="F179" s="58" t="str">
        <f>OAA!F179</f>
        <v>Range 000-999</v>
      </c>
    </row>
    <row r="180" spans="1:6" s="191" customFormat="1" x14ac:dyDescent="0.25">
      <c r="A180" s="17"/>
      <c r="B180" s="17"/>
      <c r="C180" s="17"/>
      <c r="D180" s="3"/>
      <c r="E180" s="3"/>
      <c r="F180" s="269" t="str">
        <f>OAA!F180</f>
        <v>DNA=Did Not Attempt</v>
      </c>
    </row>
    <row r="181" spans="1:6" s="191" customFormat="1" x14ac:dyDescent="0.25">
      <c r="A181" s="17"/>
      <c r="B181" s="17"/>
      <c r="C181" s="17"/>
      <c r="D181" s="3"/>
      <c r="E181" s="3"/>
      <c r="F181" s="269" t="str">
        <f>OAA!F181</f>
        <v>TOG=Tested Out of Grade</v>
      </c>
    </row>
    <row r="182" spans="1:6" s="191" customFormat="1" x14ac:dyDescent="0.25">
      <c r="A182" s="17"/>
      <c r="B182" s="17"/>
      <c r="C182" s="17"/>
      <c r="D182" s="3"/>
      <c r="E182" s="3"/>
      <c r="F182" s="269" t="str">
        <f>OAA!F182</f>
        <v>DNS=Do Not Score</v>
      </c>
    </row>
    <row r="183" spans="1:6" s="191" customFormat="1" ht="13.8" thickBot="1" x14ac:dyDescent="0.3">
      <c r="A183" s="77"/>
      <c r="B183" s="77"/>
      <c r="C183" s="77"/>
      <c r="D183" s="78"/>
      <c r="E183" s="78"/>
      <c r="F183" s="270" t="str">
        <f>OAA!F183</f>
        <v>INV=Invalidated</v>
      </c>
    </row>
    <row r="184" spans="1:6" s="191" customFormat="1" ht="93" thickBot="1" x14ac:dyDescent="0.3">
      <c r="A184" s="20">
        <v>294</v>
      </c>
      <c r="B184" s="21">
        <v>296</v>
      </c>
      <c r="C184" s="21">
        <v>3</v>
      </c>
      <c r="D184" s="40" t="s">
        <v>132</v>
      </c>
      <c r="E184" s="48" t="s">
        <v>87</v>
      </c>
      <c r="F184" s="45" t="str">
        <f>OAA!F184</f>
        <v>Numeric - 99.9 - implied decimal
Ex:  045=4.5; 040=4.0</v>
      </c>
    </row>
    <row r="185" spans="1:6" s="191" customFormat="1" x14ac:dyDescent="0.25">
      <c r="A185" s="18">
        <v>297</v>
      </c>
      <c r="B185" s="18">
        <v>297</v>
      </c>
      <c r="C185" s="18">
        <v>1</v>
      </c>
      <c r="D185" s="46" t="s">
        <v>108</v>
      </c>
      <c r="E185" s="46" t="s">
        <v>59</v>
      </c>
      <c r="F185" s="268" t="str">
        <f>OAA!F185</f>
        <v>+=higher</v>
      </c>
    </row>
    <row r="186" spans="1:6" s="191" customFormat="1" x14ac:dyDescent="0.25">
      <c r="A186" s="17"/>
      <c r="B186" s="17"/>
      <c r="C186" s="17"/>
      <c r="D186" s="2"/>
      <c r="E186" s="2"/>
      <c r="F186" s="269" t="str">
        <f>OAA!F186</f>
        <v>*=at</v>
      </c>
    </row>
    <row r="187" spans="1:6" s="191" customFormat="1" ht="13.8" thickBot="1" x14ac:dyDescent="0.3">
      <c r="A187" s="77"/>
      <c r="B187" s="77"/>
      <c r="C187" s="77"/>
      <c r="D187" s="118"/>
      <c r="E187" s="118"/>
      <c r="F187" s="269" t="str">
        <f>OAA!F187</f>
        <v>-=lower than standard</v>
      </c>
    </row>
    <row r="188" spans="1:6" s="191" customFormat="1" ht="185.4" thickBot="1" x14ac:dyDescent="0.3">
      <c r="A188" s="20">
        <v>298</v>
      </c>
      <c r="B188" s="21">
        <v>300</v>
      </c>
      <c r="C188" s="21">
        <v>3</v>
      </c>
      <c r="D188" s="40" t="s">
        <v>27</v>
      </c>
      <c r="E188" s="48" t="s">
        <v>87</v>
      </c>
      <c r="F188" s="45" t="str">
        <f>OAA!F188</f>
        <v>Numeric - 99.9 - implied decimal
Ex:  045=4.5; 040=4.0</v>
      </c>
    </row>
    <row r="189" spans="1:6" s="191" customFormat="1" x14ac:dyDescent="0.25">
      <c r="A189" s="18">
        <v>301</v>
      </c>
      <c r="B189" s="18">
        <v>301</v>
      </c>
      <c r="C189" s="18">
        <v>1</v>
      </c>
      <c r="D189" s="46" t="s">
        <v>110</v>
      </c>
      <c r="E189" s="46" t="s">
        <v>59</v>
      </c>
      <c r="F189" s="268" t="str">
        <f>OAA!F189</f>
        <v>+=higher</v>
      </c>
    </row>
    <row r="190" spans="1:6" s="191" customFormat="1" x14ac:dyDescent="0.25">
      <c r="A190" s="17"/>
      <c r="B190" s="17"/>
      <c r="C190" s="17"/>
      <c r="D190" s="2"/>
      <c r="E190" s="2"/>
      <c r="F190" s="269" t="str">
        <f>OAA!F190</f>
        <v>*=at</v>
      </c>
    </row>
    <row r="191" spans="1:6" s="191" customFormat="1" ht="13.8" thickBot="1" x14ac:dyDescent="0.3">
      <c r="A191" s="77"/>
      <c r="B191" s="77"/>
      <c r="C191" s="77"/>
      <c r="D191" s="118"/>
      <c r="E191" s="118"/>
      <c r="F191" s="269" t="str">
        <f>OAA!F191</f>
        <v>-=lower than standard</v>
      </c>
    </row>
    <row r="192" spans="1:6" s="191" customFormat="1" ht="106.2" thickBot="1" x14ac:dyDescent="0.3">
      <c r="A192" s="20">
        <v>302</v>
      </c>
      <c r="B192" s="21">
        <v>304</v>
      </c>
      <c r="C192" s="21">
        <v>3</v>
      </c>
      <c r="D192" s="40" t="s">
        <v>133</v>
      </c>
      <c r="E192" s="48" t="s">
        <v>87</v>
      </c>
      <c r="F192" s="45" t="str">
        <f>OAA!F192</f>
        <v>Numeric - 99.9 - implied decimal
Ex:  045=4.5; 040=4.0</v>
      </c>
    </row>
    <row r="193" spans="1:6" s="191" customFormat="1" x14ac:dyDescent="0.25">
      <c r="A193" s="18">
        <v>305</v>
      </c>
      <c r="B193" s="18">
        <v>305</v>
      </c>
      <c r="C193" s="18">
        <v>1</v>
      </c>
      <c r="D193" s="46" t="s">
        <v>112</v>
      </c>
      <c r="E193" s="46" t="s">
        <v>59</v>
      </c>
      <c r="F193" s="268" t="str">
        <f>OAA!F193</f>
        <v>+=higher</v>
      </c>
    </row>
    <row r="194" spans="1:6" s="191" customFormat="1" x14ac:dyDescent="0.25">
      <c r="A194" s="17"/>
      <c r="B194" s="17"/>
      <c r="C194" s="17"/>
      <c r="D194" s="2"/>
      <c r="E194" s="2"/>
      <c r="F194" s="269" t="str">
        <f>OAA!F194</f>
        <v>*=at</v>
      </c>
    </row>
    <row r="195" spans="1:6" s="191" customFormat="1" ht="13.8" thickBot="1" x14ac:dyDescent="0.3">
      <c r="A195" s="77"/>
      <c r="B195" s="77"/>
      <c r="C195" s="77"/>
      <c r="D195" s="118"/>
      <c r="E195" s="118"/>
      <c r="F195" s="269" t="str">
        <f>OAA!F195</f>
        <v>-=lower than standard</v>
      </c>
    </row>
    <row r="196" spans="1:6" s="191" customFormat="1" ht="132.6" thickBot="1" x14ac:dyDescent="0.3">
      <c r="A196" s="20">
        <v>306</v>
      </c>
      <c r="B196" s="21">
        <v>308</v>
      </c>
      <c r="C196" s="21">
        <v>3</v>
      </c>
      <c r="D196" s="40" t="s">
        <v>134</v>
      </c>
      <c r="E196" s="48" t="s">
        <v>87</v>
      </c>
      <c r="F196" s="45" t="str">
        <f>OAA!F196</f>
        <v>Numeric - 99.9 - implied decimal
Ex:  045=4.5; 040=4.0</v>
      </c>
    </row>
    <row r="197" spans="1:6" s="191" customFormat="1" x14ac:dyDescent="0.25">
      <c r="A197" s="18">
        <v>309</v>
      </c>
      <c r="B197" s="18">
        <v>309</v>
      </c>
      <c r="C197" s="18">
        <v>1</v>
      </c>
      <c r="D197" s="46" t="s">
        <v>113</v>
      </c>
      <c r="E197" s="46" t="s">
        <v>59</v>
      </c>
      <c r="F197" s="268" t="str">
        <f>OAA!F197</f>
        <v>+=higher</v>
      </c>
    </row>
    <row r="198" spans="1:6" s="191" customFormat="1" x14ac:dyDescent="0.25">
      <c r="A198" s="17"/>
      <c r="B198" s="17"/>
      <c r="C198" s="17"/>
      <c r="D198" s="2"/>
      <c r="E198" s="2"/>
      <c r="F198" s="269" t="str">
        <f>OAA!F198</f>
        <v>*=at</v>
      </c>
    </row>
    <row r="199" spans="1:6" s="191" customFormat="1" ht="13.8" thickBot="1" x14ac:dyDescent="0.3">
      <c r="A199" s="77"/>
      <c r="B199" s="77"/>
      <c r="C199" s="77"/>
      <c r="D199" s="118"/>
      <c r="E199" s="118"/>
      <c r="F199" s="270" t="str">
        <f>OAA!F199</f>
        <v>-=lower than standard</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61"/>
    </row>
    <row r="202" spans="1:6" s="191" customFormat="1" x14ac:dyDescent="0.25">
      <c r="A202" s="180"/>
      <c r="B202" s="180"/>
      <c r="C202" s="180"/>
      <c r="D202" s="227"/>
      <c r="E202" s="227"/>
      <c r="F202" s="172"/>
    </row>
    <row r="203" spans="1:6" s="191" customFormat="1" ht="13.8" thickBot="1" x14ac:dyDescent="0.3">
      <c r="A203" s="129"/>
      <c r="B203" s="129"/>
      <c r="C203" s="129"/>
      <c r="D203" s="231"/>
      <c r="E203" s="231"/>
      <c r="F203" s="173"/>
    </row>
    <row r="204" spans="1:6" s="191" customFormat="1" ht="13.8" thickBot="1" x14ac:dyDescent="0.3">
      <c r="A204" s="123">
        <v>314</v>
      </c>
      <c r="B204" s="42">
        <v>314</v>
      </c>
      <c r="C204" s="42">
        <v>1</v>
      </c>
      <c r="D204" s="217" t="s">
        <v>65</v>
      </c>
      <c r="E204" s="217"/>
      <c r="F204" s="256"/>
    </row>
    <row r="205" spans="1:6" s="191" customFormat="1" ht="52.8" x14ac:dyDescent="0.25">
      <c r="A205" s="18">
        <v>315</v>
      </c>
      <c r="B205" s="18">
        <v>317</v>
      </c>
      <c r="C205" s="18">
        <v>3</v>
      </c>
      <c r="D205" s="27" t="s">
        <v>253</v>
      </c>
      <c r="E205" s="27" t="s">
        <v>56</v>
      </c>
      <c r="F205" s="58" t="str">
        <f>OAA!F205</f>
        <v>Total raw score for Social Studies
99v9 - implied decimal</v>
      </c>
    </row>
    <row r="206" spans="1:6" s="191" customFormat="1" x14ac:dyDescent="0.25">
      <c r="A206" s="17"/>
      <c r="B206" s="17"/>
      <c r="C206" s="17"/>
      <c r="D206" s="3"/>
      <c r="E206" s="3"/>
      <c r="F206" s="269" t="str">
        <f>OAA!F206</f>
        <v>DNA=Did Not Attempt</v>
      </c>
    </row>
    <row r="207" spans="1:6" s="191" customFormat="1" x14ac:dyDescent="0.25">
      <c r="A207" s="17"/>
      <c r="B207" s="17"/>
      <c r="C207" s="17"/>
      <c r="D207" s="3"/>
      <c r="E207" s="3"/>
      <c r="F207" s="270" t="str">
        <f>OAA!F207</f>
        <v>TOG=Tested Out of Grade</v>
      </c>
    </row>
    <row r="208" spans="1:6" s="191" customFormat="1" x14ac:dyDescent="0.25">
      <c r="A208" s="17"/>
      <c r="B208" s="17"/>
      <c r="C208" s="17"/>
      <c r="D208" s="3"/>
      <c r="E208" s="3"/>
      <c r="F208" s="269" t="str">
        <f>OAA!F208</f>
        <v>DNS=Do Not Score</v>
      </c>
    </row>
    <row r="209" spans="1:6" s="191" customFormat="1" x14ac:dyDescent="0.25">
      <c r="A209" s="77"/>
      <c r="B209" s="77"/>
      <c r="C209" s="77"/>
      <c r="D209" s="78"/>
      <c r="E209" s="78"/>
      <c r="F209" s="269" t="str">
        <f>OAA!F209</f>
        <v>INV=Invalidated</v>
      </c>
    </row>
    <row r="210" spans="1:6" s="191" customFormat="1" ht="13.8" thickBot="1" x14ac:dyDescent="0.3">
      <c r="A210" s="77"/>
      <c r="B210" s="77"/>
      <c r="C210" s="77"/>
      <c r="D210" s="78"/>
      <c r="E210" s="118"/>
      <c r="F210" s="173"/>
    </row>
    <row r="211" spans="1:6" s="191" customFormat="1" x14ac:dyDescent="0.25">
      <c r="A211" s="124">
        <v>318</v>
      </c>
      <c r="B211" s="125">
        <v>324</v>
      </c>
      <c r="C211" s="125">
        <v>7</v>
      </c>
      <c r="D211" s="204" t="s">
        <v>65</v>
      </c>
      <c r="E211" s="204"/>
      <c r="F211" s="258"/>
    </row>
    <row r="212" spans="1:6" s="191" customFormat="1" ht="13.8" thickBot="1" x14ac:dyDescent="0.3">
      <c r="A212" s="126">
        <v>325</v>
      </c>
      <c r="B212" s="127">
        <v>336</v>
      </c>
      <c r="C212" s="127">
        <v>12</v>
      </c>
      <c r="D212" s="206" t="s">
        <v>65</v>
      </c>
      <c r="E212" s="206"/>
      <c r="F212" s="153"/>
    </row>
    <row r="213" spans="1:6" s="191" customFormat="1" ht="52.8" x14ac:dyDescent="0.25">
      <c r="A213" s="18">
        <v>337</v>
      </c>
      <c r="B213" s="18">
        <v>338</v>
      </c>
      <c r="C213" s="18">
        <v>2</v>
      </c>
      <c r="D213" s="27" t="s">
        <v>136</v>
      </c>
      <c r="E213" s="27" t="s">
        <v>67</v>
      </c>
      <c r="F213" s="268" t="str">
        <f>OAA!F213</f>
        <v>11=Advanced</v>
      </c>
    </row>
    <row r="214" spans="1:6" s="191" customFormat="1" x14ac:dyDescent="0.25">
      <c r="A214" s="17"/>
      <c r="B214" s="17"/>
      <c r="C214" s="17"/>
      <c r="D214" s="3"/>
      <c r="E214" s="3"/>
      <c r="F214" s="269" t="str">
        <f>OAA!F214</f>
        <v>12=Accelerated</v>
      </c>
    </row>
    <row r="215" spans="1:6" s="191" customFormat="1" x14ac:dyDescent="0.25">
      <c r="A215" s="17"/>
      <c r="B215" s="17"/>
      <c r="C215" s="17"/>
      <c r="D215" s="3"/>
      <c r="E215" s="3"/>
      <c r="F215" s="269" t="str">
        <f>OAA!F215</f>
        <v>13=Proficient</v>
      </c>
    </row>
    <row r="216" spans="1:6" s="191" customFormat="1" x14ac:dyDescent="0.25">
      <c r="A216" s="17"/>
      <c r="B216" s="17"/>
      <c r="C216" s="17"/>
      <c r="D216" s="3"/>
      <c r="E216" s="3"/>
      <c r="F216" s="269" t="str">
        <f>OAA!F216</f>
        <v>14=Basic</v>
      </c>
    </row>
    <row r="217" spans="1:6" s="191" customFormat="1" x14ac:dyDescent="0.25">
      <c r="A217" s="17"/>
      <c r="B217" s="17"/>
      <c r="C217" s="17"/>
      <c r="D217" s="3"/>
      <c r="E217" s="3"/>
      <c r="F217" s="269" t="str">
        <f>OAA!F217</f>
        <v>15=Limited</v>
      </c>
    </row>
    <row r="218" spans="1:6" s="191" customFormat="1" x14ac:dyDescent="0.25">
      <c r="A218" s="17"/>
      <c r="B218" s="17"/>
      <c r="C218" s="17"/>
      <c r="D218" s="3"/>
      <c r="E218" s="3"/>
      <c r="F218" s="269" t="str">
        <f>OAA!F218</f>
        <v>99=invalidated</v>
      </c>
    </row>
    <row r="219" spans="1:6" s="191" customFormat="1" ht="13.8" thickBot="1" x14ac:dyDescent="0.3">
      <c r="A219" s="77"/>
      <c r="B219" s="77"/>
      <c r="C219" s="77"/>
      <c r="D219" s="78"/>
      <c r="E219" s="78"/>
      <c r="F219" s="271" t="str">
        <f>OAA!F219</f>
        <v>blank=DNA/TOG/DNS/Missing</v>
      </c>
    </row>
    <row r="220" spans="1:6" s="191" customFormat="1" ht="39.6" x14ac:dyDescent="0.25">
      <c r="A220" s="28">
        <v>339</v>
      </c>
      <c r="B220" s="29">
        <v>341</v>
      </c>
      <c r="C220" s="29">
        <v>3</v>
      </c>
      <c r="D220" s="116" t="s">
        <v>137</v>
      </c>
      <c r="E220" s="116" t="s">
        <v>54</v>
      </c>
      <c r="F220" s="117" t="str">
        <f>OAA!F220</f>
        <v>Range 000-999</v>
      </c>
    </row>
    <row r="221" spans="1:6" s="191" customFormat="1" x14ac:dyDescent="0.25">
      <c r="A221" s="121"/>
      <c r="B221" s="17"/>
      <c r="C221" s="17"/>
      <c r="D221" s="3"/>
      <c r="E221" s="3"/>
      <c r="F221" s="269" t="str">
        <f>OAA!F221</f>
        <v>DNA=Did Not Attempt</v>
      </c>
    </row>
    <row r="222" spans="1:6" s="191" customFormat="1" x14ac:dyDescent="0.25">
      <c r="A222" s="121"/>
      <c r="B222" s="17"/>
      <c r="C222" s="17"/>
      <c r="D222" s="3"/>
      <c r="E222" s="3"/>
      <c r="F222" s="269" t="str">
        <f>OAA!F222</f>
        <v>TOG=Tested Out of Grade</v>
      </c>
    </row>
    <row r="223" spans="1:6" s="191" customFormat="1" x14ac:dyDescent="0.25">
      <c r="A223" s="121"/>
      <c r="B223" s="17"/>
      <c r="C223" s="17"/>
      <c r="D223" s="3"/>
      <c r="E223" s="3"/>
      <c r="F223" s="269" t="str">
        <f>OAA!F223</f>
        <v>DNS=Do Not Score</v>
      </c>
    </row>
    <row r="224" spans="1:6" s="191" customFormat="1" ht="13.8" thickBot="1" x14ac:dyDescent="0.3">
      <c r="A224" s="30"/>
      <c r="B224" s="31"/>
      <c r="C224" s="31"/>
      <c r="D224" s="52"/>
      <c r="E224" s="52"/>
      <c r="F224" s="271" t="str">
        <f>OAA!F224</f>
        <v>INV=Invalidated</v>
      </c>
    </row>
    <row r="225" spans="1:6" s="191" customFormat="1" ht="93" thickBot="1" x14ac:dyDescent="0.3">
      <c r="A225" s="108">
        <v>342</v>
      </c>
      <c r="B225" s="108">
        <v>344</v>
      </c>
      <c r="C225" s="108">
        <v>3</v>
      </c>
      <c r="D225" s="112" t="s">
        <v>138</v>
      </c>
      <c r="E225" s="213" t="s">
        <v>87</v>
      </c>
      <c r="F225" s="45" t="str">
        <f>OAA!F225</f>
        <v>Numeric - 99.9 - implied decimal
Ex:  045=4.5; 040=4.0</v>
      </c>
    </row>
    <row r="226" spans="1:6" s="191" customFormat="1" x14ac:dyDescent="0.25">
      <c r="A226" s="28">
        <v>345</v>
      </c>
      <c r="B226" s="29">
        <v>345</v>
      </c>
      <c r="C226" s="29">
        <v>1</v>
      </c>
      <c r="D226" s="115" t="s">
        <v>108</v>
      </c>
      <c r="E226" s="115" t="s">
        <v>59</v>
      </c>
      <c r="F226" s="268" t="str">
        <f>OAA!F226</f>
        <v>+=higher</v>
      </c>
    </row>
    <row r="227" spans="1:6" s="191" customFormat="1" x14ac:dyDescent="0.25">
      <c r="A227" s="121"/>
      <c r="B227" s="17"/>
      <c r="C227" s="17"/>
      <c r="D227" s="2"/>
      <c r="E227" s="2"/>
      <c r="F227" s="269" t="str">
        <f>OAA!F227</f>
        <v>*=at</v>
      </c>
    </row>
    <row r="228" spans="1:6" s="191" customFormat="1" ht="13.8" thickBot="1" x14ac:dyDescent="0.3">
      <c r="A228" s="30"/>
      <c r="B228" s="31"/>
      <c r="C228" s="31"/>
      <c r="D228" s="50"/>
      <c r="E228" s="50"/>
      <c r="F228" s="269" t="str">
        <f>OAA!F228</f>
        <v>-=lower than standard</v>
      </c>
    </row>
    <row r="229" spans="1:6" s="191" customFormat="1" ht="106.2" thickBot="1" x14ac:dyDescent="0.3">
      <c r="A229" s="108">
        <v>346</v>
      </c>
      <c r="B229" s="108">
        <v>348</v>
      </c>
      <c r="C229" s="108">
        <v>3</v>
      </c>
      <c r="D229" s="112" t="s">
        <v>34</v>
      </c>
      <c r="E229" s="213" t="s">
        <v>87</v>
      </c>
      <c r="F229" s="45" t="str">
        <f>OAA!F229</f>
        <v>Numeric - 99.9 - implied decimal
Ex:  045=4.5; 040=4.0</v>
      </c>
    </row>
    <row r="230" spans="1:6" s="191" customFormat="1" x14ac:dyDescent="0.25">
      <c r="A230" s="28">
        <v>349</v>
      </c>
      <c r="B230" s="29">
        <v>349</v>
      </c>
      <c r="C230" s="29">
        <v>1</v>
      </c>
      <c r="D230" s="115" t="s">
        <v>110</v>
      </c>
      <c r="E230" s="115" t="s">
        <v>59</v>
      </c>
      <c r="F230" s="268" t="str">
        <f>OAA!F230</f>
        <v>+=higher</v>
      </c>
    </row>
    <row r="231" spans="1:6" s="191" customFormat="1" x14ac:dyDescent="0.25">
      <c r="A231" s="121"/>
      <c r="B231" s="17"/>
      <c r="C231" s="17"/>
      <c r="D231" s="2"/>
      <c r="E231" s="2"/>
      <c r="F231" s="269" t="str">
        <f>OAA!F231</f>
        <v>*=at</v>
      </c>
    </row>
    <row r="232" spans="1:6" s="191" customFormat="1" ht="13.8" thickBot="1" x14ac:dyDescent="0.3">
      <c r="A232" s="121"/>
      <c r="B232" s="31"/>
      <c r="C232" s="31"/>
      <c r="D232" s="50"/>
      <c r="E232" s="50"/>
      <c r="F232" s="271" t="str">
        <f>OAA!F232</f>
        <v>-=lower than standard</v>
      </c>
    </row>
    <row r="233" spans="1:6" s="191" customFormat="1" ht="119.4" thickBot="1" x14ac:dyDescent="0.3">
      <c r="A233" s="108">
        <v>350</v>
      </c>
      <c r="B233" s="108">
        <v>352</v>
      </c>
      <c r="C233" s="108">
        <v>3</v>
      </c>
      <c r="D233" s="112" t="s">
        <v>15</v>
      </c>
      <c r="E233" s="213" t="s">
        <v>87</v>
      </c>
      <c r="F233" s="242" t="str">
        <f>OAA!F233</f>
        <v>Numeric - 99.9 - implied decimal
Ex:  045=4.5; 040=4.0</v>
      </c>
    </row>
    <row r="234" spans="1:6" s="191" customFormat="1" x14ac:dyDescent="0.25">
      <c r="A234" s="28">
        <v>353</v>
      </c>
      <c r="B234" s="29">
        <v>353</v>
      </c>
      <c r="C234" s="29">
        <v>1</v>
      </c>
      <c r="D234" s="115" t="s">
        <v>112</v>
      </c>
      <c r="E234" s="115" t="s">
        <v>59</v>
      </c>
      <c r="F234" s="268" t="str">
        <f>OAA!F234</f>
        <v>+=higher</v>
      </c>
    </row>
    <row r="235" spans="1:6" s="191" customFormat="1" x14ac:dyDescent="0.25">
      <c r="A235" s="121"/>
      <c r="B235" s="17"/>
      <c r="C235" s="17"/>
      <c r="D235" s="2"/>
      <c r="E235" s="2"/>
      <c r="F235" s="269" t="str">
        <f>OAA!F235</f>
        <v>*=at</v>
      </c>
    </row>
    <row r="236" spans="1:6" s="191" customFormat="1" ht="13.8" thickBot="1" x14ac:dyDescent="0.3">
      <c r="A236" s="30"/>
      <c r="B236" s="31"/>
      <c r="C236" s="31"/>
      <c r="D236" s="50"/>
      <c r="E236" s="50"/>
      <c r="F236" s="271" t="str">
        <f>OAA!F236</f>
        <v>-=lower than standard</v>
      </c>
    </row>
    <row r="237" spans="1:6" s="191" customFormat="1" ht="211.8" thickBot="1" x14ac:dyDescent="0.3">
      <c r="A237" s="108">
        <v>354</v>
      </c>
      <c r="B237" s="108">
        <v>356</v>
      </c>
      <c r="C237" s="108">
        <v>3</v>
      </c>
      <c r="D237" s="112" t="s">
        <v>16</v>
      </c>
      <c r="E237" s="213" t="s">
        <v>87</v>
      </c>
      <c r="F237" s="113" t="str">
        <f>OAA!F237</f>
        <v>Numeric - 99.9 - implied decimal
Ex:  045=4.5; 040=4.0</v>
      </c>
    </row>
    <row r="238" spans="1:6" s="191" customFormat="1" x14ac:dyDescent="0.25">
      <c r="A238" s="28">
        <v>357</v>
      </c>
      <c r="B238" s="29">
        <v>357</v>
      </c>
      <c r="C238" s="29">
        <v>1</v>
      </c>
      <c r="D238" s="115" t="s">
        <v>113</v>
      </c>
      <c r="E238" s="115" t="s">
        <v>59</v>
      </c>
      <c r="F238" s="281" t="str">
        <f>OAA!F238</f>
        <v>+=higher</v>
      </c>
    </row>
    <row r="239" spans="1:6" s="191" customFormat="1" x14ac:dyDescent="0.25">
      <c r="A239" s="121"/>
      <c r="B239" s="17"/>
      <c r="C239" s="17"/>
      <c r="D239" s="2"/>
      <c r="E239" s="2"/>
      <c r="F239" s="269" t="str">
        <f>OAA!F239</f>
        <v>*=at</v>
      </c>
    </row>
    <row r="240" spans="1:6" s="191" customFormat="1" ht="13.8" thickBot="1" x14ac:dyDescent="0.3">
      <c r="A240" s="30"/>
      <c r="B240" s="31"/>
      <c r="C240" s="31"/>
      <c r="D240" s="50"/>
      <c r="E240" s="50"/>
      <c r="F240" s="271" t="str">
        <f>OAA!F240</f>
        <v>-=lower than standard</v>
      </c>
    </row>
    <row r="241" spans="1:6" s="191" customFormat="1" ht="93" thickBot="1" x14ac:dyDescent="0.3">
      <c r="A241" s="114">
        <v>358</v>
      </c>
      <c r="B241" s="114">
        <v>360</v>
      </c>
      <c r="C241" s="114">
        <v>3</v>
      </c>
      <c r="D241" s="119" t="s">
        <v>139</v>
      </c>
      <c r="E241" s="199"/>
      <c r="F241" s="243"/>
    </row>
    <row r="242" spans="1:6" s="191" customFormat="1" x14ac:dyDescent="0.25">
      <c r="A242" s="124">
        <v>361</v>
      </c>
      <c r="B242" s="125">
        <v>361</v>
      </c>
      <c r="C242" s="125">
        <v>1</v>
      </c>
      <c r="D242" s="204" t="s">
        <v>120</v>
      </c>
      <c r="E242" s="204" t="s">
        <v>59</v>
      </c>
      <c r="F242" s="152"/>
    </row>
    <row r="243" spans="1:6" s="191" customFormat="1" x14ac:dyDescent="0.25">
      <c r="A243" s="179"/>
      <c r="B243" s="180"/>
      <c r="C243" s="180"/>
      <c r="D243" s="227"/>
      <c r="E243" s="227"/>
      <c r="F243" s="172"/>
    </row>
    <row r="244" spans="1:6" ht="13.8" thickBot="1" x14ac:dyDescent="0.3">
      <c r="A244" s="126"/>
      <c r="B244" s="127"/>
      <c r="C244" s="127"/>
      <c r="D244" s="206"/>
      <c r="E244" s="206"/>
      <c r="F244" s="153"/>
    </row>
    <row r="245" spans="1:6" ht="13.8" thickBot="1" x14ac:dyDescent="0.3">
      <c r="A245" s="114">
        <v>362</v>
      </c>
      <c r="B245" s="114">
        <v>362</v>
      </c>
      <c r="C245" s="114">
        <v>1</v>
      </c>
      <c r="D245" s="199" t="s">
        <v>65</v>
      </c>
      <c r="E245" s="199"/>
      <c r="F245" s="255"/>
    </row>
    <row r="246" spans="1:6" ht="26.4" x14ac:dyDescent="0.25">
      <c r="A246" s="28">
        <v>363</v>
      </c>
      <c r="B246" s="29">
        <v>365</v>
      </c>
      <c r="C246" s="29">
        <v>3</v>
      </c>
      <c r="D246" s="116" t="s">
        <v>269</v>
      </c>
      <c r="E246" s="116" t="s">
        <v>56</v>
      </c>
      <c r="F246" s="117" t="str">
        <f>OAA!F246</f>
        <v>Total raw score for Science
99v9 - implied decimal</v>
      </c>
    </row>
    <row r="247" spans="1:6" s="191" customFormat="1" x14ac:dyDescent="0.25">
      <c r="A247" s="121"/>
      <c r="B247" s="17"/>
      <c r="C247" s="17"/>
      <c r="D247" s="3"/>
      <c r="E247" s="3"/>
      <c r="F247" s="269" t="str">
        <f>OAA!F247</f>
        <v>DNA=Did Not Attempt</v>
      </c>
    </row>
    <row r="248" spans="1:6" s="191" customFormat="1" x14ac:dyDescent="0.25">
      <c r="A248" s="121"/>
      <c r="B248" s="17"/>
      <c r="C248" s="17"/>
      <c r="D248" s="3"/>
      <c r="E248" s="3"/>
      <c r="F248" s="270" t="str">
        <f>OAA!F248</f>
        <v>TOG=Tested Out of Grade</v>
      </c>
    </row>
    <row r="249" spans="1:6" s="191" customFormat="1" x14ac:dyDescent="0.25">
      <c r="A249" s="121"/>
      <c r="B249" s="17"/>
      <c r="C249" s="17"/>
      <c r="D249" s="3"/>
      <c r="E249" s="3"/>
      <c r="F249" s="269" t="str">
        <f>OAA!F249</f>
        <v>DNS=Do Not Score</v>
      </c>
    </row>
    <row r="250" spans="1:6" s="191" customFormat="1" x14ac:dyDescent="0.25">
      <c r="A250" s="121"/>
      <c r="B250" s="17"/>
      <c r="C250" s="17"/>
      <c r="D250" s="3"/>
      <c r="E250" s="3"/>
      <c r="F250" s="269" t="str">
        <f>OAA!F250</f>
        <v>INV=Invalidated</v>
      </c>
    </row>
    <row r="251" spans="1:6" ht="13.8" thickBot="1" x14ac:dyDescent="0.3">
      <c r="A251" s="30"/>
      <c r="B251" s="31"/>
      <c r="C251" s="31"/>
      <c r="D251" s="52"/>
      <c r="E251" s="210"/>
      <c r="F251" s="153"/>
    </row>
    <row r="252" spans="1:6" ht="26.4" x14ac:dyDescent="0.25">
      <c r="A252" s="53">
        <v>366</v>
      </c>
      <c r="B252" s="53">
        <v>367</v>
      </c>
      <c r="C252" s="53">
        <v>2</v>
      </c>
      <c r="D252" s="56" t="s">
        <v>140</v>
      </c>
      <c r="E252" s="56" t="s">
        <v>87</v>
      </c>
      <c r="F252" s="61"/>
    </row>
    <row r="253" spans="1:6" x14ac:dyDescent="0.25">
      <c r="A253" s="180"/>
      <c r="B253" s="180"/>
      <c r="C253" s="180"/>
      <c r="D253" s="171"/>
      <c r="E253" s="171"/>
      <c r="F253" s="172"/>
    </row>
    <row r="254" spans="1:6" x14ac:dyDescent="0.25">
      <c r="A254" s="180"/>
      <c r="B254" s="180"/>
      <c r="C254" s="180"/>
      <c r="D254" s="171"/>
      <c r="E254" s="171"/>
      <c r="F254" s="172"/>
    </row>
    <row r="255" spans="1:6" x14ac:dyDescent="0.25">
      <c r="A255" s="180"/>
      <c r="B255" s="180"/>
      <c r="C255" s="180"/>
      <c r="D255" s="171"/>
      <c r="E255" s="171"/>
      <c r="F255" s="172"/>
    </row>
    <row r="256" spans="1:6" x14ac:dyDescent="0.25">
      <c r="A256" s="180"/>
      <c r="B256" s="180"/>
      <c r="C256" s="180"/>
      <c r="D256" s="171"/>
      <c r="E256" s="171"/>
      <c r="F256" s="172"/>
    </row>
    <row r="257" spans="1:6" s="191" customFormat="1" x14ac:dyDescent="0.25">
      <c r="A257" s="179"/>
      <c r="B257" s="180"/>
      <c r="C257" s="180"/>
      <c r="D257" s="171"/>
      <c r="E257" s="171"/>
      <c r="F257" s="172"/>
    </row>
    <row r="258" spans="1:6" ht="13.8" thickBot="1" x14ac:dyDescent="0.3">
      <c r="A258" s="114"/>
      <c r="B258" s="114"/>
      <c r="C258" s="114"/>
      <c r="D258" s="119"/>
      <c r="E258" s="119"/>
      <c r="F258" s="243"/>
    </row>
    <row r="259" spans="1:6" ht="26.4" x14ac:dyDescent="0.25">
      <c r="A259" s="124">
        <v>368</v>
      </c>
      <c r="B259" s="125">
        <v>370</v>
      </c>
      <c r="C259" s="125">
        <v>3</v>
      </c>
      <c r="D259" s="151" t="s">
        <v>141</v>
      </c>
      <c r="E259" s="151" t="s">
        <v>54</v>
      </c>
      <c r="F259" s="152"/>
    </row>
    <row r="260" spans="1:6" x14ac:dyDescent="0.25">
      <c r="A260" s="179"/>
      <c r="B260" s="180"/>
      <c r="C260" s="180"/>
      <c r="D260" s="171"/>
      <c r="E260" s="171"/>
      <c r="F260" s="172"/>
    </row>
    <row r="261" spans="1:6" x14ac:dyDescent="0.25">
      <c r="A261" s="348"/>
      <c r="B261" s="129"/>
      <c r="C261" s="129"/>
      <c r="D261" s="130"/>
      <c r="E261" s="130"/>
      <c r="F261" s="173"/>
    </row>
    <row r="262" spans="1:6" x14ac:dyDescent="0.25">
      <c r="A262" s="348"/>
      <c r="B262" s="129"/>
      <c r="C262" s="129"/>
      <c r="D262" s="130"/>
      <c r="E262" s="130"/>
      <c r="F262" s="173"/>
    </row>
    <row r="263" spans="1:6" ht="13.8" thickBot="1" x14ac:dyDescent="0.3">
      <c r="A263" s="126"/>
      <c r="B263" s="127"/>
      <c r="C263" s="127"/>
      <c r="D263" s="128"/>
      <c r="E263" s="128"/>
      <c r="F263" s="153"/>
    </row>
    <row r="264" spans="1:6" ht="13.8" thickBot="1" x14ac:dyDescent="0.3">
      <c r="A264" s="125">
        <v>371</v>
      </c>
      <c r="B264" s="125">
        <v>373</v>
      </c>
      <c r="C264" s="125">
        <v>3</v>
      </c>
      <c r="D264" s="151" t="s">
        <v>65</v>
      </c>
      <c r="E264" s="151"/>
      <c r="F264" s="152"/>
    </row>
    <row r="265" spans="1:6" ht="27" thickBot="1" x14ac:dyDescent="0.3">
      <c r="A265" s="20">
        <v>374</v>
      </c>
      <c r="B265" s="21">
        <v>382</v>
      </c>
      <c r="C265" s="21">
        <v>9</v>
      </c>
      <c r="D265" s="48" t="s">
        <v>142</v>
      </c>
      <c r="E265" s="48" t="s">
        <v>56</v>
      </c>
      <c r="F265" s="45" t="str">
        <f>OAA!F265</f>
        <v>State Student Identification Number, start with two alpha, then 7 numberic.</v>
      </c>
    </row>
    <row r="266" spans="1:6" ht="66" x14ac:dyDescent="0.25">
      <c r="A266" s="133">
        <v>383</v>
      </c>
      <c r="B266" s="133">
        <v>383</v>
      </c>
      <c r="C266" s="133">
        <v>1</v>
      </c>
      <c r="D266" s="27" t="s">
        <v>144</v>
      </c>
      <c r="E266" s="27" t="s">
        <v>59</v>
      </c>
      <c r="F266" s="268" t="str">
        <f>OAA!F266</f>
        <v>Y=Yes</v>
      </c>
    </row>
    <row r="267" spans="1:6" ht="13.8" thickBot="1" x14ac:dyDescent="0.3">
      <c r="A267" s="134"/>
      <c r="B267" s="134"/>
      <c r="C267" s="134"/>
      <c r="D267" s="78"/>
      <c r="E267" s="78"/>
      <c r="F267" s="270" t="str">
        <f>OAA!F267</f>
        <v>N=No</v>
      </c>
    </row>
    <row r="268" spans="1:6" ht="66" x14ac:dyDescent="0.25">
      <c r="A268" s="135">
        <v>384</v>
      </c>
      <c r="B268" s="136">
        <v>384</v>
      </c>
      <c r="C268" s="136">
        <v>1</v>
      </c>
      <c r="D268" s="116" t="s">
        <v>145</v>
      </c>
      <c r="E268" s="116" t="s">
        <v>59</v>
      </c>
      <c r="F268" s="281" t="str">
        <f>OAA!F268</f>
        <v>Y=Yes</v>
      </c>
    </row>
    <row r="269" spans="1:6" ht="13.8" thickBot="1" x14ac:dyDescent="0.3">
      <c r="A269" s="137"/>
      <c r="B269" s="138"/>
      <c r="C269" s="138"/>
      <c r="D269" s="52"/>
      <c r="E269" s="52"/>
      <c r="F269" s="271" t="str">
        <f>OAA!F269</f>
        <v>N=No</v>
      </c>
    </row>
    <row r="270" spans="1:6" ht="79.2" x14ac:dyDescent="0.25">
      <c r="A270" s="133">
        <v>385</v>
      </c>
      <c r="B270" s="133">
        <v>385</v>
      </c>
      <c r="C270" s="133">
        <v>1</v>
      </c>
      <c r="D270" s="27" t="s">
        <v>146</v>
      </c>
      <c r="E270" s="27" t="s">
        <v>59</v>
      </c>
      <c r="F270" s="268" t="str">
        <f>OAA!F270</f>
        <v>Y=Yes</v>
      </c>
    </row>
    <row r="271" spans="1:6" ht="13.8" thickBot="1" x14ac:dyDescent="0.3">
      <c r="A271" s="134"/>
      <c r="B271" s="134"/>
      <c r="C271" s="134"/>
      <c r="D271" s="78"/>
      <c r="E271" s="78"/>
      <c r="F271" s="270" t="str">
        <f>OAA!F271</f>
        <v>N=No</v>
      </c>
    </row>
    <row r="272" spans="1:6" ht="92.4" x14ac:dyDescent="0.25">
      <c r="A272" s="135">
        <v>386</v>
      </c>
      <c r="B272" s="136">
        <v>386</v>
      </c>
      <c r="C272" s="136">
        <v>1</v>
      </c>
      <c r="D272" s="116" t="s">
        <v>147</v>
      </c>
      <c r="E272" s="116" t="s">
        <v>59</v>
      </c>
      <c r="F272" s="281" t="str">
        <f>OAA!F272</f>
        <v>Y=Yes</v>
      </c>
    </row>
    <row r="273" spans="1:6" ht="13.8" thickBot="1" x14ac:dyDescent="0.3">
      <c r="A273" s="137"/>
      <c r="B273" s="138"/>
      <c r="C273" s="138"/>
      <c r="D273" s="52"/>
      <c r="E273" s="52"/>
      <c r="F273" s="271" t="str">
        <f>OAA!F273</f>
        <v>N=No</v>
      </c>
    </row>
    <row r="274" spans="1:6" ht="66" x14ac:dyDescent="0.25">
      <c r="A274" s="133">
        <v>387</v>
      </c>
      <c r="B274" s="133">
        <v>387</v>
      </c>
      <c r="C274" s="133">
        <v>1</v>
      </c>
      <c r="D274" s="27" t="s">
        <v>148</v>
      </c>
      <c r="E274" s="27" t="s">
        <v>59</v>
      </c>
      <c r="F274" s="268" t="str">
        <f>OAA!F274</f>
        <v>Y=Yes</v>
      </c>
    </row>
    <row r="275" spans="1:6" ht="13.8" thickBot="1" x14ac:dyDescent="0.3">
      <c r="A275" s="134"/>
      <c r="B275" s="134"/>
      <c r="C275" s="134"/>
      <c r="D275" s="78"/>
      <c r="E275" s="78"/>
      <c r="F275" s="270" t="str">
        <f>OAA!F275</f>
        <v>N=No</v>
      </c>
    </row>
    <row r="276" spans="1:6" ht="13.8" thickBot="1" x14ac:dyDescent="0.3">
      <c r="A276" s="139">
        <v>388</v>
      </c>
      <c r="B276" s="140">
        <v>392</v>
      </c>
      <c r="C276" s="140">
        <v>5</v>
      </c>
      <c r="D276" s="44" t="s">
        <v>65</v>
      </c>
      <c r="E276" s="44"/>
      <c r="F276" s="57"/>
    </row>
    <row r="277" spans="1:6" ht="13.8" thickBot="1" x14ac:dyDescent="0.3">
      <c r="A277" s="142">
        <v>393</v>
      </c>
      <c r="B277" s="142">
        <v>402</v>
      </c>
      <c r="C277" s="142">
        <v>10</v>
      </c>
      <c r="D277" s="112" t="s">
        <v>149</v>
      </c>
      <c r="E277" s="112" t="s">
        <v>56</v>
      </c>
      <c r="F277" s="113" t="str">
        <f>OAA!F277</f>
        <v>Writing class name or course name</v>
      </c>
    </row>
    <row r="278" spans="1:6" ht="27" thickBot="1" x14ac:dyDescent="0.3">
      <c r="A278" s="143">
        <v>403</v>
      </c>
      <c r="B278" s="144">
        <v>407</v>
      </c>
      <c r="C278" s="144">
        <v>5</v>
      </c>
      <c r="D278" s="40" t="s">
        <v>151</v>
      </c>
      <c r="E278" s="40" t="s">
        <v>56</v>
      </c>
      <c r="F278" s="45" t="str">
        <f>OAA!F278</f>
        <v>Writing class session number or course session number</v>
      </c>
    </row>
    <row r="279" spans="1:6" ht="27" thickBot="1" x14ac:dyDescent="0.3">
      <c r="A279" s="142">
        <v>408</v>
      </c>
      <c r="B279" s="142">
        <v>427</v>
      </c>
      <c r="C279" s="142">
        <v>20</v>
      </c>
      <c r="D279" s="112" t="s">
        <v>153</v>
      </c>
      <c r="E279" s="112" t="s">
        <v>59</v>
      </c>
      <c r="F279" s="113" t="str">
        <f>OAA!F279</f>
        <v>Writing teacher name (Last Name, First)</v>
      </c>
    </row>
    <row r="280" spans="1:6" ht="13.8" thickBot="1" x14ac:dyDescent="0.3">
      <c r="A280" s="143">
        <v>428</v>
      </c>
      <c r="B280" s="144">
        <v>437</v>
      </c>
      <c r="C280" s="144">
        <v>10</v>
      </c>
      <c r="D280" s="40" t="s">
        <v>155</v>
      </c>
      <c r="E280" s="40" t="s">
        <v>56</v>
      </c>
      <c r="F280" s="45" t="str">
        <f>OAA!F280</f>
        <v>Reading class name or course name</v>
      </c>
    </row>
    <row r="281" spans="1:6" ht="27" thickBot="1" x14ac:dyDescent="0.3">
      <c r="A281" s="142">
        <v>438</v>
      </c>
      <c r="B281" s="142">
        <v>442</v>
      </c>
      <c r="C281" s="142">
        <v>5</v>
      </c>
      <c r="D281" s="112" t="s">
        <v>157</v>
      </c>
      <c r="E281" s="112" t="s">
        <v>56</v>
      </c>
      <c r="F281" s="113" t="str">
        <f>OAA!F281</f>
        <v>Reading class session number or course session number</v>
      </c>
    </row>
    <row r="282" spans="1:6" ht="27" thickBot="1" x14ac:dyDescent="0.3">
      <c r="A282" s="143">
        <v>443</v>
      </c>
      <c r="B282" s="144">
        <v>462</v>
      </c>
      <c r="C282" s="144">
        <v>20</v>
      </c>
      <c r="D282" s="40" t="s">
        <v>159</v>
      </c>
      <c r="E282" s="40" t="s">
        <v>59</v>
      </c>
      <c r="F282" s="45" t="str">
        <f>OAA!F282</f>
        <v>Reading teacher name (Last Name, First)</v>
      </c>
    </row>
    <row r="283" spans="1:6" ht="13.8" thickBot="1" x14ac:dyDescent="0.3">
      <c r="A283" s="142">
        <v>463</v>
      </c>
      <c r="B283" s="142">
        <v>472</v>
      </c>
      <c r="C283" s="142">
        <v>10</v>
      </c>
      <c r="D283" s="112" t="s">
        <v>161</v>
      </c>
      <c r="E283" s="112" t="s">
        <v>56</v>
      </c>
      <c r="F283" s="113" t="str">
        <f>OAA!F283</f>
        <v>Math class name or course name</v>
      </c>
    </row>
    <row r="284" spans="1:6" ht="27" thickBot="1" x14ac:dyDescent="0.3">
      <c r="A284" s="143">
        <v>473</v>
      </c>
      <c r="B284" s="144">
        <v>477</v>
      </c>
      <c r="C284" s="144">
        <v>5</v>
      </c>
      <c r="D284" s="40" t="s">
        <v>162</v>
      </c>
      <c r="E284" s="40" t="s">
        <v>56</v>
      </c>
      <c r="F284" s="45" t="str">
        <f>OAA!F284</f>
        <v>Math class session number or course session number</v>
      </c>
    </row>
    <row r="285" spans="1:6" ht="13.8" thickBot="1" x14ac:dyDescent="0.3">
      <c r="A285" s="142">
        <v>478</v>
      </c>
      <c r="B285" s="142">
        <v>497</v>
      </c>
      <c r="C285" s="142">
        <v>20</v>
      </c>
      <c r="D285" s="112" t="s">
        <v>164</v>
      </c>
      <c r="E285" s="112" t="s">
        <v>59</v>
      </c>
      <c r="F285" s="113" t="str">
        <f>OAA!F285</f>
        <v>Math teacher name (Last Name, First)</v>
      </c>
    </row>
    <row r="286" spans="1:6" ht="27" thickBot="1" x14ac:dyDescent="0.3">
      <c r="A286" s="143">
        <v>498</v>
      </c>
      <c r="B286" s="144">
        <v>507</v>
      </c>
      <c r="C286" s="144">
        <v>10</v>
      </c>
      <c r="D286" s="40" t="s">
        <v>166</v>
      </c>
      <c r="E286" s="40" t="s">
        <v>56</v>
      </c>
      <c r="F286" s="45" t="str">
        <f>OAA!F286</f>
        <v>Social Studies class name or course name</v>
      </c>
    </row>
    <row r="287" spans="1:6" ht="27" thickBot="1" x14ac:dyDescent="0.3">
      <c r="A287" s="142">
        <v>508</v>
      </c>
      <c r="B287" s="142">
        <v>512</v>
      </c>
      <c r="C287" s="142">
        <v>5</v>
      </c>
      <c r="D287" s="112" t="s">
        <v>168</v>
      </c>
      <c r="E287" s="112" t="s">
        <v>56</v>
      </c>
      <c r="F287" s="113" t="str">
        <f>OAA!F287</f>
        <v>Social Studies class session number or course session number</v>
      </c>
    </row>
    <row r="288" spans="1:6" ht="27" thickBot="1" x14ac:dyDescent="0.3">
      <c r="A288" s="143">
        <v>513</v>
      </c>
      <c r="B288" s="144">
        <v>532</v>
      </c>
      <c r="C288" s="144">
        <v>20</v>
      </c>
      <c r="D288" s="40" t="s">
        <v>170</v>
      </c>
      <c r="E288" s="40" t="s">
        <v>59</v>
      </c>
      <c r="F288" s="45" t="str">
        <f>OAA!F288</f>
        <v>Social Studies teacher name (Last Name, First)</v>
      </c>
    </row>
    <row r="289" spans="1:6" ht="13.8" thickBot="1" x14ac:dyDescent="0.3">
      <c r="A289" s="142">
        <v>533</v>
      </c>
      <c r="B289" s="142">
        <v>542</v>
      </c>
      <c r="C289" s="142">
        <v>10</v>
      </c>
      <c r="D289" s="112" t="s">
        <v>172</v>
      </c>
      <c r="E289" s="112" t="s">
        <v>56</v>
      </c>
      <c r="F289" s="113" t="str">
        <f>OAA!F289</f>
        <v>Science class name or course name</v>
      </c>
    </row>
    <row r="290" spans="1:6" ht="27" thickBot="1" x14ac:dyDescent="0.3">
      <c r="A290" s="143">
        <v>543</v>
      </c>
      <c r="B290" s="144">
        <v>547</v>
      </c>
      <c r="C290" s="144">
        <v>5</v>
      </c>
      <c r="D290" s="40" t="s">
        <v>174</v>
      </c>
      <c r="E290" s="40" t="s">
        <v>56</v>
      </c>
      <c r="F290" s="45" t="str">
        <f>OAA!F290</f>
        <v>Science class session number or course session number</v>
      </c>
    </row>
    <row r="291" spans="1:6" ht="27" thickBot="1" x14ac:dyDescent="0.3">
      <c r="A291" s="144">
        <v>548</v>
      </c>
      <c r="B291" s="144">
        <v>567</v>
      </c>
      <c r="C291" s="144">
        <v>20</v>
      </c>
      <c r="D291" s="40" t="s">
        <v>176</v>
      </c>
      <c r="E291" s="40" t="s">
        <v>59</v>
      </c>
      <c r="F291" s="45" t="str">
        <f>OAA!F291</f>
        <v>Science teacher name (Last Name, First)</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tr">
        <f>OAA!F293</f>
        <v>Data Acquisition Site (Numeric of **)</v>
      </c>
    </row>
    <row r="294" spans="1:6" ht="40.200000000000003" thickBot="1" x14ac:dyDescent="0.3">
      <c r="A294" s="85">
        <v>586</v>
      </c>
      <c r="B294" s="86">
        <v>591</v>
      </c>
      <c r="C294" s="69">
        <v>6</v>
      </c>
      <c r="D294" s="5" t="s">
        <v>180</v>
      </c>
      <c r="E294" s="5" t="s">
        <v>87</v>
      </c>
      <c r="F294" s="88" t="str">
        <f>OAA!F294</f>
        <v>Six-digit District IRN; numeric 0-9
Students in JVSD need their home district reported (OGT only)</v>
      </c>
    </row>
    <row r="295" spans="1:6" ht="40.200000000000003" thickBot="1" x14ac:dyDescent="0.3">
      <c r="A295" s="86">
        <v>592</v>
      </c>
      <c r="B295" s="86">
        <v>621</v>
      </c>
      <c r="C295" s="69">
        <v>30</v>
      </c>
      <c r="D295" s="5" t="s">
        <v>181</v>
      </c>
      <c r="E295" s="5" t="s">
        <v>56</v>
      </c>
      <c r="F295" s="88" t="str">
        <f>OAA!F295</f>
        <v>Alpha/numeric
Students in JVSD need their home district reported (OGT only)</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t="s">
        <v>234</v>
      </c>
    </row>
    <row r="303" spans="1:6" x14ac:dyDescent="0.25">
      <c r="A303" s="13"/>
      <c r="B303" s="13"/>
      <c r="C303" s="14"/>
      <c r="D303" s="7"/>
      <c r="E303" s="7"/>
      <c r="F303" s="245" t="s">
        <v>235</v>
      </c>
    </row>
    <row r="304" spans="1:6" x14ac:dyDescent="0.25">
      <c r="A304" s="13"/>
      <c r="B304" s="13"/>
      <c r="C304" s="14"/>
      <c r="D304" s="7"/>
      <c r="E304" s="7"/>
      <c r="F304" s="245" t="s">
        <v>236</v>
      </c>
    </row>
    <row r="305" spans="1:6" x14ac:dyDescent="0.25">
      <c r="A305" s="13"/>
      <c r="B305" s="13"/>
      <c r="C305" s="14"/>
      <c r="D305" s="7"/>
      <c r="E305" s="7"/>
      <c r="F305" s="245" t="s">
        <v>237</v>
      </c>
    </row>
    <row r="306" spans="1:6" ht="13.8" thickBot="1" x14ac:dyDescent="0.3">
      <c r="A306" s="92"/>
      <c r="B306" s="92"/>
      <c r="C306" s="64"/>
      <c r="D306" s="93"/>
      <c r="E306" s="93"/>
      <c r="F306" s="246" t="s">
        <v>238</v>
      </c>
    </row>
    <row r="307" spans="1:6" x14ac:dyDescent="0.25">
      <c r="A307" s="94">
        <v>623</v>
      </c>
      <c r="B307" s="95">
        <v>623</v>
      </c>
      <c r="C307" s="72">
        <v>1</v>
      </c>
      <c r="D307" s="73" t="s">
        <v>35</v>
      </c>
      <c r="E307" s="96" t="s">
        <v>59</v>
      </c>
      <c r="F307" s="261" t="s">
        <v>239</v>
      </c>
    </row>
    <row r="308" spans="1:6" x14ac:dyDescent="0.25">
      <c r="A308" s="13"/>
      <c r="B308" s="13"/>
      <c r="C308" s="14"/>
      <c r="D308" s="7"/>
      <c r="E308" s="7"/>
      <c r="F308" s="245" t="s">
        <v>240</v>
      </c>
    </row>
    <row r="309" spans="1:6" x14ac:dyDescent="0.25">
      <c r="A309" s="13"/>
      <c r="B309" s="13"/>
      <c r="C309" s="14"/>
      <c r="D309" s="7"/>
      <c r="E309" s="7"/>
      <c r="F309" s="245" t="s">
        <v>241</v>
      </c>
    </row>
    <row r="310" spans="1:6" x14ac:dyDescent="0.25">
      <c r="A310" s="13"/>
      <c r="B310" s="13"/>
      <c r="C310" s="14"/>
      <c r="D310" s="7"/>
      <c r="E310" s="7"/>
      <c r="F310" s="245" t="s">
        <v>242</v>
      </c>
    </row>
    <row r="311" spans="1:6" ht="13.8" thickBot="1" x14ac:dyDescent="0.3">
      <c r="A311" s="92"/>
      <c r="B311" s="92"/>
      <c r="C311" s="64"/>
      <c r="D311" s="93"/>
      <c r="E311" s="93"/>
      <c r="F311" s="246" t="s">
        <v>243</v>
      </c>
    </row>
    <row r="312" spans="1:6" ht="13.8" thickBot="1" x14ac:dyDescent="0.3">
      <c r="A312" s="85">
        <v>624</v>
      </c>
      <c r="B312" s="86">
        <v>653</v>
      </c>
      <c r="C312" s="11">
        <v>30</v>
      </c>
      <c r="D312" s="5" t="s">
        <v>183</v>
      </c>
      <c r="E312" s="5" t="s">
        <v>59</v>
      </c>
      <c r="F312" s="305" t="str">
        <f>OAA!F312</f>
        <v>County Name</v>
      </c>
    </row>
    <row r="313" spans="1:6" x14ac:dyDescent="0.25">
      <c r="A313" s="124">
        <v>654</v>
      </c>
      <c r="B313" s="125">
        <v>654</v>
      </c>
      <c r="C313" s="327">
        <v>1</v>
      </c>
      <c r="D313" s="328" t="s">
        <v>184</v>
      </c>
      <c r="E313" s="329" t="s">
        <v>59</v>
      </c>
      <c r="F313" s="152"/>
    </row>
    <row r="314" spans="1:6" x14ac:dyDescent="0.25">
      <c r="A314" s="179"/>
      <c r="B314" s="180"/>
      <c r="C314" s="323"/>
      <c r="D314" s="324"/>
      <c r="E314" s="324"/>
      <c r="F314" s="172"/>
    </row>
    <row r="315" spans="1:6" ht="13.8" thickBot="1" x14ac:dyDescent="0.3">
      <c r="A315" s="331"/>
      <c r="B315" s="332"/>
      <c r="C315" s="332"/>
      <c r="D315" s="224"/>
      <c r="E315" s="224"/>
      <c r="F315" s="153"/>
    </row>
    <row r="316" spans="1:6" ht="22.8" x14ac:dyDescent="0.25">
      <c r="A316" s="53">
        <v>655</v>
      </c>
      <c r="B316" s="53">
        <v>655</v>
      </c>
      <c r="C316" s="334">
        <v>1</v>
      </c>
      <c r="D316" s="346" t="s">
        <v>185</v>
      </c>
      <c r="E316" s="335" t="s">
        <v>59</v>
      </c>
      <c r="F316" s="61"/>
    </row>
    <row r="317" spans="1:6" x14ac:dyDescent="0.25">
      <c r="A317" s="180"/>
      <c r="B317" s="180"/>
      <c r="C317" s="323"/>
      <c r="D317" s="330"/>
      <c r="E317" s="324"/>
      <c r="F317" s="172"/>
    </row>
    <row r="318" spans="1:6" ht="13.8" thickBot="1" x14ac:dyDescent="0.3">
      <c r="A318" s="336"/>
      <c r="B318" s="336"/>
      <c r="C318" s="336"/>
      <c r="D318" s="347"/>
      <c r="E318" s="212"/>
      <c r="F318" s="173"/>
    </row>
    <row r="319" spans="1:6" x14ac:dyDescent="0.25">
      <c r="A319" s="124">
        <v>656</v>
      </c>
      <c r="B319" s="125">
        <v>656</v>
      </c>
      <c r="C319" s="327">
        <v>1</v>
      </c>
      <c r="D319" s="328" t="s">
        <v>36</v>
      </c>
      <c r="E319" s="329" t="s">
        <v>59</v>
      </c>
      <c r="F319" s="152"/>
    </row>
    <row r="320" spans="1:6" x14ac:dyDescent="0.25">
      <c r="A320" s="179"/>
      <c r="B320" s="180"/>
      <c r="C320" s="323"/>
      <c r="D320" s="330"/>
      <c r="E320" s="324"/>
      <c r="F320" s="172"/>
    </row>
    <row r="321" spans="1:6" ht="13.8" thickBot="1" x14ac:dyDescent="0.3">
      <c r="A321" s="331"/>
      <c r="B321" s="332"/>
      <c r="C321" s="332"/>
      <c r="D321" s="333"/>
      <c r="E321" s="224"/>
      <c r="F321" s="153"/>
    </row>
    <row r="322" spans="1:6" ht="22.8" x14ac:dyDescent="0.25">
      <c r="A322" s="53">
        <v>657</v>
      </c>
      <c r="B322" s="53">
        <v>657</v>
      </c>
      <c r="C322" s="334">
        <v>1</v>
      </c>
      <c r="D322" s="346" t="s">
        <v>37</v>
      </c>
      <c r="E322" s="335" t="s">
        <v>59</v>
      </c>
      <c r="F322" s="61"/>
    </row>
    <row r="323" spans="1:6" x14ac:dyDescent="0.25">
      <c r="A323" s="180"/>
      <c r="B323" s="180"/>
      <c r="C323" s="323"/>
      <c r="D323" s="330"/>
      <c r="E323" s="324"/>
      <c r="F323" s="172"/>
    </row>
    <row r="324" spans="1:6" ht="13.8" thickBot="1" x14ac:dyDescent="0.3">
      <c r="A324" s="336"/>
      <c r="B324" s="336"/>
      <c r="C324" s="336"/>
      <c r="D324" s="347"/>
      <c r="E324" s="212"/>
      <c r="F324" s="173"/>
    </row>
    <row r="325" spans="1:6" ht="22.8" x14ac:dyDescent="0.25">
      <c r="A325" s="124">
        <v>658</v>
      </c>
      <c r="B325" s="125">
        <v>658</v>
      </c>
      <c r="C325" s="327">
        <v>1</v>
      </c>
      <c r="D325" s="328" t="s">
        <v>186</v>
      </c>
      <c r="E325" s="329" t="s">
        <v>59</v>
      </c>
      <c r="F325" s="152"/>
    </row>
    <row r="326" spans="1:6" x14ac:dyDescent="0.25">
      <c r="A326" s="179"/>
      <c r="B326" s="180"/>
      <c r="C326" s="323"/>
      <c r="D326" s="330"/>
      <c r="E326" s="324"/>
      <c r="F326" s="172"/>
    </row>
    <row r="327" spans="1:6" ht="13.8" thickBot="1" x14ac:dyDescent="0.3">
      <c r="A327" s="331"/>
      <c r="B327" s="332"/>
      <c r="C327" s="332"/>
      <c r="D327" s="333"/>
      <c r="E327" s="224"/>
      <c r="F327" s="153"/>
    </row>
    <row r="328" spans="1:6" x14ac:dyDescent="0.25">
      <c r="A328" s="80">
        <v>659</v>
      </c>
      <c r="B328" s="80">
        <v>659</v>
      </c>
      <c r="C328" s="81">
        <v>1</v>
      </c>
      <c r="D328" s="82" t="s">
        <v>187</v>
      </c>
      <c r="E328" s="82" t="s">
        <v>59</v>
      </c>
      <c r="F328" s="84" t="str">
        <f>OAA!F328</f>
        <v>Y=Yes</v>
      </c>
    </row>
    <row r="329" spans="1:6" ht="13.8" thickBot="1" x14ac:dyDescent="0.3">
      <c r="A329" s="63"/>
      <c r="B329" s="63"/>
      <c r="C329" s="63"/>
      <c r="D329" s="165"/>
      <c r="E329" s="165"/>
      <c r="F329" s="75" t="str">
        <f>OAA!F329</f>
        <v>N=No</v>
      </c>
    </row>
    <row r="330" spans="1:6" x14ac:dyDescent="0.25">
      <c r="A330" s="97">
        <v>660</v>
      </c>
      <c r="B330" s="98">
        <v>660</v>
      </c>
      <c r="C330" s="99">
        <v>1</v>
      </c>
      <c r="D330" s="6" t="s">
        <v>188</v>
      </c>
      <c r="E330" s="6" t="s">
        <v>59</v>
      </c>
      <c r="F330" s="90" t="str">
        <f>OAA!F330</f>
        <v>Y=Yes</v>
      </c>
    </row>
    <row r="331" spans="1:6" ht="13.8" thickBot="1" x14ac:dyDescent="0.3">
      <c r="A331" s="101"/>
      <c r="B331" s="62"/>
      <c r="C331" s="62"/>
      <c r="D331" s="164"/>
      <c r="E331" s="164"/>
      <c r="F331" s="103" t="str">
        <f>OAA!F331</f>
        <v>N=No</v>
      </c>
    </row>
    <row r="332" spans="1:6" ht="22.8" x14ac:dyDescent="0.25">
      <c r="A332" s="80">
        <v>661</v>
      </c>
      <c r="B332" s="80">
        <v>661</v>
      </c>
      <c r="C332" s="81">
        <v>1</v>
      </c>
      <c r="D332" s="167" t="s">
        <v>261</v>
      </c>
      <c r="E332" s="82" t="s">
        <v>59</v>
      </c>
      <c r="F332" s="84" t="str">
        <f>OAA!F332</f>
        <v>Y=Yes</v>
      </c>
    </row>
    <row r="333" spans="1:6" ht="13.8" thickBot="1" x14ac:dyDescent="0.3">
      <c r="A333" s="63"/>
      <c r="B333" s="63"/>
      <c r="C333" s="63"/>
      <c r="D333" s="165"/>
      <c r="E333" s="165"/>
      <c r="F333" s="75" t="str">
        <f>OAA!F333</f>
        <v>N=No</v>
      </c>
    </row>
    <row r="334" spans="1:6" ht="22.8" x14ac:dyDescent="0.25">
      <c r="A334" s="97">
        <v>662</v>
      </c>
      <c r="B334" s="98">
        <v>662</v>
      </c>
      <c r="C334" s="99">
        <v>1</v>
      </c>
      <c r="D334" s="166" t="s">
        <v>265</v>
      </c>
      <c r="E334" s="6" t="s">
        <v>59</v>
      </c>
      <c r="F334" s="90" t="str">
        <f>OAA!F334</f>
        <v>Y=Yes</v>
      </c>
    </row>
    <row r="335" spans="1:6" ht="13.8" thickBot="1" x14ac:dyDescent="0.3">
      <c r="A335" s="101"/>
      <c r="B335" s="62"/>
      <c r="C335" s="62"/>
      <c r="D335" s="164"/>
      <c r="E335" s="164"/>
      <c r="F335" s="103" t="str">
        <f>OAA!F335</f>
        <v>N=No</v>
      </c>
    </row>
    <row r="336" spans="1:6" x14ac:dyDescent="0.25">
      <c r="A336" s="80">
        <v>663</v>
      </c>
      <c r="B336" s="80">
        <v>663</v>
      </c>
      <c r="C336" s="81">
        <v>1</v>
      </c>
      <c r="D336" s="82" t="s">
        <v>189</v>
      </c>
      <c r="E336" s="82" t="s">
        <v>59</v>
      </c>
      <c r="F336" s="84" t="str">
        <f>OAA!F336</f>
        <v>Y=Yes</v>
      </c>
    </row>
    <row r="337" spans="1:6" ht="13.8" thickBot="1" x14ac:dyDescent="0.3">
      <c r="A337" s="63"/>
      <c r="B337" s="63"/>
      <c r="C337" s="63"/>
      <c r="D337" s="165"/>
      <c r="E337" s="165"/>
      <c r="F337" s="75" t="str">
        <f>OAA!F337</f>
        <v>N=No</v>
      </c>
    </row>
    <row r="338" spans="1:6" x14ac:dyDescent="0.25">
      <c r="A338" s="124">
        <v>664</v>
      </c>
      <c r="B338" s="125">
        <v>664</v>
      </c>
      <c r="C338" s="327">
        <v>1</v>
      </c>
      <c r="D338" s="329" t="s">
        <v>196</v>
      </c>
      <c r="E338" s="329" t="s">
        <v>59</v>
      </c>
      <c r="F338" s="152"/>
    </row>
    <row r="339" spans="1:6" ht="13.8" thickBot="1" x14ac:dyDescent="0.3">
      <c r="A339" s="331"/>
      <c r="B339" s="332"/>
      <c r="C339" s="332"/>
      <c r="D339" s="224"/>
      <c r="E339" s="224"/>
      <c r="F339" s="153"/>
    </row>
    <row r="340" spans="1:6" x14ac:dyDescent="0.25">
      <c r="A340" s="53">
        <v>665</v>
      </c>
      <c r="B340" s="53">
        <v>665</v>
      </c>
      <c r="C340" s="334">
        <v>1</v>
      </c>
      <c r="D340" s="335" t="s">
        <v>197</v>
      </c>
      <c r="E340" s="335" t="s">
        <v>59</v>
      </c>
      <c r="F340" s="61"/>
    </row>
    <row r="341" spans="1:6" ht="13.8" thickBot="1" x14ac:dyDescent="0.3">
      <c r="A341" s="336"/>
      <c r="B341" s="336"/>
      <c r="C341" s="336"/>
      <c r="D341" s="212"/>
      <c r="E341" s="212"/>
      <c r="F341" s="173"/>
    </row>
    <row r="342" spans="1:6" ht="22.8" x14ac:dyDescent="0.25">
      <c r="A342" s="124">
        <v>666</v>
      </c>
      <c r="B342" s="125">
        <v>666</v>
      </c>
      <c r="C342" s="327">
        <v>1</v>
      </c>
      <c r="D342" s="328" t="s">
        <v>262</v>
      </c>
      <c r="E342" s="329" t="s">
        <v>59</v>
      </c>
      <c r="F342" s="152"/>
    </row>
    <row r="343" spans="1:6" ht="13.8" thickBot="1" x14ac:dyDescent="0.3">
      <c r="A343" s="331"/>
      <c r="B343" s="332"/>
      <c r="C343" s="332"/>
      <c r="D343" s="224"/>
      <c r="E343" s="224"/>
      <c r="F343" s="153"/>
    </row>
    <row r="344" spans="1:6" ht="22.8" x14ac:dyDescent="0.25">
      <c r="A344" s="53">
        <v>667</v>
      </c>
      <c r="B344" s="53">
        <v>667</v>
      </c>
      <c r="C344" s="334">
        <v>1</v>
      </c>
      <c r="D344" s="346" t="s">
        <v>266</v>
      </c>
      <c r="E344" s="335" t="s">
        <v>59</v>
      </c>
      <c r="F344" s="61"/>
    </row>
    <row r="345" spans="1:6" ht="13.8" thickBot="1" x14ac:dyDescent="0.3">
      <c r="A345" s="336"/>
      <c r="B345" s="336"/>
      <c r="C345" s="336"/>
      <c r="D345" s="224"/>
      <c r="E345" s="212"/>
      <c r="F345" s="173"/>
    </row>
    <row r="346" spans="1:6" x14ac:dyDescent="0.25">
      <c r="A346" s="124">
        <v>668</v>
      </c>
      <c r="B346" s="125">
        <v>668</v>
      </c>
      <c r="C346" s="327">
        <v>1</v>
      </c>
      <c r="D346" s="329" t="s">
        <v>198</v>
      </c>
      <c r="E346" s="329" t="s">
        <v>59</v>
      </c>
      <c r="F346" s="152"/>
    </row>
    <row r="347" spans="1:6" ht="13.8" thickBot="1" x14ac:dyDescent="0.3">
      <c r="A347" s="331"/>
      <c r="B347" s="332"/>
      <c r="C347" s="332"/>
      <c r="D347" s="224"/>
      <c r="E347" s="224"/>
      <c r="F347" s="153"/>
    </row>
    <row r="348" spans="1:6" x14ac:dyDescent="0.25">
      <c r="A348" s="97">
        <v>669</v>
      </c>
      <c r="B348" s="98">
        <v>669</v>
      </c>
      <c r="C348" s="99">
        <v>1</v>
      </c>
      <c r="D348" s="6" t="s">
        <v>190</v>
      </c>
      <c r="E348" s="6" t="s">
        <v>59</v>
      </c>
      <c r="F348" s="90" t="str">
        <f>OAA!F348</f>
        <v>Y=Yes</v>
      </c>
    </row>
    <row r="349" spans="1:6" ht="13.8" thickBot="1" x14ac:dyDescent="0.3">
      <c r="A349" s="101"/>
      <c r="B349" s="62"/>
      <c r="C349" s="62"/>
      <c r="D349" s="164"/>
      <c r="E349" s="164"/>
      <c r="F349" s="103" t="str">
        <f>OAA!F349</f>
        <v>N=No</v>
      </c>
    </row>
    <row r="350" spans="1:6" x14ac:dyDescent="0.25">
      <c r="A350" s="80">
        <v>670</v>
      </c>
      <c r="B350" s="80">
        <v>670</v>
      </c>
      <c r="C350" s="81">
        <v>1</v>
      </c>
      <c r="D350" s="82" t="s">
        <v>191</v>
      </c>
      <c r="E350" s="82" t="s">
        <v>59</v>
      </c>
      <c r="F350" s="84" t="str">
        <f>OAA!F350</f>
        <v>Y=Yes</v>
      </c>
    </row>
    <row r="351" spans="1:6" ht="13.8" thickBot="1" x14ac:dyDescent="0.3">
      <c r="A351" s="63"/>
      <c r="B351" s="63"/>
      <c r="C351" s="63"/>
      <c r="D351" s="165"/>
      <c r="E351" s="165"/>
      <c r="F351" s="75" t="str">
        <f>OAA!F351</f>
        <v>N=No</v>
      </c>
    </row>
    <row r="352" spans="1:6" ht="22.8" x14ac:dyDescent="0.25">
      <c r="A352" s="97">
        <v>671</v>
      </c>
      <c r="B352" s="98">
        <v>671</v>
      </c>
      <c r="C352" s="99">
        <v>1</v>
      </c>
      <c r="D352" s="166" t="s">
        <v>263</v>
      </c>
      <c r="E352" s="6" t="s">
        <v>59</v>
      </c>
      <c r="F352" s="90" t="str">
        <f>OAA!F352</f>
        <v>Y=Yes</v>
      </c>
    </row>
    <row r="353" spans="1:6" ht="13.8" thickBot="1" x14ac:dyDescent="0.3">
      <c r="A353" s="101"/>
      <c r="B353" s="62"/>
      <c r="C353" s="62"/>
      <c r="D353" s="164"/>
      <c r="E353" s="164"/>
      <c r="F353" s="103" t="str">
        <f>OAA!F353</f>
        <v>N=No</v>
      </c>
    </row>
    <row r="354" spans="1:6" ht="22.8" x14ac:dyDescent="0.25">
      <c r="A354" s="80">
        <v>672</v>
      </c>
      <c r="B354" s="80">
        <v>672</v>
      </c>
      <c r="C354" s="81">
        <v>1</v>
      </c>
      <c r="D354" s="167" t="s">
        <v>267</v>
      </c>
      <c r="E354" s="82" t="s">
        <v>59</v>
      </c>
      <c r="F354" s="84" t="str">
        <f>OAA!F354</f>
        <v>Y=Yes</v>
      </c>
    </row>
    <row r="355" spans="1:6" ht="13.8" thickBot="1" x14ac:dyDescent="0.3">
      <c r="A355" s="63"/>
      <c r="B355" s="63"/>
      <c r="C355" s="63"/>
      <c r="D355" s="164"/>
      <c r="E355" s="165"/>
      <c r="F355" s="75" t="str">
        <f>OAA!F355</f>
        <v>N=No</v>
      </c>
    </row>
    <row r="356" spans="1:6" x14ac:dyDescent="0.25">
      <c r="A356" s="97">
        <v>673</v>
      </c>
      <c r="B356" s="98">
        <v>673</v>
      </c>
      <c r="C356" s="99">
        <v>1</v>
      </c>
      <c r="D356" s="6" t="s">
        <v>192</v>
      </c>
      <c r="E356" s="6" t="s">
        <v>59</v>
      </c>
      <c r="F356" s="90" t="str">
        <f>OAA!F356</f>
        <v>Y=Yes</v>
      </c>
    </row>
    <row r="357" spans="1:6" ht="13.8" thickBot="1" x14ac:dyDescent="0.3">
      <c r="A357" s="101"/>
      <c r="B357" s="62"/>
      <c r="C357" s="62"/>
      <c r="D357" s="164"/>
      <c r="E357" s="164"/>
      <c r="F357" s="103" t="str">
        <f>OAA!F357</f>
        <v>N=No</v>
      </c>
    </row>
    <row r="358" spans="1:6" x14ac:dyDescent="0.25">
      <c r="A358" s="80">
        <v>674</v>
      </c>
      <c r="B358" s="80">
        <v>674</v>
      </c>
      <c r="C358" s="81">
        <v>1</v>
      </c>
      <c r="D358" s="82" t="s">
        <v>193</v>
      </c>
      <c r="E358" s="82" t="s">
        <v>59</v>
      </c>
      <c r="F358" s="84" t="str">
        <f>OAA!F358</f>
        <v>Y=Yes</v>
      </c>
    </row>
    <row r="359" spans="1:6" ht="13.8" thickBot="1" x14ac:dyDescent="0.3">
      <c r="A359" s="63"/>
      <c r="B359" s="63"/>
      <c r="C359" s="63"/>
      <c r="D359" s="165"/>
      <c r="E359" s="165"/>
      <c r="F359" s="75" t="str">
        <f>OAA!F359</f>
        <v>N=No</v>
      </c>
    </row>
    <row r="360" spans="1:6" x14ac:dyDescent="0.25">
      <c r="A360" s="97">
        <v>675</v>
      </c>
      <c r="B360" s="98">
        <v>675</v>
      </c>
      <c r="C360" s="99">
        <v>1</v>
      </c>
      <c r="D360" s="6" t="s">
        <v>194</v>
      </c>
      <c r="E360" s="6" t="s">
        <v>59</v>
      </c>
      <c r="F360" s="90" t="str">
        <f>OAA!F360</f>
        <v>Y=Yes</v>
      </c>
    </row>
    <row r="361" spans="1:6" ht="13.8" thickBot="1" x14ac:dyDescent="0.3">
      <c r="A361" s="101"/>
      <c r="B361" s="62"/>
      <c r="C361" s="62"/>
      <c r="D361" s="164"/>
      <c r="E361" s="164"/>
      <c r="F361" s="103" t="str">
        <f>OAA!F361</f>
        <v>N=No</v>
      </c>
    </row>
    <row r="362" spans="1:6" ht="22.8" x14ac:dyDescent="0.25">
      <c r="A362" s="80">
        <v>676</v>
      </c>
      <c r="B362" s="80">
        <v>676</v>
      </c>
      <c r="C362" s="81">
        <v>1</v>
      </c>
      <c r="D362" s="167" t="s">
        <v>264</v>
      </c>
      <c r="E362" s="82" t="s">
        <v>59</v>
      </c>
      <c r="F362" s="84" t="str">
        <f>OAA!F362</f>
        <v>Y=Yes</v>
      </c>
    </row>
    <row r="363" spans="1:6" ht="13.8" thickBot="1" x14ac:dyDescent="0.3">
      <c r="A363" s="63"/>
      <c r="B363" s="63"/>
      <c r="C363" s="63"/>
      <c r="D363" s="165"/>
      <c r="E363" s="165"/>
      <c r="F363" s="75" t="str">
        <f>OAA!F363</f>
        <v>N=No</v>
      </c>
    </row>
    <row r="364" spans="1:6" ht="22.8" x14ac:dyDescent="0.25">
      <c r="A364" s="97">
        <v>677</v>
      </c>
      <c r="B364" s="98">
        <v>677</v>
      </c>
      <c r="C364" s="99">
        <v>1</v>
      </c>
      <c r="D364" s="166" t="s">
        <v>268</v>
      </c>
      <c r="E364" s="6" t="s">
        <v>59</v>
      </c>
      <c r="F364" s="90" t="str">
        <f>OAA!F364</f>
        <v>Y=Yes</v>
      </c>
    </row>
    <row r="365" spans="1:6" ht="13.8" thickBot="1" x14ac:dyDescent="0.3">
      <c r="A365" s="101"/>
      <c r="B365" s="62"/>
      <c r="C365" s="62"/>
      <c r="D365" s="164"/>
      <c r="E365" s="164"/>
      <c r="F365" s="103" t="str">
        <f>OAA!F365</f>
        <v>N=No</v>
      </c>
    </row>
    <row r="366" spans="1:6" x14ac:dyDescent="0.25">
      <c r="A366" s="80">
        <v>678</v>
      </c>
      <c r="B366" s="80">
        <v>678</v>
      </c>
      <c r="C366" s="81">
        <v>1</v>
      </c>
      <c r="D366" s="82" t="s">
        <v>195</v>
      </c>
      <c r="E366" s="82" t="s">
        <v>59</v>
      </c>
      <c r="F366" s="84" t="str">
        <f>OAA!F366</f>
        <v>Y=Yes</v>
      </c>
    </row>
    <row r="367" spans="1:6" ht="13.8" thickBot="1" x14ac:dyDescent="0.3">
      <c r="A367" s="63"/>
      <c r="B367" s="63"/>
      <c r="C367" s="63"/>
      <c r="D367" s="165"/>
      <c r="E367" s="165"/>
      <c r="F367" s="75" t="str">
        <f>OAA!F367</f>
        <v>N=No</v>
      </c>
    </row>
    <row r="368" spans="1:6" ht="53.4" thickBot="1" x14ac:dyDescent="0.3">
      <c r="A368" s="9">
        <v>679</v>
      </c>
      <c r="B368" s="10">
        <v>687</v>
      </c>
      <c r="C368" s="11">
        <v>9</v>
      </c>
      <c r="D368" s="12" t="s">
        <v>200</v>
      </c>
      <c r="E368" s="12" t="s">
        <v>250</v>
      </c>
      <c r="F368" s="310" t="str">
        <f>OAA!F368</f>
        <v>Districts may provide teacher credential ID numbers so that teacher level results can be tracked across test administrations.</v>
      </c>
    </row>
    <row r="369" spans="1:6" ht="53.4" thickBot="1" x14ac:dyDescent="0.3">
      <c r="A369" s="70">
        <v>688</v>
      </c>
      <c r="B369" s="71">
        <v>696</v>
      </c>
      <c r="C369" s="72">
        <v>9</v>
      </c>
      <c r="D369" s="73" t="s">
        <v>199</v>
      </c>
      <c r="E369" s="12" t="s">
        <v>250</v>
      </c>
      <c r="F369" s="410" t="str">
        <f>OAA!F369</f>
        <v>Districts may provide teacher credential ID numbers so that teacher level results can be tracked across test administrations.</v>
      </c>
    </row>
    <row r="370" spans="1:6" ht="53.4" thickBot="1" x14ac:dyDescent="0.3">
      <c r="A370" s="9">
        <v>697</v>
      </c>
      <c r="B370" s="76">
        <v>705</v>
      </c>
      <c r="C370" s="69">
        <v>9</v>
      </c>
      <c r="D370" s="12" t="s">
        <v>309</v>
      </c>
      <c r="E370" s="12" t="s">
        <v>250</v>
      </c>
      <c r="F370" s="310" t="str">
        <f>OAA!F370</f>
        <v>Districts may provide teacher credential ID numbers so that teacher level results can be tracked across test administrations.</v>
      </c>
    </row>
    <row r="371" spans="1:6" ht="53.4" thickBot="1" x14ac:dyDescent="0.3">
      <c r="A371" s="9">
        <v>706</v>
      </c>
      <c r="B371" s="76">
        <v>714</v>
      </c>
      <c r="C371" s="65">
        <v>9</v>
      </c>
      <c r="D371" s="66" t="s">
        <v>201</v>
      </c>
      <c r="E371" s="12" t="s">
        <v>250</v>
      </c>
      <c r="F371" s="411" t="str">
        <f>OAA!F371</f>
        <v>Districts may provide teacher credential ID numbers so that teacher level results can be tracked across test administrations.</v>
      </c>
    </row>
    <row r="372" spans="1:6" ht="53.4" thickBot="1" x14ac:dyDescent="0.3">
      <c r="A372" s="9">
        <v>715</v>
      </c>
      <c r="B372" s="76">
        <v>723</v>
      </c>
      <c r="C372" s="11">
        <v>9</v>
      </c>
      <c r="D372" s="12" t="s">
        <v>202</v>
      </c>
      <c r="E372" s="12" t="s">
        <v>250</v>
      </c>
      <c r="F372" s="310" t="str">
        <f>OAA!F372</f>
        <v>Districts may provide teacher credential ID numbers so that teacher level results can be tracked across test administrations.</v>
      </c>
    </row>
    <row r="373" spans="1:6" ht="27" thickBot="1" x14ac:dyDescent="0.3">
      <c r="A373" s="9">
        <v>724</v>
      </c>
      <c r="B373" s="76">
        <v>743</v>
      </c>
      <c r="C373" s="65">
        <v>20</v>
      </c>
      <c r="D373" s="66" t="s">
        <v>204</v>
      </c>
      <c r="E373" s="12" t="s">
        <v>250</v>
      </c>
      <c r="F373" s="411" t="str">
        <f>OAA!F373</f>
        <v>Districts may populate this field with the writing course code.</v>
      </c>
    </row>
    <row r="374" spans="1:6" ht="27" thickBot="1" x14ac:dyDescent="0.3">
      <c r="A374" s="9">
        <v>744</v>
      </c>
      <c r="B374" s="76">
        <v>763</v>
      </c>
      <c r="C374" s="11">
        <v>20</v>
      </c>
      <c r="D374" s="12" t="s">
        <v>203</v>
      </c>
      <c r="E374" s="12" t="s">
        <v>250</v>
      </c>
      <c r="F374" s="310" t="str">
        <f>OAA!F374</f>
        <v>Districts may populate this field with the writing course code.</v>
      </c>
    </row>
    <row r="375" spans="1:6" ht="27" thickBot="1" x14ac:dyDescent="0.3">
      <c r="A375" s="9">
        <v>764</v>
      </c>
      <c r="B375" s="76">
        <v>783</v>
      </c>
      <c r="C375" s="67">
        <v>20</v>
      </c>
      <c r="D375" s="68" t="s">
        <v>310</v>
      </c>
      <c r="E375" s="12" t="s">
        <v>250</v>
      </c>
      <c r="F375" s="412" t="str">
        <f>OAA!F375</f>
        <v>Districts may populate this field with the writing course code.</v>
      </c>
    </row>
    <row r="376" spans="1:6" ht="27" thickBot="1" x14ac:dyDescent="0.3">
      <c r="A376" s="9">
        <v>784</v>
      </c>
      <c r="B376" s="76">
        <v>803</v>
      </c>
      <c r="C376" s="65">
        <v>20</v>
      </c>
      <c r="D376" s="66" t="s">
        <v>205</v>
      </c>
      <c r="E376" s="12" t="s">
        <v>250</v>
      </c>
      <c r="F376" s="411" t="str">
        <f>OAA!F376</f>
        <v>Districts may populate this field with the writing course code.</v>
      </c>
    </row>
    <row r="377" spans="1:6" ht="27" thickBot="1" x14ac:dyDescent="0.3">
      <c r="A377" s="9">
        <v>804</v>
      </c>
      <c r="B377" s="76">
        <v>823</v>
      </c>
      <c r="C377" s="11">
        <v>20</v>
      </c>
      <c r="D377" s="12" t="s">
        <v>206</v>
      </c>
      <c r="E377" s="12" t="s">
        <v>250</v>
      </c>
      <c r="F377" s="310" t="str">
        <f>OAA!F377</f>
        <v>Districts may populate this field with the writing course code.</v>
      </c>
    </row>
    <row r="413" spans="6:6" x14ac:dyDescent="0.25">
      <c r="F413" s="15"/>
    </row>
  </sheetData>
  <phoneticPr fontId="3" type="noConversion"/>
  <pageMargins left="0.75" right="0.75" top="1" bottom="1" header="0.5" footer="0.5"/>
  <pageSetup scale="94" fitToHeight="1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8"/>
  <sheetViews>
    <sheetView topLeftCell="A370" zoomScale="85" zoomScaleNormal="85" workbookViewId="0">
      <selection activeCell="F82" sqref="F82"/>
    </sheetView>
  </sheetViews>
  <sheetFormatPr defaultColWidth="9.109375" defaultRowHeight="13.2" x14ac:dyDescent="0.25"/>
  <cols>
    <col min="1" max="1" width="5.33203125" style="436" bestFit="1" customWidth="1"/>
    <col min="2" max="2" width="4.44140625" style="436" bestFit="1" customWidth="1"/>
    <col min="3" max="3" width="8.33203125" style="436" customWidth="1"/>
    <col min="4" max="4" width="21.5546875" style="436" bestFit="1" customWidth="1"/>
    <col min="5" max="5" width="19.44140625" style="438" customWidth="1"/>
    <col min="6" max="6" width="39.88671875" style="437" customWidth="1"/>
    <col min="7" max="16384" width="9.109375" style="436"/>
  </cols>
  <sheetData>
    <row r="1" spans="1:6" ht="44.25" customHeight="1" thickBot="1" x14ac:dyDescent="0.3">
      <c r="A1" s="668" t="s">
        <v>330</v>
      </c>
      <c r="B1" s="668"/>
      <c r="C1" s="668"/>
      <c r="D1" s="668"/>
      <c r="E1" s="668"/>
      <c r="F1" s="668"/>
    </row>
    <row r="2" spans="1:6" s="437" customFormat="1" ht="13.8" thickBot="1" x14ac:dyDescent="0.3">
      <c r="A2" s="639" t="s">
        <v>44</v>
      </c>
      <c r="B2" s="638" t="s">
        <v>45</v>
      </c>
      <c r="C2" s="637" t="s">
        <v>46</v>
      </c>
      <c r="D2" s="636" t="s">
        <v>47</v>
      </c>
      <c r="E2" s="636" t="s">
        <v>48</v>
      </c>
      <c r="F2" s="635" t="s">
        <v>325</v>
      </c>
    </row>
    <row r="3" spans="1:6" s="437" customFormat="1" ht="13.8" thickBot="1" x14ac:dyDescent="0.3">
      <c r="A3" s="552">
        <v>1</v>
      </c>
      <c r="B3" s="551">
        <v>11</v>
      </c>
      <c r="C3" s="551">
        <v>11</v>
      </c>
      <c r="D3" s="634" t="s">
        <v>49</v>
      </c>
      <c r="E3" s="550" t="s">
        <v>50</v>
      </c>
      <c r="F3" s="633"/>
    </row>
    <row r="4" spans="1:6" s="437" customFormat="1" ht="13.8" thickBot="1" x14ac:dyDescent="0.3">
      <c r="A4" s="552">
        <v>12</v>
      </c>
      <c r="B4" s="551">
        <v>19</v>
      </c>
      <c r="C4" s="551">
        <v>8</v>
      </c>
      <c r="D4" s="628" t="s">
        <v>51</v>
      </c>
      <c r="E4" s="550" t="s">
        <v>50</v>
      </c>
      <c r="F4" s="633"/>
    </row>
    <row r="5" spans="1:6" s="437" customFormat="1" ht="13.8" thickBot="1" x14ac:dyDescent="0.3">
      <c r="A5" s="598">
        <v>20</v>
      </c>
      <c r="B5" s="597">
        <v>20</v>
      </c>
      <c r="C5" s="597">
        <v>1</v>
      </c>
      <c r="D5" s="632" t="s">
        <v>52</v>
      </c>
      <c r="E5" s="631" t="s">
        <v>50</v>
      </c>
      <c r="F5" s="630"/>
    </row>
    <row r="6" spans="1:6" s="437" customFormat="1" ht="27" thickBot="1" x14ac:dyDescent="0.3">
      <c r="A6" s="551">
        <v>21</v>
      </c>
      <c r="B6" s="551">
        <v>29</v>
      </c>
      <c r="C6" s="551">
        <v>9</v>
      </c>
      <c r="D6" s="629" t="s">
        <v>53</v>
      </c>
      <c r="E6" s="628" t="s">
        <v>54</v>
      </c>
      <c r="F6" s="531"/>
    </row>
    <row r="7" spans="1:6" s="437" customFormat="1" ht="13.8" thickBot="1" x14ac:dyDescent="0.3">
      <c r="A7" s="551">
        <v>30</v>
      </c>
      <c r="B7" s="551">
        <v>31</v>
      </c>
      <c r="C7" s="551">
        <v>2</v>
      </c>
      <c r="D7" s="626" t="s">
        <v>55</v>
      </c>
      <c r="E7" s="626" t="s">
        <v>56</v>
      </c>
      <c r="F7" s="531" t="s">
        <v>245</v>
      </c>
    </row>
    <row r="8" spans="1:6" s="437" customFormat="1" ht="13.8" thickBot="1" x14ac:dyDescent="0.3">
      <c r="A8" s="551">
        <v>32</v>
      </c>
      <c r="B8" s="551">
        <v>32</v>
      </c>
      <c r="C8" s="551">
        <v>1</v>
      </c>
      <c r="D8" s="626" t="s">
        <v>58</v>
      </c>
      <c r="E8" s="626" t="s">
        <v>59</v>
      </c>
      <c r="F8" s="531" t="s">
        <v>60</v>
      </c>
    </row>
    <row r="9" spans="1:6" s="437" customFormat="1" ht="13.8" thickBot="1" x14ac:dyDescent="0.3">
      <c r="A9" s="589">
        <v>33</v>
      </c>
      <c r="B9" s="589">
        <v>37</v>
      </c>
      <c r="C9" s="589">
        <v>5</v>
      </c>
      <c r="D9" s="627" t="s">
        <v>65</v>
      </c>
      <c r="E9" s="627"/>
      <c r="F9" s="594"/>
    </row>
    <row r="10" spans="1:6" s="437" customFormat="1" ht="13.8" thickBot="1" x14ac:dyDescent="0.3">
      <c r="A10" s="551">
        <v>38</v>
      </c>
      <c r="B10" s="551">
        <v>39</v>
      </c>
      <c r="C10" s="551">
        <v>2</v>
      </c>
      <c r="D10" s="626" t="s">
        <v>66</v>
      </c>
      <c r="E10" s="626" t="s">
        <v>67</v>
      </c>
      <c r="F10" s="625" t="str">
        <f>OAA!F9</f>
        <v>01, 02,..., 12</v>
      </c>
    </row>
    <row r="11" spans="1:6" s="437" customFormat="1" ht="13.8" thickBot="1" x14ac:dyDescent="0.3">
      <c r="A11" s="552">
        <v>40</v>
      </c>
      <c r="B11" s="551">
        <v>41</v>
      </c>
      <c r="C11" s="551">
        <v>2</v>
      </c>
      <c r="D11" s="626" t="s">
        <v>68</v>
      </c>
      <c r="E11" s="550" t="s">
        <v>67</v>
      </c>
      <c r="F11" s="625" t="str">
        <f>OAA!F10</f>
        <v>01, 02,..., 31</v>
      </c>
    </row>
    <row r="12" spans="1:6" s="437" customFormat="1" ht="13.8" thickBot="1" x14ac:dyDescent="0.3">
      <c r="A12" s="551">
        <v>42</v>
      </c>
      <c r="B12" s="551">
        <v>45</v>
      </c>
      <c r="C12" s="551">
        <v>4</v>
      </c>
      <c r="D12" s="626" t="s">
        <v>69</v>
      </c>
      <c r="E12" s="532" t="s">
        <v>67</v>
      </c>
      <c r="F12" s="625" t="str">
        <f>OAA!F11</f>
        <v>CCYY Format</v>
      </c>
    </row>
    <row r="13" spans="1:6" s="437" customFormat="1" ht="27" thickBot="1" x14ac:dyDescent="0.3">
      <c r="A13" s="551">
        <v>46</v>
      </c>
      <c r="B13" s="551">
        <v>47</v>
      </c>
      <c r="C13" s="551">
        <v>2</v>
      </c>
      <c r="D13" s="550" t="s">
        <v>71</v>
      </c>
      <c r="E13" s="550" t="s">
        <v>67</v>
      </c>
      <c r="F13" s="625" t="str">
        <f>OAA!F12</f>
        <v>22=Kindergarten, 01, 02, …. 13=Adult HS, 14=OGT Only, blank=missing/unknown</v>
      </c>
    </row>
    <row r="14" spans="1:6" s="437" customFormat="1" x14ac:dyDescent="0.25">
      <c r="A14" s="584">
        <v>48</v>
      </c>
      <c r="B14" s="584">
        <v>48</v>
      </c>
      <c r="C14" s="584">
        <v>1</v>
      </c>
      <c r="D14" s="595" t="s">
        <v>72</v>
      </c>
      <c r="E14" s="595" t="s">
        <v>50</v>
      </c>
      <c r="F14" s="540" t="str">
        <f>OAA!F13</f>
        <v>F=Female</v>
      </c>
    </row>
    <row r="15" spans="1:6" s="437" customFormat="1" x14ac:dyDescent="0.25">
      <c r="A15" s="568"/>
      <c r="B15" s="568"/>
      <c r="C15" s="568"/>
      <c r="D15" s="578"/>
      <c r="E15" s="578"/>
      <c r="F15" s="583" t="str">
        <f>OAA!F14</f>
        <v>M=Male</v>
      </c>
    </row>
    <row r="16" spans="1:6" s="437" customFormat="1" ht="13.8" thickBot="1" x14ac:dyDescent="0.3">
      <c r="A16" s="564"/>
      <c r="B16" s="564"/>
      <c r="C16" s="564"/>
      <c r="D16" s="563"/>
      <c r="E16" s="563"/>
      <c r="F16" s="543" t="str">
        <f>OAA!F15</f>
        <v>blank=unknown</v>
      </c>
    </row>
    <row r="17" spans="1:6" s="437" customFormat="1" x14ac:dyDescent="0.25">
      <c r="A17" s="584">
        <v>49</v>
      </c>
      <c r="B17" s="584">
        <v>49</v>
      </c>
      <c r="C17" s="584">
        <v>1</v>
      </c>
      <c r="D17" s="595" t="s">
        <v>73</v>
      </c>
      <c r="E17" s="624" t="s">
        <v>67</v>
      </c>
      <c r="F17" s="540" t="str">
        <f>OAA!F16</f>
        <v>1=American Indian</v>
      </c>
    </row>
    <row r="18" spans="1:6" s="437" customFormat="1" x14ac:dyDescent="0.25">
      <c r="A18" s="568"/>
      <c r="B18" s="568"/>
      <c r="C18" s="568"/>
      <c r="D18" s="578"/>
      <c r="E18" s="623"/>
      <c r="F18" s="583" t="str">
        <f>OAA!F17</f>
        <v>2=Asian/Pacific Islander</v>
      </c>
    </row>
    <row r="19" spans="1:6" s="437" customFormat="1" x14ac:dyDescent="0.25">
      <c r="A19" s="568"/>
      <c r="B19" s="568"/>
      <c r="C19" s="568"/>
      <c r="D19" s="578"/>
      <c r="E19" s="623"/>
      <c r="F19" s="583" t="str">
        <f>OAA!F18</f>
        <v>3=Black/African American</v>
      </c>
    </row>
    <row r="20" spans="1:6" s="437" customFormat="1" x14ac:dyDescent="0.25">
      <c r="A20" s="568"/>
      <c r="B20" s="568"/>
      <c r="C20" s="568"/>
      <c r="D20" s="578"/>
      <c r="E20" s="623"/>
      <c r="F20" s="583" t="str">
        <f>OAA!F19</f>
        <v>4=Hispanic</v>
      </c>
    </row>
    <row r="21" spans="1:6" s="437" customFormat="1" x14ac:dyDescent="0.25">
      <c r="A21" s="568"/>
      <c r="B21" s="568"/>
      <c r="C21" s="568"/>
      <c r="D21" s="578"/>
      <c r="E21" s="623"/>
      <c r="F21" s="583" t="str">
        <f>OAA!F20</f>
        <v>5=White</v>
      </c>
    </row>
    <row r="22" spans="1:6" s="437" customFormat="1" x14ac:dyDescent="0.25">
      <c r="A22" s="568"/>
      <c r="B22" s="568"/>
      <c r="C22" s="568"/>
      <c r="D22" s="578"/>
      <c r="E22" s="623"/>
      <c r="F22" s="583" t="str">
        <f>OAA!F21</f>
        <v>6=Multi-Racial</v>
      </c>
    </row>
    <row r="23" spans="1:6" s="437" customFormat="1" x14ac:dyDescent="0.25">
      <c r="A23" s="568"/>
      <c r="B23" s="568"/>
      <c r="C23" s="568"/>
      <c r="D23" s="578"/>
      <c r="E23" s="623"/>
      <c r="F23" s="583" t="str">
        <f>OAA!F22</f>
        <v>7=Other</v>
      </c>
    </row>
    <row r="24" spans="1:6" s="437" customFormat="1" ht="13.8" thickBot="1" x14ac:dyDescent="0.3">
      <c r="A24" s="564"/>
      <c r="B24" s="564"/>
      <c r="C24" s="564"/>
      <c r="D24" s="563"/>
      <c r="E24" s="622"/>
      <c r="F24" s="610" t="str">
        <f>OAA!F23</f>
        <v>Blank=Unknown</v>
      </c>
    </row>
    <row r="25" spans="1:6" s="437" customFormat="1" x14ac:dyDescent="0.25">
      <c r="A25" s="499">
        <v>50</v>
      </c>
      <c r="B25" s="499">
        <v>58</v>
      </c>
      <c r="C25" s="499">
        <v>9</v>
      </c>
      <c r="D25" s="593" t="s">
        <v>65</v>
      </c>
      <c r="E25" s="593"/>
      <c r="F25" s="496"/>
    </row>
    <row r="26" spans="1:6" s="437" customFormat="1" ht="13.8" thickBot="1" x14ac:dyDescent="0.3">
      <c r="A26" s="582">
        <v>59</v>
      </c>
      <c r="B26" s="582">
        <v>78</v>
      </c>
      <c r="C26" s="582">
        <v>20</v>
      </c>
      <c r="D26" s="621" t="s">
        <v>85</v>
      </c>
      <c r="E26" s="621" t="s">
        <v>59</v>
      </c>
      <c r="F26" s="620"/>
    </row>
    <row r="27" spans="1:6" s="437" customFormat="1" ht="13.8" thickBot="1" x14ac:dyDescent="0.3">
      <c r="A27" s="552">
        <v>79</v>
      </c>
      <c r="B27" s="551">
        <v>84</v>
      </c>
      <c r="C27" s="551">
        <v>6</v>
      </c>
      <c r="D27" s="550" t="s">
        <v>86</v>
      </c>
      <c r="E27" s="550" t="s">
        <v>87</v>
      </c>
      <c r="F27" s="616"/>
    </row>
    <row r="28" spans="1:6" s="437" customFormat="1" ht="13.8" thickBot="1" x14ac:dyDescent="0.3">
      <c r="A28" s="527">
        <v>85</v>
      </c>
      <c r="B28" s="527">
        <v>104</v>
      </c>
      <c r="C28" s="527">
        <v>20</v>
      </c>
      <c r="D28" s="619" t="s">
        <v>88</v>
      </c>
      <c r="E28" s="619" t="s">
        <v>59</v>
      </c>
      <c r="F28" s="618"/>
    </row>
    <row r="29" spans="1:6" s="437" customFormat="1" ht="13.8" thickBot="1" x14ac:dyDescent="0.3">
      <c r="A29" s="552">
        <v>105</v>
      </c>
      <c r="B29" s="551">
        <v>110</v>
      </c>
      <c r="C29" s="551">
        <v>6</v>
      </c>
      <c r="D29" s="550" t="s">
        <v>89</v>
      </c>
      <c r="E29" s="550" t="s">
        <v>87</v>
      </c>
      <c r="F29" s="616"/>
    </row>
    <row r="30" spans="1:6" s="437" customFormat="1" ht="13.8" thickBot="1" x14ac:dyDescent="0.3">
      <c r="A30" s="527">
        <v>111</v>
      </c>
      <c r="B30" s="527">
        <v>112</v>
      </c>
      <c r="C30" s="527">
        <v>2</v>
      </c>
      <c r="D30" s="617" t="s">
        <v>90</v>
      </c>
      <c r="E30" s="617" t="s">
        <v>87</v>
      </c>
      <c r="F30" s="525" t="str">
        <f>OAA!F29</f>
        <v>MM</v>
      </c>
    </row>
    <row r="31" spans="1:6" s="437" customFormat="1" ht="13.8" thickBot="1" x14ac:dyDescent="0.3">
      <c r="A31" s="552">
        <v>113</v>
      </c>
      <c r="B31" s="551">
        <v>114</v>
      </c>
      <c r="C31" s="551">
        <v>2</v>
      </c>
      <c r="D31" s="550" t="s">
        <v>91</v>
      </c>
      <c r="E31" s="550" t="s">
        <v>67</v>
      </c>
      <c r="F31" s="531" t="str">
        <f>OAA!F30</f>
        <v>DD</v>
      </c>
    </row>
    <row r="32" spans="1:6" s="437" customFormat="1" ht="13.8" thickBot="1" x14ac:dyDescent="0.3">
      <c r="A32" s="527">
        <v>115</v>
      </c>
      <c r="B32" s="527">
        <v>118</v>
      </c>
      <c r="C32" s="527">
        <v>4</v>
      </c>
      <c r="D32" s="535" t="s">
        <v>92</v>
      </c>
      <c r="E32" s="535" t="s">
        <v>87</v>
      </c>
      <c r="F32" s="525" t="str">
        <f>OAA!F31</f>
        <v>CCYY format</v>
      </c>
    </row>
    <row r="33" spans="1:6" s="437" customFormat="1" ht="13.8" thickBot="1" x14ac:dyDescent="0.3">
      <c r="A33" s="552">
        <v>119</v>
      </c>
      <c r="B33" s="551">
        <v>123</v>
      </c>
      <c r="C33" s="551">
        <v>5</v>
      </c>
      <c r="D33" s="532" t="s">
        <v>93</v>
      </c>
      <c r="E33" s="532" t="s">
        <v>54</v>
      </c>
      <c r="F33" s="616"/>
    </row>
    <row r="34" spans="1:6" s="437" customFormat="1" ht="13.8" thickBot="1" x14ac:dyDescent="0.3">
      <c r="A34" s="559">
        <v>124</v>
      </c>
      <c r="B34" s="559">
        <v>125</v>
      </c>
      <c r="C34" s="559">
        <v>2</v>
      </c>
      <c r="D34" s="574" t="s">
        <v>65</v>
      </c>
      <c r="E34" s="574"/>
      <c r="F34" s="577"/>
    </row>
    <row r="35" spans="1:6" s="437" customFormat="1" x14ac:dyDescent="0.25">
      <c r="A35" s="615">
        <v>126</v>
      </c>
      <c r="B35" s="614">
        <v>126</v>
      </c>
      <c r="C35" s="614">
        <v>1</v>
      </c>
      <c r="D35" s="613" t="s">
        <v>94</v>
      </c>
      <c r="E35" s="613" t="s">
        <v>50</v>
      </c>
      <c r="F35" s="612" t="str">
        <f>OAA!F34</f>
        <v>Y=Yes</v>
      </c>
    </row>
    <row r="36" spans="1:6" s="437" customFormat="1" ht="13.8" thickBot="1" x14ac:dyDescent="0.3">
      <c r="A36" s="565"/>
      <c r="B36" s="564"/>
      <c r="C36" s="564"/>
      <c r="D36" s="563"/>
      <c r="E36" s="563"/>
      <c r="F36" s="610" t="str">
        <f>OAA!F35</f>
        <v>Blank=Not Indicated</v>
      </c>
    </row>
    <row r="37" spans="1:6" s="437" customFormat="1" x14ac:dyDescent="0.25">
      <c r="A37" s="601">
        <v>127</v>
      </c>
      <c r="B37" s="584">
        <v>127</v>
      </c>
      <c r="C37" s="584">
        <v>1</v>
      </c>
      <c r="D37" s="595" t="s">
        <v>95</v>
      </c>
      <c r="E37" s="595" t="s">
        <v>50</v>
      </c>
      <c r="F37" s="609" t="str">
        <f>OAA!F36</f>
        <v>Y=Yes</v>
      </c>
    </row>
    <row r="38" spans="1:6" s="437" customFormat="1" ht="13.8" thickBot="1" x14ac:dyDescent="0.3">
      <c r="A38" s="565"/>
      <c r="B38" s="564"/>
      <c r="C38" s="564"/>
      <c r="D38" s="563"/>
      <c r="E38" s="563"/>
      <c r="F38" s="610" t="str">
        <f>OAA!F37</f>
        <v>Blank=Not Indicated</v>
      </c>
    </row>
    <row r="39" spans="1:6" s="437" customFormat="1" x14ac:dyDescent="0.25">
      <c r="A39" s="584">
        <v>128</v>
      </c>
      <c r="B39" s="584">
        <v>128</v>
      </c>
      <c r="C39" s="584">
        <v>1</v>
      </c>
      <c r="D39" s="595" t="s">
        <v>96</v>
      </c>
      <c r="E39" s="595" t="s">
        <v>50</v>
      </c>
      <c r="F39" s="609" t="str">
        <f>OAA!F38</f>
        <v>Y=Yes</v>
      </c>
    </row>
    <row r="40" spans="1:6" s="437" customFormat="1" ht="13.8" thickBot="1" x14ac:dyDescent="0.3">
      <c r="A40" s="582"/>
      <c r="B40" s="582"/>
      <c r="C40" s="582"/>
      <c r="D40" s="587"/>
      <c r="E40" s="587"/>
      <c r="F40" s="608" t="str">
        <f>OAA!F39</f>
        <v>Blank=Not Indicated</v>
      </c>
    </row>
    <row r="41" spans="1:6" s="437" customFormat="1" x14ac:dyDescent="0.25">
      <c r="A41" s="572">
        <v>129</v>
      </c>
      <c r="B41" s="571">
        <v>129</v>
      </c>
      <c r="C41" s="571">
        <v>1</v>
      </c>
      <c r="D41" s="547" t="s">
        <v>291</v>
      </c>
      <c r="E41" s="579" t="s">
        <v>50</v>
      </c>
      <c r="F41" s="611" t="str">
        <f>OAA!F40</f>
        <v>Y=Yes</v>
      </c>
    </row>
    <row r="42" spans="1:6" s="437" customFormat="1" ht="13.8" thickBot="1" x14ac:dyDescent="0.3">
      <c r="A42" s="565"/>
      <c r="B42" s="564"/>
      <c r="C42" s="564"/>
      <c r="D42" s="544"/>
      <c r="E42" s="544"/>
      <c r="F42" s="610" t="str">
        <f>OAA!F41</f>
        <v>Blank=Not Indicated</v>
      </c>
    </row>
    <row r="43" spans="1:6" s="437" customFormat="1" x14ac:dyDescent="0.25">
      <c r="A43" s="584">
        <v>130</v>
      </c>
      <c r="B43" s="584">
        <v>130</v>
      </c>
      <c r="C43" s="584">
        <v>1</v>
      </c>
      <c r="D43" s="541" t="s">
        <v>292</v>
      </c>
      <c r="E43" s="595" t="s">
        <v>50</v>
      </c>
      <c r="F43" s="609" t="str">
        <f>OAA!F42</f>
        <v>Y=Yes</v>
      </c>
    </row>
    <row r="44" spans="1:6" s="437" customFormat="1" ht="13.8" thickBot="1" x14ac:dyDescent="0.3">
      <c r="A44" s="582"/>
      <c r="B44" s="582"/>
      <c r="C44" s="582"/>
      <c r="D44" s="538"/>
      <c r="E44" s="538"/>
      <c r="F44" s="608" t="str">
        <f>OAA!F43</f>
        <v>Blank=Not Indicated</v>
      </c>
    </row>
    <row r="45" spans="1:6" s="437" customFormat="1" x14ac:dyDescent="0.25">
      <c r="A45" s="572">
        <v>131</v>
      </c>
      <c r="B45" s="571">
        <v>131</v>
      </c>
      <c r="C45" s="571">
        <v>1</v>
      </c>
      <c r="D45" s="579" t="s">
        <v>99</v>
      </c>
      <c r="E45" s="579" t="s">
        <v>50</v>
      </c>
      <c r="F45" s="611" t="str">
        <f>OAA!F44</f>
        <v>Y=Yes</v>
      </c>
    </row>
    <row r="46" spans="1:6" s="437" customFormat="1" ht="13.8" thickBot="1" x14ac:dyDescent="0.3">
      <c r="A46" s="565"/>
      <c r="B46" s="564"/>
      <c r="C46" s="564"/>
      <c r="D46" s="563"/>
      <c r="E46" s="563"/>
      <c r="F46" s="610" t="str">
        <f>OAA!F45</f>
        <v>Blank=Not Indicated</v>
      </c>
    </row>
    <row r="47" spans="1:6" s="437" customFormat="1" x14ac:dyDescent="0.25">
      <c r="A47" s="584">
        <v>132</v>
      </c>
      <c r="B47" s="584">
        <v>132</v>
      </c>
      <c r="C47" s="584">
        <v>1</v>
      </c>
      <c r="D47" s="595" t="s">
        <v>100</v>
      </c>
      <c r="E47" s="595" t="s">
        <v>50</v>
      </c>
      <c r="F47" s="609" t="str">
        <f>OAA!F46</f>
        <v>Y=Yes</v>
      </c>
    </row>
    <row r="48" spans="1:6" s="437" customFormat="1" ht="13.8" thickBot="1" x14ac:dyDescent="0.3">
      <c r="A48" s="582"/>
      <c r="B48" s="582"/>
      <c r="C48" s="582"/>
      <c r="D48" s="587"/>
      <c r="E48" s="587"/>
      <c r="F48" s="608" t="str">
        <f>OAA!F47</f>
        <v>Blank=Not Indicated</v>
      </c>
    </row>
    <row r="49" spans="1:6" s="437" customFormat="1" x14ac:dyDescent="0.25">
      <c r="A49" s="491">
        <v>133</v>
      </c>
      <c r="B49" s="490">
        <v>133</v>
      </c>
      <c r="C49" s="490">
        <v>1</v>
      </c>
      <c r="D49" s="576" t="s">
        <v>101</v>
      </c>
      <c r="E49" s="576" t="s">
        <v>50</v>
      </c>
      <c r="F49" s="486"/>
    </row>
    <row r="50" spans="1:6" s="437" customFormat="1" ht="13.8" thickBot="1" x14ac:dyDescent="0.3">
      <c r="A50" s="479"/>
      <c r="B50" s="478"/>
      <c r="C50" s="478"/>
      <c r="D50" s="607" t="s">
        <v>255</v>
      </c>
      <c r="E50" s="476"/>
      <c r="F50" s="475"/>
    </row>
    <row r="51" spans="1:6" s="437" customFormat="1" ht="13.8" thickBot="1" x14ac:dyDescent="0.3">
      <c r="A51" s="527">
        <v>134</v>
      </c>
      <c r="B51" s="527">
        <v>145</v>
      </c>
      <c r="C51" s="527">
        <v>12</v>
      </c>
      <c r="D51" s="606" t="s">
        <v>257</v>
      </c>
      <c r="E51" s="606" t="s">
        <v>54</v>
      </c>
      <c r="F51" s="535" t="s">
        <v>308</v>
      </c>
    </row>
    <row r="52" spans="1:6" s="437" customFormat="1" ht="26.4" x14ac:dyDescent="0.25">
      <c r="A52" s="572">
        <v>146</v>
      </c>
      <c r="B52" s="571">
        <v>147</v>
      </c>
      <c r="C52" s="571">
        <v>2</v>
      </c>
      <c r="D52" s="547" t="s">
        <v>102</v>
      </c>
      <c r="E52" s="547" t="s">
        <v>67</v>
      </c>
      <c r="F52" s="600" t="str">
        <f>OAA!F51</f>
        <v>11=Advanced</v>
      </c>
    </row>
    <row r="53" spans="1:6" s="437" customFormat="1" x14ac:dyDescent="0.25">
      <c r="A53" s="569"/>
      <c r="B53" s="568"/>
      <c r="C53" s="568"/>
      <c r="D53" s="567"/>
      <c r="E53" s="567"/>
      <c r="F53" s="599" t="str">
        <f>OAA!F52</f>
        <v>12=Accelerated</v>
      </c>
    </row>
    <row r="54" spans="1:6" s="437" customFormat="1" x14ac:dyDescent="0.25">
      <c r="A54" s="569"/>
      <c r="B54" s="568"/>
      <c r="C54" s="568"/>
      <c r="D54" s="567"/>
      <c r="E54" s="567"/>
      <c r="F54" s="599" t="str">
        <f>OAA!F53</f>
        <v>13=Proficient</v>
      </c>
    </row>
    <row r="55" spans="1:6" s="437" customFormat="1" x14ac:dyDescent="0.25">
      <c r="A55" s="569"/>
      <c r="B55" s="568"/>
      <c r="C55" s="568"/>
      <c r="D55" s="567"/>
      <c r="E55" s="567"/>
      <c r="F55" s="599" t="str">
        <f>OAA!F54</f>
        <v>14=Basic</v>
      </c>
    </row>
    <row r="56" spans="1:6" s="437" customFormat="1" x14ac:dyDescent="0.25">
      <c r="A56" s="569"/>
      <c r="B56" s="568"/>
      <c r="C56" s="568"/>
      <c r="D56" s="567"/>
      <c r="E56" s="567"/>
      <c r="F56" s="599" t="str">
        <f>OAA!F55</f>
        <v>15=Limited</v>
      </c>
    </row>
    <row r="57" spans="1:6" s="437" customFormat="1" x14ac:dyDescent="0.25">
      <c r="A57" s="569"/>
      <c r="B57" s="568"/>
      <c r="C57" s="568"/>
      <c r="D57" s="567"/>
      <c r="E57" s="567"/>
      <c r="F57" s="599" t="str">
        <f>OAA!F56</f>
        <v>99=invalidated (INV)</v>
      </c>
    </row>
    <row r="58" spans="1:6" s="437" customFormat="1" ht="13.8" thickBot="1" x14ac:dyDescent="0.3">
      <c r="A58" s="565"/>
      <c r="B58" s="564"/>
      <c r="C58" s="564"/>
      <c r="D58" s="544"/>
      <c r="E58" s="544"/>
      <c r="F58" s="581" t="str">
        <f>OAA!F57</f>
        <v>blank=DNA/TOG/DNS/Missing</v>
      </c>
    </row>
    <row r="59" spans="1:6" s="437" customFormat="1" x14ac:dyDescent="0.25">
      <c r="A59" s="499">
        <v>148</v>
      </c>
      <c r="B59" s="499">
        <v>150</v>
      </c>
      <c r="C59" s="499">
        <v>3</v>
      </c>
      <c r="D59" s="561" t="s">
        <v>103</v>
      </c>
      <c r="E59" s="561" t="s">
        <v>54</v>
      </c>
      <c r="F59" s="653" t="s">
        <v>327</v>
      </c>
    </row>
    <row r="60" spans="1:6" s="437" customFormat="1" x14ac:dyDescent="0.25">
      <c r="A60" s="484"/>
      <c r="B60" s="484"/>
      <c r="C60" s="484"/>
      <c r="D60" s="556"/>
      <c r="E60" s="556"/>
      <c r="F60" s="654" t="s">
        <v>331</v>
      </c>
    </row>
    <row r="61" spans="1:6" s="437" customFormat="1" x14ac:dyDescent="0.25">
      <c r="A61" s="484"/>
      <c r="B61" s="484"/>
      <c r="C61" s="484"/>
      <c r="D61" s="556"/>
      <c r="E61" s="556"/>
      <c r="F61" s="580"/>
    </row>
    <row r="62" spans="1:6" s="437" customFormat="1" x14ac:dyDescent="0.25">
      <c r="A62" s="495"/>
      <c r="B62" s="495"/>
      <c r="C62" s="495"/>
      <c r="D62" s="494"/>
      <c r="E62" s="494"/>
      <c r="F62" s="580"/>
    </row>
    <row r="63" spans="1:6" s="437" customFormat="1" ht="13.8" thickBot="1" x14ac:dyDescent="0.3">
      <c r="A63" s="495"/>
      <c r="B63" s="495"/>
      <c r="C63" s="495"/>
      <c r="D63" s="494"/>
      <c r="E63" s="494"/>
      <c r="F63" s="655" t="s">
        <v>326</v>
      </c>
    </row>
    <row r="64" spans="1:6" s="437" customFormat="1" ht="13.8" thickBot="1" x14ac:dyDescent="0.3">
      <c r="A64" s="590">
        <v>151</v>
      </c>
      <c r="B64" s="589">
        <v>152</v>
      </c>
      <c r="C64" s="589">
        <v>2</v>
      </c>
      <c r="D64" s="588" t="s">
        <v>105</v>
      </c>
      <c r="E64" s="588" t="s">
        <v>54</v>
      </c>
      <c r="F64" s="594"/>
    </row>
    <row r="65" spans="1:6" s="437" customFormat="1" ht="13.8" thickBot="1" x14ac:dyDescent="0.3">
      <c r="A65" s="559">
        <v>153</v>
      </c>
      <c r="B65" s="559">
        <v>154</v>
      </c>
      <c r="C65" s="559">
        <v>2</v>
      </c>
      <c r="D65" s="574" t="s">
        <v>106</v>
      </c>
      <c r="E65" s="574" t="s">
        <v>54</v>
      </c>
      <c r="F65" s="557"/>
    </row>
    <row r="66" spans="1:6" s="437" customFormat="1" ht="209.25" customHeight="1" thickBot="1" x14ac:dyDescent="0.3">
      <c r="A66" s="552">
        <v>155</v>
      </c>
      <c r="B66" s="551">
        <v>157</v>
      </c>
      <c r="C66" s="551">
        <v>3</v>
      </c>
      <c r="D66" s="532" t="s">
        <v>313</v>
      </c>
      <c r="E66" s="550" t="s">
        <v>332</v>
      </c>
      <c r="F66" s="656" t="s">
        <v>338</v>
      </c>
    </row>
    <row r="67" spans="1:6" s="437" customFormat="1" x14ac:dyDescent="0.25">
      <c r="A67" s="584">
        <v>158</v>
      </c>
      <c r="B67" s="584">
        <v>158</v>
      </c>
      <c r="C67" s="584">
        <v>1</v>
      </c>
      <c r="D67" s="595" t="s">
        <v>108</v>
      </c>
      <c r="E67" s="595" t="s">
        <v>333</v>
      </c>
      <c r="F67" s="657" t="s">
        <v>338</v>
      </c>
    </row>
    <row r="68" spans="1:6" s="437" customFormat="1" x14ac:dyDescent="0.25">
      <c r="A68" s="568"/>
      <c r="B68" s="568"/>
      <c r="C68" s="568"/>
      <c r="D68" s="578"/>
      <c r="E68" s="578"/>
      <c r="F68" s="580"/>
    </row>
    <row r="69" spans="1:6" s="437" customFormat="1" ht="13.8" thickBot="1" x14ac:dyDescent="0.3">
      <c r="A69" s="582"/>
      <c r="B69" s="582"/>
      <c r="C69" s="582"/>
      <c r="D69" s="578"/>
      <c r="E69" s="578"/>
      <c r="F69" s="580"/>
    </row>
    <row r="70" spans="1:6" s="437" customFormat="1" ht="27" thickBot="1" x14ac:dyDescent="0.3">
      <c r="A70" s="552">
        <v>159</v>
      </c>
      <c r="B70" s="551">
        <v>161</v>
      </c>
      <c r="C70" s="551">
        <v>3</v>
      </c>
      <c r="D70" s="532" t="s">
        <v>293</v>
      </c>
      <c r="E70" s="550" t="s">
        <v>54</v>
      </c>
      <c r="F70" s="658" t="s">
        <v>338</v>
      </c>
    </row>
    <row r="71" spans="1:6" s="437" customFormat="1" x14ac:dyDescent="0.25">
      <c r="A71" s="584">
        <v>162</v>
      </c>
      <c r="B71" s="584">
        <v>162</v>
      </c>
      <c r="C71" s="584">
        <v>1</v>
      </c>
      <c r="D71" s="595" t="s">
        <v>110</v>
      </c>
      <c r="E71" s="595" t="s">
        <v>333</v>
      </c>
      <c r="F71" s="657" t="s">
        <v>338</v>
      </c>
    </row>
    <row r="72" spans="1:6" s="437" customFormat="1" x14ac:dyDescent="0.25">
      <c r="A72" s="568"/>
      <c r="B72" s="568"/>
      <c r="C72" s="568"/>
      <c r="D72" s="578"/>
      <c r="E72" s="578"/>
      <c r="F72" s="580"/>
    </row>
    <row r="73" spans="1:6" s="437" customFormat="1" ht="13.8" thickBot="1" x14ac:dyDescent="0.3">
      <c r="A73" s="568"/>
      <c r="B73" s="568"/>
      <c r="C73" s="568"/>
      <c r="D73" s="578"/>
      <c r="E73" s="578"/>
      <c r="F73" s="580"/>
    </row>
    <row r="74" spans="1:6" s="437" customFormat="1" ht="27" thickBot="1" x14ac:dyDescent="0.3">
      <c r="A74" s="552">
        <v>163</v>
      </c>
      <c r="B74" s="551">
        <v>165</v>
      </c>
      <c r="C74" s="551">
        <v>3</v>
      </c>
      <c r="D74" s="532" t="s">
        <v>294</v>
      </c>
      <c r="E74" s="550" t="s">
        <v>54</v>
      </c>
      <c r="F74" s="656" t="s">
        <v>338</v>
      </c>
    </row>
    <row r="75" spans="1:6" s="437" customFormat="1" x14ac:dyDescent="0.25">
      <c r="A75" s="584">
        <v>166</v>
      </c>
      <c r="B75" s="584">
        <v>166</v>
      </c>
      <c r="C75" s="584">
        <v>1</v>
      </c>
      <c r="D75" s="595" t="s">
        <v>112</v>
      </c>
      <c r="E75" s="595" t="s">
        <v>333</v>
      </c>
      <c r="F75" s="657" t="s">
        <v>338</v>
      </c>
    </row>
    <row r="76" spans="1:6" s="437" customFormat="1" x14ac:dyDescent="0.25">
      <c r="A76" s="568"/>
      <c r="B76" s="568"/>
      <c r="C76" s="568"/>
      <c r="D76" s="578"/>
      <c r="E76" s="578"/>
      <c r="F76" s="580"/>
    </row>
    <row r="77" spans="1:6" s="437" customFormat="1" ht="13.8" thickBot="1" x14ac:dyDescent="0.3">
      <c r="A77" s="568"/>
      <c r="B77" s="568"/>
      <c r="C77" s="568"/>
      <c r="D77" s="582"/>
      <c r="E77" s="578"/>
      <c r="F77" s="580"/>
    </row>
    <row r="78" spans="1:6" s="437" customFormat="1" ht="27" thickBot="1" x14ac:dyDescent="0.3">
      <c r="A78" s="552">
        <v>167</v>
      </c>
      <c r="B78" s="551">
        <v>169</v>
      </c>
      <c r="C78" s="551">
        <v>3</v>
      </c>
      <c r="D78" s="532" t="s">
        <v>7</v>
      </c>
      <c r="E78" s="550" t="s">
        <v>54</v>
      </c>
      <c r="F78" s="656" t="s">
        <v>338</v>
      </c>
    </row>
    <row r="79" spans="1:6" s="437" customFormat="1" x14ac:dyDescent="0.25">
      <c r="A79" s="499">
        <v>170</v>
      </c>
      <c r="B79" s="499">
        <v>170</v>
      </c>
      <c r="C79" s="499">
        <v>1</v>
      </c>
      <c r="D79" s="593" t="s">
        <v>113</v>
      </c>
      <c r="E79" s="593" t="s">
        <v>59</v>
      </c>
      <c r="F79" s="496"/>
    </row>
    <row r="80" spans="1:6" s="437" customFormat="1" x14ac:dyDescent="0.25">
      <c r="A80" s="484"/>
      <c r="B80" s="484"/>
      <c r="C80" s="484"/>
      <c r="D80" s="575"/>
      <c r="E80" s="575"/>
      <c r="F80" s="480"/>
    </row>
    <row r="81" spans="1:6" s="437" customFormat="1" ht="13.8" thickBot="1" x14ac:dyDescent="0.3">
      <c r="A81" s="495"/>
      <c r="B81" s="495"/>
      <c r="C81" s="495"/>
      <c r="D81" s="493"/>
      <c r="E81" s="493"/>
      <c r="F81" s="492"/>
    </row>
    <row r="82" spans="1:6" s="437" customFormat="1" ht="13.8" thickBot="1" x14ac:dyDescent="0.3">
      <c r="A82" s="590">
        <v>171</v>
      </c>
      <c r="B82" s="589">
        <v>171</v>
      </c>
      <c r="C82" s="589">
        <v>1</v>
      </c>
      <c r="D82" s="588" t="s">
        <v>65</v>
      </c>
      <c r="E82" s="588"/>
      <c r="F82" s="537"/>
    </row>
    <row r="83" spans="1:6" s="437" customFormat="1" x14ac:dyDescent="0.25">
      <c r="A83" s="572">
        <v>172</v>
      </c>
      <c r="B83" s="584">
        <v>174</v>
      </c>
      <c r="C83" s="584">
        <v>3</v>
      </c>
      <c r="D83" s="595" t="s">
        <v>25</v>
      </c>
      <c r="E83" s="595" t="s">
        <v>334</v>
      </c>
      <c r="F83" s="659" t="s">
        <v>338</v>
      </c>
    </row>
    <row r="84" spans="1:6" s="437" customFormat="1" x14ac:dyDescent="0.25">
      <c r="A84" s="568"/>
      <c r="B84" s="568"/>
      <c r="C84" s="568"/>
      <c r="D84" s="567"/>
      <c r="E84" s="567"/>
      <c r="F84" s="566"/>
    </row>
    <row r="85" spans="1:6" s="437" customFormat="1" x14ac:dyDescent="0.25">
      <c r="A85" s="568"/>
      <c r="B85" s="568"/>
      <c r="C85" s="568"/>
      <c r="D85" s="567"/>
      <c r="E85" s="567"/>
      <c r="F85" s="570"/>
    </row>
    <row r="86" spans="1:6" s="437" customFormat="1" x14ac:dyDescent="0.25">
      <c r="A86" s="582"/>
      <c r="B86" s="582"/>
      <c r="C86" s="582"/>
      <c r="D86" s="538"/>
      <c r="E86" s="538"/>
      <c r="F86" s="566"/>
    </row>
    <row r="87" spans="1:6" s="437" customFormat="1" x14ac:dyDescent="0.25">
      <c r="A87" s="582"/>
      <c r="B87" s="582"/>
      <c r="C87" s="582"/>
      <c r="D87" s="538"/>
      <c r="E87" s="538"/>
      <c r="F87" s="570"/>
    </row>
    <row r="88" spans="1:6" s="437" customFormat="1" ht="13.8" thickBot="1" x14ac:dyDescent="0.3">
      <c r="A88" s="582"/>
      <c r="B88" s="582"/>
      <c r="C88" s="582"/>
      <c r="D88" s="538"/>
      <c r="E88" s="587"/>
      <c r="F88" s="586"/>
    </row>
    <row r="89" spans="1:6" s="437" customFormat="1" x14ac:dyDescent="0.25">
      <c r="A89" s="491">
        <v>175</v>
      </c>
      <c r="B89" s="490">
        <v>180</v>
      </c>
      <c r="C89" s="490">
        <v>6</v>
      </c>
      <c r="D89" s="576" t="s">
        <v>65</v>
      </c>
      <c r="E89" s="576"/>
      <c r="F89" s="553"/>
    </row>
    <row r="90" spans="1:6" s="437" customFormat="1" ht="13.8" thickBot="1" x14ac:dyDescent="0.3">
      <c r="A90" s="479">
        <v>181</v>
      </c>
      <c r="B90" s="478">
        <v>192</v>
      </c>
      <c r="C90" s="478">
        <v>12</v>
      </c>
      <c r="D90" s="476" t="s">
        <v>65</v>
      </c>
      <c r="E90" s="476"/>
      <c r="F90" s="585"/>
    </row>
    <row r="91" spans="1:6" s="437" customFormat="1" ht="26.4" x14ac:dyDescent="0.25">
      <c r="A91" s="584">
        <v>193</v>
      </c>
      <c r="B91" s="584">
        <v>194</v>
      </c>
      <c r="C91" s="584">
        <v>2</v>
      </c>
      <c r="D91" s="541" t="s">
        <v>114</v>
      </c>
      <c r="E91" s="541" t="s">
        <v>67</v>
      </c>
      <c r="F91" s="600" t="str">
        <f>OAA!F90</f>
        <v>11=Advanced</v>
      </c>
    </row>
    <row r="92" spans="1:6" s="437" customFormat="1" x14ac:dyDescent="0.25">
      <c r="A92" s="568"/>
      <c r="B92" s="568"/>
      <c r="C92" s="568"/>
      <c r="D92" s="567"/>
      <c r="E92" s="567"/>
      <c r="F92" s="599" t="str">
        <f>OAA!F91</f>
        <v>12=Accelerated</v>
      </c>
    </row>
    <row r="93" spans="1:6" s="437" customFormat="1" x14ac:dyDescent="0.25">
      <c r="A93" s="568"/>
      <c r="B93" s="568"/>
      <c r="C93" s="568"/>
      <c r="D93" s="567"/>
      <c r="E93" s="567"/>
      <c r="F93" s="599" t="str">
        <f>OAA!F92</f>
        <v>13=Proficient</v>
      </c>
    </row>
    <row r="94" spans="1:6" s="437" customFormat="1" x14ac:dyDescent="0.25">
      <c r="A94" s="568"/>
      <c r="B94" s="568"/>
      <c r="C94" s="568"/>
      <c r="D94" s="567"/>
      <c r="E94" s="567"/>
      <c r="F94" s="599" t="str">
        <f>OAA!F93</f>
        <v>14=Basic</v>
      </c>
    </row>
    <row r="95" spans="1:6" s="437" customFormat="1" x14ac:dyDescent="0.25">
      <c r="A95" s="568"/>
      <c r="B95" s="568"/>
      <c r="C95" s="568"/>
      <c r="D95" s="567"/>
      <c r="E95" s="567"/>
      <c r="F95" s="599" t="str">
        <f>OAA!F94</f>
        <v>15=Limited</v>
      </c>
    </row>
    <row r="96" spans="1:6" s="437" customFormat="1" x14ac:dyDescent="0.25">
      <c r="A96" s="568"/>
      <c r="B96" s="568"/>
      <c r="C96" s="568"/>
      <c r="D96" s="567"/>
      <c r="E96" s="567"/>
      <c r="F96" s="599" t="str">
        <f>OAA!F95</f>
        <v>99=invalidated</v>
      </c>
    </row>
    <row r="97" spans="1:6" s="437" customFormat="1" ht="13.8" thickBot="1" x14ac:dyDescent="0.3">
      <c r="A97" s="582"/>
      <c r="B97" s="582"/>
      <c r="C97" s="582"/>
      <c r="D97" s="538"/>
      <c r="E97" s="538"/>
      <c r="F97" s="581" t="str">
        <f>OAA!F96</f>
        <v>blank=DNA/TOG/DNS/Missing</v>
      </c>
    </row>
    <row r="98" spans="1:6" s="437" customFormat="1" x14ac:dyDescent="0.25">
      <c r="A98" s="491">
        <v>195</v>
      </c>
      <c r="B98" s="490">
        <v>197</v>
      </c>
      <c r="C98" s="490">
        <v>3</v>
      </c>
      <c r="D98" s="576" t="s">
        <v>115</v>
      </c>
      <c r="E98" s="554" t="s">
        <v>54</v>
      </c>
      <c r="F98" s="653" t="s">
        <v>104</v>
      </c>
    </row>
    <row r="99" spans="1:6" s="437" customFormat="1" x14ac:dyDescent="0.25">
      <c r="A99" s="485"/>
      <c r="B99" s="484"/>
      <c r="C99" s="484"/>
      <c r="D99" s="556"/>
      <c r="E99" s="556"/>
      <c r="F99" s="654" t="s">
        <v>32</v>
      </c>
    </row>
    <row r="100" spans="1:6" s="437" customFormat="1" x14ac:dyDescent="0.25">
      <c r="A100" s="485"/>
      <c r="B100" s="484"/>
      <c r="C100" s="484"/>
      <c r="D100" s="556"/>
      <c r="E100" s="556"/>
      <c r="F100" s="580"/>
    </row>
    <row r="101" spans="1:6" s="437" customFormat="1" x14ac:dyDescent="0.25">
      <c r="A101" s="555"/>
      <c r="B101" s="495"/>
      <c r="C101" s="495"/>
      <c r="D101" s="494"/>
      <c r="E101" s="494"/>
      <c r="F101" s="580"/>
    </row>
    <row r="102" spans="1:6" s="437" customFormat="1" ht="13.8" thickBot="1" x14ac:dyDescent="0.3">
      <c r="A102" s="479"/>
      <c r="B102" s="478"/>
      <c r="C102" s="478"/>
      <c r="D102" s="477"/>
      <c r="E102" s="477"/>
      <c r="F102" s="655" t="s">
        <v>221</v>
      </c>
    </row>
    <row r="103" spans="1:6" s="437" customFormat="1" ht="27" thickBot="1" x14ac:dyDescent="0.3">
      <c r="A103" s="527">
        <v>198</v>
      </c>
      <c r="B103" s="527">
        <v>200</v>
      </c>
      <c r="C103" s="527">
        <v>3</v>
      </c>
      <c r="D103" s="535" t="s">
        <v>295</v>
      </c>
      <c r="E103" s="550" t="s">
        <v>54</v>
      </c>
      <c r="F103" s="656" t="s">
        <v>338</v>
      </c>
    </row>
    <row r="104" spans="1:6" s="437" customFormat="1" x14ac:dyDescent="0.25">
      <c r="A104" s="572">
        <v>201</v>
      </c>
      <c r="B104" s="571">
        <v>201</v>
      </c>
      <c r="C104" s="571">
        <v>1</v>
      </c>
      <c r="D104" s="579" t="s">
        <v>108</v>
      </c>
      <c r="E104" s="579" t="s">
        <v>333</v>
      </c>
      <c r="F104" s="657" t="s">
        <v>338</v>
      </c>
    </row>
    <row r="105" spans="1:6" s="437" customFormat="1" x14ac:dyDescent="0.25">
      <c r="A105" s="569"/>
      <c r="B105" s="568"/>
      <c r="C105" s="568"/>
      <c r="D105" s="578"/>
      <c r="E105" s="578"/>
      <c r="F105" s="580"/>
    </row>
    <row r="106" spans="1:6" s="437" customFormat="1" ht="13.8" thickBot="1" x14ac:dyDescent="0.3">
      <c r="A106" s="565"/>
      <c r="B106" s="564"/>
      <c r="C106" s="564"/>
      <c r="D106" s="563"/>
      <c r="E106" s="587"/>
      <c r="F106" s="580"/>
    </row>
    <row r="107" spans="1:6" s="437" customFormat="1" ht="27" thickBot="1" x14ac:dyDescent="0.3">
      <c r="A107" s="527">
        <v>202</v>
      </c>
      <c r="B107" s="527">
        <v>204</v>
      </c>
      <c r="C107" s="527">
        <v>3</v>
      </c>
      <c r="D107" s="535" t="s">
        <v>296</v>
      </c>
      <c r="E107" s="550" t="s">
        <v>54</v>
      </c>
      <c r="F107" s="656" t="s">
        <v>338</v>
      </c>
    </row>
    <row r="108" spans="1:6" s="437" customFormat="1" x14ac:dyDescent="0.25">
      <c r="A108" s="572">
        <v>205</v>
      </c>
      <c r="B108" s="571">
        <v>205</v>
      </c>
      <c r="C108" s="571">
        <v>1</v>
      </c>
      <c r="D108" s="579" t="s">
        <v>110</v>
      </c>
      <c r="E108" s="595" t="s">
        <v>333</v>
      </c>
      <c r="F108" s="657" t="s">
        <v>338</v>
      </c>
    </row>
    <row r="109" spans="1:6" s="437" customFormat="1" x14ac:dyDescent="0.25">
      <c r="A109" s="569"/>
      <c r="B109" s="568"/>
      <c r="C109" s="568"/>
      <c r="D109" s="578"/>
      <c r="E109" s="578"/>
      <c r="F109" s="580"/>
    </row>
    <row r="110" spans="1:6" s="437" customFormat="1" ht="13.8" thickBot="1" x14ac:dyDescent="0.3">
      <c r="A110" s="565"/>
      <c r="B110" s="564"/>
      <c r="C110" s="564"/>
      <c r="D110" s="563"/>
      <c r="E110" s="563"/>
      <c r="F110" s="580"/>
    </row>
    <row r="111" spans="1:6" s="437" customFormat="1" ht="27" thickBot="1" x14ac:dyDescent="0.3">
      <c r="A111" s="527">
        <v>206</v>
      </c>
      <c r="B111" s="527">
        <v>208</v>
      </c>
      <c r="C111" s="527">
        <v>3</v>
      </c>
      <c r="D111" s="535" t="s">
        <v>299</v>
      </c>
      <c r="E111" s="606" t="s">
        <v>54</v>
      </c>
      <c r="F111" s="656" t="s">
        <v>338</v>
      </c>
    </row>
    <row r="112" spans="1:6" s="437" customFormat="1" x14ac:dyDescent="0.25">
      <c r="A112" s="572">
        <v>209</v>
      </c>
      <c r="B112" s="571">
        <v>209</v>
      </c>
      <c r="C112" s="571">
        <v>1</v>
      </c>
      <c r="D112" s="579" t="s">
        <v>112</v>
      </c>
      <c r="E112" s="579" t="s">
        <v>333</v>
      </c>
      <c r="F112" s="657" t="s">
        <v>338</v>
      </c>
    </row>
    <row r="113" spans="1:6" s="437" customFormat="1" x14ac:dyDescent="0.25">
      <c r="A113" s="569"/>
      <c r="B113" s="568"/>
      <c r="C113" s="568"/>
      <c r="D113" s="578"/>
      <c r="E113" s="578"/>
      <c r="F113" s="580"/>
    </row>
    <row r="114" spans="1:6" s="437" customFormat="1" ht="13.8" thickBot="1" x14ac:dyDescent="0.3">
      <c r="A114" s="565"/>
      <c r="B114" s="564"/>
      <c r="C114" s="564"/>
      <c r="D114" s="563"/>
      <c r="E114" s="563"/>
      <c r="F114" s="580"/>
    </row>
    <row r="115" spans="1:6" s="437" customFormat="1" ht="27" thickBot="1" x14ac:dyDescent="0.3">
      <c r="A115" s="527">
        <v>210</v>
      </c>
      <c r="B115" s="527">
        <v>212</v>
      </c>
      <c r="C115" s="527">
        <v>3</v>
      </c>
      <c r="D115" s="535" t="s">
        <v>7</v>
      </c>
      <c r="E115" s="550" t="s">
        <v>54</v>
      </c>
      <c r="F115" s="656" t="s">
        <v>338</v>
      </c>
    </row>
    <row r="116" spans="1:6" s="437" customFormat="1" x14ac:dyDescent="0.25">
      <c r="A116" s="491">
        <v>213</v>
      </c>
      <c r="B116" s="490">
        <v>213</v>
      </c>
      <c r="C116" s="490">
        <v>1</v>
      </c>
      <c r="D116" s="576" t="s">
        <v>113</v>
      </c>
      <c r="E116" s="576" t="s">
        <v>59</v>
      </c>
      <c r="F116" s="602"/>
    </row>
    <row r="117" spans="1:6" s="437" customFormat="1" x14ac:dyDescent="0.25">
      <c r="A117" s="485"/>
      <c r="B117" s="484"/>
      <c r="C117" s="484"/>
      <c r="D117" s="575"/>
      <c r="E117" s="575"/>
      <c r="F117" s="480"/>
    </row>
    <row r="118" spans="1:6" s="437" customFormat="1" ht="13.8" thickBot="1" x14ac:dyDescent="0.3">
      <c r="A118" s="479"/>
      <c r="B118" s="478"/>
      <c r="C118" s="478"/>
      <c r="D118" s="476"/>
      <c r="E118" s="476"/>
      <c r="F118" s="475"/>
    </row>
    <row r="119" spans="1:6" s="437" customFormat="1" ht="79.8" thickBot="1" x14ac:dyDescent="0.3">
      <c r="A119" s="559">
        <v>214</v>
      </c>
      <c r="B119" s="559">
        <v>216</v>
      </c>
      <c r="C119" s="559">
        <v>3</v>
      </c>
      <c r="D119" s="558" t="s">
        <v>119</v>
      </c>
      <c r="E119" s="574" t="s">
        <v>54</v>
      </c>
      <c r="F119" s="605"/>
    </row>
    <row r="120" spans="1:6" s="437" customFormat="1" x14ac:dyDescent="0.25">
      <c r="A120" s="491">
        <v>217</v>
      </c>
      <c r="B120" s="490">
        <v>217</v>
      </c>
      <c r="C120" s="490">
        <v>1</v>
      </c>
      <c r="D120" s="576" t="s">
        <v>120</v>
      </c>
      <c r="E120" s="576" t="s">
        <v>333</v>
      </c>
      <c r="F120" s="486"/>
    </row>
    <row r="121" spans="1:6" s="437" customFormat="1" x14ac:dyDescent="0.25">
      <c r="A121" s="485"/>
      <c r="B121" s="484"/>
      <c r="C121" s="484"/>
      <c r="D121" s="575"/>
      <c r="E121" s="575"/>
      <c r="F121" s="480"/>
    </row>
    <row r="122" spans="1:6" s="437" customFormat="1" ht="13.8" thickBot="1" x14ac:dyDescent="0.3">
      <c r="A122" s="479"/>
      <c r="B122" s="478"/>
      <c r="C122" s="478"/>
      <c r="D122" s="476"/>
      <c r="E122" s="476"/>
      <c r="F122" s="475"/>
    </row>
    <row r="123" spans="1:6" s="437" customFormat="1" ht="13.8" thickBot="1" x14ac:dyDescent="0.3">
      <c r="A123" s="559">
        <v>218</v>
      </c>
      <c r="B123" s="559">
        <v>218</v>
      </c>
      <c r="C123" s="559">
        <v>1</v>
      </c>
      <c r="D123" s="574" t="s">
        <v>65</v>
      </c>
      <c r="E123" s="574"/>
      <c r="F123" s="577"/>
    </row>
    <row r="124" spans="1:6" s="437" customFormat="1" ht="26.4" x14ac:dyDescent="0.25">
      <c r="A124" s="572">
        <v>219</v>
      </c>
      <c r="B124" s="571">
        <v>221</v>
      </c>
      <c r="C124" s="571">
        <v>3</v>
      </c>
      <c r="D124" s="547" t="s">
        <v>121</v>
      </c>
      <c r="E124" s="579" t="s">
        <v>334</v>
      </c>
      <c r="F124" s="653" t="s">
        <v>338</v>
      </c>
    </row>
    <row r="125" spans="1:6" s="437" customFormat="1" x14ac:dyDescent="0.25">
      <c r="A125" s="569"/>
      <c r="B125" s="568"/>
      <c r="C125" s="568"/>
      <c r="D125" s="567"/>
      <c r="E125" s="567"/>
      <c r="F125" s="566"/>
    </row>
    <row r="126" spans="1:6" s="437" customFormat="1" x14ac:dyDescent="0.25">
      <c r="A126" s="569"/>
      <c r="B126" s="568"/>
      <c r="C126" s="568"/>
      <c r="D126" s="567"/>
      <c r="E126" s="567"/>
      <c r="F126" s="570"/>
    </row>
    <row r="127" spans="1:6" s="437" customFormat="1" x14ac:dyDescent="0.25">
      <c r="A127" s="604"/>
      <c r="B127" s="582"/>
      <c r="C127" s="582"/>
      <c r="D127" s="538"/>
      <c r="E127" s="538"/>
      <c r="F127" s="566"/>
    </row>
    <row r="128" spans="1:6" s="437" customFormat="1" x14ac:dyDescent="0.25">
      <c r="A128" s="569"/>
      <c r="B128" s="568"/>
      <c r="C128" s="568"/>
      <c r="D128" s="567"/>
      <c r="E128" s="567"/>
      <c r="F128" s="566"/>
    </row>
    <row r="129" spans="1:6" s="437" customFormat="1" ht="13.8" thickBot="1" x14ac:dyDescent="0.3">
      <c r="A129" s="565"/>
      <c r="B129" s="564"/>
      <c r="C129" s="564"/>
      <c r="D129" s="544"/>
      <c r="E129" s="563"/>
      <c r="F129" s="603"/>
    </row>
    <row r="130" spans="1:6" s="437" customFormat="1" x14ac:dyDescent="0.25">
      <c r="A130" s="499">
        <v>222</v>
      </c>
      <c r="B130" s="499">
        <v>228</v>
      </c>
      <c r="C130" s="499">
        <v>7</v>
      </c>
      <c r="D130" s="593" t="s">
        <v>65</v>
      </c>
      <c r="E130" s="593"/>
      <c r="F130" s="592"/>
    </row>
    <row r="131" spans="1:6" s="437" customFormat="1" ht="13.8" thickBot="1" x14ac:dyDescent="0.3">
      <c r="A131" s="495">
        <v>229</v>
      </c>
      <c r="B131" s="495">
        <v>240</v>
      </c>
      <c r="C131" s="495">
        <v>12</v>
      </c>
      <c r="D131" s="493" t="s">
        <v>65</v>
      </c>
      <c r="E131" s="493"/>
      <c r="F131" s="591"/>
    </row>
    <row r="132" spans="1:6" s="437" customFormat="1" x14ac:dyDescent="0.25">
      <c r="A132" s="572">
        <v>241</v>
      </c>
      <c r="B132" s="571">
        <v>242</v>
      </c>
      <c r="C132" s="571">
        <v>2</v>
      </c>
      <c r="D132" s="547" t="s">
        <v>297</v>
      </c>
      <c r="E132" s="547" t="s">
        <v>67</v>
      </c>
      <c r="F132" s="600" t="str">
        <f>OAA!F131</f>
        <v>11=Advanced</v>
      </c>
    </row>
    <row r="133" spans="1:6" s="437" customFormat="1" x14ac:dyDescent="0.25">
      <c r="A133" s="569"/>
      <c r="B133" s="568"/>
      <c r="C133" s="568"/>
      <c r="D133" s="567"/>
      <c r="E133" s="567"/>
      <c r="F133" s="599" t="str">
        <f>OAA!F132</f>
        <v>12=Accelerated</v>
      </c>
    </row>
    <row r="134" spans="1:6" s="437" customFormat="1" x14ac:dyDescent="0.25">
      <c r="A134" s="569"/>
      <c r="B134" s="568"/>
      <c r="C134" s="568"/>
      <c r="D134" s="567"/>
      <c r="E134" s="567"/>
      <c r="F134" s="599" t="str">
        <f>OAA!F133</f>
        <v>13=Proficient</v>
      </c>
    </row>
    <row r="135" spans="1:6" s="437" customFormat="1" x14ac:dyDescent="0.25">
      <c r="A135" s="569"/>
      <c r="B135" s="568"/>
      <c r="C135" s="568"/>
      <c r="D135" s="567"/>
      <c r="E135" s="567"/>
      <c r="F135" s="599" t="str">
        <f>OAA!F134</f>
        <v>14=Basic</v>
      </c>
    </row>
    <row r="136" spans="1:6" s="437" customFormat="1" x14ac:dyDescent="0.25">
      <c r="A136" s="569"/>
      <c r="B136" s="568"/>
      <c r="C136" s="568"/>
      <c r="D136" s="567"/>
      <c r="E136" s="567"/>
      <c r="F136" s="599" t="str">
        <f>OAA!F135</f>
        <v>15=Limited</v>
      </c>
    </row>
    <row r="137" spans="1:6" s="437" customFormat="1" x14ac:dyDescent="0.25">
      <c r="A137" s="569"/>
      <c r="B137" s="568"/>
      <c r="C137" s="568"/>
      <c r="D137" s="567"/>
      <c r="E137" s="567"/>
      <c r="F137" s="599" t="str">
        <f>OAA!F136</f>
        <v>99=invalidated</v>
      </c>
    </row>
    <row r="138" spans="1:6" s="437" customFormat="1" ht="13.8" thickBot="1" x14ac:dyDescent="0.3">
      <c r="A138" s="565"/>
      <c r="B138" s="564"/>
      <c r="C138" s="564"/>
      <c r="D138" s="544"/>
      <c r="E138" s="544"/>
      <c r="F138" s="581" t="str">
        <f>OAA!F137</f>
        <v>blank=DNA/TOG/DNS/Missing</v>
      </c>
    </row>
    <row r="139" spans="1:6" s="437" customFormat="1" x14ac:dyDescent="0.25">
      <c r="A139" s="499">
        <v>243</v>
      </c>
      <c r="B139" s="499">
        <v>245</v>
      </c>
      <c r="C139" s="499">
        <v>3</v>
      </c>
      <c r="D139" s="561" t="s">
        <v>298</v>
      </c>
      <c r="E139" s="561" t="s">
        <v>54</v>
      </c>
      <c r="F139" s="653" t="s">
        <v>104</v>
      </c>
    </row>
    <row r="140" spans="1:6" s="437" customFormat="1" x14ac:dyDescent="0.25">
      <c r="A140" s="484"/>
      <c r="B140" s="484"/>
      <c r="C140" s="484"/>
      <c r="D140" s="556"/>
      <c r="E140" s="556"/>
      <c r="F140" s="654" t="s">
        <v>32</v>
      </c>
    </row>
    <row r="141" spans="1:6" s="437" customFormat="1" x14ac:dyDescent="0.25">
      <c r="A141" s="484"/>
      <c r="B141" s="484"/>
      <c r="C141" s="484"/>
      <c r="D141" s="556"/>
      <c r="E141" s="556"/>
      <c r="F141" s="580"/>
    </row>
    <row r="142" spans="1:6" s="437" customFormat="1" x14ac:dyDescent="0.25">
      <c r="A142" s="495"/>
      <c r="B142" s="495"/>
      <c r="C142" s="495"/>
      <c r="D142" s="494"/>
      <c r="E142" s="494"/>
      <c r="F142" s="580"/>
    </row>
    <row r="143" spans="1:6" s="437" customFormat="1" ht="13.8" thickBot="1" x14ac:dyDescent="0.3">
      <c r="A143" s="495"/>
      <c r="B143" s="495"/>
      <c r="C143" s="495"/>
      <c r="D143" s="494"/>
      <c r="E143" s="494"/>
      <c r="F143" s="660" t="s">
        <v>221</v>
      </c>
    </row>
    <row r="144" spans="1:6" s="437" customFormat="1" ht="27" thickBot="1" x14ac:dyDescent="0.3">
      <c r="A144" s="552">
        <v>246</v>
      </c>
      <c r="B144" s="551">
        <v>248</v>
      </c>
      <c r="C144" s="551">
        <v>3</v>
      </c>
      <c r="D144" s="532" t="s">
        <v>314</v>
      </c>
      <c r="E144" s="550" t="s">
        <v>54</v>
      </c>
      <c r="F144" s="661" t="s">
        <v>338</v>
      </c>
    </row>
    <row r="145" spans="1:6" s="437" customFormat="1" x14ac:dyDescent="0.25">
      <c r="A145" s="584">
        <v>249</v>
      </c>
      <c r="B145" s="584">
        <v>249</v>
      </c>
      <c r="C145" s="584">
        <v>1</v>
      </c>
      <c r="D145" s="595" t="s">
        <v>108</v>
      </c>
      <c r="E145" s="595" t="s">
        <v>333</v>
      </c>
      <c r="F145" s="657" t="s">
        <v>338</v>
      </c>
    </row>
    <row r="146" spans="1:6" s="437" customFormat="1" x14ac:dyDescent="0.25">
      <c r="A146" s="568"/>
      <c r="B146" s="568"/>
      <c r="C146" s="568"/>
      <c r="D146" s="578"/>
      <c r="E146" s="578"/>
      <c r="F146" s="580"/>
    </row>
    <row r="147" spans="1:6" s="437" customFormat="1" ht="13.8" thickBot="1" x14ac:dyDescent="0.3">
      <c r="A147" s="582"/>
      <c r="B147" s="582"/>
      <c r="C147" s="582"/>
      <c r="D147" s="587"/>
      <c r="E147" s="587"/>
      <c r="F147" s="662"/>
    </row>
    <row r="148" spans="1:6" s="437" customFormat="1" ht="27" thickBot="1" x14ac:dyDescent="0.3">
      <c r="A148" s="552">
        <v>250</v>
      </c>
      <c r="B148" s="551">
        <v>252</v>
      </c>
      <c r="C148" s="551">
        <v>3</v>
      </c>
      <c r="D148" s="532" t="s">
        <v>0</v>
      </c>
      <c r="E148" s="550" t="s">
        <v>54</v>
      </c>
      <c r="F148" s="656" t="s">
        <v>338</v>
      </c>
    </row>
    <row r="149" spans="1:6" s="437" customFormat="1" x14ac:dyDescent="0.25">
      <c r="A149" s="584">
        <v>253</v>
      </c>
      <c r="B149" s="584">
        <v>253</v>
      </c>
      <c r="C149" s="584">
        <v>1</v>
      </c>
      <c r="D149" s="595" t="s">
        <v>110</v>
      </c>
      <c r="E149" s="595" t="s">
        <v>333</v>
      </c>
      <c r="F149" s="657" t="s">
        <v>338</v>
      </c>
    </row>
    <row r="150" spans="1:6" s="437" customFormat="1" x14ac:dyDescent="0.25">
      <c r="A150" s="568"/>
      <c r="B150" s="568"/>
      <c r="C150" s="568"/>
      <c r="D150" s="578"/>
      <c r="E150" s="578"/>
      <c r="F150" s="580"/>
    </row>
    <row r="151" spans="1:6" s="437" customFormat="1" ht="13.8" thickBot="1" x14ac:dyDescent="0.3">
      <c r="A151" s="582"/>
      <c r="B151" s="582"/>
      <c r="C151" s="582"/>
      <c r="D151" s="587"/>
      <c r="E151" s="587"/>
      <c r="F151" s="662"/>
    </row>
    <row r="152" spans="1:6" s="437" customFormat="1" ht="27" thickBot="1" x14ac:dyDescent="0.3">
      <c r="A152" s="552">
        <v>254</v>
      </c>
      <c r="B152" s="551">
        <v>256</v>
      </c>
      <c r="C152" s="551">
        <v>3</v>
      </c>
      <c r="D152" s="532" t="s">
        <v>315</v>
      </c>
      <c r="E152" s="550" t="s">
        <v>54</v>
      </c>
      <c r="F152" s="656" t="s">
        <v>338</v>
      </c>
    </row>
    <row r="153" spans="1:6" s="437" customFormat="1" x14ac:dyDescent="0.25">
      <c r="A153" s="584">
        <v>257</v>
      </c>
      <c r="B153" s="584">
        <v>257</v>
      </c>
      <c r="C153" s="584">
        <v>1</v>
      </c>
      <c r="D153" s="595" t="s">
        <v>112</v>
      </c>
      <c r="E153" s="595" t="s">
        <v>333</v>
      </c>
      <c r="F153" s="657" t="s">
        <v>338</v>
      </c>
    </row>
    <row r="154" spans="1:6" s="437" customFormat="1" x14ac:dyDescent="0.25">
      <c r="A154" s="568"/>
      <c r="B154" s="568"/>
      <c r="C154" s="568"/>
      <c r="D154" s="578"/>
      <c r="E154" s="578"/>
      <c r="F154" s="580"/>
    </row>
    <row r="155" spans="1:6" s="437" customFormat="1" ht="13.8" thickBot="1" x14ac:dyDescent="0.3">
      <c r="A155" s="582"/>
      <c r="B155" s="582"/>
      <c r="C155" s="582"/>
      <c r="D155" s="587"/>
      <c r="E155" s="587"/>
      <c r="F155" s="662"/>
    </row>
    <row r="156" spans="1:6" s="437" customFormat="1" ht="27" thickBot="1" x14ac:dyDescent="0.3">
      <c r="A156" s="552">
        <v>258</v>
      </c>
      <c r="B156" s="551">
        <v>260</v>
      </c>
      <c r="C156" s="551">
        <v>3</v>
      </c>
      <c r="D156" s="532" t="s">
        <v>1</v>
      </c>
      <c r="E156" s="550" t="s">
        <v>54</v>
      </c>
      <c r="F156" s="656" t="s">
        <v>338</v>
      </c>
    </row>
    <row r="157" spans="1:6" s="437" customFormat="1" x14ac:dyDescent="0.25">
      <c r="A157" s="499">
        <v>261</v>
      </c>
      <c r="B157" s="499">
        <v>261</v>
      </c>
      <c r="C157" s="499">
        <v>1</v>
      </c>
      <c r="D157" s="593" t="s">
        <v>113</v>
      </c>
      <c r="E157" s="593" t="s">
        <v>333</v>
      </c>
      <c r="F157" s="602"/>
    </row>
    <row r="158" spans="1:6" s="437" customFormat="1" x14ac:dyDescent="0.25">
      <c r="A158" s="484"/>
      <c r="B158" s="484"/>
      <c r="C158" s="484"/>
      <c r="D158" s="575"/>
      <c r="E158" s="575"/>
      <c r="F158" s="480"/>
    </row>
    <row r="159" spans="1:6" s="437" customFormat="1" ht="13.8" thickBot="1" x14ac:dyDescent="0.3">
      <c r="A159" s="484"/>
      <c r="B159" s="484"/>
      <c r="C159" s="484"/>
      <c r="D159" s="575"/>
      <c r="E159" s="575"/>
      <c r="F159" s="475"/>
    </row>
    <row r="160" spans="1:6" s="437" customFormat="1" ht="106.2" thickBot="1" x14ac:dyDescent="0.3">
      <c r="A160" s="590">
        <v>262</v>
      </c>
      <c r="B160" s="589">
        <v>264</v>
      </c>
      <c r="C160" s="589">
        <v>3</v>
      </c>
      <c r="D160" s="528" t="s">
        <v>311</v>
      </c>
      <c r="E160" s="588"/>
      <c r="F160" s="537"/>
    </row>
    <row r="161" spans="1:6" s="437" customFormat="1" x14ac:dyDescent="0.25">
      <c r="A161" s="499">
        <v>265</v>
      </c>
      <c r="B161" s="499">
        <v>265</v>
      </c>
      <c r="C161" s="499">
        <v>1</v>
      </c>
      <c r="D161" s="593" t="s">
        <v>120</v>
      </c>
      <c r="E161" s="576" t="s">
        <v>333</v>
      </c>
      <c r="F161" s="592"/>
    </row>
    <row r="162" spans="1:6" s="437" customFormat="1" x14ac:dyDescent="0.25">
      <c r="A162" s="484"/>
      <c r="B162" s="484"/>
      <c r="C162" s="484"/>
      <c r="D162" s="575"/>
      <c r="E162" s="593"/>
      <c r="F162" s="560"/>
    </row>
    <row r="163" spans="1:6" s="437" customFormat="1" ht="13.8" thickBot="1" x14ac:dyDescent="0.3">
      <c r="A163" s="484"/>
      <c r="B163" s="484"/>
      <c r="C163" s="484"/>
      <c r="D163" s="575"/>
      <c r="E163" s="575"/>
      <c r="F163" s="560"/>
    </row>
    <row r="164" spans="1:6" s="437" customFormat="1" ht="13.8" thickBot="1" x14ac:dyDescent="0.3">
      <c r="A164" s="590">
        <v>266</v>
      </c>
      <c r="B164" s="589">
        <v>266</v>
      </c>
      <c r="C164" s="589">
        <v>1</v>
      </c>
      <c r="D164" s="588" t="s">
        <v>65</v>
      </c>
      <c r="E164" s="588"/>
      <c r="F164" s="537"/>
    </row>
    <row r="165" spans="1:6" s="437" customFormat="1" x14ac:dyDescent="0.25">
      <c r="A165" s="601">
        <v>267</v>
      </c>
      <c r="B165" s="584">
        <v>269</v>
      </c>
      <c r="C165" s="584">
        <v>3</v>
      </c>
      <c r="D165" s="541" t="s">
        <v>3</v>
      </c>
      <c r="E165" s="595" t="s">
        <v>334</v>
      </c>
      <c r="F165" s="659" t="s">
        <v>338</v>
      </c>
    </row>
    <row r="166" spans="1:6" s="437" customFormat="1" x14ac:dyDescent="0.25">
      <c r="A166" s="568"/>
      <c r="B166" s="568"/>
      <c r="C166" s="568"/>
      <c r="D166" s="567"/>
      <c r="E166" s="567"/>
      <c r="F166" s="566"/>
    </row>
    <row r="167" spans="1:6" s="437" customFormat="1" x14ac:dyDescent="0.25">
      <c r="A167" s="568"/>
      <c r="B167" s="568"/>
      <c r="C167" s="568"/>
      <c r="D167" s="567"/>
      <c r="E167" s="567"/>
      <c r="F167" s="570"/>
    </row>
    <row r="168" spans="1:6" s="437" customFormat="1" x14ac:dyDescent="0.25">
      <c r="A168" s="582"/>
      <c r="B168" s="582"/>
      <c r="C168" s="582"/>
      <c r="D168" s="538"/>
      <c r="E168" s="538"/>
      <c r="F168" s="566"/>
    </row>
    <row r="169" spans="1:6" s="437" customFormat="1" x14ac:dyDescent="0.25">
      <c r="A169" s="582"/>
      <c r="B169" s="582"/>
      <c r="C169" s="582"/>
      <c r="D169" s="538"/>
      <c r="E169" s="538"/>
      <c r="F169" s="566"/>
    </row>
    <row r="170" spans="1:6" s="437" customFormat="1" ht="13.8" thickBot="1" x14ac:dyDescent="0.3">
      <c r="A170" s="565"/>
      <c r="B170" s="564"/>
      <c r="C170" s="564"/>
      <c r="D170" s="544"/>
      <c r="E170" s="563"/>
      <c r="F170" s="562"/>
    </row>
    <row r="171" spans="1:6" s="437" customFormat="1" x14ac:dyDescent="0.25">
      <c r="A171" s="499">
        <v>270</v>
      </c>
      <c r="B171" s="499">
        <v>276</v>
      </c>
      <c r="C171" s="499">
        <v>7</v>
      </c>
      <c r="D171" s="593" t="s">
        <v>65</v>
      </c>
      <c r="E171" s="593"/>
      <c r="F171" s="592"/>
    </row>
    <row r="172" spans="1:6" s="437" customFormat="1" ht="13.8" thickBot="1" x14ac:dyDescent="0.3">
      <c r="A172" s="495">
        <v>277</v>
      </c>
      <c r="B172" s="495">
        <v>288</v>
      </c>
      <c r="C172" s="495">
        <v>12</v>
      </c>
      <c r="D172" s="493" t="s">
        <v>65</v>
      </c>
      <c r="E172" s="493"/>
      <c r="F172" s="591"/>
    </row>
    <row r="173" spans="1:6" s="437" customFormat="1" ht="26.4" x14ac:dyDescent="0.25">
      <c r="A173" s="572">
        <v>289</v>
      </c>
      <c r="B173" s="571">
        <v>290</v>
      </c>
      <c r="C173" s="571">
        <v>2</v>
      </c>
      <c r="D173" s="547" t="s">
        <v>2</v>
      </c>
      <c r="E173" s="547" t="s">
        <v>67</v>
      </c>
      <c r="F173" s="600" t="str">
        <f>OAA!F172</f>
        <v>11=Advanced</v>
      </c>
    </row>
    <row r="174" spans="1:6" s="437" customFormat="1" x14ac:dyDescent="0.25">
      <c r="A174" s="569"/>
      <c r="B174" s="568"/>
      <c r="C174" s="568"/>
      <c r="D174" s="567"/>
      <c r="E174" s="567"/>
      <c r="F174" s="599" t="str">
        <f>OAA!F173</f>
        <v>12=Accelerated</v>
      </c>
    </row>
    <row r="175" spans="1:6" s="437" customFormat="1" x14ac:dyDescent="0.25">
      <c r="A175" s="569"/>
      <c r="B175" s="568"/>
      <c r="C175" s="568"/>
      <c r="D175" s="567"/>
      <c r="E175" s="567"/>
      <c r="F175" s="599" t="str">
        <f>OAA!F174</f>
        <v>13=Proficient</v>
      </c>
    </row>
    <row r="176" spans="1:6" s="437" customFormat="1" x14ac:dyDescent="0.25">
      <c r="A176" s="569"/>
      <c r="B176" s="568"/>
      <c r="C176" s="568"/>
      <c r="D176" s="567"/>
      <c r="E176" s="567"/>
      <c r="F176" s="599" t="str">
        <f>OAA!F175</f>
        <v>14=Basic</v>
      </c>
    </row>
    <row r="177" spans="1:6" s="437" customFormat="1" x14ac:dyDescent="0.25">
      <c r="A177" s="569"/>
      <c r="B177" s="568"/>
      <c r="C177" s="568"/>
      <c r="D177" s="567"/>
      <c r="E177" s="567"/>
      <c r="F177" s="599" t="str">
        <f>OAA!F176</f>
        <v>15=Limited</v>
      </c>
    </row>
    <row r="178" spans="1:6" s="437" customFormat="1" x14ac:dyDescent="0.25">
      <c r="A178" s="568"/>
      <c r="B178" s="568"/>
      <c r="C178" s="568"/>
      <c r="D178" s="567"/>
      <c r="E178" s="567"/>
      <c r="F178" s="599" t="str">
        <f>OAA!F177</f>
        <v>99=invalidated</v>
      </c>
    </row>
    <row r="179" spans="1:6" s="437" customFormat="1" ht="13.8" thickBot="1" x14ac:dyDescent="0.3">
      <c r="A179" s="598"/>
      <c r="B179" s="597"/>
      <c r="C179" s="597"/>
      <c r="D179" s="596"/>
      <c r="E179" s="596"/>
      <c r="F179" s="581" t="str">
        <f>OAA!F178</f>
        <v>blank=DNA/TOG/DNS/Missing</v>
      </c>
    </row>
    <row r="180" spans="1:6" s="437" customFormat="1" ht="54.75" customHeight="1" x14ac:dyDescent="0.25">
      <c r="A180" s="499">
        <v>291</v>
      </c>
      <c r="B180" s="499">
        <v>293</v>
      </c>
      <c r="C180" s="499">
        <v>3</v>
      </c>
      <c r="D180" s="561" t="s">
        <v>4</v>
      </c>
      <c r="E180" s="561" t="s">
        <v>54</v>
      </c>
      <c r="F180" s="653" t="s">
        <v>104</v>
      </c>
    </row>
    <row r="181" spans="1:6" s="437" customFormat="1" x14ac:dyDescent="0.25">
      <c r="A181" s="484"/>
      <c r="B181" s="484"/>
      <c r="C181" s="484"/>
      <c r="D181" s="556"/>
      <c r="E181" s="556"/>
      <c r="F181" s="654" t="s">
        <v>32</v>
      </c>
    </row>
    <row r="182" spans="1:6" s="437" customFormat="1" x14ac:dyDescent="0.25">
      <c r="A182" s="484"/>
      <c r="B182" s="484"/>
      <c r="C182" s="484"/>
      <c r="D182" s="556"/>
      <c r="E182" s="556"/>
      <c r="F182" s="580"/>
    </row>
    <row r="183" spans="1:6" s="437" customFormat="1" x14ac:dyDescent="0.25">
      <c r="A183" s="484"/>
      <c r="B183" s="484"/>
      <c r="C183" s="484"/>
      <c r="D183" s="556"/>
      <c r="E183" s="556"/>
      <c r="F183" s="580"/>
    </row>
    <row r="184" spans="1:6" s="437" customFormat="1" ht="13.8" thickBot="1" x14ac:dyDescent="0.3">
      <c r="A184" s="495"/>
      <c r="B184" s="495"/>
      <c r="C184" s="495"/>
      <c r="D184" s="494"/>
      <c r="E184" s="494"/>
      <c r="F184" s="655" t="s">
        <v>221</v>
      </c>
    </row>
    <row r="185" spans="1:6" s="437" customFormat="1" ht="40.200000000000003" thickBot="1" x14ac:dyDescent="0.3">
      <c r="A185" s="552">
        <v>294</v>
      </c>
      <c r="B185" s="551">
        <v>296</v>
      </c>
      <c r="C185" s="551">
        <v>3</v>
      </c>
      <c r="D185" s="532" t="s">
        <v>316</v>
      </c>
      <c r="E185" s="550" t="s">
        <v>54</v>
      </c>
      <c r="F185" s="656" t="s">
        <v>338</v>
      </c>
    </row>
    <row r="186" spans="1:6" s="437" customFormat="1" x14ac:dyDescent="0.25">
      <c r="A186" s="584">
        <v>297</v>
      </c>
      <c r="B186" s="584">
        <v>297</v>
      </c>
      <c r="C186" s="584">
        <v>1</v>
      </c>
      <c r="D186" s="595" t="s">
        <v>108</v>
      </c>
      <c r="E186" s="595" t="s">
        <v>333</v>
      </c>
      <c r="F186" s="657" t="s">
        <v>338</v>
      </c>
    </row>
    <row r="187" spans="1:6" s="437" customFormat="1" x14ac:dyDescent="0.25">
      <c r="A187" s="568"/>
      <c r="B187" s="568"/>
      <c r="C187" s="568"/>
      <c r="D187" s="578"/>
      <c r="E187" s="578"/>
      <c r="F187" s="580"/>
    </row>
    <row r="188" spans="1:6" s="437" customFormat="1" ht="13.8" thickBot="1" x14ac:dyDescent="0.3">
      <c r="A188" s="582"/>
      <c r="B188" s="582"/>
      <c r="C188" s="582"/>
      <c r="D188" s="587"/>
      <c r="E188" s="587"/>
      <c r="F188" s="662"/>
    </row>
    <row r="189" spans="1:6" s="437" customFormat="1" ht="40.200000000000003" thickBot="1" x14ac:dyDescent="0.3">
      <c r="A189" s="552">
        <v>298</v>
      </c>
      <c r="B189" s="551">
        <v>300</v>
      </c>
      <c r="C189" s="551">
        <v>3</v>
      </c>
      <c r="D189" s="532" t="s">
        <v>317</v>
      </c>
      <c r="E189" s="550" t="s">
        <v>54</v>
      </c>
      <c r="F189" s="656" t="s">
        <v>338</v>
      </c>
    </row>
    <row r="190" spans="1:6" s="437" customFormat="1" x14ac:dyDescent="0.25">
      <c r="A190" s="584">
        <v>301</v>
      </c>
      <c r="B190" s="584">
        <v>301</v>
      </c>
      <c r="C190" s="584">
        <v>1</v>
      </c>
      <c r="D190" s="595" t="s">
        <v>110</v>
      </c>
      <c r="E190" s="595" t="s">
        <v>333</v>
      </c>
      <c r="F190" s="657" t="s">
        <v>338</v>
      </c>
    </row>
    <row r="191" spans="1:6" s="437" customFormat="1" x14ac:dyDescent="0.25">
      <c r="A191" s="568"/>
      <c r="B191" s="568"/>
      <c r="C191" s="568"/>
      <c r="D191" s="578"/>
      <c r="E191" s="578"/>
      <c r="F191" s="580"/>
    </row>
    <row r="192" spans="1:6" s="437" customFormat="1" ht="13.8" thickBot="1" x14ac:dyDescent="0.3">
      <c r="A192" s="582"/>
      <c r="B192" s="582"/>
      <c r="C192" s="582"/>
      <c r="D192" s="587"/>
      <c r="E192" s="587"/>
      <c r="F192" s="662"/>
    </row>
    <row r="193" spans="1:6" s="437" customFormat="1" ht="40.200000000000003" thickBot="1" x14ac:dyDescent="0.3">
      <c r="A193" s="552">
        <v>302</v>
      </c>
      <c r="B193" s="551">
        <v>304</v>
      </c>
      <c r="C193" s="551">
        <v>3</v>
      </c>
      <c r="D193" s="532" t="s">
        <v>300</v>
      </c>
      <c r="E193" s="550" t="s">
        <v>54</v>
      </c>
      <c r="F193" s="656" t="s">
        <v>338</v>
      </c>
    </row>
    <row r="194" spans="1:6" s="437" customFormat="1" x14ac:dyDescent="0.25">
      <c r="A194" s="584">
        <v>305</v>
      </c>
      <c r="B194" s="584">
        <v>305</v>
      </c>
      <c r="C194" s="584">
        <v>1</v>
      </c>
      <c r="D194" s="595" t="s">
        <v>112</v>
      </c>
      <c r="E194" s="595" t="s">
        <v>333</v>
      </c>
      <c r="F194" s="657" t="s">
        <v>338</v>
      </c>
    </row>
    <row r="195" spans="1:6" s="437" customFormat="1" x14ac:dyDescent="0.25">
      <c r="A195" s="568"/>
      <c r="B195" s="568"/>
      <c r="C195" s="568"/>
      <c r="D195" s="578"/>
      <c r="E195" s="578"/>
      <c r="F195" s="580"/>
    </row>
    <row r="196" spans="1:6" s="437" customFormat="1" ht="13.8" thickBot="1" x14ac:dyDescent="0.3">
      <c r="A196" s="582"/>
      <c r="B196" s="582"/>
      <c r="C196" s="582"/>
      <c r="D196" s="587"/>
      <c r="E196" s="587"/>
      <c r="F196" s="662"/>
    </row>
    <row r="197" spans="1:6" s="437" customFormat="1" ht="27" thickBot="1" x14ac:dyDescent="0.3">
      <c r="A197" s="552">
        <v>306</v>
      </c>
      <c r="B197" s="551">
        <v>308</v>
      </c>
      <c r="C197" s="551">
        <v>3</v>
      </c>
      <c r="D197" s="532" t="s">
        <v>7</v>
      </c>
      <c r="E197" s="550" t="s">
        <v>54</v>
      </c>
      <c r="F197" s="656" t="s">
        <v>338</v>
      </c>
    </row>
    <row r="198" spans="1:6" s="437" customFormat="1" x14ac:dyDescent="0.25">
      <c r="A198" s="499">
        <v>309</v>
      </c>
      <c r="B198" s="499">
        <v>309</v>
      </c>
      <c r="C198" s="499">
        <v>1</v>
      </c>
      <c r="D198" s="593" t="s">
        <v>113</v>
      </c>
      <c r="E198" s="593" t="s">
        <v>333</v>
      </c>
      <c r="F198" s="496"/>
    </row>
    <row r="199" spans="1:6" s="437" customFormat="1" x14ac:dyDescent="0.25">
      <c r="A199" s="484"/>
      <c r="B199" s="484"/>
      <c r="C199" s="484"/>
      <c r="D199" s="575"/>
      <c r="E199" s="575"/>
      <c r="F199" s="480"/>
    </row>
    <row r="200" spans="1:6" s="437" customFormat="1" ht="13.8" thickBot="1" x14ac:dyDescent="0.3">
      <c r="A200" s="495"/>
      <c r="B200" s="495"/>
      <c r="C200" s="495"/>
      <c r="D200" s="493"/>
      <c r="E200" s="493"/>
      <c r="F200" s="492"/>
    </row>
    <row r="201" spans="1:6" s="437" customFormat="1" ht="79.8" thickBot="1" x14ac:dyDescent="0.3">
      <c r="A201" s="590">
        <v>310</v>
      </c>
      <c r="B201" s="589">
        <v>312</v>
      </c>
      <c r="C201" s="589">
        <v>3</v>
      </c>
      <c r="D201" s="528" t="s">
        <v>135</v>
      </c>
      <c r="E201" s="588" t="s">
        <v>335</v>
      </c>
      <c r="F201" s="594"/>
    </row>
    <row r="202" spans="1:6" s="437" customFormat="1" x14ac:dyDescent="0.25">
      <c r="A202" s="499">
        <v>313</v>
      </c>
      <c r="B202" s="499">
        <v>313</v>
      </c>
      <c r="C202" s="499">
        <v>1</v>
      </c>
      <c r="D202" s="593" t="s">
        <v>120</v>
      </c>
      <c r="E202" s="593" t="s">
        <v>333</v>
      </c>
      <c r="F202" s="592"/>
    </row>
    <row r="203" spans="1:6" s="437" customFormat="1" x14ac:dyDescent="0.25">
      <c r="A203" s="484"/>
      <c r="B203" s="484"/>
      <c r="C203" s="484"/>
      <c r="D203" s="575"/>
      <c r="E203" s="575"/>
      <c r="F203" s="560"/>
    </row>
    <row r="204" spans="1:6" s="437" customFormat="1" ht="13.8" thickBot="1" x14ac:dyDescent="0.3">
      <c r="A204" s="495"/>
      <c r="B204" s="495"/>
      <c r="C204" s="495"/>
      <c r="D204" s="493"/>
      <c r="E204" s="493"/>
      <c r="F204" s="591"/>
    </row>
    <row r="205" spans="1:6" s="437" customFormat="1" ht="13.8" thickBot="1" x14ac:dyDescent="0.3">
      <c r="A205" s="590">
        <v>314</v>
      </c>
      <c r="B205" s="589">
        <v>314</v>
      </c>
      <c r="C205" s="589">
        <v>1</v>
      </c>
      <c r="D205" s="588" t="s">
        <v>65</v>
      </c>
      <c r="E205" s="588"/>
      <c r="F205" s="537"/>
    </row>
    <row r="206" spans="1:6" s="437" customFormat="1" ht="26.4" x14ac:dyDescent="0.25">
      <c r="A206" s="584">
        <v>315</v>
      </c>
      <c r="B206" s="584">
        <v>317</v>
      </c>
      <c r="C206" s="584">
        <v>3</v>
      </c>
      <c r="D206" s="541" t="s">
        <v>301</v>
      </c>
      <c r="E206" s="541" t="s">
        <v>334</v>
      </c>
      <c r="F206" s="659" t="s">
        <v>338</v>
      </c>
    </row>
    <row r="207" spans="1:6" s="437" customFormat="1" x14ac:dyDescent="0.25">
      <c r="A207" s="568"/>
      <c r="B207" s="568"/>
      <c r="C207" s="568"/>
      <c r="D207" s="567"/>
      <c r="E207" s="567"/>
      <c r="F207" s="566"/>
    </row>
    <row r="208" spans="1:6" s="437" customFormat="1" x14ac:dyDescent="0.25">
      <c r="A208" s="568"/>
      <c r="B208" s="568"/>
      <c r="C208" s="568"/>
      <c r="D208" s="567"/>
      <c r="E208" s="567"/>
      <c r="F208" s="570"/>
    </row>
    <row r="209" spans="1:6" s="437" customFormat="1" x14ac:dyDescent="0.25">
      <c r="A209" s="568"/>
      <c r="B209" s="568"/>
      <c r="C209" s="568"/>
      <c r="D209" s="567"/>
      <c r="E209" s="567"/>
      <c r="F209" s="566"/>
    </row>
    <row r="210" spans="1:6" s="437" customFormat="1" x14ac:dyDescent="0.25">
      <c r="A210" s="582"/>
      <c r="B210" s="582"/>
      <c r="C210" s="582"/>
      <c r="D210" s="538"/>
      <c r="E210" s="538"/>
      <c r="F210" s="566"/>
    </row>
    <row r="211" spans="1:6" s="437" customFormat="1" ht="13.8" thickBot="1" x14ac:dyDescent="0.3">
      <c r="A211" s="582"/>
      <c r="B211" s="582"/>
      <c r="C211" s="582"/>
      <c r="D211" s="538"/>
      <c r="E211" s="587"/>
      <c r="F211" s="586"/>
    </row>
    <row r="212" spans="1:6" s="437" customFormat="1" x14ac:dyDescent="0.25">
      <c r="A212" s="491">
        <v>318</v>
      </c>
      <c r="B212" s="490">
        <v>324</v>
      </c>
      <c r="C212" s="490">
        <v>7</v>
      </c>
      <c r="D212" s="576" t="s">
        <v>65</v>
      </c>
      <c r="E212" s="576"/>
      <c r="F212" s="553"/>
    </row>
    <row r="213" spans="1:6" s="437" customFormat="1" ht="13.8" thickBot="1" x14ac:dyDescent="0.3">
      <c r="A213" s="479">
        <v>325</v>
      </c>
      <c r="B213" s="478">
        <v>336</v>
      </c>
      <c r="C213" s="478">
        <v>12</v>
      </c>
      <c r="D213" s="476" t="s">
        <v>65</v>
      </c>
      <c r="E213" s="476"/>
      <c r="F213" s="585"/>
    </row>
    <row r="214" spans="1:6" s="437" customFormat="1" ht="26.4" x14ac:dyDescent="0.25">
      <c r="A214" s="584">
        <v>337</v>
      </c>
      <c r="B214" s="584">
        <v>338</v>
      </c>
      <c r="C214" s="584">
        <v>2</v>
      </c>
      <c r="D214" s="541" t="s">
        <v>302</v>
      </c>
      <c r="E214" s="541" t="s">
        <v>67</v>
      </c>
      <c r="F214" s="540" t="str">
        <f>OAA!F213</f>
        <v>11=Advanced</v>
      </c>
    </row>
    <row r="215" spans="1:6" s="437" customFormat="1" x14ac:dyDescent="0.25">
      <c r="A215" s="568"/>
      <c r="B215" s="568"/>
      <c r="C215" s="568"/>
      <c r="D215" s="567"/>
      <c r="E215" s="567"/>
      <c r="F215" s="583" t="str">
        <f>OAA!F214</f>
        <v>12=Accelerated</v>
      </c>
    </row>
    <row r="216" spans="1:6" s="437" customFormat="1" x14ac:dyDescent="0.25">
      <c r="A216" s="568"/>
      <c r="B216" s="568"/>
      <c r="C216" s="568"/>
      <c r="D216" s="567"/>
      <c r="E216" s="567"/>
      <c r="F216" s="583" t="str">
        <f>OAA!F215</f>
        <v>13=Proficient</v>
      </c>
    </row>
    <row r="217" spans="1:6" s="437" customFormat="1" x14ac:dyDescent="0.25">
      <c r="A217" s="568"/>
      <c r="B217" s="568"/>
      <c r="C217" s="568"/>
      <c r="D217" s="567"/>
      <c r="E217" s="567"/>
      <c r="F217" s="583" t="str">
        <f>OAA!F216</f>
        <v>14=Basic</v>
      </c>
    </row>
    <row r="218" spans="1:6" s="437" customFormat="1" x14ac:dyDescent="0.25">
      <c r="A218" s="568"/>
      <c r="B218" s="568"/>
      <c r="C218" s="568"/>
      <c r="D218" s="567"/>
      <c r="E218" s="567"/>
      <c r="F218" s="583" t="str">
        <f>OAA!F217</f>
        <v>15=Limited</v>
      </c>
    </row>
    <row r="219" spans="1:6" s="437" customFormat="1" x14ac:dyDescent="0.25">
      <c r="A219" s="568"/>
      <c r="B219" s="568"/>
      <c r="C219" s="568"/>
      <c r="D219" s="567"/>
      <c r="E219" s="567"/>
      <c r="F219" s="583" t="str">
        <f>OAA!F218</f>
        <v>99=invalidated</v>
      </c>
    </row>
    <row r="220" spans="1:6" s="437" customFormat="1" ht="13.8" thickBot="1" x14ac:dyDescent="0.3">
      <c r="A220" s="582"/>
      <c r="B220" s="582"/>
      <c r="C220" s="582"/>
      <c r="D220" s="538"/>
      <c r="E220" s="538"/>
      <c r="F220" s="581" t="str">
        <f>OAA!F219</f>
        <v>blank=DNA/TOG/DNS/Missing</v>
      </c>
    </row>
    <row r="221" spans="1:6" s="437" customFormat="1" x14ac:dyDescent="0.25">
      <c r="A221" s="491">
        <v>339</v>
      </c>
      <c r="B221" s="490">
        <v>341</v>
      </c>
      <c r="C221" s="490">
        <v>3</v>
      </c>
      <c r="D221" s="554" t="s">
        <v>5</v>
      </c>
      <c r="E221" s="554" t="s">
        <v>54</v>
      </c>
      <c r="F221" s="653" t="s">
        <v>104</v>
      </c>
    </row>
    <row r="222" spans="1:6" s="437" customFormat="1" x14ac:dyDescent="0.25">
      <c r="A222" s="485"/>
      <c r="B222" s="484"/>
      <c r="C222" s="484"/>
      <c r="D222" s="556"/>
      <c r="E222" s="556"/>
      <c r="F222" s="654" t="s">
        <v>32</v>
      </c>
    </row>
    <row r="223" spans="1:6" s="437" customFormat="1" x14ac:dyDescent="0.25">
      <c r="A223" s="485"/>
      <c r="B223" s="484"/>
      <c r="C223" s="484"/>
      <c r="D223" s="556"/>
      <c r="E223" s="556"/>
      <c r="F223" s="580"/>
    </row>
    <row r="224" spans="1:6" s="437" customFormat="1" x14ac:dyDescent="0.25">
      <c r="A224" s="485"/>
      <c r="B224" s="484"/>
      <c r="C224" s="484"/>
      <c r="D224" s="556"/>
      <c r="E224" s="556"/>
      <c r="F224" s="580"/>
    </row>
    <row r="225" spans="1:6" s="437" customFormat="1" ht="13.8" thickBot="1" x14ac:dyDescent="0.3">
      <c r="A225" s="479"/>
      <c r="B225" s="478"/>
      <c r="C225" s="478"/>
      <c r="D225" s="477"/>
      <c r="E225" s="477"/>
      <c r="F225" s="655" t="s">
        <v>221</v>
      </c>
    </row>
    <row r="226" spans="1:6" s="437" customFormat="1" ht="193.5" customHeight="1" thickBot="1" x14ac:dyDescent="0.3">
      <c r="A226" s="527">
        <v>342</v>
      </c>
      <c r="B226" s="527">
        <v>344</v>
      </c>
      <c r="C226" s="527">
        <v>3</v>
      </c>
      <c r="D226" s="535" t="s">
        <v>303</v>
      </c>
      <c r="E226" s="550" t="s">
        <v>54</v>
      </c>
      <c r="F226" s="656" t="s">
        <v>338</v>
      </c>
    </row>
    <row r="227" spans="1:6" s="437" customFormat="1" x14ac:dyDescent="0.25">
      <c r="A227" s="572">
        <v>345</v>
      </c>
      <c r="B227" s="571">
        <v>345</v>
      </c>
      <c r="C227" s="571">
        <v>1</v>
      </c>
      <c r="D227" s="579" t="s">
        <v>108</v>
      </c>
      <c r="E227" s="579" t="s">
        <v>333</v>
      </c>
      <c r="F227" s="657" t="s">
        <v>338</v>
      </c>
    </row>
    <row r="228" spans="1:6" s="437" customFormat="1" x14ac:dyDescent="0.25">
      <c r="A228" s="569"/>
      <c r="B228" s="568"/>
      <c r="C228" s="568"/>
      <c r="D228" s="578"/>
      <c r="E228" s="578"/>
      <c r="F228" s="580"/>
    </row>
    <row r="229" spans="1:6" s="437" customFormat="1" ht="13.8" thickBot="1" x14ac:dyDescent="0.3">
      <c r="A229" s="565"/>
      <c r="B229" s="564"/>
      <c r="C229" s="564"/>
      <c r="D229" s="563"/>
      <c r="E229" s="563"/>
      <c r="F229" s="662"/>
    </row>
    <row r="230" spans="1:6" s="437" customFormat="1" ht="27" thickBot="1" x14ac:dyDescent="0.3">
      <c r="A230" s="527">
        <v>346</v>
      </c>
      <c r="B230" s="527">
        <v>348</v>
      </c>
      <c r="C230" s="527">
        <v>3</v>
      </c>
      <c r="D230" s="535" t="s">
        <v>304</v>
      </c>
      <c r="E230" s="550" t="s">
        <v>54</v>
      </c>
      <c r="F230" s="656" t="s">
        <v>338</v>
      </c>
    </row>
    <row r="231" spans="1:6" s="437" customFormat="1" x14ac:dyDescent="0.25">
      <c r="A231" s="572">
        <v>349</v>
      </c>
      <c r="B231" s="571">
        <v>349</v>
      </c>
      <c r="C231" s="571">
        <v>1</v>
      </c>
      <c r="D231" s="579" t="s">
        <v>110</v>
      </c>
      <c r="E231" s="579" t="s">
        <v>333</v>
      </c>
      <c r="F231" s="657" t="s">
        <v>338</v>
      </c>
    </row>
    <row r="232" spans="1:6" s="437" customFormat="1" x14ac:dyDescent="0.25">
      <c r="A232" s="569"/>
      <c r="B232" s="568"/>
      <c r="C232" s="568"/>
      <c r="D232" s="578"/>
      <c r="E232" s="578"/>
      <c r="F232" s="580"/>
    </row>
    <row r="233" spans="1:6" s="437" customFormat="1" ht="13.8" thickBot="1" x14ac:dyDescent="0.3">
      <c r="A233" s="569"/>
      <c r="B233" s="564"/>
      <c r="C233" s="564"/>
      <c r="D233" s="563"/>
      <c r="E233" s="563"/>
      <c r="F233" s="662"/>
    </row>
    <row r="234" spans="1:6" s="437" customFormat="1" ht="27" thickBot="1" x14ac:dyDescent="0.3">
      <c r="A234" s="527">
        <v>350</v>
      </c>
      <c r="B234" s="527">
        <v>352</v>
      </c>
      <c r="C234" s="527">
        <v>3</v>
      </c>
      <c r="D234" s="535" t="s">
        <v>305</v>
      </c>
      <c r="E234" s="550" t="s">
        <v>54</v>
      </c>
      <c r="F234" s="661" t="s">
        <v>338</v>
      </c>
    </row>
    <row r="235" spans="1:6" s="437" customFormat="1" x14ac:dyDescent="0.25">
      <c r="A235" s="572">
        <v>353</v>
      </c>
      <c r="B235" s="571">
        <v>353</v>
      </c>
      <c r="C235" s="571">
        <v>1</v>
      </c>
      <c r="D235" s="579" t="s">
        <v>112</v>
      </c>
      <c r="E235" s="579" t="s">
        <v>333</v>
      </c>
      <c r="F235" s="657" t="s">
        <v>338</v>
      </c>
    </row>
    <row r="236" spans="1:6" s="437" customFormat="1" x14ac:dyDescent="0.25">
      <c r="A236" s="569"/>
      <c r="B236" s="568"/>
      <c r="C236" s="568"/>
      <c r="D236" s="578"/>
      <c r="E236" s="578"/>
      <c r="F236" s="580"/>
    </row>
    <row r="237" spans="1:6" s="437" customFormat="1" ht="13.8" thickBot="1" x14ac:dyDescent="0.3">
      <c r="A237" s="565"/>
      <c r="B237" s="564"/>
      <c r="C237" s="564"/>
      <c r="D237" s="563"/>
      <c r="E237" s="563"/>
      <c r="F237" s="662"/>
    </row>
    <row r="238" spans="1:6" s="437" customFormat="1" ht="27" thickBot="1" x14ac:dyDescent="0.3">
      <c r="A238" s="527">
        <v>354</v>
      </c>
      <c r="B238" s="527">
        <v>356</v>
      </c>
      <c r="C238" s="527">
        <v>3</v>
      </c>
      <c r="D238" s="535" t="s">
        <v>7</v>
      </c>
      <c r="E238" s="550" t="s">
        <v>54</v>
      </c>
      <c r="F238" s="656" t="s">
        <v>338</v>
      </c>
    </row>
    <row r="239" spans="1:6" s="437" customFormat="1" x14ac:dyDescent="0.25">
      <c r="A239" s="491">
        <v>357</v>
      </c>
      <c r="B239" s="490">
        <v>357</v>
      </c>
      <c r="C239" s="490">
        <v>1</v>
      </c>
      <c r="D239" s="576" t="s">
        <v>113</v>
      </c>
      <c r="E239" s="576" t="s">
        <v>333</v>
      </c>
      <c r="F239" s="486"/>
    </row>
    <row r="240" spans="1:6" s="437" customFormat="1" x14ac:dyDescent="0.25">
      <c r="A240" s="485"/>
      <c r="B240" s="484"/>
      <c r="C240" s="484"/>
      <c r="D240" s="575"/>
      <c r="E240" s="575"/>
      <c r="F240" s="480"/>
    </row>
    <row r="241" spans="1:6" s="437" customFormat="1" ht="13.8" thickBot="1" x14ac:dyDescent="0.3">
      <c r="A241" s="479"/>
      <c r="B241" s="478"/>
      <c r="C241" s="478"/>
      <c r="D241" s="476"/>
      <c r="E241" s="476"/>
      <c r="F241" s="475"/>
    </row>
    <row r="242" spans="1:6" s="437" customFormat="1" ht="79.8" thickBot="1" x14ac:dyDescent="0.3">
      <c r="A242" s="559">
        <v>358</v>
      </c>
      <c r="B242" s="559">
        <v>360</v>
      </c>
      <c r="C242" s="559">
        <v>3</v>
      </c>
      <c r="D242" s="558" t="s">
        <v>312</v>
      </c>
      <c r="E242" s="574"/>
      <c r="F242" s="577"/>
    </row>
    <row r="243" spans="1:6" s="437" customFormat="1" x14ac:dyDescent="0.25">
      <c r="A243" s="491">
        <v>361</v>
      </c>
      <c r="B243" s="490">
        <v>361</v>
      </c>
      <c r="C243" s="490">
        <v>1</v>
      </c>
      <c r="D243" s="576" t="s">
        <v>120</v>
      </c>
      <c r="E243" s="576" t="s">
        <v>333</v>
      </c>
      <c r="F243" s="486"/>
    </row>
    <row r="244" spans="1:6" s="437" customFormat="1" x14ac:dyDescent="0.25">
      <c r="A244" s="485"/>
      <c r="B244" s="484"/>
      <c r="C244" s="484"/>
      <c r="D244" s="575"/>
      <c r="E244" s="575"/>
      <c r="F244" s="480"/>
    </row>
    <row r="245" spans="1:6" ht="13.8" thickBot="1" x14ac:dyDescent="0.3">
      <c r="A245" s="479"/>
      <c r="B245" s="478"/>
      <c r="C245" s="478"/>
      <c r="D245" s="476"/>
      <c r="E245" s="476"/>
      <c r="F245" s="475"/>
    </row>
    <row r="246" spans="1:6" ht="13.8" thickBot="1" x14ac:dyDescent="0.3">
      <c r="A246" s="559">
        <v>362</v>
      </c>
      <c r="B246" s="559">
        <v>362</v>
      </c>
      <c r="C246" s="559">
        <v>1</v>
      </c>
      <c r="D246" s="574" t="s">
        <v>65</v>
      </c>
      <c r="E246" s="574"/>
      <c r="F246" s="573"/>
    </row>
    <row r="247" spans="1:6" ht="26.4" x14ac:dyDescent="0.25">
      <c r="A247" s="572">
        <v>363</v>
      </c>
      <c r="B247" s="571">
        <v>365</v>
      </c>
      <c r="C247" s="571">
        <v>3</v>
      </c>
      <c r="D247" s="547" t="s">
        <v>269</v>
      </c>
      <c r="E247" s="547" t="s">
        <v>334</v>
      </c>
      <c r="F247" s="653" t="s">
        <v>338</v>
      </c>
    </row>
    <row r="248" spans="1:6" s="437" customFormat="1" x14ac:dyDescent="0.25">
      <c r="A248" s="569"/>
      <c r="B248" s="568"/>
      <c r="C248" s="568"/>
      <c r="D248" s="567"/>
      <c r="E248" s="567"/>
      <c r="F248" s="566"/>
    </row>
    <row r="249" spans="1:6" s="437" customFormat="1" x14ac:dyDescent="0.25">
      <c r="A249" s="569"/>
      <c r="B249" s="568"/>
      <c r="C249" s="568"/>
      <c r="D249" s="567"/>
      <c r="E249" s="567"/>
      <c r="F249" s="570"/>
    </row>
    <row r="250" spans="1:6" s="437" customFormat="1" x14ac:dyDescent="0.25">
      <c r="A250" s="569"/>
      <c r="B250" s="568"/>
      <c r="C250" s="568"/>
      <c r="D250" s="567"/>
      <c r="E250" s="567"/>
      <c r="F250" s="566"/>
    </row>
    <row r="251" spans="1:6" s="437" customFormat="1" x14ac:dyDescent="0.25">
      <c r="A251" s="569"/>
      <c r="B251" s="568"/>
      <c r="C251" s="568"/>
      <c r="D251" s="567"/>
      <c r="E251" s="567"/>
      <c r="F251" s="566"/>
    </row>
    <row r="252" spans="1:6" ht="13.8" thickBot="1" x14ac:dyDescent="0.3">
      <c r="A252" s="565"/>
      <c r="B252" s="564"/>
      <c r="C252" s="564"/>
      <c r="D252" s="544"/>
      <c r="E252" s="563"/>
      <c r="F252" s="562"/>
    </row>
    <row r="253" spans="1:6" ht="26.4" x14ac:dyDescent="0.25">
      <c r="A253" s="499">
        <v>366</v>
      </c>
      <c r="B253" s="499">
        <v>367</v>
      </c>
      <c r="C253" s="499">
        <v>2</v>
      </c>
      <c r="D253" s="561" t="s">
        <v>140</v>
      </c>
      <c r="E253" s="561" t="s">
        <v>335</v>
      </c>
      <c r="F253" s="496"/>
    </row>
    <row r="254" spans="1:6" x14ac:dyDescent="0.25">
      <c r="A254" s="484"/>
      <c r="B254" s="484"/>
      <c r="C254" s="484"/>
      <c r="D254" s="556"/>
      <c r="E254" s="556"/>
      <c r="F254" s="480"/>
    </row>
    <row r="255" spans="1:6" x14ac:dyDescent="0.25">
      <c r="A255" s="484"/>
      <c r="B255" s="484"/>
      <c r="C255" s="484"/>
      <c r="D255" s="556"/>
      <c r="E255" s="556"/>
      <c r="F255" s="480"/>
    </row>
    <row r="256" spans="1:6" x14ac:dyDescent="0.25">
      <c r="A256" s="484"/>
      <c r="B256" s="484"/>
      <c r="C256" s="484"/>
      <c r="D256" s="556"/>
      <c r="E256" s="556"/>
      <c r="F256" s="480"/>
    </row>
    <row r="257" spans="1:6" x14ac:dyDescent="0.25">
      <c r="A257" s="484"/>
      <c r="B257" s="484"/>
      <c r="C257" s="484"/>
      <c r="D257" s="556"/>
      <c r="E257" s="556"/>
      <c r="F257" s="480"/>
    </row>
    <row r="258" spans="1:6" s="437" customFormat="1" x14ac:dyDescent="0.25">
      <c r="A258" s="485"/>
      <c r="B258" s="484"/>
      <c r="C258" s="484"/>
      <c r="D258" s="556"/>
      <c r="E258" s="556"/>
      <c r="F258" s="560"/>
    </row>
    <row r="259" spans="1:6" ht="13.8" thickBot="1" x14ac:dyDescent="0.3">
      <c r="A259" s="559"/>
      <c r="B259" s="559"/>
      <c r="C259" s="559"/>
      <c r="D259" s="558"/>
      <c r="E259" s="558"/>
      <c r="F259" s="557"/>
    </row>
    <row r="260" spans="1:6" ht="26.4" x14ac:dyDescent="0.25">
      <c r="A260" s="491">
        <v>368</v>
      </c>
      <c r="B260" s="490">
        <v>370</v>
      </c>
      <c r="C260" s="490">
        <v>3</v>
      </c>
      <c r="D260" s="554" t="s">
        <v>141</v>
      </c>
      <c r="E260" s="554" t="s">
        <v>54</v>
      </c>
      <c r="F260" s="486"/>
    </row>
    <row r="261" spans="1:6" x14ac:dyDescent="0.25">
      <c r="A261" s="485"/>
      <c r="B261" s="484"/>
      <c r="C261" s="484"/>
      <c r="D261" s="556"/>
      <c r="E261" s="556"/>
      <c r="F261" s="480"/>
    </row>
    <row r="262" spans="1:6" x14ac:dyDescent="0.25">
      <c r="A262" s="555"/>
      <c r="B262" s="495"/>
      <c r="C262" s="495"/>
      <c r="D262" s="494"/>
      <c r="E262" s="494"/>
      <c r="F262" s="492"/>
    </row>
    <row r="263" spans="1:6" x14ac:dyDescent="0.25">
      <c r="A263" s="555"/>
      <c r="B263" s="495"/>
      <c r="C263" s="495"/>
      <c r="D263" s="494"/>
      <c r="E263" s="494"/>
      <c r="F263" s="492"/>
    </row>
    <row r="264" spans="1:6" ht="13.8" thickBot="1" x14ac:dyDescent="0.3">
      <c r="A264" s="479"/>
      <c r="B264" s="478"/>
      <c r="C264" s="478"/>
      <c r="D264" s="477"/>
      <c r="E264" s="477"/>
      <c r="F264" s="475"/>
    </row>
    <row r="265" spans="1:6" ht="13.8" thickBot="1" x14ac:dyDescent="0.3">
      <c r="A265" s="490">
        <v>371</v>
      </c>
      <c r="B265" s="490">
        <v>373</v>
      </c>
      <c r="C265" s="490">
        <v>3</v>
      </c>
      <c r="D265" s="554" t="s">
        <v>65</v>
      </c>
      <c r="E265" s="554"/>
      <c r="F265" s="553"/>
    </row>
    <row r="266" spans="1:6" ht="27" thickBot="1" x14ac:dyDescent="0.3">
      <c r="A266" s="552">
        <v>374</v>
      </c>
      <c r="B266" s="551">
        <v>382</v>
      </c>
      <c r="C266" s="551">
        <v>9</v>
      </c>
      <c r="D266" s="550" t="s">
        <v>142</v>
      </c>
      <c r="E266" s="550" t="s">
        <v>56</v>
      </c>
      <c r="F266" s="531" t="str">
        <f>OAA!F265</f>
        <v>State Student Identification Number, start with two alpha, then 7 numberic.</v>
      </c>
    </row>
    <row r="267" spans="1:6" ht="66" x14ac:dyDescent="0.25">
      <c r="A267" s="542">
        <v>383</v>
      </c>
      <c r="B267" s="542">
        <v>383</v>
      </c>
      <c r="C267" s="542">
        <v>1</v>
      </c>
      <c r="D267" s="541" t="s">
        <v>144</v>
      </c>
      <c r="E267" s="541" t="s">
        <v>333</v>
      </c>
      <c r="F267" s="663" t="s">
        <v>338</v>
      </c>
    </row>
    <row r="268" spans="1:6" ht="13.8" thickBot="1" x14ac:dyDescent="0.3">
      <c r="A268" s="539"/>
      <c r="B268" s="539"/>
      <c r="C268" s="539"/>
      <c r="D268" s="538"/>
      <c r="E268" s="544"/>
      <c r="F268" s="664"/>
    </row>
    <row r="269" spans="1:6" ht="66" x14ac:dyDescent="0.25">
      <c r="A269" s="549">
        <v>384</v>
      </c>
      <c r="B269" s="548">
        <v>384</v>
      </c>
      <c r="C269" s="548">
        <v>1</v>
      </c>
      <c r="D269" s="547" t="s">
        <v>145</v>
      </c>
      <c r="E269" s="541" t="s">
        <v>333</v>
      </c>
      <c r="F269" s="665" t="s">
        <v>338</v>
      </c>
    </row>
    <row r="270" spans="1:6" ht="13.8" thickBot="1" x14ac:dyDescent="0.3">
      <c r="A270" s="546"/>
      <c r="B270" s="545"/>
      <c r="C270" s="545"/>
      <c r="D270" s="544"/>
      <c r="E270" s="544"/>
      <c r="F270" s="664"/>
    </row>
    <row r="271" spans="1:6" ht="66" x14ac:dyDescent="0.25">
      <c r="A271" s="542">
        <v>385</v>
      </c>
      <c r="B271" s="542">
        <v>385</v>
      </c>
      <c r="C271" s="542">
        <v>1</v>
      </c>
      <c r="D271" s="541" t="s">
        <v>306</v>
      </c>
      <c r="E271" s="541" t="s">
        <v>333</v>
      </c>
      <c r="F271" s="665" t="s">
        <v>338</v>
      </c>
    </row>
    <row r="272" spans="1:6" ht="13.8" thickBot="1" x14ac:dyDescent="0.3">
      <c r="A272" s="539"/>
      <c r="B272" s="539"/>
      <c r="C272" s="539"/>
      <c r="D272" s="538"/>
      <c r="E272" s="544"/>
      <c r="F272" s="664"/>
    </row>
    <row r="273" spans="1:6" ht="79.2" x14ac:dyDescent="0.25">
      <c r="A273" s="549">
        <v>386</v>
      </c>
      <c r="B273" s="548">
        <v>386</v>
      </c>
      <c r="C273" s="548">
        <v>1</v>
      </c>
      <c r="D273" s="547" t="s">
        <v>307</v>
      </c>
      <c r="E273" s="541" t="s">
        <v>333</v>
      </c>
      <c r="F273" s="665" t="s">
        <v>338</v>
      </c>
    </row>
    <row r="274" spans="1:6" ht="13.8" thickBot="1" x14ac:dyDescent="0.3">
      <c r="A274" s="546"/>
      <c r="B274" s="545"/>
      <c r="C274" s="545"/>
      <c r="D274" s="544"/>
      <c r="E274" s="544"/>
      <c r="F274" s="664"/>
    </row>
    <row r="275" spans="1:6" ht="66" x14ac:dyDescent="0.25">
      <c r="A275" s="542">
        <v>387</v>
      </c>
      <c r="B275" s="542">
        <v>387</v>
      </c>
      <c r="C275" s="542">
        <v>1</v>
      </c>
      <c r="D275" s="541" t="s">
        <v>148</v>
      </c>
      <c r="E275" s="541" t="s">
        <v>333</v>
      </c>
      <c r="F275" s="665" t="s">
        <v>338</v>
      </c>
    </row>
    <row r="276" spans="1:6" ht="13.8" thickBot="1" x14ac:dyDescent="0.3">
      <c r="A276" s="539"/>
      <c r="B276" s="539"/>
      <c r="C276" s="539"/>
      <c r="D276" s="538"/>
      <c r="E276" s="538"/>
      <c r="F276" s="664"/>
    </row>
    <row r="277" spans="1:6" ht="13.8" thickBot="1" x14ac:dyDescent="0.3">
      <c r="A277" s="530">
        <v>388</v>
      </c>
      <c r="B277" s="529">
        <v>392</v>
      </c>
      <c r="C277" s="529">
        <v>5</v>
      </c>
      <c r="D277" s="528" t="s">
        <v>65</v>
      </c>
      <c r="E277" s="528"/>
      <c r="F277" s="537"/>
    </row>
    <row r="278" spans="1:6" ht="13.8" thickBot="1" x14ac:dyDescent="0.3">
      <c r="A278" s="536">
        <v>393</v>
      </c>
      <c r="B278" s="536">
        <v>402</v>
      </c>
      <c r="C278" s="536">
        <v>10</v>
      </c>
      <c r="D278" s="535" t="s">
        <v>149</v>
      </c>
      <c r="E278" s="535" t="s">
        <v>56</v>
      </c>
      <c r="F278" s="525" t="str">
        <f>OAA!F277</f>
        <v>Writing class name or course name</v>
      </c>
    </row>
    <row r="279" spans="1:6" ht="27" thickBot="1" x14ac:dyDescent="0.3">
      <c r="A279" s="534">
        <v>403</v>
      </c>
      <c r="B279" s="533">
        <v>407</v>
      </c>
      <c r="C279" s="533">
        <v>5</v>
      </c>
      <c r="D279" s="532" t="s">
        <v>151</v>
      </c>
      <c r="E279" s="532" t="s">
        <v>56</v>
      </c>
      <c r="F279" s="531" t="str">
        <f>OAA!F278</f>
        <v>Writing class session number or course session number</v>
      </c>
    </row>
    <row r="280" spans="1:6" ht="13.8" thickBot="1" x14ac:dyDescent="0.3">
      <c r="A280" s="536">
        <v>408</v>
      </c>
      <c r="B280" s="536">
        <v>427</v>
      </c>
      <c r="C280" s="536">
        <v>20</v>
      </c>
      <c r="D280" s="535" t="s">
        <v>153</v>
      </c>
      <c r="E280" s="535" t="s">
        <v>59</v>
      </c>
      <c r="F280" s="525" t="str">
        <f>OAA!F279</f>
        <v>Writing teacher name (Last Name, First)</v>
      </c>
    </row>
    <row r="281" spans="1:6" ht="13.8" thickBot="1" x14ac:dyDescent="0.3">
      <c r="A281" s="534">
        <v>428</v>
      </c>
      <c r="B281" s="533">
        <v>437</v>
      </c>
      <c r="C281" s="533">
        <v>10</v>
      </c>
      <c r="D281" s="532" t="s">
        <v>155</v>
      </c>
      <c r="E281" s="532" t="s">
        <v>56</v>
      </c>
      <c r="F281" s="531" t="str">
        <f>OAA!F280</f>
        <v>Reading class name or course name</v>
      </c>
    </row>
    <row r="282" spans="1:6" ht="27" thickBot="1" x14ac:dyDescent="0.3">
      <c r="A282" s="536">
        <v>438</v>
      </c>
      <c r="B282" s="536">
        <v>442</v>
      </c>
      <c r="C282" s="536">
        <v>5</v>
      </c>
      <c r="D282" s="535" t="s">
        <v>157</v>
      </c>
      <c r="E282" s="535" t="s">
        <v>56</v>
      </c>
      <c r="F282" s="525" t="str">
        <f>OAA!F281</f>
        <v>Reading class session number or course session number</v>
      </c>
    </row>
    <row r="283" spans="1:6" ht="13.8" thickBot="1" x14ac:dyDescent="0.3">
      <c r="A283" s="534">
        <v>443</v>
      </c>
      <c r="B283" s="533">
        <v>462</v>
      </c>
      <c r="C283" s="533">
        <v>20</v>
      </c>
      <c r="D283" s="532" t="s">
        <v>159</v>
      </c>
      <c r="E283" s="532" t="s">
        <v>59</v>
      </c>
      <c r="F283" s="531" t="str">
        <f>OAA!F282</f>
        <v>Reading teacher name (Last Name, First)</v>
      </c>
    </row>
    <row r="284" spans="1:6" ht="13.8" thickBot="1" x14ac:dyDescent="0.3">
      <c r="A284" s="536">
        <v>463</v>
      </c>
      <c r="B284" s="536">
        <v>472</v>
      </c>
      <c r="C284" s="536">
        <v>10</v>
      </c>
      <c r="D284" s="535" t="s">
        <v>161</v>
      </c>
      <c r="E284" s="535" t="s">
        <v>56</v>
      </c>
      <c r="F284" s="525" t="str">
        <f>OAA!F283</f>
        <v>Math class name or course name</v>
      </c>
    </row>
    <row r="285" spans="1:6" ht="27" thickBot="1" x14ac:dyDescent="0.3">
      <c r="A285" s="534">
        <v>473</v>
      </c>
      <c r="B285" s="533">
        <v>477</v>
      </c>
      <c r="C285" s="533">
        <v>5</v>
      </c>
      <c r="D285" s="532" t="s">
        <v>162</v>
      </c>
      <c r="E285" s="532" t="s">
        <v>56</v>
      </c>
      <c r="F285" s="531" t="str">
        <f>OAA!F284</f>
        <v>Math class session number or course session number</v>
      </c>
    </row>
    <row r="286" spans="1:6" ht="13.8" thickBot="1" x14ac:dyDescent="0.3">
      <c r="A286" s="536">
        <v>478</v>
      </c>
      <c r="B286" s="536">
        <v>497</v>
      </c>
      <c r="C286" s="536">
        <v>20</v>
      </c>
      <c r="D286" s="535" t="s">
        <v>164</v>
      </c>
      <c r="E286" s="535" t="s">
        <v>59</v>
      </c>
      <c r="F286" s="525" t="str">
        <f>OAA!F285</f>
        <v>Math teacher name (Last Name, First)</v>
      </c>
    </row>
    <row r="287" spans="1:6" ht="27" thickBot="1" x14ac:dyDescent="0.3">
      <c r="A287" s="534">
        <v>498</v>
      </c>
      <c r="B287" s="533">
        <v>507</v>
      </c>
      <c r="C287" s="533">
        <v>10</v>
      </c>
      <c r="D287" s="532" t="s">
        <v>166</v>
      </c>
      <c r="E287" s="532" t="s">
        <v>56</v>
      </c>
      <c r="F287" s="531" t="str">
        <f>OAA!F286</f>
        <v>Social Studies class name or course name</v>
      </c>
    </row>
    <row r="288" spans="1:6" ht="27" thickBot="1" x14ac:dyDescent="0.3">
      <c r="A288" s="536">
        <v>508</v>
      </c>
      <c r="B288" s="536">
        <v>512</v>
      </c>
      <c r="C288" s="536">
        <v>5</v>
      </c>
      <c r="D288" s="535" t="s">
        <v>168</v>
      </c>
      <c r="E288" s="535" t="s">
        <v>56</v>
      </c>
      <c r="F288" s="525" t="str">
        <f>OAA!F287</f>
        <v>Social Studies class session number or course session number</v>
      </c>
    </row>
    <row r="289" spans="1:6" ht="27" thickBot="1" x14ac:dyDescent="0.3">
      <c r="A289" s="534">
        <v>513</v>
      </c>
      <c r="B289" s="533">
        <v>532</v>
      </c>
      <c r="C289" s="533">
        <v>20</v>
      </c>
      <c r="D289" s="532" t="s">
        <v>170</v>
      </c>
      <c r="E289" s="532" t="s">
        <v>59</v>
      </c>
      <c r="F289" s="531" t="str">
        <f>OAA!F288</f>
        <v>Social Studies teacher name (Last Name, First)</v>
      </c>
    </row>
    <row r="290" spans="1:6" ht="13.8" thickBot="1" x14ac:dyDescent="0.3">
      <c r="A290" s="536">
        <v>533</v>
      </c>
      <c r="B290" s="536">
        <v>542</v>
      </c>
      <c r="C290" s="536">
        <v>10</v>
      </c>
      <c r="D290" s="535" t="s">
        <v>172</v>
      </c>
      <c r="E290" s="535" t="s">
        <v>56</v>
      </c>
      <c r="F290" s="525" t="str">
        <f>OAA!F289</f>
        <v>Science class name or course name</v>
      </c>
    </row>
    <row r="291" spans="1:6" ht="27" thickBot="1" x14ac:dyDescent="0.3">
      <c r="A291" s="534">
        <v>543</v>
      </c>
      <c r="B291" s="533">
        <v>547</v>
      </c>
      <c r="C291" s="533">
        <v>5</v>
      </c>
      <c r="D291" s="532" t="s">
        <v>174</v>
      </c>
      <c r="E291" s="532" t="s">
        <v>56</v>
      </c>
      <c r="F291" s="531" t="str">
        <f>OAA!F290</f>
        <v>Science class session number or course session number</v>
      </c>
    </row>
    <row r="292" spans="1:6" ht="13.8" thickBot="1" x14ac:dyDescent="0.3">
      <c r="A292" s="533">
        <v>548</v>
      </c>
      <c r="B292" s="533">
        <v>567</v>
      </c>
      <c r="C292" s="533">
        <v>20</v>
      </c>
      <c r="D292" s="532" t="s">
        <v>176</v>
      </c>
      <c r="E292" s="532" t="s">
        <v>59</v>
      </c>
      <c r="F292" s="531" t="str">
        <f>OAA!F291</f>
        <v>Science teacher name (Last Name, First)</v>
      </c>
    </row>
    <row r="293" spans="1:6" ht="13.8" thickBot="1" x14ac:dyDescent="0.3">
      <c r="A293" s="530">
        <v>568</v>
      </c>
      <c r="B293" s="529">
        <v>583</v>
      </c>
      <c r="C293" s="529">
        <v>16</v>
      </c>
      <c r="D293" s="528" t="s">
        <v>65</v>
      </c>
      <c r="E293" s="528"/>
      <c r="F293" s="528"/>
    </row>
    <row r="294" spans="1:6" ht="13.8" thickBot="1" x14ac:dyDescent="0.3">
      <c r="A294" s="527">
        <v>584</v>
      </c>
      <c r="B294" s="527">
        <v>585</v>
      </c>
      <c r="C294" s="527">
        <v>2</v>
      </c>
      <c r="D294" s="526" t="s">
        <v>178</v>
      </c>
      <c r="E294" s="526"/>
      <c r="F294" s="525" t="str">
        <f>OAA!F293</f>
        <v>Data Acquisition Site (Numeric of **)</v>
      </c>
    </row>
    <row r="295" spans="1:6" ht="40.200000000000003" thickBot="1" x14ac:dyDescent="0.3">
      <c r="A295" s="443">
        <v>586</v>
      </c>
      <c r="B295" s="456">
        <v>591</v>
      </c>
      <c r="C295" s="450">
        <v>6</v>
      </c>
      <c r="D295" s="501" t="s">
        <v>180</v>
      </c>
      <c r="E295" s="501" t="s">
        <v>87</v>
      </c>
      <c r="F295" s="524" t="str">
        <f>OAA!F294</f>
        <v>Six-digit District IRN; numeric 0-9
Students in JVSD need their home district reported (OGT only)</v>
      </c>
    </row>
    <row r="296" spans="1:6" ht="40.200000000000003" thickBot="1" x14ac:dyDescent="0.3">
      <c r="A296" s="456">
        <v>592</v>
      </c>
      <c r="B296" s="456">
        <v>621</v>
      </c>
      <c r="C296" s="450">
        <v>30</v>
      </c>
      <c r="D296" s="501" t="s">
        <v>181</v>
      </c>
      <c r="E296" s="501" t="s">
        <v>56</v>
      </c>
      <c r="F296" s="524" t="str">
        <f>OAA!F295</f>
        <v>Alpha/numeric
Students in JVSD need their home district reported (OGT only)</v>
      </c>
    </row>
    <row r="297" spans="1:6" x14ac:dyDescent="0.25">
      <c r="A297" s="523">
        <v>622</v>
      </c>
      <c r="B297" s="523">
        <v>622</v>
      </c>
      <c r="C297" s="522">
        <v>1</v>
      </c>
      <c r="D297" s="521" t="s">
        <v>182</v>
      </c>
      <c r="E297" s="521" t="s">
        <v>59</v>
      </c>
      <c r="F297" s="520" t="s">
        <v>17</v>
      </c>
    </row>
    <row r="298" spans="1:6" x14ac:dyDescent="0.25">
      <c r="A298" s="518"/>
      <c r="B298" s="518"/>
      <c r="C298" s="519"/>
      <c r="D298" s="516"/>
      <c r="E298" s="516"/>
      <c r="F298" s="515" t="s">
        <v>229</v>
      </c>
    </row>
    <row r="299" spans="1:6" x14ac:dyDescent="0.25">
      <c r="A299" s="518"/>
      <c r="B299" s="518"/>
      <c r="C299" s="517"/>
      <c r="D299" s="516"/>
      <c r="E299" s="516"/>
      <c r="F299" s="515" t="s">
        <v>230</v>
      </c>
    </row>
    <row r="300" spans="1:6" x14ac:dyDescent="0.25">
      <c r="A300" s="518"/>
      <c r="B300" s="518"/>
      <c r="C300" s="517"/>
      <c r="D300" s="516"/>
      <c r="E300" s="516"/>
      <c r="F300" s="515" t="s">
        <v>231</v>
      </c>
    </row>
    <row r="301" spans="1:6" x14ac:dyDescent="0.25">
      <c r="A301" s="518"/>
      <c r="B301" s="518"/>
      <c r="C301" s="517"/>
      <c r="D301" s="516"/>
      <c r="E301" s="516"/>
      <c r="F301" s="515" t="s">
        <v>232</v>
      </c>
    </row>
    <row r="302" spans="1:6" x14ac:dyDescent="0.25">
      <c r="A302" s="518"/>
      <c r="B302" s="518"/>
      <c r="C302" s="517"/>
      <c r="D302" s="516"/>
      <c r="E302" s="516"/>
      <c r="F302" s="515" t="s">
        <v>233</v>
      </c>
    </row>
    <row r="303" spans="1:6" x14ac:dyDescent="0.25">
      <c r="A303" s="518"/>
      <c r="B303" s="518"/>
      <c r="C303" s="517"/>
      <c r="D303" s="516"/>
      <c r="E303" s="516"/>
      <c r="F303" s="515" t="s">
        <v>234</v>
      </c>
    </row>
    <row r="304" spans="1:6" x14ac:dyDescent="0.25">
      <c r="A304" s="518"/>
      <c r="B304" s="518"/>
      <c r="C304" s="517"/>
      <c r="D304" s="516"/>
      <c r="E304" s="516"/>
      <c r="F304" s="515" t="s">
        <v>235</v>
      </c>
    </row>
    <row r="305" spans="1:6" x14ac:dyDescent="0.25">
      <c r="A305" s="518"/>
      <c r="B305" s="518"/>
      <c r="C305" s="517"/>
      <c r="D305" s="516"/>
      <c r="E305" s="516"/>
      <c r="F305" s="515" t="s">
        <v>236</v>
      </c>
    </row>
    <row r="306" spans="1:6" x14ac:dyDescent="0.25">
      <c r="A306" s="518"/>
      <c r="B306" s="518"/>
      <c r="C306" s="517"/>
      <c r="D306" s="516"/>
      <c r="E306" s="516"/>
      <c r="F306" s="515" t="s">
        <v>237</v>
      </c>
    </row>
    <row r="307" spans="1:6" ht="13.8" thickBot="1" x14ac:dyDescent="0.3">
      <c r="A307" s="459"/>
      <c r="B307" s="459"/>
      <c r="C307" s="514"/>
      <c r="D307" s="513"/>
      <c r="E307" s="513"/>
      <c r="F307" s="512" t="s">
        <v>238</v>
      </c>
    </row>
    <row r="308" spans="1:6" ht="26.4" x14ac:dyDescent="0.25">
      <c r="A308" s="511">
        <v>623</v>
      </c>
      <c r="B308" s="510">
        <v>623</v>
      </c>
      <c r="C308" s="509">
        <v>1</v>
      </c>
      <c r="D308" s="508" t="s">
        <v>35</v>
      </c>
      <c r="E308" s="507" t="s">
        <v>333</v>
      </c>
      <c r="F308" s="506"/>
    </row>
    <row r="309" spans="1:6" x14ac:dyDescent="0.25">
      <c r="A309" s="484"/>
      <c r="B309" s="484"/>
      <c r="C309" s="483"/>
      <c r="D309" s="481"/>
      <c r="E309" s="481"/>
      <c r="F309" s="505"/>
    </row>
    <row r="310" spans="1:6" x14ac:dyDescent="0.25">
      <c r="A310" s="484"/>
      <c r="B310" s="484"/>
      <c r="C310" s="483"/>
      <c r="D310" s="481"/>
      <c r="E310" s="481"/>
      <c r="F310" s="505"/>
    </row>
    <row r="311" spans="1:6" x14ac:dyDescent="0.25">
      <c r="A311" s="484"/>
      <c r="B311" s="484"/>
      <c r="C311" s="483"/>
      <c r="D311" s="481"/>
      <c r="E311" s="481"/>
      <c r="F311" s="505"/>
    </row>
    <row r="312" spans="1:6" ht="13.8" thickBot="1" x14ac:dyDescent="0.3">
      <c r="A312" s="495"/>
      <c r="B312" s="495"/>
      <c r="C312" s="504"/>
      <c r="D312" s="503"/>
      <c r="E312" s="503"/>
      <c r="F312" s="502"/>
    </row>
    <row r="313" spans="1:6" ht="13.8" thickBot="1" x14ac:dyDescent="0.3">
      <c r="A313" s="443">
        <v>624</v>
      </c>
      <c r="B313" s="456">
        <v>653</v>
      </c>
      <c r="C313" s="441">
        <v>30</v>
      </c>
      <c r="D313" s="501" t="s">
        <v>183</v>
      </c>
      <c r="E313" s="501" t="s">
        <v>59</v>
      </c>
      <c r="F313" s="500" t="str">
        <f>OAA!F312</f>
        <v>County Name</v>
      </c>
    </row>
    <row r="314" spans="1:6" ht="26.4" x14ac:dyDescent="0.25">
      <c r="A314" s="491">
        <v>654</v>
      </c>
      <c r="B314" s="490">
        <v>654</v>
      </c>
      <c r="C314" s="489">
        <v>1</v>
      </c>
      <c r="D314" s="488" t="s">
        <v>184</v>
      </c>
      <c r="E314" s="487" t="s">
        <v>333</v>
      </c>
      <c r="F314" s="486"/>
    </row>
    <row r="315" spans="1:6" x14ac:dyDescent="0.25">
      <c r="A315" s="485"/>
      <c r="B315" s="484"/>
      <c r="C315" s="483"/>
      <c r="D315" s="481"/>
      <c r="E315" s="481"/>
      <c r="F315" s="480"/>
    </row>
    <row r="316" spans="1:6" ht="13.8" thickBot="1" x14ac:dyDescent="0.3">
      <c r="A316" s="479"/>
      <c r="B316" s="478"/>
      <c r="C316" s="478"/>
      <c r="D316" s="476"/>
      <c r="E316" s="476"/>
      <c r="F316" s="475"/>
    </row>
    <row r="317" spans="1:6" ht="26.4" x14ac:dyDescent="0.25">
      <c r="A317" s="499">
        <v>655</v>
      </c>
      <c r="B317" s="499">
        <v>655</v>
      </c>
      <c r="C317" s="498">
        <v>1</v>
      </c>
      <c r="D317" s="497" t="s">
        <v>185</v>
      </c>
      <c r="E317" s="487" t="s">
        <v>333</v>
      </c>
      <c r="F317" s="496"/>
    </row>
    <row r="318" spans="1:6" x14ac:dyDescent="0.25">
      <c r="A318" s="484"/>
      <c r="B318" s="484"/>
      <c r="C318" s="483"/>
      <c r="D318" s="482"/>
      <c r="E318" s="481"/>
      <c r="F318" s="480"/>
    </row>
    <row r="319" spans="1:6" ht="13.8" thickBot="1" x14ac:dyDescent="0.3">
      <c r="A319" s="495"/>
      <c r="B319" s="495"/>
      <c r="C319" s="495"/>
      <c r="D319" s="494"/>
      <c r="E319" s="493"/>
      <c r="F319" s="492"/>
    </row>
    <row r="320" spans="1:6" ht="26.4" x14ac:dyDescent="0.25">
      <c r="A320" s="491">
        <v>656</v>
      </c>
      <c r="B320" s="490">
        <v>656</v>
      </c>
      <c r="C320" s="489">
        <v>1</v>
      </c>
      <c r="D320" s="488" t="s">
        <v>36</v>
      </c>
      <c r="E320" s="487" t="s">
        <v>333</v>
      </c>
      <c r="F320" s="486"/>
    </row>
    <row r="321" spans="1:6" x14ac:dyDescent="0.25">
      <c r="A321" s="485"/>
      <c r="B321" s="484"/>
      <c r="C321" s="483"/>
      <c r="D321" s="482"/>
      <c r="E321" s="481"/>
      <c r="F321" s="480"/>
    </row>
    <row r="322" spans="1:6" ht="13.8" thickBot="1" x14ac:dyDescent="0.3">
      <c r="A322" s="479"/>
      <c r="B322" s="478"/>
      <c r="C322" s="478"/>
      <c r="D322" s="477"/>
      <c r="E322" s="476"/>
      <c r="F322" s="475"/>
    </row>
    <row r="323" spans="1:6" ht="26.4" x14ac:dyDescent="0.25">
      <c r="A323" s="499">
        <v>657</v>
      </c>
      <c r="B323" s="499">
        <v>657</v>
      </c>
      <c r="C323" s="498">
        <v>1</v>
      </c>
      <c r="D323" s="497" t="s">
        <v>37</v>
      </c>
      <c r="E323" s="487" t="s">
        <v>333</v>
      </c>
      <c r="F323" s="496"/>
    </row>
    <row r="324" spans="1:6" x14ac:dyDescent="0.25">
      <c r="A324" s="484"/>
      <c r="B324" s="484"/>
      <c r="C324" s="483"/>
      <c r="D324" s="482"/>
      <c r="E324" s="481"/>
      <c r="F324" s="480"/>
    </row>
    <row r="325" spans="1:6" ht="13.8" thickBot="1" x14ac:dyDescent="0.3">
      <c r="A325" s="495"/>
      <c r="B325" s="495"/>
      <c r="C325" s="495"/>
      <c r="D325" s="494"/>
      <c r="E325" s="493"/>
      <c r="F325" s="492"/>
    </row>
    <row r="326" spans="1:6" ht="26.4" x14ac:dyDescent="0.25">
      <c r="A326" s="491">
        <v>658</v>
      </c>
      <c r="B326" s="490">
        <v>658</v>
      </c>
      <c r="C326" s="489">
        <v>1</v>
      </c>
      <c r="D326" s="488" t="s">
        <v>186</v>
      </c>
      <c r="E326" s="487" t="s">
        <v>333</v>
      </c>
      <c r="F326" s="486"/>
    </row>
    <row r="327" spans="1:6" x14ac:dyDescent="0.25">
      <c r="A327" s="485"/>
      <c r="B327" s="484"/>
      <c r="C327" s="483"/>
      <c r="D327" s="482"/>
      <c r="E327" s="481"/>
      <c r="F327" s="480"/>
    </row>
    <row r="328" spans="1:6" ht="13.8" thickBot="1" x14ac:dyDescent="0.3">
      <c r="A328" s="479"/>
      <c r="B328" s="478"/>
      <c r="C328" s="478"/>
      <c r="D328" s="477"/>
      <c r="E328" s="476"/>
      <c r="F328" s="475"/>
    </row>
    <row r="329" spans="1:6" x14ac:dyDescent="0.25">
      <c r="A329" s="463">
        <v>659</v>
      </c>
      <c r="B329" s="463">
        <v>659</v>
      </c>
      <c r="C329" s="462">
        <v>1</v>
      </c>
      <c r="D329" s="461" t="s">
        <v>187</v>
      </c>
      <c r="E329" s="461" t="s">
        <v>336</v>
      </c>
      <c r="F329" s="663" t="s">
        <v>338</v>
      </c>
    </row>
    <row r="330" spans="1:6" ht="13.8" thickBot="1" x14ac:dyDescent="0.3">
      <c r="A330" s="459"/>
      <c r="B330" s="459"/>
      <c r="C330" s="459"/>
      <c r="D330" s="458"/>
      <c r="E330" s="458"/>
      <c r="F330" s="664"/>
    </row>
    <row r="331" spans="1:6" x14ac:dyDescent="0.25">
      <c r="A331" s="473">
        <v>660</v>
      </c>
      <c r="B331" s="472">
        <v>660</v>
      </c>
      <c r="C331" s="471">
        <v>1</v>
      </c>
      <c r="D331" s="469" t="s">
        <v>188</v>
      </c>
      <c r="E331" s="469" t="s">
        <v>336</v>
      </c>
      <c r="F331" s="665" t="s">
        <v>338</v>
      </c>
    </row>
    <row r="332" spans="1:6" ht="13.8" thickBot="1" x14ac:dyDescent="0.3">
      <c r="A332" s="467"/>
      <c r="B332" s="466"/>
      <c r="C332" s="466"/>
      <c r="D332" s="465"/>
      <c r="E332" s="465"/>
      <c r="F332" s="664"/>
    </row>
    <row r="333" spans="1:6" ht="26.4" x14ac:dyDescent="0.25">
      <c r="A333" s="463">
        <v>661</v>
      </c>
      <c r="B333" s="463">
        <v>661</v>
      </c>
      <c r="C333" s="462">
        <v>1</v>
      </c>
      <c r="D333" s="474" t="s">
        <v>261</v>
      </c>
      <c r="E333" s="461" t="s">
        <v>336</v>
      </c>
      <c r="F333" s="665" t="s">
        <v>338</v>
      </c>
    </row>
    <row r="334" spans="1:6" ht="13.8" thickBot="1" x14ac:dyDescent="0.3">
      <c r="A334" s="459"/>
      <c r="B334" s="459"/>
      <c r="C334" s="459"/>
      <c r="D334" s="458"/>
      <c r="E334" s="458"/>
      <c r="F334" s="664"/>
    </row>
    <row r="335" spans="1:6" ht="26.4" x14ac:dyDescent="0.25">
      <c r="A335" s="473">
        <v>662</v>
      </c>
      <c r="B335" s="472">
        <v>662</v>
      </c>
      <c r="C335" s="471">
        <v>1</v>
      </c>
      <c r="D335" s="470" t="s">
        <v>265</v>
      </c>
      <c r="E335" s="469" t="s">
        <v>336</v>
      </c>
      <c r="F335" s="665" t="s">
        <v>338</v>
      </c>
    </row>
    <row r="336" spans="1:6" ht="13.8" thickBot="1" x14ac:dyDescent="0.3">
      <c r="A336" s="467"/>
      <c r="B336" s="466"/>
      <c r="C336" s="466"/>
      <c r="D336" s="465"/>
      <c r="E336" s="465"/>
      <c r="F336" s="664"/>
    </row>
    <row r="337" spans="1:6" x14ac:dyDescent="0.25">
      <c r="A337" s="463">
        <v>663</v>
      </c>
      <c r="B337" s="463">
        <v>663</v>
      </c>
      <c r="C337" s="462">
        <v>1</v>
      </c>
      <c r="D337" s="461" t="s">
        <v>189</v>
      </c>
      <c r="E337" s="461" t="s">
        <v>336</v>
      </c>
      <c r="F337" s="665" t="s">
        <v>338</v>
      </c>
    </row>
    <row r="338" spans="1:6" ht="13.8" thickBot="1" x14ac:dyDescent="0.3">
      <c r="A338" s="459"/>
      <c r="B338" s="459"/>
      <c r="C338" s="459"/>
      <c r="D338" s="458"/>
      <c r="E338" s="458"/>
      <c r="F338" s="664"/>
    </row>
    <row r="339" spans="1:6" x14ac:dyDescent="0.25">
      <c r="A339" s="473">
        <v>664</v>
      </c>
      <c r="B339" s="472">
        <v>664</v>
      </c>
      <c r="C339" s="471">
        <v>1</v>
      </c>
      <c r="D339" s="469" t="s">
        <v>196</v>
      </c>
      <c r="E339" s="469" t="s">
        <v>336</v>
      </c>
      <c r="F339" s="665" t="s">
        <v>338</v>
      </c>
    </row>
    <row r="340" spans="1:6" ht="13.8" thickBot="1" x14ac:dyDescent="0.3">
      <c r="A340" s="467"/>
      <c r="B340" s="466"/>
      <c r="C340" s="466"/>
      <c r="D340" s="465"/>
      <c r="E340" s="465"/>
      <c r="F340" s="664"/>
    </row>
    <row r="341" spans="1:6" x14ac:dyDescent="0.25">
      <c r="A341" s="463">
        <v>665</v>
      </c>
      <c r="B341" s="463">
        <v>665</v>
      </c>
      <c r="C341" s="462">
        <v>1</v>
      </c>
      <c r="D341" s="461" t="s">
        <v>197</v>
      </c>
      <c r="E341" s="461" t="s">
        <v>336</v>
      </c>
      <c r="F341" s="665" t="s">
        <v>338</v>
      </c>
    </row>
    <row r="342" spans="1:6" ht="13.8" thickBot="1" x14ac:dyDescent="0.3">
      <c r="A342" s="459"/>
      <c r="B342" s="459"/>
      <c r="C342" s="459"/>
      <c r="D342" s="458"/>
      <c r="E342" s="458"/>
      <c r="F342" s="664"/>
    </row>
    <row r="343" spans="1:6" ht="26.4" x14ac:dyDescent="0.25">
      <c r="A343" s="473">
        <v>666</v>
      </c>
      <c r="B343" s="472">
        <v>666</v>
      </c>
      <c r="C343" s="471">
        <v>1</v>
      </c>
      <c r="D343" s="470" t="s">
        <v>262</v>
      </c>
      <c r="E343" s="469" t="s">
        <v>336</v>
      </c>
      <c r="F343" s="665" t="s">
        <v>338</v>
      </c>
    </row>
    <row r="344" spans="1:6" ht="13.8" thickBot="1" x14ac:dyDescent="0.3">
      <c r="A344" s="467"/>
      <c r="B344" s="466"/>
      <c r="C344" s="466"/>
      <c r="D344" s="465"/>
      <c r="E344" s="465"/>
      <c r="F344" s="664"/>
    </row>
    <row r="345" spans="1:6" ht="26.4" x14ac:dyDescent="0.25">
      <c r="A345" s="463">
        <v>667</v>
      </c>
      <c r="B345" s="463">
        <v>667</v>
      </c>
      <c r="C345" s="462">
        <v>1</v>
      </c>
      <c r="D345" s="474" t="s">
        <v>266</v>
      </c>
      <c r="E345" s="461" t="s">
        <v>336</v>
      </c>
      <c r="F345" s="665" t="s">
        <v>338</v>
      </c>
    </row>
    <row r="346" spans="1:6" ht="13.8" thickBot="1" x14ac:dyDescent="0.3">
      <c r="A346" s="459"/>
      <c r="B346" s="459"/>
      <c r="C346" s="459"/>
      <c r="D346" s="465"/>
      <c r="E346" s="458"/>
      <c r="F346" s="664"/>
    </row>
    <row r="347" spans="1:6" x14ac:dyDescent="0.25">
      <c r="A347" s="473">
        <v>668</v>
      </c>
      <c r="B347" s="472">
        <v>668</v>
      </c>
      <c r="C347" s="471">
        <v>1</v>
      </c>
      <c r="D347" s="469" t="s">
        <v>198</v>
      </c>
      <c r="E347" s="469" t="s">
        <v>336</v>
      </c>
      <c r="F347" s="665" t="s">
        <v>338</v>
      </c>
    </row>
    <row r="348" spans="1:6" ht="13.8" thickBot="1" x14ac:dyDescent="0.3">
      <c r="A348" s="467"/>
      <c r="B348" s="466"/>
      <c r="C348" s="466"/>
      <c r="D348" s="465"/>
      <c r="E348" s="465"/>
      <c r="F348" s="664"/>
    </row>
    <row r="349" spans="1:6" x14ac:dyDescent="0.25">
      <c r="A349" s="473">
        <v>669</v>
      </c>
      <c r="B349" s="472">
        <v>669</v>
      </c>
      <c r="C349" s="471">
        <v>1</v>
      </c>
      <c r="D349" s="469" t="s">
        <v>190</v>
      </c>
      <c r="E349" s="461" t="s">
        <v>336</v>
      </c>
      <c r="F349" s="665" t="s">
        <v>338</v>
      </c>
    </row>
    <row r="350" spans="1:6" ht="13.8" thickBot="1" x14ac:dyDescent="0.3">
      <c r="A350" s="467"/>
      <c r="B350" s="466"/>
      <c r="C350" s="466"/>
      <c r="D350" s="465"/>
      <c r="E350" s="465"/>
      <c r="F350" s="664"/>
    </row>
    <row r="351" spans="1:6" x14ac:dyDescent="0.25">
      <c r="A351" s="463">
        <v>670</v>
      </c>
      <c r="B351" s="463">
        <v>670</v>
      </c>
      <c r="C351" s="462">
        <v>1</v>
      </c>
      <c r="D351" s="461" t="s">
        <v>191</v>
      </c>
      <c r="E351" s="461" t="s">
        <v>336</v>
      </c>
      <c r="F351" s="665" t="s">
        <v>338</v>
      </c>
    </row>
    <row r="352" spans="1:6" ht="13.8" thickBot="1" x14ac:dyDescent="0.3">
      <c r="A352" s="459"/>
      <c r="B352" s="459"/>
      <c r="C352" s="459"/>
      <c r="D352" s="458"/>
      <c r="E352" s="458"/>
      <c r="F352" s="664"/>
    </row>
    <row r="353" spans="1:6" ht="26.4" x14ac:dyDescent="0.25">
      <c r="A353" s="473">
        <v>671</v>
      </c>
      <c r="B353" s="472">
        <v>671</v>
      </c>
      <c r="C353" s="471">
        <v>1</v>
      </c>
      <c r="D353" s="470" t="s">
        <v>263</v>
      </c>
      <c r="E353" s="469" t="s">
        <v>336</v>
      </c>
      <c r="F353" s="665" t="s">
        <v>338</v>
      </c>
    </row>
    <row r="354" spans="1:6" ht="13.8" thickBot="1" x14ac:dyDescent="0.3">
      <c r="A354" s="467"/>
      <c r="B354" s="466"/>
      <c r="C354" s="466"/>
      <c r="D354" s="465"/>
      <c r="E354" s="465"/>
      <c r="F354" s="664"/>
    </row>
    <row r="355" spans="1:6" ht="26.4" x14ac:dyDescent="0.25">
      <c r="A355" s="463">
        <v>672</v>
      </c>
      <c r="B355" s="463">
        <v>672</v>
      </c>
      <c r="C355" s="462">
        <v>1</v>
      </c>
      <c r="D355" s="474" t="s">
        <v>267</v>
      </c>
      <c r="E355" s="461" t="s">
        <v>336</v>
      </c>
      <c r="F355" s="665" t="s">
        <v>338</v>
      </c>
    </row>
    <row r="356" spans="1:6" ht="13.8" thickBot="1" x14ac:dyDescent="0.3">
      <c r="A356" s="459"/>
      <c r="B356" s="459"/>
      <c r="C356" s="459"/>
      <c r="D356" s="465"/>
      <c r="E356" s="458"/>
      <c r="F356" s="664"/>
    </row>
    <row r="357" spans="1:6" x14ac:dyDescent="0.25">
      <c r="A357" s="473">
        <v>673</v>
      </c>
      <c r="B357" s="472">
        <v>673</v>
      </c>
      <c r="C357" s="471">
        <v>1</v>
      </c>
      <c r="D357" s="469" t="s">
        <v>192</v>
      </c>
      <c r="E357" s="469" t="s">
        <v>336</v>
      </c>
      <c r="F357" s="665" t="s">
        <v>338</v>
      </c>
    </row>
    <row r="358" spans="1:6" ht="13.8" thickBot="1" x14ac:dyDescent="0.3">
      <c r="A358" s="467"/>
      <c r="B358" s="466"/>
      <c r="C358" s="466"/>
      <c r="D358" s="465"/>
      <c r="E358" s="465"/>
      <c r="F358" s="664"/>
    </row>
    <row r="359" spans="1:6" x14ac:dyDescent="0.25">
      <c r="A359" s="463">
        <v>674</v>
      </c>
      <c r="B359" s="463">
        <v>674</v>
      </c>
      <c r="C359" s="462">
        <v>1</v>
      </c>
      <c r="D359" s="461" t="s">
        <v>193</v>
      </c>
      <c r="E359" s="461" t="s">
        <v>59</v>
      </c>
      <c r="F359" s="468" t="str">
        <f>OAA!F358</f>
        <v>Y=Yes</v>
      </c>
    </row>
    <row r="360" spans="1:6" ht="13.8" thickBot="1" x14ac:dyDescent="0.3">
      <c r="A360" s="459"/>
      <c r="B360" s="459"/>
      <c r="C360" s="459"/>
      <c r="D360" s="458"/>
      <c r="E360" s="458"/>
      <c r="F360" s="457" t="str">
        <f>OAA!F359</f>
        <v>N=No</v>
      </c>
    </row>
    <row r="361" spans="1:6" x14ac:dyDescent="0.25">
      <c r="A361" s="473">
        <v>675</v>
      </c>
      <c r="B361" s="472">
        <v>675</v>
      </c>
      <c r="C361" s="471">
        <v>1</v>
      </c>
      <c r="D361" s="469" t="s">
        <v>194</v>
      </c>
      <c r="E361" s="469" t="s">
        <v>59</v>
      </c>
      <c r="F361" s="468" t="str">
        <f>OAA!F360</f>
        <v>Y=Yes</v>
      </c>
    </row>
    <row r="362" spans="1:6" ht="13.8" thickBot="1" x14ac:dyDescent="0.3">
      <c r="A362" s="467"/>
      <c r="B362" s="466"/>
      <c r="C362" s="466"/>
      <c r="D362" s="465"/>
      <c r="E362" s="465"/>
      <c r="F362" s="464" t="str">
        <f>OAA!F361</f>
        <v>N=No</v>
      </c>
    </row>
    <row r="363" spans="1:6" ht="26.4" x14ac:dyDescent="0.25">
      <c r="A363" s="463">
        <v>676</v>
      </c>
      <c r="B363" s="463">
        <v>676</v>
      </c>
      <c r="C363" s="462">
        <v>1</v>
      </c>
      <c r="D363" s="474" t="s">
        <v>264</v>
      </c>
      <c r="E363" s="461" t="s">
        <v>59</v>
      </c>
      <c r="F363" s="460" t="str">
        <f>OAA!F362</f>
        <v>Y=Yes</v>
      </c>
    </row>
    <row r="364" spans="1:6" ht="13.8" thickBot="1" x14ac:dyDescent="0.3">
      <c r="A364" s="459"/>
      <c r="B364" s="459"/>
      <c r="C364" s="459"/>
      <c r="D364" s="458"/>
      <c r="E364" s="458"/>
      <c r="F364" s="457" t="str">
        <f>OAA!F363</f>
        <v>N=No</v>
      </c>
    </row>
    <row r="365" spans="1:6" ht="26.4" x14ac:dyDescent="0.25">
      <c r="A365" s="473">
        <v>677</v>
      </c>
      <c r="B365" s="472">
        <v>677</v>
      </c>
      <c r="C365" s="471">
        <v>1</v>
      </c>
      <c r="D365" s="470" t="s">
        <v>268</v>
      </c>
      <c r="E365" s="469" t="s">
        <v>59</v>
      </c>
      <c r="F365" s="468" t="str">
        <f>OAA!F364</f>
        <v>Y=Yes</v>
      </c>
    </row>
    <row r="366" spans="1:6" ht="13.8" thickBot="1" x14ac:dyDescent="0.3">
      <c r="A366" s="467"/>
      <c r="B366" s="466"/>
      <c r="C366" s="466"/>
      <c r="D366" s="465"/>
      <c r="E366" s="465"/>
      <c r="F366" s="464" t="str">
        <f>OAA!F365</f>
        <v>N=No</v>
      </c>
    </row>
    <row r="367" spans="1:6" x14ac:dyDescent="0.25">
      <c r="A367" s="463">
        <v>678</v>
      </c>
      <c r="B367" s="463">
        <v>678</v>
      </c>
      <c r="C367" s="462">
        <v>1</v>
      </c>
      <c r="D367" s="461" t="s">
        <v>195</v>
      </c>
      <c r="E367" s="461" t="s">
        <v>59</v>
      </c>
      <c r="F367" s="460" t="str">
        <f>OAA!F366</f>
        <v>Y=Yes</v>
      </c>
    </row>
    <row r="368" spans="1:6" ht="13.8" thickBot="1" x14ac:dyDescent="0.3">
      <c r="A368" s="459"/>
      <c r="B368" s="459"/>
      <c r="C368" s="459"/>
      <c r="D368" s="458"/>
      <c r="E368" s="458"/>
      <c r="F368" s="457" t="str">
        <f>OAA!F367</f>
        <v>N=No</v>
      </c>
    </row>
    <row r="369" spans="1:6" ht="40.200000000000003" thickBot="1" x14ac:dyDescent="0.3">
      <c r="A369" s="443">
        <v>679</v>
      </c>
      <c r="B369" s="456">
        <v>687</v>
      </c>
      <c r="C369" s="441">
        <v>9</v>
      </c>
      <c r="D369" s="440" t="s">
        <v>200</v>
      </c>
      <c r="E369" s="440" t="s">
        <v>250</v>
      </c>
      <c r="F369" s="439" t="str">
        <f>OAA!F368</f>
        <v>Districts may provide teacher credential ID numbers so that teacher level results can be tracked across test administrations.</v>
      </c>
    </row>
    <row r="370" spans="1:6" ht="40.200000000000003" thickBot="1" x14ac:dyDescent="0.3">
      <c r="A370" s="455">
        <v>688</v>
      </c>
      <c r="B370" s="454">
        <v>696</v>
      </c>
      <c r="C370" s="453">
        <v>9</v>
      </c>
      <c r="D370" s="452" t="s">
        <v>199</v>
      </c>
      <c r="E370" s="440" t="s">
        <v>250</v>
      </c>
      <c r="F370" s="451" t="str">
        <f>OAA!F369</f>
        <v>Districts may provide teacher credential ID numbers so that teacher level results can be tracked across test administrations.</v>
      </c>
    </row>
    <row r="371" spans="1:6" ht="40.200000000000003" thickBot="1" x14ac:dyDescent="0.3">
      <c r="A371" s="443">
        <v>697</v>
      </c>
      <c r="B371" s="442">
        <v>705</v>
      </c>
      <c r="C371" s="450">
        <v>9</v>
      </c>
      <c r="D371" s="440" t="s">
        <v>309</v>
      </c>
      <c r="E371" s="440" t="s">
        <v>250</v>
      </c>
      <c r="F371" s="439" t="str">
        <f>OAA!F370</f>
        <v>Districts may provide teacher credential ID numbers so that teacher level results can be tracked across test administrations.</v>
      </c>
    </row>
    <row r="372" spans="1:6" ht="40.200000000000003" thickBot="1" x14ac:dyDescent="0.3">
      <c r="A372" s="443">
        <v>706</v>
      </c>
      <c r="B372" s="442">
        <v>714</v>
      </c>
      <c r="C372" s="446">
        <v>9</v>
      </c>
      <c r="D372" s="445" t="s">
        <v>201</v>
      </c>
      <c r="E372" s="440" t="s">
        <v>250</v>
      </c>
      <c r="F372" s="444" t="str">
        <f>OAA!F371</f>
        <v>Districts may provide teacher credential ID numbers so that teacher level results can be tracked across test administrations.</v>
      </c>
    </row>
    <row r="373" spans="1:6" ht="40.200000000000003" thickBot="1" x14ac:dyDescent="0.3">
      <c r="A373" s="443">
        <v>715</v>
      </c>
      <c r="B373" s="442">
        <v>723</v>
      </c>
      <c r="C373" s="441">
        <v>9</v>
      </c>
      <c r="D373" s="440" t="s">
        <v>202</v>
      </c>
      <c r="E373" s="440" t="s">
        <v>250</v>
      </c>
      <c r="F373" s="439" t="str">
        <f>OAA!F372</f>
        <v>Districts may provide teacher credential ID numbers so that teacher level results can be tracked across test administrations.</v>
      </c>
    </row>
    <row r="374" spans="1:6" ht="27" thickBot="1" x14ac:dyDescent="0.3">
      <c r="A374" s="443">
        <v>724</v>
      </c>
      <c r="B374" s="442">
        <v>743</v>
      </c>
      <c r="C374" s="446">
        <v>20</v>
      </c>
      <c r="D374" s="445" t="s">
        <v>204</v>
      </c>
      <c r="E374" s="440" t="s">
        <v>250</v>
      </c>
      <c r="F374" s="444" t="str">
        <f>OAA!F373</f>
        <v>Districts may populate this field with the writing course code.</v>
      </c>
    </row>
    <row r="375" spans="1:6" ht="27" thickBot="1" x14ac:dyDescent="0.3">
      <c r="A375" s="443">
        <v>744</v>
      </c>
      <c r="B375" s="442">
        <v>763</v>
      </c>
      <c r="C375" s="441">
        <v>20</v>
      </c>
      <c r="D375" s="440" t="s">
        <v>203</v>
      </c>
      <c r="E375" s="440" t="s">
        <v>250</v>
      </c>
      <c r="F375" s="439" t="str">
        <f>OAA!F374</f>
        <v>Districts may populate this field with the writing course code.</v>
      </c>
    </row>
    <row r="376" spans="1:6" ht="27" thickBot="1" x14ac:dyDescent="0.3">
      <c r="A376" s="443">
        <v>764</v>
      </c>
      <c r="B376" s="442">
        <v>783</v>
      </c>
      <c r="C376" s="449">
        <v>20</v>
      </c>
      <c r="D376" s="448" t="s">
        <v>310</v>
      </c>
      <c r="E376" s="440" t="s">
        <v>250</v>
      </c>
      <c r="F376" s="447" t="str">
        <f>OAA!F375</f>
        <v>Districts may populate this field with the writing course code.</v>
      </c>
    </row>
    <row r="377" spans="1:6" ht="27" thickBot="1" x14ac:dyDescent="0.3">
      <c r="A377" s="443">
        <v>784</v>
      </c>
      <c r="B377" s="442">
        <v>803</v>
      </c>
      <c r="C377" s="446">
        <v>20</v>
      </c>
      <c r="D377" s="445" t="s">
        <v>205</v>
      </c>
      <c r="E377" s="440" t="s">
        <v>250</v>
      </c>
      <c r="F377" s="444" t="str">
        <f>OAA!F376</f>
        <v>Districts may populate this field with the writing course code.</v>
      </c>
    </row>
    <row r="378" spans="1:6" ht="27" thickBot="1" x14ac:dyDescent="0.3">
      <c r="A378" s="443">
        <v>804</v>
      </c>
      <c r="B378" s="442">
        <v>823</v>
      </c>
      <c r="C378" s="441">
        <v>20</v>
      </c>
      <c r="D378" s="440" t="s">
        <v>206</v>
      </c>
      <c r="E378" s="440" t="s">
        <v>250</v>
      </c>
      <c r="F378" s="439" t="str">
        <f>OAA!F377</f>
        <v>Districts may populate this field with the writing course code.</v>
      </c>
    </row>
  </sheetData>
  <mergeCells count="1">
    <mergeCell ref="A1:F1"/>
  </mergeCells>
  <pageMargins left="0.75" right="0.75" top="1" bottom="1" header="0.5" footer="0.5"/>
  <pageSetup scale="91" fitToHeight="16"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8"/>
  <sheetViews>
    <sheetView zoomScale="80" workbookViewId="0">
      <selection activeCell="F9" sqref="F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91" customWidth="1"/>
    <col min="7" max="16384" width="9.109375" style="235"/>
  </cols>
  <sheetData>
    <row r="1" spans="1:9" customFormat="1" ht="103.95" customHeight="1" thickBot="1" x14ac:dyDescent="0.3">
      <c r="A1" s="666" t="s">
        <v>329</v>
      </c>
      <c r="B1" s="669"/>
      <c r="C1" s="669"/>
      <c r="D1" s="669"/>
      <c r="E1" s="669"/>
      <c r="F1" s="669"/>
      <c r="G1" s="669"/>
      <c r="H1" s="669"/>
      <c r="I1" s="669"/>
    </row>
    <row r="2" spans="1:9" s="191" customFormat="1" ht="13.8" thickBot="1" x14ac:dyDescent="0.3">
      <c r="A2" s="174" t="s">
        <v>44</v>
      </c>
      <c r="B2" s="175" t="s">
        <v>45</v>
      </c>
      <c r="C2" s="176" t="s">
        <v>46</v>
      </c>
      <c r="D2" s="177" t="s">
        <v>47</v>
      </c>
      <c r="E2" s="177" t="s">
        <v>48</v>
      </c>
      <c r="F2" s="178" t="s">
        <v>64</v>
      </c>
    </row>
    <row r="3" spans="1:9" s="191" customFormat="1" ht="13.8" thickBot="1" x14ac:dyDescent="0.3">
      <c r="A3" s="20">
        <v>1</v>
      </c>
      <c r="B3" s="21">
        <v>11</v>
      </c>
      <c r="C3" s="21">
        <v>11</v>
      </c>
      <c r="D3" s="22" t="s">
        <v>49</v>
      </c>
      <c r="E3" s="48" t="s">
        <v>50</v>
      </c>
      <c r="F3" s="26"/>
    </row>
    <row r="4" spans="1:9" s="191" customFormat="1" ht="13.8" thickBot="1" x14ac:dyDescent="0.3">
      <c r="A4" s="20">
        <v>12</v>
      </c>
      <c r="B4" s="21">
        <v>19</v>
      </c>
      <c r="C4" s="21">
        <v>8</v>
      </c>
      <c r="D4" s="38" t="s">
        <v>51</v>
      </c>
      <c r="E4" s="48" t="s">
        <v>50</v>
      </c>
      <c r="F4" s="26"/>
    </row>
    <row r="5" spans="1:9" s="191" customFormat="1" ht="13.8" thickBot="1" x14ac:dyDescent="0.3">
      <c r="A5" s="33">
        <v>20</v>
      </c>
      <c r="B5" s="34">
        <v>20</v>
      </c>
      <c r="C5" s="34">
        <v>1</v>
      </c>
      <c r="D5" s="35" t="s">
        <v>52</v>
      </c>
      <c r="E5" s="192" t="s">
        <v>50</v>
      </c>
      <c r="F5" s="37"/>
    </row>
    <row r="6" spans="1:9" s="191" customFormat="1" ht="27" thickBot="1" x14ac:dyDescent="0.3">
      <c r="A6" s="21">
        <v>21</v>
      </c>
      <c r="B6" s="21">
        <v>29</v>
      </c>
      <c r="C6" s="21">
        <v>9</v>
      </c>
      <c r="D6" s="39" t="s">
        <v>53</v>
      </c>
      <c r="E6" s="38" t="s">
        <v>54</v>
      </c>
      <c r="F6" s="45"/>
    </row>
    <row r="7" spans="1:9" s="191" customFormat="1" ht="27" thickBot="1" x14ac:dyDescent="0.3">
      <c r="A7" s="21">
        <v>30</v>
      </c>
      <c r="B7" s="21">
        <v>31</v>
      </c>
      <c r="C7" s="21">
        <v>2</v>
      </c>
      <c r="D7" s="41" t="s">
        <v>55</v>
      </c>
      <c r="E7" s="41" t="s">
        <v>56</v>
      </c>
      <c r="F7" s="45" t="s">
        <v>20</v>
      </c>
    </row>
    <row r="8" spans="1:9" s="191" customFormat="1" ht="13.8" thickBot="1" x14ac:dyDescent="0.3">
      <c r="A8" s="21">
        <v>32</v>
      </c>
      <c r="B8" s="21">
        <v>32</v>
      </c>
      <c r="C8" s="21">
        <v>1</v>
      </c>
      <c r="D8" s="41" t="s">
        <v>58</v>
      </c>
      <c r="E8" s="41" t="s">
        <v>59</v>
      </c>
      <c r="F8" s="45" t="s">
        <v>63</v>
      </c>
    </row>
    <row r="9" spans="1:9" s="191" customFormat="1" ht="13.8" thickBot="1" x14ac:dyDescent="0.3">
      <c r="A9" s="42">
        <v>33</v>
      </c>
      <c r="B9" s="42">
        <v>37</v>
      </c>
      <c r="C9" s="42">
        <v>5</v>
      </c>
      <c r="D9" s="43" t="s">
        <v>65</v>
      </c>
      <c r="E9" s="43"/>
      <c r="F9" s="57"/>
    </row>
    <row r="10" spans="1:9" s="191" customFormat="1" ht="13.8" thickBot="1" x14ac:dyDescent="0.3">
      <c r="A10" s="21">
        <v>38</v>
      </c>
      <c r="B10" s="21">
        <v>39</v>
      </c>
      <c r="C10" s="21">
        <v>2</v>
      </c>
      <c r="D10" s="41" t="s">
        <v>66</v>
      </c>
      <c r="E10" s="41" t="s">
        <v>67</v>
      </c>
      <c r="F10" s="267" t="str">
        <f>OAA!F9</f>
        <v>01, 02,..., 12</v>
      </c>
    </row>
    <row r="11" spans="1:9" s="191" customFormat="1" ht="13.8" thickBot="1" x14ac:dyDescent="0.3">
      <c r="A11" s="20">
        <v>40</v>
      </c>
      <c r="B11" s="21">
        <v>41</v>
      </c>
      <c r="C11" s="21">
        <v>2</v>
      </c>
      <c r="D11" s="41" t="s">
        <v>68</v>
      </c>
      <c r="E11" s="48" t="s">
        <v>67</v>
      </c>
      <c r="F11" s="267" t="str">
        <f>OAA!F10</f>
        <v>01, 02,..., 31</v>
      </c>
    </row>
    <row r="12" spans="1:9" s="191" customFormat="1" ht="13.8" thickBot="1" x14ac:dyDescent="0.3">
      <c r="A12" s="21">
        <v>42</v>
      </c>
      <c r="B12" s="21">
        <v>45</v>
      </c>
      <c r="C12" s="21">
        <v>4</v>
      </c>
      <c r="D12" s="41" t="s">
        <v>69</v>
      </c>
      <c r="E12" s="40" t="s">
        <v>67</v>
      </c>
      <c r="F12" s="267" t="str">
        <f>OAA!F11</f>
        <v>CCYY Format</v>
      </c>
    </row>
    <row r="13" spans="1:9" s="191" customFormat="1" ht="40.200000000000003" thickBot="1" x14ac:dyDescent="0.3">
      <c r="A13" s="21">
        <v>46</v>
      </c>
      <c r="B13" s="21">
        <v>47</v>
      </c>
      <c r="C13" s="21">
        <v>2</v>
      </c>
      <c r="D13" s="48" t="s">
        <v>71</v>
      </c>
      <c r="E13" s="48" t="s">
        <v>67</v>
      </c>
      <c r="F13" s="267" t="str">
        <f>OAA!F12</f>
        <v>22=Kindergarten, 01, 02, …. 13=Adult HS, 14=OGT Only, blank=missing/unknown</v>
      </c>
    </row>
    <row r="14" spans="1:9" s="191" customFormat="1" x14ac:dyDescent="0.25">
      <c r="A14" s="18">
        <v>48</v>
      </c>
      <c r="B14" s="18">
        <v>48</v>
      </c>
      <c r="C14" s="18">
        <v>1</v>
      </c>
      <c r="D14" s="46" t="s">
        <v>72</v>
      </c>
      <c r="E14" s="46" t="s">
        <v>50</v>
      </c>
      <c r="F14" s="268" t="str">
        <f>OAA!F13</f>
        <v>F=Female</v>
      </c>
    </row>
    <row r="15" spans="1:9" s="191" customFormat="1" x14ac:dyDescent="0.25">
      <c r="A15" s="17"/>
      <c r="B15" s="17"/>
      <c r="C15" s="17"/>
      <c r="D15" s="2"/>
      <c r="E15" s="2"/>
      <c r="F15" s="269" t="str">
        <f>OAA!F14</f>
        <v>M=Male</v>
      </c>
    </row>
    <row r="16" spans="1:9" s="191" customFormat="1" ht="13.8" thickBot="1" x14ac:dyDescent="0.3">
      <c r="A16" s="31"/>
      <c r="B16" s="31"/>
      <c r="C16" s="31"/>
      <c r="D16" s="50"/>
      <c r="E16" s="50"/>
      <c r="F16" s="271" t="str">
        <f>OAA!F15</f>
        <v>blank=unknown</v>
      </c>
    </row>
    <row r="17" spans="1:6" s="191" customFormat="1" x14ac:dyDescent="0.25">
      <c r="A17" s="18">
        <v>49</v>
      </c>
      <c r="B17" s="18">
        <v>49</v>
      </c>
      <c r="C17" s="18">
        <v>1</v>
      </c>
      <c r="D17" s="46" t="s">
        <v>73</v>
      </c>
      <c r="E17" s="19" t="s">
        <v>67</v>
      </c>
      <c r="F17" s="268" t="str">
        <f>OAA!F16</f>
        <v>1=American Indian</v>
      </c>
    </row>
    <row r="18" spans="1:6" s="191" customFormat="1" x14ac:dyDescent="0.25">
      <c r="A18" s="17"/>
      <c r="B18" s="17"/>
      <c r="C18" s="17"/>
      <c r="D18" s="2"/>
      <c r="E18" s="16"/>
      <c r="F18" s="269" t="str">
        <f>OAA!F17</f>
        <v>2=Asian/Pacific Islander</v>
      </c>
    </row>
    <row r="19" spans="1:6" s="191" customFormat="1" x14ac:dyDescent="0.25">
      <c r="A19" s="17"/>
      <c r="B19" s="17"/>
      <c r="C19" s="17"/>
      <c r="D19" s="2"/>
      <c r="E19" s="16"/>
      <c r="F19" s="269" t="str">
        <f>OAA!F18</f>
        <v>3=Black/African American</v>
      </c>
    </row>
    <row r="20" spans="1:6" s="191" customFormat="1" x14ac:dyDescent="0.25">
      <c r="A20" s="17"/>
      <c r="B20" s="17"/>
      <c r="C20" s="17"/>
      <c r="D20" s="2"/>
      <c r="E20" s="16"/>
      <c r="F20" s="269" t="str">
        <f>OAA!F19</f>
        <v>4=Hispanic</v>
      </c>
    </row>
    <row r="21" spans="1:6" s="191" customFormat="1" x14ac:dyDescent="0.25">
      <c r="A21" s="17"/>
      <c r="B21" s="17"/>
      <c r="C21" s="17"/>
      <c r="D21" s="2"/>
      <c r="E21" s="16"/>
      <c r="F21" s="269" t="str">
        <f>OAA!F20</f>
        <v>5=White</v>
      </c>
    </row>
    <row r="22" spans="1:6" s="191" customFormat="1" x14ac:dyDescent="0.25">
      <c r="A22" s="17"/>
      <c r="B22" s="17"/>
      <c r="C22" s="17"/>
      <c r="D22" s="2"/>
      <c r="E22" s="16"/>
      <c r="F22" s="269" t="str">
        <f>OAA!F21</f>
        <v>6=Multi-Racial</v>
      </c>
    </row>
    <row r="23" spans="1:6" s="191" customFormat="1" x14ac:dyDescent="0.25">
      <c r="A23" s="17"/>
      <c r="B23" s="17"/>
      <c r="C23" s="17"/>
      <c r="D23" s="2"/>
      <c r="E23" s="16"/>
      <c r="F23" s="269" t="str">
        <f>OAA!F22</f>
        <v>7=Other</v>
      </c>
    </row>
    <row r="24" spans="1:6" s="191" customFormat="1" ht="13.8" thickBot="1" x14ac:dyDescent="0.3">
      <c r="A24" s="31"/>
      <c r="B24" s="31"/>
      <c r="C24" s="31"/>
      <c r="D24" s="50"/>
      <c r="E24" s="32"/>
      <c r="F24" s="60" t="str">
        <f>OAA!F23</f>
        <v>Blank=Unknown</v>
      </c>
    </row>
    <row r="25" spans="1:6" s="191" customFormat="1" x14ac:dyDescent="0.25">
      <c r="A25" s="53">
        <v>50</v>
      </c>
      <c r="B25" s="53">
        <v>58</v>
      </c>
      <c r="C25" s="53">
        <v>9</v>
      </c>
      <c r="D25" s="54" t="s">
        <v>65</v>
      </c>
      <c r="E25" s="54"/>
      <c r="F25" s="61"/>
    </row>
    <row r="26" spans="1:6" s="191" customFormat="1" ht="13.8" thickBot="1" x14ac:dyDescent="0.3">
      <c r="A26" s="77">
        <v>59</v>
      </c>
      <c r="B26" s="77">
        <v>78</v>
      </c>
      <c r="C26" s="77">
        <v>20</v>
      </c>
      <c r="D26" s="104" t="s">
        <v>85</v>
      </c>
      <c r="E26" s="104" t="s">
        <v>59</v>
      </c>
      <c r="F26" s="194"/>
    </row>
    <row r="27" spans="1:6" s="191" customFormat="1" ht="13.8" thickBot="1" x14ac:dyDescent="0.3">
      <c r="A27" s="20">
        <v>79</v>
      </c>
      <c r="B27" s="21">
        <v>84</v>
      </c>
      <c r="C27" s="21">
        <v>6</v>
      </c>
      <c r="D27" s="48" t="s">
        <v>86</v>
      </c>
      <c r="E27" s="48" t="s">
        <v>87</v>
      </c>
      <c r="F27" s="196"/>
    </row>
    <row r="28" spans="1:6" s="191" customFormat="1" ht="13.8" thickBot="1" x14ac:dyDescent="0.3">
      <c r="A28" s="108">
        <v>85</v>
      </c>
      <c r="B28" s="108">
        <v>104</v>
      </c>
      <c r="C28" s="108">
        <v>20</v>
      </c>
      <c r="D28" s="109" t="s">
        <v>88</v>
      </c>
      <c r="E28" s="109" t="s">
        <v>59</v>
      </c>
      <c r="F28" s="198"/>
    </row>
    <row r="29" spans="1:6" s="191" customFormat="1" ht="13.8" thickBot="1" x14ac:dyDescent="0.3">
      <c r="A29" s="20">
        <v>105</v>
      </c>
      <c r="B29" s="21">
        <v>110</v>
      </c>
      <c r="C29" s="21">
        <v>6</v>
      </c>
      <c r="D29" s="48" t="s">
        <v>89</v>
      </c>
      <c r="E29" s="48" t="s">
        <v>87</v>
      </c>
      <c r="F29" s="196"/>
    </row>
    <row r="30" spans="1:6" s="191" customFormat="1" ht="13.8" thickBot="1" x14ac:dyDescent="0.3">
      <c r="A30" s="108">
        <v>111</v>
      </c>
      <c r="B30" s="108">
        <v>112</v>
      </c>
      <c r="C30" s="108">
        <v>2</v>
      </c>
      <c r="D30" s="111" t="s">
        <v>90</v>
      </c>
      <c r="E30" s="111" t="s">
        <v>87</v>
      </c>
      <c r="F30" s="113" t="str">
        <f>OAA!F29</f>
        <v>MM</v>
      </c>
    </row>
    <row r="31" spans="1:6" s="191" customFormat="1" ht="13.8" thickBot="1" x14ac:dyDescent="0.3">
      <c r="A31" s="20">
        <v>113</v>
      </c>
      <c r="B31" s="21">
        <v>114</v>
      </c>
      <c r="C31" s="21">
        <v>2</v>
      </c>
      <c r="D31" s="48" t="s">
        <v>91</v>
      </c>
      <c r="E31" s="48" t="s">
        <v>67</v>
      </c>
      <c r="F31" s="45" t="str">
        <f>OAA!F30</f>
        <v>DD</v>
      </c>
    </row>
    <row r="32" spans="1:6" s="191" customFormat="1" ht="13.8" thickBot="1" x14ac:dyDescent="0.3">
      <c r="A32" s="108">
        <v>115</v>
      </c>
      <c r="B32" s="108">
        <v>118</v>
      </c>
      <c r="C32" s="108">
        <v>4</v>
      </c>
      <c r="D32" s="112" t="s">
        <v>92</v>
      </c>
      <c r="E32" s="112" t="s">
        <v>87</v>
      </c>
      <c r="F32" s="113" t="str">
        <f>OAA!F31</f>
        <v>CCYY format</v>
      </c>
    </row>
    <row r="33" spans="1:6" s="191" customFormat="1" ht="13.8" thickBot="1" x14ac:dyDescent="0.3">
      <c r="A33" s="20">
        <v>119</v>
      </c>
      <c r="B33" s="21">
        <v>123</v>
      </c>
      <c r="C33" s="21">
        <v>5</v>
      </c>
      <c r="D33" s="40" t="s">
        <v>93</v>
      </c>
      <c r="E33" s="40" t="s">
        <v>54</v>
      </c>
      <c r="F33" s="196"/>
    </row>
    <row r="34" spans="1:6" s="191" customFormat="1" ht="13.8" thickBot="1" x14ac:dyDescent="0.3">
      <c r="A34" s="114">
        <v>124</v>
      </c>
      <c r="B34" s="114">
        <v>125</v>
      </c>
      <c r="C34" s="114">
        <v>2</v>
      </c>
      <c r="D34" s="199" t="s">
        <v>65</v>
      </c>
      <c r="E34" s="199"/>
      <c r="F34" s="202"/>
    </row>
    <row r="35" spans="1:6" s="191" customFormat="1" x14ac:dyDescent="0.25">
      <c r="A35" s="147">
        <v>126</v>
      </c>
      <c r="B35" s="148">
        <v>126</v>
      </c>
      <c r="C35" s="148">
        <v>1</v>
      </c>
      <c r="D35" s="203" t="s">
        <v>94</v>
      </c>
      <c r="E35" s="203" t="s">
        <v>50</v>
      </c>
      <c r="F35" s="150" t="str">
        <f>OAA!F34</f>
        <v>Y=Yes</v>
      </c>
    </row>
    <row r="36" spans="1:6" s="191" customFormat="1" ht="13.8" thickBot="1" x14ac:dyDescent="0.3">
      <c r="A36" s="30"/>
      <c r="B36" s="31"/>
      <c r="C36" s="31"/>
      <c r="D36" s="50"/>
      <c r="E36" s="50"/>
      <c r="F36" s="60" t="str">
        <f>OAA!F35</f>
        <v>Blank=Not Indicated</v>
      </c>
    </row>
    <row r="37" spans="1:6" s="191" customFormat="1" x14ac:dyDescent="0.25">
      <c r="A37" s="131">
        <v>127</v>
      </c>
      <c r="B37" s="18">
        <v>127</v>
      </c>
      <c r="C37" s="18">
        <v>1</v>
      </c>
      <c r="D37" s="46" t="s">
        <v>95</v>
      </c>
      <c r="E37" s="46" t="s">
        <v>50</v>
      </c>
      <c r="F37" s="58" t="str">
        <f>OAA!F36</f>
        <v>Y=Yes</v>
      </c>
    </row>
    <row r="38" spans="1:6" s="191" customFormat="1" ht="13.8" thickBot="1" x14ac:dyDescent="0.3">
      <c r="A38" s="30"/>
      <c r="B38" s="31"/>
      <c r="C38" s="31"/>
      <c r="D38" s="50"/>
      <c r="E38" s="50"/>
      <c r="F38" s="60" t="str">
        <f>OAA!F37</f>
        <v>Blank=Not Indicated</v>
      </c>
    </row>
    <row r="39" spans="1:6" s="191" customFormat="1" x14ac:dyDescent="0.25">
      <c r="A39" s="18">
        <v>128</v>
      </c>
      <c r="B39" s="18">
        <v>128</v>
      </c>
      <c r="C39" s="18">
        <v>1</v>
      </c>
      <c r="D39" s="46" t="s">
        <v>96</v>
      </c>
      <c r="E39" s="46" t="s">
        <v>50</v>
      </c>
      <c r="F39" s="58" t="str">
        <f>OAA!F38</f>
        <v>Y=Yes</v>
      </c>
    </row>
    <row r="40" spans="1:6" s="191" customFormat="1" ht="13.8" thickBot="1" x14ac:dyDescent="0.3">
      <c r="A40" s="77"/>
      <c r="B40" s="77"/>
      <c r="C40" s="77"/>
      <c r="D40" s="118"/>
      <c r="E40" s="118"/>
      <c r="F40" s="79" t="str">
        <f>OAA!F39</f>
        <v>Blank=Not Indicated</v>
      </c>
    </row>
    <row r="41" spans="1:6" s="191" customFormat="1" x14ac:dyDescent="0.25">
      <c r="A41" s="28">
        <v>129</v>
      </c>
      <c r="B41" s="29">
        <v>129</v>
      </c>
      <c r="C41" s="29">
        <v>1</v>
      </c>
      <c r="D41" s="116" t="s">
        <v>271</v>
      </c>
      <c r="E41" s="115" t="s">
        <v>50</v>
      </c>
      <c r="F41" s="117" t="str">
        <f>OAA!F40</f>
        <v>Y=Yes</v>
      </c>
    </row>
    <row r="42" spans="1:6" s="191" customFormat="1" ht="13.8" thickBot="1" x14ac:dyDescent="0.3">
      <c r="A42" s="30"/>
      <c r="B42" s="31"/>
      <c r="C42" s="31"/>
      <c r="D42" s="52"/>
      <c r="E42" s="52"/>
      <c r="F42" s="60" t="str">
        <f>OAA!F41</f>
        <v>Blank=Not Indicated</v>
      </c>
    </row>
    <row r="43" spans="1:6" s="191" customFormat="1" x14ac:dyDescent="0.25">
      <c r="A43" s="18">
        <v>130</v>
      </c>
      <c r="B43" s="18">
        <v>130</v>
      </c>
      <c r="C43" s="18">
        <v>1</v>
      </c>
      <c r="D43" s="27" t="s">
        <v>270</v>
      </c>
      <c r="E43" s="46" t="s">
        <v>50</v>
      </c>
      <c r="F43" s="58" t="str">
        <f>OAA!F42</f>
        <v>Y=Yes</v>
      </c>
    </row>
    <row r="44" spans="1:6" s="191" customFormat="1" ht="13.8" thickBot="1" x14ac:dyDescent="0.3">
      <c r="A44" s="77"/>
      <c r="B44" s="77"/>
      <c r="C44" s="77"/>
      <c r="D44" s="78"/>
      <c r="E44" s="78"/>
      <c r="F44" s="79" t="str">
        <f>OAA!F43</f>
        <v>Blank=Not Indicated</v>
      </c>
    </row>
    <row r="45" spans="1:6" s="191" customFormat="1" x14ac:dyDescent="0.25">
      <c r="A45" s="124">
        <v>131</v>
      </c>
      <c r="B45" s="125">
        <v>131</v>
      </c>
      <c r="C45" s="125">
        <v>1</v>
      </c>
      <c r="D45" s="204" t="s">
        <v>99</v>
      </c>
      <c r="E45" s="204" t="s">
        <v>50</v>
      </c>
      <c r="F45" s="152"/>
    </row>
    <row r="46" spans="1:6" s="191" customFormat="1" ht="13.8" thickBot="1" x14ac:dyDescent="0.3">
      <c r="A46" s="126"/>
      <c r="B46" s="127"/>
      <c r="C46" s="127"/>
      <c r="D46" s="206"/>
      <c r="E46" s="206"/>
      <c r="F46" s="153"/>
    </row>
    <row r="47" spans="1:6" s="191" customFormat="1" x14ac:dyDescent="0.25">
      <c r="A47" s="18">
        <v>132</v>
      </c>
      <c r="B47" s="18">
        <v>132</v>
      </c>
      <c r="C47" s="18">
        <v>1</v>
      </c>
      <c r="D47" s="46" t="s">
        <v>100</v>
      </c>
      <c r="E47" s="46" t="s">
        <v>50</v>
      </c>
      <c r="F47" s="58" t="str">
        <f>OAA!F46</f>
        <v>Y=Yes</v>
      </c>
    </row>
    <row r="48" spans="1:6" s="191" customFormat="1" ht="13.8" thickBot="1" x14ac:dyDescent="0.3">
      <c r="A48" s="77"/>
      <c r="B48" s="77"/>
      <c r="C48" s="77"/>
      <c r="D48" s="118"/>
      <c r="E48" s="118"/>
      <c r="F48" s="79" t="str">
        <f>OAA!F47</f>
        <v>Blank=Not Indicated</v>
      </c>
    </row>
    <row r="49" spans="1:6" s="191" customFormat="1" x14ac:dyDescent="0.25">
      <c r="A49" s="124">
        <v>133</v>
      </c>
      <c r="B49" s="125">
        <v>133</v>
      </c>
      <c r="C49" s="125">
        <v>1</v>
      </c>
      <c r="D49" s="204" t="s">
        <v>101</v>
      </c>
      <c r="E49" s="204" t="s">
        <v>50</v>
      </c>
      <c r="F49" s="152"/>
    </row>
    <row r="50" spans="1:6" s="191" customFormat="1" ht="13.8" thickBot="1" x14ac:dyDescent="0.3">
      <c r="A50" s="126"/>
      <c r="B50" s="127"/>
      <c r="C50" s="127"/>
      <c r="D50" s="205" t="s">
        <v>255</v>
      </c>
      <c r="E50" s="206"/>
      <c r="F50" s="153"/>
    </row>
    <row r="51" spans="1:6" s="191" customFormat="1" ht="13.8" thickBot="1" x14ac:dyDescent="0.3">
      <c r="A51" s="108">
        <v>134</v>
      </c>
      <c r="B51" s="108">
        <v>145</v>
      </c>
      <c r="C51" s="108">
        <v>12</v>
      </c>
      <c r="D51" s="213" t="s">
        <v>257</v>
      </c>
      <c r="E51" s="213" t="s">
        <v>54</v>
      </c>
      <c r="F51" s="198" t="s">
        <v>318</v>
      </c>
    </row>
    <row r="52" spans="1:6" s="191" customFormat="1" ht="26.4" x14ac:dyDescent="0.25">
      <c r="A52" s="28">
        <v>146</v>
      </c>
      <c r="B52" s="29">
        <v>147</v>
      </c>
      <c r="C52" s="29">
        <v>2</v>
      </c>
      <c r="D52" s="116" t="s">
        <v>102</v>
      </c>
      <c r="E52" s="116" t="s">
        <v>67</v>
      </c>
      <c r="F52" s="117" t="s">
        <v>214</v>
      </c>
    </row>
    <row r="53" spans="1:6" s="191" customFormat="1" x14ac:dyDescent="0.25">
      <c r="A53" s="121"/>
      <c r="B53" s="17"/>
      <c r="C53" s="17"/>
      <c r="D53" s="3"/>
      <c r="E53" s="3"/>
      <c r="F53" s="209" t="s">
        <v>215</v>
      </c>
    </row>
    <row r="54" spans="1:6" s="191" customFormat="1" x14ac:dyDescent="0.25">
      <c r="A54" s="121"/>
      <c r="B54" s="17"/>
      <c r="C54" s="17"/>
      <c r="D54" s="3"/>
      <c r="E54" s="3"/>
      <c r="F54" s="59" t="s">
        <v>216</v>
      </c>
    </row>
    <row r="55" spans="1:6" s="191" customFormat="1" x14ac:dyDescent="0.25">
      <c r="A55" s="121"/>
      <c r="B55" s="17"/>
      <c r="C55" s="17"/>
      <c r="D55" s="3"/>
      <c r="E55" s="3"/>
      <c r="F55" s="209" t="s">
        <v>217</v>
      </c>
    </row>
    <row r="56" spans="1:6" s="191" customFormat="1" x14ac:dyDescent="0.25">
      <c r="A56" s="121"/>
      <c r="B56" s="17"/>
      <c r="C56" s="17"/>
      <c r="D56" s="3"/>
      <c r="E56" s="3"/>
      <c r="F56" s="209" t="s">
        <v>218</v>
      </c>
    </row>
    <row r="57" spans="1:6" s="191" customFormat="1" x14ac:dyDescent="0.25">
      <c r="A57" s="121"/>
      <c r="B57" s="17"/>
      <c r="C57" s="17"/>
      <c r="D57" s="3"/>
      <c r="E57" s="3"/>
      <c r="F57" s="269" t="str">
        <f>OAA!F56</f>
        <v>99=invalidated (INV)</v>
      </c>
    </row>
    <row r="58" spans="1:6" s="191" customFormat="1" ht="13.8" thickBot="1" x14ac:dyDescent="0.3">
      <c r="A58" s="30"/>
      <c r="B58" s="31"/>
      <c r="C58" s="31"/>
      <c r="D58" s="52"/>
      <c r="E58" s="52"/>
      <c r="F58" s="271" t="str">
        <f>OAA!F57</f>
        <v>blank=DNA/TOG/DNS/Missing</v>
      </c>
    </row>
    <row r="59" spans="1:6" s="191" customFormat="1" x14ac:dyDescent="0.25">
      <c r="A59" s="18">
        <v>148</v>
      </c>
      <c r="B59" s="18">
        <v>150</v>
      </c>
      <c r="C59" s="18">
        <v>3</v>
      </c>
      <c r="D59" s="27" t="s">
        <v>103</v>
      </c>
      <c r="E59" s="27" t="s">
        <v>54</v>
      </c>
      <c r="F59" s="58" t="str">
        <f>OAA!F58</f>
        <v>Range 000-999</v>
      </c>
    </row>
    <row r="60" spans="1:6" s="191" customFormat="1" x14ac:dyDescent="0.25">
      <c r="A60" s="17"/>
      <c r="B60" s="17"/>
      <c r="C60" s="17"/>
      <c r="D60" s="3"/>
      <c r="E60" s="3"/>
      <c r="F60" s="269" t="str">
        <f>OAA!F59</f>
        <v>DNA=Did Not Attempt</v>
      </c>
    </row>
    <row r="61" spans="1:6" s="191" customFormat="1" x14ac:dyDescent="0.25">
      <c r="A61" s="17"/>
      <c r="B61" s="17"/>
      <c r="C61" s="17"/>
      <c r="D61" s="3"/>
      <c r="E61" s="3"/>
      <c r="F61" s="269" t="str">
        <f>OAA!F60</f>
        <v>TOG=Tested Out of Grade</v>
      </c>
    </row>
    <row r="62" spans="1:6" s="191" customFormat="1" x14ac:dyDescent="0.25">
      <c r="A62" s="77"/>
      <c r="B62" s="77"/>
      <c r="C62" s="77"/>
      <c r="D62" s="78"/>
      <c r="E62" s="78"/>
      <c r="F62" s="270" t="str">
        <f>OAA!F61</f>
        <v>DNS=Do Not Score</v>
      </c>
    </row>
    <row r="63" spans="1:6" s="191" customFormat="1" ht="13.8" thickBot="1" x14ac:dyDescent="0.3">
      <c r="A63" s="77"/>
      <c r="B63" s="77"/>
      <c r="C63" s="77"/>
      <c r="D63" s="78"/>
      <c r="E63" s="78"/>
      <c r="F63" s="270" t="str">
        <f>OAA!F62</f>
        <v>INV=Invalidated</v>
      </c>
    </row>
    <row r="64" spans="1:6" s="191" customFormat="1" ht="185.4" thickBot="1" x14ac:dyDescent="0.3">
      <c r="A64" s="20">
        <v>151</v>
      </c>
      <c r="B64" s="21">
        <v>152</v>
      </c>
      <c r="C64" s="21">
        <v>2</v>
      </c>
      <c r="D64" s="48" t="s">
        <v>105</v>
      </c>
      <c r="E64" s="48" t="s">
        <v>54</v>
      </c>
      <c r="F64"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85.4" thickBot="1" x14ac:dyDescent="0.3">
      <c r="A65" s="108">
        <v>153</v>
      </c>
      <c r="B65" s="108">
        <v>154</v>
      </c>
      <c r="C65" s="108">
        <v>2</v>
      </c>
      <c r="D65" s="213" t="s">
        <v>106</v>
      </c>
      <c r="E65" s="213" t="s">
        <v>54</v>
      </c>
      <c r="F65"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6" spans="1:6" s="191" customFormat="1" ht="119.4" thickBot="1" x14ac:dyDescent="0.3">
      <c r="A66" s="123">
        <v>155</v>
      </c>
      <c r="B66" s="42">
        <v>157</v>
      </c>
      <c r="C66" s="42">
        <v>3</v>
      </c>
      <c r="D66" s="44" t="s">
        <v>107</v>
      </c>
      <c r="E66" s="217" t="s">
        <v>87</v>
      </c>
      <c r="F66" s="214"/>
    </row>
    <row r="67" spans="1:6" s="191" customFormat="1" x14ac:dyDescent="0.25">
      <c r="A67" s="53">
        <v>158</v>
      </c>
      <c r="B67" s="53">
        <v>158</v>
      </c>
      <c r="C67" s="53">
        <v>1</v>
      </c>
      <c r="D67" s="54" t="s">
        <v>108</v>
      </c>
      <c r="E67" s="54" t="s">
        <v>59</v>
      </c>
      <c r="F67" s="61"/>
    </row>
    <row r="68" spans="1:6" s="191" customFormat="1" x14ac:dyDescent="0.25">
      <c r="A68" s="180"/>
      <c r="B68" s="180"/>
      <c r="C68" s="180"/>
      <c r="D68" s="227"/>
      <c r="E68" s="227"/>
      <c r="F68" s="172"/>
    </row>
    <row r="69" spans="1:6" s="191" customFormat="1" ht="13.8" thickBot="1" x14ac:dyDescent="0.3">
      <c r="A69" s="129"/>
      <c r="B69" s="129"/>
      <c r="C69" s="129"/>
      <c r="D69" s="227"/>
      <c r="E69" s="227"/>
      <c r="F69" s="172"/>
    </row>
    <row r="70" spans="1:6" s="191" customFormat="1" ht="119.4" thickBot="1" x14ac:dyDescent="0.3">
      <c r="A70" s="123">
        <v>159</v>
      </c>
      <c r="B70" s="42">
        <v>161</v>
      </c>
      <c r="C70" s="42">
        <v>3</v>
      </c>
      <c r="D70" s="44" t="s">
        <v>109</v>
      </c>
      <c r="E70" s="217" t="s">
        <v>87</v>
      </c>
      <c r="F70" s="214"/>
    </row>
    <row r="71" spans="1:6" s="191" customFormat="1" x14ac:dyDescent="0.25">
      <c r="A71" s="53">
        <v>162</v>
      </c>
      <c r="B71" s="53">
        <v>162</v>
      </c>
      <c r="C71" s="53">
        <v>1</v>
      </c>
      <c r="D71" s="54" t="s">
        <v>110</v>
      </c>
      <c r="E71" s="54" t="s">
        <v>59</v>
      </c>
      <c r="F71" s="61"/>
    </row>
    <row r="72" spans="1:6" s="191" customFormat="1" x14ac:dyDescent="0.25">
      <c r="A72" s="180"/>
      <c r="B72" s="180"/>
      <c r="C72" s="180"/>
      <c r="D72" s="227"/>
      <c r="E72" s="227"/>
      <c r="F72" s="172"/>
    </row>
    <row r="73" spans="1:6" s="191" customFormat="1" ht="13.8" thickBot="1" x14ac:dyDescent="0.3">
      <c r="A73" s="180"/>
      <c r="B73" s="180"/>
      <c r="C73" s="180"/>
      <c r="D73" s="227"/>
      <c r="E73" s="227"/>
      <c r="F73" s="172"/>
    </row>
    <row r="74" spans="1:6" s="191" customFormat="1" ht="79.8" thickBot="1" x14ac:dyDescent="0.3">
      <c r="A74" s="123">
        <v>163</v>
      </c>
      <c r="B74" s="42">
        <v>165</v>
      </c>
      <c r="C74" s="42">
        <v>3</v>
      </c>
      <c r="D74" s="44" t="s">
        <v>111</v>
      </c>
      <c r="E74" s="217" t="s">
        <v>87</v>
      </c>
      <c r="F74" s="214"/>
    </row>
    <row r="75" spans="1:6" s="191" customFormat="1" x14ac:dyDescent="0.25">
      <c r="A75" s="53">
        <v>166</v>
      </c>
      <c r="B75" s="53">
        <v>166</v>
      </c>
      <c r="C75" s="53">
        <v>1</v>
      </c>
      <c r="D75" s="54" t="s">
        <v>112</v>
      </c>
      <c r="E75" s="54" t="s">
        <v>59</v>
      </c>
      <c r="F75" s="61"/>
    </row>
    <row r="76" spans="1:6" s="191" customFormat="1" x14ac:dyDescent="0.25">
      <c r="A76" s="180"/>
      <c r="B76" s="180"/>
      <c r="C76" s="180"/>
      <c r="D76" s="227"/>
      <c r="E76" s="227"/>
      <c r="F76" s="172"/>
    </row>
    <row r="77" spans="1:6" s="191" customFormat="1" ht="13.8" thickBot="1" x14ac:dyDescent="0.3">
      <c r="A77" s="180"/>
      <c r="B77" s="180"/>
      <c r="C77" s="180"/>
      <c r="D77" s="227"/>
      <c r="E77" s="227"/>
      <c r="F77" s="172"/>
    </row>
    <row r="78" spans="1:6" s="191" customFormat="1" ht="93" thickBot="1" x14ac:dyDescent="0.3">
      <c r="A78" s="123">
        <v>167</v>
      </c>
      <c r="B78" s="42">
        <v>169</v>
      </c>
      <c r="C78" s="42">
        <v>3</v>
      </c>
      <c r="D78" s="44" t="s">
        <v>11</v>
      </c>
      <c r="E78" s="217" t="s">
        <v>87</v>
      </c>
      <c r="F78" s="214"/>
    </row>
    <row r="79" spans="1:6" s="191" customFormat="1" x14ac:dyDescent="0.25">
      <c r="A79" s="53">
        <v>170</v>
      </c>
      <c r="B79" s="53">
        <v>170</v>
      </c>
      <c r="C79" s="53">
        <v>1</v>
      </c>
      <c r="D79" s="54" t="s">
        <v>113</v>
      </c>
      <c r="E79" s="54" t="s">
        <v>59</v>
      </c>
      <c r="F79" s="61"/>
    </row>
    <row r="80" spans="1:6" s="191" customFormat="1" x14ac:dyDescent="0.25">
      <c r="A80" s="180"/>
      <c r="B80" s="180"/>
      <c r="C80" s="180"/>
      <c r="D80" s="227"/>
      <c r="E80" s="227"/>
      <c r="F80" s="172"/>
    </row>
    <row r="81" spans="1:6" s="191" customFormat="1" ht="13.8" thickBot="1" x14ac:dyDescent="0.3">
      <c r="A81" s="129"/>
      <c r="B81" s="129"/>
      <c r="C81" s="129"/>
      <c r="D81" s="231"/>
      <c r="E81" s="231"/>
      <c r="F81" s="173"/>
    </row>
    <row r="82" spans="1:6" s="191" customFormat="1" ht="13.8" thickBot="1" x14ac:dyDescent="0.3">
      <c r="A82" s="123">
        <v>171</v>
      </c>
      <c r="B82" s="42">
        <v>171</v>
      </c>
      <c r="C82" s="42">
        <v>1</v>
      </c>
      <c r="D82" s="217" t="s">
        <v>65</v>
      </c>
      <c r="E82" s="217"/>
      <c r="F82" s="214"/>
    </row>
    <row r="83" spans="1:6" s="191" customFormat="1" ht="26.4" x14ac:dyDescent="0.25">
      <c r="A83" s="28">
        <v>172</v>
      </c>
      <c r="B83" s="18">
        <v>174</v>
      </c>
      <c r="C83" s="18">
        <v>3</v>
      </c>
      <c r="D83" s="46" t="s">
        <v>25</v>
      </c>
      <c r="E83" s="46" t="s">
        <v>56</v>
      </c>
      <c r="F83" s="268" t="str">
        <f>OAA!F82</f>
        <v>With implied decimal, all tests other than OGT will end with 0</v>
      </c>
    </row>
    <row r="84" spans="1:6" s="191" customFormat="1" x14ac:dyDescent="0.25">
      <c r="A84" s="17"/>
      <c r="B84" s="17"/>
      <c r="C84" s="17"/>
      <c r="D84" s="3"/>
      <c r="E84" s="3"/>
      <c r="F84" s="269" t="str">
        <f>OAA!F83</f>
        <v>DNA=Did Not Attempt</v>
      </c>
    </row>
    <row r="85" spans="1:6" s="191" customFormat="1" x14ac:dyDescent="0.25">
      <c r="A85" s="17"/>
      <c r="B85" s="17"/>
      <c r="C85" s="17"/>
      <c r="D85" s="3"/>
      <c r="E85" s="3"/>
      <c r="F85" s="270" t="str">
        <f>OAA!F84</f>
        <v>TOG=Tested Out of Grade</v>
      </c>
    </row>
    <row r="86" spans="1:6" s="191" customFormat="1" x14ac:dyDescent="0.25">
      <c r="A86" s="77"/>
      <c r="B86" s="77"/>
      <c r="C86" s="77"/>
      <c r="D86" s="78"/>
      <c r="E86" s="78"/>
      <c r="F86" s="269" t="str">
        <f>OAA!F85</f>
        <v>DNS=Do Not Score</v>
      </c>
    </row>
    <row r="87" spans="1:6" s="191" customFormat="1" x14ac:dyDescent="0.25">
      <c r="A87" s="77"/>
      <c r="B87" s="77"/>
      <c r="C87" s="77"/>
      <c r="D87" s="78"/>
      <c r="E87" s="78"/>
      <c r="F87" s="270" t="str">
        <f>OAA!F86</f>
        <v>INV=Invalidated</v>
      </c>
    </row>
    <row r="88" spans="1:6" s="191" customFormat="1" ht="13.8" thickBot="1" x14ac:dyDescent="0.3">
      <c r="A88" s="77"/>
      <c r="B88" s="77"/>
      <c r="C88" s="77"/>
      <c r="D88" s="78"/>
      <c r="E88" s="118"/>
      <c r="F88" s="233"/>
    </row>
    <row r="89" spans="1:6" s="191" customFormat="1" x14ac:dyDescent="0.25">
      <c r="A89" s="124">
        <v>175</v>
      </c>
      <c r="B89" s="125">
        <v>180</v>
      </c>
      <c r="C89" s="125">
        <v>6</v>
      </c>
      <c r="D89" s="204" t="s">
        <v>65</v>
      </c>
      <c r="E89" s="204"/>
      <c r="F89" s="222"/>
    </row>
    <row r="90" spans="1:6" s="191" customFormat="1" ht="13.8" thickBot="1" x14ac:dyDescent="0.3">
      <c r="A90" s="126">
        <v>181</v>
      </c>
      <c r="B90" s="127">
        <v>192</v>
      </c>
      <c r="C90" s="127">
        <v>12</v>
      </c>
      <c r="D90" s="206" t="s">
        <v>65</v>
      </c>
      <c r="E90" s="206"/>
      <c r="F90" s="225"/>
    </row>
    <row r="91" spans="1:6" s="191" customFormat="1" ht="26.4" x14ac:dyDescent="0.25">
      <c r="A91" s="18">
        <v>193</v>
      </c>
      <c r="B91" s="18">
        <v>194</v>
      </c>
      <c r="C91" s="18">
        <v>2</v>
      </c>
      <c r="D91" s="27" t="s">
        <v>114</v>
      </c>
      <c r="E91" s="27" t="s">
        <v>67</v>
      </c>
      <c r="F91" s="117" t="s">
        <v>214</v>
      </c>
    </row>
    <row r="92" spans="1:6" s="191" customFormat="1" x14ac:dyDescent="0.25">
      <c r="A92" s="17"/>
      <c r="B92" s="17"/>
      <c r="C92" s="17"/>
      <c r="D92" s="3"/>
      <c r="E92" s="3"/>
      <c r="F92" s="209" t="s">
        <v>215</v>
      </c>
    </row>
    <row r="93" spans="1:6" s="191" customFormat="1" x14ac:dyDescent="0.25">
      <c r="A93" s="17"/>
      <c r="B93" s="17"/>
      <c r="C93" s="17"/>
      <c r="D93" s="3"/>
      <c r="E93" s="3"/>
      <c r="F93" s="59" t="s">
        <v>216</v>
      </c>
    </row>
    <row r="94" spans="1:6" s="191" customFormat="1" x14ac:dyDescent="0.25">
      <c r="A94" s="17"/>
      <c r="B94" s="17"/>
      <c r="C94" s="17"/>
      <c r="D94" s="3"/>
      <c r="E94" s="3"/>
      <c r="F94" s="209" t="s">
        <v>217</v>
      </c>
    </row>
    <row r="95" spans="1:6" s="191" customFormat="1" x14ac:dyDescent="0.25">
      <c r="A95" s="17"/>
      <c r="B95" s="17"/>
      <c r="C95" s="17"/>
      <c r="D95" s="3"/>
      <c r="E95" s="3"/>
      <c r="F95" s="209" t="s">
        <v>218</v>
      </c>
    </row>
    <row r="96" spans="1:6" s="191" customFormat="1" x14ac:dyDescent="0.25">
      <c r="A96" s="17"/>
      <c r="B96" s="17"/>
      <c r="C96" s="17"/>
      <c r="D96" s="3"/>
      <c r="E96" s="3"/>
      <c r="F96" s="269" t="str">
        <f>OAA!F95</f>
        <v>99=invalidated</v>
      </c>
    </row>
    <row r="97" spans="1:6" s="191" customFormat="1" ht="13.8" thickBot="1" x14ac:dyDescent="0.3">
      <c r="A97" s="77"/>
      <c r="B97" s="77"/>
      <c r="C97" s="77"/>
      <c r="D97" s="78"/>
      <c r="E97" s="78"/>
      <c r="F97" s="271" t="str">
        <f>OAA!F96</f>
        <v>blank=DNA/TOG/DNS/Missing</v>
      </c>
    </row>
    <row r="98" spans="1:6" s="191" customFormat="1" x14ac:dyDescent="0.25">
      <c r="A98" s="28">
        <v>195</v>
      </c>
      <c r="B98" s="29">
        <v>197</v>
      </c>
      <c r="C98" s="29">
        <v>3</v>
      </c>
      <c r="D98" s="115" t="s">
        <v>115</v>
      </c>
      <c r="E98" s="116" t="s">
        <v>54</v>
      </c>
      <c r="F98" s="58" t="str">
        <f>OAA!F97</f>
        <v>Range 000-999</v>
      </c>
    </row>
    <row r="99" spans="1:6" s="191" customFormat="1" x14ac:dyDescent="0.25">
      <c r="A99" s="121"/>
      <c r="B99" s="17"/>
      <c r="C99" s="17"/>
      <c r="D99" s="3"/>
      <c r="E99" s="3"/>
      <c r="F99" s="269" t="str">
        <f>OAA!F98</f>
        <v>DNA=Did Not Attempt</v>
      </c>
    </row>
    <row r="100" spans="1:6" s="191" customFormat="1" x14ac:dyDescent="0.25">
      <c r="A100" s="121"/>
      <c r="B100" s="17"/>
      <c r="C100" s="17"/>
      <c r="D100" s="3"/>
      <c r="E100" s="3"/>
      <c r="F100" s="269" t="str">
        <f>OAA!F99</f>
        <v>TOG=Tested Out of Grade</v>
      </c>
    </row>
    <row r="101" spans="1:6" s="191" customFormat="1" x14ac:dyDescent="0.25">
      <c r="A101" s="185"/>
      <c r="B101" s="77"/>
      <c r="C101" s="77"/>
      <c r="D101" s="78"/>
      <c r="E101" s="78"/>
      <c r="F101" s="269" t="str">
        <f>OAA!F100</f>
        <v>DNS=Do Not Score</v>
      </c>
    </row>
    <row r="102" spans="1:6" s="191" customFormat="1" ht="13.8" thickBot="1" x14ac:dyDescent="0.3">
      <c r="A102" s="30"/>
      <c r="B102" s="31"/>
      <c r="C102" s="31"/>
      <c r="D102" s="52"/>
      <c r="E102" s="52"/>
      <c r="F102" s="413" t="str">
        <f>OAA!F101</f>
        <v>INV=Invalidated</v>
      </c>
    </row>
    <row r="103" spans="1:6" s="191" customFormat="1" ht="106.2" thickBot="1" x14ac:dyDescent="0.3">
      <c r="A103" s="114">
        <v>198</v>
      </c>
      <c r="B103" s="114">
        <v>200</v>
      </c>
      <c r="C103" s="114">
        <v>3</v>
      </c>
      <c r="D103" s="119" t="s">
        <v>116</v>
      </c>
      <c r="E103" s="199" t="s">
        <v>87</v>
      </c>
      <c r="F103" s="202"/>
    </row>
    <row r="104" spans="1:6" s="191" customFormat="1" x14ac:dyDescent="0.25">
      <c r="A104" s="124">
        <v>201</v>
      </c>
      <c r="B104" s="125">
        <v>201</v>
      </c>
      <c r="C104" s="125">
        <v>1</v>
      </c>
      <c r="D104" s="204" t="s">
        <v>108</v>
      </c>
      <c r="E104" s="204" t="s">
        <v>59</v>
      </c>
      <c r="F104" s="152"/>
    </row>
    <row r="105" spans="1:6" s="191" customFormat="1" x14ac:dyDescent="0.25">
      <c r="A105" s="179"/>
      <c r="B105" s="180"/>
      <c r="C105" s="180"/>
      <c r="D105" s="227"/>
      <c r="E105" s="227"/>
      <c r="F105" s="172"/>
    </row>
    <row r="106" spans="1:6" s="191" customFormat="1" ht="13.8" thickBot="1" x14ac:dyDescent="0.3">
      <c r="A106" s="126"/>
      <c r="B106" s="127"/>
      <c r="C106" s="127"/>
      <c r="D106" s="206"/>
      <c r="E106" s="231"/>
      <c r="F106" s="153"/>
    </row>
    <row r="107" spans="1:6" s="191" customFormat="1" ht="198.6" thickBot="1" x14ac:dyDescent="0.3">
      <c r="A107" s="114">
        <v>202</v>
      </c>
      <c r="B107" s="114">
        <v>204</v>
      </c>
      <c r="C107" s="114">
        <v>3</v>
      </c>
      <c r="D107" s="119" t="s">
        <v>26</v>
      </c>
      <c r="E107" s="217" t="s">
        <v>87</v>
      </c>
      <c r="F107" s="202"/>
    </row>
    <row r="108" spans="1:6" s="191" customFormat="1" x14ac:dyDescent="0.25">
      <c r="A108" s="124">
        <v>205</v>
      </c>
      <c r="B108" s="125">
        <v>205</v>
      </c>
      <c r="C108" s="125">
        <v>1</v>
      </c>
      <c r="D108" s="204" t="s">
        <v>110</v>
      </c>
      <c r="E108" s="54" t="s">
        <v>59</v>
      </c>
      <c r="F108" s="152"/>
    </row>
    <row r="109" spans="1:6" s="191" customFormat="1" x14ac:dyDescent="0.25">
      <c r="A109" s="179"/>
      <c r="B109" s="180"/>
      <c r="C109" s="180"/>
      <c r="D109" s="227"/>
      <c r="E109" s="227"/>
      <c r="F109" s="172"/>
    </row>
    <row r="110" spans="1:6" s="191" customFormat="1" ht="13.8" thickBot="1" x14ac:dyDescent="0.3">
      <c r="A110" s="126"/>
      <c r="B110" s="127"/>
      <c r="C110" s="127"/>
      <c r="D110" s="206"/>
      <c r="E110" s="206"/>
      <c r="F110" s="153"/>
    </row>
    <row r="111" spans="1:6" s="191" customFormat="1" ht="159" thickBot="1" x14ac:dyDescent="0.3">
      <c r="A111" s="114">
        <v>206</v>
      </c>
      <c r="B111" s="114">
        <v>208</v>
      </c>
      <c r="C111" s="114">
        <v>3</v>
      </c>
      <c r="D111" s="119" t="s">
        <v>117</v>
      </c>
      <c r="E111" s="199" t="s">
        <v>87</v>
      </c>
      <c r="F111" s="202" t="s">
        <v>252</v>
      </c>
    </row>
    <row r="112" spans="1:6" s="191" customFormat="1" x14ac:dyDescent="0.25">
      <c r="A112" s="124">
        <v>209</v>
      </c>
      <c r="B112" s="125">
        <v>209</v>
      </c>
      <c r="C112" s="125">
        <v>1</v>
      </c>
      <c r="D112" s="204" t="s">
        <v>112</v>
      </c>
      <c r="E112" s="204" t="s">
        <v>59</v>
      </c>
      <c r="F112" s="152"/>
    </row>
    <row r="113" spans="1:6" s="191" customFormat="1" x14ac:dyDescent="0.25">
      <c r="A113" s="179"/>
      <c r="B113" s="180"/>
      <c r="C113" s="180"/>
      <c r="D113" s="227"/>
      <c r="E113" s="227"/>
      <c r="F113" s="172"/>
    </row>
    <row r="114" spans="1:6" s="191" customFormat="1" ht="13.8" thickBot="1" x14ac:dyDescent="0.3">
      <c r="A114" s="126"/>
      <c r="B114" s="127"/>
      <c r="C114" s="127"/>
      <c r="D114" s="206"/>
      <c r="E114" s="206"/>
      <c r="F114" s="153"/>
    </row>
    <row r="115" spans="1:6" s="191" customFormat="1" ht="159" thickBot="1" x14ac:dyDescent="0.3">
      <c r="A115" s="114">
        <v>210</v>
      </c>
      <c r="B115" s="114">
        <v>212</v>
      </c>
      <c r="C115" s="114">
        <v>3</v>
      </c>
      <c r="D115" s="119" t="s">
        <v>8</v>
      </c>
      <c r="E115" s="199" t="s">
        <v>87</v>
      </c>
      <c r="F115" s="202"/>
    </row>
    <row r="116" spans="1:6" s="191" customFormat="1" x14ac:dyDescent="0.25">
      <c r="A116" s="124">
        <v>213</v>
      </c>
      <c r="B116" s="125">
        <v>213</v>
      </c>
      <c r="C116" s="125">
        <v>1</v>
      </c>
      <c r="D116" s="204" t="s">
        <v>113</v>
      </c>
      <c r="E116" s="204" t="s">
        <v>59</v>
      </c>
      <c r="F116" s="152"/>
    </row>
    <row r="117" spans="1:6" s="191" customFormat="1" x14ac:dyDescent="0.25">
      <c r="A117" s="179"/>
      <c r="B117" s="180"/>
      <c r="C117" s="180"/>
      <c r="D117" s="227"/>
      <c r="E117" s="227"/>
      <c r="F117" s="172"/>
    </row>
    <row r="118" spans="1:6" s="191" customFormat="1" ht="13.8" thickBot="1" x14ac:dyDescent="0.3">
      <c r="A118" s="126"/>
      <c r="B118" s="127"/>
      <c r="C118" s="127"/>
      <c r="D118" s="206"/>
      <c r="E118" s="206"/>
      <c r="F118" s="153"/>
    </row>
    <row r="119" spans="1:6" s="191" customFormat="1" ht="79.8" thickBot="1" x14ac:dyDescent="0.3">
      <c r="A119" s="114">
        <v>214</v>
      </c>
      <c r="B119" s="114">
        <v>216</v>
      </c>
      <c r="C119" s="114">
        <v>3</v>
      </c>
      <c r="D119" s="119" t="s">
        <v>119</v>
      </c>
      <c r="E119" s="199" t="s">
        <v>87</v>
      </c>
      <c r="F119" s="226"/>
    </row>
    <row r="120" spans="1:6" s="191" customFormat="1" x14ac:dyDescent="0.25">
      <c r="A120" s="124">
        <v>217</v>
      </c>
      <c r="B120" s="125">
        <v>217</v>
      </c>
      <c r="C120" s="125">
        <v>1</v>
      </c>
      <c r="D120" s="204" t="s">
        <v>120</v>
      </c>
      <c r="E120" s="204" t="s">
        <v>59</v>
      </c>
      <c r="F120" s="152"/>
    </row>
    <row r="121" spans="1:6" s="191" customFormat="1" x14ac:dyDescent="0.25">
      <c r="A121" s="179"/>
      <c r="B121" s="180"/>
      <c r="C121" s="180"/>
      <c r="D121" s="227"/>
      <c r="E121" s="227"/>
      <c r="F121" s="172"/>
    </row>
    <row r="122" spans="1:6" s="191" customFormat="1" ht="13.8" thickBot="1" x14ac:dyDescent="0.3">
      <c r="A122" s="126"/>
      <c r="B122" s="127"/>
      <c r="C122" s="127"/>
      <c r="D122" s="206"/>
      <c r="E122" s="206"/>
      <c r="F122" s="153"/>
    </row>
    <row r="123" spans="1:6" s="191" customFormat="1" ht="13.8" thickBot="1" x14ac:dyDescent="0.3">
      <c r="A123" s="114">
        <v>218</v>
      </c>
      <c r="B123" s="114">
        <v>218</v>
      </c>
      <c r="C123" s="114">
        <v>1</v>
      </c>
      <c r="D123" s="199" t="s">
        <v>65</v>
      </c>
      <c r="E123" s="199"/>
      <c r="F123" s="202"/>
    </row>
    <row r="124" spans="1:6" s="191" customFormat="1" ht="26.4" x14ac:dyDescent="0.25">
      <c r="A124" s="28">
        <v>219</v>
      </c>
      <c r="B124" s="29">
        <v>221</v>
      </c>
      <c r="C124" s="29">
        <v>3</v>
      </c>
      <c r="D124" s="116" t="s">
        <v>121</v>
      </c>
      <c r="E124" s="115" t="s">
        <v>56</v>
      </c>
      <c r="F124" s="117" t="str">
        <f>OAA!F123</f>
        <v>Total raw score for Reading
99v9 - implied decimal</v>
      </c>
    </row>
    <row r="125" spans="1:6" s="191" customFormat="1" x14ac:dyDescent="0.25">
      <c r="A125" s="121"/>
      <c r="B125" s="17"/>
      <c r="C125" s="17"/>
      <c r="D125" s="3"/>
      <c r="E125" s="3"/>
      <c r="F125" s="269" t="str">
        <f>OAA!F124</f>
        <v>DNA=Did Not Attempt</v>
      </c>
    </row>
    <row r="126" spans="1:6" s="191" customFormat="1" x14ac:dyDescent="0.25">
      <c r="A126" s="121"/>
      <c r="B126" s="17"/>
      <c r="C126" s="17"/>
      <c r="D126" s="3"/>
      <c r="E126" s="3"/>
      <c r="F126" s="270" t="str">
        <f>OAA!F125</f>
        <v>TOG=Tested Out of Grade</v>
      </c>
    </row>
    <row r="127" spans="1:6" s="191" customFormat="1" x14ac:dyDescent="0.25">
      <c r="A127" s="185"/>
      <c r="B127" s="77"/>
      <c r="C127" s="77"/>
      <c r="D127" s="78"/>
      <c r="E127" s="78"/>
      <c r="F127" s="269" t="str">
        <f>OAA!F126</f>
        <v>DNS=Do Not Score</v>
      </c>
    </row>
    <row r="128" spans="1:6" s="191" customFormat="1" x14ac:dyDescent="0.25">
      <c r="A128" s="121"/>
      <c r="B128" s="17"/>
      <c r="C128" s="17"/>
      <c r="D128" s="3"/>
      <c r="E128" s="3"/>
      <c r="F128" s="269" t="str">
        <f>OAA!F127</f>
        <v>INV=Invalidated</v>
      </c>
    </row>
    <row r="129" spans="1:6" s="191" customFormat="1" ht="13.8" thickBot="1" x14ac:dyDescent="0.3">
      <c r="A129" s="30"/>
      <c r="B129" s="31"/>
      <c r="C129" s="31"/>
      <c r="D129" s="52"/>
      <c r="E129" s="50"/>
      <c r="F129" s="225"/>
    </row>
    <row r="130" spans="1:6" s="191" customFormat="1" x14ac:dyDescent="0.25">
      <c r="A130" s="53">
        <v>222</v>
      </c>
      <c r="B130" s="53">
        <v>228</v>
      </c>
      <c r="C130" s="53">
        <v>7</v>
      </c>
      <c r="D130" s="54" t="s">
        <v>65</v>
      </c>
      <c r="E130" s="54"/>
      <c r="F130" s="230"/>
    </row>
    <row r="131" spans="1:6" s="191" customFormat="1" ht="13.8" thickBot="1" x14ac:dyDescent="0.3">
      <c r="A131" s="129">
        <v>229</v>
      </c>
      <c r="B131" s="129">
        <v>240</v>
      </c>
      <c r="C131" s="129">
        <v>12</v>
      </c>
      <c r="D131" s="231" t="s">
        <v>65</v>
      </c>
      <c r="E131" s="231"/>
      <c r="F131" s="233"/>
    </row>
    <row r="132" spans="1:6" s="191" customFormat="1" ht="26.4" x14ac:dyDescent="0.25">
      <c r="A132" s="28">
        <v>241</v>
      </c>
      <c r="B132" s="29">
        <v>242</v>
      </c>
      <c r="C132" s="29">
        <v>2</v>
      </c>
      <c r="D132" s="116" t="s">
        <v>272</v>
      </c>
      <c r="E132" s="116" t="s">
        <v>67</v>
      </c>
      <c r="F132" s="117" t="s">
        <v>214</v>
      </c>
    </row>
    <row r="133" spans="1:6" s="191" customFormat="1" x14ac:dyDescent="0.25">
      <c r="A133" s="121"/>
      <c r="B133" s="17"/>
      <c r="C133" s="17"/>
      <c r="D133" s="3"/>
      <c r="E133" s="3"/>
      <c r="F133" s="209" t="s">
        <v>215</v>
      </c>
    </row>
    <row r="134" spans="1:6" s="191" customFormat="1" x14ac:dyDescent="0.25">
      <c r="A134" s="121"/>
      <c r="B134" s="17"/>
      <c r="C134" s="17"/>
      <c r="D134" s="3"/>
      <c r="E134" s="3"/>
      <c r="F134" s="59" t="s">
        <v>216</v>
      </c>
    </row>
    <row r="135" spans="1:6" s="191" customFormat="1" x14ac:dyDescent="0.25">
      <c r="A135" s="121"/>
      <c r="B135" s="17"/>
      <c r="C135" s="17"/>
      <c r="D135" s="3"/>
      <c r="E135" s="3"/>
      <c r="F135" s="209" t="s">
        <v>217</v>
      </c>
    </row>
    <row r="136" spans="1:6" s="191" customFormat="1" x14ac:dyDescent="0.25">
      <c r="A136" s="121"/>
      <c r="B136" s="17"/>
      <c r="C136" s="17"/>
      <c r="D136" s="3"/>
      <c r="E136" s="3"/>
      <c r="F136" s="209" t="s">
        <v>218</v>
      </c>
    </row>
    <row r="137" spans="1:6" s="191" customFormat="1" x14ac:dyDescent="0.25">
      <c r="A137" s="121"/>
      <c r="B137" s="17"/>
      <c r="C137" s="17"/>
      <c r="D137" s="3"/>
      <c r="E137" s="3"/>
      <c r="F137" s="269" t="str">
        <f>OAA!F136</f>
        <v>99=invalidated</v>
      </c>
    </row>
    <row r="138" spans="1:6" s="191" customFormat="1" ht="13.8" thickBot="1" x14ac:dyDescent="0.3">
      <c r="A138" s="30"/>
      <c r="B138" s="31"/>
      <c r="C138" s="31"/>
      <c r="D138" s="52"/>
      <c r="E138" s="52"/>
      <c r="F138" s="271" t="str">
        <f>OAA!F137</f>
        <v>blank=DNA/TOG/DNS/Missing</v>
      </c>
    </row>
    <row r="139" spans="1:6" s="191" customFormat="1" x14ac:dyDescent="0.25">
      <c r="A139" s="18">
        <v>243</v>
      </c>
      <c r="B139" s="18">
        <v>245</v>
      </c>
      <c r="C139" s="18">
        <v>3</v>
      </c>
      <c r="D139" s="27" t="s">
        <v>273</v>
      </c>
      <c r="E139" s="27" t="s">
        <v>54</v>
      </c>
      <c r="F139" s="58" t="str">
        <f>OAA!F138</f>
        <v>Range 000-999</v>
      </c>
    </row>
    <row r="140" spans="1:6" s="191" customFormat="1" x14ac:dyDescent="0.25">
      <c r="A140" s="17"/>
      <c r="B140" s="17"/>
      <c r="C140" s="17"/>
      <c r="D140" s="3"/>
      <c r="E140" s="3"/>
      <c r="F140" s="269" t="str">
        <f>OAA!F139</f>
        <v>DNA=Did Not Attempt</v>
      </c>
    </row>
    <row r="141" spans="1:6" s="191" customFormat="1" x14ac:dyDescent="0.25">
      <c r="A141" s="17"/>
      <c r="B141" s="17"/>
      <c r="C141" s="17"/>
      <c r="D141" s="3"/>
      <c r="E141" s="3"/>
      <c r="F141" s="269" t="str">
        <f>OAA!F140</f>
        <v>TOG=Tested Out of Grade</v>
      </c>
    </row>
    <row r="142" spans="1:6" s="191" customFormat="1" x14ac:dyDescent="0.25">
      <c r="A142" s="77"/>
      <c r="B142" s="77"/>
      <c r="C142" s="77"/>
      <c r="D142" s="78"/>
      <c r="E142" s="78"/>
      <c r="F142" s="270" t="str">
        <f>OAA!F141</f>
        <v>DNS=Do Not Score</v>
      </c>
    </row>
    <row r="143" spans="1:6" s="191" customFormat="1" ht="13.8" thickBot="1" x14ac:dyDescent="0.3">
      <c r="A143" s="77"/>
      <c r="B143" s="77"/>
      <c r="C143" s="77"/>
      <c r="D143" s="78"/>
      <c r="E143" s="78"/>
      <c r="F143" s="271" t="str">
        <f>OAA!F142</f>
        <v>INV=Invalidated</v>
      </c>
    </row>
    <row r="144" spans="1:6" s="191" customFormat="1" ht="93" thickBot="1" x14ac:dyDescent="0.3">
      <c r="A144" s="123">
        <v>246</v>
      </c>
      <c r="B144" s="42">
        <v>248</v>
      </c>
      <c r="C144" s="42">
        <v>3</v>
      </c>
      <c r="D144" s="44" t="s">
        <v>124</v>
      </c>
      <c r="E144" s="217" t="s">
        <v>87</v>
      </c>
      <c r="F144" s="202"/>
    </row>
    <row r="145" spans="1:6" s="191" customFormat="1" x14ac:dyDescent="0.25">
      <c r="A145" s="53">
        <v>249</v>
      </c>
      <c r="B145" s="53">
        <v>249</v>
      </c>
      <c r="C145" s="53">
        <v>1</v>
      </c>
      <c r="D145" s="54" t="s">
        <v>108</v>
      </c>
      <c r="E145" s="54" t="s">
        <v>59</v>
      </c>
      <c r="F145" s="152"/>
    </row>
    <row r="146" spans="1:6" s="191" customFormat="1" x14ac:dyDescent="0.25">
      <c r="A146" s="180"/>
      <c r="B146" s="180"/>
      <c r="C146" s="180"/>
      <c r="D146" s="227"/>
      <c r="E146" s="227"/>
      <c r="F146" s="172"/>
    </row>
    <row r="147" spans="1:6" s="191" customFormat="1" ht="13.8" thickBot="1" x14ac:dyDescent="0.3">
      <c r="A147" s="129"/>
      <c r="B147" s="129"/>
      <c r="C147" s="129"/>
      <c r="D147" s="231"/>
      <c r="E147" s="231"/>
      <c r="F147" s="153"/>
    </row>
    <row r="148" spans="1:6" s="191" customFormat="1" ht="119.4" thickBot="1" x14ac:dyDescent="0.3">
      <c r="A148" s="123">
        <v>250</v>
      </c>
      <c r="B148" s="42">
        <v>252</v>
      </c>
      <c r="C148" s="42">
        <v>3</v>
      </c>
      <c r="D148" s="44" t="s">
        <v>125</v>
      </c>
      <c r="E148" s="217" t="s">
        <v>87</v>
      </c>
      <c r="F148" s="202"/>
    </row>
    <row r="149" spans="1:6" s="191" customFormat="1" x14ac:dyDescent="0.25">
      <c r="A149" s="53">
        <v>253</v>
      </c>
      <c r="B149" s="53">
        <v>253</v>
      </c>
      <c r="C149" s="53">
        <v>1</v>
      </c>
      <c r="D149" s="54" t="s">
        <v>110</v>
      </c>
      <c r="E149" s="54" t="s">
        <v>59</v>
      </c>
      <c r="F149" s="152"/>
    </row>
    <row r="150" spans="1:6" s="191" customFormat="1" x14ac:dyDescent="0.25">
      <c r="A150" s="180"/>
      <c r="B150" s="180"/>
      <c r="C150" s="180"/>
      <c r="D150" s="227"/>
      <c r="E150" s="227"/>
      <c r="F150" s="172"/>
    </row>
    <row r="151" spans="1:6" s="191" customFormat="1" ht="13.8" thickBot="1" x14ac:dyDescent="0.3">
      <c r="A151" s="129"/>
      <c r="B151" s="129"/>
      <c r="C151" s="129"/>
      <c r="D151" s="231"/>
      <c r="E151" s="231"/>
      <c r="F151" s="153"/>
    </row>
    <row r="152" spans="1:6" s="191" customFormat="1" ht="119.4" thickBot="1" x14ac:dyDescent="0.3">
      <c r="A152" s="123">
        <v>254</v>
      </c>
      <c r="B152" s="42">
        <v>256</v>
      </c>
      <c r="C152" s="42">
        <v>3</v>
      </c>
      <c r="D152" s="44" t="s">
        <v>126</v>
      </c>
      <c r="E152" s="217" t="s">
        <v>87</v>
      </c>
      <c r="F152" s="202"/>
    </row>
    <row r="153" spans="1:6" s="191" customFormat="1" x14ac:dyDescent="0.25">
      <c r="A153" s="53">
        <v>257</v>
      </c>
      <c r="B153" s="53">
        <v>257</v>
      </c>
      <c r="C153" s="53">
        <v>1</v>
      </c>
      <c r="D153" s="54" t="s">
        <v>112</v>
      </c>
      <c r="E153" s="54" t="s">
        <v>59</v>
      </c>
      <c r="F153" s="152"/>
    </row>
    <row r="154" spans="1:6" s="191" customFormat="1" x14ac:dyDescent="0.25">
      <c r="A154" s="180"/>
      <c r="B154" s="180"/>
      <c r="C154" s="180"/>
      <c r="D154" s="227"/>
      <c r="E154" s="227"/>
      <c r="F154" s="172"/>
    </row>
    <row r="155" spans="1:6" s="191" customFormat="1" ht="13.8" thickBot="1" x14ac:dyDescent="0.3">
      <c r="A155" s="129"/>
      <c r="B155" s="129"/>
      <c r="C155" s="129"/>
      <c r="D155" s="231"/>
      <c r="E155" s="231"/>
      <c r="F155" s="153"/>
    </row>
    <row r="156" spans="1:6" s="191" customFormat="1" ht="132.6" thickBot="1" x14ac:dyDescent="0.3">
      <c r="A156" s="123">
        <v>258</v>
      </c>
      <c r="B156" s="42">
        <v>260</v>
      </c>
      <c r="C156" s="42">
        <v>3</v>
      </c>
      <c r="D156" s="44" t="s">
        <v>127</v>
      </c>
      <c r="E156" s="217" t="s">
        <v>87</v>
      </c>
      <c r="F156" s="202"/>
    </row>
    <row r="157" spans="1:6" s="191" customFormat="1" x14ac:dyDescent="0.25">
      <c r="A157" s="53">
        <v>261</v>
      </c>
      <c r="B157" s="53">
        <v>261</v>
      </c>
      <c r="C157" s="53">
        <v>1</v>
      </c>
      <c r="D157" s="54" t="s">
        <v>113</v>
      </c>
      <c r="E157" s="54" t="s">
        <v>59</v>
      </c>
      <c r="F157" s="152"/>
    </row>
    <row r="158" spans="1:6" s="191" customFormat="1" x14ac:dyDescent="0.25">
      <c r="A158" s="180"/>
      <c r="B158" s="180"/>
      <c r="C158" s="180"/>
      <c r="D158" s="227"/>
      <c r="E158" s="227"/>
      <c r="F158" s="172"/>
    </row>
    <row r="159" spans="1:6" s="191" customFormat="1" ht="13.8" thickBot="1" x14ac:dyDescent="0.3">
      <c r="A159" s="180"/>
      <c r="B159" s="180"/>
      <c r="C159" s="180"/>
      <c r="D159" s="227"/>
      <c r="E159" s="227"/>
      <c r="F159" s="153"/>
    </row>
    <row r="160" spans="1:6" s="191" customFormat="1" ht="119.4" thickBot="1" x14ac:dyDescent="0.3">
      <c r="A160" s="123">
        <v>262</v>
      </c>
      <c r="B160" s="42">
        <v>264</v>
      </c>
      <c r="C160" s="42">
        <v>3</v>
      </c>
      <c r="D160" s="44" t="s">
        <v>128</v>
      </c>
      <c r="E160" s="217"/>
      <c r="F160" s="226"/>
    </row>
    <row r="161" spans="1:6" s="191" customFormat="1" x14ac:dyDescent="0.25">
      <c r="A161" s="53">
        <v>265</v>
      </c>
      <c r="B161" s="53">
        <v>265</v>
      </c>
      <c r="C161" s="53">
        <v>1</v>
      </c>
      <c r="D161" s="54" t="s">
        <v>120</v>
      </c>
      <c r="E161" s="54" t="s">
        <v>59</v>
      </c>
      <c r="F161" s="152"/>
    </row>
    <row r="162" spans="1:6" s="191" customFormat="1" x14ac:dyDescent="0.25">
      <c r="A162" s="180"/>
      <c r="B162" s="180"/>
      <c r="C162" s="180"/>
      <c r="D162" s="227"/>
      <c r="E162" s="227"/>
      <c r="F162" s="172"/>
    </row>
    <row r="163" spans="1:6" s="191" customFormat="1" ht="13.8" thickBot="1" x14ac:dyDescent="0.3">
      <c r="A163" s="180"/>
      <c r="B163" s="180"/>
      <c r="C163" s="180"/>
      <c r="D163" s="227"/>
      <c r="E163" s="227"/>
      <c r="F163" s="153"/>
    </row>
    <row r="164" spans="1:6" s="191" customFormat="1" ht="13.8" thickBot="1" x14ac:dyDescent="0.3">
      <c r="A164" s="123">
        <v>266</v>
      </c>
      <c r="B164" s="42">
        <v>266</v>
      </c>
      <c r="C164" s="42">
        <v>1</v>
      </c>
      <c r="D164" s="217" t="s">
        <v>65</v>
      </c>
      <c r="E164" s="217"/>
      <c r="F164" s="214"/>
    </row>
    <row r="165" spans="1:6" s="191" customFormat="1" ht="26.4" x14ac:dyDescent="0.25">
      <c r="A165" s="131">
        <v>267</v>
      </c>
      <c r="B165" s="18">
        <v>269</v>
      </c>
      <c r="C165" s="18">
        <v>3</v>
      </c>
      <c r="D165" s="27" t="s">
        <v>12</v>
      </c>
      <c r="E165" s="46" t="s">
        <v>56</v>
      </c>
      <c r="F165" s="257" t="s">
        <v>14</v>
      </c>
    </row>
    <row r="166" spans="1:6" s="191" customFormat="1" x14ac:dyDescent="0.25">
      <c r="A166" s="17"/>
      <c r="B166" s="17"/>
      <c r="C166" s="17"/>
      <c r="D166" s="3"/>
      <c r="E166" s="3"/>
      <c r="F166" s="269" t="str">
        <f>OAA!F165</f>
        <v>DNA=Did Not Attempt</v>
      </c>
    </row>
    <row r="167" spans="1:6" s="191" customFormat="1" x14ac:dyDescent="0.25">
      <c r="A167" s="17"/>
      <c r="B167" s="17"/>
      <c r="C167" s="17"/>
      <c r="D167" s="3"/>
      <c r="E167" s="3"/>
      <c r="F167" s="269" t="str">
        <f>OAA!F166</f>
        <v>TOG=Tested Out of Grade</v>
      </c>
    </row>
    <row r="168" spans="1:6" s="191" customFormat="1" x14ac:dyDescent="0.25">
      <c r="A168" s="77"/>
      <c r="B168" s="77"/>
      <c r="C168" s="77"/>
      <c r="D168" s="78"/>
      <c r="E168" s="78"/>
      <c r="F168" s="269" t="str">
        <f>OAA!F167</f>
        <v>DNS=Do Not Score</v>
      </c>
    </row>
    <row r="169" spans="1:6" s="191" customFormat="1" x14ac:dyDescent="0.25">
      <c r="A169" s="77"/>
      <c r="B169" s="77"/>
      <c r="C169" s="77"/>
      <c r="D169" s="78"/>
      <c r="E169" s="78"/>
      <c r="F169" s="269" t="str">
        <f>OAA!F168</f>
        <v>INV=Invalidated</v>
      </c>
    </row>
    <row r="170" spans="1:6" s="191" customFormat="1" ht="13.8" thickBot="1" x14ac:dyDescent="0.3">
      <c r="A170" s="30"/>
      <c r="B170" s="31"/>
      <c r="C170" s="31"/>
      <c r="D170" s="52"/>
      <c r="E170" s="50"/>
      <c r="F170" s="225"/>
    </row>
    <row r="171" spans="1:6" s="191" customFormat="1" x14ac:dyDescent="0.25">
      <c r="A171" s="53">
        <v>270</v>
      </c>
      <c r="B171" s="53">
        <v>276</v>
      </c>
      <c r="C171" s="53">
        <v>7</v>
      </c>
      <c r="D171" s="54" t="s">
        <v>65</v>
      </c>
      <c r="E171" s="54"/>
      <c r="F171" s="230"/>
    </row>
    <row r="172" spans="1:6" s="191" customFormat="1" ht="13.8" thickBot="1" x14ac:dyDescent="0.3">
      <c r="A172" s="129">
        <v>277</v>
      </c>
      <c r="B172" s="129">
        <v>288</v>
      </c>
      <c r="C172" s="129">
        <v>12</v>
      </c>
      <c r="D172" s="231" t="s">
        <v>65</v>
      </c>
      <c r="E172" s="231"/>
      <c r="F172" s="233"/>
    </row>
    <row r="173" spans="1:6" s="191" customFormat="1" x14ac:dyDescent="0.25">
      <c r="A173" s="28">
        <v>289</v>
      </c>
      <c r="B173" s="29">
        <v>290</v>
      </c>
      <c r="C173" s="29">
        <v>2</v>
      </c>
      <c r="D173" s="116" t="s">
        <v>274</v>
      </c>
      <c r="E173" s="116" t="s">
        <v>67</v>
      </c>
      <c r="F173" s="117" t="s">
        <v>214</v>
      </c>
    </row>
    <row r="174" spans="1:6" s="191" customFormat="1" x14ac:dyDescent="0.25">
      <c r="A174" s="121"/>
      <c r="B174" s="17"/>
      <c r="C174" s="17"/>
      <c r="D174" s="3"/>
      <c r="E174" s="3"/>
      <c r="F174" s="209" t="s">
        <v>215</v>
      </c>
    </row>
    <row r="175" spans="1:6" s="191" customFormat="1" x14ac:dyDescent="0.25">
      <c r="A175" s="121"/>
      <c r="B175" s="17"/>
      <c r="C175" s="17"/>
      <c r="D175" s="3"/>
      <c r="E175" s="3"/>
      <c r="F175" s="59" t="s">
        <v>216</v>
      </c>
    </row>
    <row r="176" spans="1:6" s="191" customFormat="1" x14ac:dyDescent="0.25">
      <c r="A176" s="121"/>
      <c r="B176" s="17"/>
      <c r="C176" s="17"/>
      <c r="D176" s="3"/>
      <c r="E176" s="3"/>
      <c r="F176" s="209" t="s">
        <v>217</v>
      </c>
    </row>
    <row r="177" spans="1:6" s="191" customFormat="1" x14ac:dyDescent="0.25">
      <c r="A177" s="121"/>
      <c r="B177" s="17"/>
      <c r="C177" s="17"/>
      <c r="D177" s="3"/>
      <c r="E177" s="3"/>
      <c r="F177" s="209" t="s">
        <v>218</v>
      </c>
    </row>
    <row r="178" spans="1:6" s="191" customFormat="1" x14ac:dyDescent="0.25">
      <c r="A178" s="17"/>
      <c r="B178" s="17"/>
      <c r="C178" s="17"/>
      <c r="D178" s="3"/>
      <c r="E178" s="3"/>
      <c r="F178" s="269" t="str">
        <f>OAA!F177</f>
        <v>99=invalidated</v>
      </c>
    </row>
    <row r="179" spans="1:6" s="191" customFormat="1" ht="13.8" thickBot="1" x14ac:dyDescent="0.3">
      <c r="A179" s="33"/>
      <c r="B179" s="34"/>
      <c r="C179" s="34"/>
      <c r="D179" s="181"/>
      <c r="E179" s="181"/>
      <c r="F179" s="271" t="str">
        <f>OAA!F178</f>
        <v>blank=DNA/TOG/DNS/Missing</v>
      </c>
    </row>
    <row r="180" spans="1:6" s="191" customFormat="1" x14ac:dyDescent="0.25">
      <c r="A180" s="18">
        <v>291</v>
      </c>
      <c r="B180" s="18">
        <v>293</v>
      </c>
      <c r="C180" s="18">
        <v>3</v>
      </c>
      <c r="D180" s="27" t="s">
        <v>275</v>
      </c>
      <c r="E180" s="27" t="s">
        <v>54</v>
      </c>
      <c r="F180" s="58" t="str">
        <f>OAA!F179</f>
        <v>Range 000-999</v>
      </c>
    </row>
    <row r="181" spans="1:6" s="191" customFormat="1" x14ac:dyDescent="0.25">
      <c r="A181" s="17"/>
      <c r="B181" s="17"/>
      <c r="C181" s="17"/>
      <c r="D181" s="3"/>
      <c r="E181" s="3"/>
      <c r="F181" s="269" t="str">
        <f>OAA!F180</f>
        <v>DNA=Did Not Attempt</v>
      </c>
    </row>
    <row r="182" spans="1:6" s="191" customFormat="1" x14ac:dyDescent="0.25">
      <c r="A182" s="17"/>
      <c r="B182" s="17"/>
      <c r="C182" s="17"/>
      <c r="D182" s="3"/>
      <c r="E182" s="3"/>
      <c r="F182" s="269" t="str">
        <f>OAA!F181</f>
        <v>TOG=Tested Out of Grade</v>
      </c>
    </row>
    <row r="183" spans="1:6" s="191" customFormat="1" x14ac:dyDescent="0.25">
      <c r="A183" s="17"/>
      <c r="B183" s="17"/>
      <c r="C183" s="17"/>
      <c r="D183" s="3"/>
      <c r="E183" s="3"/>
      <c r="F183" s="269" t="str">
        <f>OAA!F182</f>
        <v>DNS=Do Not Score</v>
      </c>
    </row>
    <row r="184" spans="1:6" s="191" customFormat="1" ht="13.8" thickBot="1" x14ac:dyDescent="0.3">
      <c r="A184" s="77"/>
      <c r="B184" s="77"/>
      <c r="C184" s="77"/>
      <c r="D184" s="78"/>
      <c r="E184" s="78"/>
      <c r="F184" s="270" t="str">
        <f>OAA!F183</f>
        <v>INV=Invalidated</v>
      </c>
    </row>
    <row r="185" spans="1:6" s="191" customFormat="1" ht="93" thickBot="1" x14ac:dyDescent="0.3">
      <c r="A185" s="123">
        <v>294</v>
      </c>
      <c r="B185" s="42">
        <v>296</v>
      </c>
      <c r="C185" s="42">
        <v>3</v>
      </c>
      <c r="D185" s="44" t="s">
        <v>132</v>
      </c>
      <c r="E185" s="217" t="s">
        <v>87</v>
      </c>
      <c r="F185" s="234"/>
    </row>
    <row r="186" spans="1:6" s="191" customFormat="1" x14ac:dyDescent="0.25">
      <c r="A186" s="53">
        <v>297</v>
      </c>
      <c r="B186" s="53">
        <v>297</v>
      </c>
      <c r="C186" s="53">
        <v>1</v>
      </c>
      <c r="D186" s="54" t="s">
        <v>108</v>
      </c>
      <c r="E186" s="54" t="s">
        <v>59</v>
      </c>
      <c r="F186" s="152"/>
    </row>
    <row r="187" spans="1:6" s="191" customFormat="1" x14ac:dyDescent="0.25">
      <c r="A187" s="180"/>
      <c r="B187" s="180"/>
      <c r="C187" s="180"/>
      <c r="D187" s="227"/>
      <c r="E187" s="227"/>
      <c r="F187" s="172"/>
    </row>
    <row r="188" spans="1:6" s="191" customFormat="1" ht="13.8" thickBot="1" x14ac:dyDescent="0.3">
      <c r="A188" s="129"/>
      <c r="B188" s="129"/>
      <c r="C188" s="129"/>
      <c r="D188" s="231"/>
      <c r="E188" s="231"/>
      <c r="F188" s="153"/>
    </row>
    <row r="189" spans="1:6" s="191" customFormat="1" ht="172.2" thickBot="1" x14ac:dyDescent="0.3">
      <c r="A189" s="123">
        <v>298</v>
      </c>
      <c r="B189" s="42">
        <v>300</v>
      </c>
      <c r="C189" s="42">
        <v>3</v>
      </c>
      <c r="D189" s="44" t="s">
        <v>13</v>
      </c>
      <c r="E189" s="217" t="s">
        <v>87</v>
      </c>
      <c r="F189" s="202"/>
    </row>
    <row r="190" spans="1:6" s="191" customFormat="1" x14ac:dyDescent="0.25">
      <c r="A190" s="53">
        <v>301</v>
      </c>
      <c r="B190" s="53">
        <v>301</v>
      </c>
      <c r="C190" s="53">
        <v>1</v>
      </c>
      <c r="D190" s="54" t="s">
        <v>110</v>
      </c>
      <c r="E190" s="54" t="s">
        <v>59</v>
      </c>
      <c r="F190" s="152"/>
    </row>
    <row r="191" spans="1:6" s="191" customFormat="1" x14ac:dyDescent="0.25">
      <c r="A191" s="180"/>
      <c r="B191" s="180"/>
      <c r="C191" s="180"/>
      <c r="D191" s="227"/>
      <c r="E191" s="227"/>
      <c r="F191" s="172"/>
    </row>
    <row r="192" spans="1:6" s="191" customFormat="1" ht="13.8" thickBot="1" x14ac:dyDescent="0.3">
      <c r="A192" s="129"/>
      <c r="B192" s="129"/>
      <c r="C192" s="129"/>
      <c r="D192" s="231"/>
      <c r="E192" s="231"/>
      <c r="F192" s="153"/>
    </row>
    <row r="193" spans="1:6" s="191" customFormat="1" ht="106.2" thickBot="1" x14ac:dyDescent="0.3">
      <c r="A193" s="123">
        <v>302</v>
      </c>
      <c r="B193" s="42">
        <v>304</v>
      </c>
      <c r="C193" s="42">
        <v>3</v>
      </c>
      <c r="D193" s="44" t="s">
        <v>133</v>
      </c>
      <c r="E193" s="217" t="s">
        <v>87</v>
      </c>
      <c r="F193" s="202"/>
    </row>
    <row r="194" spans="1:6" s="191" customFormat="1" x14ac:dyDescent="0.25">
      <c r="A194" s="53">
        <v>305</v>
      </c>
      <c r="B194" s="53">
        <v>305</v>
      </c>
      <c r="C194" s="53">
        <v>1</v>
      </c>
      <c r="D194" s="54" t="s">
        <v>112</v>
      </c>
      <c r="E194" s="54" t="s">
        <v>59</v>
      </c>
      <c r="F194" s="152"/>
    </row>
    <row r="195" spans="1:6" s="191" customFormat="1" x14ac:dyDescent="0.25">
      <c r="A195" s="180"/>
      <c r="B195" s="180"/>
      <c r="C195" s="180"/>
      <c r="D195" s="227"/>
      <c r="E195" s="227"/>
      <c r="F195" s="172"/>
    </row>
    <row r="196" spans="1:6" s="191" customFormat="1" ht="13.8" thickBot="1" x14ac:dyDescent="0.3">
      <c r="A196" s="129"/>
      <c r="B196" s="129"/>
      <c r="C196" s="129"/>
      <c r="D196" s="231"/>
      <c r="E196" s="231"/>
      <c r="F196" s="153"/>
    </row>
    <row r="197" spans="1:6" s="191" customFormat="1" ht="132.6" thickBot="1" x14ac:dyDescent="0.3">
      <c r="A197" s="123">
        <v>306</v>
      </c>
      <c r="B197" s="42">
        <v>308</v>
      </c>
      <c r="C197" s="42">
        <v>3</v>
      </c>
      <c r="D197" s="44" t="s">
        <v>9</v>
      </c>
      <c r="E197" s="217" t="s">
        <v>87</v>
      </c>
      <c r="F197" s="202"/>
    </row>
    <row r="198" spans="1:6" s="191" customFormat="1" x14ac:dyDescent="0.25">
      <c r="A198" s="53">
        <v>309</v>
      </c>
      <c r="B198" s="53">
        <v>309</v>
      </c>
      <c r="C198" s="53">
        <v>1</v>
      </c>
      <c r="D198" s="54" t="s">
        <v>113</v>
      </c>
      <c r="E198" s="54" t="s">
        <v>59</v>
      </c>
      <c r="F198" s="152"/>
    </row>
    <row r="199" spans="1:6" s="191" customFormat="1" x14ac:dyDescent="0.25">
      <c r="A199" s="180"/>
      <c r="B199" s="180"/>
      <c r="C199" s="180"/>
      <c r="D199" s="227"/>
      <c r="E199" s="227"/>
      <c r="F199" s="172"/>
    </row>
    <row r="200" spans="1:6" s="191" customFormat="1" ht="13.8" thickBot="1" x14ac:dyDescent="0.3">
      <c r="A200" s="129"/>
      <c r="B200" s="129"/>
      <c r="C200" s="129"/>
      <c r="D200" s="231"/>
      <c r="E200" s="231"/>
      <c r="F200" s="153"/>
    </row>
    <row r="201" spans="1:6" s="191" customFormat="1" ht="79.8" thickBot="1" x14ac:dyDescent="0.3">
      <c r="A201" s="123">
        <v>310</v>
      </c>
      <c r="B201" s="42">
        <v>312</v>
      </c>
      <c r="C201" s="42">
        <v>3</v>
      </c>
      <c r="D201" s="44" t="s">
        <v>135</v>
      </c>
      <c r="E201" s="217" t="s">
        <v>87</v>
      </c>
      <c r="F201" s="226"/>
    </row>
    <row r="202" spans="1:6" s="191" customFormat="1" x14ac:dyDescent="0.25">
      <c r="A202" s="53">
        <v>313</v>
      </c>
      <c r="B202" s="53">
        <v>313</v>
      </c>
      <c r="C202" s="53">
        <v>1</v>
      </c>
      <c r="D202" s="54" t="s">
        <v>120</v>
      </c>
      <c r="E202" s="54" t="s">
        <v>59</v>
      </c>
      <c r="F202" s="152"/>
    </row>
    <row r="203" spans="1:6" s="191" customFormat="1" x14ac:dyDescent="0.25">
      <c r="A203" s="180"/>
      <c r="B203" s="180"/>
      <c r="C203" s="180"/>
      <c r="D203" s="227"/>
      <c r="E203" s="227"/>
      <c r="F203" s="172"/>
    </row>
    <row r="204" spans="1:6" s="191" customFormat="1" ht="13.8" thickBot="1" x14ac:dyDescent="0.3">
      <c r="A204" s="129"/>
      <c r="B204" s="129"/>
      <c r="C204" s="129"/>
      <c r="D204" s="231"/>
      <c r="E204" s="231"/>
      <c r="F204" s="153"/>
    </row>
    <row r="205" spans="1:6" s="191" customFormat="1" ht="13.8" thickBot="1" x14ac:dyDescent="0.3">
      <c r="A205" s="123">
        <v>314</v>
      </c>
      <c r="B205" s="42">
        <v>314</v>
      </c>
      <c r="C205" s="42">
        <v>1</v>
      </c>
      <c r="D205" s="217" t="s">
        <v>65</v>
      </c>
      <c r="E205" s="217"/>
      <c r="F205" s="214"/>
    </row>
    <row r="206" spans="1:6" s="191" customFormat="1" ht="26.4" x14ac:dyDescent="0.25">
      <c r="A206" s="18">
        <v>315</v>
      </c>
      <c r="B206" s="18">
        <v>317</v>
      </c>
      <c r="C206" s="18">
        <v>3</v>
      </c>
      <c r="D206" s="27" t="s">
        <v>276</v>
      </c>
      <c r="E206" s="27" t="s">
        <v>56</v>
      </c>
      <c r="F206" s="58" t="str">
        <f>OAA!F205</f>
        <v>Total raw score for Social Studies
99v9 - implied decimal</v>
      </c>
    </row>
    <row r="207" spans="1:6" s="191" customFormat="1" x14ac:dyDescent="0.25">
      <c r="A207" s="17"/>
      <c r="B207" s="17"/>
      <c r="C207" s="17"/>
      <c r="D207" s="3"/>
      <c r="E207" s="3"/>
      <c r="F207" s="269" t="str">
        <f>OAA!F206</f>
        <v>DNA=Did Not Attempt</v>
      </c>
    </row>
    <row r="208" spans="1:6" s="191" customFormat="1" x14ac:dyDescent="0.25">
      <c r="A208" s="17"/>
      <c r="B208" s="17"/>
      <c r="C208" s="17"/>
      <c r="D208" s="3"/>
      <c r="E208" s="3"/>
      <c r="F208" s="270" t="str">
        <f>OAA!F207</f>
        <v>TOG=Tested Out of Grade</v>
      </c>
    </row>
    <row r="209" spans="1:6" s="191" customFormat="1" x14ac:dyDescent="0.25">
      <c r="A209" s="17"/>
      <c r="B209" s="17"/>
      <c r="C209" s="17"/>
      <c r="D209" s="3"/>
      <c r="E209" s="3"/>
      <c r="F209" s="269" t="str">
        <f>OAA!F208</f>
        <v>DNS=Do Not Score</v>
      </c>
    </row>
    <row r="210" spans="1:6" s="191" customFormat="1" x14ac:dyDescent="0.25">
      <c r="A210" s="77"/>
      <c r="B210" s="77"/>
      <c r="C210" s="77"/>
      <c r="D210" s="78"/>
      <c r="E210" s="78"/>
      <c r="F210" s="269" t="str">
        <f>OAA!F209</f>
        <v>INV=Invalidated</v>
      </c>
    </row>
    <row r="211" spans="1:6" s="191" customFormat="1" ht="13.8" thickBot="1" x14ac:dyDescent="0.3">
      <c r="A211" s="77"/>
      <c r="B211" s="77"/>
      <c r="C211" s="77"/>
      <c r="D211" s="78"/>
      <c r="E211" s="118"/>
      <c r="F211" s="173"/>
    </row>
    <row r="212" spans="1:6" s="191" customFormat="1" x14ac:dyDescent="0.25">
      <c r="A212" s="124">
        <v>318</v>
      </c>
      <c r="B212" s="125">
        <v>324</v>
      </c>
      <c r="C212" s="125">
        <v>7</v>
      </c>
      <c r="D212" s="204" t="s">
        <v>65</v>
      </c>
      <c r="E212" s="204"/>
      <c r="F212" s="222"/>
    </row>
    <row r="213" spans="1:6" s="191" customFormat="1" ht="13.8" thickBot="1" x14ac:dyDescent="0.3">
      <c r="A213" s="126">
        <v>325</v>
      </c>
      <c r="B213" s="127">
        <v>336</v>
      </c>
      <c r="C213" s="127">
        <v>12</v>
      </c>
      <c r="D213" s="206" t="s">
        <v>65</v>
      </c>
      <c r="E213" s="206"/>
      <c r="F213" s="225"/>
    </row>
    <row r="214" spans="1:6" s="191" customFormat="1" ht="26.4" x14ac:dyDescent="0.25">
      <c r="A214" s="18">
        <v>337</v>
      </c>
      <c r="B214" s="18">
        <v>338</v>
      </c>
      <c r="C214" s="18">
        <v>2</v>
      </c>
      <c r="D214" s="27" t="s">
        <v>277</v>
      </c>
      <c r="E214" s="27" t="s">
        <v>67</v>
      </c>
      <c r="F214" s="117" t="s">
        <v>214</v>
      </c>
    </row>
    <row r="215" spans="1:6" s="191" customFormat="1" x14ac:dyDescent="0.25">
      <c r="A215" s="17"/>
      <c r="B215" s="17"/>
      <c r="C215" s="17"/>
      <c r="D215" s="3"/>
      <c r="E215" s="3"/>
      <c r="F215" s="209" t="s">
        <v>215</v>
      </c>
    </row>
    <row r="216" spans="1:6" s="191" customFormat="1" x14ac:dyDescent="0.25">
      <c r="A216" s="17"/>
      <c r="B216" s="17"/>
      <c r="C216" s="17"/>
      <c r="D216" s="3"/>
      <c r="E216" s="3"/>
      <c r="F216" s="59" t="s">
        <v>216</v>
      </c>
    </row>
    <row r="217" spans="1:6" s="191" customFormat="1" x14ac:dyDescent="0.25">
      <c r="A217" s="17"/>
      <c r="B217" s="17"/>
      <c r="C217" s="17"/>
      <c r="D217" s="3"/>
      <c r="E217" s="3"/>
      <c r="F217" s="209" t="s">
        <v>217</v>
      </c>
    </row>
    <row r="218" spans="1:6" s="191" customFormat="1" x14ac:dyDescent="0.25">
      <c r="A218" s="17"/>
      <c r="B218" s="17"/>
      <c r="C218" s="17"/>
      <c r="D218" s="3"/>
      <c r="E218" s="3"/>
      <c r="F218" s="209" t="s">
        <v>218</v>
      </c>
    </row>
    <row r="219" spans="1:6" s="191" customFormat="1" x14ac:dyDescent="0.25">
      <c r="A219" s="17"/>
      <c r="B219" s="17"/>
      <c r="C219" s="17"/>
      <c r="D219" s="3"/>
      <c r="E219" s="3"/>
      <c r="F219" s="269" t="str">
        <f>OAA!F218</f>
        <v>99=invalidated</v>
      </c>
    </row>
    <row r="220" spans="1:6" s="191" customFormat="1" ht="13.8" thickBot="1" x14ac:dyDescent="0.3">
      <c r="A220" s="77"/>
      <c r="B220" s="77"/>
      <c r="C220" s="77"/>
      <c r="D220" s="78"/>
      <c r="E220" s="78"/>
      <c r="F220" s="271" t="str">
        <f>OAA!F219</f>
        <v>blank=DNA/TOG/DNS/Missing</v>
      </c>
    </row>
    <row r="221" spans="1:6" s="191" customFormat="1" ht="26.4" x14ac:dyDescent="0.25">
      <c r="A221" s="28">
        <v>339</v>
      </c>
      <c r="B221" s="29">
        <v>341</v>
      </c>
      <c r="C221" s="29">
        <v>3</v>
      </c>
      <c r="D221" s="116" t="s">
        <v>278</v>
      </c>
      <c r="E221" s="116" t="s">
        <v>54</v>
      </c>
      <c r="F221" s="117" t="str">
        <f>OAA!F220</f>
        <v>Range 000-999</v>
      </c>
    </row>
    <row r="222" spans="1:6" s="191" customFormat="1" x14ac:dyDescent="0.25">
      <c r="A222" s="121"/>
      <c r="B222" s="17"/>
      <c r="C222" s="17"/>
      <c r="D222" s="3"/>
      <c r="E222" s="3"/>
      <c r="F222" s="269" t="str">
        <f>OAA!F221</f>
        <v>DNA=Did Not Attempt</v>
      </c>
    </row>
    <row r="223" spans="1:6" s="191" customFormat="1" x14ac:dyDescent="0.25">
      <c r="A223" s="121"/>
      <c r="B223" s="17"/>
      <c r="C223" s="17"/>
      <c r="D223" s="3"/>
      <c r="E223" s="3"/>
      <c r="F223" s="269" t="str">
        <f>OAA!F222</f>
        <v>TOG=Tested Out of Grade</v>
      </c>
    </row>
    <row r="224" spans="1:6" s="191" customFormat="1" x14ac:dyDescent="0.25">
      <c r="A224" s="121"/>
      <c r="B224" s="17"/>
      <c r="C224" s="17"/>
      <c r="D224" s="3"/>
      <c r="E224" s="3"/>
      <c r="F224" s="269" t="str">
        <f>OAA!F223</f>
        <v>DNS=Do Not Score</v>
      </c>
    </row>
    <row r="225" spans="1:7" s="191" customFormat="1" ht="13.8" thickBot="1" x14ac:dyDescent="0.3">
      <c r="A225" s="30"/>
      <c r="B225" s="31"/>
      <c r="C225" s="31"/>
      <c r="D225" s="52"/>
      <c r="E225" s="52"/>
      <c r="F225" s="271" t="str">
        <f>OAA!F224</f>
        <v>INV=Invalidated</v>
      </c>
    </row>
    <row r="226" spans="1:7" s="191" customFormat="1" ht="106.2" thickBot="1" x14ac:dyDescent="0.3">
      <c r="A226" s="114">
        <v>342</v>
      </c>
      <c r="B226" s="114">
        <v>344</v>
      </c>
      <c r="C226" s="114">
        <v>3</v>
      </c>
      <c r="D226" s="415" t="s">
        <v>319</v>
      </c>
      <c r="E226" s="199" t="s">
        <v>87</v>
      </c>
      <c r="F226" s="416" t="s">
        <v>214</v>
      </c>
      <c r="G226" s="417" t="s">
        <v>320</v>
      </c>
    </row>
    <row r="227" spans="1:7" s="191" customFormat="1" x14ac:dyDescent="0.25">
      <c r="A227" s="124">
        <v>345</v>
      </c>
      <c r="B227" s="125">
        <v>345</v>
      </c>
      <c r="C227" s="125">
        <v>1</v>
      </c>
      <c r="D227" s="204" t="s">
        <v>108</v>
      </c>
      <c r="E227" s="204" t="s">
        <v>59</v>
      </c>
      <c r="F227" s="152"/>
    </row>
    <row r="228" spans="1:7" s="191" customFormat="1" x14ac:dyDescent="0.25">
      <c r="A228" s="179"/>
      <c r="B228" s="180"/>
      <c r="C228" s="180"/>
      <c r="D228" s="227"/>
      <c r="E228" s="227"/>
      <c r="F228" s="172"/>
    </row>
    <row r="229" spans="1:7" s="191" customFormat="1" ht="13.8" thickBot="1" x14ac:dyDescent="0.3">
      <c r="A229" s="126"/>
      <c r="B229" s="127"/>
      <c r="C229" s="127"/>
      <c r="D229" s="206"/>
      <c r="E229" s="206"/>
      <c r="F229" s="173"/>
    </row>
    <row r="230" spans="1:7" s="191" customFormat="1" ht="119.4" thickBot="1" x14ac:dyDescent="0.3">
      <c r="A230" s="114">
        <v>346</v>
      </c>
      <c r="B230" s="114">
        <v>348</v>
      </c>
      <c r="C230" s="114">
        <v>3</v>
      </c>
      <c r="D230" s="415" t="s">
        <v>321</v>
      </c>
      <c r="E230" s="199" t="s">
        <v>87</v>
      </c>
      <c r="F230" s="418" t="s">
        <v>104</v>
      </c>
      <c r="G230" s="417" t="s">
        <v>322</v>
      </c>
    </row>
    <row r="231" spans="1:7" s="191" customFormat="1" x14ac:dyDescent="0.25">
      <c r="A231" s="124">
        <v>349</v>
      </c>
      <c r="B231" s="125">
        <v>349</v>
      </c>
      <c r="C231" s="125">
        <v>1</v>
      </c>
      <c r="D231" s="204" t="s">
        <v>110</v>
      </c>
      <c r="E231" s="204" t="s">
        <v>59</v>
      </c>
      <c r="F231" s="61"/>
    </row>
    <row r="232" spans="1:7" s="191" customFormat="1" x14ac:dyDescent="0.25">
      <c r="A232" s="179"/>
      <c r="B232" s="180"/>
      <c r="C232" s="180"/>
      <c r="D232" s="227"/>
      <c r="E232" s="227"/>
      <c r="F232" s="172"/>
    </row>
    <row r="233" spans="1:7" s="191" customFormat="1" ht="13.8" thickBot="1" x14ac:dyDescent="0.3">
      <c r="A233" s="179"/>
      <c r="B233" s="127"/>
      <c r="C233" s="127"/>
      <c r="D233" s="206"/>
      <c r="E233" s="206"/>
      <c r="F233" s="153"/>
    </row>
    <row r="234" spans="1:7" s="191" customFormat="1" ht="119.4" thickBot="1" x14ac:dyDescent="0.3">
      <c r="A234" s="114">
        <v>350</v>
      </c>
      <c r="B234" s="114">
        <v>352</v>
      </c>
      <c r="C234" s="114">
        <v>3</v>
      </c>
      <c r="D234" s="119" t="s">
        <v>15</v>
      </c>
      <c r="E234" s="199" t="s">
        <v>87</v>
      </c>
      <c r="F234" s="202"/>
    </row>
    <row r="235" spans="1:7" s="191" customFormat="1" x14ac:dyDescent="0.25">
      <c r="A235" s="124">
        <v>353</v>
      </c>
      <c r="B235" s="125">
        <v>353</v>
      </c>
      <c r="C235" s="125">
        <v>1</v>
      </c>
      <c r="D235" s="204" t="s">
        <v>112</v>
      </c>
      <c r="E235" s="204" t="s">
        <v>59</v>
      </c>
      <c r="F235" s="152"/>
    </row>
    <row r="236" spans="1:7" s="191" customFormat="1" x14ac:dyDescent="0.25">
      <c r="A236" s="179"/>
      <c r="B236" s="180"/>
      <c r="C236" s="180"/>
      <c r="D236" s="227"/>
      <c r="E236" s="227"/>
      <c r="F236" s="172"/>
    </row>
    <row r="237" spans="1:7" s="191" customFormat="1" ht="13.8" thickBot="1" x14ac:dyDescent="0.3">
      <c r="A237" s="126"/>
      <c r="B237" s="127"/>
      <c r="C237" s="127"/>
      <c r="D237" s="206"/>
      <c r="E237" s="206"/>
      <c r="F237" s="153"/>
    </row>
    <row r="238" spans="1:7" s="191" customFormat="1" ht="211.8" thickBot="1" x14ac:dyDescent="0.3">
      <c r="A238" s="114">
        <v>354</v>
      </c>
      <c r="B238" s="114">
        <v>356</v>
      </c>
      <c r="C238" s="114">
        <v>3</v>
      </c>
      <c r="D238" s="119" t="s">
        <v>10</v>
      </c>
      <c r="E238" s="199" t="s">
        <v>87</v>
      </c>
      <c r="F238" s="202"/>
    </row>
    <row r="239" spans="1:7" s="191" customFormat="1" x14ac:dyDescent="0.25">
      <c r="A239" s="124">
        <v>357</v>
      </c>
      <c r="B239" s="125">
        <v>357</v>
      </c>
      <c r="C239" s="125">
        <v>1</v>
      </c>
      <c r="D239" s="204" t="s">
        <v>113</v>
      </c>
      <c r="E239" s="204" t="s">
        <v>59</v>
      </c>
      <c r="F239" s="152"/>
    </row>
    <row r="240" spans="1:7" s="191" customFormat="1" x14ac:dyDescent="0.25">
      <c r="A240" s="179"/>
      <c r="B240" s="180"/>
      <c r="C240" s="180"/>
      <c r="D240" s="227"/>
      <c r="E240" s="227"/>
      <c r="F240" s="172"/>
    </row>
    <row r="241" spans="1:6" s="191" customFormat="1" ht="13.8" thickBot="1" x14ac:dyDescent="0.3">
      <c r="A241" s="126"/>
      <c r="B241" s="127"/>
      <c r="C241" s="127"/>
      <c r="D241" s="206"/>
      <c r="E241" s="206"/>
      <c r="F241" s="153"/>
    </row>
    <row r="242" spans="1:6" s="191" customFormat="1" ht="93" thickBot="1" x14ac:dyDescent="0.3">
      <c r="A242" s="114">
        <v>358</v>
      </c>
      <c r="B242" s="114">
        <v>360</v>
      </c>
      <c r="C242" s="114">
        <v>3</v>
      </c>
      <c r="D242" s="119" t="s">
        <v>139</v>
      </c>
      <c r="E242" s="199"/>
      <c r="F242" s="202"/>
    </row>
    <row r="243" spans="1:6" s="191" customFormat="1" x14ac:dyDescent="0.25">
      <c r="A243" s="124">
        <v>361</v>
      </c>
      <c r="B243" s="125">
        <v>361</v>
      </c>
      <c r="C243" s="125">
        <v>1</v>
      </c>
      <c r="D243" s="204" t="s">
        <v>120</v>
      </c>
      <c r="E243" s="204" t="s">
        <v>59</v>
      </c>
      <c r="F243" s="152"/>
    </row>
    <row r="244" spans="1:6" s="191" customFormat="1" x14ac:dyDescent="0.25">
      <c r="A244" s="179"/>
      <c r="B244" s="180"/>
      <c r="C244" s="180"/>
      <c r="D244" s="227"/>
      <c r="E244" s="227"/>
      <c r="F244" s="172"/>
    </row>
    <row r="245" spans="1:6" ht="13.8" thickBot="1" x14ac:dyDescent="0.3">
      <c r="A245" s="126"/>
      <c r="B245" s="127"/>
      <c r="C245" s="127"/>
      <c r="D245" s="206"/>
      <c r="E245" s="206"/>
      <c r="F245" s="153"/>
    </row>
    <row r="246" spans="1:6" ht="13.8" thickBot="1" x14ac:dyDescent="0.3">
      <c r="A246" s="114">
        <v>362</v>
      </c>
      <c r="B246" s="114">
        <v>362</v>
      </c>
      <c r="C246" s="114">
        <v>1</v>
      </c>
      <c r="D246" s="199" t="s">
        <v>65</v>
      </c>
      <c r="E246" s="199"/>
      <c r="F246" s="237"/>
    </row>
    <row r="247" spans="1:6" ht="26.4" x14ac:dyDescent="0.25">
      <c r="A247" s="124">
        <v>363</v>
      </c>
      <c r="B247" s="125">
        <v>365</v>
      </c>
      <c r="C247" s="125">
        <v>3</v>
      </c>
      <c r="D247" s="151" t="s">
        <v>269</v>
      </c>
      <c r="E247" s="151" t="s">
        <v>56</v>
      </c>
      <c r="F247" s="152"/>
    </row>
    <row r="248" spans="1:6" s="191" customFormat="1" x14ac:dyDescent="0.25">
      <c r="A248" s="179"/>
      <c r="B248" s="180"/>
      <c r="C248" s="180"/>
      <c r="D248" s="171"/>
      <c r="E248" s="171"/>
      <c r="F248" s="298"/>
    </row>
    <row r="249" spans="1:6" s="191" customFormat="1" x14ac:dyDescent="0.25">
      <c r="A249" s="179"/>
      <c r="B249" s="180"/>
      <c r="C249" s="180"/>
      <c r="D249" s="171"/>
      <c r="E249" s="171"/>
      <c r="F249" s="301"/>
    </row>
    <row r="250" spans="1:6" s="191" customFormat="1" x14ac:dyDescent="0.25">
      <c r="A250" s="179"/>
      <c r="B250" s="180"/>
      <c r="C250" s="180"/>
      <c r="D250" s="171"/>
      <c r="E250" s="171"/>
      <c r="F250" s="298"/>
    </row>
    <row r="251" spans="1:6" s="191" customFormat="1" x14ac:dyDescent="0.25">
      <c r="A251" s="179"/>
      <c r="B251" s="180"/>
      <c r="C251" s="180"/>
      <c r="D251" s="171"/>
      <c r="E251" s="171"/>
      <c r="F251" s="298"/>
    </row>
    <row r="252" spans="1:6" ht="13.8" thickBot="1" x14ac:dyDescent="0.3">
      <c r="A252" s="126"/>
      <c r="B252" s="127"/>
      <c r="C252" s="127"/>
      <c r="D252" s="128"/>
      <c r="E252" s="224"/>
      <c r="F252" s="153"/>
    </row>
    <row r="253" spans="1:6" ht="26.4" x14ac:dyDescent="0.25">
      <c r="A253" s="18">
        <v>366</v>
      </c>
      <c r="B253" s="18">
        <v>367</v>
      </c>
      <c r="C253" s="18">
        <v>2</v>
      </c>
      <c r="D253" s="27" t="s">
        <v>140</v>
      </c>
      <c r="E253" s="27" t="s">
        <v>87</v>
      </c>
      <c r="F253" s="58" t="s">
        <v>214</v>
      </c>
    </row>
    <row r="254" spans="1:6" x14ac:dyDescent="0.25">
      <c r="A254" s="17"/>
      <c r="B254" s="17"/>
      <c r="C254" s="17"/>
      <c r="D254" s="3"/>
      <c r="E254" s="3"/>
      <c r="F254" s="209" t="s">
        <v>215</v>
      </c>
    </row>
    <row r="255" spans="1:6" x14ac:dyDescent="0.25">
      <c r="A255" s="17"/>
      <c r="B255" s="17"/>
      <c r="C255" s="17"/>
      <c r="D255" s="3"/>
      <c r="E255" s="3"/>
      <c r="F255" s="59" t="s">
        <v>216</v>
      </c>
    </row>
    <row r="256" spans="1:6" x14ac:dyDescent="0.25">
      <c r="A256" s="17"/>
      <c r="B256" s="17"/>
      <c r="C256" s="17"/>
      <c r="D256" s="3"/>
      <c r="E256" s="3"/>
      <c r="F256" s="209" t="s">
        <v>217</v>
      </c>
    </row>
    <row r="257" spans="1:6" x14ac:dyDescent="0.25">
      <c r="A257" s="17"/>
      <c r="B257" s="17"/>
      <c r="C257" s="17"/>
      <c r="D257" s="3"/>
      <c r="E257" s="3"/>
      <c r="F257" s="209" t="s">
        <v>218</v>
      </c>
    </row>
    <row r="258" spans="1:6" s="191" customFormat="1" x14ac:dyDescent="0.25">
      <c r="A258" s="121"/>
      <c r="B258" s="17"/>
      <c r="C258" s="17"/>
      <c r="D258" s="3"/>
      <c r="E258" s="3"/>
      <c r="F258" s="59" t="s">
        <v>219</v>
      </c>
    </row>
    <row r="259" spans="1:6" ht="13.8" thickBot="1" x14ac:dyDescent="0.3">
      <c r="A259" s="108"/>
      <c r="B259" s="108"/>
      <c r="C259" s="108"/>
      <c r="D259" s="112"/>
      <c r="E259" s="112"/>
      <c r="F259" s="198" t="s">
        <v>254</v>
      </c>
    </row>
    <row r="260" spans="1:6" ht="26.4" x14ac:dyDescent="0.25">
      <c r="A260" s="28">
        <v>368</v>
      </c>
      <c r="B260" s="29">
        <v>370</v>
      </c>
      <c r="C260" s="29">
        <v>3</v>
      </c>
      <c r="D260" s="116" t="s">
        <v>141</v>
      </c>
      <c r="E260" s="116" t="s">
        <v>54</v>
      </c>
      <c r="F260" s="117" t="s">
        <v>104</v>
      </c>
    </row>
    <row r="261" spans="1:6" x14ac:dyDescent="0.25">
      <c r="A261" s="121"/>
      <c r="B261" s="17"/>
      <c r="C261" s="17"/>
      <c r="D261" s="3"/>
      <c r="E261" s="3"/>
      <c r="F261" s="59" t="s">
        <v>32</v>
      </c>
    </row>
    <row r="262" spans="1:6" x14ac:dyDescent="0.25">
      <c r="A262" s="185"/>
      <c r="B262" s="77"/>
      <c r="C262" s="77"/>
      <c r="D262" s="78"/>
      <c r="E262" s="78"/>
      <c r="F262" s="79" t="s">
        <v>33</v>
      </c>
    </row>
    <row r="263" spans="1:6" x14ac:dyDescent="0.25">
      <c r="A263" s="185"/>
      <c r="B263" s="77"/>
      <c r="C263" s="77"/>
      <c r="D263" s="78"/>
      <c r="E263" s="78"/>
      <c r="F263" s="79" t="s">
        <v>220</v>
      </c>
    </row>
    <row r="264" spans="1:6" ht="13.8" thickBot="1" x14ac:dyDescent="0.3">
      <c r="A264" s="30"/>
      <c r="B264" s="31"/>
      <c r="C264" s="31"/>
      <c r="D264" s="52"/>
      <c r="E264" s="52"/>
      <c r="F264" s="60" t="s">
        <v>221</v>
      </c>
    </row>
    <row r="265" spans="1:6" ht="13.8" thickBot="1" x14ac:dyDescent="0.3">
      <c r="A265" s="125">
        <v>371</v>
      </c>
      <c r="B265" s="125">
        <v>373</v>
      </c>
      <c r="C265" s="125">
        <v>3</v>
      </c>
      <c r="D265" s="151" t="s">
        <v>65</v>
      </c>
      <c r="E265" s="151"/>
      <c r="F265" s="314"/>
    </row>
    <row r="266" spans="1:6" ht="27" thickBot="1" x14ac:dyDescent="0.3">
      <c r="A266" s="20">
        <v>374</v>
      </c>
      <c r="B266" s="21">
        <v>382</v>
      </c>
      <c r="C266" s="21">
        <v>9</v>
      </c>
      <c r="D266" s="48" t="s">
        <v>142</v>
      </c>
      <c r="E266" s="48" t="s">
        <v>56</v>
      </c>
      <c r="F266" s="45" t="str">
        <f>OAA!F265</f>
        <v>State Student Identification Number, start with two alpha, then 7 numberic.</v>
      </c>
    </row>
    <row r="267" spans="1:6" ht="66" x14ac:dyDescent="0.25">
      <c r="A267" s="133">
        <v>383</v>
      </c>
      <c r="B267" s="133">
        <v>383</v>
      </c>
      <c r="C267" s="133">
        <v>1</v>
      </c>
      <c r="D267" s="27" t="s">
        <v>144</v>
      </c>
      <c r="E267" s="27" t="s">
        <v>59</v>
      </c>
      <c r="F267" s="268" t="str">
        <f>OAA!F266</f>
        <v>Y=Yes</v>
      </c>
    </row>
    <row r="268" spans="1:6" ht="13.8" thickBot="1" x14ac:dyDescent="0.3">
      <c r="A268" s="134"/>
      <c r="B268" s="134"/>
      <c r="C268" s="134"/>
      <c r="D268" s="78"/>
      <c r="E268" s="78"/>
      <c r="F268" s="270" t="str">
        <f>OAA!F267</f>
        <v>N=No</v>
      </c>
    </row>
    <row r="269" spans="1:6" ht="66" x14ac:dyDescent="0.25">
      <c r="A269" s="135">
        <v>384</v>
      </c>
      <c r="B269" s="136">
        <v>384</v>
      </c>
      <c r="C269" s="136">
        <v>1</v>
      </c>
      <c r="D269" s="116" t="s">
        <v>145</v>
      </c>
      <c r="E269" s="116" t="s">
        <v>59</v>
      </c>
      <c r="F269" s="281" t="str">
        <f>OAA!F268</f>
        <v>Y=Yes</v>
      </c>
    </row>
    <row r="270" spans="1:6" ht="13.8" thickBot="1" x14ac:dyDescent="0.3">
      <c r="A270" s="137"/>
      <c r="B270" s="138"/>
      <c r="C270" s="138"/>
      <c r="D270" s="52"/>
      <c r="E270" s="52"/>
      <c r="F270" s="271" t="str">
        <f>OAA!F269</f>
        <v>N=No</v>
      </c>
    </row>
    <row r="271" spans="1:6" ht="66" x14ac:dyDescent="0.25">
      <c r="A271" s="133">
        <v>385</v>
      </c>
      <c r="B271" s="133">
        <v>385</v>
      </c>
      <c r="C271" s="133">
        <v>1</v>
      </c>
      <c r="D271" s="27" t="s">
        <v>279</v>
      </c>
      <c r="E271" s="27" t="s">
        <v>59</v>
      </c>
      <c r="F271" s="268" t="str">
        <f>OAA!F270</f>
        <v>Y=Yes</v>
      </c>
    </row>
    <row r="272" spans="1:6" ht="13.8" thickBot="1" x14ac:dyDescent="0.3">
      <c r="A272" s="134"/>
      <c r="B272" s="134"/>
      <c r="C272" s="134"/>
      <c r="D272" s="78"/>
      <c r="E272" s="78"/>
      <c r="F272" s="270" t="str">
        <f>OAA!F271</f>
        <v>N=No</v>
      </c>
    </row>
    <row r="273" spans="1:6" ht="66" x14ac:dyDescent="0.25">
      <c r="A273" s="135">
        <v>386</v>
      </c>
      <c r="B273" s="136">
        <v>386</v>
      </c>
      <c r="C273" s="136">
        <v>1</v>
      </c>
      <c r="D273" s="116" t="s">
        <v>280</v>
      </c>
      <c r="E273" s="116" t="s">
        <v>59</v>
      </c>
      <c r="F273" s="281" t="str">
        <f>OAA!F272</f>
        <v>Y=Yes</v>
      </c>
    </row>
    <row r="274" spans="1:6" ht="13.8" thickBot="1" x14ac:dyDescent="0.3">
      <c r="A274" s="137"/>
      <c r="B274" s="138"/>
      <c r="C274" s="138"/>
      <c r="D274" s="52"/>
      <c r="E274" s="52"/>
      <c r="F274" s="271" t="str">
        <f>OAA!F273</f>
        <v>N=No</v>
      </c>
    </row>
    <row r="275" spans="1:6" ht="66" x14ac:dyDescent="0.25">
      <c r="A275" s="315">
        <v>387</v>
      </c>
      <c r="B275" s="315">
        <v>387</v>
      </c>
      <c r="C275" s="315">
        <v>1</v>
      </c>
      <c r="D275" s="56" t="s">
        <v>148</v>
      </c>
      <c r="E275" s="56" t="s">
        <v>59</v>
      </c>
      <c r="F275" s="61"/>
    </row>
    <row r="276" spans="1:6" ht="13.8" thickBot="1" x14ac:dyDescent="0.3">
      <c r="A276" s="316"/>
      <c r="B276" s="316"/>
      <c r="C276" s="316"/>
      <c r="D276" s="130"/>
      <c r="E276" s="130"/>
      <c r="F276" s="173"/>
    </row>
    <row r="277" spans="1:6" ht="13.8" thickBot="1" x14ac:dyDescent="0.3">
      <c r="A277" s="139">
        <v>388</v>
      </c>
      <c r="B277" s="140">
        <v>392</v>
      </c>
      <c r="C277" s="140">
        <v>5</v>
      </c>
      <c r="D277" s="44" t="s">
        <v>65</v>
      </c>
      <c r="E277" s="44"/>
      <c r="F277" s="214"/>
    </row>
    <row r="278" spans="1:6" ht="13.8" thickBot="1" x14ac:dyDescent="0.3">
      <c r="A278" s="142">
        <v>393</v>
      </c>
      <c r="B278" s="142">
        <v>402</v>
      </c>
      <c r="C278" s="142">
        <v>10</v>
      </c>
      <c r="D278" s="112" t="s">
        <v>149</v>
      </c>
      <c r="E278" s="112" t="s">
        <v>56</v>
      </c>
      <c r="F278" s="113" t="str">
        <f>OAA!F277</f>
        <v>Writing class name or course name</v>
      </c>
    </row>
    <row r="279" spans="1:6" ht="27" thickBot="1" x14ac:dyDescent="0.3">
      <c r="A279" s="143">
        <v>403</v>
      </c>
      <c r="B279" s="144">
        <v>407</v>
      </c>
      <c r="C279" s="144">
        <v>5</v>
      </c>
      <c r="D279" s="40" t="s">
        <v>151</v>
      </c>
      <c r="E279" s="40" t="s">
        <v>56</v>
      </c>
      <c r="F279" s="45" t="str">
        <f>OAA!F278</f>
        <v>Writing class session number or course session number</v>
      </c>
    </row>
    <row r="280" spans="1:6" ht="27" thickBot="1" x14ac:dyDescent="0.3">
      <c r="A280" s="142">
        <v>408</v>
      </c>
      <c r="B280" s="142">
        <v>427</v>
      </c>
      <c r="C280" s="142">
        <v>20</v>
      </c>
      <c r="D280" s="112" t="s">
        <v>153</v>
      </c>
      <c r="E280" s="112" t="s">
        <v>59</v>
      </c>
      <c r="F280" s="113" t="str">
        <f>OAA!F279</f>
        <v>Writing teacher name (Last Name, First)</v>
      </c>
    </row>
    <row r="281" spans="1:6" ht="13.8" thickBot="1" x14ac:dyDescent="0.3">
      <c r="A281" s="143">
        <v>428</v>
      </c>
      <c r="B281" s="144">
        <v>437</v>
      </c>
      <c r="C281" s="144">
        <v>10</v>
      </c>
      <c r="D281" s="40" t="s">
        <v>155</v>
      </c>
      <c r="E281" s="40" t="s">
        <v>56</v>
      </c>
      <c r="F281" s="45" t="str">
        <f>OAA!F280</f>
        <v>Reading class name or course name</v>
      </c>
    </row>
    <row r="282" spans="1:6" ht="27" thickBot="1" x14ac:dyDescent="0.3">
      <c r="A282" s="142">
        <v>438</v>
      </c>
      <c r="B282" s="142">
        <v>442</v>
      </c>
      <c r="C282" s="142">
        <v>5</v>
      </c>
      <c r="D282" s="112" t="s">
        <v>157</v>
      </c>
      <c r="E282" s="112" t="s">
        <v>56</v>
      </c>
      <c r="F282" s="113" t="str">
        <f>OAA!F281</f>
        <v>Reading class session number or course session number</v>
      </c>
    </row>
    <row r="283" spans="1:6" ht="27" thickBot="1" x14ac:dyDescent="0.3">
      <c r="A283" s="143">
        <v>443</v>
      </c>
      <c r="B283" s="144">
        <v>462</v>
      </c>
      <c r="C283" s="144">
        <v>20</v>
      </c>
      <c r="D283" s="40" t="s">
        <v>159</v>
      </c>
      <c r="E283" s="40" t="s">
        <v>59</v>
      </c>
      <c r="F283" s="45" t="str">
        <f>OAA!F282</f>
        <v>Reading teacher name (Last Name, First)</v>
      </c>
    </row>
    <row r="284" spans="1:6" ht="13.8" thickBot="1" x14ac:dyDescent="0.3">
      <c r="A284" s="317">
        <v>463</v>
      </c>
      <c r="B284" s="317">
        <v>472</v>
      </c>
      <c r="C284" s="317">
        <v>10</v>
      </c>
      <c r="D284" s="119" t="s">
        <v>161</v>
      </c>
      <c r="E284" s="119" t="s">
        <v>56</v>
      </c>
      <c r="F284" s="243"/>
    </row>
    <row r="285" spans="1:6" ht="13.8" thickBot="1" x14ac:dyDescent="0.3">
      <c r="A285" s="139">
        <v>473</v>
      </c>
      <c r="B285" s="140">
        <v>477</v>
      </c>
      <c r="C285" s="140">
        <v>5</v>
      </c>
      <c r="D285" s="44" t="s">
        <v>162</v>
      </c>
      <c r="E285" s="44" t="s">
        <v>56</v>
      </c>
      <c r="F285" s="57"/>
    </row>
    <row r="286" spans="1:6" ht="13.8" thickBot="1" x14ac:dyDescent="0.3">
      <c r="A286" s="317">
        <v>478</v>
      </c>
      <c r="B286" s="317">
        <v>497</v>
      </c>
      <c r="C286" s="317">
        <v>20</v>
      </c>
      <c r="D286" s="119" t="s">
        <v>164</v>
      </c>
      <c r="E286" s="119" t="s">
        <v>59</v>
      </c>
      <c r="F286" s="243"/>
    </row>
    <row r="287" spans="1:6" ht="27" thickBot="1" x14ac:dyDescent="0.3">
      <c r="A287" s="139">
        <v>498</v>
      </c>
      <c r="B287" s="140">
        <v>507</v>
      </c>
      <c r="C287" s="140">
        <v>10</v>
      </c>
      <c r="D287" s="44" t="s">
        <v>166</v>
      </c>
      <c r="E287" s="44" t="s">
        <v>56</v>
      </c>
      <c r="F287" s="57"/>
    </row>
    <row r="288" spans="1:6" ht="27" thickBot="1" x14ac:dyDescent="0.3">
      <c r="A288" s="317">
        <v>508</v>
      </c>
      <c r="B288" s="317">
        <v>512</v>
      </c>
      <c r="C288" s="317">
        <v>5</v>
      </c>
      <c r="D288" s="119" t="s">
        <v>168</v>
      </c>
      <c r="E288" s="119" t="s">
        <v>56</v>
      </c>
      <c r="F288" s="243"/>
    </row>
    <row r="289" spans="1:6" ht="27" thickBot="1" x14ac:dyDescent="0.3">
      <c r="A289" s="139">
        <v>513</v>
      </c>
      <c r="B289" s="140">
        <v>532</v>
      </c>
      <c r="C289" s="140">
        <v>20</v>
      </c>
      <c r="D289" s="44" t="s">
        <v>170</v>
      </c>
      <c r="E289" s="44" t="s">
        <v>59</v>
      </c>
      <c r="F289" s="57"/>
    </row>
    <row r="290" spans="1:6" ht="13.8" thickBot="1" x14ac:dyDescent="0.3">
      <c r="A290" s="317">
        <v>533</v>
      </c>
      <c r="B290" s="317">
        <v>542</v>
      </c>
      <c r="C290" s="317">
        <v>10</v>
      </c>
      <c r="D290" s="119" t="s">
        <v>172</v>
      </c>
      <c r="E290" s="119" t="s">
        <v>56</v>
      </c>
      <c r="F290" s="243"/>
    </row>
    <row r="291" spans="1:6" ht="27" thickBot="1" x14ac:dyDescent="0.3">
      <c r="A291" s="139">
        <v>543</v>
      </c>
      <c r="B291" s="140">
        <v>547</v>
      </c>
      <c r="C291" s="140">
        <v>5</v>
      </c>
      <c r="D291" s="44" t="s">
        <v>174</v>
      </c>
      <c r="E291" s="44" t="s">
        <v>56</v>
      </c>
      <c r="F291" s="57"/>
    </row>
    <row r="292" spans="1:6" ht="13.8" thickBot="1" x14ac:dyDescent="0.3">
      <c r="A292" s="140">
        <v>548</v>
      </c>
      <c r="B292" s="140">
        <v>567</v>
      </c>
      <c r="C292" s="140">
        <v>20</v>
      </c>
      <c r="D292" s="44" t="s">
        <v>176</v>
      </c>
      <c r="E292" s="44" t="s">
        <v>59</v>
      </c>
      <c r="F292" s="57"/>
    </row>
    <row r="293" spans="1:6" ht="13.8" thickBot="1" x14ac:dyDescent="0.3">
      <c r="A293" s="139">
        <v>568</v>
      </c>
      <c r="B293" s="140">
        <v>583</v>
      </c>
      <c r="C293" s="140">
        <v>16</v>
      </c>
      <c r="D293" s="44" t="s">
        <v>65</v>
      </c>
      <c r="E293" s="44"/>
      <c r="F293" s="44"/>
    </row>
    <row r="294" spans="1:6" ht="13.8" thickBot="1" x14ac:dyDescent="0.3">
      <c r="A294" s="108">
        <v>584</v>
      </c>
      <c r="B294" s="108">
        <v>585</v>
      </c>
      <c r="C294" s="108">
        <v>2</v>
      </c>
      <c r="D294" s="145" t="s">
        <v>178</v>
      </c>
      <c r="E294" s="145"/>
      <c r="F294" s="113" t="str">
        <f>OAA!F293</f>
        <v>Data Acquisition Site (Numeric of **)</v>
      </c>
    </row>
    <row r="295" spans="1:6" ht="40.200000000000003" thickBot="1" x14ac:dyDescent="0.3">
      <c r="A295" s="85">
        <v>586</v>
      </c>
      <c r="B295" s="86">
        <v>591</v>
      </c>
      <c r="C295" s="69">
        <v>6</v>
      </c>
      <c r="D295" s="5" t="s">
        <v>180</v>
      </c>
      <c r="E295" s="5" t="s">
        <v>87</v>
      </c>
      <c r="F295" s="88" t="str">
        <f>OAA!F294</f>
        <v>Six-digit District IRN; numeric 0-9
Students in JVSD need their home district reported (OGT only)</v>
      </c>
    </row>
    <row r="296" spans="1:6" ht="40.200000000000003" thickBot="1" x14ac:dyDescent="0.3">
      <c r="A296" s="86">
        <v>592</v>
      </c>
      <c r="B296" s="86">
        <v>621</v>
      </c>
      <c r="C296" s="69">
        <v>30</v>
      </c>
      <c r="D296" s="5" t="s">
        <v>181</v>
      </c>
      <c r="E296" s="5" t="s">
        <v>56</v>
      </c>
      <c r="F296" s="88" t="str">
        <f>OAA!F295</f>
        <v>Alpha/numeric
Students in JVSD need their home district reported (OGT only)</v>
      </c>
    </row>
    <row r="297" spans="1:6" x14ac:dyDescent="0.25">
      <c r="A297" s="91">
        <v>622</v>
      </c>
      <c r="B297" s="91">
        <v>622</v>
      </c>
      <c r="C297" s="154">
        <v>1</v>
      </c>
      <c r="D297" s="8" t="s">
        <v>182</v>
      </c>
      <c r="E297" s="8" t="s">
        <v>59</v>
      </c>
      <c r="F297" s="8" t="s">
        <v>17</v>
      </c>
    </row>
    <row r="298" spans="1:6" x14ac:dyDescent="0.25">
      <c r="A298" s="13"/>
      <c r="B298" s="13"/>
      <c r="C298" s="155"/>
      <c r="D298" s="7"/>
      <c r="E298" s="7"/>
      <c r="F298" s="7" t="s">
        <v>229</v>
      </c>
    </row>
    <row r="299" spans="1:6" x14ac:dyDescent="0.25">
      <c r="A299" s="13"/>
      <c r="B299" s="13"/>
      <c r="C299" s="14"/>
      <c r="D299" s="7"/>
      <c r="E299" s="7"/>
      <c r="F299" s="7" t="s">
        <v>230</v>
      </c>
    </row>
    <row r="300" spans="1:6" x14ac:dyDescent="0.25">
      <c r="A300" s="13"/>
      <c r="B300" s="13"/>
      <c r="C300" s="14"/>
      <c r="D300" s="7"/>
      <c r="E300" s="7"/>
      <c r="F300" s="7" t="s">
        <v>231</v>
      </c>
    </row>
    <row r="301" spans="1:6" x14ac:dyDescent="0.25">
      <c r="A301" s="13"/>
      <c r="B301" s="13"/>
      <c r="C301" s="14"/>
      <c r="D301" s="7"/>
      <c r="E301" s="7"/>
      <c r="F301" s="7" t="s">
        <v>232</v>
      </c>
    </row>
    <row r="302" spans="1:6" x14ac:dyDescent="0.25">
      <c r="A302" s="13"/>
      <c r="B302" s="13"/>
      <c r="C302" s="14"/>
      <c r="D302" s="7"/>
      <c r="E302" s="7"/>
      <c r="F302" s="7" t="s">
        <v>233</v>
      </c>
    </row>
    <row r="303" spans="1:6" x14ac:dyDescent="0.25">
      <c r="A303" s="13"/>
      <c r="B303" s="13"/>
      <c r="C303" s="14"/>
      <c r="D303" s="7"/>
      <c r="E303" s="7"/>
      <c r="F303" s="7" t="s">
        <v>234</v>
      </c>
    </row>
    <row r="304" spans="1:6" x14ac:dyDescent="0.25">
      <c r="A304" s="13"/>
      <c r="B304" s="13"/>
      <c r="C304" s="14"/>
      <c r="D304" s="7"/>
      <c r="E304" s="7"/>
      <c r="F304" s="7" t="s">
        <v>235</v>
      </c>
    </row>
    <row r="305" spans="1:6" x14ac:dyDescent="0.25">
      <c r="A305" s="13"/>
      <c r="B305" s="13"/>
      <c r="C305" s="14"/>
      <c r="D305" s="7"/>
      <c r="E305" s="7"/>
      <c r="F305" s="7" t="s">
        <v>236</v>
      </c>
    </row>
    <row r="306" spans="1:6" x14ac:dyDescent="0.25">
      <c r="A306" s="13"/>
      <c r="B306" s="13"/>
      <c r="C306" s="14"/>
      <c r="D306" s="7"/>
      <c r="E306" s="7"/>
      <c r="F306" s="7" t="s">
        <v>237</v>
      </c>
    </row>
    <row r="307" spans="1:6" ht="13.8" thickBot="1" x14ac:dyDescent="0.3">
      <c r="A307" s="92"/>
      <c r="B307" s="92"/>
      <c r="C307" s="64"/>
      <c r="D307" s="93"/>
      <c r="E307" s="93"/>
      <c r="F307" s="93" t="s">
        <v>238</v>
      </c>
    </row>
    <row r="308" spans="1:6" x14ac:dyDescent="0.25">
      <c r="A308" s="318">
        <v>623</v>
      </c>
      <c r="B308" s="319">
        <v>623</v>
      </c>
      <c r="C308" s="320">
        <v>1</v>
      </c>
      <c r="D308" s="321" t="s">
        <v>35</v>
      </c>
      <c r="E308" s="322" t="s">
        <v>59</v>
      </c>
      <c r="F308" s="186"/>
    </row>
    <row r="309" spans="1:6" x14ac:dyDescent="0.25">
      <c r="A309" s="180"/>
      <c r="B309" s="180"/>
      <c r="C309" s="323"/>
      <c r="D309" s="324"/>
      <c r="E309" s="324"/>
      <c r="F309" s="187"/>
    </row>
    <row r="310" spans="1:6" x14ac:dyDescent="0.25">
      <c r="A310" s="180"/>
      <c r="B310" s="180"/>
      <c r="C310" s="323"/>
      <c r="D310" s="324"/>
      <c r="E310" s="324"/>
      <c r="F310" s="187"/>
    </row>
    <row r="311" spans="1:6" x14ac:dyDescent="0.25">
      <c r="A311" s="180"/>
      <c r="B311" s="180"/>
      <c r="C311" s="323"/>
      <c r="D311" s="324"/>
      <c r="E311" s="324"/>
      <c r="F311" s="187"/>
    </row>
    <row r="312" spans="1:6" ht="13.8" thickBot="1" x14ac:dyDescent="0.3">
      <c r="A312" s="129"/>
      <c r="B312" s="129"/>
      <c r="C312" s="325"/>
      <c r="D312" s="326"/>
      <c r="E312" s="326"/>
      <c r="F312" s="188"/>
    </row>
    <row r="313" spans="1:6" ht="13.8" thickBot="1" x14ac:dyDescent="0.3">
      <c r="A313" s="85">
        <v>624</v>
      </c>
      <c r="B313" s="86">
        <v>653</v>
      </c>
      <c r="C313" s="11">
        <v>30</v>
      </c>
      <c r="D313" s="5" t="s">
        <v>183</v>
      </c>
      <c r="E313" s="5" t="s">
        <v>59</v>
      </c>
      <c r="F313" s="414" t="str">
        <f>OAA!F312</f>
        <v>County Name</v>
      </c>
    </row>
    <row r="314" spans="1:6" x14ac:dyDescent="0.25">
      <c r="A314" s="124">
        <v>654</v>
      </c>
      <c r="B314" s="125">
        <v>654</v>
      </c>
      <c r="C314" s="327">
        <v>1</v>
      </c>
      <c r="D314" s="328" t="s">
        <v>184</v>
      </c>
      <c r="E314" s="329" t="s">
        <v>59</v>
      </c>
      <c r="F314" s="152"/>
    </row>
    <row r="315" spans="1:6" x14ac:dyDescent="0.25">
      <c r="A315" s="179"/>
      <c r="B315" s="180"/>
      <c r="C315" s="323"/>
      <c r="D315" s="324"/>
      <c r="E315" s="324"/>
      <c r="F315" s="172"/>
    </row>
    <row r="316" spans="1:6" ht="13.8" thickBot="1" x14ac:dyDescent="0.3">
      <c r="A316" s="331"/>
      <c r="B316" s="332"/>
      <c r="C316" s="332"/>
      <c r="D316" s="224"/>
      <c r="E316" s="224"/>
      <c r="F316" s="153"/>
    </row>
    <row r="317" spans="1:6" ht="22.8" x14ac:dyDescent="0.25">
      <c r="A317" s="53">
        <v>655</v>
      </c>
      <c r="B317" s="53">
        <v>655</v>
      </c>
      <c r="C317" s="334">
        <v>1</v>
      </c>
      <c r="D317" s="346" t="s">
        <v>185</v>
      </c>
      <c r="E317" s="335" t="s">
        <v>59</v>
      </c>
      <c r="F317" s="61"/>
    </row>
    <row r="318" spans="1:6" x14ac:dyDescent="0.25">
      <c r="A318" s="180"/>
      <c r="B318" s="180"/>
      <c r="C318" s="323"/>
      <c r="D318" s="330"/>
      <c r="E318" s="324"/>
      <c r="F318" s="172"/>
    </row>
    <row r="319" spans="1:6" ht="13.8" thickBot="1" x14ac:dyDescent="0.3">
      <c r="A319" s="336"/>
      <c r="B319" s="336"/>
      <c r="C319" s="336"/>
      <c r="D319" s="347"/>
      <c r="E319" s="212"/>
      <c r="F319" s="173"/>
    </row>
    <row r="320" spans="1:6" ht="22.8" x14ac:dyDescent="0.25">
      <c r="A320" s="124">
        <v>656</v>
      </c>
      <c r="B320" s="125">
        <v>656</v>
      </c>
      <c r="C320" s="327">
        <v>1</v>
      </c>
      <c r="D320" s="328" t="s">
        <v>281</v>
      </c>
      <c r="E320" s="329" t="s">
        <v>59</v>
      </c>
      <c r="F320" s="152"/>
    </row>
    <row r="321" spans="1:6" x14ac:dyDescent="0.25">
      <c r="A321" s="179"/>
      <c r="B321" s="180"/>
      <c r="C321" s="323"/>
      <c r="D321" s="330"/>
      <c r="E321" s="324"/>
      <c r="F321" s="172"/>
    </row>
    <row r="322" spans="1:6" ht="13.8" thickBot="1" x14ac:dyDescent="0.3">
      <c r="A322" s="331"/>
      <c r="B322" s="332"/>
      <c r="C322" s="332"/>
      <c r="D322" s="333"/>
      <c r="E322" s="224"/>
      <c r="F322" s="153"/>
    </row>
    <row r="323" spans="1:6" ht="22.8" x14ac:dyDescent="0.25">
      <c r="A323" s="53">
        <v>657</v>
      </c>
      <c r="B323" s="53">
        <v>657</v>
      </c>
      <c r="C323" s="334">
        <v>1</v>
      </c>
      <c r="D323" s="346" t="s">
        <v>282</v>
      </c>
      <c r="E323" s="335" t="s">
        <v>59</v>
      </c>
      <c r="F323" s="61"/>
    </row>
    <row r="324" spans="1:6" x14ac:dyDescent="0.25">
      <c r="A324" s="180"/>
      <c r="B324" s="180"/>
      <c r="C324" s="323"/>
      <c r="D324" s="330"/>
      <c r="E324" s="324"/>
      <c r="F324" s="172"/>
    </row>
    <row r="325" spans="1:6" ht="13.8" thickBot="1" x14ac:dyDescent="0.3">
      <c r="A325" s="336"/>
      <c r="B325" s="336"/>
      <c r="C325" s="336"/>
      <c r="D325" s="347"/>
      <c r="E325" s="212"/>
      <c r="F325" s="173"/>
    </row>
    <row r="326" spans="1:6" ht="22.8" x14ac:dyDescent="0.25">
      <c r="A326" s="124">
        <v>658</v>
      </c>
      <c r="B326" s="125">
        <v>658</v>
      </c>
      <c r="C326" s="327">
        <v>1</v>
      </c>
      <c r="D326" s="328" t="s">
        <v>186</v>
      </c>
      <c r="E326" s="329" t="s">
        <v>59</v>
      </c>
      <c r="F326" s="152"/>
    </row>
    <row r="327" spans="1:6" x14ac:dyDescent="0.25">
      <c r="A327" s="179"/>
      <c r="B327" s="180"/>
      <c r="C327" s="323"/>
      <c r="D327" s="330"/>
      <c r="E327" s="324"/>
      <c r="F327" s="172"/>
    </row>
    <row r="328" spans="1:6" ht="13.8" thickBot="1" x14ac:dyDescent="0.3">
      <c r="A328" s="331"/>
      <c r="B328" s="332"/>
      <c r="C328" s="332"/>
      <c r="D328" s="333"/>
      <c r="E328" s="224"/>
      <c r="F328" s="153"/>
    </row>
    <row r="329" spans="1:6" x14ac:dyDescent="0.25">
      <c r="A329" s="80">
        <v>659</v>
      </c>
      <c r="B329" s="80">
        <v>659</v>
      </c>
      <c r="C329" s="81">
        <v>1</v>
      </c>
      <c r="D329" s="82" t="s">
        <v>187</v>
      </c>
      <c r="E329" s="82" t="s">
        <v>59</v>
      </c>
      <c r="F329" s="84" t="str">
        <f>OAA!F328</f>
        <v>Y=Yes</v>
      </c>
    </row>
    <row r="330" spans="1:6" ht="13.8" thickBot="1" x14ac:dyDescent="0.3">
      <c r="A330" s="63"/>
      <c r="B330" s="63"/>
      <c r="C330" s="63"/>
      <c r="D330" s="165"/>
      <c r="E330" s="165"/>
      <c r="F330" s="75" t="str">
        <f>OAA!F329</f>
        <v>N=No</v>
      </c>
    </row>
    <row r="331" spans="1:6" x14ac:dyDescent="0.25">
      <c r="A331" s="97">
        <v>660</v>
      </c>
      <c r="B331" s="98">
        <v>660</v>
      </c>
      <c r="C331" s="99">
        <v>1</v>
      </c>
      <c r="D331" s="6" t="s">
        <v>188</v>
      </c>
      <c r="E331" s="6" t="s">
        <v>59</v>
      </c>
      <c r="F331" s="90" t="str">
        <f>OAA!F330</f>
        <v>Y=Yes</v>
      </c>
    </row>
    <row r="332" spans="1:6" ht="13.8" thickBot="1" x14ac:dyDescent="0.3">
      <c r="A332" s="101"/>
      <c r="B332" s="62"/>
      <c r="C332" s="62"/>
      <c r="D332" s="164"/>
      <c r="E332" s="164"/>
      <c r="F332" s="103" t="str">
        <f>OAA!F331</f>
        <v>N=No</v>
      </c>
    </row>
    <row r="333" spans="1:6" x14ac:dyDescent="0.25">
      <c r="A333" s="80">
        <v>661</v>
      </c>
      <c r="B333" s="80">
        <v>661</v>
      </c>
      <c r="C333" s="81">
        <v>1</v>
      </c>
      <c r="D333" s="167" t="s">
        <v>283</v>
      </c>
      <c r="E333" s="82" t="s">
        <v>59</v>
      </c>
      <c r="F333" s="84" t="str">
        <f>OAA!F332</f>
        <v>Y=Yes</v>
      </c>
    </row>
    <row r="334" spans="1:6" ht="13.8" thickBot="1" x14ac:dyDescent="0.3">
      <c r="A334" s="63"/>
      <c r="B334" s="63"/>
      <c r="C334" s="63"/>
      <c r="D334" s="165"/>
      <c r="E334" s="165"/>
      <c r="F334" s="75" t="str">
        <f>OAA!F333</f>
        <v>N=No</v>
      </c>
    </row>
    <row r="335" spans="1:6" x14ac:dyDescent="0.25">
      <c r="A335" s="97">
        <v>662</v>
      </c>
      <c r="B335" s="98">
        <v>662</v>
      </c>
      <c r="C335" s="99">
        <v>1</v>
      </c>
      <c r="D335" s="166" t="s">
        <v>284</v>
      </c>
      <c r="E335" s="6" t="s">
        <v>59</v>
      </c>
      <c r="F335" s="90" t="str">
        <f>OAA!F334</f>
        <v>Y=Yes</v>
      </c>
    </row>
    <row r="336" spans="1:6" ht="13.8" thickBot="1" x14ac:dyDescent="0.3">
      <c r="A336" s="101"/>
      <c r="B336" s="62"/>
      <c r="C336" s="62"/>
      <c r="D336" s="164"/>
      <c r="E336" s="164"/>
      <c r="F336" s="103" t="str">
        <f>OAA!F335</f>
        <v>N=No</v>
      </c>
    </row>
    <row r="337" spans="1:6" x14ac:dyDescent="0.25">
      <c r="A337" s="53">
        <v>663</v>
      </c>
      <c r="B337" s="53">
        <v>663</v>
      </c>
      <c r="C337" s="334">
        <v>1</v>
      </c>
      <c r="D337" s="335" t="s">
        <v>189</v>
      </c>
      <c r="E337" s="335" t="s">
        <v>59</v>
      </c>
      <c r="F337" s="61"/>
    </row>
    <row r="338" spans="1:6" ht="13.8" thickBot="1" x14ac:dyDescent="0.3">
      <c r="A338" s="336"/>
      <c r="B338" s="336"/>
      <c r="C338" s="336"/>
      <c r="D338" s="212"/>
      <c r="E338" s="212"/>
      <c r="F338" s="173"/>
    </row>
    <row r="339" spans="1:6" x14ac:dyDescent="0.25">
      <c r="A339" s="97">
        <v>664</v>
      </c>
      <c r="B339" s="98">
        <v>664</v>
      </c>
      <c r="C339" s="99">
        <v>1</v>
      </c>
      <c r="D339" s="6" t="s">
        <v>196</v>
      </c>
      <c r="E339" s="6" t="s">
        <v>59</v>
      </c>
      <c r="F339" s="90" t="str">
        <f>OAA!F338</f>
        <v>Y=Yes</v>
      </c>
    </row>
    <row r="340" spans="1:6" ht="13.8" thickBot="1" x14ac:dyDescent="0.3">
      <c r="A340" s="101"/>
      <c r="B340" s="62"/>
      <c r="C340" s="62"/>
      <c r="D340" s="164"/>
      <c r="E340" s="164"/>
      <c r="F340" s="103" t="str">
        <f>OAA!F339</f>
        <v>N=No</v>
      </c>
    </row>
    <row r="341" spans="1:6" x14ac:dyDescent="0.25">
      <c r="A341" s="80">
        <v>665</v>
      </c>
      <c r="B341" s="80">
        <v>665</v>
      </c>
      <c r="C341" s="81">
        <v>1</v>
      </c>
      <c r="D341" s="82" t="s">
        <v>197</v>
      </c>
      <c r="E341" s="82" t="s">
        <v>59</v>
      </c>
      <c r="F341" s="84" t="str">
        <f>OAA!F340</f>
        <v>Y=Yes</v>
      </c>
    </row>
    <row r="342" spans="1:6" ht="13.8" thickBot="1" x14ac:dyDescent="0.3">
      <c r="A342" s="63"/>
      <c r="B342" s="63"/>
      <c r="C342" s="63"/>
      <c r="D342" s="165"/>
      <c r="E342" s="165"/>
      <c r="F342" s="75" t="str">
        <f>OAA!F341</f>
        <v>N=No</v>
      </c>
    </row>
    <row r="343" spans="1:6" x14ac:dyDescent="0.25">
      <c r="A343" s="97">
        <v>666</v>
      </c>
      <c r="B343" s="98">
        <v>666</v>
      </c>
      <c r="C343" s="99">
        <v>1</v>
      </c>
      <c r="D343" s="166" t="s">
        <v>285</v>
      </c>
      <c r="E343" s="6" t="s">
        <v>59</v>
      </c>
      <c r="F343" s="90" t="str">
        <f>OAA!F342</f>
        <v>Y=Yes</v>
      </c>
    </row>
    <row r="344" spans="1:6" ht="13.8" thickBot="1" x14ac:dyDescent="0.3">
      <c r="A344" s="101"/>
      <c r="B344" s="62"/>
      <c r="C344" s="62"/>
      <c r="D344" s="164"/>
      <c r="E344" s="164"/>
      <c r="F344" s="103" t="str">
        <f>OAA!F343</f>
        <v>N=No</v>
      </c>
    </row>
    <row r="345" spans="1:6" x14ac:dyDescent="0.25">
      <c r="A345" s="80">
        <v>667</v>
      </c>
      <c r="B345" s="80">
        <v>667</v>
      </c>
      <c r="C345" s="81">
        <v>1</v>
      </c>
      <c r="D345" s="167" t="s">
        <v>286</v>
      </c>
      <c r="E345" s="82" t="s">
        <v>59</v>
      </c>
      <c r="F345" s="84" t="str">
        <f>OAA!F344</f>
        <v>Y=Yes</v>
      </c>
    </row>
    <row r="346" spans="1:6" ht="13.8" thickBot="1" x14ac:dyDescent="0.3">
      <c r="A346" s="63"/>
      <c r="B346" s="63"/>
      <c r="C346" s="63"/>
      <c r="D346" s="164"/>
      <c r="E346" s="165"/>
      <c r="F346" s="75" t="str">
        <f>OAA!F345</f>
        <v>N=No</v>
      </c>
    </row>
    <row r="347" spans="1:6" x14ac:dyDescent="0.25">
      <c r="A347" s="124">
        <v>668</v>
      </c>
      <c r="B347" s="125">
        <v>668</v>
      </c>
      <c r="C347" s="327">
        <v>1</v>
      </c>
      <c r="D347" s="329" t="s">
        <v>198</v>
      </c>
      <c r="E347" s="329" t="s">
        <v>59</v>
      </c>
      <c r="F347" s="152"/>
    </row>
    <row r="348" spans="1:6" ht="13.8" thickBot="1" x14ac:dyDescent="0.3">
      <c r="A348" s="331"/>
      <c r="B348" s="332"/>
      <c r="C348" s="332"/>
      <c r="D348" s="224"/>
      <c r="E348" s="224"/>
      <c r="F348" s="153"/>
    </row>
    <row r="349" spans="1:6" x14ac:dyDescent="0.25">
      <c r="A349" s="97">
        <v>669</v>
      </c>
      <c r="B349" s="98">
        <v>669</v>
      </c>
      <c r="C349" s="99">
        <v>1</v>
      </c>
      <c r="D349" s="6" t="s">
        <v>190</v>
      </c>
      <c r="E349" s="6" t="s">
        <v>59</v>
      </c>
      <c r="F349" s="90" t="str">
        <f>OAA!F348</f>
        <v>Y=Yes</v>
      </c>
    </row>
    <row r="350" spans="1:6" ht="13.8" thickBot="1" x14ac:dyDescent="0.3">
      <c r="A350" s="101"/>
      <c r="B350" s="62"/>
      <c r="C350" s="62"/>
      <c r="D350" s="164"/>
      <c r="E350" s="164"/>
      <c r="F350" s="103" t="str">
        <f>OAA!F349</f>
        <v>N=No</v>
      </c>
    </row>
    <row r="351" spans="1:6" x14ac:dyDescent="0.25">
      <c r="A351" s="80">
        <v>670</v>
      </c>
      <c r="B351" s="80">
        <v>670</v>
      </c>
      <c r="C351" s="81">
        <v>1</v>
      </c>
      <c r="D351" s="82" t="s">
        <v>191</v>
      </c>
      <c r="E351" s="82" t="s">
        <v>59</v>
      </c>
      <c r="F351" s="84" t="str">
        <f>OAA!F350</f>
        <v>Y=Yes</v>
      </c>
    </row>
    <row r="352" spans="1:6" ht="13.8" thickBot="1" x14ac:dyDescent="0.3">
      <c r="A352" s="63"/>
      <c r="B352" s="63"/>
      <c r="C352" s="63"/>
      <c r="D352" s="165"/>
      <c r="E352" s="165"/>
      <c r="F352" s="75" t="str">
        <f>OAA!F351</f>
        <v>N=No</v>
      </c>
    </row>
    <row r="353" spans="1:6" x14ac:dyDescent="0.25">
      <c r="A353" s="97">
        <v>671</v>
      </c>
      <c r="B353" s="98">
        <v>671</v>
      </c>
      <c r="C353" s="99">
        <v>1</v>
      </c>
      <c r="D353" s="166" t="s">
        <v>287</v>
      </c>
      <c r="E353" s="6" t="s">
        <v>59</v>
      </c>
      <c r="F353" s="90" t="str">
        <f>OAA!F352</f>
        <v>Y=Yes</v>
      </c>
    </row>
    <row r="354" spans="1:6" ht="13.8" thickBot="1" x14ac:dyDescent="0.3">
      <c r="A354" s="101"/>
      <c r="B354" s="62"/>
      <c r="C354" s="62"/>
      <c r="D354" s="164"/>
      <c r="E354" s="164"/>
      <c r="F354" s="103" t="str">
        <f>OAA!F353</f>
        <v>N=No</v>
      </c>
    </row>
    <row r="355" spans="1:6" x14ac:dyDescent="0.25">
      <c r="A355" s="80">
        <v>672</v>
      </c>
      <c r="B355" s="80">
        <v>672</v>
      </c>
      <c r="C355" s="81">
        <v>1</v>
      </c>
      <c r="D355" s="167" t="s">
        <v>288</v>
      </c>
      <c r="E355" s="82" t="s">
        <v>59</v>
      </c>
      <c r="F355" s="84" t="str">
        <f>OAA!F354</f>
        <v>Y=Yes</v>
      </c>
    </row>
    <row r="356" spans="1:6" ht="13.8" thickBot="1" x14ac:dyDescent="0.3">
      <c r="A356" s="63"/>
      <c r="B356" s="63"/>
      <c r="C356" s="63"/>
      <c r="D356" s="164"/>
      <c r="E356" s="165"/>
      <c r="F356" s="75" t="str">
        <f>OAA!F355</f>
        <v>N=No</v>
      </c>
    </row>
    <row r="357" spans="1:6" x14ac:dyDescent="0.25">
      <c r="A357" s="124">
        <v>673</v>
      </c>
      <c r="B357" s="125">
        <v>673</v>
      </c>
      <c r="C357" s="327">
        <v>1</v>
      </c>
      <c r="D357" s="329" t="s">
        <v>192</v>
      </c>
      <c r="E357" s="329" t="s">
        <v>59</v>
      </c>
      <c r="F357" s="152"/>
    </row>
    <row r="358" spans="1:6" ht="13.8" thickBot="1" x14ac:dyDescent="0.3">
      <c r="A358" s="331"/>
      <c r="B358" s="332"/>
      <c r="C358" s="332"/>
      <c r="D358" s="224"/>
      <c r="E358" s="224"/>
      <c r="F358" s="153"/>
    </row>
    <row r="359" spans="1:6" x14ac:dyDescent="0.25">
      <c r="A359" s="80">
        <v>674</v>
      </c>
      <c r="B359" s="80">
        <v>674</v>
      </c>
      <c r="C359" s="81">
        <v>1</v>
      </c>
      <c r="D359" s="82" t="s">
        <v>193</v>
      </c>
      <c r="E359" s="82" t="s">
        <v>59</v>
      </c>
      <c r="F359" s="84" t="str">
        <f>OAA!F358</f>
        <v>Y=Yes</v>
      </c>
    </row>
    <row r="360" spans="1:6" ht="13.8" thickBot="1" x14ac:dyDescent="0.3">
      <c r="A360" s="63"/>
      <c r="B360" s="63"/>
      <c r="C360" s="63"/>
      <c r="D360" s="165"/>
      <c r="E360" s="165"/>
      <c r="F360" s="75" t="str">
        <f>OAA!F359</f>
        <v>N=No</v>
      </c>
    </row>
    <row r="361" spans="1:6" x14ac:dyDescent="0.25">
      <c r="A361" s="97">
        <v>675</v>
      </c>
      <c r="B361" s="98">
        <v>675</v>
      </c>
      <c r="C361" s="99">
        <v>1</v>
      </c>
      <c r="D361" s="6" t="s">
        <v>194</v>
      </c>
      <c r="E361" s="6" t="s">
        <v>59</v>
      </c>
      <c r="F361" s="90" t="str">
        <f>OAA!F360</f>
        <v>Y=Yes</v>
      </c>
    </row>
    <row r="362" spans="1:6" ht="13.8" thickBot="1" x14ac:dyDescent="0.3">
      <c r="A362" s="101"/>
      <c r="B362" s="62"/>
      <c r="C362" s="62"/>
      <c r="D362" s="164"/>
      <c r="E362" s="164"/>
      <c r="F362" s="103" t="str">
        <f>OAA!F361</f>
        <v>N=No</v>
      </c>
    </row>
    <row r="363" spans="1:6" x14ac:dyDescent="0.25">
      <c r="A363" s="80">
        <v>676</v>
      </c>
      <c r="B363" s="80">
        <v>676</v>
      </c>
      <c r="C363" s="81">
        <v>1</v>
      </c>
      <c r="D363" s="167" t="s">
        <v>289</v>
      </c>
      <c r="E363" s="82" t="s">
        <v>59</v>
      </c>
      <c r="F363" s="84" t="str">
        <f>OAA!F362</f>
        <v>Y=Yes</v>
      </c>
    </row>
    <row r="364" spans="1:6" ht="13.8" thickBot="1" x14ac:dyDescent="0.3">
      <c r="A364" s="63"/>
      <c r="B364" s="63"/>
      <c r="C364" s="63"/>
      <c r="D364" s="165"/>
      <c r="E364" s="165"/>
      <c r="F364" s="75" t="str">
        <f>OAA!F363</f>
        <v>N=No</v>
      </c>
    </row>
    <row r="365" spans="1:6" x14ac:dyDescent="0.25">
      <c r="A365" s="97">
        <v>677</v>
      </c>
      <c r="B365" s="98">
        <v>677</v>
      </c>
      <c r="C365" s="99">
        <v>1</v>
      </c>
      <c r="D365" s="166" t="s">
        <v>290</v>
      </c>
      <c r="E365" s="6" t="s">
        <v>59</v>
      </c>
      <c r="F365" s="90" t="str">
        <f>OAA!F364</f>
        <v>Y=Yes</v>
      </c>
    </row>
    <row r="366" spans="1:6" ht="13.8" thickBot="1" x14ac:dyDescent="0.3">
      <c r="A366" s="101"/>
      <c r="B366" s="62"/>
      <c r="C366" s="62"/>
      <c r="D366" s="164"/>
      <c r="E366" s="164"/>
      <c r="F366" s="103" t="str">
        <f>OAA!F365</f>
        <v>N=No</v>
      </c>
    </row>
    <row r="367" spans="1:6" x14ac:dyDescent="0.25">
      <c r="A367" s="53">
        <v>678</v>
      </c>
      <c r="B367" s="53">
        <v>678</v>
      </c>
      <c r="C367" s="334">
        <v>1</v>
      </c>
      <c r="D367" s="335" t="s">
        <v>195</v>
      </c>
      <c r="E367" s="335" t="s">
        <v>59</v>
      </c>
      <c r="F367" s="61"/>
    </row>
    <row r="368" spans="1:6" ht="13.8" thickBot="1" x14ac:dyDescent="0.3">
      <c r="A368" s="336"/>
      <c r="B368" s="336"/>
      <c r="C368" s="336"/>
      <c r="D368" s="212"/>
      <c r="E368" s="212"/>
      <c r="F368" s="173"/>
    </row>
    <row r="369" spans="1:6" ht="53.4" thickBot="1" x14ac:dyDescent="0.3">
      <c r="A369" s="9">
        <v>679</v>
      </c>
      <c r="B369" s="10">
        <v>687</v>
      </c>
      <c r="C369" s="11">
        <v>9</v>
      </c>
      <c r="D369" s="12" t="s">
        <v>200</v>
      </c>
      <c r="E369" s="12" t="s">
        <v>250</v>
      </c>
      <c r="F369" s="310" t="str">
        <f>OAA!F368</f>
        <v>Districts may provide teacher credential ID numbers so that teacher level results can be tracked across test administrations.</v>
      </c>
    </row>
    <row r="370" spans="1:6" ht="53.4" thickBot="1" x14ac:dyDescent="0.3">
      <c r="A370" s="70">
        <v>688</v>
      </c>
      <c r="B370" s="71">
        <v>696</v>
      </c>
      <c r="C370" s="72">
        <v>9</v>
      </c>
      <c r="D370" s="73" t="s">
        <v>199</v>
      </c>
      <c r="E370" s="12" t="s">
        <v>250</v>
      </c>
      <c r="F370" s="410" t="str">
        <f>OAA!F369</f>
        <v>Districts may provide teacher credential ID numbers so that teacher level results can be tracked across test administrations.</v>
      </c>
    </row>
    <row r="371" spans="1:6" ht="23.4" thickBot="1" x14ac:dyDescent="0.3">
      <c r="A371" s="337">
        <v>697</v>
      </c>
      <c r="B371" s="338">
        <v>705</v>
      </c>
      <c r="C371" s="339">
        <v>9</v>
      </c>
      <c r="D371" s="340" t="s">
        <v>309</v>
      </c>
      <c r="E371" s="340" t="s">
        <v>250</v>
      </c>
      <c r="F371" s="260"/>
    </row>
    <row r="372" spans="1:6" ht="23.4" thickBot="1" x14ac:dyDescent="0.3">
      <c r="A372" s="337">
        <v>706</v>
      </c>
      <c r="B372" s="338">
        <v>714</v>
      </c>
      <c r="C372" s="341">
        <v>9</v>
      </c>
      <c r="D372" s="342" t="s">
        <v>201</v>
      </c>
      <c r="E372" s="340" t="s">
        <v>250</v>
      </c>
      <c r="F372" s="312"/>
    </row>
    <row r="373" spans="1:6" ht="23.4" thickBot="1" x14ac:dyDescent="0.3">
      <c r="A373" s="337">
        <v>715</v>
      </c>
      <c r="B373" s="338">
        <v>723</v>
      </c>
      <c r="C373" s="343">
        <v>9</v>
      </c>
      <c r="D373" s="340" t="s">
        <v>202</v>
      </c>
      <c r="E373" s="340" t="s">
        <v>250</v>
      </c>
      <c r="F373" s="260"/>
    </row>
    <row r="374" spans="1:6" ht="27" thickBot="1" x14ac:dyDescent="0.3">
      <c r="A374" s="9">
        <v>724</v>
      </c>
      <c r="B374" s="76">
        <v>743</v>
      </c>
      <c r="C374" s="65">
        <v>20</v>
      </c>
      <c r="D374" s="66" t="s">
        <v>204</v>
      </c>
      <c r="E374" s="12" t="s">
        <v>250</v>
      </c>
      <c r="F374" s="411" t="str">
        <f>OAA!F373</f>
        <v>Districts may populate this field with the writing course code.</v>
      </c>
    </row>
    <row r="375" spans="1:6" ht="27" thickBot="1" x14ac:dyDescent="0.3">
      <c r="A375" s="9">
        <v>744</v>
      </c>
      <c r="B375" s="76">
        <v>763</v>
      </c>
      <c r="C375" s="11">
        <v>20</v>
      </c>
      <c r="D375" s="12" t="s">
        <v>203</v>
      </c>
      <c r="E375" s="12" t="s">
        <v>250</v>
      </c>
      <c r="F375" s="310" t="str">
        <f>OAA!F374</f>
        <v>Districts may populate this field with the writing course code.</v>
      </c>
    </row>
    <row r="376" spans="1:6" ht="13.8" thickBot="1" x14ac:dyDescent="0.3">
      <c r="A376" s="337">
        <v>764</v>
      </c>
      <c r="B376" s="338">
        <v>783</v>
      </c>
      <c r="C376" s="344">
        <v>20</v>
      </c>
      <c r="D376" s="345" t="s">
        <v>310</v>
      </c>
      <c r="E376" s="340" t="s">
        <v>250</v>
      </c>
      <c r="F376" s="313"/>
    </row>
    <row r="377" spans="1:6" ht="23.4" thickBot="1" x14ac:dyDescent="0.3">
      <c r="A377" s="337">
        <v>784</v>
      </c>
      <c r="B377" s="338">
        <v>803</v>
      </c>
      <c r="C377" s="341">
        <v>20</v>
      </c>
      <c r="D377" s="342" t="s">
        <v>205</v>
      </c>
      <c r="E377" s="340" t="s">
        <v>250</v>
      </c>
      <c r="F377" s="312"/>
    </row>
    <row r="378" spans="1:6" ht="13.8" thickBot="1" x14ac:dyDescent="0.3">
      <c r="A378" s="337">
        <v>804</v>
      </c>
      <c r="B378" s="338">
        <v>823</v>
      </c>
      <c r="C378" s="343">
        <v>20</v>
      </c>
      <c r="D378" s="340" t="s">
        <v>206</v>
      </c>
      <c r="E378" s="340" t="s">
        <v>250</v>
      </c>
      <c r="F378" s="260"/>
    </row>
  </sheetData>
  <mergeCells count="1">
    <mergeCell ref="A1:I1"/>
  </mergeCells>
  <phoneticPr fontId="3"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vt:lpstr>
      <vt:lpstr>OAA</vt:lpstr>
      <vt:lpstr>OGT</vt:lpstr>
      <vt:lpstr>AASWD</vt:lpstr>
      <vt:lpstr>OTELA</vt:lpstr>
      <vt:lpstr>AASWD!Print_Titles</vt:lpstr>
      <vt:lpstr>ALL!Print_Titles</vt:lpstr>
      <vt:lpstr>OAA!Print_Titles</vt:lpstr>
      <vt:lpstr>OGT!Print_Titles</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max.xu</dc:creator>
  <cp:lastModifiedBy>Lisa.Simpson</cp:lastModifiedBy>
  <cp:lastPrinted>2012-10-19T15:41:36Z</cp:lastPrinted>
  <dcterms:created xsi:type="dcterms:W3CDTF">2008-03-04T18:13:27Z</dcterms:created>
  <dcterms:modified xsi:type="dcterms:W3CDTF">2013-11-19T15:32:30Z</dcterms:modified>
</cp:coreProperties>
</file>