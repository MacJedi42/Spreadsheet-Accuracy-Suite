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-180" yWindow="375" windowWidth="20730" windowHeight="11700" tabRatio="500"/>
  </bookViews>
  <sheets>
    <sheet name="Sheet1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5" i="1" l="1"/>
  <c r="H56" i="1"/>
</calcChain>
</file>

<file path=xl/comments1.xml><?xml version="1.0" encoding="utf-8"?>
<comments xmlns="http://schemas.openxmlformats.org/spreadsheetml/2006/main">
  <authors>
    <author>lwigington</author>
  </authors>
  <commentList>
    <comment ref="K2" authorId="0">
      <text>
        <r>
          <rPr>
            <b/>
            <sz val="9"/>
            <color indexed="81"/>
            <rFont val="Tahoma"/>
            <charset val="1"/>
          </rPr>
          <t>lwigington:</t>
        </r>
        <r>
          <rPr>
            <sz val="9"/>
            <color indexed="81"/>
            <rFont val="Tahoma"/>
            <charset val="1"/>
          </rPr>
          <t xml:space="preserve">
see below</t>
        </r>
      </text>
    </comment>
    <comment ref="A6" authorId="0">
      <text>
        <r>
          <rPr>
            <b/>
            <sz val="9"/>
            <color indexed="81"/>
            <rFont val="Tahoma"/>
            <family val="2"/>
          </rPr>
          <t>lwigington:</t>
        </r>
        <r>
          <rPr>
            <sz val="9"/>
            <color indexed="81"/>
            <rFont val="Tahoma"/>
            <family val="2"/>
          </rPr>
          <t xml:space="preserve">
See note below - starting kWh read on dedicated DHP meter</t>
        </r>
      </text>
    </comment>
    <comment ref="C54" authorId="0">
      <text>
        <r>
          <rPr>
            <b/>
            <sz val="9"/>
            <color indexed="81"/>
            <rFont val="Tahoma"/>
            <family val="2"/>
          </rPr>
          <t>lwigington:</t>
        </r>
        <r>
          <rPr>
            <sz val="9"/>
            <color indexed="81"/>
            <rFont val="Tahoma"/>
            <family val="2"/>
          </rPr>
          <t xml:space="preserve">
not sure of continuos max load, so assuming between 600 and 800 watts - Please correct assumption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lwigington:</t>
        </r>
        <r>
          <rPr>
            <sz val="9"/>
            <color indexed="81"/>
            <rFont val="Tahoma"/>
            <family val="2"/>
          </rPr>
          <t xml:space="preserve">
Obviously output is not fixed - but this provides a sense of the capacity of the DHP</t>
        </r>
      </text>
    </comment>
  </commentList>
</comments>
</file>

<file path=xl/sharedStrings.xml><?xml version="1.0" encoding="utf-8"?>
<sst xmlns="http://schemas.openxmlformats.org/spreadsheetml/2006/main" count="26" uniqueCount="24">
  <si>
    <t>Room &amp; Crawl Space Temperature &amp; Humidity</t>
  </si>
  <si>
    <t>Attic Temperature &amp; Humidity</t>
  </si>
  <si>
    <t>DATE</t>
  </si>
  <si>
    <t>TIME</t>
  </si>
  <si>
    <t>TEMPERATURE</t>
  </si>
  <si>
    <t>RELATIVE HUMIDITY</t>
  </si>
  <si>
    <t>TEMP. OUTSIDE</t>
  </si>
  <si>
    <t>Temperature</t>
  </si>
  <si>
    <t>Humidity</t>
  </si>
  <si>
    <t>DHP-on</t>
  </si>
  <si>
    <t>40+</t>
  </si>
  <si>
    <t>44*</t>
  </si>
  <si>
    <t>DHP-off</t>
  </si>
  <si>
    <t>kWh use</t>
  </si>
  <si>
    <t>#34.5</t>
  </si>
  <si>
    <t>room</t>
  </si>
  <si>
    <t>crawl space</t>
  </si>
  <si>
    <t>* # kWh reading on DHP meter, thus during 81 hours DHP used 44 - 34.5 kWh = 9.5 kWh, during period approx. 40 kWh produced by PV system and approx. total of 25 kWh used by household</t>
  </si>
  <si>
    <t>hours</t>
  </si>
  <si>
    <t>kWH</t>
  </si>
  <si>
    <t>Total hours monitored</t>
  </si>
  <si>
    <t>percent of time on full(if fixed output)</t>
  </si>
  <si>
    <t>LMW addition:</t>
  </si>
  <si>
    <t xml:space="preserve">kWh/full load ??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</si>
</sst>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Lucida Sans Typewriter"/>
    </font>
    <font>
      <sz val="14"/>
      <color theme="1"/>
      <name val="Lucida Sans Typewrite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Lucida Sans Typewriter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Lucida Sans Typewriter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/>
    <xf numFmtId="2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6"/>
  <sheetViews>
    <sheetView tabSelected="1" topLeftCell="A47" workbookViewId="0">
      <selection activeCell="D51" sqref="D51"/>
    </sheetView>
  </sheetViews>
  <sheetFormatPr defaultColWidth="11" defaultRowHeight="15.75" x14ac:dyDescent="0.25"/>
  <cols>
    <col min="1" max="1" width="15.5" style="1" customWidth="1"/>
    <col min="2" max="2" width="13" style="1" customWidth="1"/>
    <col min="3" max="3" width="13.875" style="1" customWidth="1"/>
    <col min="4" max="4" width="15.5" style="1" customWidth="1"/>
    <col min="5" max="5" width="14.375" style="1" customWidth="1"/>
    <col min="6" max="6" width="17" style="1" bestFit="1" customWidth="1"/>
    <col min="7" max="7" width="18.875" style="1" customWidth="1"/>
    <col min="8" max="8" width="17.375" style="1" customWidth="1"/>
    <col min="9" max="9" width="15.375" style="1" customWidth="1"/>
    <col min="10" max="10" width="12.125" style="1" customWidth="1"/>
    <col min="11" max="11" width="12.375" style="8" customWidth="1"/>
  </cols>
  <sheetData>
    <row r="1" spans="1:11" ht="18" x14ac:dyDescent="0.25">
      <c r="A1" s="10" t="s">
        <v>0</v>
      </c>
      <c r="B1" s="10"/>
      <c r="C1" s="10"/>
      <c r="D1" s="10"/>
      <c r="E1" s="10"/>
      <c r="F1" s="10"/>
      <c r="H1" s="5" t="s">
        <v>1</v>
      </c>
      <c r="I1" s="6"/>
      <c r="J1" s="6"/>
      <c r="K1" s="7"/>
    </row>
    <row r="2" spans="1:11" ht="18" x14ac:dyDescent="0.25">
      <c r="A2" s="2" t="s">
        <v>2</v>
      </c>
      <c r="B2" s="3" t="s">
        <v>3</v>
      </c>
      <c r="C2" s="10" t="s">
        <v>4</v>
      </c>
      <c r="D2" s="10"/>
      <c r="E2" s="10" t="s">
        <v>5</v>
      </c>
      <c r="F2" s="10"/>
      <c r="G2" s="3" t="s">
        <v>6</v>
      </c>
      <c r="H2" s="3" t="s">
        <v>7</v>
      </c>
      <c r="I2" s="3" t="s">
        <v>8</v>
      </c>
      <c r="K2" s="8" t="s">
        <v>13</v>
      </c>
    </row>
    <row r="3" spans="1:11" ht="18" x14ac:dyDescent="0.25">
      <c r="A3" s="2"/>
      <c r="B3" s="3"/>
      <c r="C3" s="3" t="s">
        <v>15</v>
      </c>
      <c r="D3" s="3" t="s">
        <v>16</v>
      </c>
      <c r="E3" s="3" t="s">
        <v>15</v>
      </c>
      <c r="F3" s="3" t="s">
        <v>16</v>
      </c>
      <c r="G3" s="3"/>
      <c r="H3" s="3"/>
      <c r="I3" s="3"/>
    </row>
    <row r="4" spans="1:11" ht="18" x14ac:dyDescent="0.25">
      <c r="A4" s="2">
        <v>40745</v>
      </c>
      <c r="B4" s="3">
        <v>545</v>
      </c>
      <c r="C4" s="3">
        <v>84</v>
      </c>
      <c r="D4" s="3">
        <v>68</v>
      </c>
      <c r="E4" s="3">
        <v>69</v>
      </c>
      <c r="F4" s="3">
        <v>71</v>
      </c>
      <c r="G4" s="3">
        <v>73</v>
      </c>
      <c r="H4" s="3">
        <v>84</v>
      </c>
      <c r="I4" s="3">
        <v>67</v>
      </c>
    </row>
    <row r="5" spans="1:11" ht="18" x14ac:dyDescent="0.25">
      <c r="A5" s="2" t="s">
        <v>9</v>
      </c>
      <c r="B5" s="3">
        <v>625</v>
      </c>
      <c r="C5" s="3">
        <v>84</v>
      </c>
      <c r="D5" s="3">
        <v>68</v>
      </c>
      <c r="E5" s="3">
        <v>69</v>
      </c>
      <c r="F5" s="3">
        <v>65</v>
      </c>
      <c r="G5" s="3">
        <v>73</v>
      </c>
      <c r="H5" s="3"/>
      <c r="I5" s="3"/>
    </row>
    <row r="6" spans="1:11" ht="18" x14ac:dyDescent="0.25">
      <c r="A6" s="4" t="s">
        <v>14</v>
      </c>
      <c r="B6" s="3">
        <v>700</v>
      </c>
      <c r="C6" s="3">
        <v>82</v>
      </c>
      <c r="D6" s="3">
        <v>82</v>
      </c>
      <c r="E6" s="3">
        <v>56</v>
      </c>
      <c r="F6" s="3">
        <v>50</v>
      </c>
      <c r="G6" s="3">
        <v>72</v>
      </c>
      <c r="H6" s="3"/>
      <c r="I6" s="3"/>
    </row>
    <row r="7" spans="1:11" ht="18" x14ac:dyDescent="0.25">
      <c r="A7" s="2"/>
      <c r="B7" s="3">
        <v>730</v>
      </c>
      <c r="C7" s="3">
        <v>81</v>
      </c>
      <c r="D7" s="3">
        <v>83</v>
      </c>
      <c r="E7" s="3">
        <v>54</v>
      </c>
      <c r="F7" s="3">
        <v>50</v>
      </c>
      <c r="G7" s="3">
        <v>75</v>
      </c>
      <c r="H7" s="3"/>
      <c r="I7" s="3"/>
    </row>
    <row r="8" spans="1:11" ht="18" x14ac:dyDescent="0.25">
      <c r="A8" s="2"/>
      <c r="B8" s="3">
        <v>815</v>
      </c>
      <c r="C8" s="3">
        <v>80</v>
      </c>
      <c r="D8" s="3">
        <v>84</v>
      </c>
      <c r="E8" s="3">
        <v>51</v>
      </c>
      <c r="F8" s="3">
        <v>53</v>
      </c>
      <c r="G8" s="3">
        <v>78</v>
      </c>
      <c r="H8" s="3"/>
      <c r="I8" s="3"/>
    </row>
    <row r="9" spans="1:11" ht="18" x14ac:dyDescent="0.25">
      <c r="A9" s="2"/>
      <c r="B9" s="3">
        <v>845</v>
      </c>
      <c r="C9" s="3">
        <v>79</v>
      </c>
      <c r="D9" s="3">
        <v>84</v>
      </c>
      <c r="E9" s="3">
        <v>51</v>
      </c>
      <c r="F9" s="3">
        <v>54</v>
      </c>
      <c r="G9" s="3">
        <v>80</v>
      </c>
      <c r="H9" s="3"/>
      <c r="I9" s="3"/>
    </row>
    <row r="10" spans="1:11" ht="18" x14ac:dyDescent="0.25">
      <c r="A10" s="2"/>
      <c r="B10" s="3">
        <v>945</v>
      </c>
      <c r="C10" s="3">
        <v>79</v>
      </c>
      <c r="D10" s="3">
        <v>83</v>
      </c>
      <c r="E10" s="3">
        <v>52</v>
      </c>
      <c r="F10" s="3">
        <v>59</v>
      </c>
      <c r="G10" s="3">
        <v>87</v>
      </c>
      <c r="H10" s="3"/>
      <c r="I10" s="3"/>
    </row>
    <row r="11" spans="1:11" ht="18" x14ac:dyDescent="0.25">
      <c r="A11" s="2"/>
      <c r="B11" s="3">
        <v>1015</v>
      </c>
      <c r="C11" s="3">
        <v>78</v>
      </c>
      <c r="D11" s="3">
        <v>82</v>
      </c>
      <c r="E11" s="3">
        <v>53</v>
      </c>
      <c r="F11" s="3">
        <v>61</v>
      </c>
      <c r="G11" s="3">
        <v>88</v>
      </c>
      <c r="H11" s="3"/>
      <c r="I11" s="3"/>
    </row>
    <row r="12" spans="1:11" ht="18" x14ac:dyDescent="0.25">
      <c r="A12" s="2"/>
      <c r="B12" s="3">
        <v>1145</v>
      </c>
      <c r="C12" s="3">
        <v>78</v>
      </c>
      <c r="D12" s="3">
        <v>80</v>
      </c>
      <c r="E12" s="3">
        <v>53</v>
      </c>
      <c r="F12" s="3">
        <v>65</v>
      </c>
      <c r="G12" s="3">
        <v>94</v>
      </c>
      <c r="H12" s="3"/>
      <c r="I12" s="3"/>
    </row>
    <row r="13" spans="1:11" ht="18" x14ac:dyDescent="0.25">
      <c r="A13" s="2"/>
      <c r="B13" s="3">
        <v>1310</v>
      </c>
      <c r="C13" s="3">
        <v>79</v>
      </c>
      <c r="D13" s="3">
        <v>74</v>
      </c>
      <c r="E13" s="3">
        <v>61</v>
      </c>
      <c r="F13" s="3">
        <v>68</v>
      </c>
      <c r="G13" s="3">
        <v>97</v>
      </c>
      <c r="H13" s="3"/>
      <c r="I13" s="3"/>
    </row>
    <row r="14" spans="1:11" ht="18" x14ac:dyDescent="0.25">
      <c r="A14" s="2"/>
      <c r="B14" s="3">
        <v>1455</v>
      </c>
      <c r="C14" s="3">
        <v>80</v>
      </c>
      <c r="D14" s="3">
        <v>71</v>
      </c>
      <c r="E14" s="3">
        <v>64</v>
      </c>
      <c r="F14" s="3">
        <v>68</v>
      </c>
      <c r="G14" s="3">
        <v>97</v>
      </c>
      <c r="H14" s="3"/>
      <c r="I14" s="3"/>
    </row>
    <row r="15" spans="1:11" ht="18" x14ac:dyDescent="0.25">
      <c r="A15" s="2"/>
      <c r="B15" s="3">
        <v>1625</v>
      </c>
      <c r="C15" s="3">
        <v>80</v>
      </c>
      <c r="D15" s="3">
        <v>82</v>
      </c>
      <c r="E15" s="3">
        <v>56</v>
      </c>
      <c r="F15" s="3">
        <v>54</v>
      </c>
      <c r="G15" s="3">
        <v>95</v>
      </c>
      <c r="H15" s="3"/>
      <c r="I15" s="3"/>
    </row>
    <row r="16" spans="1:11" ht="18" x14ac:dyDescent="0.25">
      <c r="A16" s="2"/>
      <c r="B16" s="3">
        <v>1635</v>
      </c>
      <c r="C16" s="3">
        <v>79</v>
      </c>
      <c r="D16" s="3">
        <v>83</v>
      </c>
      <c r="E16" s="3">
        <v>55</v>
      </c>
      <c r="F16" s="3">
        <v>53</v>
      </c>
      <c r="G16" s="3">
        <v>95</v>
      </c>
      <c r="H16" s="3"/>
      <c r="I16" s="3"/>
    </row>
    <row r="17" spans="1:9" ht="18" x14ac:dyDescent="0.25">
      <c r="A17" s="2"/>
      <c r="B17" s="3">
        <v>1800</v>
      </c>
      <c r="C17" s="3">
        <v>79</v>
      </c>
      <c r="D17" s="3">
        <v>82</v>
      </c>
      <c r="E17" s="3">
        <v>55</v>
      </c>
      <c r="F17" s="3">
        <v>59</v>
      </c>
      <c r="G17" s="3">
        <v>95</v>
      </c>
      <c r="H17" s="3"/>
      <c r="I17" s="3"/>
    </row>
    <row r="18" spans="1:9" ht="18" x14ac:dyDescent="0.25">
      <c r="A18" s="2"/>
      <c r="B18" s="3">
        <v>2120</v>
      </c>
      <c r="C18" s="3">
        <v>78</v>
      </c>
      <c r="D18" s="3">
        <v>80</v>
      </c>
      <c r="E18" s="3">
        <v>54</v>
      </c>
      <c r="F18" s="3">
        <v>65</v>
      </c>
      <c r="G18" s="3">
        <v>84</v>
      </c>
      <c r="H18" s="3"/>
      <c r="I18" s="3"/>
    </row>
    <row r="19" spans="1:9" ht="18" x14ac:dyDescent="0.25">
      <c r="A19" s="2"/>
      <c r="B19" s="3">
        <v>2155</v>
      </c>
      <c r="C19" s="3">
        <v>78</v>
      </c>
      <c r="D19" s="3">
        <v>81</v>
      </c>
      <c r="E19" s="3">
        <v>53</v>
      </c>
      <c r="F19" s="3">
        <v>65</v>
      </c>
      <c r="G19" s="3">
        <v>83</v>
      </c>
      <c r="H19" s="3">
        <v>101</v>
      </c>
      <c r="I19" s="3">
        <v>53</v>
      </c>
    </row>
    <row r="20" spans="1:9" ht="18" x14ac:dyDescent="0.25">
      <c r="A20" s="2">
        <v>40746</v>
      </c>
      <c r="B20" s="3">
        <v>640</v>
      </c>
      <c r="C20" s="3">
        <v>76</v>
      </c>
      <c r="D20" s="3">
        <v>78</v>
      </c>
      <c r="E20" s="3">
        <v>60</v>
      </c>
      <c r="F20" s="3">
        <v>63</v>
      </c>
      <c r="G20" s="3">
        <v>77</v>
      </c>
      <c r="H20" s="3">
        <v>83</v>
      </c>
      <c r="I20" s="3">
        <v>63</v>
      </c>
    </row>
    <row r="21" spans="1:9" ht="18" x14ac:dyDescent="0.25">
      <c r="A21" s="2"/>
      <c r="B21" s="3">
        <v>805</v>
      </c>
      <c r="C21" s="3">
        <v>77</v>
      </c>
      <c r="D21" s="3">
        <v>78</v>
      </c>
      <c r="E21" s="3">
        <v>61</v>
      </c>
      <c r="F21" s="3">
        <v>64</v>
      </c>
      <c r="G21" s="3">
        <v>81</v>
      </c>
      <c r="H21" s="3"/>
      <c r="I21" s="3"/>
    </row>
    <row r="22" spans="1:9" ht="18" x14ac:dyDescent="0.25">
      <c r="A22" s="2"/>
      <c r="B22" s="3">
        <v>845</v>
      </c>
      <c r="C22" s="3">
        <v>76</v>
      </c>
      <c r="D22" s="3">
        <v>79</v>
      </c>
      <c r="E22" s="3">
        <v>65</v>
      </c>
      <c r="F22" s="3">
        <v>64</v>
      </c>
      <c r="G22" s="3">
        <v>83</v>
      </c>
      <c r="H22" s="3"/>
      <c r="I22" s="3"/>
    </row>
    <row r="23" spans="1:9" ht="18" x14ac:dyDescent="0.25">
      <c r="A23" s="2"/>
      <c r="B23" s="3">
        <v>905</v>
      </c>
      <c r="C23" s="3">
        <v>76</v>
      </c>
      <c r="D23" s="3">
        <v>80</v>
      </c>
      <c r="E23" s="3">
        <v>67</v>
      </c>
      <c r="F23" s="3">
        <v>63</v>
      </c>
      <c r="G23" s="3">
        <v>84</v>
      </c>
      <c r="H23" s="3"/>
      <c r="I23" s="3"/>
    </row>
    <row r="24" spans="1:9" ht="18" x14ac:dyDescent="0.25">
      <c r="A24" s="2"/>
      <c r="B24" s="3">
        <v>1040</v>
      </c>
      <c r="C24" s="3">
        <v>77</v>
      </c>
      <c r="D24" s="3">
        <v>80</v>
      </c>
      <c r="E24" s="3">
        <v>60</v>
      </c>
      <c r="F24" s="3">
        <v>63</v>
      </c>
      <c r="G24" s="3">
        <v>93</v>
      </c>
      <c r="H24" s="3"/>
      <c r="I24" s="3"/>
    </row>
    <row r="25" spans="1:9" ht="18" x14ac:dyDescent="0.25">
      <c r="A25" s="2"/>
      <c r="B25" s="3">
        <v>1130</v>
      </c>
      <c r="C25" s="3">
        <v>76</v>
      </c>
      <c r="D25" s="3">
        <v>80</v>
      </c>
      <c r="E25" s="3">
        <v>59</v>
      </c>
      <c r="F25" s="3">
        <v>62</v>
      </c>
      <c r="G25" s="3">
        <v>96</v>
      </c>
      <c r="H25" s="3"/>
      <c r="I25" s="3"/>
    </row>
    <row r="26" spans="1:9" ht="18" x14ac:dyDescent="0.25">
      <c r="A26" s="2"/>
      <c r="B26" s="3">
        <v>1215</v>
      </c>
      <c r="C26" s="3">
        <v>76</v>
      </c>
      <c r="D26" s="3">
        <v>80</v>
      </c>
      <c r="E26" s="3">
        <v>58</v>
      </c>
      <c r="F26" s="3">
        <v>64</v>
      </c>
      <c r="G26" s="3">
        <v>98</v>
      </c>
      <c r="H26" s="3"/>
      <c r="I26" s="3"/>
    </row>
    <row r="27" spans="1:9" ht="18" x14ac:dyDescent="0.25">
      <c r="A27" s="2" t="s">
        <v>10</v>
      </c>
      <c r="B27" s="3">
        <v>1225</v>
      </c>
      <c r="C27" s="3">
        <v>76</v>
      </c>
      <c r="D27" s="3">
        <v>80</v>
      </c>
      <c r="E27" s="3">
        <v>58</v>
      </c>
      <c r="F27" s="3">
        <v>64</v>
      </c>
      <c r="G27" s="3">
        <v>99</v>
      </c>
      <c r="H27" s="3"/>
      <c r="I27" s="3"/>
    </row>
    <row r="28" spans="1:9" ht="18" x14ac:dyDescent="0.25">
      <c r="A28" s="2"/>
      <c r="B28" s="3">
        <v>1325</v>
      </c>
      <c r="C28" s="3">
        <v>77</v>
      </c>
      <c r="D28" s="3">
        <v>79</v>
      </c>
      <c r="E28" s="3">
        <v>59</v>
      </c>
      <c r="F28" s="3">
        <v>62</v>
      </c>
      <c r="G28" s="3">
        <v>96</v>
      </c>
      <c r="H28" s="3"/>
      <c r="I28" s="3"/>
    </row>
    <row r="29" spans="1:9" ht="18" x14ac:dyDescent="0.25">
      <c r="A29" s="2"/>
      <c r="B29" s="3">
        <v>1445</v>
      </c>
      <c r="C29" s="3">
        <v>77</v>
      </c>
      <c r="D29" s="3">
        <v>77</v>
      </c>
      <c r="E29" s="3">
        <v>59</v>
      </c>
      <c r="F29" s="3">
        <v>63</v>
      </c>
      <c r="G29" s="3">
        <v>97</v>
      </c>
      <c r="H29" s="3"/>
      <c r="I29" s="3"/>
    </row>
    <row r="30" spans="1:9" ht="18" x14ac:dyDescent="0.25">
      <c r="A30" s="2"/>
      <c r="B30" s="3">
        <v>1545</v>
      </c>
      <c r="C30" s="3">
        <v>77</v>
      </c>
      <c r="D30" s="3">
        <v>78</v>
      </c>
      <c r="E30" s="3">
        <v>59</v>
      </c>
      <c r="F30" s="3">
        <v>64</v>
      </c>
      <c r="G30" s="3">
        <v>98</v>
      </c>
      <c r="H30" s="3"/>
      <c r="I30" s="3"/>
    </row>
    <row r="31" spans="1:9" ht="18" x14ac:dyDescent="0.25">
      <c r="A31" s="2"/>
      <c r="B31" s="3">
        <v>1645</v>
      </c>
      <c r="C31" s="3">
        <v>77</v>
      </c>
      <c r="D31" s="3">
        <v>80</v>
      </c>
      <c r="E31" s="3">
        <v>58</v>
      </c>
      <c r="F31" s="3">
        <v>61</v>
      </c>
      <c r="G31" s="3">
        <v>96</v>
      </c>
      <c r="H31" s="3">
        <v>104</v>
      </c>
      <c r="I31" s="3">
        <v>53</v>
      </c>
    </row>
    <row r="32" spans="1:9" ht="18" x14ac:dyDescent="0.25">
      <c r="A32" s="2"/>
      <c r="B32" s="3">
        <v>1710</v>
      </c>
      <c r="C32" s="3">
        <v>77</v>
      </c>
      <c r="D32" s="3">
        <v>81</v>
      </c>
      <c r="E32" s="3">
        <v>58</v>
      </c>
      <c r="F32" s="3">
        <v>61</v>
      </c>
      <c r="G32" s="3">
        <v>97</v>
      </c>
      <c r="H32" s="3"/>
      <c r="I32" s="3"/>
    </row>
    <row r="33" spans="1:9" ht="18" x14ac:dyDescent="0.25">
      <c r="A33" s="2"/>
      <c r="B33" s="3">
        <v>1745</v>
      </c>
      <c r="C33" s="3">
        <v>77</v>
      </c>
      <c r="D33" s="3">
        <v>80</v>
      </c>
      <c r="E33" s="3">
        <v>55</v>
      </c>
      <c r="F33" s="3">
        <v>62</v>
      </c>
      <c r="G33" s="3">
        <v>93</v>
      </c>
      <c r="H33" s="3">
        <v>106</v>
      </c>
      <c r="I33" s="3">
        <v>50</v>
      </c>
    </row>
    <row r="34" spans="1:9" ht="18" x14ac:dyDescent="0.25">
      <c r="A34" s="2"/>
      <c r="B34" s="3">
        <v>1905</v>
      </c>
      <c r="C34" s="3">
        <v>77</v>
      </c>
      <c r="D34" s="3">
        <v>77</v>
      </c>
      <c r="E34" s="3">
        <v>58</v>
      </c>
      <c r="F34" s="3">
        <v>62</v>
      </c>
      <c r="G34" s="3">
        <v>85</v>
      </c>
      <c r="H34" s="3"/>
      <c r="I34" s="3"/>
    </row>
    <row r="35" spans="1:9" ht="18" x14ac:dyDescent="0.25">
      <c r="A35" s="2"/>
      <c r="B35" s="3">
        <v>2135</v>
      </c>
      <c r="C35" s="3">
        <v>80</v>
      </c>
      <c r="D35" s="3">
        <v>73</v>
      </c>
      <c r="E35" s="3">
        <v>62</v>
      </c>
      <c r="F35" s="3">
        <v>68</v>
      </c>
      <c r="G35" s="3">
        <v>78</v>
      </c>
      <c r="H35" s="3"/>
      <c r="I35" s="3"/>
    </row>
    <row r="36" spans="1:9" ht="18" x14ac:dyDescent="0.25">
      <c r="A36" s="2"/>
      <c r="B36" s="3">
        <v>2205</v>
      </c>
      <c r="C36" s="3">
        <v>80</v>
      </c>
      <c r="D36" s="3">
        <v>73</v>
      </c>
      <c r="E36" s="3">
        <v>62</v>
      </c>
      <c r="F36" s="3">
        <v>64</v>
      </c>
      <c r="G36" s="3">
        <v>78</v>
      </c>
      <c r="H36" s="3">
        <v>97</v>
      </c>
      <c r="I36" s="3">
        <v>52</v>
      </c>
    </row>
    <row r="37" spans="1:9" ht="18" x14ac:dyDescent="0.25">
      <c r="A37" s="2">
        <v>40747</v>
      </c>
      <c r="B37" s="3">
        <v>715</v>
      </c>
      <c r="C37" s="3">
        <v>80</v>
      </c>
      <c r="D37" s="3">
        <v>70</v>
      </c>
      <c r="E37" s="3">
        <v>67</v>
      </c>
      <c r="F37" s="3">
        <v>66</v>
      </c>
      <c r="G37" s="3">
        <v>76</v>
      </c>
      <c r="H37" s="3">
        <v>80</v>
      </c>
      <c r="I37" s="3">
        <v>64</v>
      </c>
    </row>
    <row r="38" spans="1:9" ht="18" x14ac:dyDescent="0.25">
      <c r="A38" s="2"/>
      <c r="B38" s="3">
        <v>810</v>
      </c>
      <c r="C38" s="3">
        <v>81</v>
      </c>
      <c r="D38" s="3">
        <v>70</v>
      </c>
      <c r="E38" s="3">
        <v>68</v>
      </c>
      <c r="F38" s="3">
        <v>64</v>
      </c>
      <c r="G38" s="3">
        <v>80</v>
      </c>
      <c r="H38" s="3"/>
      <c r="I38" s="3"/>
    </row>
    <row r="39" spans="1:9" ht="18" x14ac:dyDescent="0.25">
      <c r="A39" s="2"/>
      <c r="B39" s="3">
        <v>910</v>
      </c>
      <c r="C39" s="3">
        <v>81</v>
      </c>
      <c r="D39" s="3">
        <v>70</v>
      </c>
      <c r="E39" s="3">
        <v>72</v>
      </c>
      <c r="F39" s="3">
        <v>67</v>
      </c>
      <c r="G39" s="3">
        <v>82</v>
      </c>
      <c r="H39" s="3"/>
      <c r="I39" s="3"/>
    </row>
    <row r="40" spans="1:9" ht="18" x14ac:dyDescent="0.25">
      <c r="A40" s="2"/>
      <c r="B40" s="3">
        <v>1500</v>
      </c>
      <c r="C40" s="3">
        <v>81</v>
      </c>
      <c r="D40" s="3">
        <v>76</v>
      </c>
      <c r="E40" s="3">
        <v>62</v>
      </c>
      <c r="F40" s="3">
        <v>63</v>
      </c>
      <c r="G40" s="3">
        <v>96</v>
      </c>
      <c r="H40" s="3">
        <v>96</v>
      </c>
      <c r="I40" s="3">
        <v>60</v>
      </c>
    </row>
    <row r="41" spans="1:9" ht="18" x14ac:dyDescent="0.25">
      <c r="A41" s="2"/>
      <c r="B41" s="3">
        <v>1605</v>
      </c>
      <c r="C41" s="3">
        <v>79</v>
      </c>
      <c r="D41" s="3">
        <v>82</v>
      </c>
      <c r="E41" s="3">
        <v>55</v>
      </c>
      <c r="F41" s="3">
        <v>56</v>
      </c>
      <c r="G41" s="3">
        <v>93</v>
      </c>
      <c r="H41" s="3"/>
      <c r="I41" s="3"/>
    </row>
    <row r="42" spans="1:9" ht="18" x14ac:dyDescent="0.25">
      <c r="A42" s="2"/>
      <c r="B42" s="3">
        <v>1930</v>
      </c>
      <c r="C42" s="3">
        <v>78</v>
      </c>
      <c r="D42" s="3">
        <v>81</v>
      </c>
      <c r="E42" s="3">
        <v>52</v>
      </c>
      <c r="F42" s="3">
        <v>64</v>
      </c>
      <c r="G42" s="3">
        <v>88</v>
      </c>
      <c r="H42" s="3">
        <v>102</v>
      </c>
      <c r="I42" s="3">
        <v>52</v>
      </c>
    </row>
    <row r="43" spans="1:9" ht="18" x14ac:dyDescent="0.25">
      <c r="A43" s="2"/>
      <c r="B43" s="3">
        <v>2155</v>
      </c>
      <c r="C43" s="3">
        <v>79</v>
      </c>
      <c r="D43" s="3">
        <v>75</v>
      </c>
      <c r="E43" s="3">
        <v>55</v>
      </c>
      <c r="F43" s="3">
        <v>70</v>
      </c>
      <c r="G43" s="3">
        <v>82</v>
      </c>
      <c r="H43" s="3">
        <v>97</v>
      </c>
      <c r="I43" s="3">
        <v>52</v>
      </c>
    </row>
    <row r="44" spans="1:9" ht="18" x14ac:dyDescent="0.25">
      <c r="A44" s="2">
        <v>40748</v>
      </c>
      <c r="B44" s="3">
        <v>730</v>
      </c>
      <c r="C44" s="3">
        <v>81</v>
      </c>
      <c r="D44" s="3">
        <v>70</v>
      </c>
      <c r="E44" s="3">
        <v>68</v>
      </c>
      <c r="F44" s="3">
        <v>66</v>
      </c>
      <c r="G44" s="3">
        <v>75</v>
      </c>
      <c r="H44" s="3">
        <v>81</v>
      </c>
      <c r="I44" s="3">
        <v>63</v>
      </c>
    </row>
    <row r="45" spans="1:9" ht="18" x14ac:dyDescent="0.25">
      <c r="A45" s="2"/>
      <c r="B45" s="3">
        <v>1040</v>
      </c>
      <c r="C45" s="3">
        <v>81</v>
      </c>
      <c r="D45" s="3">
        <v>70</v>
      </c>
      <c r="E45" s="3">
        <v>71</v>
      </c>
      <c r="F45" s="3">
        <v>64</v>
      </c>
      <c r="G45" s="3">
        <v>85</v>
      </c>
      <c r="H45" s="3"/>
      <c r="I45" s="3"/>
    </row>
    <row r="46" spans="1:9" ht="18" x14ac:dyDescent="0.25">
      <c r="A46" s="2"/>
      <c r="B46" s="3">
        <v>1230</v>
      </c>
      <c r="C46" s="3">
        <v>80</v>
      </c>
      <c r="D46" s="3">
        <v>79</v>
      </c>
      <c r="E46" s="3">
        <v>62</v>
      </c>
      <c r="F46" s="3">
        <v>58</v>
      </c>
      <c r="G46" s="3">
        <v>95</v>
      </c>
      <c r="H46" s="3"/>
      <c r="I46" s="3"/>
    </row>
    <row r="47" spans="1:9" ht="18" x14ac:dyDescent="0.25">
      <c r="A47" s="2" t="s">
        <v>11</v>
      </c>
      <c r="B47" s="3">
        <v>1520</v>
      </c>
      <c r="C47" s="3">
        <v>78</v>
      </c>
      <c r="D47" s="3">
        <v>79</v>
      </c>
      <c r="E47" s="3">
        <v>56</v>
      </c>
      <c r="F47" s="3">
        <v>64</v>
      </c>
      <c r="G47" s="3">
        <v>94</v>
      </c>
      <c r="H47" s="3"/>
      <c r="I47" s="3"/>
    </row>
    <row r="48" spans="1:9" ht="18" x14ac:dyDescent="0.25">
      <c r="A48" s="2" t="s">
        <v>12</v>
      </c>
      <c r="B48" s="3">
        <v>1730</v>
      </c>
      <c r="C48" s="3">
        <v>77</v>
      </c>
      <c r="D48" s="3">
        <v>82</v>
      </c>
      <c r="E48" s="3">
        <v>54</v>
      </c>
      <c r="F48" s="3">
        <v>65</v>
      </c>
      <c r="G48" s="3">
        <v>80</v>
      </c>
      <c r="H48" s="3"/>
      <c r="I48" s="3"/>
    </row>
    <row r="49" spans="1:9" ht="18" x14ac:dyDescent="0.25">
      <c r="A49" s="2"/>
      <c r="B49" s="3">
        <v>2305</v>
      </c>
      <c r="C49" s="3">
        <v>80</v>
      </c>
      <c r="D49" s="3">
        <v>72</v>
      </c>
      <c r="E49" s="3">
        <v>68</v>
      </c>
      <c r="F49" s="3">
        <v>64</v>
      </c>
      <c r="G49" s="3">
        <v>72</v>
      </c>
      <c r="H49" s="3">
        <v>85</v>
      </c>
      <c r="I49" s="3">
        <v>61</v>
      </c>
    </row>
    <row r="52" spans="1:9" x14ac:dyDescent="0.25">
      <c r="B52" s="9" t="s">
        <v>17</v>
      </c>
      <c r="C52" s="9"/>
      <c r="D52" s="9"/>
      <c r="E52" s="9"/>
      <c r="F52" s="9"/>
      <c r="G52" s="9"/>
      <c r="H52" s="9"/>
    </row>
    <row r="53" spans="1:9" ht="40.5" customHeight="1" x14ac:dyDescent="0.25">
      <c r="B53" s="9"/>
      <c r="C53" s="9"/>
      <c r="D53" s="9"/>
      <c r="E53" s="9"/>
      <c r="F53" s="9"/>
      <c r="G53" s="9"/>
      <c r="H53" s="9"/>
    </row>
    <row r="54" spans="1:9" ht="48.75" customHeight="1" x14ac:dyDescent="0.25">
      <c r="B54" s="11" t="s">
        <v>22</v>
      </c>
      <c r="C54" s="12" t="s">
        <v>23</v>
      </c>
      <c r="D54" s="13" t="s">
        <v>19</v>
      </c>
      <c r="E54" s="13" t="s">
        <v>18</v>
      </c>
      <c r="F54" s="13"/>
      <c r="G54" s="13" t="s">
        <v>20</v>
      </c>
      <c r="H54" s="12" t="s">
        <v>21</v>
      </c>
    </row>
    <row r="55" spans="1:9" x14ac:dyDescent="0.25">
      <c r="C55" s="14">
        <v>0.6</v>
      </c>
      <c r="D55" s="14">
        <v>9.5</v>
      </c>
      <c r="E55" s="15">
        <v>15.83333333</v>
      </c>
      <c r="F55" s="14">
        <v>16</v>
      </c>
      <c r="G55" s="14">
        <v>81</v>
      </c>
      <c r="H55" s="16">
        <f>F55/G55</f>
        <v>0.19753086419753085</v>
      </c>
    </row>
    <row r="56" spans="1:9" x14ac:dyDescent="0.25">
      <c r="C56" s="14">
        <v>0.8</v>
      </c>
      <c r="D56" s="14">
        <v>9.5</v>
      </c>
      <c r="E56" s="15">
        <v>11.875</v>
      </c>
      <c r="F56" s="14">
        <v>12</v>
      </c>
      <c r="G56" s="14">
        <v>81</v>
      </c>
      <c r="H56" s="16">
        <f>12/G56</f>
        <v>0.14814814814814814</v>
      </c>
    </row>
  </sheetData>
  <mergeCells count="4">
    <mergeCell ref="B52:H53"/>
    <mergeCell ref="A1:F1"/>
    <mergeCell ref="C2:D2"/>
    <mergeCell ref="E2:F2"/>
  </mergeCells>
  <pageMargins left="0.75" right="0.75" top="1" bottom="1" header="0.5" footer="0.5"/>
  <pageSetup orientation="portrait" horizontalDpi="200" verticalDpi="200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 Lutz</dc:creator>
  <cp:lastModifiedBy>lwigington</cp:lastModifiedBy>
  <dcterms:created xsi:type="dcterms:W3CDTF">2011-07-25T16:19:42Z</dcterms:created>
  <dcterms:modified xsi:type="dcterms:W3CDTF">2011-07-26T04:39:54Z</dcterms:modified>
</cp:coreProperties>
</file>