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H:\APP\PA\Resource\FINANCEFILES\Formula\FAC\2016-2017\GAI\01 Committee\2014 03 13 Meeting\"/>
    </mc:Choice>
  </mc:AlternateContent>
  <bookViews>
    <workbookView xWindow="0" yWindow="0" windowWidth="16575" windowHeight="9510" tabRatio="690"/>
  </bookViews>
  <sheets>
    <sheet name="Option 22" sheetId="20" r:id="rId1"/>
    <sheet name="Option 21" sheetId="19" r:id="rId2"/>
  </sheets>
  <externalReferences>
    <externalReference r:id="rId3"/>
    <externalReference r:id="rId4"/>
  </externalReferences>
  <definedNames>
    <definedName name="_Fill" localSheetId="1" hidden="1">#REF!</definedName>
    <definedName name="_Fill" localSheetId="0" hidden="1">#REF!</definedName>
    <definedName name="_Fill" hidden="1">#REF!</definedName>
    <definedName name="_xlnm._FilterDatabase" localSheetId="1" hidden="1">'Option 21'!$A$88:$L$383</definedName>
    <definedName name="_xlnm._FilterDatabase" localSheetId="0" hidden="1">'Option 22'!$A$88:$K$383</definedName>
    <definedName name="_Order1" hidden="1">255</definedName>
    <definedName name="_Order2" hidden="1">255</definedName>
    <definedName name="MATCHINST" localSheetId="1">#REF!</definedName>
    <definedName name="MATCHINST" localSheetId="0">#REF!</definedName>
    <definedName name="MATCHINST">#REF!</definedName>
    <definedName name="solver_adj2" localSheetId="1" hidden="1">#REF!</definedName>
    <definedName name="solver_adj2" localSheetId="0" hidden="1">#REF!</definedName>
    <definedName name="solver_adj2" hidden="1">#REF!</definedName>
    <definedName name="solver_cvg" hidden="1">0.0001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localSheetId="1" hidden="1">[1]Infrastructure!#REF!</definedName>
    <definedName name="solver_opt" localSheetId="0" hidden="1">[1]Infrastructure!#REF!</definedName>
    <definedName name="solver_opt" hidden="1">[2]Infrastructure!#REF!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definedName>
    <definedName name="Z_175A74B9_04D8_4168_BE0E_B9F6D216804E_.wvu.Cols" localSheetId="1" hidden="1">#REF!</definedName>
    <definedName name="Z_175A74B9_04D8_4168_BE0E_B9F6D216804E_.wvu.Cols" localSheetId="0" hidden="1">#REF!</definedName>
    <definedName name="Z_175A74B9_04D8_4168_BE0E_B9F6D216804E_.wvu.Cols" hidden="1">#REF!</definedName>
    <definedName name="Z_175A74B9_04D8_4168_BE0E_B9F6D216804E_.wvu.PrintTitles" localSheetId="1" hidden="1">[1]Infrastructure!$B:$K,[1]Infrastructure!$3:$3</definedName>
    <definedName name="Z_175A74B9_04D8_4168_BE0E_B9F6D216804E_.wvu.PrintTitles" localSheetId="0" hidden="1">[1]Infrastructure!$B:$K,[1]Infrastructure!$3:$3</definedName>
    <definedName name="Z_175A74B9_04D8_4168_BE0E_B9F6D216804E_.wvu.PrintTitles" hidden="1">[2]Infrastructure!$B:$K,[2]Infrastructure!$3:$3</definedName>
    <definedName name="Z_3B4A1CD3_71A7_41D8_BB20_2C00DD672F4C_.wvu.Cols" localSheetId="1" hidden="1">#REF!</definedName>
    <definedName name="Z_3B4A1CD3_71A7_41D8_BB20_2C00DD672F4C_.wvu.Cols" localSheetId="0" hidden="1">#REF!</definedName>
    <definedName name="Z_3B4A1CD3_71A7_41D8_BB20_2C00DD672F4C_.wvu.Cols" hidden="1">#REF!</definedName>
    <definedName name="Z_3B4A1CD3_71A7_41D8_BB20_2C00DD672F4C_.wvu.PrintTitles" localSheetId="1" hidden="1">[1]Infrastructure!$B:$K,[1]Infrastructure!$3:$3</definedName>
    <definedName name="Z_3B4A1CD3_71A7_41D8_BB20_2C00DD672F4C_.wvu.PrintTitles" localSheetId="0" hidden="1">[1]Infrastructure!$B:$K,[1]Infrastructure!$3:$3</definedName>
    <definedName name="Z_3B4A1CD3_71A7_41D8_BB20_2C00DD672F4C_.wvu.PrintTitles" hidden="1">[2]Infrastructure!$B:$K,[2]Infrastructure!$3:$3</definedName>
    <definedName name="Z_5F15871F_1F9D_454B_B820_06244E250857_.wvu.Cols" localSheetId="1" hidden="1">#REF!</definedName>
    <definedName name="Z_5F15871F_1F9D_454B_B820_06244E250857_.wvu.Cols" localSheetId="0" hidden="1">#REF!</definedName>
    <definedName name="Z_5F15871F_1F9D_454B_B820_06244E250857_.wvu.Cols" hidden="1">#REF!</definedName>
    <definedName name="Z_5F15871F_1F9D_454B_B820_06244E250857_.wvu.PrintTitles" localSheetId="1" hidden="1">[1]Infrastructure!$B:$K,[1]Infrastructure!$3:$3</definedName>
    <definedName name="Z_5F15871F_1F9D_454B_B820_06244E250857_.wvu.PrintTitles" localSheetId="0" hidden="1">[1]Infrastructure!$B:$K,[1]Infrastructure!$3:$3</definedName>
    <definedName name="Z_5F15871F_1F9D_454B_B820_06244E250857_.wvu.PrintTitles" hidden="1">[2]Infrastructure!$B:$K,[2]Infrastructure!$3:$3</definedName>
    <definedName name="Z_82D93351_CB79_47D8_8AE8_2B10EACDB89E_.wvu.Cols" localSheetId="1" hidden="1">#REF!</definedName>
    <definedName name="Z_82D93351_CB79_47D8_8AE8_2B10EACDB89E_.wvu.Cols" localSheetId="0" hidden="1">#REF!</definedName>
    <definedName name="Z_82D93351_CB79_47D8_8AE8_2B10EACDB89E_.wvu.Cols" hidden="1">#REF!</definedName>
    <definedName name="Z_82D93351_CB79_47D8_8AE8_2B10EACDB89E_.wvu.PrintTitles" localSheetId="1" hidden="1">[1]Infrastructure!$B:$K,[1]Infrastructure!$3:$3</definedName>
    <definedName name="Z_82D93351_CB79_47D8_8AE8_2B10EACDB89E_.wvu.PrintTitles" localSheetId="0" hidden="1">[1]Infrastructure!$B:$K,[1]Infrastructure!$3:$3</definedName>
    <definedName name="Z_82D93351_CB79_47D8_8AE8_2B10EACDB89E_.wvu.PrintTitles" hidden="1">[2]Infrastructure!$B:$K,[2]Infrastructure!$3:$3</definedName>
  </definedNames>
  <calcPr calcId="152511"/>
</workbook>
</file>

<file path=xl/calcChain.xml><?xml version="1.0" encoding="utf-8"?>
<calcChain xmlns="http://schemas.openxmlformats.org/spreadsheetml/2006/main">
  <c r="J383" i="20" l="1"/>
  <c r="I383" i="20"/>
  <c r="H383" i="20"/>
  <c r="G383" i="20"/>
  <c r="D383" i="20"/>
  <c r="F371" i="20"/>
  <c r="F383" i="20" s="1"/>
  <c r="J341" i="20"/>
  <c r="I341" i="20"/>
  <c r="H341" i="20"/>
  <c r="G341" i="20"/>
  <c r="F341" i="20"/>
  <c r="D341" i="20"/>
  <c r="J299" i="20"/>
  <c r="I299" i="20"/>
  <c r="H299" i="20"/>
  <c r="G299" i="20"/>
  <c r="F299" i="20"/>
  <c r="D299" i="20"/>
  <c r="E288" i="20"/>
  <c r="E277" i="20"/>
  <c r="E274" i="20"/>
  <c r="J256" i="20"/>
  <c r="J214" i="20" s="1"/>
  <c r="I256" i="20"/>
  <c r="I214" i="20" s="1"/>
  <c r="H256" i="20"/>
  <c r="H214" i="20" s="1"/>
  <c r="G256" i="20"/>
  <c r="D256" i="20"/>
  <c r="J255" i="20"/>
  <c r="J213" i="20" s="1"/>
  <c r="I255" i="20"/>
  <c r="H255" i="20"/>
  <c r="H213" i="20" s="1"/>
  <c r="G255" i="20"/>
  <c r="G213" i="20" s="1"/>
  <c r="D255" i="20"/>
  <c r="J254" i="20"/>
  <c r="J212" i="20" s="1"/>
  <c r="I254" i="20"/>
  <c r="H254" i="20"/>
  <c r="H212" i="20" s="1"/>
  <c r="G254" i="20"/>
  <c r="E254" i="20"/>
  <c r="E212" i="20" s="1"/>
  <c r="D254" i="20"/>
  <c r="F254" i="20" s="1"/>
  <c r="F212" i="20" s="1"/>
  <c r="J253" i="20"/>
  <c r="J211" i="20" s="1"/>
  <c r="I253" i="20"/>
  <c r="H253" i="20"/>
  <c r="H211" i="20" s="1"/>
  <c r="G253" i="20"/>
  <c r="E253" i="20"/>
  <c r="E211" i="20" s="1"/>
  <c r="D253" i="20"/>
  <c r="F253" i="20" s="1"/>
  <c r="F211" i="20" s="1"/>
  <c r="J252" i="20"/>
  <c r="J210" i="20" s="1"/>
  <c r="I252" i="20"/>
  <c r="I210" i="20" s="1"/>
  <c r="H252" i="20"/>
  <c r="H210" i="20" s="1"/>
  <c r="G252" i="20"/>
  <c r="G210" i="20" s="1"/>
  <c r="D252" i="20"/>
  <c r="J251" i="20"/>
  <c r="I251" i="20"/>
  <c r="H251" i="20"/>
  <c r="G251" i="20"/>
  <c r="D251" i="20"/>
  <c r="J250" i="20"/>
  <c r="J208" i="20" s="1"/>
  <c r="I250" i="20"/>
  <c r="I208" i="20" s="1"/>
  <c r="H250" i="20"/>
  <c r="H208" i="20" s="1"/>
  <c r="G250" i="20"/>
  <c r="G208" i="20" s="1"/>
  <c r="D250" i="20"/>
  <c r="J249" i="20"/>
  <c r="I249" i="20"/>
  <c r="I207" i="20" s="1"/>
  <c r="H249" i="20"/>
  <c r="G249" i="20"/>
  <c r="G207" i="20" s="1"/>
  <c r="D249" i="20"/>
  <c r="J248" i="20"/>
  <c r="J206" i="20" s="1"/>
  <c r="I248" i="20"/>
  <c r="I206" i="20" s="1"/>
  <c r="H248" i="20"/>
  <c r="H206" i="20" s="1"/>
  <c r="G248" i="20"/>
  <c r="G206" i="20" s="1"/>
  <c r="D248" i="20"/>
  <c r="J247" i="20"/>
  <c r="I247" i="20"/>
  <c r="H247" i="20"/>
  <c r="G247" i="20"/>
  <c r="D247" i="20"/>
  <c r="J246" i="20"/>
  <c r="J204" i="20" s="1"/>
  <c r="I246" i="20"/>
  <c r="I204" i="20" s="1"/>
  <c r="H246" i="20"/>
  <c r="H204" i="20" s="1"/>
  <c r="G246" i="20"/>
  <c r="G204" i="20" s="1"/>
  <c r="D246" i="20"/>
  <c r="J245" i="20"/>
  <c r="I245" i="20"/>
  <c r="I203" i="20" s="1"/>
  <c r="H245" i="20"/>
  <c r="G245" i="20"/>
  <c r="G203" i="20" s="1"/>
  <c r="D245" i="20"/>
  <c r="J244" i="20"/>
  <c r="J202" i="20" s="1"/>
  <c r="I244" i="20"/>
  <c r="I202" i="20" s="1"/>
  <c r="H244" i="20"/>
  <c r="H202" i="20" s="1"/>
  <c r="G244" i="20"/>
  <c r="G202" i="20" s="1"/>
  <c r="D244" i="20"/>
  <c r="J243" i="20"/>
  <c r="I243" i="20"/>
  <c r="H243" i="20"/>
  <c r="G243" i="20"/>
  <c r="D243" i="20"/>
  <c r="J242" i="20"/>
  <c r="J200" i="20" s="1"/>
  <c r="I242" i="20"/>
  <c r="I200" i="20" s="1"/>
  <c r="H242" i="20"/>
  <c r="H200" i="20" s="1"/>
  <c r="G242" i="20"/>
  <c r="G200" i="20" s="1"/>
  <c r="D242" i="20"/>
  <c r="J241" i="20"/>
  <c r="I241" i="20"/>
  <c r="I199" i="20" s="1"/>
  <c r="H241" i="20"/>
  <c r="G241" i="20"/>
  <c r="G199" i="20" s="1"/>
  <c r="D241" i="20"/>
  <c r="J240" i="20"/>
  <c r="J198" i="20" s="1"/>
  <c r="I240" i="20"/>
  <c r="I198" i="20" s="1"/>
  <c r="H240" i="20"/>
  <c r="H198" i="20" s="1"/>
  <c r="G240" i="20"/>
  <c r="G198" i="20" s="1"/>
  <c r="D240" i="20"/>
  <c r="J239" i="20"/>
  <c r="I239" i="20"/>
  <c r="H239" i="20"/>
  <c r="G239" i="20"/>
  <c r="D239" i="20"/>
  <c r="J238" i="20"/>
  <c r="J196" i="20" s="1"/>
  <c r="I238" i="20"/>
  <c r="I196" i="20" s="1"/>
  <c r="H238" i="20"/>
  <c r="H196" i="20" s="1"/>
  <c r="G238" i="20"/>
  <c r="G196" i="20" s="1"/>
  <c r="D238" i="20"/>
  <c r="J237" i="20"/>
  <c r="I237" i="20"/>
  <c r="H237" i="20"/>
  <c r="G237" i="20"/>
  <c r="D237" i="20"/>
  <c r="J236" i="20"/>
  <c r="J194" i="20" s="1"/>
  <c r="I236" i="20"/>
  <c r="I194" i="20" s="1"/>
  <c r="H236" i="20"/>
  <c r="H194" i="20" s="1"/>
  <c r="G236" i="20"/>
  <c r="G194" i="20" s="1"/>
  <c r="D236" i="20"/>
  <c r="J235" i="20"/>
  <c r="I235" i="20"/>
  <c r="H235" i="20"/>
  <c r="G235" i="20"/>
  <c r="D235" i="20"/>
  <c r="J234" i="20"/>
  <c r="J192" i="20" s="1"/>
  <c r="I234" i="20"/>
  <c r="H234" i="20"/>
  <c r="H192" i="20" s="1"/>
  <c r="G234" i="20"/>
  <c r="G192" i="20" s="1"/>
  <c r="D234" i="20"/>
  <c r="J233" i="20"/>
  <c r="I233" i="20"/>
  <c r="H233" i="20"/>
  <c r="G233" i="20"/>
  <c r="D233" i="20"/>
  <c r="J232" i="20"/>
  <c r="J190" i="20" s="1"/>
  <c r="I232" i="20"/>
  <c r="I190" i="20" s="1"/>
  <c r="H232" i="20"/>
  <c r="H190" i="20" s="1"/>
  <c r="G232" i="20"/>
  <c r="G190" i="20" s="1"/>
  <c r="D232" i="20"/>
  <c r="F232" i="20" s="1"/>
  <c r="J231" i="20"/>
  <c r="I231" i="20"/>
  <c r="H231" i="20"/>
  <c r="G231" i="20"/>
  <c r="D231" i="20"/>
  <c r="J230" i="20"/>
  <c r="J188" i="20" s="1"/>
  <c r="I230" i="20"/>
  <c r="I188" i="20" s="1"/>
  <c r="H230" i="20"/>
  <c r="H188" i="20" s="1"/>
  <c r="G230" i="20"/>
  <c r="G188" i="20" s="1"/>
  <c r="D230" i="20"/>
  <c r="J229" i="20"/>
  <c r="I229" i="20"/>
  <c r="H229" i="20"/>
  <c r="G229" i="20"/>
  <c r="D229" i="20"/>
  <c r="J228" i="20"/>
  <c r="J186" i="20" s="1"/>
  <c r="I228" i="20"/>
  <c r="I186" i="20" s="1"/>
  <c r="H228" i="20"/>
  <c r="H186" i="20" s="1"/>
  <c r="G228" i="20"/>
  <c r="D228" i="20"/>
  <c r="J227" i="20"/>
  <c r="I227" i="20"/>
  <c r="H227" i="20"/>
  <c r="G227" i="20"/>
  <c r="D227" i="20"/>
  <c r="J226" i="20"/>
  <c r="J184" i="20" s="1"/>
  <c r="I226" i="20"/>
  <c r="I184" i="20" s="1"/>
  <c r="H226" i="20"/>
  <c r="H184" i="20" s="1"/>
  <c r="G226" i="20"/>
  <c r="G184" i="20" s="1"/>
  <c r="D226" i="20"/>
  <c r="J225" i="20"/>
  <c r="I225" i="20"/>
  <c r="H225" i="20"/>
  <c r="G225" i="20"/>
  <c r="D225" i="20"/>
  <c r="J224" i="20"/>
  <c r="J182" i="20" s="1"/>
  <c r="I224" i="20"/>
  <c r="I182" i="20" s="1"/>
  <c r="H224" i="20"/>
  <c r="H182" i="20" s="1"/>
  <c r="G224" i="20"/>
  <c r="D224" i="20"/>
  <c r="J223" i="20"/>
  <c r="I223" i="20"/>
  <c r="H223" i="20"/>
  <c r="G223" i="20"/>
  <c r="D223" i="20"/>
  <c r="J222" i="20"/>
  <c r="J180" i="20" s="1"/>
  <c r="I222" i="20"/>
  <c r="I180" i="20" s="1"/>
  <c r="H222" i="20"/>
  <c r="H180" i="20" s="1"/>
  <c r="G222" i="20"/>
  <c r="G180" i="20" s="1"/>
  <c r="D222" i="20"/>
  <c r="J221" i="20"/>
  <c r="I221" i="20"/>
  <c r="H221" i="20"/>
  <c r="G221" i="20"/>
  <c r="D221" i="20"/>
  <c r="J220" i="20"/>
  <c r="J178" i="20" s="1"/>
  <c r="I220" i="20"/>
  <c r="I178" i="20" s="1"/>
  <c r="H220" i="20"/>
  <c r="H178" i="20" s="1"/>
  <c r="G220" i="20"/>
  <c r="D220" i="20"/>
  <c r="J219" i="20"/>
  <c r="I219" i="20"/>
  <c r="H219" i="20"/>
  <c r="G219" i="20"/>
  <c r="D219" i="20"/>
  <c r="G214" i="20"/>
  <c r="B214" i="20"/>
  <c r="B256" i="20" s="1"/>
  <c r="B298" i="20" s="1"/>
  <c r="B340" i="20" s="1"/>
  <c r="B382" i="20" s="1"/>
  <c r="A214" i="20"/>
  <c r="A256" i="20" s="1"/>
  <c r="A298" i="20" s="1"/>
  <c r="A340" i="20" s="1"/>
  <c r="A382" i="20" s="1"/>
  <c r="I213" i="20"/>
  <c r="B213" i="20"/>
  <c r="B255" i="20" s="1"/>
  <c r="B297" i="20" s="1"/>
  <c r="B339" i="20" s="1"/>
  <c r="B381" i="20" s="1"/>
  <c r="A213" i="20"/>
  <c r="A255" i="20" s="1"/>
  <c r="A297" i="20" s="1"/>
  <c r="A339" i="20" s="1"/>
  <c r="A381" i="20" s="1"/>
  <c r="I212" i="20"/>
  <c r="G212" i="20"/>
  <c r="D212" i="20"/>
  <c r="B212" i="20"/>
  <c r="B254" i="20" s="1"/>
  <c r="B296" i="20" s="1"/>
  <c r="B338" i="20" s="1"/>
  <c r="B380" i="20" s="1"/>
  <c r="A212" i="20"/>
  <c r="A254" i="20" s="1"/>
  <c r="A296" i="20" s="1"/>
  <c r="A338" i="20" s="1"/>
  <c r="A380" i="20" s="1"/>
  <c r="I211" i="20"/>
  <c r="G211" i="20"/>
  <c r="D211" i="20"/>
  <c r="B211" i="20"/>
  <c r="B253" i="20" s="1"/>
  <c r="B295" i="20" s="1"/>
  <c r="B337" i="20" s="1"/>
  <c r="B379" i="20" s="1"/>
  <c r="A211" i="20"/>
  <c r="A253" i="20" s="1"/>
  <c r="A295" i="20" s="1"/>
  <c r="A337" i="20" s="1"/>
  <c r="A379" i="20" s="1"/>
  <c r="D210" i="20"/>
  <c r="B210" i="20"/>
  <c r="B252" i="20" s="1"/>
  <c r="B294" i="20" s="1"/>
  <c r="B336" i="20" s="1"/>
  <c r="B378" i="20" s="1"/>
  <c r="A210" i="20"/>
  <c r="A252" i="20" s="1"/>
  <c r="A294" i="20" s="1"/>
  <c r="A336" i="20" s="1"/>
  <c r="A378" i="20" s="1"/>
  <c r="J209" i="20"/>
  <c r="I209" i="20"/>
  <c r="H209" i="20"/>
  <c r="G209" i="20"/>
  <c r="B209" i="20"/>
  <c r="B251" i="20" s="1"/>
  <c r="B293" i="20" s="1"/>
  <c r="B335" i="20" s="1"/>
  <c r="B377" i="20" s="1"/>
  <c r="A209" i="20"/>
  <c r="A251" i="20" s="1"/>
  <c r="A293" i="20" s="1"/>
  <c r="A335" i="20" s="1"/>
  <c r="A377" i="20" s="1"/>
  <c r="B208" i="20"/>
  <c r="B250" i="20" s="1"/>
  <c r="B292" i="20" s="1"/>
  <c r="B334" i="20" s="1"/>
  <c r="B376" i="20" s="1"/>
  <c r="A208" i="20"/>
  <c r="A250" i="20" s="1"/>
  <c r="A292" i="20" s="1"/>
  <c r="A334" i="20" s="1"/>
  <c r="A376" i="20" s="1"/>
  <c r="J207" i="20"/>
  <c r="H207" i="20"/>
  <c r="B207" i="20"/>
  <c r="B249" i="20" s="1"/>
  <c r="B291" i="20" s="1"/>
  <c r="B333" i="20" s="1"/>
  <c r="B375" i="20" s="1"/>
  <c r="A207" i="20"/>
  <c r="A249" i="20" s="1"/>
  <c r="A291" i="20" s="1"/>
  <c r="A333" i="20" s="1"/>
  <c r="A375" i="20" s="1"/>
  <c r="D206" i="20"/>
  <c r="B206" i="20"/>
  <c r="B248" i="20" s="1"/>
  <c r="B290" i="20" s="1"/>
  <c r="B332" i="20" s="1"/>
  <c r="B374" i="20" s="1"/>
  <c r="A206" i="20"/>
  <c r="A248" i="20" s="1"/>
  <c r="A290" i="20" s="1"/>
  <c r="A332" i="20" s="1"/>
  <c r="A374" i="20" s="1"/>
  <c r="J205" i="20"/>
  <c r="I205" i="20"/>
  <c r="H205" i="20"/>
  <c r="G205" i="20"/>
  <c r="B205" i="20"/>
  <c r="B247" i="20" s="1"/>
  <c r="B289" i="20" s="1"/>
  <c r="B331" i="20" s="1"/>
  <c r="B373" i="20" s="1"/>
  <c r="A205" i="20"/>
  <c r="A247" i="20" s="1"/>
  <c r="A289" i="20" s="1"/>
  <c r="A331" i="20" s="1"/>
  <c r="A373" i="20" s="1"/>
  <c r="B204" i="20"/>
  <c r="B246" i="20" s="1"/>
  <c r="B288" i="20" s="1"/>
  <c r="B330" i="20" s="1"/>
  <c r="B372" i="20" s="1"/>
  <c r="A204" i="20"/>
  <c r="A246" i="20" s="1"/>
  <c r="A288" i="20" s="1"/>
  <c r="A330" i="20" s="1"/>
  <c r="A372" i="20" s="1"/>
  <c r="J203" i="20"/>
  <c r="H203" i="20"/>
  <c r="B203" i="20"/>
  <c r="B245" i="20" s="1"/>
  <c r="B287" i="20" s="1"/>
  <c r="B329" i="20" s="1"/>
  <c r="B371" i="20" s="1"/>
  <c r="A203" i="20"/>
  <c r="A245" i="20" s="1"/>
  <c r="A287" i="20" s="1"/>
  <c r="A329" i="20" s="1"/>
  <c r="A371" i="20" s="1"/>
  <c r="D202" i="20"/>
  <c r="B202" i="20"/>
  <c r="B244" i="20" s="1"/>
  <c r="B286" i="20" s="1"/>
  <c r="B328" i="20" s="1"/>
  <c r="B370" i="20" s="1"/>
  <c r="A202" i="20"/>
  <c r="A244" i="20" s="1"/>
  <c r="A286" i="20" s="1"/>
  <c r="A328" i="20" s="1"/>
  <c r="A370" i="20" s="1"/>
  <c r="J201" i="20"/>
  <c r="I201" i="20"/>
  <c r="H201" i="20"/>
  <c r="G201" i="20"/>
  <c r="B201" i="20"/>
  <c r="B243" i="20" s="1"/>
  <c r="B285" i="20" s="1"/>
  <c r="B327" i="20" s="1"/>
  <c r="B369" i="20" s="1"/>
  <c r="A201" i="20"/>
  <c r="A243" i="20" s="1"/>
  <c r="A285" i="20" s="1"/>
  <c r="A327" i="20" s="1"/>
  <c r="A369" i="20" s="1"/>
  <c r="B200" i="20"/>
  <c r="B242" i="20" s="1"/>
  <c r="B284" i="20" s="1"/>
  <c r="B326" i="20" s="1"/>
  <c r="B368" i="20" s="1"/>
  <c r="A200" i="20"/>
  <c r="A242" i="20" s="1"/>
  <c r="A284" i="20" s="1"/>
  <c r="A326" i="20" s="1"/>
  <c r="A368" i="20" s="1"/>
  <c r="J199" i="20"/>
  <c r="H199" i="20"/>
  <c r="B199" i="20"/>
  <c r="B241" i="20" s="1"/>
  <c r="B283" i="20" s="1"/>
  <c r="B325" i="20" s="1"/>
  <c r="B367" i="20" s="1"/>
  <c r="A199" i="20"/>
  <c r="A241" i="20" s="1"/>
  <c r="A283" i="20" s="1"/>
  <c r="A325" i="20" s="1"/>
  <c r="A367" i="20" s="1"/>
  <c r="D198" i="20"/>
  <c r="B198" i="20"/>
  <c r="B240" i="20" s="1"/>
  <c r="B282" i="20" s="1"/>
  <c r="B324" i="20" s="1"/>
  <c r="B366" i="20" s="1"/>
  <c r="A198" i="20"/>
  <c r="A240" i="20" s="1"/>
  <c r="A282" i="20" s="1"/>
  <c r="A324" i="20" s="1"/>
  <c r="A366" i="20" s="1"/>
  <c r="J197" i="20"/>
  <c r="I197" i="20"/>
  <c r="H197" i="20"/>
  <c r="G197" i="20"/>
  <c r="B197" i="20"/>
  <c r="B239" i="20" s="1"/>
  <c r="B281" i="20" s="1"/>
  <c r="B323" i="20" s="1"/>
  <c r="B365" i="20" s="1"/>
  <c r="A197" i="20"/>
  <c r="A239" i="20" s="1"/>
  <c r="A281" i="20" s="1"/>
  <c r="A323" i="20" s="1"/>
  <c r="A365" i="20" s="1"/>
  <c r="D196" i="20"/>
  <c r="B196" i="20"/>
  <c r="B238" i="20" s="1"/>
  <c r="B280" i="20" s="1"/>
  <c r="B322" i="20" s="1"/>
  <c r="B364" i="20" s="1"/>
  <c r="A196" i="20"/>
  <c r="A238" i="20" s="1"/>
  <c r="A280" i="20" s="1"/>
  <c r="A322" i="20" s="1"/>
  <c r="A364" i="20" s="1"/>
  <c r="J195" i="20"/>
  <c r="I195" i="20"/>
  <c r="H195" i="20"/>
  <c r="G195" i="20"/>
  <c r="B195" i="20"/>
  <c r="B237" i="20" s="1"/>
  <c r="B279" i="20" s="1"/>
  <c r="B321" i="20" s="1"/>
  <c r="B363" i="20" s="1"/>
  <c r="A195" i="20"/>
  <c r="A237" i="20" s="1"/>
  <c r="A279" i="20" s="1"/>
  <c r="A321" i="20" s="1"/>
  <c r="A363" i="20" s="1"/>
  <c r="D194" i="20"/>
  <c r="B194" i="20"/>
  <c r="B236" i="20" s="1"/>
  <c r="B278" i="20" s="1"/>
  <c r="B320" i="20" s="1"/>
  <c r="B362" i="20" s="1"/>
  <c r="A194" i="20"/>
  <c r="A236" i="20" s="1"/>
  <c r="A278" i="20" s="1"/>
  <c r="A320" i="20" s="1"/>
  <c r="A362" i="20" s="1"/>
  <c r="J193" i="20"/>
  <c r="I193" i="20"/>
  <c r="H193" i="20"/>
  <c r="G193" i="20"/>
  <c r="B193" i="20"/>
  <c r="B235" i="20" s="1"/>
  <c r="B277" i="20" s="1"/>
  <c r="B319" i="20" s="1"/>
  <c r="B361" i="20" s="1"/>
  <c r="A193" i="20"/>
  <c r="A235" i="20" s="1"/>
  <c r="A277" i="20" s="1"/>
  <c r="A319" i="20" s="1"/>
  <c r="A361" i="20" s="1"/>
  <c r="I192" i="20"/>
  <c r="D192" i="20"/>
  <c r="B192" i="20"/>
  <c r="B234" i="20" s="1"/>
  <c r="B276" i="20" s="1"/>
  <c r="B318" i="20" s="1"/>
  <c r="B360" i="20" s="1"/>
  <c r="A192" i="20"/>
  <c r="A234" i="20" s="1"/>
  <c r="A276" i="20" s="1"/>
  <c r="A318" i="20" s="1"/>
  <c r="A360" i="20" s="1"/>
  <c r="J191" i="20"/>
  <c r="I191" i="20"/>
  <c r="H191" i="20"/>
  <c r="G191" i="20"/>
  <c r="B191" i="20"/>
  <c r="B233" i="20" s="1"/>
  <c r="B275" i="20" s="1"/>
  <c r="B317" i="20" s="1"/>
  <c r="B359" i="20" s="1"/>
  <c r="A191" i="20"/>
  <c r="A233" i="20" s="1"/>
  <c r="A275" i="20" s="1"/>
  <c r="A317" i="20" s="1"/>
  <c r="A359" i="20" s="1"/>
  <c r="F190" i="20"/>
  <c r="D190" i="20"/>
  <c r="B190" i="20"/>
  <c r="B232" i="20" s="1"/>
  <c r="B274" i="20" s="1"/>
  <c r="B316" i="20" s="1"/>
  <c r="B358" i="20" s="1"/>
  <c r="A190" i="20"/>
  <c r="A232" i="20" s="1"/>
  <c r="A274" i="20" s="1"/>
  <c r="A316" i="20" s="1"/>
  <c r="A358" i="20" s="1"/>
  <c r="J189" i="20"/>
  <c r="I189" i="20"/>
  <c r="H189" i="20"/>
  <c r="G189" i="20"/>
  <c r="D189" i="20"/>
  <c r="B189" i="20"/>
  <c r="B231" i="20" s="1"/>
  <c r="B273" i="20" s="1"/>
  <c r="B315" i="20" s="1"/>
  <c r="B357" i="20" s="1"/>
  <c r="A189" i="20"/>
  <c r="A231" i="20" s="1"/>
  <c r="A273" i="20" s="1"/>
  <c r="A315" i="20" s="1"/>
  <c r="A357" i="20" s="1"/>
  <c r="D188" i="20"/>
  <c r="B188" i="20"/>
  <c r="B230" i="20" s="1"/>
  <c r="B272" i="20" s="1"/>
  <c r="B314" i="20" s="1"/>
  <c r="B356" i="20" s="1"/>
  <c r="A188" i="20"/>
  <c r="A230" i="20" s="1"/>
  <c r="A272" i="20" s="1"/>
  <c r="A314" i="20" s="1"/>
  <c r="A356" i="20" s="1"/>
  <c r="J187" i="20"/>
  <c r="I187" i="20"/>
  <c r="H187" i="20"/>
  <c r="G187" i="20"/>
  <c r="B187" i="20"/>
  <c r="B229" i="20" s="1"/>
  <c r="B271" i="20" s="1"/>
  <c r="B313" i="20" s="1"/>
  <c r="B355" i="20" s="1"/>
  <c r="A187" i="20"/>
  <c r="A229" i="20" s="1"/>
  <c r="A271" i="20" s="1"/>
  <c r="A313" i="20" s="1"/>
  <c r="A355" i="20" s="1"/>
  <c r="G186" i="20"/>
  <c r="D186" i="20"/>
  <c r="B186" i="20"/>
  <c r="B228" i="20" s="1"/>
  <c r="B270" i="20" s="1"/>
  <c r="B312" i="20" s="1"/>
  <c r="B354" i="20" s="1"/>
  <c r="A186" i="20"/>
  <c r="A228" i="20" s="1"/>
  <c r="A270" i="20" s="1"/>
  <c r="A312" i="20" s="1"/>
  <c r="A354" i="20" s="1"/>
  <c r="J185" i="20"/>
  <c r="I185" i="20"/>
  <c r="H185" i="20"/>
  <c r="G185" i="20"/>
  <c r="D185" i="20"/>
  <c r="B185" i="20"/>
  <c r="B227" i="20" s="1"/>
  <c r="B269" i="20" s="1"/>
  <c r="B311" i="20" s="1"/>
  <c r="B353" i="20" s="1"/>
  <c r="A185" i="20"/>
  <c r="A227" i="20" s="1"/>
  <c r="A269" i="20" s="1"/>
  <c r="A311" i="20" s="1"/>
  <c r="A353" i="20" s="1"/>
  <c r="D184" i="20"/>
  <c r="B184" i="20"/>
  <c r="B226" i="20" s="1"/>
  <c r="B268" i="20" s="1"/>
  <c r="B310" i="20" s="1"/>
  <c r="B352" i="20" s="1"/>
  <c r="A184" i="20"/>
  <c r="A226" i="20" s="1"/>
  <c r="A268" i="20" s="1"/>
  <c r="A310" i="20" s="1"/>
  <c r="A352" i="20" s="1"/>
  <c r="J183" i="20"/>
  <c r="I183" i="20"/>
  <c r="H183" i="20"/>
  <c r="G183" i="20"/>
  <c r="B183" i="20"/>
  <c r="B225" i="20" s="1"/>
  <c r="B267" i="20" s="1"/>
  <c r="B309" i="20" s="1"/>
  <c r="B351" i="20" s="1"/>
  <c r="A183" i="20"/>
  <c r="A225" i="20" s="1"/>
  <c r="A267" i="20" s="1"/>
  <c r="A309" i="20" s="1"/>
  <c r="A351" i="20" s="1"/>
  <c r="G182" i="20"/>
  <c r="D182" i="20"/>
  <c r="B182" i="20"/>
  <c r="B224" i="20" s="1"/>
  <c r="B266" i="20" s="1"/>
  <c r="B308" i="20" s="1"/>
  <c r="B350" i="20" s="1"/>
  <c r="A182" i="20"/>
  <c r="A224" i="20" s="1"/>
  <c r="A266" i="20" s="1"/>
  <c r="A308" i="20" s="1"/>
  <c r="A350" i="20" s="1"/>
  <c r="J181" i="20"/>
  <c r="I181" i="20"/>
  <c r="H181" i="20"/>
  <c r="G181" i="20"/>
  <c r="D181" i="20"/>
  <c r="B181" i="20"/>
  <c r="B223" i="20" s="1"/>
  <c r="B265" i="20" s="1"/>
  <c r="B307" i="20" s="1"/>
  <c r="B349" i="20" s="1"/>
  <c r="A181" i="20"/>
  <c r="A223" i="20" s="1"/>
  <c r="A265" i="20" s="1"/>
  <c r="A307" i="20" s="1"/>
  <c r="A349" i="20" s="1"/>
  <c r="D180" i="20"/>
  <c r="B180" i="20"/>
  <c r="B222" i="20" s="1"/>
  <c r="B264" i="20" s="1"/>
  <c r="B306" i="20" s="1"/>
  <c r="B348" i="20" s="1"/>
  <c r="A180" i="20"/>
  <c r="A222" i="20" s="1"/>
  <c r="A264" i="20" s="1"/>
  <c r="A306" i="20" s="1"/>
  <c r="A348" i="20" s="1"/>
  <c r="J179" i="20"/>
  <c r="I179" i="20"/>
  <c r="H179" i="20"/>
  <c r="G179" i="20"/>
  <c r="B179" i="20"/>
  <c r="B221" i="20" s="1"/>
  <c r="B263" i="20" s="1"/>
  <c r="B305" i="20" s="1"/>
  <c r="B347" i="20" s="1"/>
  <c r="A179" i="20"/>
  <c r="A221" i="20" s="1"/>
  <c r="A263" i="20" s="1"/>
  <c r="A305" i="20" s="1"/>
  <c r="A347" i="20" s="1"/>
  <c r="G178" i="20"/>
  <c r="D178" i="20"/>
  <c r="B178" i="20"/>
  <c r="B220" i="20" s="1"/>
  <c r="B262" i="20" s="1"/>
  <c r="B304" i="20" s="1"/>
  <c r="B346" i="20" s="1"/>
  <c r="A178" i="20"/>
  <c r="A220" i="20" s="1"/>
  <c r="A262" i="20" s="1"/>
  <c r="A304" i="20" s="1"/>
  <c r="A346" i="20" s="1"/>
  <c r="J177" i="20"/>
  <c r="I177" i="20"/>
  <c r="H177" i="20"/>
  <c r="G177" i="20"/>
  <c r="B177" i="20"/>
  <c r="B219" i="20" s="1"/>
  <c r="B261" i="20" s="1"/>
  <c r="B303" i="20" s="1"/>
  <c r="B345" i="20" s="1"/>
  <c r="A177" i="20"/>
  <c r="A219" i="20" s="1"/>
  <c r="A261" i="20" s="1"/>
  <c r="A303" i="20" s="1"/>
  <c r="A345" i="20" s="1"/>
  <c r="C171" i="20"/>
  <c r="I166" i="20"/>
  <c r="I125" i="20" s="1"/>
  <c r="I83" i="20" s="1"/>
  <c r="E166" i="20"/>
  <c r="E125" i="20" s="1"/>
  <c r="E83" i="20" s="1"/>
  <c r="B127" i="20"/>
  <c r="B168" i="20" s="1"/>
  <c r="A127" i="20"/>
  <c r="A168" i="20" s="1"/>
  <c r="B126" i="20"/>
  <c r="B167" i="20" s="1"/>
  <c r="A126" i="20"/>
  <c r="A167" i="20" s="1"/>
  <c r="B125" i="20"/>
  <c r="B166" i="20" s="1"/>
  <c r="A125" i="20"/>
  <c r="A166" i="20" s="1"/>
  <c r="B124" i="20"/>
  <c r="B165" i="20" s="1"/>
  <c r="A124" i="20"/>
  <c r="A165" i="20" s="1"/>
  <c r="B123" i="20"/>
  <c r="B164" i="20" s="1"/>
  <c r="A123" i="20"/>
  <c r="A164" i="20" s="1"/>
  <c r="B122" i="20"/>
  <c r="B163" i="20" s="1"/>
  <c r="A122" i="20"/>
  <c r="A163" i="20" s="1"/>
  <c r="B121" i="20"/>
  <c r="B162" i="20" s="1"/>
  <c r="A121" i="20"/>
  <c r="A162" i="20" s="1"/>
  <c r="B120" i="20"/>
  <c r="B161" i="20" s="1"/>
  <c r="A120" i="20"/>
  <c r="A161" i="20" s="1"/>
  <c r="B119" i="20"/>
  <c r="B160" i="20" s="1"/>
  <c r="A119" i="20"/>
  <c r="A160" i="20" s="1"/>
  <c r="B118" i="20"/>
  <c r="B159" i="20" s="1"/>
  <c r="A118" i="20"/>
  <c r="A159" i="20" s="1"/>
  <c r="B117" i="20"/>
  <c r="B158" i="20" s="1"/>
  <c r="A117" i="20"/>
  <c r="A158" i="20" s="1"/>
  <c r="B116" i="20"/>
  <c r="B157" i="20" s="1"/>
  <c r="A116" i="20"/>
  <c r="A157" i="20" s="1"/>
  <c r="B115" i="20"/>
  <c r="B156" i="20" s="1"/>
  <c r="A115" i="20"/>
  <c r="A156" i="20" s="1"/>
  <c r="B114" i="20"/>
  <c r="B155" i="20" s="1"/>
  <c r="A114" i="20"/>
  <c r="A155" i="20" s="1"/>
  <c r="B113" i="20"/>
  <c r="B154" i="20" s="1"/>
  <c r="A113" i="20"/>
  <c r="A154" i="20" s="1"/>
  <c r="B112" i="20"/>
  <c r="B153" i="20" s="1"/>
  <c r="A112" i="20"/>
  <c r="A153" i="20" s="1"/>
  <c r="B111" i="20"/>
  <c r="B152" i="20" s="1"/>
  <c r="A111" i="20"/>
  <c r="A152" i="20" s="1"/>
  <c r="B110" i="20"/>
  <c r="B151" i="20" s="1"/>
  <c r="A110" i="20"/>
  <c r="A151" i="20" s="1"/>
  <c r="B109" i="20"/>
  <c r="B150" i="20" s="1"/>
  <c r="A109" i="20"/>
  <c r="A150" i="20" s="1"/>
  <c r="B108" i="20"/>
  <c r="B149" i="20" s="1"/>
  <c r="A108" i="20"/>
  <c r="A149" i="20" s="1"/>
  <c r="B107" i="20"/>
  <c r="B148" i="20" s="1"/>
  <c r="A107" i="20"/>
  <c r="A148" i="20" s="1"/>
  <c r="B106" i="20"/>
  <c r="B147" i="20" s="1"/>
  <c r="A106" i="20"/>
  <c r="A147" i="20" s="1"/>
  <c r="B105" i="20"/>
  <c r="B146" i="20" s="1"/>
  <c r="A105" i="20"/>
  <c r="A146" i="20" s="1"/>
  <c r="B104" i="20"/>
  <c r="B145" i="20" s="1"/>
  <c r="A104" i="20"/>
  <c r="A145" i="20" s="1"/>
  <c r="B103" i="20"/>
  <c r="B144" i="20" s="1"/>
  <c r="A103" i="20"/>
  <c r="A144" i="20" s="1"/>
  <c r="B102" i="20"/>
  <c r="B143" i="20" s="1"/>
  <c r="A102" i="20"/>
  <c r="A143" i="20" s="1"/>
  <c r="B101" i="20"/>
  <c r="B142" i="20" s="1"/>
  <c r="A101" i="20"/>
  <c r="A142" i="20" s="1"/>
  <c r="B100" i="20"/>
  <c r="B141" i="20" s="1"/>
  <c r="A100" i="20"/>
  <c r="A141" i="20" s="1"/>
  <c r="B99" i="20"/>
  <c r="B140" i="20" s="1"/>
  <c r="A99" i="20"/>
  <c r="A140" i="20" s="1"/>
  <c r="B98" i="20"/>
  <c r="B139" i="20" s="1"/>
  <c r="A98" i="20"/>
  <c r="A139" i="20" s="1"/>
  <c r="B97" i="20"/>
  <c r="B138" i="20" s="1"/>
  <c r="A97" i="20"/>
  <c r="A138" i="20" s="1"/>
  <c r="B96" i="20"/>
  <c r="B137" i="20" s="1"/>
  <c r="A96" i="20"/>
  <c r="A137" i="20" s="1"/>
  <c r="B95" i="20"/>
  <c r="B136" i="20" s="1"/>
  <c r="A95" i="20"/>
  <c r="A136" i="20" s="1"/>
  <c r="B94" i="20"/>
  <c r="B135" i="20" s="1"/>
  <c r="A94" i="20"/>
  <c r="A135" i="20" s="1"/>
  <c r="B93" i="20"/>
  <c r="B134" i="20" s="1"/>
  <c r="A93" i="20"/>
  <c r="A134" i="20" s="1"/>
  <c r="B92" i="20"/>
  <c r="B133" i="20" s="1"/>
  <c r="A92" i="20"/>
  <c r="A133" i="20" s="1"/>
  <c r="B91" i="20"/>
  <c r="B132" i="20" s="1"/>
  <c r="A91" i="20"/>
  <c r="A132" i="20" s="1"/>
  <c r="B90" i="20"/>
  <c r="B131" i="20" s="1"/>
  <c r="A90" i="20"/>
  <c r="A131" i="20" s="1"/>
  <c r="B85" i="20"/>
  <c r="A85" i="20"/>
  <c r="B84" i="20"/>
  <c r="A84" i="20"/>
  <c r="B83" i="20"/>
  <c r="A83" i="20"/>
  <c r="B82" i="20"/>
  <c r="A82" i="20"/>
  <c r="B81" i="20"/>
  <c r="A81" i="20"/>
  <c r="B80" i="20"/>
  <c r="A80" i="20"/>
  <c r="B79" i="20"/>
  <c r="A79" i="20"/>
  <c r="B78" i="20"/>
  <c r="A78" i="20"/>
  <c r="B77" i="20"/>
  <c r="A77" i="20"/>
  <c r="B76" i="20"/>
  <c r="A76" i="20"/>
  <c r="B75" i="20"/>
  <c r="A75" i="20"/>
  <c r="B74" i="20"/>
  <c r="A74" i="20"/>
  <c r="B73" i="20"/>
  <c r="A73" i="20"/>
  <c r="B72" i="20"/>
  <c r="A72" i="20"/>
  <c r="B71" i="20"/>
  <c r="A71" i="20"/>
  <c r="B70" i="20"/>
  <c r="A70" i="20"/>
  <c r="B69" i="20"/>
  <c r="A69" i="20"/>
  <c r="B68" i="20"/>
  <c r="A68" i="20"/>
  <c r="B67" i="20"/>
  <c r="A67" i="20"/>
  <c r="B66" i="20"/>
  <c r="A66" i="20"/>
  <c r="B65" i="20"/>
  <c r="A65" i="20"/>
  <c r="B64" i="20"/>
  <c r="A64" i="20"/>
  <c r="B63" i="20"/>
  <c r="A63" i="20"/>
  <c r="B62" i="20"/>
  <c r="A62" i="20"/>
  <c r="B61" i="20"/>
  <c r="A61" i="20"/>
  <c r="B60" i="20"/>
  <c r="A60" i="20"/>
  <c r="B59" i="20"/>
  <c r="A59" i="20"/>
  <c r="B58" i="20"/>
  <c r="A58" i="20"/>
  <c r="B57" i="20"/>
  <c r="A57" i="20"/>
  <c r="B56" i="20"/>
  <c r="A56" i="20"/>
  <c r="B55" i="20"/>
  <c r="A55" i="20"/>
  <c r="B54" i="20"/>
  <c r="A54" i="20"/>
  <c r="B53" i="20"/>
  <c r="A53" i="20"/>
  <c r="B52" i="20"/>
  <c r="A52" i="20"/>
  <c r="B51" i="20"/>
  <c r="A51" i="20"/>
  <c r="B50" i="20"/>
  <c r="A50" i="20"/>
  <c r="B49" i="20"/>
  <c r="A49" i="20"/>
  <c r="B48" i="20"/>
  <c r="A48" i="20"/>
  <c r="L43" i="20"/>
  <c r="P43" i="20" s="1"/>
  <c r="G165" i="20" l="1"/>
  <c r="G124" i="20" s="1"/>
  <c r="G82" i="20" s="1"/>
  <c r="E165" i="20"/>
  <c r="E124" i="20" s="1"/>
  <c r="E82" i="20" s="1"/>
  <c r="C211" i="20"/>
  <c r="F165" i="20"/>
  <c r="F124" i="20" s="1"/>
  <c r="F82" i="20" s="1"/>
  <c r="H165" i="20"/>
  <c r="H124" i="20" s="1"/>
  <c r="H82" i="20" s="1"/>
  <c r="D165" i="20"/>
  <c r="D124" i="20" s="1"/>
  <c r="J165" i="20"/>
  <c r="J124" i="20" s="1"/>
  <c r="J82" i="20" s="1"/>
  <c r="D257" i="20"/>
  <c r="Q43" i="20" s="1"/>
  <c r="E219" i="20"/>
  <c r="D177" i="20"/>
  <c r="F221" i="20"/>
  <c r="F179" i="20" s="1"/>
  <c r="E221" i="20"/>
  <c r="E179" i="20" s="1"/>
  <c r="E133" i="20" s="1"/>
  <c r="E92" i="20" s="1"/>
  <c r="E50" i="20" s="1"/>
  <c r="D179" i="20"/>
  <c r="F223" i="20"/>
  <c r="F181" i="20" s="1"/>
  <c r="E223" i="20"/>
  <c r="E181" i="20" s="1"/>
  <c r="F225" i="20"/>
  <c r="F183" i="20" s="1"/>
  <c r="E225" i="20"/>
  <c r="E183" i="20" s="1"/>
  <c r="D183" i="20"/>
  <c r="F227" i="20"/>
  <c r="F185" i="20" s="1"/>
  <c r="E227" i="20"/>
  <c r="E185" i="20" s="1"/>
  <c r="F229" i="20"/>
  <c r="F187" i="20" s="1"/>
  <c r="E229" i="20"/>
  <c r="E187" i="20" s="1"/>
  <c r="E141" i="20" s="1"/>
  <c r="E100" i="20" s="1"/>
  <c r="E58" i="20" s="1"/>
  <c r="D187" i="20"/>
  <c r="F231" i="20"/>
  <c r="F189" i="20" s="1"/>
  <c r="F143" i="20" s="1"/>
  <c r="F102" i="20" s="1"/>
  <c r="F60" i="20" s="1"/>
  <c r="E231" i="20"/>
  <c r="E189" i="20" s="1"/>
  <c r="F233" i="20"/>
  <c r="F191" i="20" s="1"/>
  <c r="E233" i="20"/>
  <c r="E191" i="20" s="1"/>
  <c r="D191" i="20"/>
  <c r="F235" i="20"/>
  <c r="F193" i="20" s="1"/>
  <c r="E235" i="20"/>
  <c r="E193" i="20" s="1"/>
  <c r="F237" i="20"/>
  <c r="F195" i="20" s="1"/>
  <c r="E237" i="20"/>
  <c r="E195" i="20" s="1"/>
  <c r="E149" i="20" s="1"/>
  <c r="E108" i="20" s="1"/>
  <c r="E66" i="20" s="1"/>
  <c r="D195" i="20"/>
  <c r="F239" i="20"/>
  <c r="F197" i="20" s="1"/>
  <c r="E239" i="20"/>
  <c r="E197" i="20" s="1"/>
  <c r="D197" i="20"/>
  <c r="F241" i="20"/>
  <c r="F199" i="20" s="1"/>
  <c r="E241" i="20"/>
  <c r="E199" i="20" s="1"/>
  <c r="F243" i="20"/>
  <c r="F201" i="20" s="1"/>
  <c r="E243" i="20"/>
  <c r="E201" i="20" s="1"/>
  <c r="E155" i="20" s="1"/>
  <c r="E114" i="20" s="1"/>
  <c r="E72" i="20" s="1"/>
  <c r="D201" i="20"/>
  <c r="F245" i="20"/>
  <c r="F203" i="20" s="1"/>
  <c r="E245" i="20"/>
  <c r="E203" i="20" s="1"/>
  <c r="D203" i="20"/>
  <c r="F247" i="20"/>
  <c r="F205" i="20" s="1"/>
  <c r="E247" i="20"/>
  <c r="E205" i="20" s="1"/>
  <c r="E159" i="20" s="1"/>
  <c r="E118" i="20" s="1"/>
  <c r="E76" i="20" s="1"/>
  <c r="D205" i="20"/>
  <c r="F249" i="20"/>
  <c r="F207" i="20" s="1"/>
  <c r="F161" i="20" s="1"/>
  <c r="F120" i="20" s="1"/>
  <c r="F78" i="20" s="1"/>
  <c r="E249" i="20"/>
  <c r="E207" i="20" s="1"/>
  <c r="F251" i="20"/>
  <c r="F209" i="20" s="1"/>
  <c r="E251" i="20"/>
  <c r="E209" i="20" s="1"/>
  <c r="D209" i="20"/>
  <c r="F166" i="20"/>
  <c r="F125" i="20" s="1"/>
  <c r="F83" i="20" s="1"/>
  <c r="D166" i="20"/>
  <c r="D125" i="20" s="1"/>
  <c r="H166" i="20"/>
  <c r="H125" i="20" s="1"/>
  <c r="H83" i="20" s="1"/>
  <c r="J166" i="20"/>
  <c r="J125" i="20" s="1"/>
  <c r="J83" i="20" s="1"/>
  <c r="F256" i="20"/>
  <c r="F214" i="20" s="1"/>
  <c r="E256" i="20"/>
  <c r="E214" i="20" s="1"/>
  <c r="D214" i="20"/>
  <c r="D139" i="20"/>
  <c r="D98" i="20" s="1"/>
  <c r="G166" i="20"/>
  <c r="G125" i="20" s="1"/>
  <c r="G83" i="20" s="1"/>
  <c r="J215" i="20"/>
  <c r="J135" i="20"/>
  <c r="J94" i="20" s="1"/>
  <c r="J52" i="20" s="1"/>
  <c r="D193" i="20"/>
  <c r="D199" i="20"/>
  <c r="D207" i="20"/>
  <c r="I165" i="20"/>
  <c r="I124" i="20" s="1"/>
  <c r="I82" i="20" s="1"/>
  <c r="G257" i="20"/>
  <c r="I257" i="20"/>
  <c r="F220" i="20"/>
  <c r="F178" i="20" s="1"/>
  <c r="E220" i="20"/>
  <c r="E178" i="20" s="1"/>
  <c r="F222" i="20"/>
  <c r="F180" i="20" s="1"/>
  <c r="E222" i="20"/>
  <c r="E180" i="20" s="1"/>
  <c r="F224" i="20"/>
  <c r="F182" i="20" s="1"/>
  <c r="E224" i="20"/>
  <c r="E182" i="20" s="1"/>
  <c r="C182" i="20" s="1"/>
  <c r="F226" i="20"/>
  <c r="F184" i="20" s="1"/>
  <c r="E226" i="20"/>
  <c r="E184" i="20" s="1"/>
  <c r="F228" i="20"/>
  <c r="F186" i="20" s="1"/>
  <c r="E228" i="20"/>
  <c r="E186" i="20" s="1"/>
  <c r="I140" i="20" s="1"/>
  <c r="I99" i="20" s="1"/>
  <c r="I57" i="20" s="1"/>
  <c r="F230" i="20"/>
  <c r="F188" i="20" s="1"/>
  <c r="E230" i="20"/>
  <c r="E188" i="20" s="1"/>
  <c r="G142" i="20" s="1"/>
  <c r="G101" i="20" s="1"/>
  <c r="G59" i="20" s="1"/>
  <c r="F234" i="20"/>
  <c r="F192" i="20" s="1"/>
  <c r="E234" i="20"/>
  <c r="E192" i="20" s="1"/>
  <c r="G146" i="20" s="1"/>
  <c r="G105" i="20" s="1"/>
  <c r="G63" i="20" s="1"/>
  <c r="F236" i="20"/>
  <c r="F194" i="20" s="1"/>
  <c r="E236" i="20"/>
  <c r="E194" i="20" s="1"/>
  <c r="C194" i="20" s="1"/>
  <c r="F238" i="20"/>
  <c r="F196" i="20" s="1"/>
  <c r="E238" i="20"/>
  <c r="E196" i="20" s="1"/>
  <c r="C196" i="20" s="1"/>
  <c r="F240" i="20"/>
  <c r="F198" i="20" s="1"/>
  <c r="E240" i="20"/>
  <c r="E198" i="20" s="1"/>
  <c r="I152" i="20" s="1"/>
  <c r="I111" i="20" s="1"/>
  <c r="I69" i="20" s="1"/>
  <c r="F242" i="20"/>
  <c r="F200" i="20" s="1"/>
  <c r="E242" i="20"/>
  <c r="E200" i="20" s="1"/>
  <c r="G154" i="20" s="1"/>
  <c r="G113" i="20" s="1"/>
  <c r="G71" i="20" s="1"/>
  <c r="D200" i="20"/>
  <c r="F244" i="20"/>
  <c r="F202" i="20" s="1"/>
  <c r="F156" i="20" s="1"/>
  <c r="F115" i="20" s="1"/>
  <c r="F73" i="20" s="1"/>
  <c r="E244" i="20"/>
  <c r="E202" i="20" s="1"/>
  <c r="F246" i="20"/>
  <c r="F204" i="20" s="1"/>
  <c r="D158" i="20" s="1"/>
  <c r="D117" i="20" s="1"/>
  <c r="D204" i="20"/>
  <c r="F248" i="20"/>
  <c r="F206" i="20" s="1"/>
  <c r="I160" i="20" s="1"/>
  <c r="I119" i="20" s="1"/>
  <c r="I77" i="20" s="1"/>
  <c r="E248" i="20"/>
  <c r="E206" i="20" s="1"/>
  <c r="F250" i="20"/>
  <c r="F208" i="20" s="1"/>
  <c r="E250" i="20"/>
  <c r="E208" i="20" s="1"/>
  <c r="D208" i="20"/>
  <c r="G162" i="20" s="1"/>
  <c r="G121" i="20" s="1"/>
  <c r="G79" i="20" s="1"/>
  <c r="F252" i="20"/>
  <c r="F210" i="20" s="1"/>
  <c r="E252" i="20"/>
  <c r="E210" i="20" s="1"/>
  <c r="F255" i="20"/>
  <c r="F213" i="20" s="1"/>
  <c r="E255" i="20"/>
  <c r="E213" i="20" s="1"/>
  <c r="D213" i="20"/>
  <c r="E232" i="20"/>
  <c r="E190" i="20" s="1"/>
  <c r="G144" i="20" s="1"/>
  <c r="G103" i="20" s="1"/>
  <c r="G61" i="20" s="1"/>
  <c r="E246" i="20"/>
  <c r="E204" i="20" s="1"/>
  <c r="H138" i="20"/>
  <c r="H97" i="20" s="1"/>
  <c r="H55" i="20" s="1"/>
  <c r="F140" i="20"/>
  <c r="F99" i="20" s="1"/>
  <c r="F57" i="20" s="1"/>
  <c r="J140" i="20"/>
  <c r="J99" i="20" s="1"/>
  <c r="J57" i="20" s="1"/>
  <c r="D142" i="20"/>
  <c r="D101" i="20" s="1"/>
  <c r="I144" i="20"/>
  <c r="I103" i="20" s="1"/>
  <c r="I61" i="20" s="1"/>
  <c r="F144" i="20"/>
  <c r="F103" i="20" s="1"/>
  <c r="F61" i="20" s="1"/>
  <c r="E144" i="20"/>
  <c r="E103" i="20" s="1"/>
  <c r="E61" i="20" s="1"/>
  <c r="J144" i="20"/>
  <c r="J103" i="20" s="1"/>
  <c r="J61" i="20" s="1"/>
  <c r="D146" i="20"/>
  <c r="D105" i="20" s="1"/>
  <c r="I148" i="20"/>
  <c r="I107" i="20" s="1"/>
  <c r="I65" i="20" s="1"/>
  <c r="E148" i="20"/>
  <c r="E107" i="20" s="1"/>
  <c r="E65" i="20" s="1"/>
  <c r="G150" i="20"/>
  <c r="G109" i="20" s="1"/>
  <c r="G67" i="20" s="1"/>
  <c r="H150" i="20"/>
  <c r="H109" i="20" s="1"/>
  <c r="H67" i="20" s="1"/>
  <c r="F152" i="20"/>
  <c r="F111" i="20" s="1"/>
  <c r="F69" i="20" s="1"/>
  <c r="J152" i="20"/>
  <c r="J111" i="20" s="1"/>
  <c r="J69" i="20" s="1"/>
  <c r="D154" i="20"/>
  <c r="D113" i="20" s="1"/>
  <c r="I156" i="20"/>
  <c r="I115" i="20" s="1"/>
  <c r="I73" i="20" s="1"/>
  <c r="E156" i="20"/>
  <c r="E115" i="20" s="1"/>
  <c r="E73" i="20" s="1"/>
  <c r="G158" i="20"/>
  <c r="G117" i="20" s="1"/>
  <c r="G75" i="20" s="1"/>
  <c r="H158" i="20"/>
  <c r="H117" i="20" s="1"/>
  <c r="H75" i="20" s="1"/>
  <c r="F160" i="20"/>
  <c r="F119" i="20" s="1"/>
  <c r="F77" i="20" s="1"/>
  <c r="J160" i="20"/>
  <c r="J119" i="20" s="1"/>
  <c r="J77" i="20" s="1"/>
  <c r="D162" i="20"/>
  <c r="D121" i="20" s="1"/>
  <c r="C178" i="20"/>
  <c r="C186" i="20"/>
  <c r="H215" i="20"/>
  <c r="J257" i="20"/>
  <c r="G215" i="20"/>
  <c r="I215" i="20"/>
  <c r="C212" i="20"/>
  <c r="H257" i="20"/>
  <c r="F219" i="20"/>
  <c r="K383" i="19"/>
  <c r="J383" i="19"/>
  <c r="I383" i="19"/>
  <c r="H383" i="19"/>
  <c r="G383" i="19"/>
  <c r="D383" i="19"/>
  <c r="F371" i="19"/>
  <c r="F383" i="19" s="1"/>
  <c r="K341" i="19"/>
  <c r="J341" i="19"/>
  <c r="I341" i="19"/>
  <c r="H341" i="19"/>
  <c r="G341" i="19"/>
  <c r="F341" i="19"/>
  <c r="D341" i="19"/>
  <c r="K299" i="19"/>
  <c r="J299" i="19"/>
  <c r="I299" i="19"/>
  <c r="H299" i="19"/>
  <c r="G299" i="19"/>
  <c r="F299" i="19"/>
  <c r="D299" i="19"/>
  <c r="E288" i="19"/>
  <c r="E277" i="19"/>
  <c r="E274" i="19"/>
  <c r="K256" i="19"/>
  <c r="J256" i="19"/>
  <c r="J214" i="19" s="1"/>
  <c r="I256" i="19"/>
  <c r="H256" i="19"/>
  <c r="H214" i="19" s="1"/>
  <c r="G256" i="19"/>
  <c r="D256" i="19"/>
  <c r="K255" i="19"/>
  <c r="K213" i="19" s="1"/>
  <c r="J255" i="19"/>
  <c r="J213" i="19" s="1"/>
  <c r="I255" i="19"/>
  <c r="I213" i="19" s="1"/>
  <c r="H255" i="19"/>
  <c r="H213" i="19" s="1"/>
  <c r="G255" i="19"/>
  <c r="G213" i="19" s="1"/>
  <c r="D255" i="19"/>
  <c r="K254" i="19"/>
  <c r="J254" i="19"/>
  <c r="J212" i="19" s="1"/>
  <c r="I254" i="19"/>
  <c r="H254" i="19"/>
  <c r="H212" i="19" s="1"/>
  <c r="G254" i="19"/>
  <c r="D254" i="19"/>
  <c r="F254" i="19" s="1"/>
  <c r="F212" i="19" s="1"/>
  <c r="K253" i="19"/>
  <c r="K211" i="19" s="1"/>
  <c r="J253" i="19"/>
  <c r="J211" i="19" s="1"/>
  <c r="I253" i="19"/>
  <c r="I211" i="19" s="1"/>
  <c r="H253" i="19"/>
  <c r="H211" i="19" s="1"/>
  <c r="G253" i="19"/>
  <c r="G211" i="19" s="1"/>
  <c r="D253" i="19"/>
  <c r="F253" i="19" s="1"/>
  <c r="F211" i="19" s="1"/>
  <c r="K252" i="19"/>
  <c r="J252" i="19"/>
  <c r="J210" i="19" s="1"/>
  <c r="I252" i="19"/>
  <c r="H252" i="19"/>
  <c r="H210" i="19" s="1"/>
  <c r="G252" i="19"/>
  <c r="D252" i="19"/>
  <c r="K251" i="19"/>
  <c r="K209" i="19" s="1"/>
  <c r="J251" i="19"/>
  <c r="J209" i="19" s="1"/>
  <c r="I251" i="19"/>
  <c r="I209" i="19" s="1"/>
  <c r="H251" i="19"/>
  <c r="H209" i="19" s="1"/>
  <c r="G251" i="19"/>
  <c r="G209" i="19" s="1"/>
  <c r="D251" i="19"/>
  <c r="K250" i="19"/>
  <c r="J250" i="19"/>
  <c r="J208" i="19" s="1"/>
  <c r="I250" i="19"/>
  <c r="H250" i="19"/>
  <c r="H208" i="19" s="1"/>
  <c r="G250" i="19"/>
  <c r="D250" i="19"/>
  <c r="F250" i="19" s="1"/>
  <c r="F208" i="19" s="1"/>
  <c r="K249" i="19"/>
  <c r="K207" i="19" s="1"/>
  <c r="J249" i="19"/>
  <c r="J207" i="19" s="1"/>
  <c r="I249" i="19"/>
  <c r="I207" i="19" s="1"/>
  <c r="H249" i="19"/>
  <c r="H207" i="19" s="1"/>
  <c r="G249" i="19"/>
  <c r="G207" i="19" s="1"/>
  <c r="D249" i="19"/>
  <c r="F249" i="19" s="1"/>
  <c r="F207" i="19" s="1"/>
  <c r="K248" i="19"/>
  <c r="J248" i="19"/>
  <c r="J206" i="19" s="1"/>
  <c r="I248" i="19"/>
  <c r="H248" i="19"/>
  <c r="H206" i="19" s="1"/>
  <c r="G248" i="19"/>
  <c r="G206" i="19" s="1"/>
  <c r="D248" i="19"/>
  <c r="K247" i="19"/>
  <c r="J247" i="19"/>
  <c r="J205" i="19" s="1"/>
  <c r="I247" i="19"/>
  <c r="H247" i="19"/>
  <c r="H205" i="19" s="1"/>
  <c r="G247" i="19"/>
  <c r="D247" i="19"/>
  <c r="F247" i="19" s="1"/>
  <c r="F205" i="19" s="1"/>
  <c r="K246" i="19"/>
  <c r="J246" i="19"/>
  <c r="J204" i="19" s="1"/>
  <c r="I246" i="19"/>
  <c r="H246" i="19"/>
  <c r="H204" i="19" s="1"/>
  <c r="G246" i="19"/>
  <c r="D246" i="19"/>
  <c r="K245" i="19"/>
  <c r="J245" i="19"/>
  <c r="J203" i="19" s="1"/>
  <c r="I245" i="19"/>
  <c r="H245" i="19"/>
  <c r="H203" i="19" s="1"/>
  <c r="G245" i="19"/>
  <c r="D245" i="19"/>
  <c r="F245" i="19" s="1"/>
  <c r="F203" i="19" s="1"/>
  <c r="K244" i="19"/>
  <c r="J244" i="19"/>
  <c r="J202" i="19" s="1"/>
  <c r="I244" i="19"/>
  <c r="H244" i="19"/>
  <c r="H202" i="19" s="1"/>
  <c r="G244" i="19"/>
  <c r="G202" i="19" s="1"/>
  <c r="D244" i="19"/>
  <c r="K243" i="19"/>
  <c r="J243" i="19"/>
  <c r="J201" i="19" s="1"/>
  <c r="I243" i="19"/>
  <c r="H243" i="19"/>
  <c r="H201" i="19" s="1"/>
  <c r="G243" i="19"/>
  <c r="D243" i="19"/>
  <c r="K242" i="19"/>
  <c r="J242" i="19"/>
  <c r="J200" i="19" s="1"/>
  <c r="I242" i="19"/>
  <c r="H242" i="19"/>
  <c r="H200" i="19" s="1"/>
  <c r="G242" i="19"/>
  <c r="E242" i="19"/>
  <c r="E200" i="19" s="1"/>
  <c r="D242" i="19"/>
  <c r="F242" i="19" s="1"/>
  <c r="K241" i="19"/>
  <c r="K199" i="19" s="1"/>
  <c r="J241" i="19"/>
  <c r="I241" i="19"/>
  <c r="I199" i="19" s="1"/>
  <c r="H241" i="19"/>
  <c r="G241" i="19"/>
  <c r="G199" i="19" s="1"/>
  <c r="D241" i="19"/>
  <c r="F241" i="19" s="1"/>
  <c r="K240" i="19"/>
  <c r="K198" i="19" s="1"/>
  <c r="J240" i="19"/>
  <c r="I240" i="19"/>
  <c r="I198" i="19" s="1"/>
  <c r="H240" i="19"/>
  <c r="G240" i="19"/>
  <c r="G198" i="19" s="1"/>
  <c r="D240" i="19"/>
  <c r="K239" i="19"/>
  <c r="K197" i="19" s="1"/>
  <c r="J239" i="19"/>
  <c r="I239" i="19"/>
  <c r="I197" i="19" s="1"/>
  <c r="H239" i="19"/>
  <c r="G239" i="19"/>
  <c r="G197" i="19" s="1"/>
  <c r="D239" i="19"/>
  <c r="K238" i="19"/>
  <c r="J238" i="19"/>
  <c r="J196" i="19" s="1"/>
  <c r="I238" i="19"/>
  <c r="I196" i="19" s="1"/>
  <c r="H238" i="19"/>
  <c r="H196" i="19" s="1"/>
  <c r="G238" i="19"/>
  <c r="G196" i="19" s="1"/>
  <c r="D238" i="19"/>
  <c r="F238" i="19" s="1"/>
  <c r="K237" i="19"/>
  <c r="K195" i="19" s="1"/>
  <c r="J237" i="19"/>
  <c r="I237" i="19"/>
  <c r="I195" i="19" s="1"/>
  <c r="H237" i="19"/>
  <c r="G237" i="19"/>
  <c r="G195" i="19" s="1"/>
  <c r="D237" i="19"/>
  <c r="F237" i="19" s="1"/>
  <c r="K236" i="19"/>
  <c r="K194" i="19" s="1"/>
  <c r="J236" i="19"/>
  <c r="I236" i="19"/>
  <c r="I194" i="19" s="1"/>
  <c r="H236" i="19"/>
  <c r="G236" i="19"/>
  <c r="G194" i="19" s="1"/>
  <c r="D236" i="19"/>
  <c r="K235" i="19"/>
  <c r="K193" i="19" s="1"/>
  <c r="J235" i="19"/>
  <c r="J193" i="19" s="1"/>
  <c r="I235" i="19"/>
  <c r="I193" i="19" s="1"/>
  <c r="H235" i="19"/>
  <c r="H193" i="19" s="1"/>
  <c r="G235" i="19"/>
  <c r="G193" i="19" s="1"/>
  <c r="D235" i="19"/>
  <c r="K234" i="19"/>
  <c r="K192" i="19" s="1"/>
  <c r="J234" i="19"/>
  <c r="J192" i="19" s="1"/>
  <c r="I234" i="19"/>
  <c r="I192" i="19" s="1"/>
  <c r="H234" i="19"/>
  <c r="H192" i="19" s="1"/>
  <c r="G234" i="19"/>
  <c r="G192" i="19" s="1"/>
  <c r="D234" i="19"/>
  <c r="F234" i="19" s="1"/>
  <c r="K233" i="19"/>
  <c r="K191" i="19" s="1"/>
  <c r="J233" i="19"/>
  <c r="I233" i="19"/>
  <c r="I191" i="19" s="1"/>
  <c r="H233" i="19"/>
  <c r="G233" i="19"/>
  <c r="G191" i="19" s="1"/>
  <c r="D233" i="19"/>
  <c r="F233" i="19" s="1"/>
  <c r="K232" i="19"/>
  <c r="K190" i="19" s="1"/>
  <c r="J232" i="19"/>
  <c r="I232" i="19"/>
  <c r="I190" i="19" s="1"/>
  <c r="H232" i="19"/>
  <c r="H190" i="19" s="1"/>
  <c r="G232" i="19"/>
  <c r="G190" i="19" s="1"/>
  <c r="D232" i="19"/>
  <c r="F232" i="19" s="1"/>
  <c r="K231" i="19"/>
  <c r="K189" i="19" s="1"/>
  <c r="J231" i="19"/>
  <c r="J189" i="19" s="1"/>
  <c r="I231" i="19"/>
  <c r="I189" i="19" s="1"/>
  <c r="H231" i="19"/>
  <c r="H189" i="19" s="1"/>
  <c r="G231" i="19"/>
  <c r="G189" i="19" s="1"/>
  <c r="D231" i="19"/>
  <c r="K230" i="19"/>
  <c r="K188" i="19" s="1"/>
  <c r="J230" i="19"/>
  <c r="J188" i="19" s="1"/>
  <c r="I230" i="19"/>
  <c r="I188" i="19" s="1"/>
  <c r="H230" i="19"/>
  <c r="H188" i="19" s="1"/>
  <c r="G230" i="19"/>
  <c r="D230" i="19"/>
  <c r="K229" i="19"/>
  <c r="K187" i="19" s="1"/>
  <c r="J229" i="19"/>
  <c r="J187" i="19" s="1"/>
  <c r="I229" i="19"/>
  <c r="I187" i="19" s="1"/>
  <c r="H229" i="19"/>
  <c r="H187" i="19" s="1"/>
  <c r="G229" i="19"/>
  <c r="G187" i="19" s="1"/>
  <c r="D229" i="19"/>
  <c r="K228" i="19"/>
  <c r="K186" i="19" s="1"/>
  <c r="J228" i="19"/>
  <c r="J186" i="19" s="1"/>
  <c r="I228" i="19"/>
  <c r="I186" i="19" s="1"/>
  <c r="H228" i="19"/>
  <c r="H186" i="19" s="1"/>
  <c r="G228" i="19"/>
  <c r="G186" i="19" s="1"/>
  <c r="D228" i="19"/>
  <c r="K227" i="19"/>
  <c r="K185" i="19" s="1"/>
  <c r="J227" i="19"/>
  <c r="J185" i="19" s="1"/>
  <c r="I227" i="19"/>
  <c r="H227" i="19"/>
  <c r="H185" i="19" s="1"/>
  <c r="G227" i="19"/>
  <c r="G185" i="19" s="1"/>
  <c r="D227" i="19"/>
  <c r="K226" i="19"/>
  <c r="K184" i="19" s="1"/>
  <c r="J226" i="19"/>
  <c r="J184" i="19" s="1"/>
  <c r="I226" i="19"/>
  <c r="I184" i="19" s="1"/>
  <c r="H226" i="19"/>
  <c r="H184" i="19" s="1"/>
  <c r="G226" i="19"/>
  <c r="G184" i="19" s="1"/>
  <c r="D226" i="19"/>
  <c r="K225" i="19"/>
  <c r="K183" i="19" s="1"/>
  <c r="J225" i="19"/>
  <c r="J183" i="19" s="1"/>
  <c r="I225" i="19"/>
  <c r="I183" i="19" s="1"/>
  <c r="H225" i="19"/>
  <c r="H183" i="19" s="1"/>
  <c r="G225" i="19"/>
  <c r="G183" i="19" s="1"/>
  <c r="D225" i="19"/>
  <c r="K224" i="19"/>
  <c r="J224" i="19"/>
  <c r="J182" i="19" s="1"/>
  <c r="I224" i="19"/>
  <c r="I182" i="19" s="1"/>
  <c r="H224" i="19"/>
  <c r="H182" i="19" s="1"/>
  <c r="G224" i="19"/>
  <c r="G182" i="19" s="1"/>
  <c r="D224" i="19"/>
  <c r="K223" i="19"/>
  <c r="K181" i="19" s="1"/>
  <c r="J223" i="19"/>
  <c r="J181" i="19" s="1"/>
  <c r="I223" i="19"/>
  <c r="I181" i="19" s="1"/>
  <c r="H223" i="19"/>
  <c r="H181" i="19" s="1"/>
  <c r="G223" i="19"/>
  <c r="G181" i="19" s="1"/>
  <c r="D223" i="19"/>
  <c r="K222" i="19"/>
  <c r="K180" i="19" s="1"/>
  <c r="J222" i="19"/>
  <c r="J180" i="19" s="1"/>
  <c r="I222" i="19"/>
  <c r="I180" i="19" s="1"/>
  <c r="H222" i="19"/>
  <c r="H180" i="19" s="1"/>
  <c r="G222" i="19"/>
  <c r="D222" i="19"/>
  <c r="E222" i="19" s="1"/>
  <c r="E180" i="19" s="1"/>
  <c r="K221" i="19"/>
  <c r="J221" i="19"/>
  <c r="I221" i="19"/>
  <c r="H221" i="19"/>
  <c r="G221" i="19"/>
  <c r="D221" i="19"/>
  <c r="E221" i="19" s="1"/>
  <c r="E179" i="19" s="1"/>
  <c r="K220" i="19"/>
  <c r="J220" i="19"/>
  <c r="I220" i="19"/>
  <c r="H220" i="19"/>
  <c r="G220" i="19"/>
  <c r="D220" i="19"/>
  <c r="E220" i="19" s="1"/>
  <c r="E178" i="19" s="1"/>
  <c r="K219" i="19"/>
  <c r="J219" i="19"/>
  <c r="I219" i="19"/>
  <c r="H219" i="19"/>
  <c r="G219" i="19"/>
  <c r="D219" i="19"/>
  <c r="K214" i="19"/>
  <c r="I214" i="19"/>
  <c r="G214" i="19"/>
  <c r="B214" i="19"/>
  <c r="B256" i="19" s="1"/>
  <c r="B298" i="19" s="1"/>
  <c r="B340" i="19" s="1"/>
  <c r="B382" i="19" s="1"/>
  <c r="A214" i="19"/>
  <c r="A256" i="19" s="1"/>
  <c r="A298" i="19" s="1"/>
  <c r="A340" i="19" s="1"/>
  <c r="A382" i="19" s="1"/>
  <c r="B213" i="19"/>
  <c r="B255" i="19" s="1"/>
  <c r="B297" i="19" s="1"/>
  <c r="B339" i="19" s="1"/>
  <c r="B381" i="19" s="1"/>
  <c r="A213" i="19"/>
  <c r="A255" i="19" s="1"/>
  <c r="A297" i="19" s="1"/>
  <c r="A339" i="19" s="1"/>
  <c r="A381" i="19" s="1"/>
  <c r="K212" i="19"/>
  <c r="I212" i="19"/>
  <c r="G212" i="19"/>
  <c r="B212" i="19"/>
  <c r="B254" i="19" s="1"/>
  <c r="B296" i="19" s="1"/>
  <c r="B338" i="19" s="1"/>
  <c r="B380" i="19" s="1"/>
  <c r="A212" i="19"/>
  <c r="A254" i="19" s="1"/>
  <c r="A296" i="19" s="1"/>
  <c r="A338" i="19" s="1"/>
  <c r="A380" i="19" s="1"/>
  <c r="B211" i="19"/>
  <c r="B253" i="19" s="1"/>
  <c r="B295" i="19" s="1"/>
  <c r="B337" i="19" s="1"/>
  <c r="B379" i="19" s="1"/>
  <c r="A211" i="19"/>
  <c r="A253" i="19" s="1"/>
  <c r="A295" i="19" s="1"/>
  <c r="A337" i="19" s="1"/>
  <c r="A379" i="19" s="1"/>
  <c r="K210" i="19"/>
  <c r="I210" i="19"/>
  <c r="G210" i="19"/>
  <c r="B210" i="19"/>
  <c r="B252" i="19" s="1"/>
  <c r="B294" i="19" s="1"/>
  <c r="B336" i="19" s="1"/>
  <c r="B378" i="19" s="1"/>
  <c r="A210" i="19"/>
  <c r="A252" i="19" s="1"/>
  <c r="A294" i="19" s="1"/>
  <c r="A336" i="19" s="1"/>
  <c r="A378" i="19" s="1"/>
  <c r="B209" i="19"/>
  <c r="B251" i="19" s="1"/>
  <c r="B293" i="19" s="1"/>
  <c r="B335" i="19" s="1"/>
  <c r="B377" i="19" s="1"/>
  <c r="A209" i="19"/>
  <c r="A251" i="19" s="1"/>
  <c r="A293" i="19" s="1"/>
  <c r="A335" i="19" s="1"/>
  <c r="A377" i="19" s="1"/>
  <c r="K208" i="19"/>
  <c r="I208" i="19"/>
  <c r="G208" i="19"/>
  <c r="B208" i="19"/>
  <c r="B250" i="19" s="1"/>
  <c r="B292" i="19" s="1"/>
  <c r="B334" i="19" s="1"/>
  <c r="B376" i="19" s="1"/>
  <c r="A208" i="19"/>
  <c r="A250" i="19" s="1"/>
  <c r="A292" i="19" s="1"/>
  <c r="A334" i="19" s="1"/>
  <c r="A376" i="19" s="1"/>
  <c r="B207" i="19"/>
  <c r="B249" i="19" s="1"/>
  <c r="B291" i="19" s="1"/>
  <c r="B333" i="19" s="1"/>
  <c r="B375" i="19" s="1"/>
  <c r="A207" i="19"/>
  <c r="A249" i="19" s="1"/>
  <c r="A291" i="19" s="1"/>
  <c r="A333" i="19" s="1"/>
  <c r="A375" i="19" s="1"/>
  <c r="K206" i="19"/>
  <c r="I206" i="19"/>
  <c r="B206" i="19"/>
  <c r="B248" i="19" s="1"/>
  <c r="B290" i="19" s="1"/>
  <c r="B332" i="19" s="1"/>
  <c r="B374" i="19" s="1"/>
  <c r="A206" i="19"/>
  <c r="A248" i="19" s="1"/>
  <c r="A290" i="19" s="1"/>
  <c r="A332" i="19" s="1"/>
  <c r="A374" i="19" s="1"/>
  <c r="K205" i="19"/>
  <c r="I205" i="19"/>
  <c r="G205" i="19"/>
  <c r="B205" i="19"/>
  <c r="B247" i="19" s="1"/>
  <c r="B289" i="19" s="1"/>
  <c r="B331" i="19" s="1"/>
  <c r="B373" i="19" s="1"/>
  <c r="A205" i="19"/>
  <c r="A247" i="19" s="1"/>
  <c r="A289" i="19" s="1"/>
  <c r="A331" i="19" s="1"/>
  <c r="A373" i="19" s="1"/>
  <c r="K204" i="19"/>
  <c r="I204" i="19"/>
  <c r="G204" i="19"/>
  <c r="B204" i="19"/>
  <c r="B246" i="19" s="1"/>
  <c r="B288" i="19" s="1"/>
  <c r="B330" i="19" s="1"/>
  <c r="B372" i="19" s="1"/>
  <c r="A204" i="19"/>
  <c r="A246" i="19" s="1"/>
  <c r="A288" i="19" s="1"/>
  <c r="A330" i="19" s="1"/>
  <c r="A372" i="19" s="1"/>
  <c r="K203" i="19"/>
  <c r="I203" i="19"/>
  <c r="G203" i="19"/>
  <c r="B203" i="19"/>
  <c r="B245" i="19" s="1"/>
  <c r="B287" i="19" s="1"/>
  <c r="B329" i="19" s="1"/>
  <c r="B371" i="19" s="1"/>
  <c r="A203" i="19"/>
  <c r="A245" i="19" s="1"/>
  <c r="A287" i="19" s="1"/>
  <c r="A329" i="19" s="1"/>
  <c r="A371" i="19" s="1"/>
  <c r="K202" i="19"/>
  <c r="I202" i="19"/>
  <c r="B202" i="19"/>
  <c r="B244" i="19" s="1"/>
  <c r="B286" i="19" s="1"/>
  <c r="B328" i="19" s="1"/>
  <c r="B370" i="19" s="1"/>
  <c r="A202" i="19"/>
  <c r="A244" i="19" s="1"/>
  <c r="A286" i="19" s="1"/>
  <c r="A328" i="19" s="1"/>
  <c r="A370" i="19" s="1"/>
  <c r="K201" i="19"/>
  <c r="I201" i="19"/>
  <c r="G201" i="19"/>
  <c r="B201" i="19"/>
  <c r="B243" i="19" s="1"/>
  <c r="B285" i="19" s="1"/>
  <c r="B327" i="19" s="1"/>
  <c r="B369" i="19" s="1"/>
  <c r="A201" i="19"/>
  <c r="A243" i="19" s="1"/>
  <c r="A285" i="19" s="1"/>
  <c r="A327" i="19" s="1"/>
  <c r="A369" i="19" s="1"/>
  <c r="K200" i="19"/>
  <c r="I200" i="19"/>
  <c r="G200" i="19"/>
  <c r="F200" i="19"/>
  <c r="D200" i="19"/>
  <c r="B200" i="19"/>
  <c r="B242" i="19" s="1"/>
  <c r="B284" i="19" s="1"/>
  <c r="B326" i="19" s="1"/>
  <c r="B368" i="19" s="1"/>
  <c r="A200" i="19"/>
  <c r="A242" i="19" s="1"/>
  <c r="A284" i="19" s="1"/>
  <c r="A326" i="19" s="1"/>
  <c r="A368" i="19" s="1"/>
  <c r="J199" i="19"/>
  <c r="H199" i="19"/>
  <c r="F199" i="19"/>
  <c r="D199" i="19"/>
  <c r="B199" i="19"/>
  <c r="B241" i="19" s="1"/>
  <c r="B283" i="19" s="1"/>
  <c r="B325" i="19" s="1"/>
  <c r="B367" i="19" s="1"/>
  <c r="A199" i="19"/>
  <c r="A241" i="19" s="1"/>
  <c r="A283" i="19" s="1"/>
  <c r="A325" i="19" s="1"/>
  <c r="A367" i="19" s="1"/>
  <c r="J198" i="19"/>
  <c r="H198" i="19"/>
  <c r="D198" i="19"/>
  <c r="B198" i="19"/>
  <c r="B240" i="19" s="1"/>
  <c r="B282" i="19" s="1"/>
  <c r="B324" i="19" s="1"/>
  <c r="B366" i="19" s="1"/>
  <c r="A198" i="19"/>
  <c r="A240" i="19" s="1"/>
  <c r="A282" i="19" s="1"/>
  <c r="A324" i="19" s="1"/>
  <c r="A366" i="19" s="1"/>
  <c r="J197" i="19"/>
  <c r="H197" i="19"/>
  <c r="B197" i="19"/>
  <c r="B239" i="19" s="1"/>
  <c r="B281" i="19" s="1"/>
  <c r="B323" i="19" s="1"/>
  <c r="B365" i="19" s="1"/>
  <c r="A197" i="19"/>
  <c r="A239" i="19" s="1"/>
  <c r="A281" i="19" s="1"/>
  <c r="A323" i="19" s="1"/>
  <c r="A365" i="19" s="1"/>
  <c r="K196" i="19"/>
  <c r="F196" i="19"/>
  <c r="D196" i="19"/>
  <c r="B196" i="19"/>
  <c r="B238" i="19" s="1"/>
  <c r="B280" i="19" s="1"/>
  <c r="B322" i="19" s="1"/>
  <c r="B364" i="19" s="1"/>
  <c r="A196" i="19"/>
  <c r="A238" i="19" s="1"/>
  <c r="A280" i="19" s="1"/>
  <c r="A322" i="19" s="1"/>
  <c r="A364" i="19" s="1"/>
  <c r="J195" i="19"/>
  <c r="H195" i="19"/>
  <c r="F195" i="19"/>
  <c r="D195" i="19"/>
  <c r="B195" i="19"/>
  <c r="B237" i="19" s="1"/>
  <c r="B279" i="19" s="1"/>
  <c r="B321" i="19" s="1"/>
  <c r="B363" i="19" s="1"/>
  <c r="A195" i="19"/>
  <c r="A237" i="19" s="1"/>
  <c r="A279" i="19" s="1"/>
  <c r="A321" i="19" s="1"/>
  <c r="A363" i="19" s="1"/>
  <c r="J194" i="19"/>
  <c r="H194" i="19"/>
  <c r="B194" i="19"/>
  <c r="B236" i="19" s="1"/>
  <c r="B278" i="19" s="1"/>
  <c r="B320" i="19" s="1"/>
  <c r="B362" i="19" s="1"/>
  <c r="A194" i="19"/>
  <c r="A236" i="19" s="1"/>
  <c r="A278" i="19" s="1"/>
  <c r="A320" i="19" s="1"/>
  <c r="A362" i="19" s="1"/>
  <c r="B193" i="19"/>
  <c r="B235" i="19" s="1"/>
  <c r="B277" i="19" s="1"/>
  <c r="B319" i="19" s="1"/>
  <c r="B361" i="19" s="1"/>
  <c r="A193" i="19"/>
  <c r="A235" i="19" s="1"/>
  <c r="A277" i="19" s="1"/>
  <c r="A319" i="19" s="1"/>
  <c r="A361" i="19" s="1"/>
  <c r="F192" i="19"/>
  <c r="D192" i="19"/>
  <c r="B192" i="19"/>
  <c r="B234" i="19" s="1"/>
  <c r="B276" i="19" s="1"/>
  <c r="B318" i="19" s="1"/>
  <c r="B360" i="19" s="1"/>
  <c r="A192" i="19"/>
  <c r="A234" i="19" s="1"/>
  <c r="A276" i="19" s="1"/>
  <c r="A318" i="19" s="1"/>
  <c r="A360" i="19" s="1"/>
  <c r="J191" i="19"/>
  <c r="H191" i="19"/>
  <c r="F191" i="19"/>
  <c r="B191" i="19"/>
  <c r="B233" i="19" s="1"/>
  <c r="B275" i="19" s="1"/>
  <c r="B317" i="19" s="1"/>
  <c r="B359" i="19" s="1"/>
  <c r="A191" i="19"/>
  <c r="A233" i="19" s="1"/>
  <c r="A275" i="19" s="1"/>
  <c r="A317" i="19" s="1"/>
  <c r="A359" i="19" s="1"/>
  <c r="J190" i="19"/>
  <c r="F190" i="19"/>
  <c r="B190" i="19"/>
  <c r="B232" i="19" s="1"/>
  <c r="B274" i="19" s="1"/>
  <c r="B316" i="19" s="1"/>
  <c r="B358" i="19" s="1"/>
  <c r="A190" i="19"/>
  <c r="A232" i="19" s="1"/>
  <c r="A274" i="19" s="1"/>
  <c r="A316" i="19" s="1"/>
  <c r="A358" i="19" s="1"/>
  <c r="B189" i="19"/>
  <c r="B231" i="19" s="1"/>
  <c r="B273" i="19" s="1"/>
  <c r="B315" i="19" s="1"/>
  <c r="B357" i="19" s="1"/>
  <c r="A189" i="19"/>
  <c r="A231" i="19" s="1"/>
  <c r="A273" i="19" s="1"/>
  <c r="A315" i="19" s="1"/>
  <c r="A357" i="19" s="1"/>
  <c r="G188" i="19"/>
  <c r="B188" i="19"/>
  <c r="B230" i="19" s="1"/>
  <c r="B272" i="19" s="1"/>
  <c r="B314" i="19" s="1"/>
  <c r="B356" i="19" s="1"/>
  <c r="A188" i="19"/>
  <c r="A230" i="19" s="1"/>
  <c r="A272" i="19" s="1"/>
  <c r="A314" i="19" s="1"/>
  <c r="A356" i="19" s="1"/>
  <c r="B187" i="19"/>
  <c r="B229" i="19" s="1"/>
  <c r="B271" i="19" s="1"/>
  <c r="B313" i="19" s="1"/>
  <c r="B355" i="19" s="1"/>
  <c r="A187" i="19"/>
  <c r="A229" i="19" s="1"/>
  <c r="A271" i="19" s="1"/>
  <c r="A313" i="19" s="1"/>
  <c r="A355" i="19" s="1"/>
  <c r="B186" i="19"/>
  <c r="B228" i="19" s="1"/>
  <c r="B270" i="19" s="1"/>
  <c r="B312" i="19" s="1"/>
  <c r="B354" i="19" s="1"/>
  <c r="A186" i="19"/>
  <c r="A228" i="19" s="1"/>
  <c r="A270" i="19" s="1"/>
  <c r="A312" i="19" s="1"/>
  <c r="A354" i="19" s="1"/>
  <c r="I185" i="19"/>
  <c r="B185" i="19"/>
  <c r="B227" i="19" s="1"/>
  <c r="B269" i="19" s="1"/>
  <c r="B311" i="19" s="1"/>
  <c r="B353" i="19" s="1"/>
  <c r="A185" i="19"/>
  <c r="A227" i="19" s="1"/>
  <c r="A269" i="19" s="1"/>
  <c r="A311" i="19" s="1"/>
  <c r="A353" i="19" s="1"/>
  <c r="B184" i="19"/>
  <c r="B226" i="19" s="1"/>
  <c r="B268" i="19" s="1"/>
  <c r="B310" i="19" s="1"/>
  <c r="B352" i="19" s="1"/>
  <c r="A184" i="19"/>
  <c r="A226" i="19" s="1"/>
  <c r="A268" i="19" s="1"/>
  <c r="A310" i="19" s="1"/>
  <c r="A352" i="19" s="1"/>
  <c r="B183" i="19"/>
  <c r="B225" i="19" s="1"/>
  <c r="B267" i="19" s="1"/>
  <c r="B309" i="19" s="1"/>
  <c r="B351" i="19" s="1"/>
  <c r="A183" i="19"/>
  <c r="A225" i="19" s="1"/>
  <c r="A267" i="19" s="1"/>
  <c r="A309" i="19" s="1"/>
  <c r="A351" i="19" s="1"/>
  <c r="K182" i="19"/>
  <c r="B182" i="19"/>
  <c r="B224" i="19" s="1"/>
  <c r="B266" i="19" s="1"/>
  <c r="B308" i="19" s="1"/>
  <c r="B350" i="19" s="1"/>
  <c r="A182" i="19"/>
  <c r="A224" i="19" s="1"/>
  <c r="A266" i="19" s="1"/>
  <c r="A308" i="19" s="1"/>
  <c r="A350" i="19" s="1"/>
  <c r="B181" i="19"/>
  <c r="B223" i="19" s="1"/>
  <c r="B265" i="19" s="1"/>
  <c r="B307" i="19" s="1"/>
  <c r="B349" i="19" s="1"/>
  <c r="A181" i="19"/>
  <c r="A223" i="19" s="1"/>
  <c r="A265" i="19" s="1"/>
  <c r="A307" i="19" s="1"/>
  <c r="A349" i="19" s="1"/>
  <c r="G180" i="19"/>
  <c r="D180" i="19"/>
  <c r="B180" i="19"/>
  <c r="B222" i="19" s="1"/>
  <c r="B264" i="19" s="1"/>
  <c r="B306" i="19" s="1"/>
  <c r="B348" i="19" s="1"/>
  <c r="A180" i="19"/>
  <c r="A222" i="19" s="1"/>
  <c r="A264" i="19" s="1"/>
  <c r="A306" i="19" s="1"/>
  <c r="A348" i="19" s="1"/>
  <c r="K179" i="19"/>
  <c r="J179" i="19"/>
  <c r="I179" i="19"/>
  <c r="H179" i="19"/>
  <c r="G179" i="19"/>
  <c r="D179" i="19"/>
  <c r="B179" i="19"/>
  <c r="B221" i="19" s="1"/>
  <c r="B263" i="19" s="1"/>
  <c r="B305" i="19" s="1"/>
  <c r="B347" i="19" s="1"/>
  <c r="A179" i="19"/>
  <c r="A221" i="19" s="1"/>
  <c r="A263" i="19" s="1"/>
  <c r="A305" i="19" s="1"/>
  <c r="A347" i="19" s="1"/>
  <c r="K178" i="19"/>
  <c r="J178" i="19"/>
  <c r="I178" i="19"/>
  <c r="H178" i="19"/>
  <c r="G178" i="19"/>
  <c r="D178" i="19"/>
  <c r="B178" i="19"/>
  <c r="B220" i="19" s="1"/>
  <c r="B262" i="19" s="1"/>
  <c r="B304" i="19" s="1"/>
  <c r="B346" i="19" s="1"/>
  <c r="A178" i="19"/>
  <c r="A220" i="19" s="1"/>
  <c r="A262" i="19" s="1"/>
  <c r="A304" i="19" s="1"/>
  <c r="A346" i="19" s="1"/>
  <c r="K177" i="19"/>
  <c r="J177" i="19"/>
  <c r="I177" i="19"/>
  <c r="H177" i="19"/>
  <c r="G177" i="19"/>
  <c r="D177" i="19"/>
  <c r="B177" i="19"/>
  <c r="B219" i="19" s="1"/>
  <c r="B261" i="19" s="1"/>
  <c r="B303" i="19" s="1"/>
  <c r="B345" i="19" s="1"/>
  <c r="A177" i="19"/>
  <c r="A219" i="19" s="1"/>
  <c r="A261" i="19" s="1"/>
  <c r="A303" i="19" s="1"/>
  <c r="A345" i="19" s="1"/>
  <c r="C171" i="19"/>
  <c r="B127" i="19"/>
  <c r="B168" i="19" s="1"/>
  <c r="A127" i="19"/>
  <c r="A168" i="19" s="1"/>
  <c r="B126" i="19"/>
  <c r="B167" i="19" s="1"/>
  <c r="A126" i="19"/>
  <c r="A167" i="19" s="1"/>
  <c r="B125" i="19"/>
  <c r="B166" i="19" s="1"/>
  <c r="A125" i="19"/>
  <c r="A166" i="19" s="1"/>
  <c r="B124" i="19"/>
  <c r="B165" i="19" s="1"/>
  <c r="A124" i="19"/>
  <c r="A165" i="19" s="1"/>
  <c r="B123" i="19"/>
  <c r="B164" i="19" s="1"/>
  <c r="A123" i="19"/>
  <c r="A164" i="19" s="1"/>
  <c r="B122" i="19"/>
  <c r="B163" i="19" s="1"/>
  <c r="A122" i="19"/>
  <c r="A163" i="19" s="1"/>
  <c r="B121" i="19"/>
  <c r="B162" i="19" s="1"/>
  <c r="A121" i="19"/>
  <c r="A162" i="19" s="1"/>
  <c r="B120" i="19"/>
  <c r="B161" i="19" s="1"/>
  <c r="A120" i="19"/>
  <c r="A161" i="19" s="1"/>
  <c r="B119" i="19"/>
  <c r="B160" i="19" s="1"/>
  <c r="A119" i="19"/>
  <c r="A160" i="19" s="1"/>
  <c r="B118" i="19"/>
  <c r="B159" i="19" s="1"/>
  <c r="A118" i="19"/>
  <c r="A159" i="19" s="1"/>
  <c r="B117" i="19"/>
  <c r="B158" i="19" s="1"/>
  <c r="A117" i="19"/>
  <c r="A158" i="19" s="1"/>
  <c r="B116" i="19"/>
  <c r="B157" i="19" s="1"/>
  <c r="A116" i="19"/>
  <c r="A157" i="19" s="1"/>
  <c r="B115" i="19"/>
  <c r="B156" i="19" s="1"/>
  <c r="A115" i="19"/>
  <c r="A156" i="19" s="1"/>
  <c r="B114" i="19"/>
  <c r="B155" i="19" s="1"/>
  <c r="A114" i="19"/>
  <c r="A155" i="19" s="1"/>
  <c r="B113" i="19"/>
  <c r="B154" i="19" s="1"/>
  <c r="A113" i="19"/>
  <c r="A154" i="19" s="1"/>
  <c r="B112" i="19"/>
  <c r="B153" i="19" s="1"/>
  <c r="A112" i="19"/>
  <c r="A153" i="19" s="1"/>
  <c r="B111" i="19"/>
  <c r="B152" i="19" s="1"/>
  <c r="A111" i="19"/>
  <c r="A152" i="19" s="1"/>
  <c r="B110" i="19"/>
  <c r="B151" i="19" s="1"/>
  <c r="A110" i="19"/>
  <c r="A151" i="19" s="1"/>
  <c r="B109" i="19"/>
  <c r="B150" i="19" s="1"/>
  <c r="A109" i="19"/>
  <c r="A150" i="19" s="1"/>
  <c r="B108" i="19"/>
  <c r="B149" i="19" s="1"/>
  <c r="A108" i="19"/>
  <c r="A149" i="19" s="1"/>
  <c r="B107" i="19"/>
  <c r="B148" i="19" s="1"/>
  <c r="A107" i="19"/>
  <c r="A148" i="19" s="1"/>
  <c r="B106" i="19"/>
  <c r="B147" i="19" s="1"/>
  <c r="A106" i="19"/>
  <c r="A147" i="19" s="1"/>
  <c r="B105" i="19"/>
  <c r="B146" i="19" s="1"/>
  <c r="A105" i="19"/>
  <c r="A146" i="19" s="1"/>
  <c r="B104" i="19"/>
  <c r="B145" i="19" s="1"/>
  <c r="A104" i="19"/>
  <c r="A145" i="19" s="1"/>
  <c r="B103" i="19"/>
  <c r="B144" i="19" s="1"/>
  <c r="A103" i="19"/>
  <c r="A144" i="19" s="1"/>
  <c r="B102" i="19"/>
  <c r="B143" i="19" s="1"/>
  <c r="A102" i="19"/>
  <c r="A143" i="19" s="1"/>
  <c r="B101" i="19"/>
  <c r="B142" i="19" s="1"/>
  <c r="A101" i="19"/>
  <c r="A142" i="19" s="1"/>
  <c r="B100" i="19"/>
  <c r="B141" i="19" s="1"/>
  <c r="A100" i="19"/>
  <c r="A141" i="19" s="1"/>
  <c r="B99" i="19"/>
  <c r="B140" i="19" s="1"/>
  <c r="A99" i="19"/>
  <c r="A140" i="19" s="1"/>
  <c r="B98" i="19"/>
  <c r="B139" i="19" s="1"/>
  <c r="A98" i="19"/>
  <c r="A139" i="19" s="1"/>
  <c r="B97" i="19"/>
  <c r="B138" i="19" s="1"/>
  <c r="A97" i="19"/>
  <c r="A138" i="19" s="1"/>
  <c r="B96" i="19"/>
  <c r="B137" i="19" s="1"/>
  <c r="A96" i="19"/>
  <c r="A137" i="19" s="1"/>
  <c r="B95" i="19"/>
  <c r="B136" i="19" s="1"/>
  <c r="A95" i="19"/>
  <c r="A136" i="19" s="1"/>
  <c r="B94" i="19"/>
  <c r="B135" i="19" s="1"/>
  <c r="A94" i="19"/>
  <c r="A135" i="19" s="1"/>
  <c r="B93" i="19"/>
  <c r="B134" i="19" s="1"/>
  <c r="A93" i="19"/>
  <c r="A134" i="19" s="1"/>
  <c r="B92" i="19"/>
  <c r="B133" i="19" s="1"/>
  <c r="A92" i="19"/>
  <c r="A133" i="19" s="1"/>
  <c r="B91" i="19"/>
  <c r="B132" i="19" s="1"/>
  <c r="A91" i="19"/>
  <c r="A132" i="19" s="1"/>
  <c r="B90" i="19"/>
  <c r="B131" i="19" s="1"/>
  <c r="A90" i="19"/>
  <c r="A131" i="19" s="1"/>
  <c r="B85" i="19"/>
  <c r="A85" i="19"/>
  <c r="B84" i="19"/>
  <c r="A84" i="19"/>
  <c r="B83" i="19"/>
  <c r="A83" i="19"/>
  <c r="B82" i="19"/>
  <c r="A82" i="19"/>
  <c r="B81" i="19"/>
  <c r="A81" i="19"/>
  <c r="B80" i="19"/>
  <c r="A80" i="19"/>
  <c r="B79" i="19"/>
  <c r="A79" i="19"/>
  <c r="B78" i="19"/>
  <c r="A78" i="19"/>
  <c r="B77" i="19"/>
  <c r="A77" i="19"/>
  <c r="B76" i="19"/>
  <c r="A76" i="19"/>
  <c r="B75" i="19"/>
  <c r="A75" i="19"/>
  <c r="B74" i="19"/>
  <c r="A74" i="19"/>
  <c r="B73" i="19"/>
  <c r="A73" i="19"/>
  <c r="B72" i="19"/>
  <c r="A72" i="19"/>
  <c r="B71" i="19"/>
  <c r="A71" i="19"/>
  <c r="B70" i="19"/>
  <c r="A70" i="19"/>
  <c r="B69" i="19"/>
  <c r="A69" i="19"/>
  <c r="B68" i="19"/>
  <c r="A68" i="19"/>
  <c r="B67" i="19"/>
  <c r="A67" i="19"/>
  <c r="B66" i="19"/>
  <c r="A66" i="19"/>
  <c r="B65" i="19"/>
  <c r="A65" i="19"/>
  <c r="B64" i="19"/>
  <c r="A64" i="19"/>
  <c r="B63" i="19"/>
  <c r="A63" i="19"/>
  <c r="B62" i="19"/>
  <c r="A62" i="19"/>
  <c r="B61" i="19"/>
  <c r="A61" i="19"/>
  <c r="B60" i="19"/>
  <c r="A60" i="19"/>
  <c r="B59" i="19"/>
  <c r="A59" i="19"/>
  <c r="B58" i="19"/>
  <c r="A58" i="19"/>
  <c r="B57" i="19"/>
  <c r="A57" i="19"/>
  <c r="B56" i="19"/>
  <c r="A56" i="19"/>
  <c r="B55" i="19"/>
  <c r="A55" i="19"/>
  <c r="B54" i="19"/>
  <c r="A54" i="19"/>
  <c r="B53" i="19"/>
  <c r="A53" i="19"/>
  <c r="B52" i="19"/>
  <c r="A52" i="19"/>
  <c r="B51" i="19"/>
  <c r="A51" i="19"/>
  <c r="B50" i="19"/>
  <c r="A50" i="19"/>
  <c r="B49" i="19"/>
  <c r="A49" i="19"/>
  <c r="B48" i="19"/>
  <c r="A48" i="19"/>
  <c r="M43" i="19"/>
  <c r="Q43" i="19" s="1"/>
  <c r="E147" i="20" l="1"/>
  <c r="E106" i="20" s="1"/>
  <c r="E64" i="20" s="1"/>
  <c r="C190" i="20"/>
  <c r="H162" i="20"/>
  <c r="H121" i="20" s="1"/>
  <c r="H79" i="20" s="1"/>
  <c r="E160" i="20"/>
  <c r="E119" i="20" s="1"/>
  <c r="E77" i="20" s="1"/>
  <c r="J156" i="20"/>
  <c r="J115" i="20" s="1"/>
  <c r="J73" i="20" s="1"/>
  <c r="H154" i="20"/>
  <c r="H113" i="20" s="1"/>
  <c r="H71" i="20" s="1"/>
  <c r="E152" i="20"/>
  <c r="E111" i="20" s="1"/>
  <c r="E69" i="20" s="1"/>
  <c r="D150" i="20"/>
  <c r="D109" i="20" s="1"/>
  <c r="D67" i="20" s="1"/>
  <c r="J148" i="20"/>
  <c r="J107" i="20" s="1"/>
  <c r="J65" i="20" s="1"/>
  <c r="F148" i="20"/>
  <c r="F107" i="20" s="1"/>
  <c r="F65" i="20" s="1"/>
  <c r="H146" i="20"/>
  <c r="H105" i="20" s="1"/>
  <c r="H63" i="20" s="1"/>
  <c r="H144" i="20"/>
  <c r="H103" i="20" s="1"/>
  <c r="H61" i="20" s="1"/>
  <c r="D144" i="20"/>
  <c r="D103" i="20" s="1"/>
  <c r="H142" i="20"/>
  <c r="H101" i="20" s="1"/>
  <c r="H59" i="20" s="1"/>
  <c r="E140" i="20"/>
  <c r="E99" i="20" s="1"/>
  <c r="E57" i="20" s="1"/>
  <c r="E158" i="20"/>
  <c r="E117" i="20" s="1"/>
  <c r="E75" i="20" s="1"/>
  <c r="F164" i="20"/>
  <c r="F123" i="20" s="1"/>
  <c r="F81" i="20" s="1"/>
  <c r="I162" i="20"/>
  <c r="I121" i="20" s="1"/>
  <c r="I79" i="20" s="1"/>
  <c r="C206" i="20"/>
  <c r="C202" i="20"/>
  <c r="C200" i="20"/>
  <c r="F154" i="20"/>
  <c r="F113" i="20" s="1"/>
  <c r="F71" i="20" s="1"/>
  <c r="G152" i="20"/>
  <c r="G111" i="20" s="1"/>
  <c r="G69" i="20" s="1"/>
  <c r="I150" i="20"/>
  <c r="I109" i="20" s="1"/>
  <c r="I67" i="20" s="1"/>
  <c r="G148" i="20"/>
  <c r="G107" i="20" s="1"/>
  <c r="G65" i="20" s="1"/>
  <c r="I146" i="20"/>
  <c r="I105" i="20" s="1"/>
  <c r="I63" i="20" s="1"/>
  <c r="I142" i="20"/>
  <c r="I101" i="20" s="1"/>
  <c r="I59" i="20" s="1"/>
  <c r="G140" i="20"/>
  <c r="G99" i="20" s="1"/>
  <c r="G57" i="20" s="1"/>
  <c r="F138" i="20"/>
  <c r="F97" i="20" s="1"/>
  <c r="F55" i="20" s="1"/>
  <c r="F136" i="20"/>
  <c r="F95" i="20" s="1"/>
  <c r="F53" i="20" s="1"/>
  <c r="F134" i="20"/>
  <c r="F93" i="20" s="1"/>
  <c r="F51" i="20" s="1"/>
  <c r="F132" i="20"/>
  <c r="F91" i="20" s="1"/>
  <c r="F49" i="20" s="1"/>
  <c r="J143" i="20"/>
  <c r="J102" i="20" s="1"/>
  <c r="J60" i="20" s="1"/>
  <c r="C213" i="20"/>
  <c r="H167" i="20"/>
  <c r="H126" i="20" s="1"/>
  <c r="H84" i="20" s="1"/>
  <c r="D167" i="20"/>
  <c r="D126" i="20" s="1"/>
  <c r="J167" i="20"/>
  <c r="J126" i="20" s="1"/>
  <c r="J84" i="20" s="1"/>
  <c r="F167" i="20"/>
  <c r="F126" i="20" s="1"/>
  <c r="F84" i="20" s="1"/>
  <c r="C204" i="20"/>
  <c r="C198" i="20"/>
  <c r="C199" i="20"/>
  <c r="J153" i="20"/>
  <c r="J112" i="20" s="1"/>
  <c r="J70" i="20" s="1"/>
  <c r="D153" i="20"/>
  <c r="D112" i="20" s="1"/>
  <c r="G153" i="20"/>
  <c r="G112" i="20" s="1"/>
  <c r="G70" i="20" s="1"/>
  <c r="I153" i="20"/>
  <c r="I112" i="20" s="1"/>
  <c r="I70" i="20" s="1"/>
  <c r="D56" i="20"/>
  <c r="J168" i="20"/>
  <c r="J127" i="20" s="1"/>
  <c r="J85" i="20" s="1"/>
  <c r="H168" i="20"/>
  <c r="H127" i="20" s="1"/>
  <c r="H85" i="20" s="1"/>
  <c r="D168" i="20"/>
  <c r="D127" i="20" s="1"/>
  <c r="I168" i="20"/>
  <c r="I127" i="20" s="1"/>
  <c r="I85" i="20" s="1"/>
  <c r="G168" i="20"/>
  <c r="G127" i="20" s="1"/>
  <c r="G85" i="20" s="1"/>
  <c r="F168" i="20"/>
  <c r="F127" i="20" s="1"/>
  <c r="F85" i="20" s="1"/>
  <c r="C125" i="20"/>
  <c r="D83" i="20"/>
  <c r="C83" i="20" s="1"/>
  <c r="C209" i="20"/>
  <c r="H163" i="20"/>
  <c r="H122" i="20" s="1"/>
  <c r="H80" i="20" s="1"/>
  <c r="D163" i="20"/>
  <c r="D122" i="20" s="1"/>
  <c r="J163" i="20"/>
  <c r="J122" i="20" s="1"/>
  <c r="J80" i="20" s="1"/>
  <c r="F163" i="20"/>
  <c r="F122" i="20" s="1"/>
  <c r="F80" i="20" s="1"/>
  <c r="C203" i="20"/>
  <c r="H157" i="20"/>
  <c r="H116" i="20" s="1"/>
  <c r="H74" i="20" s="1"/>
  <c r="D157" i="20"/>
  <c r="D116" i="20" s="1"/>
  <c r="I157" i="20"/>
  <c r="I116" i="20" s="1"/>
  <c r="I74" i="20" s="1"/>
  <c r="G157" i="20"/>
  <c r="G116" i="20" s="1"/>
  <c r="G74" i="20" s="1"/>
  <c r="F157" i="20"/>
  <c r="F116" i="20" s="1"/>
  <c r="F74" i="20" s="1"/>
  <c r="E153" i="20"/>
  <c r="E112" i="20" s="1"/>
  <c r="E70" i="20" s="1"/>
  <c r="C197" i="20"/>
  <c r="I151" i="20"/>
  <c r="I110" i="20" s="1"/>
  <c r="I68" i="20" s="1"/>
  <c r="G151" i="20"/>
  <c r="G110" i="20" s="1"/>
  <c r="G68" i="20" s="1"/>
  <c r="J151" i="20"/>
  <c r="J110" i="20" s="1"/>
  <c r="J68" i="20" s="1"/>
  <c r="H151" i="20"/>
  <c r="H110" i="20" s="1"/>
  <c r="H68" i="20" s="1"/>
  <c r="D151" i="20"/>
  <c r="D110" i="20" s="1"/>
  <c r="F151" i="20"/>
  <c r="F110" i="20" s="1"/>
  <c r="F68" i="20" s="1"/>
  <c r="J145" i="20"/>
  <c r="J104" i="20" s="1"/>
  <c r="J62" i="20" s="1"/>
  <c r="H145" i="20"/>
  <c r="H104" i="20" s="1"/>
  <c r="H62" i="20" s="1"/>
  <c r="D145" i="20"/>
  <c r="D104" i="20" s="1"/>
  <c r="C191" i="20"/>
  <c r="I145" i="20"/>
  <c r="I104" i="20" s="1"/>
  <c r="I62" i="20" s="1"/>
  <c r="F145" i="20"/>
  <c r="F104" i="20" s="1"/>
  <c r="F62" i="20" s="1"/>
  <c r="E139" i="20"/>
  <c r="E98" i="20" s="1"/>
  <c r="E56" i="20" s="1"/>
  <c r="J139" i="20"/>
  <c r="J98" i="20" s="1"/>
  <c r="J56" i="20" s="1"/>
  <c r="J137" i="20"/>
  <c r="J96" i="20" s="1"/>
  <c r="J54" i="20" s="1"/>
  <c r="H137" i="20"/>
  <c r="H96" i="20" s="1"/>
  <c r="H54" i="20" s="1"/>
  <c r="D137" i="20"/>
  <c r="D96" i="20" s="1"/>
  <c r="C183" i="20"/>
  <c r="G137" i="20"/>
  <c r="G96" i="20" s="1"/>
  <c r="G54" i="20" s="1"/>
  <c r="I137" i="20"/>
  <c r="I96" i="20" s="1"/>
  <c r="I54" i="20" s="1"/>
  <c r="F137" i="20"/>
  <c r="F96" i="20" s="1"/>
  <c r="F54" i="20" s="1"/>
  <c r="E135" i="20"/>
  <c r="E94" i="20" s="1"/>
  <c r="E52" i="20" s="1"/>
  <c r="G135" i="20"/>
  <c r="G94" i="20" s="1"/>
  <c r="G52" i="20" s="1"/>
  <c r="G134" i="20"/>
  <c r="G93" i="20" s="1"/>
  <c r="G51" i="20" s="1"/>
  <c r="I132" i="20"/>
  <c r="I91" i="20" s="1"/>
  <c r="I49" i="20" s="1"/>
  <c r="E257" i="20"/>
  <c r="E177" i="20"/>
  <c r="E215" i="20" s="1"/>
  <c r="I167" i="20"/>
  <c r="I126" i="20" s="1"/>
  <c r="I84" i="20" s="1"/>
  <c r="H164" i="20"/>
  <c r="H123" i="20" s="1"/>
  <c r="H81" i="20" s="1"/>
  <c r="C210" i="20"/>
  <c r="G163" i="20"/>
  <c r="G122" i="20" s="1"/>
  <c r="G80" i="20" s="1"/>
  <c r="J157" i="20"/>
  <c r="J116" i="20" s="1"/>
  <c r="J74" i="20" s="1"/>
  <c r="I155" i="20"/>
  <c r="I114" i="20" s="1"/>
  <c r="I72" i="20" s="1"/>
  <c r="H153" i="20"/>
  <c r="H112" i="20" s="1"/>
  <c r="H70" i="20" s="1"/>
  <c r="C192" i="20"/>
  <c r="I143" i="20"/>
  <c r="I102" i="20" s="1"/>
  <c r="I60" i="20" s="1"/>
  <c r="G139" i="20"/>
  <c r="G98" i="20" s="1"/>
  <c r="G56" i="20" s="1"/>
  <c r="C185" i="20"/>
  <c r="D135" i="20"/>
  <c r="D94" i="20" s="1"/>
  <c r="G132" i="20"/>
  <c r="G91" i="20" s="1"/>
  <c r="G49" i="20" s="1"/>
  <c r="C124" i="20"/>
  <c r="D82" i="20"/>
  <c r="C82" i="20" s="1"/>
  <c r="I164" i="20"/>
  <c r="I123" i="20" s="1"/>
  <c r="I81" i="20" s="1"/>
  <c r="I134" i="20"/>
  <c r="I93" i="20" s="1"/>
  <c r="I51" i="20" s="1"/>
  <c r="I149" i="20"/>
  <c r="I108" i="20" s="1"/>
  <c r="I66" i="20" s="1"/>
  <c r="C214" i="20"/>
  <c r="D215" i="20"/>
  <c r="C188" i="20"/>
  <c r="C184" i="20"/>
  <c r="C180" i="20"/>
  <c r="J162" i="20"/>
  <c r="J121" i="20" s="1"/>
  <c r="J79" i="20" s="1"/>
  <c r="E162" i="20"/>
  <c r="E121" i="20" s="1"/>
  <c r="E79" i="20" s="1"/>
  <c r="F162" i="20"/>
  <c r="F121" i="20" s="1"/>
  <c r="F79" i="20" s="1"/>
  <c r="H160" i="20"/>
  <c r="H119" i="20" s="1"/>
  <c r="H77" i="20" s="1"/>
  <c r="D160" i="20"/>
  <c r="D119" i="20" s="1"/>
  <c r="D77" i="20" s="1"/>
  <c r="G160" i="20"/>
  <c r="G119" i="20" s="1"/>
  <c r="G77" i="20" s="1"/>
  <c r="J158" i="20"/>
  <c r="J117" i="20" s="1"/>
  <c r="J75" i="20" s="1"/>
  <c r="F158" i="20"/>
  <c r="F117" i="20" s="1"/>
  <c r="F75" i="20" s="1"/>
  <c r="I158" i="20"/>
  <c r="I117" i="20" s="1"/>
  <c r="I75" i="20" s="1"/>
  <c r="H156" i="20"/>
  <c r="H115" i="20" s="1"/>
  <c r="H73" i="20" s="1"/>
  <c r="D156" i="20"/>
  <c r="D115" i="20" s="1"/>
  <c r="D73" i="20" s="1"/>
  <c r="G156" i="20"/>
  <c r="G115" i="20" s="1"/>
  <c r="G73" i="20" s="1"/>
  <c r="J154" i="20"/>
  <c r="J113" i="20" s="1"/>
  <c r="J71" i="20" s="1"/>
  <c r="E154" i="20"/>
  <c r="E113" i="20" s="1"/>
  <c r="E71" i="20" s="1"/>
  <c r="I154" i="20"/>
  <c r="I113" i="20" s="1"/>
  <c r="I71" i="20" s="1"/>
  <c r="H152" i="20"/>
  <c r="H111" i="20" s="1"/>
  <c r="H69" i="20" s="1"/>
  <c r="D152" i="20"/>
  <c r="D111" i="20" s="1"/>
  <c r="D69" i="20" s="1"/>
  <c r="J150" i="20"/>
  <c r="J109" i="20" s="1"/>
  <c r="J67" i="20" s="1"/>
  <c r="E150" i="20"/>
  <c r="E109" i="20" s="1"/>
  <c r="E67" i="20" s="1"/>
  <c r="F150" i="20"/>
  <c r="F109" i="20" s="1"/>
  <c r="F67" i="20" s="1"/>
  <c r="H148" i="20"/>
  <c r="H107" i="20" s="1"/>
  <c r="H65" i="20" s="1"/>
  <c r="D148" i="20"/>
  <c r="D107" i="20" s="1"/>
  <c r="D65" i="20" s="1"/>
  <c r="J146" i="20"/>
  <c r="J105" i="20" s="1"/>
  <c r="J63" i="20" s="1"/>
  <c r="E146" i="20"/>
  <c r="E105" i="20" s="1"/>
  <c r="E63" i="20" s="1"/>
  <c r="F146" i="20"/>
  <c r="F105" i="20" s="1"/>
  <c r="F63" i="20" s="1"/>
  <c r="J142" i="20"/>
  <c r="J101" i="20" s="1"/>
  <c r="J59" i="20" s="1"/>
  <c r="E142" i="20"/>
  <c r="E101" i="20" s="1"/>
  <c r="E59" i="20" s="1"/>
  <c r="F142" i="20"/>
  <c r="F101" i="20" s="1"/>
  <c r="F59" i="20" s="1"/>
  <c r="H140" i="20"/>
  <c r="H99" i="20" s="1"/>
  <c r="H57" i="20" s="1"/>
  <c r="D140" i="20"/>
  <c r="D99" i="20" s="1"/>
  <c r="D57" i="20" s="1"/>
  <c r="J138" i="20"/>
  <c r="J97" i="20" s="1"/>
  <c r="J55" i="20" s="1"/>
  <c r="E138" i="20"/>
  <c r="E97" i="20" s="1"/>
  <c r="E55" i="20" s="1"/>
  <c r="E167" i="20"/>
  <c r="E126" i="20" s="1"/>
  <c r="E84" i="20" s="1"/>
  <c r="E164" i="20"/>
  <c r="E123" i="20" s="1"/>
  <c r="E81" i="20" s="1"/>
  <c r="G164" i="20"/>
  <c r="G123" i="20" s="1"/>
  <c r="G81" i="20" s="1"/>
  <c r="C208" i="20"/>
  <c r="D138" i="20"/>
  <c r="D97" i="20" s="1"/>
  <c r="D55" i="20" s="1"/>
  <c r="G138" i="20"/>
  <c r="G97" i="20" s="1"/>
  <c r="G55" i="20" s="1"/>
  <c r="E136" i="20"/>
  <c r="E95" i="20" s="1"/>
  <c r="E53" i="20" s="1"/>
  <c r="J136" i="20"/>
  <c r="J95" i="20" s="1"/>
  <c r="J53" i="20" s="1"/>
  <c r="H136" i="20"/>
  <c r="H95" i="20" s="1"/>
  <c r="H53" i="20" s="1"/>
  <c r="D136" i="20"/>
  <c r="D95" i="20" s="1"/>
  <c r="E134" i="20"/>
  <c r="E93" i="20" s="1"/>
  <c r="E51" i="20" s="1"/>
  <c r="H134" i="20"/>
  <c r="H93" i="20" s="1"/>
  <c r="H51" i="20" s="1"/>
  <c r="D134" i="20"/>
  <c r="D93" i="20" s="1"/>
  <c r="J134" i="20"/>
  <c r="J93" i="20" s="1"/>
  <c r="J51" i="20" s="1"/>
  <c r="E132" i="20"/>
  <c r="E91" i="20" s="1"/>
  <c r="E49" i="20" s="1"/>
  <c r="J132" i="20"/>
  <c r="J91" i="20" s="1"/>
  <c r="J49" i="20" s="1"/>
  <c r="H132" i="20"/>
  <c r="H91" i="20" s="1"/>
  <c r="H49" i="20" s="1"/>
  <c r="D132" i="20"/>
  <c r="D91" i="20" s="1"/>
  <c r="C207" i="20"/>
  <c r="J161" i="20"/>
  <c r="J120" i="20" s="1"/>
  <c r="J78" i="20" s="1"/>
  <c r="D161" i="20"/>
  <c r="D120" i="20" s="1"/>
  <c r="G161" i="20"/>
  <c r="G120" i="20" s="1"/>
  <c r="G78" i="20" s="1"/>
  <c r="I161" i="20"/>
  <c r="I120" i="20" s="1"/>
  <c r="I78" i="20" s="1"/>
  <c r="C193" i="20"/>
  <c r="I147" i="20"/>
  <c r="I106" i="20" s="1"/>
  <c r="I64" i="20" s="1"/>
  <c r="G147" i="20"/>
  <c r="G106" i="20" s="1"/>
  <c r="G64" i="20" s="1"/>
  <c r="D147" i="20"/>
  <c r="D106" i="20" s="1"/>
  <c r="J147" i="20"/>
  <c r="J106" i="20" s="1"/>
  <c r="J64" i="20" s="1"/>
  <c r="H135" i="20"/>
  <c r="H94" i="20" s="1"/>
  <c r="H52" i="20" s="1"/>
  <c r="H139" i="20"/>
  <c r="H98" i="20" s="1"/>
  <c r="H56" i="20" s="1"/>
  <c r="I135" i="20"/>
  <c r="I94" i="20" s="1"/>
  <c r="I52" i="20" s="1"/>
  <c r="E168" i="20"/>
  <c r="E127" i="20" s="1"/>
  <c r="E85" i="20" s="1"/>
  <c r="G167" i="20"/>
  <c r="G126" i="20" s="1"/>
  <c r="G84" i="20" s="1"/>
  <c r="E163" i="20"/>
  <c r="E122" i="20" s="1"/>
  <c r="E80" i="20" s="1"/>
  <c r="E161" i="20"/>
  <c r="E120" i="20" s="1"/>
  <c r="E78" i="20" s="1"/>
  <c r="C205" i="20"/>
  <c r="I159" i="20"/>
  <c r="I118" i="20" s="1"/>
  <c r="I76" i="20" s="1"/>
  <c r="G159" i="20"/>
  <c r="G118" i="20" s="1"/>
  <c r="G76" i="20" s="1"/>
  <c r="J159" i="20"/>
  <c r="J118" i="20" s="1"/>
  <c r="J76" i="20" s="1"/>
  <c r="H159" i="20"/>
  <c r="H118" i="20" s="1"/>
  <c r="H76" i="20" s="1"/>
  <c r="D159" i="20"/>
  <c r="D118" i="20" s="1"/>
  <c r="F159" i="20"/>
  <c r="F118" i="20" s="1"/>
  <c r="F76" i="20" s="1"/>
  <c r="E157" i="20"/>
  <c r="E116" i="20" s="1"/>
  <c r="E74" i="20" s="1"/>
  <c r="C201" i="20"/>
  <c r="H155" i="20"/>
  <c r="H114" i="20" s="1"/>
  <c r="H72" i="20" s="1"/>
  <c r="D155" i="20"/>
  <c r="D114" i="20" s="1"/>
  <c r="J155" i="20"/>
  <c r="J114" i="20" s="1"/>
  <c r="J72" i="20" s="1"/>
  <c r="F155" i="20"/>
  <c r="F114" i="20" s="1"/>
  <c r="F72" i="20" s="1"/>
  <c r="F153" i="20"/>
  <c r="F112" i="20" s="1"/>
  <c r="F70" i="20" s="1"/>
  <c r="E151" i="20"/>
  <c r="E110" i="20" s="1"/>
  <c r="E68" i="20" s="1"/>
  <c r="J149" i="20"/>
  <c r="J108" i="20" s="1"/>
  <c r="J66" i="20" s="1"/>
  <c r="H149" i="20"/>
  <c r="H108" i="20" s="1"/>
  <c r="H66" i="20" s="1"/>
  <c r="D149" i="20"/>
  <c r="D108" i="20" s="1"/>
  <c r="C195" i="20"/>
  <c r="G149" i="20"/>
  <c r="G108" i="20" s="1"/>
  <c r="G66" i="20" s="1"/>
  <c r="F149" i="20"/>
  <c r="F108" i="20" s="1"/>
  <c r="F66" i="20" s="1"/>
  <c r="F147" i="20"/>
  <c r="F106" i="20" s="1"/>
  <c r="F64" i="20" s="1"/>
  <c r="E145" i="20"/>
  <c r="E104" i="20" s="1"/>
  <c r="E62" i="20" s="1"/>
  <c r="E143" i="20"/>
  <c r="E102" i="20" s="1"/>
  <c r="E60" i="20" s="1"/>
  <c r="H143" i="20"/>
  <c r="H102" i="20" s="1"/>
  <c r="H60" i="20" s="1"/>
  <c r="D143" i="20"/>
  <c r="D102" i="20" s="1"/>
  <c r="J141" i="20"/>
  <c r="J100" i="20" s="1"/>
  <c r="J58" i="20" s="1"/>
  <c r="H141" i="20"/>
  <c r="H100" i="20" s="1"/>
  <c r="H58" i="20" s="1"/>
  <c r="D141" i="20"/>
  <c r="D100" i="20" s="1"/>
  <c r="C187" i="20"/>
  <c r="I141" i="20"/>
  <c r="I100" i="20" s="1"/>
  <c r="I58" i="20" s="1"/>
  <c r="G141" i="20"/>
  <c r="G100" i="20" s="1"/>
  <c r="G58" i="20" s="1"/>
  <c r="F141" i="20"/>
  <c r="F100" i="20" s="1"/>
  <c r="F58" i="20" s="1"/>
  <c r="F139" i="20"/>
  <c r="F98" i="20" s="1"/>
  <c r="F56" i="20" s="1"/>
  <c r="E137" i="20"/>
  <c r="E96" i="20" s="1"/>
  <c r="E54" i="20" s="1"/>
  <c r="I136" i="20"/>
  <c r="I95" i="20" s="1"/>
  <c r="I53" i="20" s="1"/>
  <c r="F135" i="20"/>
  <c r="F94" i="20" s="1"/>
  <c r="F52" i="20" s="1"/>
  <c r="J133" i="20"/>
  <c r="J92" i="20" s="1"/>
  <c r="J50" i="20" s="1"/>
  <c r="H133" i="20"/>
  <c r="H92" i="20" s="1"/>
  <c r="H50" i="20" s="1"/>
  <c r="D133" i="20"/>
  <c r="D92" i="20" s="1"/>
  <c r="C179" i="20"/>
  <c r="G133" i="20"/>
  <c r="G92" i="20" s="1"/>
  <c r="G50" i="20" s="1"/>
  <c r="I133" i="20"/>
  <c r="I92" i="20" s="1"/>
  <c r="I50" i="20" s="1"/>
  <c r="F133" i="20"/>
  <c r="F92" i="20" s="1"/>
  <c r="F50" i="20" s="1"/>
  <c r="D164" i="20"/>
  <c r="D123" i="20" s="1"/>
  <c r="J164" i="20"/>
  <c r="J123" i="20" s="1"/>
  <c r="J81" i="20" s="1"/>
  <c r="I163" i="20"/>
  <c r="I122" i="20" s="1"/>
  <c r="I80" i="20" s="1"/>
  <c r="H161" i="20"/>
  <c r="H120" i="20" s="1"/>
  <c r="H78" i="20" s="1"/>
  <c r="G155" i="20"/>
  <c r="G114" i="20" s="1"/>
  <c r="G72" i="20" s="1"/>
  <c r="G143" i="20"/>
  <c r="G102" i="20" s="1"/>
  <c r="G60" i="20" s="1"/>
  <c r="C189" i="20"/>
  <c r="I139" i="20"/>
  <c r="I98" i="20" s="1"/>
  <c r="I56" i="20" s="1"/>
  <c r="G136" i="20"/>
  <c r="G95" i="20" s="1"/>
  <c r="G53" i="20" s="1"/>
  <c r="C181" i="20"/>
  <c r="I138" i="20"/>
  <c r="I97" i="20" s="1"/>
  <c r="I55" i="20" s="1"/>
  <c r="G145" i="20"/>
  <c r="G104" i="20" s="1"/>
  <c r="G62" i="20" s="1"/>
  <c r="H147" i="20"/>
  <c r="H106" i="20" s="1"/>
  <c r="H64" i="20" s="1"/>
  <c r="F257" i="20"/>
  <c r="F177" i="20"/>
  <c r="D79" i="20"/>
  <c r="D75" i="20"/>
  <c r="D71" i="20"/>
  <c r="D63" i="20"/>
  <c r="D61" i="20"/>
  <c r="D59" i="20"/>
  <c r="D154" i="19"/>
  <c r="D113" i="19" s="1"/>
  <c r="J154" i="19"/>
  <c r="J113" i="19" s="1"/>
  <c r="J71" i="19" s="1"/>
  <c r="F154" i="19"/>
  <c r="F113" i="19" s="1"/>
  <c r="F71" i="19" s="1"/>
  <c r="D190" i="19"/>
  <c r="D191" i="19"/>
  <c r="E234" i="19"/>
  <c r="E192" i="19" s="1"/>
  <c r="H146" i="19" s="1"/>
  <c r="H105" i="19" s="1"/>
  <c r="H63" i="19" s="1"/>
  <c r="H154" i="19"/>
  <c r="H113" i="19" s="1"/>
  <c r="H71" i="19" s="1"/>
  <c r="E232" i="19"/>
  <c r="E190" i="19" s="1"/>
  <c r="F146" i="19"/>
  <c r="F105" i="19" s="1"/>
  <c r="F63" i="19" s="1"/>
  <c r="E238" i="19"/>
  <c r="E196" i="19" s="1"/>
  <c r="D150" i="19" s="1"/>
  <c r="D109" i="19" s="1"/>
  <c r="D67" i="19" s="1"/>
  <c r="F235" i="19"/>
  <c r="F193" i="19" s="1"/>
  <c r="D193" i="19"/>
  <c r="F236" i="19"/>
  <c r="F194" i="19" s="1"/>
  <c r="E236" i="19"/>
  <c r="E194" i="19" s="1"/>
  <c r="F243" i="19"/>
  <c r="F201" i="19" s="1"/>
  <c r="D201" i="19"/>
  <c r="F244" i="19"/>
  <c r="F202" i="19" s="1"/>
  <c r="E244" i="19"/>
  <c r="E202" i="19" s="1"/>
  <c r="F246" i="19"/>
  <c r="F204" i="19" s="1"/>
  <c r="D204" i="19"/>
  <c r="F248" i="19"/>
  <c r="F206" i="19" s="1"/>
  <c r="E248" i="19"/>
  <c r="E206" i="19" s="1"/>
  <c r="F251" i="19"/>
  <c r="F209" i="19" s="1"/>
  <c r="D209" i="19"/>
  <c r="F252" i="19"/>
  <c r="F210" i="19" s="1"/>
  <c r="D210" i="19"/>
  <c r="F255" i="19"/>
  <c r="F213" i="19" s="1"/>
  <c r="D213" i="19"/>
  <c r="F256" i="19"/>
  <c r="F214" i="19" s="1"/>
  <c r="D214" i="19"/>
  <c r="E246" i="19"/>
  <c r="E204" i="19" s="1"/>
  <c r="D194" i="19"/>
  <c r="I148" i="19" s="1"/>
  <c r="I107" i="19" s="1"/>
  <c r="I65" i="19" s="1"/>
  <c r="D202" i="19"/>
  <c r="D206" i="19"/>
  <c r="G160" i="19" s="1"/>
  <c r="G119" i="19" s="1"/>
  <c r="G77" i="19" s="1"/>
  <c r="D207" i="19"/>
  <c r="D208" i="19"/>
  <c r="D211" i="19"/>
  <c r="D212" i="19"/>
  <c r="E223" i="19"/>
  <c r="E181" i="19" s="1"/>
  <c r="D181" i="19"/>
  <c r="E224" i="19"/>
  <c r="E182" i="19" s="1"/>
  <c r="D182" i="19"/>
  <c r="E225" i="19"/>
  <c r="E183" i="19" s="1"/>
  <c r="D183" i="19"/>
  <c r="E226" i="19"/>
  <c r="E184" i="19" s="1"/>
  <c r="D184" i="19"/>
  <c r="E227" i="19"/>
  <c r="E185" i="19" s="1"/>
  <c r="D185" i="19"/>
  <c r="E228" i="19"/>
  <c r="E186" i="19" s="1"/>
  <c r="D186" i="19"/>
  <c r="E229" i="19"/>
  <c r="E187" i="19" s="1"/>
  <c r="D187" i="19"/>
  <c r="E230" i="19"/>
  <c r="E188" i="19" s="1"/>
  <c r="D188" i="19"/>
  <c r="F231" i="19"/>
  <c r="F189" i="19" s="1"/>
  <c r="D189" i="19"/>
  <c r="F239" i="19"/>
  <c r="F197" i="19" s="1"/>
  <c r="D197" i="19"/>
  <c r="F240" i="19"/>
  <c r="F198" i="19" s="1"/>
  <c r="E240" i="19"/>
  <c r="E198" i="19" s="1"/>
  <c r="C200" i="19"/>
  <c r="G257" i="19"/>
  <c r="I257" i="19"/>
  <c r="K257" i="19"/>
  <c r="I215" i="19"/>
  <c r="K215" i="19"/>
  <c r="K146" i="19"/>
  <c r="K105" i="19" s="1"/>
  <c r="K63" i="19" s="1"/>
  <c r="K154" i="19"/>
  <c r="K113" i="19" s="1"/>
  <c r="K71" i="19" s="1"/>
  <c r="D203" i="19"/>
  <c r="D205" i="19"/>
  <c r="D257" i="19"/>
  <c r="R43" i="19" s="1"/>
  <c r="H257" i="19"/>
  <c r="J257" i="19"/>
  <c r="E233" i="19"/>
  <c r="E191" i="19" s="1"/>
  <c r="E235" i="19"/>
  <c r="E193" i="19" s="1"/>
  <c r="E237" i="19"/>
  <c r="E195" i="19" s="1"/>
  <c r="J149" i="19" s="1"/>
  <c r="J108" i="19" s="1"/>
  <c r="J66" i="19" s="1"/>
  <c r="E239" i="19"/>
  <c r="E197" i="19" s="1"/>
  <c r="E241" i="19"/>
  <c r="E199" i="19" s="1"/>
  <c r="K153" i="19" s="1"/>
  <c r="K112" i="19" s="1"/>
  <c r="K70" i="19" s="1"/>
  <c r="E243" i="19"/>
  <c r="E201" i="19" s="1"/>
  <c r="E245" i="19"/>
  <c r="E203" i="19" s="1"/>
  <c r="D157" i="19" s="1"/>
  <c r="D116" i="19" s="1"/>
  <c r="D74" i="19" s="1"/>
  <c r="E247" i="19"/>
  <c r="E205" i="19" s="1"/>
  <c r="E249" i="19"/>
  <c r="E207" i="19" s="1"/>
  <c r="D161" i="19" s="1"/>
  <c r="D120" i="19" s="1"/>
  <c r="D78" i="19" s="1"/>
  <c r="J215" i="19"/>
  <c r="E145" i="19"/>
  <c r="E104" i="19" s="1"/>
  <c r="E62" i="19" s="1"/>
  <c r="E146" i="19"/>
  <c r="E105" i="19" s="1"/>
  <c r="E63" i="19" s="1"/>
  <c r="G146" i="19"/>
  <c r="G105" i="19" s="1"/>
  <c r="G63" i="19" s="1"/>
  <c r="I146" i="19"/>
  <c r="I105" i="19" s="1"/>
  <c r="I63" i="19" s="1"/>
  <c r="E153" i="19"/>
  <c r="E112" i="19" s="1"/>
  <c r="E70" i="19" s="1"/>
  <c r="E154" i="19"/>
  <c r="E113" i="19" s="1"/>
  <c r="E71" i="19" s="1"/>
  <c r="G154" i="19"/>
  <c r="G113" i="19" s="1"/>
  <c r="G71" i="19" s="1"/>
  <c r="I154" i="19"/>
  <c r="I113" i="19" s="1"/>
  <c r="I71" i="19" s="1"/>
  <c r="H215" i="19"/>
  <c r="C192" i="19"/>
  <c r="D71" i="19"/>
  <c r="D152" i="19"/>
  <c r="D111" i="19" s="1"/>
  <c r="D69" i="19" s="1"/>
  <c r="G215" i="19"/>
  <c r="G155" i="19"/>
  <c r="G114" i="19" s="1"/>
  <c r="G72" i="19" s="1"/>
  <c r="I144" i="19"/>
  <c r="I103" i="19" s="1"/>
  <c r="I61" i="19" s="1"/>
  <c r="F219" i="19"/>
  <c r="F220" i="19"/>
  <c r="F178" i="19" s="1"/>
  <c r="F221" i="19"/>
  <c r="F179" i="19" s="1"/>
  <c r="C179" i="19" s="1"/>
  <c r="F222" i="19"/>
  <c r="F180" i="19" s="1"/>
  <c r="C180" i="19" s="1"/>
  <c r="F223" i="19"/>
  <c r="F181" i="19" s="1"/>
  <c r="F224" i="19"/>
  <c r="F182" i="19" s="1"/>
  <c r="F225" i="19"/>
  <c r="F183" i="19" s="1"/>
  <c r="F226" i="19"/>
  <c r="F184" i="19" s="1"/>
  <c r="F227" i="19"/>
  <c r="F185" i="19" s="1"/>
  <c r="F228" i="19"/>
  <c r="F186" i="19" s="1"/>
  <c r="F229" i="19"/>
  <c r="F187" i="19" s="1"/>
  <c r="F230" i="19"/>
  <c r="F188" i="19" s="1"/>
  <c r="E219" i="19"/>
  <c r="E231" i="19"/>
  <c r="E189" i="19" s="1"/>
  <c r="E250" i="19"/>
  <c r="E208" i="19" s="1"/>
  <c r="E251" i="19"/>
  <c r="E209" i="19" s="1"/>
  <c r="E252" i="19"/>
  <c r="E210" i="19" s="1"/>
  <c r="E253" i="19"/>
  <c r="E211" i="19" s="1"/>
  <c r="E254" i="19"/>
  <c r="E212" i="19" s="1"/>
  <c r="E255" i="19"/>
  <c r="E213" i="19" s="1"/>
  <c r="E256" i="19"/>
  <c r="E214" i="19" s="1"/>
  <c r="C103" i="20" l="1"/>
  <c r="C105" i="20"/>
  <c r="C119" i="20"/>
  <c r="C117" i="20"/>
  <c r="C113" i="20"/>
  <c r="C97" i="20"/>
  <c r="C55" i="20"/>
  <c r="C111" i="20"/>
  <c r="C115" i="20"/>
  <c r="C106" i="20"/>
  <c r="D64" i="20"/>
  <c r="C64" i="20" s="1"/>
  <c r="C93" i="20"/>
  <c r="D51" i="20"/>
  <c r="C51" i="20" s="1"/>
  <c r="C116" i="20"/>
  <c r="D74" i="20"/>
  <c r="C74" i="20" s="1"/>
  <c r="C56" i="20"/>
  <c r="C112" i="20"/>
  <c r="D70" i="20"/>
  <c r="C70" i="20" s="1"/>
  <c r="C92" i="20"/>
  <c r="D50" i="20"/>
  <c r="C50" i="20" s="1"/>
  <c r="C102" i="20"/>
  <c r="D60" i="20"/>
  <c r="C60" i="20" s="1"/>
  <c r="C108" i="20"/>
  <c r="D66" i="20"/>
  <c r="C66" i="20" s="1"/>
  <c r="C118" i="20"/>
  <c r="D76" i="20"/>
  <c r="C76" i="20" s="1"/>
  <c r="C120" i="20"/>
  <c r="D78" i="20"/>
  <c r="C78" i="20" s="1"/>
  <c r="D52" i="20"/>
  <c r="C52" i="20" s="1"/>
  <c r="C94" i="20"/>
  <c r="C96" i="20"/>
  <c r="D54" i="20"/>
  <c r="C54" i="20" s="1"/>
  <c r="C104" i="20"/>
  <c r="D62" i="20"/>
  <c r="C62" i="20" s="1"/>
  <c r="C110" i="20"/>
  <c r="D68" i="20"/>
  <c r="C68" i="20" s="1"/>
  <c r="C99" i="20"/>
  <c r="C101" i="20"/>
  <c r="C107" i="20"/>
  <c r="C109" i="20"/>
  <c r="C121" i="20"/>
  <c r="C123" i="20"/>
  <c r="D81" i="20"/>
  <c r="C81" i="20" s="1"/>
  <c r="C100" i="20"/>
  <c r="D58" i="20"/>
  <c r="C58" i="20" s="1"/>
  <c r="C114" i="20"/>
  <c r="D72" i="20"/>
  <c r="C72" i="20" s="1"/>
  <c r="C91" i="20"/>
  <c r="D49" i="20"/>
  <c r="C49" i="20" s="1"/>
  <c r="C95" i="20"/>
  <c r="D53" i="20"/>
  <c r="C53" i="20" s="1"/>
  <c r="C122" i="20"/>
  <c r="D80" i="20"/>
  <c r="C80" i="20" s="1"/>
  <c r="C127" i="20"/>
  <c r="D85" i="20"/>
  <c r="C85" i="20" s="1"/>
  <c r="C98" i="20"/>
  <c r="C126" i="20"/>
  <c r="D84" i="20"/>
  <c r="C84" i="20" s="1"/>
  <c r="C57" i="20"/>
  <c r="C61" i="20"/>
  <c r="C65" i="20"/>
  <c r="C69" i="20"/>
  <c r="C73" i="20"/>
  <c r="C77" i="20"/>
  <c r="C59" i="20"/>
  <c r="C63" i="20"/>
  <c r="C67" i="20"/>
  <c r="C71" i="20"/>
  <c r="C75" i="20"/>
  <c r="C79" i="20"/>
  <c r="F215" i="20"/>
  <c r="C177" i="20"/>
  <c r="C215" i="20" s="1"/>
  <c r="J131" i="20"/>
  <c r="J90" i="20" s="1"/>
  <c r="J48" i="20" s="1"/>
  <c r="H131" i="20"/>
  <c r="H90" i="20" s="1"/>
  <c r="H48" i="20" s="1"/>
  <c r="E131" i="20"/>
  <c r="E90" i="20" s="1"/>
  <c r="E48" i="20" s="1"/>
  <c r="I131" i="20"/>
  <c r="I90" i="20" s="1"/>
  <c r="I48" i="20" s="1"/>
  <c r="G131" i="20"/>
  <c r="G90" i="20" s="1"/>
  <c r="G48" i="20" s="1"/>
  <c r="F131" i="20"/>
  <c r="F90" i="20" s="1"/>
  <c r="F48" i="20" s="1"/>
  <c r="D131" i="20"/>
  <c r="D90" i="20" s="1"/>
  <c r="F151" i="19"/>
  <c r="F110" i="19" s="1"/>
  <c r="F68" i="19" s="1"/>
  <c r="D158" i="19"/>
  <c r="D117" i="19" s="1"/>
  <c r="D75" i="19" s="1"/>
  <c r="J156" i="19"/>
  <c r="J115" i="19" s="1"/>
  <c r="J73" i="19" s="1"/>
  <c r="K155" i="19"/>
  <c r="K114" i="19" s="1"/>
  <c r="K72" i="19" s="1"/>
  <c r="G147" i="19"/>
  <c r="G106" i="19" s="1"/>
  <c r="G64" i="19" s="1"/>
  <c r="J146" i="19"/>
  <c r="J105" i="19" s="1"/>
  <c r="J63" i="19" s="1"/>
  <c r="D146" i="19"/>
  <c r="D105" i="19" s="1"/>
  <c r="D63" i="19" s="1"/>
  <c r="C191" i="19"/>
  <c r="C204" i="19"/>
  <c r="G149" i="19"/>
  <c r="G108" i="19" s="1"/>
  <c r="G66" i="19" s="1"/>
  <c r="E148" i="19"/>
  <c r="E107" i="19" s="1"/>
  <c r="E65" i="19" s="1"/>
  <c r="I151" i="19"/>
  <c r="I110" i="19" s="1"/>
  <c r="I68" i="19" s="1"/>
  <c r="H156" i="19"/>
  <c r="H115" i="19" s="1"/>
  <c r="H73" i="19" s="1"/>
  <c r="K160" i="19"/>
  <c r="K119" i="19" s="1"/>
  <c r="K77" i="19" s="1"/>
  <c r="C194" i="19"/>
  <c r="H161" i="19"/>
  <c r="H120" i="19" s="1"/>
  <c r="H78" i="19" s="1"/>
  <c r="I150" i="19"/>
  <c r="I109" i="19" s="1"/>
  <c r="I67" i="19" s="1"/>
  <c r="K149" i="19"/>
  <c r="K108" i="19" s="1"/>
  <c r="K66" i="19" s="1"/>
  <c r="C195" i="19"/>
  <c r="E157" i="19"/>
  <c r="E116" i="19" s="1"/>
  <c r="E74" i="19" s="1"/>
  <c r="I153" i="19"/>
  <c r="I112" i="19" s="1"/>
  <c r="I70" i="19" s="1"/>
  <c r="G145" i="19"/>
  <c r="G104" i="19" s="1"/>
  <c r="G62" i="19" s="1"/>
  <c r="E158" i="19"/>
  <c r="E117" i="19" s="1"/>
  <c r="E75" i="19" s="1"/>
  <c r="K152" i="19"/>
  <c r="K111" i="19" s="1"/>
  <c r="K69" i="19" s="1"/>
  <c r="E144" i="19"/>
  <c r="E103" i="19" s="1"/>
  <c r="E61" i="19" s="1"/>
  <c r="C190" i="19"/>
  <c r="H148" i="19"/>
  <c r="H107" i="19" s="1"/>
  <c r="H65" i="19" s="1"/>
  <c r="I156" i="19"/>
  <c r="I115" i="19" s="1"/>
  <c r="I73" i="19" s="1"/>
  <c r="K147" i="19"/>
  <c r="K106" i="19" s="1"/>
  <c r="K64" i="19" s="1"/>
  <c r="E150" i="19"/>
  <c r="E109" i="19" s="1"/>
  <c r="E67" i="19" s="1"/>
  <c r="E149" i="19"/>
  <c r="E108" i="19" s="1"/>
  <c r="E66" i="19" s="1"/>
  <c r="I149" i="19"/>
  <c r="I108" i="19" s="1"/>
  <c r="I66" i="19" s="1"/>
  <c r="F144" i="19"/>
  <c r="F103" i="19" s="1"/>
  <c r="F61" i="19" s="1"/>
  <c r="C199" i="19"/>
  <c r="G153" i="19"/>
  <c r="G112" i="19" s="1"/>
  <c r="G70" i="19" s="1"/>
  <c r="D149" i="19"/>
  <c r="D108" i="19" s="1"/>
  <c r="D66" i="19" s="1"/>
  <c r="I145" i="19"/>
  <c r="I104" i="19" s="1"/>
  <c r="I62" i="19" s="1"/>
  <c r="E159" i="19"/>
  <c r="E118" i="19" s="1"/>
  <c r="E76" i="19" s="1"/>
  <c r="F155" i="19"/>
  <c r="F114" i="19" s="1"/>
  <c r="F72" i="19" s="1"/>
  <c r="D151" i="19"/>
  <c r="D110" i="19" s="1"/>
  <c r="D68" i="19" s="1"/>
  <c r="F147" i="19"/>
  <c r="F106" i="19" s="1"/>
  <c r="F64" i="19" s="1"/>
  <c r="H157" i="19"/>
  <c r="H116" i="19" s="1"/>
  <c r="H74" i="19" s="1"/>
  <c r="H152" i="19"/>
  <c r="H111" i="19" s="1"/>
  <c r="H69" i="19" s="1"/>
  <c r="H158" i="19"/>
  <c r="H117" i="19" s="1"/>
  <c r="H75" i="19" s="1"/>
  <c r="F141" i="19"/>
  <c r="F100" i="19" s="1"/>
  <c r="F58" i="19" s="1"/>
  <c r="F139" i="19"/>
  <c r="F98" i="19" s="1"/>
  <c r="F56" i="19" s="1"/>
  <c r="F137" i="19"/>
  <c r="F96" i="19" s="1"/>
  <c r="F54" i="19" s="1"/>
  <c r="I158" i="19"/>
  <c r="I117" i="19" s="1"/>
  <c r="I75" i="19" s="1"/>
  <c r="G152" i="19"/>
  <c r="G111" i="19" s="1"/>
  <c r="G69" i="19" s="1"/>
  <c r="E151" i="19"/>
  <c r="E110" i="19" s="1"/>
  <c r="E68" i="19" s="1"/>
  <c r="C197" i="19"/>
  <c r="G144" i="19"/>
  <c r="G103" i="19" s="1"/>
  <c r="G61" i="19" s="1"/>
  <c r="K144" i="19"/>
  <c r="K103" i="19" s="1"/>
  <c r="K61" i="19" s="1"/>
  <c r="H160" i="19"/>
  <c r="H119" i="19" s="1"/>
  <c r="H77" i="19" s="1"/>
  <c r="J155" i="19"/>
  <c r="J114" i="19" s="1"/>
  <c r="J72" i="19" s="1"/>
  <c r="J147" i="19"/>
  <c r="J106" i="19" s="1"/>
  <c r="J64" i="19" s="1"/>
  <c r="E156" i="19"/>
  <c r="E115" i="19" s="1"/>
  <c r="C202" i="19"/>
  <c r="C196" i="19"/>
  <c r="G150" i="19"/>
  <c r="G109" i="19" s="1"/>
  <c r="G67" i="19" s="1"/>
  <c r="K150" i="19"/>
  <c r="K109" i="19" s="1"/>
  <c r="K67" i="19" s="1"/>
  <c r="H144" i="19"/>
  <c r="H103" i="19" s="1"/>
  <c r="H61" i="19" s="1"/>
  <c r="C205" i="19"/>
  <c r="G159" i="19"/>
  <c r="G118" i="19" s="1"/>
  <c r="G76" i="19" s="1"/>
  <c r="F150" i="19"/>
  <c r="F109" i="19" s="1"/>
  <c r="F67" i="19" s="1"/>
  <c r="D144" i="19"/>
  <c r="D103" i="19" s="1"/>
  <c r="D61" i="19" s="1"/>
  <c r="K145" i="19"/>
  <c r="K104" i="19" s="1"/>
  <c r="K62" i="19" s="1"/>
  <c r="H150" i="19"/>
  <c r="H109" i="19" s="1"/>
  <c r="H67" i="19" s="1"/>
  <c r="J144" i="19"/>
  <c r="J103" i="19" s="1"/>
  <c r="J61" i="19" s="1"/>
  <c r="F152" i="19"/>
  <c r="F111" i="19" s="1"/>
  <c r="F69" i="19" s="1"/>
  <c r="J158" i="19"/>
  <c r="J117" i="19" s="1"/>
  <c r="J75" i="19" s="1"/>
  <c r="K157" i="19"/>
  <c r="K116" i="19" s="1"/>
  <c r="K74" i="19" s="1"/>
  <c r="E161" i="19"/>
  <c r="E120" i="19" s="1"/>
  <c r="E78" i="19" s="1"/>
  <c r="D156" i="19"/>
  <c r="D115" i="19" s="1"/>
  <c r="D73" i="19" s="1"/>
  <c r="J160" i="19"/>
  <c r="J119" i="19" s="1"/>
  <c r="J77" i="19" s="1"/>
  <c r="F156" i="19"/>
  <c r="F115" i="19" s="1"/>
  <c r="F73" i="19" s="1"/>
  <c r="K148" i="19"/>
  <c r="K107" i="19" s="1"/>
  <c r="K65" i="19" s="1"/>
  <c r="J150" i="19"/>
  <c r="J109" i="19" s="1"/>
  <c r="J67" i="19" s="1"/>
  <c r="F158" i="19"/>
  <c r="F117" i="19" s="1"/>
  <c r="F75" i="19" s="1"/>
  <c r="C189" i="19"/>
  <c r="F142" i="19"/>
  <c r="F101" i="19" s="1"/>
  <c r="F59" i="19" s="1"/>
  <c r="F140" i="19"/>
  <c r="F99" i="19" s="1"/>
  <c r="F57" i="19" s="1"/>
  <c r="F138" i="19"/>
  <c r="F97" i="19" s="1"/>
  <c r="F55" i="19" s="1"/>
  <c r="F136" i="19"/>
  <c r="F95" i="19" s="1"/>
  <c r="F53" i="19" s="1"/>
  <c r="D215" i="19"/>
  <c r="G158" i="19"/>
  <c r="G117" i="19" s="1"/>
  <c r="G75" i="19" s="1"/>
  <c r="K158" i="19"/>
  <c r="K117" i="19" s="1"/>
  <c r="K75" i="19" s="1"/>
  <c r="E152" i="19"/>
  <c r="E111" i="19" s="1"/>
  <c r="E69" i="19" s="1"/>
  <c r="I152" i="19"/>
  <c r="I111" i="19" s="1"/>
  <c r="I69" i="19" s="1"/>
  <c r="C198" i="19"/>
  <c r="G151" i="19"/>
  <c r="G110" i="19" s="1"/>
  <c r="G68" i="19" s="1"/>
  <c r="K151" i="19"/>
  <c r="K110" i="19" s="1"/>
  <c r="K68" i="19" s="1"/>
  <c r="F160" i="19"/>
  <c r="F119" i="19" s="1"/>
  <c r="F77" i="19" s="1"/>
  <c r="D155" i="19"/>
  <c r="D114" i="19" s="1"/>
  <c r="D72" i="19" s="1"/>
  <c r="F148" i="19"/>
  <c r="F107" i="19" s="1"/>
  <c r="F65" i="19" s="1"/>
  <c r="D147" i="19"/>
  <c r="D106" i="19" s="1"/>
  <c r="D64" i="19" s="1"/>
  <c r="E160" i="19"/>
  <c r="E119" i="19" s="1"/>
  <c r="E77" i="19" s="1"/>
  <c r="I160" i="19"/>
  <c r="I119" i="19" s="1"/>
  <c r="I77" i="19" s="1"/>
  <c r="C206" i="19"/>
  <c r="G156" i="19"/>
  <c r="G115" i="19" s="1"/>
  <c r="G73" i="19" s="1"/>
  <c r="K156" i="19"/>
  <c r="K115" i="19" s="1"/>
  <c r="K73" i="19" s="1"/>
  <c r="E155" i="19"/>
  <c r="E114" i="19" s="1"/>
  <c r="E72" i="19" s="1"/>
  <c r="I155" i="19"/>
  <c r="I114" i="19" s="1"/>
  <c r="I72" i="19" s="1"/>
  <c r="C201" i="19"/>
  <c r="G148" i="19"/>
  <c r="G107" i="19" s="1"/>
  <c r="G65" i="19" s="1"/>
  <c r="E147" i="19"/>
  <c r="E106" i="19" s="1"/>
  <c r="E64" i="19" s="1"/>
  <c r="I147" i="19"/>
  <c r="I106" i="19" s="1"/>
  <c r="I64" i="19" s="1"/>
  <c r="C193" i="19"/>
  <c r="F161" i="19"/>
  <c r="F120" i="19" s="1"/>
  <c r="F78" i="19" s="1"/>
  <c r="J161" i="19"/>
  <c r="J120" i="19" s="1"/>
  <c r="J78" i="19" s="1"/>
  <c r="F157" i="19"/>
  <c r="F116" i="19" s="1"/>
  <c r="F74" i="19" s="1"/>
  <c r="J157" i="19"/>
  <c r="J116" i="19" s="1"/>
  <c r="J74" i="19" s="1"/>
  <c r="J152" i="19"/>
  <c r="J111" i="19" s="1"/>
  <c r="J69" i="19" s="1"/>
  <c r="H151" i="19"/>
  <c r="H110" i="19" s="1"/>
  <c r="H68" i="19" s="1"/>
  <c r="C203" i="19"/>
  <c r="I159" i="19"/>
  <c r="I118" i="19" s="1"/>
  <c r="I76" i="19" s="1"/>
  <c r="C207" i="19"/>
  <c r="K159" i="19"/>
  <c r="K118" i="19" s="1"/>
  <c r="K76" i="19" s="1"/>
  <c r="D160" i="19"/>
  <c r="D119" i="19" s="1"/>
  <c r="D77" i="19" s="1"/>
  <c r="D148" i="19"/>
  <c r="D107" i="19" s="1"/>
  <c r="D65" i="19" s="1"/>
  <c r="J148" i="19"/>
  <c r="J107" i="19" s="1"/>
  <c r="J65" i="19" s="1"/>
  <c r="H155" i="19"/>
  <c r="H114" i="19" s="1"/>
  <c r="H72" i="19" s="1"/>
  <c r="J151" i="19"/>
  <c r="J110" i="19" s="1"/>
  <c r="J68" i="19" s="1"/>
  <c r="H147" i="19"/>
  <c r="H106" i="19" s="1"/>
  <c r="H64" i="19" s="1"/>
  <c r="I161" i="19"/>
  <c r="I120" i="19" s="1"/>
  <c r="I78" i="19" s="1"/>
  <c r="K161" i="19"/>
  <c r="K120" i="19" s="1"/>
  <c r="K78" i="19" s="1"/>
  <c r="J153" i="19"/>
  <c r="J112" i="19" s="1"/>
  <c r="J70" i="19" s="1"/>
  <c r="D153" i="19"/>
  <c r="D112" i="19" s="1"/>
  <c r="D70" i="19" s="1"/>
  <c r="H153" i="19"/>
  <c r="H112" i="19" s="1"/>
  <c r="H70" i="19" s="1"/>
  <c r="F153" i="19"/>
  <c r="F112" i="19" s="1"/>
  <c r="F70" i="19" s="1"/>
  <c r="H149" i="19"/>
  <c r="H108" i="19" s="1"/>
  <c r="H66" i="19" s="1"/>
  <c r="F149" i="19"/>
  <c r="F108" i="19" s="1"/>
  <c r="F66" i="19" s="1"/>
  <c r="J145" i="19"/>
  <c r="J104" i="19" s="1"/>
  <c r="J62" i="19" s="1"/>
  <c r="D145" i="19"/>
  <c r="D104" i="19" s="1"/>
  <c r="H145" i="19"/>
  <c r="H104" i="19" s="1"/>
  <c r="H62" i="19" s="1"/>
  <c r="F145" i="19"/>
  <c r="F104" i="19" s="1"/>
  <c r="F62" i="19" s="1"/>
  <c r="J159" i="19"/>
  <c r="J118" i="19" s="1"/>
  <c r="J76" i="19" s="1"/>
  <c r="D159" i="19"/>
  <c r="D118" i="19" s="1"/>
  <c r="H159" i="19"/>
  <c r="H118" i="19" s="1"/>
  <c r="H76" i="19" s="1"/>
  <c r="I157" i="19"/>
  <c r="I116" i="19" s="1"/>
  <c r="I74" i="19" s="1"/>
  <c r="G157" i="19"/>
  <c r="G116" i="19" s="1"/>
  <c r="G74" i="19" s="1"/>
  <c r="G161" i="19"/>
  <c r="G120" i="19" s="1"/>
  <c r="G78" i="19" s="1"/>
  <c r="F159" i="19"/>
  <c r="F118" i="19" s="1"/>
  <c r="F76" i="19" s="1"/>
  <c r="C183" i="19"/>
  <c r="E73" i="19"/>
  <c r="K168" i="19"/>
  <c r="K127" i="19" s="1"/>
  <c r="K85" i="19" s="1"/>
  <c r="I168" i="19"/>
  <c r="I127" i="19" s="1"/>
  <c r="I85" i="19" s="1"/>
  <c r="G168" i="19"/>
  <c r="G127" i="19" s="1"/>
  <c r="G85" i="19" s="1"/>
  <c r="E168" i="19"/>
  <c r="E127" i="19" s="1"/>
  <c r="E85" i="19" s="1"/>
  <c r="C214" i="19"/>
  <c r="J168" i="19"/>
  <c r="J127" i="19" s="1"/>
  <c r="J85" i="19" s="1"/>
  <c r="H168" i="19"/>
  <c r="H127" i="19" s="1"/>
  <c r="H85" i="19" s="1"/>
  <c r="F168" i="19"/>
  <c r="F127" i="19" s="1"/>
  <c r="F85" i="19" s="1"/>
  <c r="D168" i="19"/>
  <c r="D127" i="19" s="1"/>
  <c r="K166" i="19"/>
  <c r="K125" i="19" s="1"/>
  <c r="K83" i="19" s="1"/>
  <c r="I166" i="19"/>
  <c r="I125" i="19" s="1"/>
  <c r="I83" i="19" s="1"/>
  <c r="G166" i="19"/>
  <c r="G125" i="19" s="1"/>
  <c r="G83" i="19" s="1"/>
  <c r="E166" i="19"/>
  <c r="E125" i="19" s="1"/>
  <c r="E83" i="19" s="1"/>
  <c r="C212" i="19"/>
  <c r="J166" i="19"/>
  <c r="J125" i="19" s="1"/>
  <c r="J83" i="19" s="1"/>
  <c r="H166" i="19"/>
  <c r="H125" i="19" s="1"/>
  <c r="H83" i="19" s="1"/>
  <c r="F166" i="19"/>
  <c r="F125" i="19" s="1"/>
  <c r="F83" i="19" s="1"/>
  <c r="D166" i="19"/>
  <c r="D125" i="19" s="1"/>
  <c r="K164" i="19"/>
  <c r="K123" i="19" s="1"/>
  <c r="K81" i="19" s="1"/>
  <c r="I164" i="19"/>
  <c r="I123" i="19" s="1"/>
  <c r="I81" i="19" s="1"/>
  <c r="G164" i="19"/>
  <c r="G123" i="19" s="1"/>
  <c r="G81" i="19" s="1"/>
  <c r="E164" i="19"/>
  <c r="E123" i="19" s="1"/>
  <c r="E81" i="19" s="1"/>
  <c r="C210" i="19"/>
  <c r="J164" i="19"/>
  <c r="J123" i="19" s="1"/>
  <c r="J81" i="19" s="1"/>
  <c r="H164" i="19"/>
  <c r="H123" i="19" s="1"/>
  <c r="H81" i="19" s="1"/>
  <c r="F164" i="19"/>
  <c r="F123" i="19" s="1"/>
  <c r="F81" i="19" s="1"/>
  <c r="D164" i="19"/>
  <c r="D123" i="19" s="1"/>
  <c r="K162" i="19"/>
  <c r="K121" i="19" s="1"/>
  <c r="K79" i="19" s="1"/>
  <c r="I162" i="19"/>
  <c r="I121" i="19" s="1"/>
  <c r="I79" i="19" s="1"/>
  <c r="G162" i="19"/>
  <c r="G121" i="19" s="1"/>
  <c r="G79" i="19" s="1"/>
  <c r="E162" i="19"/>
  <c r="E121" i="19" s="1"/>
  <c r="E79" i="19" s="1"/>
  <c r="C208" i="19"/>
  <c r="J162" i="19"/>
  <c r="J121" i="19" s="1"/>
  <c r="J79" i="19" s="1"/>
  <c r="H162" i="19"/>
  <c r="H121" i="19" s="1"/>
  <c r="H79" i="19" s="1"/>
  <c r="F162" i="19"/>
  <c r="F121" i="19" s="1"/>
  <c r="F79" i="19" s="1"/>
  <c r="D162" i="19"/>
  <c r="D121" i="19" s="1"/>
  <c r="E257" i="19"/>
  <c r="E177" i="19"/>
  <c r="J135" i="19"/>
  <c r="J94" i="19" s="1"/>
  <c r="J52" i="19" s="1"/>
  <c r="H135" i="19"/>
  <c r="H94" i="19" s="1"/>
  <c r="H52" i="19" s="1"/>
  <c r="F135" i="19"/>
  <c r="F94" i="19" s="1"/>
  <c r="F52" i="19" s="1"/>
  <c r="D135" i="19"/>
  <c r="D94" i="19" s="1"/>
  <c r="K135" i="19"/>
  <c r="K94" i="19" s="1"/>
  <c r="K52" i="19" s="1"/>
  <c r="I135" i="19"/>
  <c r="I94" i="19" s="1"/>
  <c r="I52" i="19" s="1"/>
  <c r="G135" i="19"/>
  <c r="G94" i="19" s="1"/>
  <c r="G52" i="19" s="1"/>
  <c r="E135" i="19"/>
  <c r="E94" i="19" s="1"/>
  <c r="E52" i="19" s="1"/>
  <c r="J133" i="19"/>
  <c r="J92" i="19" s="1"/>
  <c r="J50" i="19" s="1"/>
  <c r="H133" i="19"/>
  <c r="H92" i="19" s="1"/>
  <c r="H50" i="19" s="1"/>
  <c r="F133" i="19"/>
  <c r="F92" i="19" s="1"/>
  <c r="F50" i="19" s="1"/>
  <c r="D133" i="19"/>
  <c r="D92" i="19" s="1"/>
  <c r="K133" i="19"/>
  <c r="K92" i="19" s="1"/>
  <c r="K50" i="19" s="1"/>
  <c r="I133" i="19"/>
  <c r="I92" i="19" s="1"/>
  <c r="I50" i="19" s="1"/>
  <c r="G133" i="19"/>
  <c r="G92" i="19" s="1"/>
  <c r="G50" i="19" s="1"/>
  <c r="E133" i="19"/>
  <c r="E92" i="19" s="1"/>
  <c r="E50" i="19" s="1"/>
  <c r="F257" i="19"/>
  <c r="F177" i="19"/>
  <c r="C185" i="19"/>
  <c r="C181" i="19"/>
  <c r="J142" i="19"/>
  <c r="J101" i="19" s="1"/>
  <c r="J59" i="19" s="1"/>
  <c r="E142" i="19"/>
  <c r="E101" i="19" s="1"/>
  <c r="E59" i="19" s="1"/>
  <c r="K142" i="19"/>
  <c r="K101" i="19" s="1"/>
  <c r="K59" i="19" s="1"/>
  <c r="J141" i="19"/>
  <c r="J100" i="19" s="1"/>
  <c r="J58" i="19" s="1"/>
  <c r="G141" i="19"/>
  <c r="G100" i="19" s="1"/>
  <c r="G58" i="19" s="1"/>
  <c r="I141" i="19"/>
  <c r="I100" i="19" s="1"/>
  <c r="I58" i="19" s="1"/>
  <c r="D140" i="19"/>
  <c r="D99" i="19" s="1"/>
  <c r="H140" i="19"/>
  <c r="H99" i="19" s="1"/>
  <c r="H57" i="19" s="1"/>
  <c r="C186" i="19"/>
  <c r="G140" i="19"/>
  <c r="G99" i="19" s="1"/>
  <c r="G57" i="19" s="1"/>
  <c r="I140" i="19"/>
  <c r="I99" i="19" s="1"/>
  <c r="I57" i="19" s="1"/>
  <c r="D139" i="19"/>
  <c r="D98" i="19" s="1"/>
  <c r="H139" i="19"/>
  <c r="H98" i="19" s="1"/>
  <c r="H56" i="19" s="1"/>
  <c r="E139" i="19"/>
  <c r="E98" i="19" s="1"/>
  <c r="E56" i="19" s="1"/>
  <c r="K139" i="19"/>
  <c r="K98" i="19" s="1"/>
  <c r="K56" i="19" s="1"/>
  <c r="J138" i="19"/>
  <c r="J97" i="19" s="1"/>
  <c r="J55" i="19" s="1"/>
  <c r="E138" i="19"/>
  <c r="E97" i="19" s="1"/>
  <c r="E55" i="19" s="1"/>
  <c r="K138" i="19"/>
  <c r="K97" i="19" s="1"/>
  <c r="K55" i="19" s="1"/>
  <c r="J137" i="19"/>
  <c r="J96" i="19" s="1"/>
  <c r="J54" i="19" s="1"/>
  <c r="G137" i="19"/>
  <c r="G96" i="19" s="1"/>
  <c r="G54" i="19" s="1"/>
  <c r="I137" i="19"/>
  <c r="I96" i="19" s="1"/>
  <c r="I54" i="19" s="1"/>
  <c r="D136" i="19"/>
  <c r="D95" i="19" s="1"/>
  <c r="H136" i="19"/>
  <c r="H95" i="19" s="1"/>
  <c r="H53" i="19" s="1"/>
  <c r="C182" i="19"/>
  <c r="G136" i="19"/>
  <c r="G95" i="19" s="1"/>
  <c r="G53" i="19" s="1"/>
  <c r="I136" i="19"/>
  <c r="I95" i="19" s="1"/>
  <c r="I53" i="19" s="1"/>
  <c r="C213" i="19"/>
  <c r="K167" i="19"/>
  <c r="K126" i="19" s="1"/>
  <c r="K84" i="19" s="1"/>
  <c r="I167" i="19"/>
  <c r="I126" i="19" s="1"/>
  <c r="I84" i="19" s="1"/>
  <c r="G167" i="19"/>
  <c r="G126" i="19" s="1"/>
  <c r="G84" i="19" s="1"/>
  <c r="E167" i="19"/>
  <c r="E126" i="19" s="1"/>
  <c r="E84" i="19" s="1"/>
  <c r="J167" i="19"/>
  <c r="J126" i="19" s="1"/>
  <c r="J84" i="19" s="1"/>
  <c r="H167" i="19"/>
  <c r="H126" i="19" s="1"/>
  <c r="H84" i="19" s="1"/>
  <c r="F167" i="19"/>
  <c r="F126" i="19" s="1"/>
  <c r="F84" i="19" s="1"/>
  <c r="D167" i="19"/>
  <c r="D126" i="19" s="1"/>
  <c r="C211" i="19"/>
  <c r="K165" i="19"/>
  <c r="K124" i="19" s="1"/>
  <c r="K82" i="19" s="1"/>
  <c r="I165" i="19"/>
  <c r="I124" i="19" s="1"/>
  <c r="I82" i="19" s="1"/>
  <c r="G165" i="19"/>
  <c r="G124" i="19" s="1"/>
  <c r="G82" i="19" s="1"/>
  <c r="E165" i="19"/>
  <c r="E124" i="19" s="1"/>
  <c r="E82" i="19" s="1"/>
  <c r="J165" i="19"/>
  <c r="J124" i="19" s="1"/>
  <c r="J82" i="19" s="1"/>
  <c r="H165" i="19"/>
  <c r="H124" i="19" s="1"/>
  <c r="H82" i="19" s="1"/>
  <c r="F165" i="19"/>
  <c r="F124" i="19" s="1"/>
  <c r="F82" i="19" s="1"/>
  <c r="D165" i="19"/>
  <c r="D124" i="19" s="1"/>
  <c r="C209" i="19"/>
  <c r="K163" i="19"/>
  <c r="K122" i="19" s="1"/>
  <c r="K80" i="19" s="1"/>
  <c r="I163" i="19"/>
  <c r="I122" i="19" s="1"/>
  <c r="I80" i="19" s="1"/>
  <c r="G163" i="19"/>
  <c r="G122" i="19" s="1"/>
  <c r="G80" i="19" s="1"/>
  <c r="E163" i="19"/>
  <c r="E122" i="19" s="1"/>
  <c r="E80" i="19" s="1"/>
  <c r="J163" i="19"/>
  <c r="J122" i="19" s="1"/>
  <c r="J80" i="19" s="1"/>
  <c r="H163" i="19"/>
  <c r="H122" i="19" s="1"/>
  <c r="H80" i="19" s="1"/>
  <c r="F163" i="19"/>
  <c r="F122" i="19" s="1"/>
  <c r="F80" i="19" s="1"/>
  <c r="D163" i="19"/>
  <c r="D122" i="19" s="1"/>
  <c r="K143" i="19"/>
  <c r="K102" i="19" s="1"/>
  <c r="K60" i="19" s="1"/>
  <c r="I143" i="19"/>
  <c r="I102" i="19" s="1"/>
  <c r="I60" i="19" s="1"/>
  <c r="G143" i="19"/>
  <c r="G102" i="19" s="1"/>
  <c r="G60" i="19" s="1"/>
  <c r="E143" i="19"/>
  <c r="E102" i="19" s="1"/>
  <c r="E60" i="19" s="1"/>
  <c r="J143" i="19"/>
  <c r="J102" i="19" s="1"/>
  <c r="J60" i="19" s="1"/>
  <c r="H143" i="19"/>
  <c r="H102" i="19" s="1"/>
  <c r="H60" i="19" s="1"/>
  <c r="F143" i="19"/>
  <c r="F102" i="19" s="1"/>
  <c r="F60" i="19" s="1"/>
  <c r="D143" i="19"/>
  <c r="D102" i="19" s="1"/>
  <c r="J134" i="19"/>
  <c r="J93" i="19" s="1"/>
  <c r="J51" i="19" s="1"/>
  <c r="H134" i="19"/>
  <c r="H93" i="19" s="1"/>
  <c r="H51" i="19" s="1"/>
  <c r="F134" i="19"/>
  <c r="F93" i="19" s="1"/>
  <c r="F51" i="19" s="1"/>
  <c r="D134" i="19"/>
  <c r="D93" i="19" s="1"/>
  <c r="K134" i="19"/>
  <c r="K93" i="19" s="1"/>
  <c r="K51" i="19" s="1"/>
  <c r="I134" i="19"/>
  <c r="I93" i="19" s="1"/>
  <c r="I51" i="19" s="1"/>
  <c r="G134" i="19"/>
  <c r="G93" i="19" s="1"/>
  <c r="G51" i="19" s="1"/>
  <c r="E134" i="19"/>
  <c r="E93" i="19" s="1"/>
  <c r="E51" i="19" s="1"/>
  <c r="J132" i="19"/>
  <c r="J91" i="19" s="1"/>
  <c r="J49" i="19" s="1"/>
  <c r="H132" i="19"/>
  <c r="H91" i="19" s="1"/>
  <c r="H49" i="19" s="1"/>
  <c r="F132" i="19"/>
  <c r="F91" i="19" s="1"/>
  <c r="F49" i="19" s="1"/>
  <c r="D132" i="19"/>
  <c r="D91" i="19" s="1"/>
  <c r="K132" i="19"/>
  <c r="K91" i="19" s="1"/>
  <c r="K49" i="19" s="1"/>
  <c r="I132" i="19"/>
  <c r="I91" i="19" s="1"/>
  <c r="I49" i="19" s="1"/>
  <c r="G132" i="19"/>
  <c r="G91" i="19" s="1"/>
  <c r="G49" i="19" s="1"/>
  <c r="E132" i="19"/>
  <c r="E91" i="19" s="1"/>
  <c r="E49" i="19" s="1"/>
  <c r="C187" i="19"/>
  <c r="D142" i="19"/>
  <c r="D101" i="19" s="1"/>
  <c r="H142" i="19"/>
  <c r="H101" i="19" s="1"/>
  <c r="H59" i="19" s="1"/>
  <c r="C188" i="19"/>
  <c r="G142" i="19"/>
  <c r="G101" i="19" s="1"/>
  <c r="G59" i="19" s="1"/>
  <c r="I142" i="19"/>
  <c r="I101" i="19" s="1"/>
  <c r="I59" i="19" s="1"/>
  <c r="D141" i="19"/>
  <c r="D100" i="19" s="1"/>
  <c r="H141" i="19"/>
  <c r="H100" i="19" s="1"/>
  <c r="H58" i="19" s="1"/>
  <c r="E141" i="19"/>
  <c r="E100" i="19" s="1"/>
  <c r="E58" i="19" s="1"/>
  <c r="K141" i="19"/>
  <c r="K100" i="19" s="1"/>
  <c r="K58" i="19" s="1"/>
  <c r="J140" i="19"/>
  <c r="J99" i="19" s="1"/>
  <c r="J57" i="19" s="1"/>
  <c r="E140" i="19"/>
  <c r="E99" i="19" s="1"/>
  <c r="E57" i="19" s="1"/>
  <c r="K140" i="19"/>
  <c r="K99" i="19" s="1"/>
  <c r="K57" i="19" s="1"/>
  <c r="J139" i="19"/>
  <c r="J98" i="19" s="1"/>
  <c r="J56" i="19" s="1"/>
  <c r="G139" i="19"/>
  <c r="G98" i="19" s="1"/>
  <c r="G56" i="19" s="1"/>
  <c r="I139" i="19"/>
  <c r="I98" i="19" s="1"/>
  <c r="I56" i="19" s="1"/>
  <c r="D138" i="19"/>
  <c r="D97" i="19" s="1"/>
  <c r="H138" i="19"/>
  <c r="H97" i="19" s="1"/>
  <c r="H55" i="19" s="1"/>
  <c r="C184" i="19"/>
  <c r="G138" i="19"/>
  <c r="G97" i="19" s="1"/>
  <c r="G55" i="19" s="1"/>
  <c r="I138" i="19"/>
  <c r="I97" i="19" s="1"/>
  <c r="I55" i="19" s="1"/>
  <c r="D137" i="19"/>
  <c r="D96" i="19" s="1"/>
  <c r="H137" i="19"/>
  <c r="H96" i="19" s="1"/>
  <c r="H54" i="19" s="1"/>
  <c r="E137" i="19"/>
  <c r="E96" i="19" s="1"/>
  <c r="E54" i="19" s="1"/>
  <c r="K137" i="19"/>
  <c r="K96" i="19" s="1"/>
  <c r="K54" i="19" s="1"/>
  <c r="J136" i="19"/>
  <c r="J95" i="19" s="1"/>
  <c r="J53" i="19" s="1"/>
  <c r="E136" i="19"/>
  <c r="E95" i="19" s="1"/>
  <c r="E53" i="19" s="1"/>
  <c r="K136" i="19"/>
  <c r="K95" i="19" s="1"/>
  <c r="K53" i="19" s="1"/>
  <c r="C178" i="19"/>
  <c r="F86" i="20" l="1"/>
  <c r="I86" i="20"/>
  <c r="J86" i="20"/>
  <c r="C90" i="20"/>
  <c r="D48" i="20"/>
  <c r="G86" i="20"/>
  <c r="E86" i="20"/>
  <c r="H86" i="20"/>
  <c r="C69" i="19"/>
  <c r="C64" i="19"/>
  <c r="C74" i="19"/>
  <c r="C63" i="19"/>
  <c r="C103" i="19"/>
  <c r="C71" i="19"/>
  <c r="C113" i="19"/>
  <c r="C105" i="19"/>
  <c r="D62" i="19"/>
  <c r="D76" i="19"/>
  <c r="C118" i="19"/>
  <c r="C116" i="19"/>
  <c r="D54" i="19"/>
  <c r="D59" i="19"/>
  <c r="D60" i="19"/>
  <c r="D80" i="19"/>
  <c r="D84" i="19"/>
  <c r="D57" i="19"/>
  <c r="F215" i="19"/>
  <c r="F131" i="19"/>
  <c r="F90" i="19" s="1"/>
  <c r="F48" i="19" s="1"/>
  <c r="D81" i="19"/>
  <c r="D85" i="19"/>
  <c r="C97" i="19"/>
  <c r="D55" i="19"/>
  <c r="D58" i="19"/>
  <c r="D49" i="19"/>
  <c r="D51" i="19"/>
  <c r="D82" i="19"/>
  <c r="D53" i="19"/>
  <c r="D56" i="19"/>
  <c r="D50" i="19"/>
  <c r="D52" i="19"/>
  <c r="E215" i="19"/>
  <c r="J131" i="19"/>
  <c r="J90" i="19" s="1"/>
  <c r="J48" i="19" s="1"/>
  <c r="H131" i="19"/>
  <c r="H90" i="19" s="1"/>
  <c r="H48" i="19" s="1"/>
  <c r="D131" i="19"/>
  <c r="D90" i="19" s="1"/>
  <c r="K131" i="19"/>
  <c r="K90" i="19" s="1"/>
  <c r="K48" i="19" s="1"/>
  <c r="I131" i="19"/>
  <c r="I90" i="19" s="1"/>
  <c r="I48" i="19" s="1"/>
  <c r="G131" i="19"/>
  <c r="G90" i="19" s="1"/>
  <c r="G48" i="19" s="1"/>
  <c r="E131" i="19"/>
  <c r="E90" i="19" s="1"/>
  <c r="E48" i="19" s="1"/>
  <c r="C177" i="19"/>
  <c r="C215" i="19" s="1"/>
  <c r="D79" i="19"/>
  <c r="D83" i="19"/>
  <c r="C48" i="20" l="1"/>
  <c r="D86" i="20"/>
  <c r="D48" i="19"/>
  <c r="C90" i="19"/>
  <c r="C106" i="19"/>
  <c r="C111" i="19"/>
  <c r="C76" i="19"/>
  <c r="C120" i="19"/>
  <c r="C115" i="19"/>
  <c r="C110" i="19"/>
  <c r="C114" i="19"/>
  <c r="C108" i="19"/>
  <c r="C119" i="19"/>
  <c r="C107" i="19"/>
  <c r="C117" i="19"/>
  <c r="C109" i="19"/>
  <c r="C68" i="19"/>
  <c r="C61" i="19"/>
  <c r="C66" i="19"/>
  <c r="C62" i="19"/>
  <c r="C70" i="19"/>
  <c r="C112" i="19"/>
  <c r="C104" i="19"/>
  <c r="C100" i="19"/>
  <c r="C98" i="19"/>
  <c r="C95" i="19"/>
  <c r="C99" i="19"/>
  <c r="C125" i="19"/>
  <c r="C79" i="19"/>
  <c r="G86" i="19"/>
  <c r="I86" i="19"/>
  <c r="D86" i="19"/>
  <c r="H86" i="19"/>
  <c r="C52" i="19"/>
  <c r="C92" i="19"/>
  <c r="C124" i="19"/>
  <c r="C93" i="19"/>
  <c r="C91" i="19"/>
  <c r="C127" i="19"/>
  <c r="C81" i="19"/>
  <c r="F86" i="19"/>
  <c r="C57" i="19"/>
  <c r="C84" i="19"/>
  <c r="C122" i="19"/>
  <c r="C60" i="19"/>
  <c r="C59" i="19"/>
  <c r="C54" i="19"/>
  <c r="C83" i="19"/>
  <c r="C121" i="19"/>
  <c r="E86" i="19"/>
  <c r="K86" i="19"/>
  <c r="J86" i="19"/>
  <c r="C94" i="19"/>
  <c r="C50" i="19"/>
  <c r="C56" i="19"/>
  <c r="C53" i="19"/>
  <c r="C82" i="19"/>
  <c r="C51" i="19"/>
  <c r="C49" i="19"/>
  <c r="C58" i="19"/>
  <c r="C55" i="19"/>
  <c r="C85" i="19"/>
  <c r="C123" i="19"/>
  <c r="C126" i="19"/>
  <c r="C80" i="19"/>
  <c r="C102" i="19"/>
  <c r="C101" i="19"/>
  <c r="C96" i="19"/>
  <c r="C86" i="20" l="1"/>
  <c r="C75" i="19"/>
  <c r="C77" i="19"/>
  <c r="C67" i="19"/>
  <c r="C72" i="19"/>
  <c r="C73" i="19"/>
  <c r="C78" i="19"/>
  <c r="C65" i="19"/>
  <c r="M42" i="20" l="1"/>
  <c r="M40" i="20"/>
  <c r="M38" i="20"/>
  <c r="M29" i="20"/>
  <c r="M27" i="20"/>
  <c r="M25" i="20"/>
  <c r="M23" i="20"/>
  <c r="M21" i="20"/>
  <c r="M19" i="20"/>
  <c r="M17" i="20"/>
  <c r="M15" i="20"/>
  <c r="M13" i="20"/>
  <c r="M11" i="20"/>
  <c r="M10" i="20"/>
  <c r="M9" i="20"/>
  <c r="M8" i="20"/>
  <c r="M7" i="20"/>
  <c r="M6" i="20"/>
  <c r="M31" i="20"/>
  <c r="M35" i="20"/>
  <c r="M41" i="20"/>
  <c r="M39" i="20"/>
  <c r="M33" i="20"/>
  <c r="M37" i="20"/>
  <c r="M12" i="20"/>
  <c r="M36" i="20"/>
  <c r="M20" i="20"/>
  <c r="M18" i="20"/>
  <c r="M32" i="20"/>
  <c r="M24" i="20"/>
  <c r="M16" i="20"/>
  <c r="M30" i="20"/>
  <c r="M22" i="20"/>
  <c r="M14" i="20"/>
  <c r="M28" i="20"/>
  <c r="M34" i="20"/>
  <c r="M26" i="20"/>
  <c r="M5" i="20"/>
  <c r="C48" i="19"/>
  <c r="M43" i="20" l="1"/>
  <c r="C43" i="20" s="1"/>
  <c r="C86" i="19"/>
  <c r="J42" i="20" l="1"/>
  <c r="J41" i="20"/>
  <c r="J40" i="20"/>
  <c r="J39" i="20"/>
  <c r="J38" i="20"/>
  <c r="J37" i="20"/>
  <c r="J35" i="20"/>
  <c r="J33" i="20"/>
  <c r="J31" i="20"/>
  <c r="J29" i="20"/>
  <c r="J27" i="20"/>
  <c r="J25" i="20"/>
  <c r="J23" i="20"/>
  <c r="J21" i="20"/>
  <c r="J19" i="20"/>
  <c r="G42" i="20"/>
  <c r="D42" i="20"/>
  <c r="G41" i="20"/>
  <c r="D41" i="20"/>
  <c r="I40" i="20"/>
  <c r="F40" i="20"/>
  <c r="I39" i="20"/>
  <c r="F39" i="20"/>
  <c r="G38" i="20"/>
  <c r="D38" i="20"/>
  <c r="G37" i="20"/>
  <c r="D37" i="20"/>
  <c r="G35" i="20"/>
  <c r="D35" i="20"/>
  <c r="G33" i="20"/>
  <c r="D33" i="20"/>
  <c r="G31" i="20"/>
  <c r="I29" i="20"/>
  <c r="I27" i="20"/>
  <c r="I25" i="20"/>
  <c r="I23" i="20"/>
  <c r="I21" i="20"/>
  <c r="I19" i="20"/>
  <c r="E19" i="20"/>
  <c r="H17" i="20"/>
  <c r="E17" i="20"/>
  <c r="H15" i="20"/>
  <c r="E15" i="20"/>
  <c r="H13" i="20"/>
  <c r="E13" i="20"/>
  <c r="H11" i="20"/>
  <c r="E11" i="20"/>
  <c r="H10" i="20"/>
  <c r="E10" i="20"/>
  <c r="H9" i="20"/>
  <c r="E9" i="20"/>
  <c r="H8" i="20"/>
  <c r="E8" i="20"/>
  <c r="H7" i="20"/>
  <c r="E7" i="20"/>
  <c r="H6" i="20"/>
  <c r="E6" i="20"/>
  <c r="D31" i="20"/>
  <c r="G29" i="20"/>
  <c r="D27" i="20"/>
  <c r="G25" i="20"/>
  <c r="D23" i="20"/>
  <c r="G21" i="20"/>
  <c r="F19" i="20"/>
  <c r="G17" i="20"/>
  <c r="D17" i="20"/>
  <c r="I15" i="20"/>
  <c r="F15" i="20"/>
  <c r="G13" i="20"/>
  <c r="D13" i="20"/>
  <c r="G12" i="20"/>
  <c r="D12" i="20"/>
  <c r="I11" i="20"/>
  <c r="F11" i="20"/>
  <c r="G10" i="20"/>
  <c r="D10" i="20"/>
  <c r="I9" i="20"/>
  <c r="F9" i="20"/>
  <c r="G8" i="20"/>
  <c r="D8" i="20"/>
  <c r="I7" i="20"/>
  <c r="F7" i="20"/>
  <c r="G6" i="20"/>
  <c r="H36" i="20"/>
  <c r="H34" i="20"/>
  <c r="H32" i="20"/>
  <c r="H30" i="20"/>
  <c r="H28" i="20"/>
  <c r="H26" i="20"/>
  <c r="H24" i="20"/>
  <c r="H22" i="20"/>
  <c r="H20" i="20"/>
  <c r="H18" i="20"/>
  <c r="H16" i="20"/>
  <c r="H14" i="20"/>
  <c r="H12" i="20"/>
  <c r="J34" i="20"/>
  <c r="E32" i="20"/>
  <c r="G30" i="20"/>
  <c r="J26" i="20"/>
  <c r="E24" i="20"/>
  <c r="G22" i="20"/>
  <c r="J18" i="20"/>
  <c r="E16" i="20"/>
  <c r="G14" i="20"/>
  <c r="I36" i="20"/>
  <c r="I34" i="20"/>
  <c r="I32" i="20"/>
  <c r="I30" i="20"/>
  <c r="I28" i="20"/>
  <c r="I26" i="20"/>
  <c r="I24" i="20"/>
  <c r="I22" i="20"/>
  <c r="I20" i="20"/>
  <c r="I18" i="20"/>
  <c r="I16" i="20"/>
  <c r="I14" i="20"/>
  <c r="J36" i="20"/>
  <c r="E34" i="20"/>
  <c r="G32" i="20"/>
  <c r="J28" i="20"/>
  <c r="E26" i="20"/>
  <c r="G24" i="20"/>
  <c r="J20" i="20"/>
  <c r="E18" i="20"/>
  <c r="G16" i="20"/>
  <c r="J12" i="20"/>
  <c r="D20" i="20"/>
  <c r="D28" i="20"/>
  <c r="D36" i="20"/>
  <c r="D18" i="20"/>
  <c r="D26" i="20"/>
  <c r="D34" i="20"/>
  <c r="F5" i="20"/>
  <c r="E5" i="20"/>
  <c r="H42" i="20"/>
  <c r="E42" i="20"/>
  <c r="H41" i="20"/>
  <c r="E41" i="20"/>
  <c r="H40" i="20"/>
  <c r="E40" i="20"/>
  <c r="H39" i="20"/>
  <c r="E39" i="20"/>
  <c r="H38" i="20"/>
  <c r="E38" i="20"/>
  <c r="H37" i="20"/>
  <c r="E37" i="20"/>
  <c r="H35" i="20"/>
  <c r="E35" i="20"/>
  <c r="H33" i="20"/>
  <c r="E33" i="20"/>
  <c r="H31" i="20"/>
  <c r="E31" i="20"/>
  <c r="H29" i="20"/>
  <c r="E29" i="20"/>
  <c r="H27" i="20"/>
  <c r="E27" i="20"/>
  <c r="H25" i="20"/>
  <c r="E25" i="20"/>
  <c r="H23" i="20"/>
  <c r="E23" i="20"/>
  <c r="H21" i="20"/>
  <c r="E21" i="20"/>
  <c r="H19" i="20"/>
  <c r="I42" i="20"/>
  <c r="F42" i="20"/>
  <c r="I41" i="20"/>
  <c r="F41" i="20"/>
  <c r="G40" i="20"/>
  <c r="D40" i="20"/>
  <c r="G39" i="20"/>
  <c r="D39" i="20"/>
  <c r="I38" i="20"/>
  <c r="F38" i="20"/>
  <c r="I37" i="20"/>
  <c r="F37" i="20"/>
  <c r="I35" i="20"/>
  <c r="F35" i="20"/>
  <c r="I33" i="20"/>
  <c r="F33" i="20"/>
  <c r="I31" i="20"/>
  <c r="F31" i="20"/>
  <c r="F29" i="20"/>
  <c r="F27" i="20"/>
  <c r="F25" i="20"/>
  <c r="F23" i="20"/>
  <c r="F21" i="20"/>
  <c r="J17" i="20"/>
  <c r="J15" i="20"/>
  <c r="J13" i="20"/>
  <c r="J11" i="20"/>
  <c r="J10" i="20"/>
  <c r="J9" i="20"/>
  <c r="J8" i="20"/>
  <c r="J7" i="20"/>
  <c r="J6" i="20"/>
  <c r="D6" i="20"/>
  <c r="D29" i="20"/>
  <c r="G27" i="20"/>
  <c r="D25" i="20"/>
  <c r="G23" i="20"/>
  <c r="D21" i="20"/>
  <c r="G19" i="20"/>
  <c r="D19" i="20"/>
  <c r="I17" i="20"/>
  <c r="F17" i="20"/>
  <c r="G15" i="20"/>
  <c r="D15" i="20"/>
  <c r="I13" i="20"/>
  <c r="F13" i="20"/>
  <c r="I12" i="20"/>
  <c r="F12" i="20"/>
  <c r="G11" i="20"/>
  <c r="D11" i="20"/>
  <c r="I10" i="20"/>
  <c r="F10" i="20"/>
  <c r="G9" i="20"/>
  <c r="D9" i="20"/>
  <c r="I8" i="20"/>
  <c r="F8" i="20"/>
  <c r="G7" i="20"/>
  <c r="D7" i="20"/>
  <c r="I6" i="20"/>
  <c r="F6" i="20"/>
  <c r="F36" i="20"/>
  <c r="F34" i="20"/>
  <c r="F32" i="20"/>
  <c r="F30" i="20"/>
  <c r="F28" i="20"/>
  <c r="F26" i="20"/>
  <c r="F24" i="20"/>
  <c r="F22" i="20"/>
  <c r="F20" i="20"/>
  <c r="F18" i="20"/>
  <c r="F16" i="20"/>
  <c r="F14" i="20"/>
  <c r="E36" i="20"/>
  <c r="G34" i="20"/>
  <c r="J30" i="20"/>
  <c r="E28" i="20"/>
  <c r="G26" i="20"/>
  <c r="J22" i="20"/>
  <c r="E20" i="20"/>
  <c r="G18" i="20"/>
  <c r="J14" i="20"/>
  <c r="G36" i="20"/>
  <c r="J32" i="20"/>
  <c r="E30" i="20"/>
  <c r="G28" i="20"/>
  <c r="J24" i="20"/>
  <c r="E22" i="20"/>
  <c r="G20" i="20"/>
  <c r="J16" i="20"/>
  <c r="E14" i="20"/>
  <c r="E12" i="20"/>
  <c r="D16" i="20"/>
  <c r="D24" i="20"/>
  <c r="D32" i="20"/>
  <c r="D14" i="20"/>
  <c r="D22" i="20"/>
  <c r="D30" i="20"/>
  <c r="I5" i="20"/>
  <c r="J5" i="20"/>
  <c r="G5" i="20"/>
  <c r="H5" i="20"/>
  <c r="D5" i="20"/>
  <c r="N5" i="19"/>
  <c r="N35" i="19"/>
  <c r="N33" i="19"/>
  <c r="N31" i="19"/>
  <c r="N29" i="19"/>
  <c r="N27" i="19"/>
  <c r="N25" i="19"/>
  <c r="N23" i="19"/>
  <c r="N21" i="19"/>
  <c r="N19" i="19"/>
  <c r="N24" i="19"/>
  <c r="N32" i="19"/>
  <c r="N22" i="19"/>
  <c r="N30" i="19"/>
  <c r="N20" i="19"/>
  <c r="N28" i="19"/>
  <c r="N18" i="19"/>
  <c r="N26" i="19"/>
  <c r="N34" i="19"/>
  <c r="N42" i="19"/>
  <c r="N12" i="19"/>
  <c r="N10" i="19"/>
  <c r="N17" i="19"/>
  <c r="N14" i="19"/>
  <c r="N6" i="19"/>
  <c r="N40" i="19"/>
  <c r="N41" i="19"/>
  <c r="N38" i="19"/>
  <c r="N37" i="19"/>
  <c r="N8" i="19"/>
  <c r="N7" i="19"/>
  <c r="N16" i="19"/>
  <c r="N9" i="19"/>
  <c r="N36" i="19"/>
  <c r="N15" i="19"/>
  <c r="N39" i="19"/>
  <c r="N13" i="19"/>
  <c r="N11" i="19"/>
  <c r="H43" i="20" l="1"/>
  <c r="J43" i="20"/>
  <c r="C30" i="20"/>
  <c r="N30" i="20" s="1"/>
  <c r="R30" i="20" s="1"/>
  <c r="C14" i="20"/>
  <c r="N14" i="20" s="1"/>
  <c r="Q14" i="20" s="1"/>
  <c r="C24" i="20"/>
  <c r="N24" i="20" s="1"/>
  <c r="Q24" i="20" s="1"/>
  <c r="I43" i="20"/>
  <c r="C7" i="20"/>
  <c r="N7" i="20" s="1"/>
  <c r="Q7" i="20" s="1"/>
  <c r="C9" i="20"/>
  <c r="N9" i="20" s="1"/>
  <c r="R9" i="20" s="1"/>
  <c r="C11" i="20"/>
  <c r="N11" i="20" s="1"/>
  <c r="Q11" i="20" s="1"/>
  <c r="C15" i="20"/>
  <c r="N15" i="20" s="1"/>
  <c r="Q15" i="20" s="1"/>
  <c r="C19" i="20"/>
  <c r="N19" i="20" s="1"/>
  <c r="Q19" i="20" s="1"/>
  <c r="C21" i="20"/>
  <c r="N21" i="20" s="1"/>
  <c r="P21" i="20" s="1"/>
  <c r="C25" i="20"/>
  <c r="N25" i="20" s="1"/>
  <c r="Q25" i="20" s="1"/>
  <c r="C29" i="20"/>
  <c r="N29" i="20" s="1"/>
  <c r="Q29" i="20" s="1"/>
  <c r="C39" i="20"/>
  <c r="N39" i="20" s="1"/>
  <c r="Q39" i="20" s="1"/>
  <c r="C40" i="20"/>
  <c r="N40" i="20" s="1"/>
  <c r="R40" i="20" s="1"/>
  <c r="D43" i="20"/>
  <c r="C5" i="20"/>
  <c r="N5" i="20" s="1"/>
  <c r="G43" i="20"/>
  <c r="C22" i="20"/>
  <c r="N22" i="20" s="1"/>
  <c r="C32" i="20"/>
  <c r="N32" i="20" s="1"/>
  <c r="C16" i="20"/>
  <c r="N16" i="20" s="1"/>
  <c r="C6" i="20"/>
  <c r="N6" i="20" s="1"/>
  <c r="E43" i="20"/>
  <c r="F43" i="20"/>
  <c r="C26" i="20"/>
  <c r="N26" i="20" s="1"/>
  <c r="C36" i="20"/>
  <c r="N36" i="20" s="1"/>
  <c r="C20" i="20"/>
  <c r="N20" i="20" s="1"/>
  <c r="C8" i="20"/>
  <c r="N8" i="20" s="1"/>
  <c r="C10" i="20"/>
  <c r="N10" i="20" s="1"/>
  <c r="C12" i="20"/>
  <c r="N12" i="20" s="1"/>
  <c r="C13" i="20"/>
  <c r="N13" i="20" s="1"/>
  <c r="C17" i="20"/>
  <c r="N17" i="20" s="1"/>
  <c r="C23" i="20"/>
  <c r="N23" i="20" s="1"/>
  <c r="C27" i="20"/>
  <c r="N27" i="20" s="1"/>
  <c r="C31" i="20"/>
  <c r="N31" i="20" s="1"/>
  <c r="Q30" i="20"/>
  <c r="C34" i="20"/>
  <c r="N34" i="20" s="1"/>
  <c r="C18" i="20"/>
  <c r="N18" i="20" s="1"/>
  <c r="C28" i="20"/>
  <c r="N28" i="20" s="1"/>
  <c r="C33" i="20"/>
  <c r="N33" i="20" s="1"/>
  <c r="C35" i="20"/>
  <c r="N35" i="20" s="1"/>
  <c r="C37" i="20"/>
  <c r="N37" i="20" s="1"/>
  <c r="C38" i="20"/>
  <c r="N38" i="20" s="1"/>
  <c r="C41" i="20"/>
  <c r="N41" i="20" s="1"/>
  <c r="C42" i="20"/>
  <c r="N42" i="20" s="1"/>
  <c r="N43" i="19"/>
  <c r="C43" i="19" s="1"/>
  <c r="I35" i="19" s="1"/>
  <c r="G31" i="19"/>
  <c r="I29" i="19"/>
  <c r="G29" i="19"/>
  <c r="K28" i="19"/>
  <c r="E28" i="19"/>
  <c r="I27" i="19"/>
  <c r="G27" i="19"/>
  <c r="K26" i="19"/>
  <c r="E26" i="19"/>
  <c r="I25" i="19"/>
  <c r="G25" i="19"/>
  <c r="K24" i="19"/>
  <c r="E24" i="19"/>
  <c r="I23" i="19"/>
  <c r="G23" i="19"/>
  <c r="K22" i="19"/>
  <c r="E22" i="19"/>
  <c r="I21" i="19"/>
  <c r="G21" i="19"/>
  <c r="K20" i="19"/>
  <c r="E20" i="19"/>
  <c r="I19" i="19"/>
  <c r="G19" i="19"/>
  <c r="K18" i="19"/>
  <c r="E18" i="19"/>
  <c r="J35" i="19"/>
  <c r="D35" i="19"/>
  <c r="H34" i="19"/>
  <c r="F34" i="19"/>
  <c r="H33" i="19"/>
  <c r="F33" i="19"/>
  <c r="J32" i="19"/>
  <c r="D32" i="19"/>
  <c r="J31" i="19"/>
  <c r="D31" i="19"/>
  <c r="H30" i="19"/>
  <c r="F30" i="19"/>
  <c r="H29" i="19"/>
  <c r="F29" i="19"/>
  <c r="J28" i="19"/>
  <c r="D28" i="19"/>
  <c r="J27" i="19"/>
  <c r="D27" i="19"/>
  <c r="H26" i="19"/>
  <c r="F26" i="19"/>
  <c r="H25" i="19"/>
  <c r="F25" i="19"/>
  <c r="J24" i="19"/>
  <c r="D24" i="19"/>
  <c r="J23" i="19"/>
  <c r="D23" i="19"/>
  <c r="H22" i="19"/>
  <c r="F22" i="19"/>
  <c r="H21" i="19"/>
  <c r="F21" i="19"/>
  <c r="J20" i="19"/>
  <c r="D20" i="19"/>
  <c r="J19" i="19"/>
  <c r="D19" i="19"/>
  <c r="H18" i="19"/>
  <c r="F18" i="19"/>
  <c r="F16" i="19"/>
  <c r="F15" i="19"/>
  <c r="F14" i="19"/>
  <c r="K11" i="19"/>
  <c r="I13" i="19"/>
  <c r="H15" i="19"/>
  <c r="F6" i="19"/>
  <c r="F8" i="19"/>
  <c r="I17" i="19"/>
  <c r="F39" i="19"/>
  <c r="J41" i="19"/>
  <c r="G10" i="19"/>
  <c r="K12" i="19"/>
  <c r="G15" i="19"/>
  <c r="F7" i="19"/>
  <c r="F9" i="19"/>
  <c r="G36" i="19"/>
  <c r="K38" i="19"/>
  <c r="I40" i="19"/>
  <c r="E10" i="19"/>
  <c r="J14" i="19"/>
  <c r="H16" i="19"/>
  <c r="G8" i="19"/>
  <c r="H17" i="19"/>
  <c r="H37" i="19"/>
  <c r="G39" i="19"/>
  <c r="E41" i="19"/>
  <c r="J12" i="19"/>
  <c r="H14" i="19"/>
  <c r="E16" i="19"/>
  <c r="G9" i="19"/>
  <c r="J36" i="19"/>
  <c r="H38" i="19"/>
  <c r="E40" i="19"/>
  <c r="G42" i="19"/>
  <c r="E11" i="19"/>
  <c r="J13" i="19"/>
  <c r="I16" i="19"/>
  <c r="H6" i="19"/>
  <c r="H8" i="19"/>
  <c r="J37" i="19"/>
  <c r="H39" i="19"/>
  <c r="G41" i="19"/>
  <c r="J11" i="19"/>
  <c r="I14" i="19"/>
  <c r="K7" i="19"/>
  <c r="K9" i="19"/>
  <c r="H36" i="19"/>
  <c r="E38" i="19"/>
  <c r="G40" i="19"/>
  <c r="K42" i="19"/>
  <c r="H11" i="19"/>
  <c r="K15" i="19"/>
  <c r="G6" i="19"/>
  <c r="I8" i="19"/>
  <c r="E17" i="19"/>
  <c r="E37" i="19"/>
  <c r="I39" i="19"/>
  <c r="K41" i="19"/>
  <c r="K13" i="19"/>
  <c r="I15" i="19"/>
  <c r="G7" i="19"/>
  <c r="I9" i="19"/>
  <c r="F38" i="19"/>
  <c r="J40" i="19"/>
  <c r="H42" i="19"/>
  <c r="D36" i="19"/>
  <c r="I5" i="19"/>
  <c r="D9" i="19"/>
  <c r="D17" i="19"/>
  <c r="H5" i="19"/>
  <c r="D38" i="19"/>
  <c r="D41" i="19"/>
  <c r="D11" i="19"/>
  <c r="D40" i="19"/>
  <c r="K5" i="19"/>
  <c r="D15" i="19"/>
  <c r="K35" i="19"/>
  <c r="E35" i="19"/>
  <c r="I34" i="19"/>
  <c r="G34" i="19"/>
  <c r="K33" i="19"/>
  <c r="E33" i="19"/>
  <c r="I32" i="19"/>
  <c r="G32" i="19"/>
  <c r="K31" i="19"/>
  <c r="E31" i="19"/>
  <c r="I30" i="19"/>
  <c r="G30" i="19"/>
  <c r="K29" i="19"/>
  <c r="E29" i="19"/>
  <c r="I28" i="19"/>
  <c r="G28" i="19"/>
  <c r="K27" i="19"/>
  <c r="E27" i="19"/>
  <c r="I26" i="19"/>
  <c r="G26" i="19"/>
  <c r="K25" i="19"/>
  <c r="E25" i="19"/>
  <c r="I24" i="19"/>
  <c r="G24" i="19"/>
  <c r="K23" i="19"/>
  <c r="E23" i="19"/>
  <c r="I22" i="19"/>
  <c r="G22" i="19"/>
  <c r="K21" i="19"/>
  <c r="E21" i="19"/>
  <c r="I20" i="19"/>
  <c r="G20" i="19"/>
  <c r="K19" i="19"/>
  <c r="E19" i="19"/>
  <c r="I18" i="19"/>
  <c r="G18" i="19"/>
  <c r="H35" i="19"/>
  <c r="F35" i="19"/>
  <c r="J34" i="19"/>
  <c r="D34" i="19"/>
  <c r="J33" i="19"/>
  <c r="D33" i="19"/>
  <c r="H32" i="19"/>
  <c r="F32" i="19"/>
  <c r="H31" i="19"/>
  <c r="F31" i="19"/>
  <c r="J30" i="19"/>
  <c r="D30" i="19"/>
  <c r="J29" i="19"/>
  <c r="D29" i="19"/>
  <c r="H28" i="19"/>
  <c r="F28" i="19"/>
  <c r="H27" i="19"/>
  <c r="F27" i="19"/>
  <c r="J26" i="19"/>
  <c r="D26" i="19"/>
  <c r="J25" i="19"/>
  <c r="D25" i="19"/>
  <c r="H24" i="19"/>
  <c r="F24" i="19"/>
  <c r="H23" i="19"/>
  <c r="F23" i="19"/>
  <c r="J22" i="19"/>
  <c r="D22" i="19"/>
  <c r="J21" i="19"/>
  <c r="D21" i="19"/>
  <c r="H20" i="19"/>
  <c r="F20" i="19"/>
  <c r="H19" i="19"/>
  <c r="F19" i="19"/>
  <c r="J18" i="19"/>
  <c r="D18" i="19"/>
  <c r="F13" i="19"/>
  <c r="F12" i="19"/>
  <c r="F11" i="19"/>
  <c r="F10" i="19"/>
  <c r="G12" i="19"/>
  <c r="K14" i="19"/>
  <c r="E6" i="19"/>
  <c r="E8" i="19"/>
  <c r="J17" i="19"/>
  <c r="G37" i="19"/>
  <c r="E39" i="19"/>
  <c r="I41" i="19"/>
  <c r="I11" i="19"/>
  <c r="H13" i="19"/>
  <c r="E7" i="19"/>
  <c r="E9" i="19"/>
  <c r="F36" i="19"/>
  <c r="J38" i="19"/>
  <c r="H40" i="19"/>
  <c r="E42" i="19"/>
  <c r="I12" i="19"/>
  <c r="E15" i="19"/>
  <c r="I6" i="19"/>
  <c r="J8" i="19"/>
  <c r="K17" i="19"/>
  <c r="K37" i="19"/>
  <c r="F41" i="19"/>
  <c r="I10" i="19"/>
  <c r="E13" i="19"/>
  <c r="J15" i="19"/>
  <c r="I7" i="19"/>
  <c r="J9" i="19"/>
  <c r="K36" i="19"/>
  <c r="I38" i="19"/>
  <c r="F42" i="19"/>
  <c r="J10" i="19"/>
  <c r="H12" i="19"/>
  <c r="E14" i="19"/>
  <c r="K6" i="19"/>
  <c r="K8" i="19"/>
  <c r="G17" i="19"/>
  <c r="I37" i="19"/>
  <c r="K39" i="19"/>
  <c r="H10" i="19"/>
  <c r="E12" i="19"/>
  <c r="J16" i="19"/>
  <c r="H7" i="19"/>
  <c r="H9" i="19"/>
  <c r="I36" i="19"/>
  <c r="F40" i="19"/>
  <c r="J42" i="19"/>
  <c r="K10" i="19"/>
  <c r="G13" i="19"/>
  <c r="G16" i="19"/>
  <c r="J6" i="19"/>
  <c r="F17" i="19"/>
  <c r="F37" i="19"/>
  <c r="J39" i="19"/>
  <c r="H41" i="19"/>
  <c r="G11" i="19"/>
  <c r="G14" i="19"/>
  <c r="K16" i="19"/>
  <c r="J7" i="19"/>
  <c r="E36" i="19"/>
  <c r="G38" i="19"/>
  <c r="K40" i="19"/>
  <c r="I42" i="19"/>
  <c r="G5" i="19"/>
  <c r="D14" i="19"/>
  <c r="D16" i="19"/>
  <c r="D7" i="19"/>
  <c r="D10" i="19"/>
  <c r="D8" i="19"/>
  <c r="D12" i="19"/>
  <c r="D42" i="19"/>
  <c r="D37" i="19"/>
  <c r="D5" i="19"/>
  <c r="F5" i="19"/>
  <c r="E5" i="19"/>
  <c r="J5" i="19"/>
  <c r="D13" i="19"/>
  <c r="D39" i="19"/>
  <c r="D6" i="19"/>
  <c r="R24" i="20" l="1"/>
  <c r="P30" i="20"/>
  <c r="P24" i="20"/>
  <c r="Q40" i="20"/>
  <c r="R15" i="20"/>
  <c r="R21" i="20"/>
  <c r="Q9" i="20"/>
  <c r="P40" i="20"/>
  <c r="P29" i="20"/>
  <c r="Q21" i="20"/>
  <c r="P9" i="20"/>
  <c r="R14" i="20"/>
  <c r="R29" i="20"/>
  <c r="P15" i="20"/>
  <c r="P14" i="20"/>
  <c r="R39" i="20"/>
  <c r="P25" i="20"/>
  <c r="P19" i="20"/>
  <c r="R11" i="20"/>
  <c r="R7" i="20"/>
  <c r="P39" i="20"/>
  <c r="R25" i="20"/>
  <c r="R19" i="20"/>
  <c r="P11" i="20"/>
  <c r="P7" i="20"/>
  <c r="Q41" i="20"/>
  <c r="R41" i="20"/>
  <c r="P41" i="20"/>
  <c r="Q37" i="20"/>
  <c r="R37" i="20"/>
  <c r="P37" i="20"/>
  <c r="Q33" i="20"/>
  <c r="R33" i="20"/>
  <c r="P33" i="20"/>
  <c r="Q18" i="20"/>
  <c r="R18" i="20"/>
  <c r="P18" i="20"/>
  <c r="Q27" i="20"/>
  <c r="P27" i="20"/>
  <c r="R27" i="20"/>
  <c r="Q17" i="20"/>
  <c r="R17" i="20"/>
  <c r="P17" i="20"/>
  <c r="Q12" i="20"/>
  <c r="R12" i="20"/>
  <c r="P12" i="20"/>
  <c r="Q8" i="20"/>
  <c r="R8" i="20"/>
  <c r="P8" i="20"/>
  <c r="Q36" i="20"/>
  <c r="R36" i="20"/>
  <c r="P36" i="20"/>
  <c r="Q6" i="20"/>
  <c r="R6" i="20"/>
  <c r="P6" i="20"/>
  <c r="Q32" i="20"/>
  <c r="R32" i="20"/>
  <c r="P32" i="20"/>
  <c r="Q42" i="20"/>
  <c r="R42" i="20"/>
  <c r="P42" i="20"/>
  <c r="Q38" i="20"/>
  <c r="R38" i="20"/>
  <c r="P38" i="20"/>
  <c r="Q35" i="20"/>
  <c r="R35" i="20"/>
  <c r="P35" i="20"/>
  <c r="Q28" i="20"/>
  <c r="R28" i="20"/>
  <c r="P28" i="20"/>
  <c r="Q34" i="20"/>
  <c r="R34" i="20"/>
  <c r="P34" i="20"/>
  <c r="Q31" i="20"/>
  <c r="R31" i="20"/>
  <c r="P31" i="20"/>
  <c r="Q23" i="20"/>
  <c r="P23" i="20"/>
  <c r="R23" i="20"/>
  <c r="Q13" i="20"/>
  <c r="R13" i="20"/>
  <c r="P13" i="20"/>
  <c r="Q10" i="20"/>
  <c r="R10" i="20"/>
  <c r="P10" i="20"/>
  <c r="Q20" i="20"/>
  <c r="R20" i="20"/>
  <c r="P20" i="20"/>
  <c r="Q26" i="20"/>
  <c r="R26" i="20"/>
  <c r="P26" i="20"/>
  <c r="Q16" i="20"/>
  <c r="R16" i="20"/>
  <c r="P16" i="20"/>
  <c r="Q22" i="20"/>
  <c r="R22" i="20"/>
  <c r="P22" i="20"/>
  <c r="Q5" i="20"/>
  <c r="P5" i="20"/>
  <c r="R5" i="20"/>
  <c r="J43" i="19"/>
  <c r="G33" i="19"/>
  <c r="E30" i="19"/>
  <c r="E32" i="19"/>
  <c r="E34" i="19"/>
  <c r="G35" i="19"/>
  <c r="G43" i="19" s="1"/>
  <c r="K30" i="19"/>
  <c r="I31" i="19"/>
  <c r="K32" i="19"/>
  <c r="I33" i="19"/>
  <c r="C33" i="19" s="1"/>
  <c r="O33" i="19" s="1"/>
  <c r="K34" i="19"/>
  <c r="C34" i="19"/>
  <c r="O34" i="19" s="1"/>
  <c r="C13" i="19"/>
  <c r="O13" i="19" s="1"/>
  <c r="C36" i="19"/>
  <c r="O36" i="19" s="1"/>
  <c r="C8" i="19"/>
  <c r="O8" i="19" s="1"/>
  <c r="C40" i="19"/>
  <c r="O40" i="19" s="1"/>
  <c r="C24" i="19"/>
  <c r="O24" i="19" s="1"/>
  <c r="C38" i="19"/>
  <c r="O38" i="19" s="1"/>
  <c r="C18" i="19"/>
  <c r="O18" i="19" s="1"/>
  <c r="C26" i="19"/>
  <c r="O26" i="19" s="1"/>
  <c r="C7" i="19"/>
  <c r="O7" i="19" s="1"/>
  <c r="C5" i="19"/>
  <c r="O5" i="19" s="1"/>
  <c r="C6" i="19"/>
  <c r="O6" i="19" s="1"/>
  <c r="E43" i="19"/>
  <c r="F43" i="19"/>
  <c r="C12" i="19"/>
  <c r="O12" i="19" s="1"/>
  <c r="C21" i="19"/>
  <c r="O21" i="19" s="1"/>
  <c r="C25" i="19"/>
  <c r="O25" i="19" s="1"/>
  <c r="C29" i="19"/>
  <c r="O29" i="19" s="1"/>
  <c r="D43" i="19"/>
  <c r="C10" i="19"/>
  <c r="O10" i="19" s="1"/>
  <c r="C41" i="19"/>
  <c r="O41" i="19" s="1"/>
  <c r="C9" i="19"/>
  <c r="O9" i="19" s="1"/>
  <c r="C19" i="19"/>
  <c r="O19" i="19" s="1"/>
  <c r="C23" i="19"/>
  <c r="O23" i="19" s="1"/>
  <c r="C27" i="19"/>
  <c r="O27" i="19" s="1"/>
  <c r="C14" i="19"/>
  <c r="O14" i="19" s="1"/>
  <c r="C22" i="19"/>
  <c r="O22" i="19" s="1"/>
  <c r="C30" i="19"/>
  <c r="O30" i="19" s="1"/>
  <c r="C15" i="19"/>
  <c r="O15" i="19" s="1"/>
  <c r="K43" i="19"/>
  <c r="C11" i="19"/>
  <c r="O11" i="19" s="1"/>
  <c r="H43" i="19"/>
  <c r="C17" i="19"/>
  <c r="O17" i="19" s="1"/>
  <c r="C20" i="19"/>
  <c r="O20" i="19" s="1"/>
  <c r="C28" i="19"/>
  <c r="O28" i="19" s="1"/>
  <c r="R43" i="20" l="1"/>
  <c r="C32" i="19"/>
  <c r="O32" i="19" s="1"/>
  <c r="I43" i="19"/>
  <c r="C35" i="19"/>
  <c r="O35" i="19" s="1"/>
  <c r="Q35" i="19" s="1"/>
  <c r="C31" i="19"/>
  <c r="O31" i="19" s="1"/>
  <c r="S31" i="19" s="1"/>
  <c r="C16" i="19"/>
  <c r="O16" i="19" s="1"/>
  <c r="Q16" i="19" s="1"/>
  <c r="C37" i="19"/>
  <c r="O37" i="19" s="1"/>
  <c r="S37" i="19" s="1"/>
  <c r="C42" i="19"/>
  <c r="O42" i="19" s="1"/>
  <c r="R42" i="19" s="1"/>
  <c r="C39" i="19"/>
  <c r="O39" i="19" s="1"/>
  <c r="Q39" i="19" s="1"/>
  <c r="S8" i="19"/>
  <c r="Q8" i="19"/>
  <c r="R8" i="19"/>
  <c r="R16" i="19"/>
  <c r="Q42" i="19"/>
  <c r="Q37" i="19"/>
  <c r="R39" i="19"/>
  <c r="Q28" i="19"/>
  <c r="S28" i="19"/>
  <c r="R28" i="19"/>
  <c r="Q20" i="19"/>
  <c r="S20" i="19"/>
  <c r="R20" i="19"/>
  <c r="Q17" i="19"/>
  <c r="S17" i="19"/>
  <c r="R17" i="19"/>
  <c r="Q11" i="19"/>
  <c r="S11" i="19"/>
  <c r="R11" i="19"/>
  <c r="Q15" i="19"/>
  <c r="S15" i="19"/>
  <c r="R15" i="19"/>
  <c r="Q30" i="19"/>
  <c r="S30" i="19"/>
  <c r="R30" i="19"/>
  <c r="Q22" i="19"/>
  <c r="S22" i="19"/>
  <c r="R22" i="19"/>
  <c r="Q14" i="19"/>
  <c r="S14" i="19"/>
  <c r="R14" i="19"/>
  <c r="Q31" i="19"/>
  <c r="R31" i="19"/>
  <c r="Q23" i="19"/>
  <c r="S23" i="19"/>
  <c r="R23" i="19"/>
  <c r="Q36" i="19"/>
  <c r="S36" i="19"/>
  <c r="R36" i="19"/>
  <c r="Q38" i="19"/>
  <c r="S38" i="19"/>
  <c r="R38" i="19"/>
  <c r="Q40" i="19"/>
  <c r="S40" i="19"/>
  <c r="R40" i="19"/>
  <c r="Q5" i="19"/>
  <c r="S5" i="19"/>
  <c r="R5" i="19"/>
  <c r="Q33" i="19"/>
  <c r="S33" i="19"/>
  <c r="R33" i="19"/>
  <c r="Q25" i="19"/>
  <c r="S25" i="19"/>
  <c r="R25" i="19"/>
  <c r="Q13" i="19"/>
  <c r="S13" i="19"/>
  <c r="R13" i="19"/>
  <c r="Q32" i="19"/>
  <c r="S32" i="19"/>
  <c r="R32" i="19"/>
  <c r="Q24" i="19"/>
  <c r="S24" i="19"/>
  <c r="R24" i="19"/>
  <c r="Q34" i="19"/>
  <c r="S34" i="19"/>
  <c r="R34" i="19"/>
  <c r="Q26" i="19"/>
  <c r="S26" i="19"/>
  <c r="R26" i="19"/>
  <c r="Q18" i="19"/>
  <c r="S18" i="19"/>
  <c r="R18" i="19"/>
  <c r="Q7" i="19"/>
  <c r="S7" i="19"/>
  <c r="R7" i="19"/>
  <c r="S35" i="19"/>
  <c r="Q27" i="19"/>
  <c r="S27" i="19"/>
  <c r="R27" i="19"/>
  <c r="Q19" i="19"/>
  <c r="S19" i="19"/>
  <c r="R19" i="19"/>
  <c r="Q9" i="19"/>
  <c r="S9" i="19"/>
  <c r="R9" i="19"/>
  <c r="Q41" i="19"/>
  <c r="S41" i="19"/>
  <c r="R41" i="19"/>
  <c r="Q10" i="19"/>
  <c r="S10" i="19"/>
  <c r="R10" i="19"/>
  <c r="Q29" i="19"/>
  <c r="S29" i="19"/>
  <c r="R29" i="19"/>
  <c r="Q21" i="19"/>
  <c r="S21" i="19"/>
  <c r="R21" i="19"/>
  <c r="Q12" i="19"/>
  <c r="S12" i="19"/>
  <c r="R12" i="19"/>
  <c r="Q6" i="19"/>
  <c r="S6" i="19"/>
  <c r="R6" i="19"/>
  <c r="S39" i="19" l="1"/>
  <c r="R35" i="19"/>
  <c r="S42" i="19"/>
  <c r="S16" i="19"/>
  <c r="R37" i="19"/>
  <c r="S43" i="19" l="1"/>
</calcChain>
</file>

<file path=xl/sharedStrings.xml><?xml version="1.0" encoding="utf-8"?>
<sst xmlns="http://schemas.openxmlformats.org/spreadsheetml/2006/main" count="349" uniqueCount="89">
  <si>
    <t>Hours Completed - CBM002 or CBM00S</t>
  </si>
  <si>
    <t>At-Risk Degrees - CBM009 meeting criteria in statute for At-Risk</t>
  </si>
  <si>
    <t>Science Teaching Certificates - Certification website</t>
  </si>
  <si>
    <t>Undergraduate Critical Fields - CTGs critical fields CBM009</t>
  </si>
  <si>
    <t>Cost Weighted Degrees - Fiscal Year Upper-Level weight per degree</t>
  </si>
  <si>
    <t>Undergraduate FTSE - CBM004 PREP fall of fiscal year state-funded hours divided by 15</t>
  </si>
  <si>
    <t>6-Yr/3-Yr Graduation Rates - CBM001/CBM009 Reports</t>
  </si>
  <si>
    <t>Undergraduate Degrees - CBM009 Report</t>
  </si>
  <si>
    <t>Sources</t>
  </si>
  <si>
    <t xml:space="preserve">Texas A&amp;M Galveston is given an additional weight of 1.5 to all metrics for ship operation similar to the instructions and operations formula. </t>
  </si>
  <si>
    <t>Graduation Rates for UNTD, TAMUSA, and TAMUCT are assumed to be the same as their parent institutions. 3-Year Graduation Rate used for Upper-Level institutions.</t>
  </si>
  <si>
    <t>Total</t>
  </si>
  <si>
    <t>90 Hours</t>
  </si>
  <si>
    <t>60 Hours</t>
  </si>
  <si>
    <t>30 Hours</t>
  </si>
  <si>
    <t>Hours Completed</t>
  </si>
  <si>
    <t>At-Risk Degrees</t>
  </si>
  <si>
    <t>Cost Weighted Degrees</t>
  </si>
  <si>
    <t>Undergraduate FTSE</t>
  </si>
  <si>
    <t>6-Year Graduation Rate</t>
  </si>
  <si>
    <t>Undergraduate Degrees</t>
  </si>
  <si>
    <t>Name</t>
  </si>
  <si>
    <t>FICE</t>
  </si>
  <si>
    <t>Fiscal Year 2010</t>
  </si>
  <si>
    <t>Fiscal Year 2011</t>
  </si>
  <si>
    <t>Fiscal Year 2012</t>
  </si>
  <si>
    <t>Total Undergraduate Degrees</t>
  </si>
  <si>
    <t>Three-Year Average</t>
  </si>
  <si>
    <t>Weights</t>
  </si>
  <si>
    <t>Cost Weighted</t>
  </si>
  <si>
    <t>per 100 FTSE</t>
  </si>
  <si>
    <t>Adjusted by 6-Year Graduation Rate</t>
  </si>
  <si>
    <t>Retention Metrics</t>
  </si>
  <si>
    <t xml:space="preserve">Total Undergraduate Degrees </t>
  </si>
  <si>
    <t>Total Points</t>
  </si>
  <si>
    <t>SRRG</t>
  </si>
  <si>
    <t>SRSU</t>
  </si>
  <si>
    <t>SHSU</t>
  </si>
  <si>
    <t>Lamar</t>
  </si>
  <si>
    <t>TWU</t>
  </si>
  <si>
    <t>Angelo</t>
  </si>
  <si>
    <t>TTU</t>
  </si>
  <si>
    <t>TSU</t>
  </si>
  <si>
    <t>SFA</t>
  </si>
  <si>
    <t>UNTD</t>
  </si>
  <si>
    <t>UNT</t>
  </si>
  <si>
    <t>Midwestern</t>
  </si>
  <si>
    <t>UHV</t>
  </si>
  <si>
    <t>UHD</t>
  </si>
  <si>
    <t>UHCL</t>
  </si>
  <si>
    <t>UH</t>
  </si>
  <si>
    <t>TAMUT</t>
  </si>
  <si>
    <t>TAMUC</t>
  </si>
  <si>
    <t>WTAMU</t>
  </si>
  <si>
    <t>TAMI</t>
  </si>
  <si>
    <t>TAMUSA</t>
  </si>
  <si>
    <t>TAMUK</t>
  </si>
  <si>
    <t>TAMUCC</t>
  </si>
  <si>
    <t>TAMUCT</t>
  </si>
  <si>
    <t>Tarleton</t>
  </si>
  <si>
    <t>Prairie View</t>
  </si>
  <si>
    <t>TAMUG</t>
  </si>
  <si>
    <t>TAMU</t>
  </si>
  <si>
    <t>UTT</t>
  </si>
  <si>
    <t>UTSA</t>
  </si>
  <si>
    <t>UTPB</t>
  </si>
  <si>
    <t>UTB</t>
  </si>
  <si>
    <t>UTPA</t>
  </si>
  <si>
    <t>UTEP</t>
  </si>
  <si>
    <t>UTD</t>
  </si>
  <si>
    <t>UT</t>
  </si>
  <si>
    <t>UTA</t>
  </si>
  <si>
    <t>Funding</t>
  </si>
  <si>
    <t>Points Three-Year Average - Scaled</t>
  </si>
  <si>
    <t>Points Three-Year Average - Scaled and Weighted</t>
  </si>
  <si>
    <t>Total Weights</t>
  </si>
  <si>
    <t>Scale</t>
  </si>
  <si>
    <t>TXST</t>
  </si>
  <si>
    <t>2014-2015 Undergraduate Instruction and Operations Percent of Total</t>
  </si>
  <si>
    <t>Threshold</t>
  </si>
  <si>
    <t>Phase-In Set-Asides</t>
  </si>
  <si>
    <t>Funding After Set-Asides</t>
  </si>
  <si>
    <t>Phase-In Adjustment</t>
  </si>
  <si>
    <t>Rank of Total Average Scaled Points per Institution</t>
  </si>
  <si>
    <t>Increase/ (Decrease) from I&amp;O</t>
  </si>
  <si>
    <r>
      <rPr>
        <b/>
        <sz val="10"/>
        <rFont val="Tahoma"/>
        <family val="2"/>
      </rPr>
      <t>Option 21</t>
    </r>
    <r>
      <rPr>
        <sz val="10"/>
        <rFont val="Tahoma"/>
        <family val="2"/>
      </rPr>
      <t xml:space="preserve"> - Outcomes Based Funding (FY 2010 - FY 2012 Averaged) with Total Undergraduate Degrees, Total Undergraduate Degrees adjusted by Six-Year Graduation Rate (Three-Year Rate for Upper-Levels), Total Undergraduate Degrees per 100 FTSE, Cost Weighted Degrees, Undergraduate At-Risk Degrees, and Retention Metrics of 30, 60, and 90 hours. Metrics are scaled for mathematical comparability and optimally weighted by institution. The model is funded at 10 percent of undergraduate formula funding.</t>
    </r>
  </si>
  <si>
    <t>Funding Per Degree</t>
  </si>
  <si>
    <t>Funding Per FTSE</t>
  </si>
  <si>
    <r>
      <rPr>
        <b/>
        <sz val="10"/>
        <rFont val="Tahoma"/>
        <family val="2"/>
      </rPr>
      <t>Option 22</t>
    </r>
    <r>
      <rPr>
        <sz val="10"/>
        <rFont val="Tahoma"/>
        <family val="2"/>
      </rPr>
      <t xml:space="preserve"> - Outcomes Based Funding (FY 2010 - FY 2012 Averaged) with Total Undergraduate Degrees, Total Undergraduate Degrees adjusted by Six-Year Graduation Rate (Three-Year Rate for Upper-Levels), Total Undergraduate Degrees per 100 FTSE, Undergraduate At-Risk Degrees, and Retention Metrics of 30, 60, and 90 hours. Metrics are scaled for mathematical comparability and optimally weighted by institution. The model is funded at 10 percent of undergraduate formula funding.</t>
    </r>
  </si>
</sst>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4" formatCode="_(&quot;$&quot;* #,##0.00_);_(&quot;$&quot;* \(#,##0.00\);_(&quot;$&quot;* &quot;-&quot;??_);_(@_)"/>
    <numFmt numFmtId="43" formatCode="_(* #,##0.00_);_(* \(#,##0.00\);_(* &quot;-&quot;??_);_(@_)"/>
    <numFmt numFmtId="164" formatCode="_(* #,##0_);_(* \(#,##0\);_(* &quot;-&quot;??_);_(@_)"/>
    <numFmt numFmtId="165" formatCode="000000"/>
    <numFmt numFmtId="166" formatCode="_(&quot;$&quot;* #,##0_);_(&quot;$&quot;* \(#,##0\);_(&quot;$&quot;* &quot;-&quot;??_);_(@_)"/>
    <numFmt numFmtId="167" formatCode="0.0%"/>
    <numFmt numFmtId="168" formatCode="&quot;$&quot;#,##0"/>
  </numFmts>
  <fonts count="14" x14ac:knownFonts="1">
    <font>
      <sz val="10"/>
      <color theme="1"/>
      <name val="Tahoma"/>
      <family val="2"/>
    </font>
    <font>
      <sz val="11"/>
      <color theme="1"/>
      <name val="Calibri"/>
      <family val="2"/>
      <scheme val="minor"/>
    </font>
    <font>
      <b/>
      <sz val="10"/>
      <color theme="1"/>
      <name val="Tahoma"/>
      <family val="2"/>
    </font>
    <font>
      <sz val="10"/>
      <color theme="0"/>
      <name val="Tahoma"/>
      <family val="2"/>
    </font>
    <font>
      <sz val="10"/>
      <name val="System"/>
      <family val="2"/>
    </font>
    <font>
      <sz val="10"/>
      <name val="Tahoma"/>
      <family val="2"/>
    </font>
    <font>
      <i/>
      <sz val="10"/>
      <name val="System"/>
      <family val="2"/>
    </font>
    <font>
      <b/>
      <sz val="10"/>
      <name val="Tahoma"/>
      <family val="2"/>
    </font>
    <font>
      <sz val="10"/>
      <name val="Arial"/>
      <family val="2"/>
    </font>
    <font>
      <sz val="10"/>
      <name val="MS Sans Serif"/>
      <family val="2"/>
    </font>
    <font>
      <sz val="11"/>
      <color theme="1"/>
      <name val="Calibri"/>
      <family val="2"/>
      <scheme val="minor"/>
    </font>
    <font>
      <sz val="11"/>
      <color theme="1"/>
      <name val="Tahoma"/>
      <family val="2"/>
    </font>
    <font>
      <sz val="12"/>
      <name val="Arial"/>
      <family val="2"/>
    </font>
    <font>
      <sz val="10"/>
      <color theme="1"/>
      <name val="Tahoma"/>
      <family val="2"/>
    </font>
  </fonts>
  <fills count="12">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3"/>
        <bgColor indexed="64"/>
      </patternFill>
    </fill>
    <fill>
      <patternFill patternType="solid">
        <fgColor theme="3" tint="0.59999389629810485"/>
        <bgColor indexed="64"/>
      </patternFill>
    </fill>
    <fill>
      <patternFill patternType="solid">
        <fgColor rgb="FF92D050"/>
        <bgColor indexed="64"/>
      </patternFill>
    </fill>
    <fill>
      <patternFill patternType="solid">
        <fgColor rgb="FF00B050"/>
        <bgColor indexed="64"/>
      </patternFill>
    </fill>
    <fill>
      <patternFill patternType="solid">
        <fgColor rgb="FFFFC000"/>
        <bgColor indexed="64"/>
      </patternFill>
    </fill>
    <fill>
      <patternFill patternType="solid">
        <fgColor rgb="FFFF6161"/>
        <bgColor indexed="64"/>
      </patternFill>
    </fill>
    <fill>
      <patternFill patternType="solid">
        <fgColor theme="3" tint="0.39997558519241921"/>
        <bgColor indexed="64"/>
      </patternFill>
    </fill>
    <fill>
      <patternFill patternType="solid">
        <fgColor theme="5" tint="0.39997558519241921"/>
        <bgColor indexed="64"/>
      </patternFill>
    </fill>
  </fills>
  <borders count="70">
    <border>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thin">
        <color theme="0"/>
      </left>
      <right/>
      <top style="thin">
        <color theme="0"/>
      </top>
      <bottom style="medium">
        <color indexed="64"/>
      </bottom>
      <diagonal/>
    </border>
    <border>
      <left style="thin">
        <color theme="0"/>
      </left>
      <right style="thin">
        <color theme="0"/>
      </right>
      <top style="thin">
        <color theme="0"/>
      </top>
      <bottom style="medium">
        <color indexed="64"/>
      </bottom>
      <diagonal/>
    </border>
    <border>
      <left style="medium">
        <color theme="0"/>
      </left>
      <right style="thin">
        <color theme="0"/>
      </right>
      <top style="thin">
        <color theme="0"/>
      </top>
      <bottom style="medium">
        <color indexed="64"/>
      </bottom>
      <diagonal/>
    </border>
    <border>
      <left/>
      <right/>
      <top style="thin">
        <color indexed="64"/>
      </top>
      <bottom style="medium">
        <color indexed="64"/>
      </bottom>
      <diagonal/>
    </border>
    <border>
      <left style="thin">
        <color theme="0"/>
      </left>
      <right style="medium">
        <color theme="0"/>
      </right>
      <top style="thin">
        <color theme="0"/>
      </top>
      <bottom style="medium">
        <color indexed="64"/>
      </bottom>
      <diagonal/>
    </border>
    <border>
      <left style="thin">
        <color theme="0"/>
      </left>
      <right style="medium">
        <color theme="0"/>
      </right>
      <top/>
      <bottom style="medium">
        <color indexed="64"/>
      </bottom>
      <diagonal/>
    </border>
    <border>
      <left style="thin">
        <color theme="0"/>
      </left>
      <right style="thin">
        <color theme="0"/>
      </right>
      <top/>
      <bottom style="medium">
        <color indexed="64"/>
      </bottom>
      <diagonal/>
    </border>
    <border>
      <left style="thin">
        <color theme="0"/>
      </left>
      <right style="thin">
        <color theme="0"/>
      </right>
      <top style="thin">
        <color indexed="64"/>
      </top>
      <bottom style="medium">
        <color indexed="64"/>
      </bottom>
      <diagonal/>
    </border>
    <border>
      <left/>
      <right style="thin">
        <color theme="0"/>
      </right>
      <top/>
      <bottom style="medium">
        <color indexed="64"/>
      </bottom>
      <diagonal/>
    </border>
    <border>
      <left style="medium">
        <color indexed="64"/>
      </left>
      <right style="thin">
        <color theme="0"/>
      </right>
      <top/>
      <bottom style="medium">
        <color indexed="64"/>
      </bottom>
      <diagonal/>
    </border>
    <border>
      <left/>
      <right/>
      <top style="medium">
        <color indexed="64"/>
      </top>
      <bottom style="thin">
        <color theme="0"/>
      </bottom>
      <diagonal/>
    </border>
    <border>
      <left style="medium">
        <color theme="0"/>
      </left>
      <right/>
      <top style="medium">
        <color indexed="64"/>
      </top>
      <bottom style="thin">
        <color theme="0"/>
      </bottom>
      <diagonal/>
    </border>
    <border>
      <left/>
      <right/>
      <top style="medium">
        <color indexed="64"/>
      </top>
      <bottom style="thin">
        <color indexed="64"/>
      </bottom>
      <diagonal/>
    </border>
    <border>
      <left style="thin">
        <color theme="0"/>
      </left>
      <right style="medium">
        <color theme="0"/>
      </right>
      <top style="medium">
        <color indexed="64"/>
      </top>
      <bottom/>
      <diagonal/>
    </border>
    <border>
      <left style="thin">
        <color theme="0"/>
      </left>
      <right style="thin">
        <color theme="0"/>
      </right>
      <top style="medium">
        <color indexed="64"/>
      </top>
      <bottom/>
      <diagonal/>
    </border>
    <border>
      <left style="thin">
        <color theme="0"/>
      </left>
      <right style="thin">
        <color theme="0"/>
      </right>
      <top style="medium">
        <color indexed="64"/>
      </top>
      <bottom style="thin">
        <color indexed="64"/>
      </bottom>
      <diagonal/>
    </border>
    <border>
      <left/>
      <right style="thin">
        <color theme="0"/>
      </right>
      <top style="medium">
        <color indexed="64"/>
      </top>
      <bottom/>
      <diagonal/>
    </border>
    <border>
      <left style="medium">
        <color indexed="64"/>
      </left>
      <right style="thin">
        <color theme="0"/>
      </right>
      <top style="medium">
        <color indexed="64"/>
      </top>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bottom style="thin">
        <color indexed="64"/>
      </bottom>
      <diagonal/>
    </border>
    <border>
      <left style="medium">
        <color theme="0"/>
      </left>
      <right/>
      <top/>
      <bottom style="medium">
        <color indexed="64"/>
      </bottom>
      <diagonal/>
    </border>
    <border>
      <left/>
      <right style="medium">
        <color theme="0"/>
      </right>
      <top style="medium">
        <color indexed="64"/>
      </top>
      <bottom/>
      <diagonal/>
    </border>
    <border>
      <left/>
      <right/>
      <top style="medium">
        <color indexed="64"/>
      </top>
      <bottom/>
      <diagonal/>
    </border>
    <border>
      <left style="medium">
        <color theme="0"/>
      </left>
      <right/>
      <top style="medium">
        <color indexed="64"/>
      </top>
      <bottom/>
      <diagonal/>
    </border>
    <border>
      <left/>
      <right/>
      <top/>
      <bottom style="medium">
        <color indexed="64"/>
      </bottom>
      <diagonal/>
    </border>
    <border>
      <left style="medium">
        <color theme="0"/>
      </left>
      <right style="medium">
        <color theme="0"/>
      </right>
      <top/>
      <bottom style="medium">
        <color indexed="64"/>
      </bottom>
      <diagonal/>
    </border>
    <border>
      <left style="thin">
        <color theme="0"/>
      </left>
      <right/>
      <top/>
      <bottom style="medium">
        <color indexed="64"/>
      </bottom>
      <diagonal/>
    </border>
    <border>
      <left style="medium">
        <color indexed="64"/>
      </left>
      <right/>
      <top/>
      <bottom style="medium">
        <color indexed="64"/>
      </bottom>
      <diagonal/>
    </border>
    <border>
      <left style="medium">
        <color theme="0"/>
      </left>
      <right style="medium">
        <color theme="0"/>
      </right>
      <top style="medium">
        <color indexed="64"/>
      </top>
      <bottom/>
      <diagonal/>
    </border>
    <border>
      <left style="thin">
        <color theme="0"/>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thin">
        <color theme="0"/>
      </left>
      <right style="thin">
        <color theme="0"/>
      </right>
      <top style="thin">
        <color theme="0"/>
      </top>
      <bottom style="thin">
        <color indexed="64"/>
      </bottom>
      <diagonal/>
    </border>
    <border>
      <left/>
      <right style="medium">
        <color indexed="64"/>
      </right>
      <top style="medium">
        <color indexed="64"/>
      </top>
      <bottom style="thin">
        <color theme="0"/>
      </bottom>
      <diagonal/>
    </border>
    <border>
      <left style="thin">
        <color theme="0"/>
      </left>
      <right style="medium">
        <color indexed="64"/>
      </right>
      <top style="thin">
        <color theme="0"/>
      </top>
      <bottom style="medium">
        <color indexed="64"/>
      </bottom>
      <diagonal/>
    </border>
    <border>
      <left/>
      <right/>
      <top style="thin">
        <color indexed="64"/>
      </top>
      <bottom style="thin">
        <color indexed="64"/>
      </bottom>
      <diagonal/>
    </border>
    <border>
      <left style="medium">
        <color theme="0"/>
      </left>
      <right/>
      <top/>
      <bottom/>
      <diagonal/>
    </border>
    <border>
      <left style="thin">
        <color theme="0"/>
      </left>
      <right style="thin">
        <color theme="0"/>
      </right>
      <top style="thin">
        <color theme="0"/>
      </top>
      <bottom/>
      <diagonal/>
    </border>
    <border>
      <left style="thin">
        <color theme="0"/>
      </left>
      <right style="medium">
        <color theme="0"/>
      </right>
      <top style="thin">
        <color theme="0"/>
      </top>
      <bottom/>
      <diagonal/>
    </border>
    <border>
      <left/>
      <right/>
      <top style="thin">
        <color indexed="64"/>
      </top>
      <bottom/>
      <diagonal/>
    </border>
    <border>
      <left style="medium">
        <color theme="0"/>
      </left>
      <right style="thin">
        <color theme="0"/>
      </right>
      <top style="thin">
        <color theme="0"/>
      </top>
      <bottom/>
      <diagonal/>
    </border>
    <border>
      <left style="medium">
        <color indexed="64"/>
      </left>
      <right style="thin">
        <color theme="0"/>
      </right>
      <top style="medium">
        <color indexed="64"/>
      </top>
      <bottom style="thin">
        <color theme="0"/>
      </bottom>
      <diagonal/>
    </border>
    <border>
      <left style="thin">
        <color theme="0"/>
      </left>
      <right style="thin">
        <color theme="0"/>
      </right>
      <top style="medium">
        <color indexed="64"/>
      </top>
      <bottom style="thin">
        <color theme="0"/>
      </bottom>
      <diagonal/>
    </border>
    <border>
      <left style="thin">
        <color theme="0"/>
      </left>
      <right style="medium">
        <color indexed="64"/>
      </right>
      <top style="medium">
        <color indexed="64"/>
      </top>
      <bottom style="thin">
        <color theme="0"/>
      </bottom>
      <diagonal/>
    </border>
    <border>
      <left style="medium">
        <color indexed="64"/>
      </left>
      <right style="thin">
        <color theme="0"/>
      </right>
      <top style="thin">
        <color theme="0"/>
      </top>
      <bottom style="thin">
        <color indexed="64"/>
      </bottom>
      <diagonal/>
    </border>
    <border>
      <left style="thin">
        <color theme="0"/>
      </left>
      <right style="medium">
        <color indexed="64"/>
      </right>
      <top style="thin">
        <color theme="0"/>
      </top>
      <bottom style="thin">
        <color indexed="64"/>
      </bottom>
      <diagonal/>
    </border>
    <border>
      <left/>
      <right style="medium">
        <color indexed="64"/>
      </right>
      <top/>
      <bottom style="medium">
        <color indexed="64"/>
      </bottom>
      <diagonal/>
    </border>
    <border>
      <left style="thin">
        <color theme="0"/>
      </left>
      <right style="medium">
        <color indexed="64"/>
      </right>
      <top style="thin">
        <color theme="0"/>
      </top>
      <bottom/>
      <diagonal/>
    </border>
  </borders>
  <cellStyleXfs count="65">
    <xf numFmtId="0" fontId="0" fillId="0" borderId="0"/>
    <xf numFmtId="9" fontId="8" fillId="0" borderId="0" applyFont="0" applyFill="0" applyBorder="0" applyAlignment="0" applyProtection="0"/>
    <xf numFmtId="0" fontId="4" fillId="0" borderId="0"/>
    <xf numFmtId="43" fontId="6" fillId="0" borderId="0" applyFont="0" applyFill="0" applyBorder="0" applyAlignment="0" applyProtection="0"/>
    <xf numFmtId="9" fontId="4" fillId="0" borderId="0" applyFont="0" applyFill="0" applyBorder="0" applyAlignment="0" applyProtection="0"/>
    <xf numFmtId="44"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3" fontId="8" fillId="0" borderId="0"/>
    <xf numFmtId="3" fontId="8" fillId="0" borderId="0"/>
    <xf numFmtId="44" fontId="8" fillId="0" borderId="0" applyFont="0" applyFill="0" applyBorder="0" applyAlignment="0" applyProtection="0"/>
    <xf numFmtId="44" fontId="8" fillId="0" borderId="0" applyFont="0" applyFill="0" applyBorder="0" applyAlignment="0" applyProtection="0"/>
    <xf numFmtId="44" fontId="9" fillId="0" borderId="0" applyFont="0" applyFill="0" applyBorder="0" applyAlignment="0" applyProtection="0"/>
    <xf numFmtId="44" fontId="11" fillId="0" borderId="0" applyFont="0" applyFill="0" applyBorder="0" applyAlignment="0" applyProtection="0"/>
    <xf numFmtId="44" fontId="8" fillId="0" borderId="0" applyFont="0" applyFill="0" applyBorder="0" applyAlignment="0" applyProtection="0"/>
    <xf numFmtId="0" fontId="8" fillId="0" borderId="0"/>
    <xf numFmtId="0" fontId="8"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xf numFmtId="0" fontId="11" fillId="0" borderId="0"/>
    <xf numFmtId="0" fontId="8" fillId="0" borderId="0"/>
    <xf numFmtId="0" fontId="9" fillId="0" borderId="0"/>
    <xf numFmtId="0" fontId="9" fillId="0" borderId="0"/>
    <xf numFmtId="0" fontId="12" fillId="0" borderId="0"/>
    <xf numFmtId="0" fontId="12" fillId="0" borderId="0"/>
    <xf numFmtId="0" fontId="12" fillId="0" borderId="0"/>
    <xf numFmtId="0" fontId="12" fillId="0" borderId="0"/>
    <xf numFmtId="0" fontId="11" fillId="0" borderId="0"/>
    <xf numFmtId="9" fontId="9" fillId="0" borderId="0" applyFont="0" applyFill="0" applyBorder="0" applyAlignment="0" applyProtection="0"/>
    <xf numFmtId="9" fontId="9"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9"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cellStyleXfs>
  <cellXfs count="201">
    <xf numFmtId="0" fontId="0" fillId="0" borderId="0" xfId="0"/>
    <xf numFmtId="0" fontId="5" fillId="0" borderId="0" xfId="2" applyFont="1"/>
    <xf numFmtId="0" fontId="5" fillId="0" borderId="0" xfId="2" applyNumberFormat="1" applyFont="1"/>
    <xf numFmtId="164" fontId="5" fillId="0" borderId="1" xfId="2" applyNumberFormat="1" applyFont="1" applyBorder="1"/>
    <xf numFmtId="164" fontId="5" fillId="0" borderId="2" xfId="2" applyNumberFormat="1" applyFont="1" applyBorder="1"/>
    <xf numFmtId="164" fontId="5" fillId="0" borderId="3" xfId="2" applyNumberFormat="1" applyFont="1" applyBorder="1"/>
    <xf numFmtId="164" fontId="5" fillId="0" borderId="4" xfId="2" applyNumberFormat="1" applyFont="1" applyBorder="1"/>
    <xf numFmtId="164" fontId="5" fillId="0" borderId="2" xfId="3" applyNumberFormat="1" applyFont="1" applyBorder="1"/>
    <xf numFmtId="9" fontId="5" fillId="0" borderId="2" xfId="4" applyFont="1" applyBorder="1"/>
    <xf numFmtId="164" fontId="5" fillId="0" borderId="3" xfId="3" applyNumberFormat="1" applyFont="1" applyBorder="1"/>
    <xf numFmtId="164" fontId="5" fillId="0" borderId="5" xfId="2" applyNumberFormat="1" applyFont="1" applyBorder="1" applyAlignment="1">
      <alignment horizontal="right"/>
    </xf>
    <xf numFmtId="0" fontId="5" fillId="0" borderId="1" xfId="2" applyFont="1" applyBorder="1" applyAlignment="1">
      <alignment horizontal="right"/>
    </xf>
    <xf numFmtId="0" fontId="5" fillId="0" borderId="3" xfId="2" applyFont="1" applyBorder="1"/>
    <xf numFmtId="164" fontId="5" fillId="0" borderId="6" xfId="3" applyNumberFormat="1" applyFont="1" applyBorder="1"/>
    <xf numFmtId="164" fontId="5" fillId="0" borderId="7" xfId="3" applyNumberFormat="1" applyFont="1" applyBorder="1"/>
    <xf numFmtId="164" fontId="5" fillId="0" borderId="8" xfId="3" applyNumberFormat="1" applyFont="1" applyBorder="1"/>
    <xf numFmtId="164" fontId="5" fillId="0" borderId="9" xfId="3" applyNumberFormat="1" applyFont="1" applyBorder="1"/>
    <xf numFmtId="9" fontId="7" fillId="0" borderId="7" xfId="4" applyFont="1" applyBorder="1"/>
    <xf numFmtId="164" fontId="5" fillId="0" borderId="10" xfId="2" applyNumberFormat="1" applyFont="1" applyBorder="1"/>
    <xf numFmtId="0" fontId="5" fillId="0" borderId="6" xfId="2" applyFont="1" applyBorder="1"/>
    <xf numFmtId="165" fontId="5" fillId="0" borderId="8" xfId="2" applyNumberFormat="1" applyFont="1" applyBorder="1"/>
    <xf numFmtId="9" fontId="5" fillId="0" borderId="7" xfId="4" applyFont="1" applyBorder="1"/>
    <xf numFmtId="164" fontId="5" fillId="2" borderId="6" xfId="3" applyNumberFormat="1" applyFont="1" applyFill="1" applyBorder="1"/>
    <xf numFmtId="164" fontId="5" fillId="2" borderId="7" xfId="3" applyNumberFormat="1" applyFont="1" applyFill="1" applyBorder="1"/>
    <xf numFmtId="164" fontId="5" fillId="2" borderId="8" xfId="3" applyNumberFormat="1" applyFont="1" applyFill="1" applyBorder="1"/>
    <xf numFmtId="164" fontId="5" fillId="2" borderId="9" xfId="3" applyNumberFormat="1" applyFont="1" applyFill="1" applyBorder="1"/>
    <xf numFmtId="9" fontId="5" fillId="2" borderId="7" xfId="4" applyFont="1" applyFill="1" applyBorder="1"/>
    <xf numFmtId="165" fontId="5" fillId="0" borderId="8" xfId="2" quotePrefix="1" applyNumberFormat="1" applyFont="1" applyBorder="1"/>
    <xf numFmtId="164" fontId="5" fillId="0" borderId="6" xfId="3" applyNumberFormat="1" applyFont="1" applyFill="1" applyBorder="1"/>
    <xf numFmtId="164" fontId="5" fillId="0" borderId="7" xfId="3" applyNumberFormat="1" applyFont="1" applyFill="1" applyBorder="1"/>
    <xf numFmtId="164" fontId="5" fillId="0" borderId="8" xfId="3" applyNumberFormat="1" applyFont="1" applyFill="1" applyBorder="1"/>
    <xf numFmtId="164" fontId="5" fillId="0" borderId="11" xfId="3" applyNumberFormat="1" applyFont="1" applyBorder="1"/>
    <xf numFmtId="164" fontId="5" fillId="0" borderId="12" xfId="3" applyNumberFormat="1" applyFont="1" applyBorder="1"/>
    <xf numFmtId="164" fontId="5" fillId="0" borderId="13" xfId="3" applyNumberFormat="1" applyFont="1" applyBorder="1"/>
    <xf numFmtId="164" fontId="5" fillId="0" borderId="14" xfId="3" applyNumberFormat="1" applyFont="1" applyBorder="1"/>
    <xf numFmtId="164" fontId="5" fillId="0" borderId="15" xfId="3" applyNumberFormat="1" applyFont="1" applyBorder="1"/>
    <xf numFmtId="164" fontId="5" fillId="0" borderId="16" xfId="3" applyNumberFormat="1" applyFont="1" applyBorder="1"/>
    <xf numFmtId="9" fontId="5" fillId="0" borderId="12" xfId="4" applyFont="1" applyBorder="1"/>
    <xf numFmtId="164" fontId="5" fillId="0" borderId="17" xfId="2" applyNumberFormat="1" applyFont="1" applyBorder="1"/>
    <xf numFmtId="0" fontId="5" fillId="0" borderId="15" xfId="2" applyFont="1" applyBorder="1"/>
    <xf numFmtId="165" fontId="5" fillId="0" borderId="16" xfId="2" applyNumberFormat="1" applyFont="1" applyBorder="1"/>
    <xf numFmtId="0" fontId="5" fillId="0" borderId="0" xfId="2" applyFont="1" applyAlignment="1">
      <alignment horizontal="center"/>
    </xf>
    <xf numFmtId="0" fontId="7" fillId="0" borderId="0" xfId="2" applyFont="1"/>
    <xf numFmtId="164" fontId="5" fillId="0" borderId="9" xfId="3" applyNumberFormat="1" applyFont="1" applyFill="1" applyBorder="1"/>
    <xf numFmtId="9" fontId="5" fillId="0" borderId="7" xfId="4" applyFont="1" applyFill="1" applyBorder="1"/>
    <xf numFmtId="164" fontId="5" fillId="3" borderId="6" xfId="3" applyNumberFormat="1" applyFont="1" applyFill="1" applyBorder="1"/>
    <xf numFmtId="164" fontId="5" fillId="3" borderId="7" xfId="3" applyNumberFormat="1" applyFont="1" applyFill="1" applyBorder="1"/>
    <xf numFmtId="164" fontId="5" fillId="3" borderId="8" xfId="3" applyNumberFormat="1" applyFont="1" applyFill="1" applyBorder="1"/>
    <xf numFmtId="164" fontId="5" fillId="0" borderId="11" xfId="3" applyNumberFormat="1" applyFont="1" applyFill="1" applyBorder="1"/>
    <xf numFmtId="164" fontId="5" fillId="0" borderId="12" xfId="3" applyNumberFormat="1" applyFont="1" applyFill="1" applyBorder="1"/>
    <xf numFmtId="164" fontId="5" fillId="0" borderId="13" xfId="3" applyNumberFormat="1" applyFont="1" applyFill="1" applyBorder="1"/>
    <xf numFmtId="3" fontId="7" fillId="0" borderId="0" xfId="2" applyNumberFormat="1" applyFont="1"/>
    <xf numFmtId="0" fontId="2" fillId="0" borderId="0" xfId="2" applyFont="1" applyBorder="1" applyAlignment="1">
      <alignment horizontal="center" vertical="center"/>
    </xf>
    <xf numFmtId="164" fontId="5" fillId="0" borderId="36" xfId="2" applyNumberFormat="1" applyFont="1" applyBorder="1" applyAlignment="1">
      <alignment horizontal="right"/>
    </xf>
    <xf numFmtId="164" fontId="5" fillId="0" borderId="37" xfId="2" applyNumberFormat="1" applyFont="1" applyBorder="1"/>
    <xf numFmtId="164" fontId="5" fillId="0" borderId="38" xfId="3" applyNumberFormat="1" applyFont="1" applyBorder="1"/>
    <xf numFmtId="0" fontId="7" fillId="0" borderId="0" xfId="2" applyFont="1" applyAlignment="1"/>
    <xf numFmtId="166" fontId="5" fillId="0" borderId="0" xfId="5" applyNumberFormat="1" applyFont="1" applyBorder="1"/>
    <xf numFmtId="0" fontId="5" fillId="0" borderId="0" xfId="2" applyFont="1" applyBorder="1"/>
    <xf numFmtId="166" fontId="5" fillId="0" borderId="1" xfId="5" applyNumberFormat="1" applyFont="1" applyBorder="1"/>
    <xf numFmtId="166" fontId="5" fillId="0" borderId="2" xfId="5" applyNumberFormat="1" applyFont="1" applyBorder="1"/>
    <xf numFmtId="166" fontId="5" fillId="0" borderId="3" xfId="5" applyNumberFormat="1" applyFont="1" applyBorder="1"/>
    <xf numFmtId="166" fontId="5" fillId="0" borderId="4" xfId="5" applyNumberFormat="1" applyFont="1" applyBorder="1"/>
    <xf numFmtId="164" fontId="5" fillId="0" borderId="9" xfId="2" applyNumberFormat="1" applyFont="1" applyBorder="1"/>
    <xf numFmtId="0" fontId="5" fillId="0" borderId="8" xfId="2" quotePrefix="1" applyFont="1" applyBorder="1"/>
    <xf numFmtId="166" fontId="5" fillId="0" borderId="15" xfId="5" applyNumberFormat="1" applyFont="1" applyBorder="1"/>
    <xf numFmtId="166" fontId="5" fillId="0" borderId="38" xfId="5" applyNumberFormat="1" applyFont="1" applyBorder="1"/>
    <xf numFmtId="166" fontId="5" fillId="0" borderId="16" xfId="5" applyNumberFormat="1" applyFont="1" applyBorder="1"/>
    <xf numFmtId="166" fontId="5" fillId="0" borderId="14" xfId="5" applyNumberFormat="1" applyFont="1" applyBorder="1"/>
    <xf numFmtId="166" fontId="5" fillId="0" borderId="40" xfId="5" applyNumberFormat="1" applyFont="1" applyBorder="1"/>
    <xf numFmtId="0" fontId="5" fillId="0" borderId="46" xfId="2" applyFont="1" applyBorder="1"/>
    <xf numFmtId="0" fontId="7" fillId="0" borderId="46" xfId="2" applyFont="1" applyBorder="1"/>
    <xf numFmtId="167" fontId="5" fillId="0" borderId="8" xfId="1" applyNumberFormat="1" applyFont="1" applyBorder="1"/>
    <xf numFmtId="166" fontId="5" fillId="0" borderId="13" xfId="5" applyNumberFormat="1" applyFont="1" applyBorder="1"/>
    <xf numFmtId="0" fontId="5" fillId="0" borderId="0" xfId="3" applyNumberFormat="1" applyFont="1" applyFill="1" applyBorder="1" applyAlignment="1">
      <alignment horizontal="center"/>
    </xf>
    <xf numFmtId="165" fontId="7" fillId="0" borderId="0" xfId="2" applyNumberFormat="1" applyFont="1" applyBorder="1"/>
    <xf numFmtId="167" fontId="5" fillId="0" borderId="0" xfId="1" applyNumberFormat="1" applyFont="1"/>
    <xf numFmtId="10" fontId="5" fillId="0" borderId="44" xfId="4" applyNumberFormat="1" applyFont="1" applyFill="1" applyBorder="1"/>
    <xf numFmtId="0" fontId="5" fillId="0" borderId="44" xfId="2" applyFont="1" applyFill="1" applyBorder="1" applyAlignment="1">
      <alignment horizontal="left"/>
    </xf>
    <xf numFmtId="167" fontId="5" fillId="0" borderId="0" xfId="60" applyNumberFormat="1" applyFont="1" applyBorder="1"/>
    <xf numFmtId="167" fontId="5" fillId="0" borderId="0" xfId="60" applyNumberFormat="1" applyFont="1" applyFill="1" applyBorder="1"/>
    <xf numFmtId="167" fontId="5" fillId="0" borderId="7" xfId="60" applyNumberFormat="1" applyFont="1" applyFill="1" applyBorder="1"/>
    <xf numFmtId="167" fontId="5" fillId="0" borderId="6" xfId="60" applyNumberFormat="1" applyFont="1" applyFill="1" applyBorder="1"/>
    <xf numFmtId="164" fontId="5" fillId="0" borderId="13" xfId="58" applyNumberFormat="1" applyFont="1" applyFill="1" applyBorder="1"/>
    <xf numFmtId="164" fontId="5" fillId="0" borderId="12" xfId="58" applyNumberFormat="1" applyFont="1" applyFill="1" applyBorder="1"/>
    <xf numFmtId="164" fontId="5" fillId="0" borderId="11" xfId="58" applyNumberFormat="1" applyFont="1" applyFill="1" applyBorder="1"/>
    <xf numFmtId="164" fontId="5" fillId="0" borderId="53" xfId="58" applyNumberFormat="1" applyFont="1" applyFill="1" applyBorder="1"/>
    <xf numFmtId="164" fontId="5" fillId="0" borderId="8" xfId="58" applyNumberFormat="1" applyFont="1" applyFill="1" applyBorder="1"/>
    <xf numFmtId="164" fontId="5" fillId="0" borderId="7" xfId="58" applyNumberFormat="1" applyFont="1" applyFill="1" applyBorder="1"/>
    <xf numFmtId="164" fontId="5" fillId="0" borderId="6" xfId="58" applyNumberFormat="1" applyFont="1" applyFill="1" applyBorder="1"/>
    <xf numFmtId="164" fontId="5" fillId="0" borderId="0" xfId="58" applyNumberFormat="1" applyFont="1" applyFill="1" applyBorder="1"/>
    <xf numFmtId="0" fontId="5" fillId="0" borderId="13" xfId="58" applyNumberFormat="1" applyFont="1" applyFill="1" applyBorder="1" applyAlignment="1">
      <alignment horizontal="center"/>
    </xf>
    <xf numFmtId="0" fontId="5" fillId="0" borderId="12" xfId="58" applyNumberFormat="1" applyFont="1" applyFill="1" applyBorder="1" applyAlignment="1">
      <alignment horizontal="center"/>
    </xf>
    <xf numFmtId="0" fontId="5" fillId="0" borderId="11" xfId="58" applyNumberFormat="1" applyFont="1" applyFill="1" applyBorder="1" applyAlignment="1">
      <alignment horizontal="center"/>
    </xf>
    <xf numFmtId="164" fontId="5" fillId="0" borderId="7" xfId="58" applyNumberFormat="1" applyFont="1" applyBorder="1"/>
    <xf numFmtId="164" fontId="5" fillId="0" borderId="2" xfId="58" applyNumberFormat="1" applyFont="1" applyBorder="1"/>
    <xf numFmtId="164" fontId="5" fillId="0" borderId="12" xfId="58" applyNumberFormat="1" applyFont="1" applyBorder="1"/>
    <xf numFmtId="166" fontId="5" fillId="0" borderId="7" xfId="5" applyNumberFormat="1" applyFont="1" applyBorder="1"/>
    <xf numFmtId="164" fontId="5" fillId="0" borderId="7" xfId="2" applyNumberFormat="1" applyFont="1" applyBorder="1"/>
    <xf numFmtId="0" fontId="3" fillId="4" borderId="54" xfId="2" applyFont="1" applyFill="1" applyBorder="1" applyAlignment="1">
      <alignment horizontal="center" wrapText="1"/>
    </xf>
    <xf numFmtId="0" fontId="3" fillId="4" borderId="46" xfId="2" applyFont="1" applyFill="1" applyBorder="1" applyAlignment="1">
      <alignment wrapText="1"/>
    </xf>
    <xf numFmtId="0" fontId="3" fillId="4" borderId="19" xfId="2" applyFont="1" applyFill="1" applyBorder="1" applyAlignment="1">
      <alignment horizontal="center" wrapText="1"/>
    </xf>
    <xf numFmtId="164" fontId="3" fillId="4" borderId="18" xfId="3" applyNumberFormat="1" applyFont="1" applyFill="1" applyBorder="1" applyAlignment="1">
      <alignment horizontal="center" wrapText="1"/>
    </xf>
    <xf numFmtId="164" fontId="3" fillId="4" borderId="20" xfId="3" applyNumberFormat="1" applyFont="1" applyFill="1" applyBorder="1" applyAlignment="1">
      <alignment horizontal="center" wrapText="1"/>
    </xf>
    <xf numFmtId="164" fontId="3" fillId="4" borderId="19" xfId="3" applyNumberFormat="1" applyFont="1" applyFill="1" applyBorder="1" applyAlignment="1">
      <alignment horizontal="center" wrapText="1"/>
    </xf>
    <xf numFmtId="9" fontId="7" fillId="0" borderId="0" xfId="1" applyFont="1"/>
    <xf numFmtId="43" fontId="7" fillId="0" borderId="13" xfId="58" applyFont="1" applyBorder="1" applyAlignment="1">
      <alignment horizontal="center"/>
    </xf>
    <xf numFmtId="43" fontId="7" fillId="0" borderId="12" xfId="58" applyFont="1" applyBorder="1" applyAlignment="1">
      <alignment horizontal="center"/>
    </xf>
    <xf numFmtId="43" fontId="7" fillId="0" borderId="11" xfId="58" applyFont="1" applyBorder="1" applyAlignment="1">
      <alignment horizontal="center"/>
    </xf>
    <xf numFmtId="43" fontId="7" fillId="0" borderId="39" xfId="58" applyFont="1" applyBorder="1" applyAlignment="1">
      <alignment horizontal="center"/>
    </xf>
    <xf numFmtId="164" fontId="3" fillId="4" borderId="56" xfId="3" applyNumberFormat="1" applyFont="1" applyFill="1" applyBorder="1" applyAlignment="1">
      <alignment horizontal="center" wrapText="1"/>
    </xf>
    <xf numFmtId="165" fontId="5" fillId="0" borderId="3" xfId="2" applyNumberFormat="1" applyFont="1" applyBorder="1"/>
    <xf numFmtId="0" fontId="5" fillId="0" borderId="1" xfId="2" applyFont="1" applyBorder="1"/>
    <xf numFmtId="167" fontId="5" fillId="0" borderId="46" xfId="60" applyNumberFormat="1" applyFont="1" applyBorder="1"/>
    <xf numFmtId="164" fontId="5" fillId="0" borderId="3" xfId="58" applyNumberFormat="1" applyFont="1" applyFill="1" applyBorder="1"/>
    <xf numFmtId="164" fontId="5" fillId="0" borderId="2" xfId="58" applyNumberFormat="1" applyFont="1" applyFill="1" applyBorder="1"/>
    <xf numFmtId="164" fontId="5" fillId="0" borderId="1" xfId="58" applyNumberFormat="1" applyFont="1" applyFill="1" applyBorder="1"/>
    <xf numFmtId="167" fontId="5" fillId="0" borderId="57" xfId="1" applyNumberFormat="1" applyFont="1" applyBorder="1"/>
    <xf numFmtId="167" fontId="5" fillId="2" borderId="2" xfId="1" applyNumberFormat="1" applyFont="1" applyFill="1" applyBorder="1"/>
    <xf numFmtId="167" fontId="5" fillId="0" borderId="2" xfId="60" applyNumberFormat="1" applyFont="1" applyFill="1" applyBorder="1"/>
    <xf numFmtId="0" fontId="3" fillId="4" borderId="58" xfId="2" applyFont="1" applyFill="1" applyBorder="1" applyAlignment="1">
      <alignment wrapText="1"/>
    </xf>
    <xf numFmtId="0" fontId="3" fillId="4" borderId="59" xfId="2" applyFont="1" applyFill="1" applyBorder="1" applyAlignment="1">
      <alignment horizontal="center" wrapText="1"/>
    </xf>
    <xf numFmtId="164" fontId="3" fillId="4" borderId="62" xfId="3" applyNumberFormat="1" applyFont="1" applyFill="1" applyBorder="1" applyAlignment="1">
      <alignment horizontal="center" wrapText="1"/>
    </xf>
    <xf numFmtId="164" fontId="3" fillId="4" borderId="59" xfId="3" applyNumberFormat="1" applyFont="1" applyFill="1" applyBorder="1" applyAlignment="1">
      <alignment horizontal="center" wrapText="1"/>
    </xf>
    <xf numFmtId="0" fontId="3" fillId="4" borderId="42" xfId="2" applyFont="1" applyFill="1" applyBorder="1" applyAlignment="1">
      <alignment wrapText="1"/>
    </xf>
    <xf numFmtId="0" fontId="5" fillId="0" borderId="0" xfId="5" applyNumberFormat="1" applyFont="1" applyFill="1" applyBorder="1" applyAlignment="1">
      <alignment horizontal="center"/>
    </xf>
    <xf numFmtId="0" fontId="5" fillId="0" borderId="0" xfId="2" applyFont="1" applyFill="1" applyBorder="1"/>
    <xf numFmtId="9" fontId="5" fillId="0" borderId="0" xfId="1" applyFont="1" applyFill="1" applyBorder="1"/>
    <xf numFmtId="0" fontId="5" fillId="0" borderId="0" xfId="2" applyFont="1" applyFill="1" applyBorder="1" applyAlignment="1">
      <alignment horizontal="center"/>
    </xf>
    <xf numFmtId="0" fontId="3" fillId="4" borderId="66" xfId="2" applyFont="1" applyFill="1" applyBorder="1" applyAlignment="1">
      <alignment horizontal="center" wrapText="1"/>
    </xf>
    <xf numFmtId="0" fontId="3" fillId="4" borderId="67" xfId="2" applyFont="1" applyFill="1" applyBorder="1" applyAlignment="1">
      <alignment horizontal="center" wrapText="1"/>
    </xf>
    <xf numFmtId="166" fontId="5" fillId="0" borderId="6" xfId="5" applyNumberFormat="1" applyFont="1" applyBorder="1"/>
    <xf numFmtId="164" fontId="5" fillId="0" borderId="6" xfId="2" applyNumberFormat="1" applyFont="1" applyBorder="1"/>
    <xf numFmtId="167" fontId="5" fillId="0" borderId="8" xfId="1" applyNumberFormat="1" applyFont="1" applyFill="1" applyBorder="1" applyAlignment="1">
      <alignment horizontal="right"/>
    </xf>
    <xf numFmtId="166" fontId="5" fillId="5" borderId="6" xfId="59" applyNumberFormat="1" applyFont="1" applyFill="1" applyBorder="1"/>
    <xf numFmtId="0" fontId="3" fillId="4" borderId="3" xfId="2" applyFont="1" applyFill="1" applyBorder="1" applyAlignment="1">
      <alignment horizontal="right"/>
    </xf>
    <xf numFmtId="167" fontId="5" fillId="5" borderId="2" xfId="1" applyNumberFormat="1" applyFont="1" applyFill="1" applyBorder="1"/>
    <xf numFmtId="0" fontId="5" fillId="0" borderId="68" xfId="2" applyFont="1" applyBorder="1"/>
    <xf numFmtId="164" fontId="3" fillId="4" borderId="69" xfId="3" applyNumberFormat="1" applyFont="1" applyFill="1" applyBorder="1" applyAlignment="1">
      <alignment horizontal="center" wrapText="1"/>
    </xf>
    <xf numFmtId="167" fontId="5" fillId="0" borderId="21" xfId="1" applyNumberFormat="1" applyFont="1" applyBorder="1"/>
    <xf numFmtId="167" fontId="5" fillId="0" borderId="1" xfId="60" applyNumberFormat="1" applyFont="1" applyFill="1" applyBorder="1"/>
    <xf numFmtId="167" fontId="5" fillId="10" borderId="2" xfId="60" applyNumberFormat="1" applyFont="1" applyFill="1" applyBorder="1"/>
    <xf numFmtId="167" fontId="5" fillId="7" borderId="2" xfId="60" applyNumberFormat="1" applyFont="1" applyFill="1" applyBorder="1"/>
    <xf numFmtId="167" fontId="5" fillId="6" borderId="2" xfId="60" applyNumberFormat="1" applyFont="1" applyFill="1" applyBorder="1"/>
    <xf numFmtId="167" fontId="5" fillId="8" borderId="2" xfId="60" applyNumberFormat="1" applyFont="1" applyFill="1" applyBorder="1"/>
    <xf numFmtId="167" fontId="5" fillId="11" borderId="2" xfId="60" applyNumberFormat="1" applyFont="1" applyFill="1" applyBorder="1"/>
    <xf numFmtId="0" fontId="3" fillId="4" borderId="17" xfId="2" applyFont="1" applyFill="1" applyBorder="1" applyAlignment="1">
      <alignment horizontal="center" wrapText="1"/>
    </xf>
    <xf numFmtId="168" fontId="5" fillId="0" borderId="9" xfId="2" applyNumberFormat="1" applyFont="1" applyBorder="1"/>
    <xf numFmtId="3" fontId="5" fillId="0" borderId="9" xfId="2" applyNumberFormat="1" applyFont="1" applyBorder="1"/>
    <xf numFmtId="3" fontId="5" fillId="0" borderId="4" xfId="2" applyNumberFormat="1" applyFont="1" applyBorder="1"/>
    <xf numFmtId="3" fontId="5" fillId="0" borderId="9" xfId="2" applyNumberFormat="1" applyFont="1" applyFill="1" applyBorder="1"/>
    <xf numFmtId="0" fontId="5" fillId="0" borderId="0" xfId="2" applyFont="1" applyFill="1"/>
    <xf numFmtId="164" fontId="5" fillId="0" borderId="6" xfId="2" applyNumberFormat="1" applyFont="1" applyFill="1" applyBorder="1"/>
    <xf numFmtId="164" fontId="5" fillId="0" borderId="7" xfId="2" applyNumberFormat="1" applyFont="1" applyFill="1" applyBorder="1"/>
    <xf numFmtId="167" fontId="5" fillId="0" borderId="8" xfId="1" applyNumberFormat="1" applyFont="1" applyFill="1" applyBorder="1"/>
    <xf numFmtId="164" fontId="5" fillId="0" borderId="37" xfId="2" applyNumberFormat="1" applyFont="1" applyFill="1" applyBorder="1"/>
    <xf numFmtId="0" fontId="5" fillId="0" borderId="6" xfId="2" applyFont="1" applyFill="1" applyBorder="1"/>
    <xf numFmtId="164" fontId="3" fillId="4" borderId="22" xfId="3" applyNumberFormat="1" applyFont="1" applyFill="1" applyBorder="1" applyAlignment="1">
      <alignment horizontal="center" wrapText="1"/>
    </xf>
    <xf numFmtId="164" fontId="3" fillId="4" borderId="60" xfId="3" applyNumberFormat="1" applyFont="1" applyFill="1" applyBorder="1" applyAlignment="1">
      <alignment horizontal="center" wrapText="1"/>
    </xf>
    <xf numFmtId="164" fontId="3" fillId="4" borderId="60" xfId="3" applyNumberFormat="1" applyFont="1" applyFill="1" applyBorder="1" applyAlignment="1">
      <alignment horizontal="center" wrapText="1"/>
    </xf>
    <xf numFmtId="167" fontId="5" fillId="0" borderId="3" xfId="1" applyNumberFormat="1" applyFont="1" applyFill="1" applyBorder="1"/>
    <xf numFmtId="167" fontId="3" fillId="4" borderId="2" xfId="60" applyNumberFormat="1" applyFont="1" applyFill="1" applyBorder="1"/>
    <xf numFmtId="167" fontId="5" fillId="9" borderId="1" xfId="60" applyNumberFormat="1" applyFont="1" applyFill="1" applyBorder="1"/>
    <xf numFmtId="164" fontId="5" fillId="0" borderId="9" xfId="58" applyNumberFormat="1" applyFont="1" applyBorder="1"/>
    <xf numFmtId="164" fontId="5" fillId="0" borderId="9" xfId="58" applyNumberFormat="1" applyFont="1" applyFill="1" applyBorder="1"/>
    <xf numFmtId="164" fontId="5" fillId="0" borderId="4" xfId="58" applyNumberFormat="1" applyFont="1" applyBorder="1"/>
    <xf numFmtId="0" fontId="5" fillId="0" borderId="0" xfId="2" applyFont="1" applyAlignment="1">
      <alignment horizontal="left" vertical="top" wrapText="1"/>
    </xf>
    <xf numFmtId="0" fontId="3" fillId="4" borderId="52" xfId="2" applyFont="1" applyFill="1" applyBorder="1" applyAlignment="1">
      <alignment horizontal="center" wrapText="1"/>
    </xf>
    <xf numFmtId="0" fontId="3" fillId="4" borderId="49" xfId="2" applyFont="1" applyFill="1" applyBorder="1" applyAlignment="1">
      <alignment horizontal="center" wrapText="1"/>
    </xf>
    <xf numFmtId="0" fontId="3" fillId="4" borderId="51" xfId="2" applyFont="1" applyFill="1" applyBorder="1" applyAlignment="1">
      <alignment horizontal="center" wrapText="1"/>
    </xf>
    <xf numFmtId="0" fontId="3" fillId="4" borderId="48" xfId="2" applyFont="1" applyFill="1" applyBorder="1" applyAlignment="1">
      <alignment horizontal="center" wrapText="1"/>
    </xf>
    <xf numFmtId="0" fontId="3" fillId="4" borderId="50" xfId="2" applyFont="1" applyFill="1" applyBorder="1" applyAlignment="1">
      <alignment horizontal="center" wrapText="1"/>
    </xf>
    <xf numFmtId="0" fontId="3" fillId="4" borderId="47" xfId="2" applyFont="1" applyFill="1" applyBorder="1" applyAlignment="1">
      <alignment horizontal="center" wrapText="1"/>
    </xf>
    <xf numFmtId="0" fontId="3" fillId="4" borderId="45" xfId="2" applyFont="1" applyFill="1" applyBorder="1" applyAlignment="1">
      <alignment horizontal="center" vertical="center" wrapText="1"/>
    </xf>
    <xf numFmtId="0" fontId="3" fillId="4" borderId="44" xfId="2" applyFont="1" applyFill="1" applyBorder="1" applyAlignment="1">
      <alignment horizontal="center" vertical="center" wrapText="1"/>
    </xf>
    <xf numFmtId="0" fontId="3" fillId="4" borderId="43" xfId="2" applyFont="1" applyFill="1" applyBorder="1" applyAlignment="1">
      <alignment horizontal="center" vertical="center" wrapText="1"/>
    </xf>
    <xf numFmtId="164" fontId="3" fillId="4" borderId="30" xfId="3" applyNumberFormat="1" applyFont="1" applyFill="1" applyBorder="1" applyAlignment="1">
      <alignment horizontal="center" wrapText="1"/>
    </xf>
    <xf numFmtId="164" fontId="3" fillId="4" borderId="61" xfId="3" applyNumberFormat="1" applyFont="1" applyFill="1" applyBorder="1" applyAlignment="1">
      <alignment horizontal="center" wrapText="1"/>
    </xf>
    <xf numFmtId="164" fontId="3" fillId="4" borderId="29" xfId="3" applyNumberFormat="1" applyFont="1" applyFill="1" applyBorder="1" applyAlignment="1">
      <alignment horizontal="center" vertical="center" wrapText="1"/>
    </xf>
    <xf numFmtId="164" fontId="3" fillId="4" borderId="28" xfId="3" applyNumberFormat="1" applyFont="1" applyFill="1" applyBorder="1" applyAlignment="1">
      <alignment horizontal="center" vertical="center" wrapText="1"/>
    </xf>
    <xf numFmtId="164" fontId="3" fillId="4" borderId="55" xfId="3" applyNumberFormat="1" applyFont="1" applyFill="1" applyBorder="1" applyAlignment="1">
      <alignment horizontal="center" vertical="center" wrapText="1"/>
    </xf>
    <xf numFmtId="0" fontId="3" fillId="4" borderId="63" xfId="2" applyFont="1" applyFill="1" applyBorder="1" applyAlignment="1">
      <alignment horizontal="center"/>
    </xf>
    <xf numFmtId="0" fontId="3" fillId="4" borderId="64" xfId="2" applyFont="1" applyFill="1" applyBorder="1" applyAlignment="1">
      <alignment horizontal="center"/>
    </xf>
    <xf numFmtId="0" fontId="3" fillId="4" borderId="65" xfId="2" applyFont="1" applyFill="1" applyBorder="1" applyAlignment="1">
      <alignment horizontal="center"/>
    </xf>
    <xf numFmtId="0" fontId="3" fillId="4" borderId="35" xfId="2" applyFont="1" applyFill="1" applyBorder="1" applyAlignment="1">
      <alignment horizontal="center" wrapText="1"/>
    </xf>
    <xf numFmtId="0" fontId="3" fillId="4" borderId="27" xfId="2" applyFont="1" applyFill="1" applyBorder="1" applyAlignment="1">
      <alignment horizontal="center" wrapText="1"/>
    </xf>
    <xf numFmtId="0" fontId="3" fillId="4" borderId="32" xfId="2" applyFont="1" applyFill="1" applyBorder="1" applyAlignment="1">
      <alignment horizontal="center" wrapText="1"/>
    </xf>
    <xf numFmtId="0" fontId="3" fillId="4" borderId="24" xfId="2" applyFont="1" applyFill="1" applyBorder="1" applyAlignment="1">
      <alignment horizontal="center" wrapText="1"/>
    </xf>
    <xf numFmtId="0" fontId="3" fillId="4" borderId="31" xfId="2" applyFont="1" applyFill="1" applyBorder="1" applyAlignment="1">
      <alignment horizontal="center" wrapText="1"/>
    </xf>
    <xf numFmtId="0" fontId="3" fillId="4" borderId="23" xfId="2" applyFont="1" applyFill="1" applyBorder="1" applyAlignment="1">
      <alignment horizontal="center" wrapText="1"/>
    </xf>
    <xf numFmtId="164" fontId="3" fillId="4" borderId="21" xfId="3" applyNumberFormat="1" applyFont="1" applyFill="1" applyBorder="1" applyAlignment="1">
      <alignment horizontal="center" wrapText="1"/>
    </xf>
    <xf numFmtId="0" fontId="3" fillId="0" borderId="0" xfId="2" applyFont="1" applyFill="1" applyBorder="1" applyAlignment="1">
      <alignment horizontal="center" wrapText="1"/>
    </xf>
    <xf numFmtId="164" fontId="3" fillId="4" borderId="31" xfId="3" applyNumberFormat="1" applyFont="1" applyFill="1" applyBorder="1" applyAlignment="1">
      <alignment horizontal="center" wrapText="1"/>
    </xf>
    <xf numFmtId="164" fontId="3" fillId="4" borderId="23" xfId="3" applyNumberFormat="1" applyFont="1" applyFill="1" applyBorder="1" applyAlignment="1">
      <alignment horizontal="center" wrapText="1"/>
    </xf>
    <xf numFmtId="164" fontId="3" fillId="4" borderId="33" xfId="3" applyNumberFormat="1" applyFont="1" applyFill="1" applyBorder="1" applyAlignment="1">
      <alignment horizontal="center" wrapText="1"/>
    </xf>
    <xf numFmtId="164" fontId="3" fillId="4" borderId="25" xfId="3" applyNumberFormat="1" applyFont="1" applyFill="1" applyBorder="1" applyAlignment="1">
      <alignment horizontal="center" wrapText="1"/>
    </xf>
    <xf numFmtId="0" fontId="3" fillId="4" borderId="34" xfId="2" applyFont="1" applyFill="1" applyBorder="1" applyAlignment="1">
      <alignment horizontal="center" wrapText="1"/>
    </xf>
    <xf numFmtId="0" fontId="3" fillId="4" borderId="26" xfId="2" applyFont="1" applyFill="1" applyBorder="1" applyAlignment="1">
      <alignment horizontal="center" wrapText="1"/>
    </xf>
    <xf numFmtId="0" fontId="7" fillId="0" borderId="39" xfId="2" applyFont="1" applyBorder="1" applyAlignment="1">
      <alignment horizontal="right"/>
    </xf>
    <xf numFmtId="0" fontId="7" fillId="0" borderId="41" xfId="2" applyFont="1" applyBorder="1" applyAlignment="1">
      <alignment horizontal="right"/>
    </xf>
    <xf numFmtId="0" fontId="7" fillId="0" borderId="40" xfId="2" applyFont="1" applyBorder="1" applyAlignment="1">
      <alignment horizontal="right"/>
    </xf>
  </cellXfs>
  <cellStyles count="65">
    <cellStyle name="Comma" xfId="58" builtinId="3"/>
    <cellStyle name="Comma 2" xfId="6"/>
    <cellStyle name="Comma 2 2" xfId="7"/>
    <cellStyle name="Comma 3" xfId="8"/>
    <cellStyle name="Comma 3 2" xfId="9"/>
    <cellStyle name="Comma 4" xfId="10"/>
    <cellStyle name="Comma 4 2" xfId="11"/>
    <cellStyle name="Comma 5" xfId="3"/>
    <cellStyle name="Comma 6" xfId="12"/>
    <cellStyle name="Comma 6 2" xfId="13"/>
    <cellStyle name="Comma 6 2 2" xfId="62"/>
    <cellStyle name="Comma 6 3" xfId="61"/>
    <cellStyle name="Comma 7" xfId="14"/>
    <cellStyle name="Comma0" xfId="15"/>
    <cellStyle name="Comma0 2" xfId="16"/>
    <cellStyle name="Currency" xfId="59" builtinId="4"/>
    <cellStyle name="Currency 2" xfId="17"/>
    <cellStyle name="Currency 2 2" xfId="18"/>
    <cellStyle name="Currency 3" xfId="19"/>
    <cellStyle name="Currency 3 2" xfId="20"/>
    <cellStyle name="Currency 4" xfId="5"/>
    <cellStyle name="Currency 5" xfId="21"/>
    <cellStyle name="Normal" xfId="0" builtinId="0"/>
    <cellStyle name="Normal 10" xfId="22"/>
    <cellStyle name="Normal 10 2" xfId="23"/>
    <cellStyle name="Normal 11" xfId="2"/>
    <cellStyle name="Normal 12" xfId="24"/>
    <cellStyle name="Normal 12 2" xfId="25"/>
    <cellStyle name="Normal 12 2 2" xfId="64"/>
    <cellStyle name="Normal 12 3" xfId="63"/>
    <cellStyle name="Normal 13" xfId="26"/>
    <cellStyle name="Normal 13 2" xfId="27"/>
    <cellStyle name="Normal 2" xfId="28"/>
    <cellStyle name="Normal 2 10" xfId="29"/>
    <cellStyle name="Normal 2 11" xfId="30"/>
    <cellStyle name="Normal 2 12" xfId="31"/>
    <cellStyle name="Normal 2 13" xfId="32"/>
    <cellStyle name="Normal 2 2" xfId="33"/>
    <cellStyle name="Normal 2 3" xfId="34"/>
    <cellStyle name="Normal 2 4" xfId="35"/>
    <cellStyle name="Normal 2 5" xfId="36"/>
    <cellStyle name="Normal 2 6" xfId="37"/>
    <cellStyle name="Normal 2 7" xfId="38"/>
    <cellStyle name="Normal 2 8" xfId="39"/>
    <cellStyle name="Normal 2 9" xfId="40"/>
    <cellStyle name="Normal 3" xfId="41"/>
    <cellStyle name="Normal 3 2" xfId="42"/>
    <cellStyle name="Normal 3 3" xfId="43"/>
    <cellStyle name="Normal 4" xfId="44"/>
    <cellStyle name="Normal 4 2" xfId="45"/>
    <cellStyle name="Normal 5" xfId="46"/>
    <cellStyle name="Normal 6" xfId="47"/>
    <cellStyle name="Normal 7" xfId="48"/>
    <cellStyle name="Normal 8" xfId="49"/>
    <cellStyle name="Normal 9" xfId="50"/>
    <cellStyle name="Percent" xfId="1" builtinId="5"/>
    <cellStyle name="Percent 2" xfId="51"/>
    <cellStyle name="Percent 2 2" xfId="52"/>
    <cellStyle name="Percent 3" xfId="53"/>
    <cellStyle name="Percent 3 2" xfId="54"/>
    <cellStyle name="Percent 4" xfId="55"/>
    <cellStyle name="Percent 4 2" xfId="56"/>
    <cellStyle name="Percent 5" xfId="4"/>
    <cellStyle name="Percent 6" xfId="57"/>
    <cellStyle name="Percent 7" xfId="60"/>
  </cellStyles>
  <dxfs count="26">
    <dxf>
      <font>
        <color auto="1"/>
      </font>
      <fill>
        <patternFill>
          <bgColor rgb="FFB482DA"/>
        </patternFill>
      </fill>
    </dxf>
    <dxf>
      <fill>
        <patternFill>
          <bgColor rgb="FFFF6161"/>
        </patternFill>
      </fill>
    </dxf>
    <dxf>
      <fill>
        <patternFill>
          <bgColor theme="5" tint="0.39994506668294322"/>
        </patternFill>
      </fill>
    </dxf>
    <dxf>
      <fill>
        <patternFill>
          <bgColor rgb="FFFFC000"/>
        </patternFill>
      </fill>
    </dxf>
    <dxf>
      <fill>
        <patternFill>
          <bgColor rgb="FFFFFF00"/>
        </patternFill>
      </fill>
    </dxf>
    <dxf>
      <fill>
        <patternFill>
          <bgColor rgb="FF92D050"/>
        </patternFill>
      </fill>
    </dxf>
    <dxf>
      <font>
        <color auto="1"/>
      </font>
      <fill>
        <patternFill>
          <bgColor rgb="FF00B050"/>
        </patternFill>
      </fill>
    </dxf>
    <dxf>
      <fill>
        <patternFill>
          <bgColor theme="3" tint="0.39994506668294322"/>
        </patternFill>
      </fill>
    </dxf>
    <dxf>
      <font>
        <color theme="0"/>
      </font>
      <fill>
        <patternFill>
          <bgColor theme="3"/>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auto="1"/>
      </font>
      <fill>
        <patternFill>
          <bgColor rgb="FFB482DA"/>
        </patternFill>
      </fill>
    </dxf>
    <dxf>
      <fill>
        <patternFill>
          <bgColor rgb="FFFF6161"/>
        </patternFill>
      </fill>
    </dxf>
    <dxf>
      <fill>
        <patternFill>
          <bgColor theme="5" tint="0.39994506668294322"/>
        </patternFill>
      </fill>
    </dxf>
    <dxf>
      <fill>
        <patternFill>
          <bgColor rgb="FFFFC000"/>
        </patternFill>
      </fill>
    </dxf>
    <dxf>
      <fill>
        <patternFill>
          <bgColor rgb="FFFFFF00"/>
        </patternFill>
      </fill>
    </dxf>
    <dxf>
      <fill>
        <patternFill>
          <bgColor rgb="FF92D050"/>
        </patternFill>
      </fill>
    </dxf>
    <dxf>
      <font>
        <color auto="1"/>
      </font>
      <fill>
        <patternFill>
          <bgColor rgb="FF00B050"/>
        </patternFill>
      </fill>
    </dxf>
    <dxf>
      <fill>
        <patternFill>
          <bgColor theme="3" tint="0.39994506668294322"/>
        </patternFill>
      </fill>
    </dxf>
    <dxf>
      <font>
        <color theme="0"/>
      </font>
      <fill>
        <patternFill>
          <bgColor theme="3"/>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B482DA"/>
      <color rgb="FFFF6161"/>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APP\PA\Resource\FinanceFiles\Appropriations\Biennium20122013\GAI\GAI%20Formulas%20Model%20Proof.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APP\PA\Resource\FinanceFiles\Formula\LBB%20Request\2014-2015\GAI\Final\GAI%20Formulas%20Model%20Final%20Run%20-%20Certified%20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NACUBO"/>
      <sheetName val="I and O"/>
      <sheetName val="SCH"/>
      <sheetName val="Cost Study"/>
      <sheetName val="CBM"/>
      <sheetName val="Infrastructure"/>
      <sheetName val="Utilities"/>
      <sheetName val="TAMUG"/>
      <sheetName val="SIS"/>
      <sheetName val="Comparison"/>
      <sheetName val="Law VM Tuition"/>
      <sheetName val="Enroll Projs"/>
      <sheetName val="CPI"/>
      <sheetName val="Funding Levels"/>
    </sheetNames>
    <sheetDataSet>
      <sheetData sheetId="0"/>
      <sheetData sheetId="1"/>
      <sheetData sheetId="2"/>
      <sheetData sheetId="3"/>
      <sheetData sheetId="4"/>
      <sheetData sheetId="5">
        <row r="1">
          <cell r="A1" t="str">
            <v>Report For  BY 2010 (Spring 2011 Uncertified, but Error Free)</v>
          </cell>
        </row>
      </sheetData>
      <sheetData sheetId="6">
        <row r="3">
          <cell r="A3" t="str">
            <v>Insitution</v>
          </cell>
          <cell r="C3" t="str">
            <v>FY 2012 - FY 2013 Total</v>
          </cell>
          <cell r="D3" t="str">
            <v>FY 2012</v>
          </cell>
          <cell r="E3" t="str">
            <v>O&amp;M 
Funding</v>
          </cell>
          <cell r="F3" t="str">
            <v>Utility 
Funding</v>
          </cell>
          <cell r="G3" t="str">
            <v>FY 2013</v>
          </cell>
          <cell r="H3" t="str">
            <v>O&amp;M 
Funding</v>
          </cell>
          <cell r="I3" t="str">
            <v>Utility 
Funding</v>
          </cell>
          <cell r="J3" t="str">
            <v>Utility Rate Adjustment</v>
          </cell>
          <cell r="K3" t="str">
            <v>Adjusted Utility Square Feet</v>
          </cell>
          <cell r="L3" t="str">
            <v xml:space="preserve">Predicted
Square Feet1 </v>
          </cell>
        </row>
        <row r="4">
          <cell r="B4" t="str">
            <v>UT-Arlington</v>
          </cell>
          <cell r="C4">
            <v>28774178.886879198</v>
          </cell>
          <cell r="D4">
            <v>14387089.443439599</v>
          </cell>
          <cell r="E4">
            <v>6484606.4534401596</v>
          </cell>
          <cell r="F4">
            <v>7902482.9899994386</v>
          </cell>
          <cell r="G4">
            <v>14387089.443439599</v>
          </cell>
          <cell r="H4">
            <v>6484606.4534401596</v>
          </cell>
          <cell r="I4">
            <v>7902482.9899994386</v>
          </cell>
          <cell r="J4">
            <v>1.1249101600000002</v>
          </cell>
          <cell r="K4">
            <v>3067812.0451473487</v>
          </cell>
        </row>
        <row r="5">
          <cell r="B5" t="str">
            <v>UT-Austin</v>
          </cell>
          <cell r="C5">
            <v>109717007.32797512</v>
          </cell>
          <cell r="D5">
            <v>54858503.663987562</v>
          </cell>
          <cell r="E5">
            <v>24252915.909404933</v>
          </cell>
          <cell r="F5">
            <v>30605587.754582632</v>
          </cell>
          <cell r="G5">
            <v>54858503.663987562</v>
          </cell>
          <cell r="H5">
            <v>24252915.909404933</v>
          </cell>
          <cell r="I5">
            <v>30605587.754582632</v>
          </cell>
          <cell r="J5">
            <v>1.16486248</v>
          </cell>
          <cell r="K5">
            <v>11881353.09891119</v>
          </cell>
        </row>
        <row r="6">
          <cell r="B6" t="str">
            <v>UT-Dallas</v>
          </cell>
          <cell r="C6">
            <v>21603008.275112055</v>
          </cell>
          <cell r="D6">
            <v>10801504.137556028</v>
          </cell>
          <cell r="E6">
            <v>4856728.9344045622</v>
          </cell>
          <cell r="F6">
            <v>5944775.2031514645</v>
          </cell>
          <cell r="G6">
            <v>10801504.137556028</v>
          </cell>
          <cell r="H6">
            <v>4856728.9344045622</v>
          </cell>
          <cell r="I6">
            <v>5944775.2031514645</v>
          </cell>
          <cell r="J6">
            <v>1.1298725699999999</v>
          </cell>
          <cell r="K6">
            <v>2307812.9996610894</v>
          </cell>
        </row>
        <row r="7">
          <cell r="B7" t="str">
            <v>UT-El Paso</v>
          </cell>
          <cell r="C7">
            <v>21377315.272495672</v>
          </cell>
          <cell r="D7">
            <v>10688657.636247836</v>
          </cell>
          <cell r="E7">
            <v>5084957.7670230521</v>
          </cell>
          <cell r="F7">
            <v>5603699.869224783</v>
          </cell>
          <cell r="G7">
            <v>10688657.636247836</v>
          </cell>
          <cell r="H7">
            <v>5084957.7670230521</v>
          </cell>
          <cell r="I7">
            <v>5603699.869224783</v>
          </cell>
          <cell r="J7">
            <v>1.0172446399999999</v>
          </cell>
          <cell r="K7">
            <v>2175404.6137085874</v>
          </cell>
        </row>
        <row r="8">
          <cell r="B8" t="str">
            <v>UT-Pan American</v>
          </cell>
          <cell r="C8">
            <v>17150931.092331886</v>
          </cell>
          <cell r="D8">
            <v>8575465.5461659431</v>
          </cell>
          <cell r="E8">
            <v>3779016.3034145022</v>
          </cell>
          <cell r="F8">
            <v>4796449.2427514419</v>
          </cell>
          <cell r="G8">
            <v>8575465.5461659431</v>
          </cell>
          <cell r="H8">
            <v>3779016.3034145022</v>
          </cell>
          <cell r="I8">
            <v>4796449.2427514419</v>
          </cell>
          <cell r="J8">
            <v>1.17159897</v>
          </cell>
          <cell r="K8">
            <v>1862022.9590461666</v>
          </cell>
        </row>
        <row r="9">
          <cell r="B9" t="str">
            <v>UT-Brownsville</v>
          </cell>
          <cell r="C9">
            <v>5708323.8307687752</v>
          </cell>
          <cell r="D9">
            <v>2854161.9153843876</v>
          </cell>
          <cell r="E9">
            <v>1350414.5493757755</v>
          </cell>
          <cell r="F9">
            <v>1503747.3660086119</v>
          </cell>
          <cell r="G9">
            <v>2854161.9153843876</v>
          </cell>
          <cell r="H9">
            <v>1350414.5493757755</v>
          </cell>
          <cell r="I9">
            <v>1503747.3660086119</v>
          </cell>
          <cell r="J9">
            <v>1.02788769</v>
          </cell>
          <cell r="K9">
            <v>583767.69531017309</v>
          </cell>
        </row>
        <row r="10">
          <cell r="B10" t="str">
            <v>UT-Permian Basin</v>
          </cell>
          <cell r="C10">
            <v>3505882.1620279774</v>
          </cell>
          <cell r="D10">
            <v>1752941.0810139887</v>
          </cell>
          <cell r="E10">
            <v>811960.06125595619</v>
          </cell>
          <cell r="F10">
            <v>940981.01975803252</v>
          </cell>
          <cell r="G10">
            <v>1752941.0810139887</v>
          </cell>
          <cell r="H10">
            <v>811960.06125595619</v>
          </cell>
          <cell r="I10">
            <v>940981.01975803252</v>
          </cell>
          <cell r="J10">
            <v>1.06975442</v>
          </cell>
          <cell r="K10">
            <v>365296.9465827262</v>
          </cell>
        </row>
        <row r="11">
          <cell r="B11" t="str">
            <v>UT-San Antonio</v>
          </cell>
          <cell r="C11">
            <v>26841057.186713859</v>
          </cell>
          <cell r="D11">
            <v>13420528.59335693</v>
          </cell>
          <cell r="E11">
            <v>6379266.6327061672</v>
          </cell>
          <cell r="F11">
            <v>7041261.9606507635</v>
          </cell>
          <cell r="G11">
            <v>13420528.59335693</v>
          </cell>
          <cell r="H11">
            <v>6379266.6327061672</v>
          </cell>
          <cell r="I11">
            <v>7041261.9606507635</v>
          </cell>
          <cell r="J11">
            <v>1.0188673399999999</v>
          </cell>
          <cell r="K11">
            <v>2733478.6146656144</v>
          </cell>
        </row>
        <row r="12">
          <cell r="B12" t="str">
            <v>UT-Tyler</v>
          </cell>
          <cell r="C12">
            <v>5345126.0377391949</v>
          </cell>
          <cell r="D12">
            <v>2672563.0188695975</v>
          </cell>
          <cell r="E12">
            <v>1309536.8476707058</v>
          </cell>
          <cell r="F12">
            <v>1363026.1711988915</v>
          </cell>
          <cell r="G12">
            <v>2672563.0188695975</v>
          </cell>
          <cell r="H12">
            <v>1309536.8476707058</v>
          </cell>
          <cell r="I12">
            <v>1363026.1711988915</v>
          </cell>
          <cell r="J12">
            <v>0.96078090999999999</v>
          </cell>
          <cell r="K12">
            <v>529138.51395146479</v>
          </cell>
        </row>
        <row r="13">
          <cell r="B13" t="str">
            <v>TAMU</v>
          </cell>
          <cell r="C13">
            <v>63350127.415048331</v>
          </cell>
          <cell r="D13">
            <v>31675063.707524166</v>
          </cell>
          <cell r="E13">
            <v>15189251.231589444</v>
          </cell>
          <cell r="F13">
            <v>16485812.47593472</v>
          </cell>
          <cell r="G13">
            <v>31675063.707524166</v>
          </cell>
          <cell r="H13">
            <v>15189251.231589444</v>
          </cell>
          <cell r="I13">
            <v>16485812.47593472</v>
          </cell>
          <cell r="J13">
            <v>1.00187118</v>
          </cell>
          <cell r="K13">
            <v>6399934.5714145675</v>
          </cell>
        </row>
        <row r="14">
          <cell r="B14" t="str">
            <v>TAMU-Galveston</v>
          </cell>
          <cell r="C14">
            <v>5708922.5033713952</v>
          </cell>
          <cell r="D14">
            <v>2854461.2516856976</v>
          </cell>
          <cell r="E14">
            <v>606099.93905371206</v>
          </cell>
          <cell r="F14">
            <v>846687.31263198529</v>
          </cell>
          <cell r="G14">
            <v>2854461.2516856976</v>
          </cell>
          <cell r="H14">
            <v>606099.93905371206</v>
          </cell>
          <cell r="I14">
            <v>846687.31263198529</v>
          </cell>
          <cell r="J14">
            <v>1.2894862200000001</v>
          </cell>
          <cell r="K14">
            <v>328691.31631829403</v>
          </cell>
        </row>
        <row r="15">
          <cell r="B15" t="str">
            <v>Prairie View</v>
          </cell>
          <cell r="C15">
            <v>9611279.485257756</v>
          </cell>
          <cell r="D15">
            <v>4805639.742628878</v>
          </cell>
          <cell r="E15">
            <v>2273204.4331299271</v>
          </cell>
          <cell r="F15">
            <v>2532435.3094989508</v>
          </cell>
          <cell r="G15">
            <v>4805639.742628878</v>
          </cell>
          <cell r="H15">
            <v>2273204.4331299271</v>
          </cell>
          <cell r="I15">
            <v>2532435.3094989508</v>
          </cell>
          <cell r="J15">
            <v>1.0283424400000001</v>
          </cell>
          <cell r="K15">
            <v>983113.22604161489</v>
          </cell>
        </row>
        <row r="16">
          <cell r="B16" t="str">
            <v>Tarleton</v>
          </cell>
          <cell r="C16">
            <v>9609466.2331559155</v>
          </cell>
          <cell r="D16">
            <v>4804733.1165779578</v>
          </cell>
          <cell r="E16">
            <v>1914013.7363242113</v>
          </cell>
          <cell r="F16">
            <v>2890719.3802537462</v>
          </cell>
          <cell r="G16">
            <v>4804733.1165779578</v>
          </cell>
          <cell r="H16">
            <v>1914013.7363242113</v>
          </cell>
          <cell r="I16">
            <v>2890719.3802537462</v>
          </cell>
          <cell r="J16">
            <v>1.3941155700000001</v>
          </cell>
          <cell r="K16">
            <v>1122202.1920333107</v>
          </cell>
        </row>
        <row r="17">
          <cell r="B17" t="str">
            <v>TAMU-Central</v>
          </cell>
          <cell r="C17">
            <v>1797006.9086982145</v>
          </cell>
          <cell r="D17">
            <v>898503.45434910723</v>
          </cell>
          <cell r="E17">
            <v>326045.03580438928</v>
          </cell>
          <cell r="F17">
            <v>572458.41854471795</v>
          </cell>
          <cell r="G17">
            <v>898503.45434910723</v>
          </cell>
          <cell r="H17">
            <v>326045.03580438928</v>
          </cell>
          <cell r="I17">
            <v>572458.41854471795</v>
          </cell>
          <cell r="J17">
            <v>1.62070603</v>
          </cell>
          <cell r="K17">
            <v>222233.29477329415</v>
          </cell>
        </row>
        <row r="18">
          <cell r="B18" t="str">
            <v>TAMU-CC</v>
          </cell>
          <cell r="C18">
            <v>12043764.227252744</v>
          </cell>
          <cell r="D18">
            <v>6021882.1136263721</v>
          </cell>
          <cell r="E18">
            <v>2323965.2866370226</v>
          </cell>
          <cell r="F18">
            <v>3697916.8269893494</v>
          </cell>
          <cell r="G18">
            <v>6021882.1136263721</v>
          </cell>
          <cell r="H18">
            <v>2323965.2866370226</v>
          </cell>
          <cell r="I18">
            <v>3697916.8269893494</v>
          </cell>
          <cell r="J18">
            <v>1.4688092399999999</v>
          </cell>
          <cell r="K18">
            <v>1435563.2018629371</v>
          </cell>
        </row>
        <row r="19">
          <cell r="B19" t="str">
            <v>TAMU-Kingsville</v>
          </cell>
          <cell r="C19">
            <v>7954019.8083173521</v>
          </cell>
          <cell r="D19">
            <v>3977009.904158676</v>
          </cell>
          <cell r="E19">
            <v>1750407.8817218563</v>
          </cell>
          <cell r="F19">
            <v>2226602.0224368195</v>
          </cell>
          <cell r="G19">
            <v>3977009.904158676</v>
          </cell>
          <cell r="H19">
            <v>1750407.8817218563</v>
          </cell>
          <cell r="I19">
            <v>2226602.0224368195</v>
          </cell>
          <cell r="J19">
            <v>1.17419772</v>
          </cell>
          <cell r="K19">
            <v>864386.106597821</v>
          </cell>
        </row>
        <row r="20">
          <cell r="B20" t="str">
            <v>TAMU-San Antonio</v>
          </cell>
          <cell r="C20">
            <v>2685226.6436393689</v>
          </cell>
          <cell r="D20">
            <v>1342613.3218196845</v>
          </cell>
          <cell r="E20">
            <v>481089.34481997567</v>
          </cell>
          <cell r="F20">
            <v>861523.97699970868</v>
          </cell>
          <cell r="G20">
            <v>1342613.3218196845</v>
          </cell>
          <cell r="H20">
            <v>481089.34481997567</v>
          </cell>
          <cell r="I20">
            <v>861523.97699970868</v>
          </cell>
          <cell r="J20">
            <v>1.65302539</v>
          </cell>
          <cell r="K20">
            <v>334451.03737238684</v>
          </cell>
        </row>
        <row r="21">
          <cell r="B21" t="str">
            <v>TAMI</v>
          </cell>
          <cell r="C21">
            <v>5715745.6222505905</v>
          </cell>
          <cell r="D21">
            <v>2857872.8111252952</v>
          </cell>
          <cell r="E21">
            <v>1273094.8913852083</v>
          </cell>
          <cell r="F21">
            <v>1584777.9197400869</v>
          </cell>
          <cell r="G21">
            <v>2857872.8111252952</v>
          </cell>
          <cell r="H21">
            <v>1273094.8913852083</v>
          </cell>
          <cell r="I21">
            <v>1584777.9197400869</v>
          </cell>
          <cell r="J21">
            <v>1.1490674700000001</v>
          </cell>
          <cell r="K21">
            <v>615224.45504973398</v>
          </cell>
        </row>
        <row r="22">
          <cell r="B22" t="str">
            <v>WTAMU</v>
          </cell>
          <cell r="C22">
            <v>7607077.45645996</v>
          </cell>
          <cell r="D22">
            <v>3803538.72822998</v>
          </cell>
          <cell r="E22">
            <v>1735120.6584092684</v>
          </cell>
          <cell r="F22">
            <v>2068418.0698207114</v>
          </cell>
          <cell r="G22">
            <v>3803538.72822998</v>
          </cell>
          <cell r="H22">
            <v>1735120.6584092684</v>
          </cell>
          <cell r="I22">
            <v>2068418.0698207114</v>
          </cell>
          <cell r="J22">
            <v>1.1003897499999999</v>
          </cell>
          <cell r="K22">
            <v>802977.73206555913</v>
          </cell>
        </row>
        <row r="23">
          <cell r="B23" t="str">
            <v>TAMU-Commerce</v>
          </cell>
          <cell r="C23">
            <v>8643081.9792225324</v>
          </cell>
          <cell r="D23">
            <v>4321540.9896112662</v>
          </cell>
          <cell r="E23">
            <v>1811610.5784128527</v>
          </cell>
          <cell r="F23">
            <v>2509930.411198413</v>
          </cell>
          <cell r="G23">
            <v>4321540.9896112662</v>
          </cell>
          <cell r="H23">
            <v>1811610.5784128527</v>
          </cell>
          <cell r="I23">
            <v>2509930.411198413</v>
          </cell>
          <cell r="J23">
            <v>1.2788945199999997</v>
          </cell>
          <cell r="K23">
            <v>974376.63044646126</v>
          </cell>
        </row>
        <row r="24">
          <cell r="B24" t="str">
            <v>TAMU-Texarkana</v>
          </cell>
          <cell r="C24">
            <v>1382117.053959361</v>
          </cell>
          <cell r="D24">
            <v>691058.52697968052</v>
          </cell>
          <cell r="E24">
            <v>350453.18994757952</v>
          </cell>
          <cell r="F24">
            <v>340605.337032101</v>
          </cell>
          <cell r="G24">
            <v>691058.52697968052</v>
          </cell>
          <cell r="H24">
            <v>350453.18994757952</v>
          </cell>
          <cell r="I24">
            <v>340605.337032101</v>
          </cell>
          <cell r="J24">
            <v>0.89713815000000008</v>
          </cell>
          <cell r="K24">
            <v>132225.9291049263</v>
          </cell>
        </row>
        <row r="25">
          <cell r="B25" t="str">
            <v>UH</v>
          </cell>
          <cell r="C25">
            <v>45773712.23842638</v>
          </cell>
          <cell r="D25">
            <v>22886856.11921319</v>
          </cell>
          <cell r="E25">
            <v>10217163.724556096</v>
          </cell>
          <cell r="F25">
            <v>12669692.394657094</v>
          </cell>
          <cell r="G25">
            <v>22886856.11921319</v>
          </cell>
          <cell r="H25">
            <v>10217163.724556096</v>
          </cell>
          <cell r="I25">
            <v>12669692.394657094</v>
          </cell>
          <cell r="J25">
            <v>1.14465237</v>
          </cell>
          <cell r="K25">
            <v>4918483.8468907038</v>
          </cell>
        </row>
        <row r="26">
          <cell r="B26" t="str">
            <v>UH-Clear Lake</v>
          </cell>
          <cell r="C26">
            <v>5911588.8945033699</v>
          </cell>
          <cell r="D26">
            <v>2955794.447251685</v>
          </cell>
          <cell r="E26">
            <v>1397624.4579013574</v>
          </cell>
          <cell r="F26">
            <v>1558169.9893503275</v>
          </cell>
          <cell r="G26">
            <v>2955794.447251685</v>
          </cell>
          <cell r="H26">
            <v>1397624.4579013574</v>
          </cell>
          <cell r="I26">
            <v>1558169.9893503275</v>
          </cell>
          <cell r="J26">
            <v>1.0291110400000001</v>
          </cell>
          <cell r="K26">
            <v>604895.02701433725</v>
          </cell>
        </row>
        <row r="27">
          <cell r="B27" t="str">
            <v>UH-Downtown</v>
          </cell>
          <cell r="C27">
            <v>9157106.3765570503</v>
          </cell>
          <cell r="D27">
            <v>4578553.1882785251</v>
          </cell>
          <cell r="E27">
            <v>2014554.6209960473</v>
          </cell>
          <cell r="F27">
            <v>2563998.5672824779</v>
          </cell>
          <cell r="G27">
            <v>4578553.1882785251</v>
          </cell>
          <cell r="H27">
            <v>2014554.6209960473</v>
          </cell>
          <cell r="I27">
            <v>2563998.5672824779</v>
          </cell>
          <cell r="J27">
            <v>1.17483432</v>
          </cell>
          <cell r="K27">
            <v>995366.35490439564</v>
          </cell>
        </row>
        <row r="28">
          <cell r="B28" t="str">
            <v>UH-Victoria</v>
          </cell>
          <cell r="C28">
            <v>2868700.3190174019</v>
          </cell>
          <cell r="D28">
            <v>1434350.1595087009</v>
          </cell>
          <cell r="E28">
            <v>611365.63215490454</v>
          </cell>
          <cell r="F28">
            <v>822984.52735379653</v>
          </cell>
          <cell r="G28">
            <v>1434350.1595087009</v>
          </cell>
          <cell r="H28">
            <v>611365.63215490454</v>
          </cell>
          <cell r="I28">
            <v>822984.52735379653</v>
          </cell>
          <cell r="J28">
            <v>1.2425919700000001</v>
          </cell>
          <cell r="K28">
            <v>319489.69066823059</v>
          </cell>
        </row>
        <row r="29">
          <cell r="B29" t="str">
            <v>Midwestern</v>
          </cell>
          <cell r="C29">
            <v>5865451.8499927111</v>
          </cell>
          <cell r="D29">
            <v>2932725.9249963555</v>
          </cell>
          <cell r="E29">
            <v>1273536.957313509</v>
          </cell>
          <cell r="F29">
            <v>1659188.9676828468</v>
          </cell>
          <cell r="G29">
            <v>2932725.9249963555</v>
          </cell>
          <cell r="H29">
            <v>1273536.957313509</v>
          </cell>
          <cell r="I29">
            <v>1659188.9676828468</v>
          </cell>
          <cell r="J29">
            <v>1.2026027500000001</v>
          </cell>
          <cell r="K29">
            <v>644111.46555766196</v>
          </cell>
        </row>
        <row r="30">
          <cell r="B30" t="str">
            <v>UNT</v>
          </cell>
          <cell r="C30">
            <v>33713749.249093249</v>
          </cell>
          <cell r="D30">
            <v>16856874.624546625</v>
          </cell>
          <cell r="E30">
            <v>7742527.8684881162</v>
          </cell>
          <cell r="F30">
            <v>9114346.7560585067</v>
          </cell>
          <cell r="G30">
            <v>16856874.624546625</v>
          </cell>
          <cell r="H30">
            <v>7742527.8684881162</v>
          </cell>
          <cell r="I30">
            <v>9114346.7560585067</v>
          </cell>
          <cell r="J30">
            <v>1.0866274300000001</v>
          </cell>
          <cell r="K30">
            <v>3538268.0098483749</v>
          </cell>
        </row>
        <row r="31">
          <cell r="B31" t="str">
            <v>UNT-Dallas</v>
          </cell>
          <cell r="C31">
            <v>2276582.6287558633</v>
          </cell>
          <cell r="D31">
            <v>1138291.3143779316</v>
          </cell>
          <cell r="E31">
            <v>468293.31934790034</v>
          </cell>
          <cell r="F31">
            <v>669997.99503003131</v>
          </cell>
          <cell r="G31">
            <v>1138291.3143779316</v>
          </cell>
          <cell r="H31">
            <v>468293.31934790034</v>
          </cell>
          <cell r="I31">
            <v>669997.99503003131</v>
          </cell>
          <cell r="J31">
            <v>1.32066733</v>
          </cell>
          <cell r="K31">
            <v>260098.99951430957</v>
          </cell>
        </row>
        <row r="32">
          <cell r="B32" t="str">
            <v>SFA</v>
          </cell>
          <cell r="C32">
            <v>13050096.803484164</v>
          </cell>
          <cell r="D32">
            <v>6525048.4017420821</v>
          </cell>
          <cell r="E32">
            <v>2828098.2453449587</v>
          </cell>
          <cell r="F32">
            <v>3696950.1563971238</v>
          </cell>
          <cell r="G32">
            <v>6525048.4017420821</v>
          </cell>
          <cell r="H32">
            <v>2828098.2453449587</v>
          </cell>
          <cell r="I32">
            <v>3696950.1563971238</v>
          </cell>
          <cell r="J32">
            <v>1.20666578</v>
          </cell>
          <cell r="K32">
            <v>1435187.932002784</v>
          </cell>
        </row>
        <row r="33">
          <cell r="B33" t="str">
            <v>TSU</v>
          </cell>
          <cell r="C33">
            <v>12606709.993801983</v>
          </cell>
          <cell r="D33">
            <v>6303354.9969009915</v>
          </cell>
          <cell r="E33">
            <v>2691966.9804682774</v>
          </cell>
          <cell r="F33">
            <v>3611388.0164327142</v>
          </cell>
          <cell r="G33">
            <v>6303354.9969009915</v>
          </cell>
          <cell r="H33">
            <v>2691966.9804682774</v>
          </cell>
          <cell r="I33">
            <v>3611388.0164327142</v>
          </cell>
          <cell r="J33">
            <v>1.2383468899999999</v>
          </cell>
          <cell r="K33">
            <v>1401971.9714086798</v>
          </cell>
        </row>
        <row r="34">
          <cell r="B34" t="str">
            <v>TTU</v>
          </cell>
          <cell r="C34">
            <v>37219579.077593289</v>
          </cell>
          <cell r="D34">
            <v>18609789.538796645</v>
          </cell>
          <cell r="E34">
            <v>9063945.8867170513</v>
          </cell>
          <cell r="F34">
            <v>9545843.6520795934</v>
          </cell>
          <cell r="G34">
            <v>18609789.538796645</v>
          </cell>
          <cell r="H34">
            <v>9063945.8867170513</v>
          </cell>
          <cell r="I34">
            <v>9545843.6520795934</v>
          </cell>
          <cell r="J34">
            <v>0.97215363999999993</v>
          </cell>
          <cell r="K34">
            <v>3705778.8259719131</v>
          </cell>
        </row>
        <row r="35">
          <cell r="B35" t="str">
            <v>Angelo</v>
          </cell>
          <cell r="C35">
            <v>6818350.2517482918</v>
          </cell>
          <cell r="D35">
            <v>3409175.1258741459</v>
          </cell>
          <cell r="E35">
            <v>1459207.53512762</v>
          </cell>
          <cell r="F35">
            <v>1949967.5907465261</v>
          </cell>
          <cell r="G35">
            <v>3409175.1258741459</v>
          </cell>
          <cell r="H35">
            <v>1459207.53512762</v>
          </cell>
          <cell r="I35">
            <v>1949967.5907465261</v>
          </cell>
          <cell r="J35">
            <v>1.2335257599999998</v>
          </cell>
          <cell r="K35">
            <v>756994.23461075663</v>
          </cell>
        </row>
        <row r="36">
          <cell r="B36" t="str">
            <v>TWU</v>
          </cell>
          <cell r="C36">
            <v>11476034.973522253</v>
          </cell>
          <cell r="D36">
            <v>5738017.4867611267</v>
          </cell>
          <cell r="E36">
            <v>2683554.5877049631</v>
          </cell>
          <cell r="F36">
            <v>3054462.8990561636</v>
          </cell>
          <cell r="G36">
            <v>5738017.4867611267</v>
          </cell>
          <cell r="H36">
            <v>2683554.5877049631</v>
          </cell>
          <cell r="I36">
            <v>3054462.8990561636</v>
          </cell>
          <cell r="J36">
            <v>1.0506602800000002</v>
          </cell>
          <cell r="K36">
            <v>1185768.8381029789</v>
          </cell>
        </row>
        <row r="37">
          <cell r="B37" t="str">
            <v>Lamar</v>
          </cell>
          <cell r="C37">
            <v>10567161.268997066</v>
          </cell>
          <cell r="D37">
            <v>5283580.6344985329</v>
          </cell>
          <cell r="E37">
            <v>2648234.3619206231</v>
          </cell>
          <cell r="F37">
            <v>2635346.2725779093</v>
          </cell>
          <cell r="G37">
            <v>5283580.6344985329</v>
          </cell>
          <cell r="H37">
            <v>2648234.3619206231</v>
          </cell>
          <cell r="I37">
            <v>2635346.2725779093</v>
          </cell>
          <cell r="J37">
            <v>0.91858460999999991</v>
          </cell>
          <cell r="K37">
            <v>1023064.1493793651</v>
          </cell>
        </row>
        <row r="38">
          <cell r="B38" t="str">
            <v>Sam Houston</v>
          </cell>
          <cell r="C38">
            <v>15181113.590270456</v>
          </cell>
          <cell r="D38">
            <v>7590556.795135228</v>
          </cell>
          <cell r="E38">
            <v>3562081.3122848826</v>
          </cell>
          <cell r="F38">
            <v>4028475.4828503453</v>
          </cell>
          <cell r="G38">
            <v>7590556.795135228</v>
          </cell>
          <cell r="H38">
            <v>3562081.3122848826</v>
          </cell>
          <cell r="I38">
            <v>4028475.4828503453</v>
          </cell>
          <cell r="J38">
            <v>1.0439381999999999</v>
          </cell>
          <cell r="K38">
            <v>1563888.9226979467</v>
          </cell>
        </row>
        <row r="39">
          <cell r="B39" t="str">
            <v>TxStU-SM</v>
          </cell>
          <cell r="C39">
            <v>29555589.025835741</v>
          </cell>
          <cell r="D39">
            <v>14777794.512917871</v>
          </cell>
          <cell r="E39">
            <v>6649786.6955529982</v>
          </cell>
          <cell r="F39">
            <v>8128007.8173648724</v>
          </cell>
          <cell r="G39">
            <v>14777794.512917871</v>
          </cell>
          <cell r="H39">
            <v>6649786.6955529982</v>
          </cell>
          <cell r="I39">
            <v>8128007.8173648724</v>
          </cell>
          <cell r="J39">
            <v>1.1282732500000001</v>
          </cell>
          <cell r="K39">
            <v>3155362.7279829853</v>
          </cell>
        </row>
        <row r="40">
          <cell r="B40" t="str">
            <v>Sul Ross</v>
          </cell>
          <cell r="C40">
            <v>3359581.6448495379</v>
          </cell>
          <cell r="D40">
            <v>1679790.8224247689</v>
          </cell>
          <cell r="E40">
            <v>601522.76901936834</v>
          </cell>
          <cell r="F40">
            <v>1078268.0534054006</v>
          </cell>
          <cell r="G40">
            <v>1679790.8224247689</v>
          </cell>
          <cell r="H40">
            <v>601522.76901936834</v>
          </cell>
          <cell r="I40">
            <v>1078268.0534054006</v>
          </cell>
          <cell r="J40">
            <v>1.6546744499999999</v>
          </cell>
          <cell r="K40">
            <v>418592.95696312626</v>
          </cell>
        </row>
        <row r="41">
          <cell r="B41" t="str">
            <v>Sul Ross - RG</v>
          </cell>
          <cell r="C41">
            <v>344152.88510861818</v>
          </cell>
          <cell r="D41">
            <v>172076.44255430909</v>
          </cell>
          <cell r="E41">
            <v>172076.44255430909</v>
          </cell>
          <cell r="F41">
            <v>0</v>
          </cell>
          <cell r="G41">
            <v>172076.44255430909</v>
          </cell>
          <cell r="H41">
            <v>172076.44255430909</v>
          </cell>
          <cell r="I41">
            <v>0</v>
          </cell>
          <cell r="J41">
            <v>0</v>
          </cell>
          <cell r="K41">
            <v>0</v>
          </cell>
        </row>
        <row r="42">
          <cell r="B42" t="str">
            <v>TAMU-CVM</v>
          </cell>
          <cell r="C42">
            <v>6459323.375</v>
          </cell>
          <cell r="D42">
            <v>3229661.6875</v>
          </cell>
          <cell r="E42">
            <v>3229661.6875</v>
          </cell>
          <cell r="G42">
            <v>3229661.6875</v>
          </cell>
          <cell r="H42">
            <v>3229661.6875</v>
          </cell>
        </row>
        <row r="43">
          <cell r="B43" t="str">
            <v>Total Universities</v>
          </cell>
          <cell r="C43">
            <v>628335249.85523474</v>
          </cell>
          <cell r="D43">
            <v>314167624.92761737</v>
          </cell>
          <cell r="E43">
            <v>143658962.75088418</v>
          </cell>
          <cell r="F43">
            <v>169106988.17673308</v>
          </cell>
          <cell r="G43">
            <v>314167624.92761737</v>
          </cell>
          <cell r="H43">
            <v>143658962.75088418</v>
          </cell>
          <cell r="I43">
            <v>169106988.17673308</v>
          </cell>
          <cell r="K43">
            <v>65648791.133583836</v>
          </cell>
        </row>
        <row r="44">
          <cell r="B44" t="str">
            <v>TSTC-Harlingen</v>
          </cell>
          <cell r="C44">
            <v>5280450.5362915322</v>
          </cell>
          <cell r="D44">
            <v>2640225.2681457661</v>
          </cell>
          <cell r="E44">
            <v>1040611.9281960414</v>
          </cell>
          <cell r="F44">
            <v>1599613.339949725</v>
          </cell>
          <cell r="G44">
            <v>2640225.2681457661</v>
          </cell>
          <cell r="H44">
            <v>1040611.9281960414</v>
          </cell>
          <cell r="I44">
            <v>1599613.339949725</v>
          </cell>
          <cell r="J44">
            <v>1.4189402599999998</v>
          </cell>
          <cell r="K44">
            <v>620983.69311092887</v>
          </cell>
        </row>
        <row r="45">
          <cell r="B45" t="str">
            <v>TSTC-West Texas</v>
          </cell>
          <cell r="C45">
            <v>2266189.1170991128</v>
          </cell>
          <cell r="D45">
            <v>1133094.5585495564</v>
          </cell>
          <cell r="E45">
            <v>342316.13109345734</v>
          </cell>
          <cell r="F45">
            <v>790778.42745609919</v>
          </cell>
          <cell r="G45">
            <v>1133094.5585495564</v>
          </cell>
          <cell r="H45">
            <v>342316.13109345734</v>
          </cell>
          <cell r="I45">
            <v>790778.42745609919</v>
          </cell>
          <cell r="J45">
            <v>2.13238364</v>
          </cell>
          <cell r="K45">
            <v>306987.00495306886</v>
          </cell>
        </row>
        <row r="46">
          <cell r="B46" t="str">
            <v>TSTC-Marshall</v>
          </cell>
          <cell r="C46">
            <v>788621.28418724553</v>
          </cell>
          <cell r="D46">
            <v>394310.64209362277</v>
          </cell>
          <cell r="E46">
            <v>198982.20301786024</v>
          </cell>
          <cell r="F46">
            <v>195328.43907576252</v>
          </cell>
          <cell r="G46">
            <v>394310.64209362277</v>
          </cell>
          <cell r="H46">
            <v>198982.20301786024</v>
          </cell>
          <cell r="I46">
            <v>195328.43907576252</v>
          </cell>
          <cell r="J46">
            <v>0.90612714000000005</v>
          </cell>
          <cell r="K46">
            <v>75828.184497806418</v>
          </cell>
        </row>
        <row r="47">
          <cell r="B47" t="str">
            <v>TSTC-Waco</v>
          </cell>
          <cell r="C47">
            <v>7258481.7088005599</v>
          </cell>
          <cell r="D47">
            <v>3629240.8544002799</v>
          </cell>
          <cell r="E47">
            <v>1474938.368955266</v>
          </cell>
          <cell r="F47">
            <v>2154302.4854450142</v>
          </cell>
          <cell r="G47">
            <v>3629240.8544002799</v>
          </cell>
          <cell r="H47">
            <v>1474938.368955266</v>
          </cell>
          <cell r="I47">
            <v>2154302.4854450142</v>
          </cell>
          <cell r="J47">
            <v>1.3482508500000001</v>
          </cell>
          <cell r="K47">
            <v>836318.80285003362</v>
          </cell>
        </row>
        <row r="48">
          <cell r="B48" t="str">
            <v>Lamar-IOT</v>
          </cell>
          <cell r="C48">
            <v>2177034.3285536775</v>
          </cell>
          <cell r="D48">
            <v>1088517.1642768388</v>
          </cell>
          <cell r="E48">
            <v>596659.48082407913</v>
          </cell>
          <cell r="F48">
            <v>491857.68345275958</v>
          </cell>
          <cell r="G48">
            <v>1088517.1642768388</v>
          </cell>
          <cell r="H48">
            <v>596659.48082407913</v>
          </cell>
          <cell r="I48">
            <v>491857.68345275958</v>
          </cell>
          <cell r="J48">
            <v>0.76094068999999998</v>
          </cell>
          <cell r="K48">
            <v>190943.39433620911</v>
          </cell>
        </row>
        <row r="49">
          <cell r="B49" t="str">
            <v>Lamar-Orange</v>
          </cell>
          <cell r="C49">
            <v>1896543.1267362759</v>
          </cell>
          <cell r="D49">
            <v>948271.56336813793</v>
          </cell>
          <cell r="E49">
            <v>443748.56014510535</v>
          </cell>
          <cell r="F49">
            <v>504523.00322303263</v>
          </cell>
          <cell r="G49">
            <v>948271.56336813793</v>
          </cell>
          <cell r="H49">
            <v>443748.56014510535</v>
          </cell>
          <cell r="I49">
            <v>504523.00322303263</v>
          </cell>
          <cell r="J49">
            <v>1.0494987099999999</v>
          </cell>
          <cell r="K49">
            <v>195860.18069260585</v>
          </cell>
        </row>
        <row r="50">
          <cell r="B50" t="str">
            <v>Lamar-Port Arthur</v>
          </cell>
          <cell r="C50">
            <v>2209188.043096737</v>
          </cell>
          <cell r="D50">
            <v>1104594.0215483685</v>
          </cell>
          <cell r="E50">
            <v>523516.20297679433</v>
          </cell>
          <cell r="F50">
            <v>581077.81857157417</v>
          </cell>
          <cell r="G50">
            <v>1104594.0215483685</v>
          </cell>
          <cell r="H50">
            <v>523516.20297679433</v>
          </cell>
          <cell r="I50">
            <v>581077.81857157417</v>
          </cell>
          <cell r="J50">
            <v>1.0245710100000001</v>
          </cell>
          <cell r="K50">
            <v>225579.42019460743</v>
          </cell>
        </row>
        <row r="51">
          <cell r="B51" t="str">
            <v>Total TSTC and Lamar</v>
          </cell>
          <cell r="C51">
            <v>21876508.144765139</v>
          </cell>
          <cell r="D51">
            <v>10938254.072382569</v>
          </cell>
          <cell r="E51">
            <v>4620772.8752086032</v>
          </cell>
          <cell r="F51">
            <v>6317481.197173967</v>
          </cell>
          <cell r="G51">
            <v>10938254.072382569</v>
          </cell>
          <cell r="H51">
            <v>4620772.8752086032</v>
          </cell>
          <cell r="I51">
            <v>6317481.197173967</v>
          </cell>
          <cell r="K51">
            <v>2452500.68063526</v>
          </cell>
        </row>
        <row r="52">
          <cell r="B52" t="str">
            <v>Formula Total</v>
          </cell>
          <cell r="C52">
            <v>650211758</v>
          </cell>
          <cell r="D52">
            <v>325105879</v>
          </cell>
          <cell r="E52">
            <v>148279735.62609279</v>
          </cell>
          <cell r="F52">
            <v>175424469.37390703</v>
          </cell>
          <cell r="G52">
            <v>325105879</v>
          </cell>
          <cell r="H52">
            <v>148279735.62609279</v>
          </cell>
          <cell r="I52">
            <v>175424469.37390703</v>
          </cell>
          <cell r="K52">
            <v>68101291.814219102</v>
          </cell>
        </row>
        <row r="54">
          <cell r="B54" t="str">
            <v>Small Institution Set-Aside</v>
          </cell>
          <cell r="C54">
            <v>26628150</v>
          </cell>
          <cell r="D54" t="str">
            <v>Not included in Table Above</v>
          </cell>
        </row>
        <row r="55">
          <cell r="B55" t="str">
            <v>TAMUG Set-Aside</v>
          </cell>
          <cell r="C55">
            <v>2803348</v>
          </cell>
          <cell r="D55" t="str">
            <v>Added to TAMUG's Annual amount in table above</v>
          </cell>
        </row>
        <row r="56">
          <cell r="B56" t="str">
            <v>Total Appropriation</v>
          </cell>
          <cell r="C56">
            <v>676839908</v>
          </cell>
        </row>
        <row r="57">
          <cell r="B57" t="str">
            <v/>
          </cell>
          <cell r="C57" t="str">
            <v>Rates</v>
          </cell>
          <cell r="D57">
            <v>4.9537202571176158</v>
          </cell>
          <cell r="E57">
            <v>2.3777857234164554</v>
          </cell>
          <cell r="F57">
            <v>2.5759345337011603</v>
          </cell>
          <cell r="G57">
            <v>4.9537202571176158</v>
          </cell>
          <cell r="H57">
            <v>2.3777857234164554</v>
          </cell>
          <cell r="I57">
            <v>2.5759345337011603</v>
          </cell>
          <cell r="J57" t="str">
            <v>HRI Rate3</v>
          </cell>
          <cell r="K57">
            <v>6.25</v>
          </cell>
        </row>
        <row r="58">
          <cell r="C58" t="str">
            <v>Percentages2</v>
          </cell>
          <cell r="D58">
            <v>1</v>
          </cell>
          <cell r="E58">
            <v>0.48</v>
          </cell>
          <cell r="F58">
            <v>0.52</v>
          </cell>
          <cell r="G58">
            <v>1</v>
          </cell>
          <cell r="H58">
            <v>0.52</v>
          </cell>
          <cell r="I58">
            <v>0.48</v>
          </cell>
        </row>
        <row r="59">
          <cell r="D59">
            <v>5.8541475290984097</v>
          </cell>
          <cell r="E59">
            <v>0.90042727198079398</v>
          </cell>
        </row>
        <row r="68">
          <cell r="C68" t="str">
            <v>FY 2012 - FY 2013 Total</v>
          </cell>
          <cell r="D68" t="str">
            <v>FY 2012</v>
          </cell>
          <cell r="E68" t="str">
            <v>O&amp;M 
Funding</v>
          </cell>
          <cell r="F68" t="str">
            <v>Utility 
Funding</v>
          </cell>
          <cell r="G68" t="str">
            <v>FY 2013</v>
          </cell>
          <cell r="H68" t="str">
            <v>O&amp;M 
Funding</v>
          </cell>
          <cell r="I68" t="str">
            <v>Utility 
Funding</v>
          </cell>
          <cell r="J68" t="str">
            <v>Utility Rate Adjustment</v>
          </cell>
          <cell r="K68" t="str">
            <v>Adjusted Utility Square Feet</v>
          </cell>
        </row>
        <row r="69">
          <cell r="B69" t="str">
            <v>Texas Engineering Experiment Station (TEES)</v>
          </cell>
          <cell r="C69">
            <v>7933803.3100056592</v>
          </cell>
          <cell r="D69">
            <v>3966901.6550028296</v>
          </cell>
          <cell r="E69">
            <v>1902261.8677332923</v>
          </cell>
          <cell r="F69">
            <v>2064639.7872695373</v>
          </cell>
          <cell r="G69">
            <v>3966901.6550028296</v>
          </cell>
          <cell r="H69">
            <v>1902261.8677332923</v>
          </cell>
          <cell r="I69">
            <v>2064639.7872695373</v>
          </cell>
          <cell r="J69">
            <v>1.00187118</v>
          </cell>
          <cell r="K69">
            <v>801510.97019651998</v>
          </cell>
        </row>
        <row r="70">
          <cell r="B70" t="str">
            <v>Texas Engineering Extension Service (TEEX)</v>
          </cell>
          <cell r="C70">
            <v>2895728.0293867262</v>
          </cell>
          <cell r="D70">
            <v>1447864.0146933631</v>
          </cell>
          <cell r="E70">
            <v>694299.16452326451</v>
          </cell>
          <cell r="F70">
            <v>753564.85017009871</v>
          </cell>
          <cell r="G70">
            <v>1447864.0146933631</v>
          </cell>
          <cell r="H70">
            <v>694299.16452326451</v>
          </cell>
          <cell r="I70">
            <v>753564.85017009871</v>
          </cell>
          <cell r="J70">
            <v>1.00187118</v>
          </cell>
          <cell r="K70">
            <v>292540.37333292002</v>
          </cell>
        </row>
        <row r="71">
          <cell r="B71" t="str">
            <v>Texas Transportation Institute (TTI)</v>
          </cell>
          <cell r="C71">
            <v>3351318.7116268617</v>
          </cell>
          <cell r="D71">
            <v>1675659.3558134309</v>
          </cell>
          <cell r="E71">
            <v>803534.64065701643</v>
          </cell>
          <cell r="F71">
            <v>872124.71515641443</v>
          </cell>
          <cell r="G71">
            <v>1675659.3558134309</v>
          </cell>
          <cell r="H71">
            <v>803534.64065701643</v>
          </cell>
          <cell r="I71">
            <v>872124.71515641443</v>
          </cell>
          <cell r="J71">
            <v>1.00187118</v>
          </cell>
          <cell r="K71">
            <v>338566.33534211997</v>
          </cell>
        </row>
        <row r="72">
          <cell r="B72" t="str">
            <v>Texas AgriLife Research (TAES)</v>
          </cell>
          <cell r="C72">
            <v>10000274.977654513</v>
          </cell>
          <cell r="D72">
            <v>5000137.4888272565</v>
          </cell>
          <cell r="E72">
            <v>2397732.9678501962</v>
          </cell>
          <cell r="F72">
            <v>2602404.5209770598</v>
          </cell>
          <cell r="G72">
            <v>5000137.4888272565</v>
          </cell>
          <cell r="H72">
            <v>2397732.9678501962</v>
          </cell>
          <cell r="I72">
            <v>2602404.5209770598</v>
          </cell>
          <cell r="J72">
            <v>1.00187118</v>
          </cell>
          <cell r="K72">
            <v>1010275.8773290199</v>
          </cell>
        </row>
        <row r="73">
          <cell r="B73" t="str">
            <v>Texas AgriLife Extension Service (TAEX)</v>
          </cell>
          <cell r="C73">
            <v>1285997.4253262866</v>
          </cell>
          <cell r="D73">
            <v>642998.71266314329</v>
          </cell>
          <cell r="E73">
            <v>308339.36368402885</v>
          </cell>
          <cell r="F73">
            <v>334659.34897911444</v>
          </cell>
          <cell r="G73">
            <v>642998.71266314329</v>
          </cell>
          <cell r="H73">
            <v>308339.36368402885</v>
          </cell>
          <cell r="I73">
            <v>334659.34897911444</v>
          </cell>
          <cell r="J73">
            <v>1.00187118</v>
          </cell>
          <cell r="K73">
            <v>129917.6452665</v>
          </cell>
        </row>
        <row r="74">
          <cell r="B74" t="str">
            <v>Texas Vet. Med. Diagnostic Lab. (TVMDL)4</v>
          </cell>
          <cell r="C74">
            <v>984567.76083588763</v>
          </cell>
          <cell r="D74">
            <v>492283.88041794382</v>
          </cell>
          <cell r="E74">
            <v>236066.56662078568</v>
          </cell>
          <cell r="F74">
            <v>256217.31379715813</v>
          </cell>
          <cell r="G74">
            <v>492283.88041794382</v>
          </cell>
          <cell r="H74">
            <v>236066.56662078568</v>
          </cell>
          <cell r="I74">
            <v>256217.31379715813</v>
          </cell>
          <cell r="J74">
            <v>1.00187118</v>
          </cell>
          <cell r="K74">
            <v>99465.770750399999</v>
          </cell>
        </row>
        <row r="75">
          <cell r="B75" t="str">
            <v>Texas Forest Service (TFS)</v>
          </cell>
          <cell r="C75">
            <v>210995.80660298493</v>
          </cell>
          <cell r="D75">
            <v>105497.90330149246</v>
          </cell>
          <cell r="E75">
            <v>50589.769051408504</v>
          </cell>
          <cell r="F75">
            <v>54908.13425008396</v>
          </cell>
          <cell r="G75">
            <v>105497.90330149246</v>
          </cell>
          <cell r="H75">
            <v>50589.769051408504</v>
          </cell>
          <cell r="I75">
            <v>54908.13425008396</v>
          </cell>
          <cell r="J75">
            <v>1.00187118</v>
          </cell>
          <cell r="K75">
            <v>21315.811225679998</v>
          </cell>
        </row>
        <row r="76">
          <cell r="B76" t="str">
            <v>Total</v>
          </cell>
          <cell r="C76">
            <v>26662686.021438919</v>
          </cell>
          <cell r="D76">
            <v>13331343.01071946</v>
          </cell>
          <cell r="E76">
            <v>6392824.3401199915</v>
          </cell>
          <cell r="F76">
            <v>6938518.6705994671</v>
          </cell>
          <cell r="G76">
            <v>13331343.01071946</v>
          </cell>
          <cell r="H76">
            <v>6392824.3401199915</v>
          </cell>
          <cell r="I76">
            <v>6938518.6705994671</v>
          </cell>
          <cell r="K76">
            <v>2693592.7834431599</v>
          </cell>
        </row>
      </sheetData>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NACUBO"/>
      <sheetName val="Funding Levels"/>
      <sheetName val="I and O"/>
      <sheetName val="OBF"/>
      <sheetName val="SCH"/>
      <sheetName val="Cost Study"/>
      <sheetName val="Infrastructure"/>
      <sheetName val="Utilities"/>
      <sheetName val="TAMUG"/>
      <sheetName val="SIS"/>
      <sheetName val="Comparison"/>
      <sheetName val="Law VM Tuition"/>
      <sheetName val="Growth"/>
      <sheetName val="CPI"/>
    </sheetNames>
    <sheetDataSet>
      <sheetData sheetId="0"/>
      <sheetData sheetId="1"/>
      <sheetData sheetId="2"/>
      <sheetData sheetId="3"/>
      <sheetData sheetId="4"/>
      <sheetData sheetId="5"/>
      <sheetData sheetId="6"/>
      <sheetData sheetId="7">
        <row r="3">
          <cell r="A3" t="str">
            <v>Institution</v>
          </cell>
          <cell r="C3" t="str">
            <v>FY 2014 - FY 2015 Total</v>
          </cell>
          <cell r="D3" t="str">
            <v>FY 2014</v>
          </cell>
          <cell r="E3" t="str">
            <v>O&amp;M 
Funding</v>
          </cell>
          <cell r="F3" t="str">
            <v>Utility 
Funding</v>
          </cell>
          <cell r="G3" t="str">
            <v>FY 2015</v>
          </cell>
          <cell r="H3" t="str">
            <v>O&amp;M 
Funding</v>
          </cell>
          <cell r="I3" t="str">
            <v>Utility 
Funding</v>
          </cell>
          <cell r="J3" t="str">
            <v>Utility Rate Adjustment</v>
          </cell>
          <cell r="K3" t="str">
            <v>Adjusted Utility Square Feet</v>
          </cell>
          <cell r="L3" t="str">
            <v xml:space="preserve">Predicted
Square Feet1 </v>
          </cell>
        </row>
        <row r="4">
          <cell r="B4" t="str">
            <v>UT-Arlington</v>
          </cell>
          <cell r="C4">
            <v>31807080.209555022</v>
          </cell>
          <cell r="D4">
            <v>15903540.104777511</v>
          </cell>
          <cell r="E4">
            <v>8447924.4938445706</v>
          </cell>
          <cell r="F4">
            <v>7455615.6109329397</v>
          </cell>
          <cell r="G4">
            <v>15903540.104777511</v>
          </cell>
          <cell r="H4">
            <v>8447924.4938445706</v>
          </cell>
          <cell r="I4">
            <v>7455615.6109329397</v>
          </cell>
          <cell r="J4">
            <v>0.97647769000000006</v>
          </cell>
          <cell r="K4">
            <v>2746908.8837075103</v>
          </cell>
        </row>
        <row r="5">
          <cell r="B5" t="str">
            <v>UT-Austin</v>
          </cell>
          <cell r="C5">
            <v>118011935.5017083</v>
          </cell>
          <cell r="D5">
            <v>59005967.750854149</v>
          </cell>
          <cell r="E5">
            <v>30423926.699605692</v>
          </cell>
          <cell r="F5">
            <v>28582041.051248457</v>
          </cell>
          <cell r="G5">
            <v>59005967.750854149</v>
          </cell>
          <cell r="H5">
            <v>30423926.699605692</v>
          </cell>
          <cell r="I5">
            <v>28582041.051248457</v>
          </cell>
          <cell r="J5">
            <v>1.0394576799999999</v>
          </cell>
          <cell r="K5">
            <v>10530621.021158399</v>
          </cell>
        </row>
        <row r="6">
          <cell r="B6" t="str">
            <v>UT-Dallas</v>
          </cell>
          <cell r="C6">
            <v>25853817.889887951</v>
          </cell>
          <cell r="D6">
            <v>12926908.944943976</v>
          </cell>
          <cell r="E6">
            <v>6945551.5160211297</v>
          </cell>
          <cell r="F6">
            <v>5981357.428922846</v>
          </cell>
          <cell r="G6">
            <v>12926908.944943976</v>
          </cell>
          <cell r="H6">
            <v>6945551.5160211297</v>
          </cell>
          <cell r="I6">
            <v>5981357.428922846</v>
          </cell>
          <cell r="J6">
            <v>0.95284411999999996</v>
          </cell>
          <cell r="K6">
            <v>2203740.7392683597</v>
          </cell>
        </row>
        <row r="7">
          <cell r="B7" t="str">
            <v>UT-El Paso</v>
          </cell>
          <cell r="C7">
            <v>24665595.778528862</v>
          </cell>
          <cell r="D7">
            <v>12332797.889264431</v>
          </cell>
          <cell r="E7">
            <v>6677420.7815366331</v>
          </cell>
          <cell r="F7">
            <v>5655377.1077277968</v>
          </cell>
          <cell r="G7">
            <v>12332797.889264431</v>
          </cell>
          <cell r="H7">
            <v>6677420.7815366331</v>
          </cell>
          <cell r="I7">
            <v>5655377.1077277968</v>
          </cell>
          <cell r="J7">
            <v>0.93709078000000001</v>
          </cell>
          <cell r="K7">
            <v>2083638.21696404</v>
          </cell>
        </row>
        <row r="8">
          <cell r="B8" t="str">
            <v>UT-Pan American</v>
          </cell>
          <cell r="C8">
            <v>17906809.314481311</v>
          </cell>
          <cell r="D8">
            <v>8953404.6572406553</v>
          </cell>
          <cell r="E8">
            <v>4705523.96494467</v>
          </cell>
          <cell r="F8">
            <v>4247880.6922959853</v>
          </cell>
          <cell r="G8">
            <v>8953404.6572406553</v>
          </cell>
          <cell r="H8">
            <v>4705523.96494467</v>
          </cell>
          <cell r="I8">
            <v>4247880.6922959853</v>
          </cell>
          <cell r="J8">
            <v>0.99883363999999997</v>
          </cell>
          <cell r="K8">
            <v>1565067.4363477998</v>
          </cell>
        </row>
        <row r="9">
          <cell r="B9" t="str">
            <v>UT-Brownsville</v>
          </cell>
          <cell r="C9">
            <v>7272866.8572981711</v>
          </cell>
          <cell r="D9">
            <v>3636433.4286490856</v>
          </cell>
          <cell r="E9">
            <v>2069536.2248945273</v>
          </cell>
          <cell r="F9">
            <v>1566897.203754558</v>
          </cell>
          <cell r="G9">
            <v>3636433.4286490856</v>
          </cell>
          <cell r="H9">
            <v>2069536.2248945273</v>
          </cell>
          <cell r="I9">
            <v>1566897.203754558</v>
          </cell>
          <cell r="J9">
            <v>0.83771503999999997</v>
          </cell>
          <cell r="K9">
            <v>577299.59180544002</v>
          </cell>
        </row>
        <row r="10">
          <cell r="B10" t="str">
            <v>UT-Permian Basin</v>
          </cell>
          <cell r="C10">
            <v>3544603.8918381473</v>
          </cell>
          <cell r="D10">
            <v>1772301.9459190737</v>
          </cell>
          <cell r="E10">
            <v>921470.60200433829</v>
          </cell>
          <cell r="F10">
            <v>850831.34391473536</v>
          </cell>
          <cell r="G10">
            <v>1772301.9459190737</v>
          </cell>
          <cell r="H10">
            <v>921470.60200433829</v>
          </cell>
          <cell r="I10">
            <v>850831.34391473536</v>
          </cell>
          <cell r="J10">
            <v>1.0216234100000001</v>
          </cell>
          <cell r="K10">
            <v>313475.94874781003</v>
          </cell>
        </row>
        <row r="11">
          <cell r="B11" t="str">
            <v>UT-San Antonio</v>
          </cell>
          <cell r="C11">
            <v>30837556.348135367</v>
          </cell>
          <cell r="D11">
            <v>15418778.174067684</v>
          </cell>
          <cell r="E11">
            <v>8248041.9429507628</v>
          </cell>
          <cell r="F11">
            <v>7170736.2311169207</v>
          </cell>
          <cell r="G11">
            <v>15418778.174067684</v>
          </cell>
          <cell r="H11">
            <v>8248041.9429507628</v>
          </cell>
          <cell r="I11">
            <v>7170736.2311169207</v>
          </cell>
          <cell r="J11">
            <v>0.9619261400000001</v>
          </cell>
          <cell r="K11">
            <v>2641949.3820328005</v>
          </cell>
        </row>
        <row r="12">
          <cell r="B12" t="str">
            <v>UT-Tyler</v>
          </cell>
          <cell r="C12">
            <v>6501496.805446472</v>
          </cell>
          <cell r="D12">
            <v>3250748.402723236</v>
          </cell>
          <cell r="E12">
            <v>1762218.1918236145</v>
          </cell>
          <cell r="F12">
            <v>1488530.2108996217</v>
          </cell>
          <cell r="G12">
            <v>3250748.402723236</v>
          </cell>
          <cell r="H12">
            <v>1762218.1918236145</v>
          </cell>
          <cell r="I12">
            <v>1488530.2108996217</v>
          </cell>
          <cell r="J12">
            <v>0.93460222999999998</v>
          </cell>
          <cell r="K12">
            <v>548426.45776846004</v>
          </cell>
        </row>
        <row r="13">
          <cell r="B13" t="str">
            <v>TAMU</v>
          </cell>
          <cell r="C13">
            <v>73035527.867271066</v>
          </cell>
          <cell r="D13">
            <v>36517763.933635533</v>
          </cell>
          <cell r="E13">
            <v>19260411.605443515</v>
          </cell>
          <cell r="F13">
            <v>17257352.328192022</v>
          </cell>
          <cell r="G13">
            <v>36517763.933635533</v>
          </cell>
          <cell r="H13">
            <v>19260411.605443515</v>
          </cell>
          <cell r="I13">
            <v>17257352.328192022</v>
          </cell>
          <cell r="J13">
            <v>0.99137381000000002</v>
          </cell>
          <cell r="K13">
            <v>6358210.6285183504</v>
          </cell>
        </row>
        <row r="14">
          <cell r="B14" t="str">
            <v>TAMU-Galveston</v>
          </cell>
          <cell r="C14">
            <v>5014329.727057917</v>
          </cell>
          <cell r="D14">
            <v>2507164.8635289585</v>
          </cell>
          <cell r="E14">
            <v>1252051.7518960969</v>
          </cell>
          <cell r="F14">
            <v>1255113.1116328614</v>
          </cell>
          <cell r="G14">
            <v>2507164.8635289585</v>
          </cell>
          <cell r="H14">
            <v>1252051.7518960969</v>
          </cell>
          <cell r="I14">
            <v>1255113.1116328614</v>
          </cell>
          <cell r="J14">
            <v>1.1091478100000001</v>
          </cell>
          <cell r="K14">
            <v>462427.45553383837</v>
          </cell>
        </row>
        <row r="15">
          <cell r="B15" t="str">
            <v>Prairie View</v>
          </cell>
          <cell r="C15">
            <v>10018161.925815467</v>
          </cell>
          <cell r="D15">
            <v>5009080.9629077334</v>
          </cell>
          <cell r="E15">
            <v>2697151.6384568824</v>
          </cell>
          <cell r="F15">
            <v>2311929.3244508514</v>
          </cell>
          <cell r="G15">
            <v>5009080.9629077334</v>
          </cell>
          <cell r="H15">
            <v>2697151.6384568824</v>
          </cell>
          <cell r="I15">
            <v>2311929.3244508514</v>
          </cell>
          <cell r="J15">
            <v>0.94841416000000001</v>
          </cell>
          <cell r="K15">
            <v>851795.41586416005</v>
          </cell>
        </row>
        <row r="16">
          <cell r="B16" t="str">
            <v>Tarleton</v>
          </cell>
          <cell r="C16">
            <v>10206654.77763319</v>
          </cell>
          <cell r="D16">
            <v>5103327.3888165951</v>
          </cell>
          <cell r="E16">
            <v>2575730.7742951852</v>
          </cell>
          <cell r="F16">
            <v>2527596.6145214094</v>
          </cell>
          <cell r="G16">
            <v>5103327.3888165951</v>
          </cell>
          <cell r="H16">
            <v>2575730.7742951852</v>
          </cell>
          <cell r="I16">
            <v>2527596.6145214094</v>
          </cell>
          <cell r="J16">
            <v>1.08576575</v>
          </cell>
          <cell r="K16">
            <v>931254.76918049995</v>
          </cell>
        </row>
        <row r="17">
          <cell r="B17" t="str">
            <v>TAMU-Central</v>
          </cell>
          <cell r="C17">
            <v>1709348.3130202568</v>
          </cell>
          <cell r="D17">
            <v>854674.15651012841</v>
          </cell>
          <cell r="E17">
            <v>448637.3599832881</v>
          </cell>
          <cell r="F17">
            <v>406036.79652684031</v>
          </cell>
          <cell r="G17">
            <v>854674.15651012841</v>
          </cell>
          <cell r="H17">
            <v>448637.3599832881</v>
          </cell>
          <cell r="I17">
            <v>406036.79652684031</v>
          </cell>
          <cell r="J17">
            <v>1.00137973</v>
          </cell>
          <cell r="K17">
            <v>149598.12062416002</v>
          </cell>
        </row>
        <row r="18">
          <cell r="B18" t="str">
            <v>TAMU-CC</v>
          </cell>
          <cell r="C18">
            <v>12273085.966621902</v>
          </cell>
          <cell r="D18">
            <v>6136542.9833109509</v>
          </cell>
          <cell r="E18">
            <v>2895163.2653703592</v>
          </cell>
          <cell r="F18">
            <v>3241379.7179405917</v>
          </cell>
          <cell r="G18">
            <v>6136542.9833109509</v>
          </cell>
          <cell r="H18">
            <v>2895163.2653703592</v>
          </cell>
          <cell r="I18">
            <v>3241379.7179405917</v>
          </cell>
          <cell r="J18">
            <v>1.23875577</v>
          </cell>
          <cell r="K18">
            <v>1194237.36513774</v>
          </cell>
        </row>
        <row r="19">
          <cell r="B19" t="str">
            <v>TAMU-Kingsville</v>
          </cell>
          <cell r="C19">
            <v>9757393.959249109</v>
          </cell>
          <cell r="D19">
            <v>4878696.9796245545</v>
          </cell>
          <cell r="E19">
            <v>2316759.4589760327</v>
          </cell>
          <cell r="F19">
            <v>2561937.5206485218</v>
          </cell>
          <cell r="G19">
            <v>4878696.9796245545</v>
          </cell>
          <cell r="H19">
            <v>2316759.4589760327</v>
          </cell>
          <cell r="I19">
            <v>2561937.5206485218</v>
          </cell>
          <cell r="J19">
            <v>1.2235350899999999</v>
          </cell>
          <cell r="K19">
            <v>943907.15699630999</v>
          </cell>
        </row>
        <row r="20">
          <cell r="B20" t="str">
            <v>TAMU-San Antonio</v>
          </cell>
          <cell r="C20">
            <v>3290461.7972570127</v>
          </cell>
          <cell r="D20">
            <v>1645230.8986285063</v>
          </cell>
          <cell r="E20">
            <v>762294.91235191911</v>
          </cell>
          <cell r="F20">
            <v>882935.98627658735</v>
          </cell>
          <cell r="G20">
            <v>1645230.8986285063</v>
          </cell>
          <cell r="H20">
            <v>762294.91235191911</v>
          </cell>
          <cell r="I20">
            <v>882935.98627658735</v>
          </cell>
          <cell r="J20">
            <v>1.2815484700000002</v>
          </cell>
          <cell r="K20">
            <v>325304.41897939006</v>
          </cell>
        </row>
        <row r="21">
          <cell r="B21" t="str">
            <v>TAMI</v>
          </cell>
          <cell r="C21">
            <v>6776232.8558748756</v>
          </cell>
          <cell r="D21">
            <v>3388116.4279374378</v>
          </cell>
          <cell r="E21">
            <v>1642698.2825247573</v>
          </cell>
          <cell r="F21">
            <v>1745418.1454126807</v>
          </cell>
          <cell r="G21">
            <v>3388116.4279374378</v>
          </cell>
          <cell r="H21">
            <v>1642698.2825247573</v>
          </cell>
          <cell r="I21">
            <v>1745418.1454126807</v>
          </cell>
          <cell r="J21">
            <v>1.17562963</v>
          </cell>
          <cell r="K21">
            <v>643072.93449888995</v>
          </cell>
        </row>
        <row r="22">
          <cell r="B22" t="str">
            <v>WTAMU</v>
          </cell>
          <cell r="C22">
            <v>7179148.812675735</v>
          </cell>
          <cell r="D22">
            <v>3589574.4063378675</v>
          </cell>
          <cell r="E22">
            <v>2159061.2887430722</v>
          </cell>
          <cell r="F22">
            <v>1430513.1175947953</v>
          </cell>
          <cell r="G22">
            <v>3589574.4063378675</v>
          </cell>
          <cell r="H22">
            <v>2159061.2887430722</v>
          </cell>
          <cell r="I22">
            <v>1430513.1175947953</v>
          </cell>
          <cell r="J22">
            <v>0.73308732999999993</v>
          </cell>
          <cell r="K22">
            <v>527050.93664150999</v>
          </cell>
        </row>
        <row r="23">
          <cell r="B23" t="str">
            <v>TAMU-Commerce</v>
          </cell>
          <cell r="C23">
            <v>9707455.9245321043</v>
          </cell>
          <cell r="D23">
            <v>4853727.9622660521</v>
          </cell>
          <cell r="E23">
            <v>2365235.3095225827</v>
          </cell>
          <cell r="F23">
            <v>2488492.6527434699</v>
          </cell>
          <cell r="G23">
            <v>4853727.9622660521</v>
          </cell>
          <cell r="H23">
            <v>2365235.3095225827</v>
          </cell>
          <cell r="I23">
            <v>2488492.6527434699</v>
          </cell>
          <cell r="J23">
            <v>1.1641014999999999</v>
          </cell>
          <cell r="K23">
            <v>916847.50550149987</v>
          </cell>
        </row>
        <row r="24">
          <cell r="B24" t="str">
            <v>TAMU-Texarkana</v>
          </cell>
          <cell r="C24">
            <v>1858593.730301199</v>
          </cell>
          <cell r="D24">
            <v>929296.86515059951</v>
          </cell>
          <cell r="E24">
            <v>492917.89624328585</v>
          </cell>
          <cell r="F24">
            <v>436378.9689073136</v>
          </cell>
          <cell r="G24">
            <v>929296.86515059951</v>
          </cell>
          <cell r="H24">
            <v>492917.89624328585</v>
          </cell>
          <cell r="I24">
            <v>436378.9689073136</v>
          </cell>
          <cell r="J24">
            <v>0.97953073000000013</v>
          </cell>
          <cell r="K24">
            <v>160777.23543001001</v>
          </cell>
        </row>
        <row r="25">
          <cell r="B25" t="str">
            <v>UH</v>
          </cell>
          <cell r="C25">
            <v>50660951.07582137</v>
          </cell>
          <cell r="D25">
            <v>25330475.537910685</v>
          </cell>
          <cell r="E25">
            <v>13048658.697361207</v>
          </cell>
          <cell r="F25">
            <v>12281816.840549476</v>
          </cell>
          <cell r="G25">
            <v>25330475.537910685</v>
          </cell>
          <cell r="H25">
            <v>13048658.697361207</v>
          </cell>
          <cell r="I25">
            <v>12281816.840549476</v>
          </cell>
          <cell r="J25">
            <v>1.0414192099999999</v>
          </cell>
          <cell r="K25">
            <v>4525049.7809867999</v>
          </cell>
        </row>
        <row r="26">
          <cell r="B26" t="str">
            <v>UH-Clear Lake</v>
          </cell>
          <cell r="C26">
            <v>6982764.9199850224</v>
          </cell>
          <cell r="D26">
            <v>3491382.4599925112</v>
          </cell>
          <cell r="E26">
            <v>1779930.4063276136</v>
          </cell>
          <cell r="F26">
            <v>1711452.0536648978</v>
          </cell>
          <cell r="G26">
            <v>3491382.4599925112</v>
          </cell>
          <cell r="H26">
            <v>1779930.4063276136</v>
          </cell>
          <cell r="I26">
            <v>1711452.0536648978</v>
          </cell>
          <cell r="J26">
            <v>1.06387488</v>
          </cell>
          <cell r="K26">
            <v>630558.64137600001</v>
          </cell>
        </row>
        <row r="27">
          <cell r="B27" t="str">
            <v>UH-Downtown</v>
          </cell>
          <cell r="C27">
            <v>12038967.521617878</v>
          </cell>
          <cell r="D27">
            <v>6019483.7608089391</v>
          </cell>
          <cell r="E27">
            <v>2704950.6586445537</v>
          </cell>
          <cell r="F27">
            <v>3314533.1021643854</v>
          </cell>
          <cell r="G27">
            <v>6019483.7608089391</v>
          </cell>
          <cell r="H27">
            <v>2704950.6586445537</v>
          </cell>
          <cell r="I27">
            <v>3314533.1021643854</v>
          </cell>
          <cell r="J27">
            <v>1.35578821</v>
          </cell>
          <cell r="K27">
            <v>1221189.6238758301</v>
          </cell>
        </row>
        <row r="28">
          <cell r="B28" t="str">
            <v>UH-Victoria</v>
          </cell>
          <cell r="C28">
            <v>3404580.2988143298</v>
          </cell>
          <cell r="D28">
            <v>1702290.1494071649</v>
          </cell>
          <cell r="E28">
            <v>838795.58245617023</v>
          </cell>
          <cell r="F28">
            <v>863494.56695099466</v>
          </cell>
          <cell r="G28">
            <v>1702290.1494071649</v>
          </cell>
          <cell r="H28">
            <v>838795.58245617023</v>
          </cell>
          <cell r="I28">
            <v>863494.56695099466</v>
          </cell>
          <cell r="J28">
            <v>1.1390225299999999</v>
          </cell>
          <cell r="K28">
            <v>318141.52187682997</v>
          </cell>
        </row>
        <row r="29">
          <cell r="B29" t="str">
            <v>Midwestern</v>
          </cell>
          <cell r="C29">
            <v>5587638.8098004386</v>
          </cell>
          <cell r="D29">
            <v>2793819.4049002193</v>
          </cell>
          <cell r="E29">
            <v>1472059.8050185293</v>
          </cell>
          <cell r="F29">
            <v>1321759.5998816902</v>
          </cell>
          <cell r="G29">
            <v>2793819.4049002193</v>
          </cell>
          <cell r="H29">
            <v>1472059.8050185293</v>
          </cell>
          <cell r="I29">
            <v>1321759.5998816902</v>
          </cell>
          <cell r="J29">
            <v>0.99347252000000008</v>
          </cell>
          <cell r="K29">
            <v>486982.34679864004</v>
          </cell>
        </row>
        <row r="30">
          <cell r="B30" t="str">
            <v>UNT</v>
          </cell>
          <cell r="C30">
            <v>36686554.013207778</v>
          </cell>
          <cell r="D30">
            <v>18343277.006603889</v>
          </cell>
          <cell r="E30">
            <v>9574671.1932413913</v>
          </cell>
          <cell r="F30">
            <v>8768605.8133624978</v>
          </cell>
          <cell r="G30">
            <v>18343277.006603889</v>
          </cell>
          <cell r="H30">
            <v>9574671.1932413913</v>
          </cell>
          <cell r="I30">
            <v>8768605.8133624978</v>
          </cell>
          <cell r="J30">
            <v>1.0132941100000001</v>
          </cell>
          <cell r="K30">
            <v>3230660.2785602505</v>
          </cell>
        </row>
        <row r="31">
          <cell r="B31" t="str">
            <v>UNT-Dallas</v>
          </cell>
          <cell r="C31">
            <v>1911047.1053005573</v>
          </cell>
          <cell r="D31">
            <v>955523.55265027867</v>
          </cell>
          <cell r="E31">
            <v>425720.79354042321</v>
          </cell>
          <cell r="F31">
            <v>529802.7591098554</v>
          </cell>
          <cell r="G31">
            <v>955523.55265027867</v>
          </cell>
          <cell r="H31">
            <v>425720.79354042321</v>
          </cell>
          <cell r="I31">
            <v>529802.7591098554</v>
          </cell>
          <cell r="J31">
            <v>1.3769500699999999</v>
          </cell>
          <cell r="K31">
            <v>195197.81887326998</v>
          </cell>
        </row>
        <row r="32">
          <cell r="B32" t="str">
            <v>SFA</v>
          </cell>
          <cell r="C32">
            <v>13644367.631960317</v>
          </cell>
          <cell r="D32">
            <v>6822183.8159801587</v>
          </cell>
          <cell r="E32">
            <v>3525736.7208598829</v>
          </cell>
          <cell r="F32">
            <v>3296447.0951202754</v>
          </cell>
          <cell r="G32">
            <v>6822183.8159801587</v>
          </cell>
          <cell r="H32">
            <v>3525736.7208598829</v>
          </cell>
          <cell r="I32">
            <v>3296447.0951202754</v>
          </cell>
          <cell r="J32">
            <v>1.0344870799999999</v>
          </cell>
          <cell r="K32">
            <v>1214526.10794196</v>
          </cell>
        </row>
        <row r="33">
          <cell r="B33" t="str">
            <v>TSU</v>
          </cell>
          <cell r="C33">
            <v>14915514.181661531</v>
          </cell>
          <cell r="D33">
            <v>7457757.0908307657</v>
          </cell>
          <cell r="E33">
            <v>3345587.4628629517</v>
          </cell>
          <cell r="F33">
            <v>4112169.6279678144</v>
          </cell>
          <cell r="G33">
            <v>7457757.0908307657</v>
          </cell>
          <cell r="H33">
            <v>3345587.4628629517</v>
          </cell>
          <cell r="I33">
            <v>4112169.6279678144</v>
          </cell>
          <cell r="J33">
            <v>1.3599641899999999</v>
          </cell>
          <cell r="K33">
            <v>1515066.7459053099</v>
          </cell>
        </row>
        <row r="34">
          <cell r="B34" t="str">
            <v>TTU</v>
          </cell>
          <cell r="C34">
            <v>44505620.760491803</v>
          </cell>
          <cell r="D34">
            <v>22252810.380245902</v>
          </cell>
          <cell r="E34">
            <v>11994025.156134026</v>
          </cell>
          <cell r="F34">
            <v>10258785.224111876</v>
          </cell>
          <cell r="G34">
            <v>22252810.380245902</v>
          </cell>
          <cell r="H34">
            <v>11994025.156134026</v>
          </cell>
          <cell r="I34">
            <v>10258785.224111876</v>
          </cell>
          <cell r="J34">
            <v>0.94636750999999997</v>
          </cell>
          <cell r="K34">
            <v>3779694.3590864697</v>
          </cell>
        </row>
        <row r="35">
          <cell r="B35" t="str">
            <v>Angelo</v>
          </cell>
          <cell r="C35">
            <v>7977428.4714653566</v>
          </cell>
          <cell r="D35">
            <v>3988714.2357326783</v>
          </cell>
          <cell r="E35">
            <v>1878575.8491942401</v>
          </cell>
          <cell r="F35">
            <v>2110138.3865384385</v>
          </cell>
          <cell r="G35">
            <v>3988714.2357326783</v>
          </cell>
          <cell r="H35">
            <v>1878575.8491942401</v>
          </cell>
          <cell r="I35">
            <v>2110138.3865384385</v>
          </cell>
          <cell r="J35">
            <v>1.2428280399999998</v>
          </cell>
          <cell r="K35">
            <v>777448.59476591984</v>
          </cell>
        </row>
        <row r="36">
          <cell r="B36" t="str">
            <v>TWU</v>
          </cell>
          <cell r="C36">
            <v>13535961.528345382</v>
          </cell>
          <cell r="D36">
            <v>6767980.7641726909</v>
          </cell>
          <cell r="E36">
            <v>3562038.0516371531</v>
          </cell>
          <cell r="F36">
            <v>3205942.7125355378</v>
          </cell>
          <cell r="G36">
            <v>6767980.7641726909</v>
          </cell>
          <cell r="H36">
            <v>3562038.0516371531</v>
          </cell>
          <cell r="I36">
            <v>3205942.7125355378</v>
          </cell>
          <cell r="J36">
            <v>0.99583191999999998</v>
          </cell>
          <cell r="K36">
            <v>1181181.1361100001</v>
          </cell>
        </row>
        <row r="37">
          <cell r="B37" t="str">
            <v>Lamar</v>
          </cell>
          <cell r="C37">
            <v>11751022.335271161</v>
          </cell>
          <cell r="D37">
            <v>5875511.1676355805</v>
          </cell>
          <cell r="E37">
            <v>3194165.7470744401</v>
          </cell>
          <cell r="F37">
            <v>2681345.4205611404</v>
          </cell>
          <cell r="G37">
            <v>5875511.1676355805</v>
          </cell>
          <cell r="H37">
            <v>3194165.7470744401</v>
          </cell>
          <cell r="I37">
            <v>2681345.4205611404</v>
          </cell>
          <cell r="J37">
            <v>0.92880417000000004</v>
          </cell>
          <cell r="K37">
            <v>987901.19292459008</v>
          </cell>
        </row>
        <row r="38">
          <cell r="B38" t="str">
            <v>Sam Houston</v>
          </cell>
          <cell r="C38">
            <v>16563980.382816639</v>
          </cell>
          <cell r="D38">
            <v>8281990.1914083194</v>
          </cell>
          <cell r="E38">
            <v>4532738.2793390257</v>
          </cell>
          <cell r="F38">
            <v>3749251.9120692937</v>
          </cell>
          <cell r="G38">
            <v>8281990.1914083194</v>
          </cell>
          <cell r="H38">
            <v>4532738.2793390257</v>
          </cell>
          <cell r="I38">
            <v>3749251.9120692937</v>
          </cell>
          <cell r="J38">
            <v>0.91519327000000006</v>
          </cell>
          <cell r="K38">
            <v>1381355.1988139302</v>
          </cell>
        </row>
        <row r="39">
          <cell r="B39" t="str">
            <v>TxStU-SM</v>
          </cell>
          <cell r="C39">
            <v>34868567.855581619</v>
          </cell>
          <cell r="D39">
            <v>17434283.927790809</v>
          </cell>
          <cell r="E39">
            <v>8958749.8053281661</v>
          </cell>
          <cell r="F39">
            <v>8475534.1224626433</v>
          </cell>
          <cell r="G39">
            <v>17434283.927790809</v>
          </cell>
          <cell r="H39">
            <v>8958749.8053281661</v>
          </cell>
          <cell r="I39">
            <v>8475534.1224626433</v>
          </cell>
          <cell r="J39">
            <v>1.04676335</v>
          </cell>
          <cell r="K39">
            <v>3122682.4436896499</v>
          </cell>
        </row>
        <row r="40">
          <cell r="B40" t="str">
            <v>Sul Ross</v>
          </cell>
          <cell r="C40">
            <v>3179224.3256634502</v>
          </cell>
          <cell r="D40">
            <v>1589612.1628317251</v>
          </cell>
          <cell r="E40">
            <v>681968.30781598017</v>
          </cell>
          <cell r="F40">
            <v>907643.85501574492</v>
          </cell>
          <cell r="G40">
            <v>1589612.1628317251</v>
          </cell>
          <cell r="H40">
            <v>681968.30781598017</v>
          </cell>
          <cell r="I40">
            <v>907643.85501574492</v>
          </cell>
          <cell r="J40">
            <v>1.4725841399999999</v>
          </cell>
          <cell r="K40">
            <v>334407.65976845997</v>
          </cell>
        </row>
        <row r="41">
          <cell r="B41" t="str">
            <v>Sul Ross - RG</v>
          </cell>
          <cell r="C41">
            <v>384100.99347075151</v>
          </cell>
          <cell r="D41">
            <v>192050.49673537575</v>
          </cell>
          <cell r="E41">
            <v>192050.49673537575</v>
          </cell>
          <cell r="F41">
            <v>0</v>
          </cell>
          <cell r="G41">
            <v>192050.49673537575</v>
          </cell>
          <cell r="H41">
            <v>192050.49673537575</v>
          </cell>
          <cell r="I41">
            <v>0</v>
          </cell>
          <cell r="J41">
            <v>0</v>
          </cell>
          <cell r="K41">
            <v>0</v>
          </cell>
        </row>
        <row r="42">
          <cell r="B42" t="str">
            <v>TAMU-CVM</v>
          </cell>
          <cell r="C42">
            <v>7019558.5456138942</v>
          </cell>
          <cell r="D42">
            <v>3509779.2728069471</v>
          </cell>
          <cell r="E42">
            <v>3509779.2728069471</v>
          </cell>
          <cell r="G42">
            <v>3509779.2728069471</v>
          </cell>
          <cell r="H42">
            <v>3509779.2728069471</v>
          </cell>
        </row>
        <row r="43">
          <cell r="B43" t="str">
            <v>Total Universities</v>
          </cell>
          <cell r="C43">
            <v>702846009.01107872</v>
          </cell>
          <cell r="D43">
            <v>351423004.50553936</v>
          </cell>
          <cell r="E43">
            <v>184289930.24781096</v>
          </cell>
          <cell r="F43">
            <v>167133074.25772837</v>
          </cell>
          <cell r="G43">
            <v>351423004.50553936</v>
          </cell>
          <cell r="H43">
            <v>184289930.24781096</v>
          </cell>
          <cell r="I43">
            <v>167133074.25772837</v>
          </cell>
          <cell r="K43">
            <v>61577655.07206089</v>
          </cell>
        </row>
        <row r="44">
          <cell r="B44" t="str">
            <v>TSTC-Harlingen</v>
          </cell>
          <cell r="C44">
            <v>5493476.5050561968</v>
          </cell>
          <cell r="D44">
            <v>2746738.2525280984</v>
          </cell>
          <cell r="E44">
            <v>1200196.2318381239</v>
          </cell>
          <cell r="F44">
            <v>1546542.0206899743</v>
          </cell>
          <cell r="G44">
            <v>2746738.2525280984</v>
          </cell>
          <cell r="H44">
            <v>1200196.2318381239</v>
          </cell>
          <cell r="I44">
            <v>1546542.0206899743</v>
          </cell>
          <cell r="J44">
            <v>1.4257333400000001</v>
          </cell>
          <cell r="K44">
            <v>569800.03226435999</v>
          </cell>
        </row>
        <row r="45">
          <cell r="B45" t="str">
            <v>TSTC-West Texas</v>
          </cell>
          <cell r="C45">
            <v>1398056.3898776458</v>
          </cell>
          <cell r="D45">
            <v>699028.19493882288</v>
          </cell>
          <cell r="E45">
            <v>317411.41268229648</v>
          </cell>
          <cell r="F45">
            <v>381616.78225652641</v>
          </cell>
          <cell r="G45">
            <v>699028.19493882288</v>
          </cell>
          <cell r="H45">
            <v>317411.41268229648</v>
          </cell>
          <cell r="I45">
            <v>381616.78225652641</v>
          </cell>
          <cell r="J45">
            <v>1.33025153</v>
          </cell>
          <cell r="K45">
            <v>140600.93546335</v>
          </cell>
        </row>
        <row r="46">
          <cell r="B46" t="str">
            <v>TSTC-Marshall</v>
          </cell>
          <cell r="C46">
            <v>750876.4426783009</v>
          </cell>
          <cell r="D46">
            <v>375438.22133915045</v>
          </cell>
          <cell r="E46">
            <v>210159.11888849793</v>
          </cell>
          <cell r="F46">
            <v>165279.10245065248</v>
          </cell>
          <cell r="G46">
            <v>375438.22133915045</v>
          </cell>
          <cell r="H46">
            <v>210159.11888849793</v>
          </cell>
          <cell r="I46">
            <v>165279.10245065248</v>
          </cell>
          <cell r="J46">
            <v>0.87015885999999987</v>
          </cell>
          <cell r="K46">
            <v>60894.58718165999</v>
          </cell>
        </row>
        <row r="47">
          <cell r="B47" t="str">
            <v>TSTC-Waco</v>
          </cell>
          <cell r="C47">
            <v>5862939.8830377636</v>
          </cell>
          <cell r="D47">
            <v>2931469.9415188818</v>
          </cell>
          <cell r="E47">
            <v>1528109.4441339308</v>
          </cell>
          <cell r="F47">
            <v>1403360.497384951</v>
          </cell>
          <cell r="G47">
            <v>2931469.9415188818</v>
          </cell>
          <cell r="H47">
            <v>1528109.4441339308</v>
          </cell>
          <cell r="I47">
            <v>1403360.497384951</v>
          </cell>
          <cell r="J47">
            <v>1.0161167899999999</v>
          </cell>
          <cell r="K47">
            <v>517046.96412433992</v>
          </cell>
        </row>
        <row r="48">
          <cell r="B48" t="str">
            <v>Lamar-IOT</v>
          </cell>
          <cell r="C48">
            <v>2406849.7238945272</v>
          </cell>
          <cell r="D48">
            <v>1203424.8619472636</v>
          </cell>
          <cell r="E48">
            <v>676010.18072613038</v>
          </cell>
          <cell r="F48">
            <v>527414.68122113333</v>
          </cell>
          <cell r="G48">
            <v>1203424.8619472636</v>
          </cell>
          <cell r="H48">
            <v>676010.18072613038</v>
          </cell>
          <cell r="I48">
            <v>527414.68122113333</v>
          </cell>
          <cell r="J48">
            <v>0.86323256999999998</v>
          </cell>
          <cell r="K48">
            <v>194317.96766984998</v>
          </cell>
        </row>
        <row r="49">
          <cell r="B49" t="str">
            <v>Lamar-Orange</v>
          </cell>
          <cell r="C49">
            <v>1894104.0594405392</v>
          </cell>
          <cell r="D49">
            <v>947052.02972026961</v>
          </cell>
          <cell r="E49">
            <v>514492.08223798394</v>
          </cell>
          <cell r="F49">
            <v>432559.94748228561</v>
          </cell>
          <cell r="G49">
            <v>947052.02972026961</v>
          </cell>
          <cell r="H49">
            <v>514492.08223798394</v>
          </cell>
          <cell r="I49">
            <v>432559.94748228561</v>
          </cell>
          <cell r="J49">
            <v>0.93024308</v>
          </cell>
          <cell r="K49">
            <v>159370.17470867999</v>
          </cell>
        </row>
        <row r="50">
          <cell r="B50" t="str">
            <v>Lamar-Port Arthur</v>
          </cell>
          <cell r="C50">
            <v>2602585.9662741926</v>
          </cell>
          <cell r="D50">
            <v>1301292.9831370963</v>
          </cell>
          <cell r="E50">
            <v>667967.9103901335</v>
          </cell>
          <cell r="F50">
            <v>633325.07274696277</v>
          </cell>
          <cell r="G50">
            <v>1301292.9831370963</v>
          </cell>
          <cell r="H50">
            <v>667967.9103901335</v>
          </cell>
          <cell r="I50">
            <v>633325.07274696277</v>
          </cell>
          <cell r="J50">
            <v>1.0490590199999998</v>
          </cell>
          <cell r="K50">
            <v>233339.05064153997</v>
          </cell>
        </row>
        <row r="51">
          <cell r="B51" t="str">
            <v>Total TSTC and Lamar</v>
          </cell>
          <cell r="C51">
            <v>20408888.970259167</v>
          </cell>
          <cell r="D51">
            <v>10204444.485129584</v>
          </cell>
          <cell r="E51">
            <v>5114346.3808970973</v>
          </cell>
          <cell r="F51">
            <v>5090098.1042324863</v>
          </cell>
          <cell r="G51">
            <v>10204444.485129584</v>
          </cell>
          <cell r="H51">
            <v>5114346.3808970973</v>
          </cell>
          <cell r="I51">
            <v>5090098.1042324863</v>
          </cell>
          <cell r="K51">
            <v>1875369.71205378</v>
          </cell>
        </row>
        <row r="52">
          <cell r="B52" t="str">
            <v>Formula Total</v>
          </cell>
          <cell r="C52">
            <v>723254897.9813379</v>
          </cell>
          <cell r="D52">
            <v>361627448.99066895</v>
          </cell>
          <cell r="E52">
            <v>189404276.62870806</v>
          </cell>
          <cell r="F52">
            <v>172223172.36196086</v>
          </cell>
          <cell r="G52">
            <v>361627448.99066895</v>
          </cell>
          <cell r="H52">
            <v>189404276.62870806</v>
          </cell>
          <cell r="I52">
            <v>172223172.36196086</v>
          </cell>
          <cell r="K52">
            <v>63453024.784114674</v>
          </cell>
        </row>
        <row r="53">
          <cell r="B53" t="str">
            <v>Small Institution Set-Aside</v>
          </cell>
          <cell r="C53">
            <v>25898550</v>
          </cell>
          <cell r="D53" t="str">
            <v>Not included in Table Above</v>
          </cell>
        </row>
        <row r="54">
          <cell r="B54" t="str">
            <v>TAMUG Set-Aside</v>
          </cell>
          <cell r="C54">
            <v>1770769.4872156784</v>
          </cell>
          <cell r="D54" t="str">
            <v>Added to TAMUG's predicted square feet in table above and included in amounts</v>
          </cell>
        </row>
        <row r="55">
          <cell r="B55" t="str">
            <v>Total</v>
          </cell>
          <cell r="C55">
            <v>749153447.9813379</v>
          </cell>
        </row>
        <row r="57">
          <cell r="C57">
            <v>676839030.74790382</v>
          </cell>
          <cell r="D57" t="str">
            <v>FY 2012-2013 Appropriated</v>
          </cell>
        </row>
        <row r="58">
          <cell r="C58">
            <v>47746743.216482833</v>
          </cell>
          <cell r="D58" t="str">
            <v>7.1% Biennial Rate Increase</v>
          </cell>
        </row>
        <row r="59">
          <cell r="C59">
            <v>24567674.016951248</v>
          </cell>
          <cell r="D59" t="str">
            <v>3.4% Predicted Square Foot Growth</v>
          </cell>
        </row>
        <row r="60">
          <cell r="C60">
            <v>749153447.9813379</v>
          </cell>
          <cell r="D60" t="str">
            <v>FY 2014-2015 Recommended Funding</v>
          </cell>
        </row>
        <row r="61">
          <cell r="C61" t="str">
            <v>Rates</v>
          </cell>
          <cell r="D61">
            <v>5.7172720577392653</v>
          </cell>
          <cell r="E61">
            <v>3.0030882509323664</v>
          </cell>
          <cell r="F61">
            <v>2.7141838068068989</v>
          </cell>
          <cell r="G61">
            <v>5.7172720577392653</v>
          </cell>
          <cell r="H61">
            <v>3.0030882509323664</v>
          </cell>
          <cell r="I61">
            <v>2.7141838068068989</v>
          </cell>
          <cell r="J61" t="str">
            <v>HRI Rate3</v>
          </cell>
          <cell r="K61">
            <v>6.5546870319349999</v>
          </cell>
        </row>
        <row r="62">
          <cell r="C62" t="str">
            <v>Percentages2</v>
          </cell>
          <cell r="D62">
            <v>1</v>
          </cell>
          <cell r="E62">
            <v>0.52526593462824533</v>
          </cell>
          <cell r="F62">
            <v>0.47473406537175467</v>
          </cell>
          <cell r="G62">
            <v>1</v>
          </cell>
          <cell r="H62">
            <v>0.52526593462824533</v>
          </cell>
          <cell r="I62">
            <v>0.47473406537175467</v>
          </cell>
        </row>
        <row r="70">
          <cell r="C70" t="str">
            <v>FY 2014 - FY 2015 Total</v>
          </cell>
          <cell r="D70" t="str">
            <v>FY 2014</v>
          </cell>
          <cell r="E70" t="str">
            <v>O&amp;M 
Funding</v>
          </cell>
          <cell r="F70" t="str">
            <v>Utility 
Funding</v>
          </cell>
          <cell r="G70" t="str">
            <v>FY 2015</v>
          </cell>
          <cell r="H70" t="str">
            <v>O&amp;M 
Funding</v>
          </cell>
          <cell r="I70" t="str">
            <v>Utility 
Funding</v>
          </cell>
          <cell r="J70" t="str">
            <v>Utility Rate Adjustment</v>
          </cell>
          <cell r="K70" t="str">
            <v>Adjusted Utility Square Feet</v>
          </cell>
        </row>
        <row r="71">
          <cell r="B71" t="str">
            <v>Texas Engineering Experiment Station (TEES)</v>
          </cell>
          <cell r="C71">
            <v>11288371.533352043</v>
          </cell>
          <cell r="D71">
            <v>5644185.7666760217</v>
          </cell>
          <cell r="E71">
            <v>2976889.3090312323</v>
          </cell>
          <cell r="F71">
            <v>2667296.4576447895</v>
          </cell>
          <cell r="G71">
            <v>5644185.7666760217</v>
          </cell>
          <cell r="H71">
            <v>2976889.3090312323</v>
          </cell>
          <cell r="I71">
            <v>2667296.4576447895</v>
          </cell>
          <cell r="J71">
            <v>0.99137381000000002</v>
          </cell>
          <cell r="K71">
            <v>982725.06488156004</v>
          </cell>
        </row>
        <row r="72">
          <cell r="B72" t="str">
            <v>Texas Engineering Extension Service (TEEX)</v>
          </cell>
          <cell r="C72">
            <v>3264152.7077998081</v>
          </cell>
          <cell r="D72">
            <v>1632076.3538999041</v>
          </cell>
          <cell r="E72">
            <v>860799.21007075161</v>
          </cell>
          <cell r="F72">
            <v>771277.14382915257</v>
          </cell>
          <cell r="G72">
            <v>1632076.3538999041</v>
          </cell>
          <cell r="H72">
            <v>860799.21007075161</v>
          </cell>
          <cell r="I72">
            <v>771277.14382915257</v>
          </cell>
          <cell r="J72">
            <v>0.99137381000000002</v>
          </cell>
          <cell r="K72">
            <v>284165.40615077998</v>
          </cell>
        </row>
        <row r="73">
          <cell r="B73" t="str">
            <v>Texas Transportation Institute (TTI)</v>
          </cell>
          <cell r="C73">
            <v>4507611.7977417726</v>
          </cell>
          <cell r="D73">
            <v>2253805.8988708863</v>
          </cell>
          <cell r="E73">
            <v>1188715.4254548096</v>
          </cell>
          <cell r="F73">
            <v>1065090.4734160765</v>
          </cell>
          <cell r="G73">
            <v>2253805.8988708863</v>
          </cell>
          <cell r="H73">
            <v>1188715.4254548096</v>
          </cell>
          <cell r="I73">
            <v>1065090.4734160765</v>
          </cell>
          <cell r="J73">
            <v>0.99137381000000002</v>
          </cell>
          <cell r="K73">
            <v>392416.48658611003</v>
          </cell>
        </row>
        <row r="74">
          <cell r="B74" t="str">
            <v>Texas AgriLife Research (TALR)</v>
          </cell>
          <cell r="C74">
            <v>11424500.314145375</v>
          </cell>
          <cell r="D74">
            <v>5712250.1570726875</v>
          </cell>
          <cell r="E74">
            <v>3012788.2259828779</v>
          </cell>
          <cell r="F74">
            <v>2699461.9310898092</v>
          </cell>
          <cell r="G74">
            <v>5712250.1570726875</v>
          </cell>
          <cell r="H74">
            <v>3012788.2259828779</v>
          </cell>
          <cell r="I74">
            <v>2699461.9310898092</v>
          </cell>
          <cell r="J74">
            <v>0.99137381000000002</v>
          </cell>
          <cell r="K74">
            <v>994575.94740629999</v>
          </cell>
        </row>
        <row r="75">
          <cell r="B75" t="str">
            <v>Texas AgriLife Extension Service (TALX)</v>
          </cell>
          <cell r="C75">
            <v>1271347.6112873596</v>
          </cell>
          <cell r="D75">
            <v>635673.80564367981</v>
          </cell>
          <cell r="E75">
            <v>335270.77851059125</v>
          </cell>
          <cell r="F75">
            <v>300403.02713308862</v>
          </cell>
          <cell r="G75">
            <v>635673.80564367981</v>
          </cell>
          <cell r="H75">
            <v>335270.77851059125</v>
          </cell>
          <cell r="I75">
            <v>300403.02713308862</v>
          </cell>
          <cell r="J75">
            <v>0.99137381000000002</v>
          </cell>
          <cell r="K75">
            <v>110678.95489602</v>
          </cell>
        </row>
        <row r="76">
          <cell r="B76" t="str">
            <v>Texas Vet. Med. Diagnostic Lab. (TVMDL)4</v>
          </cell>
          <cell r="C76">
            <v>1076116.5741516</v>
          </cell>
          <cell r="D76">
            <v>538058.28707580001</v>
          </cell>
          <cell r="E76">
            <v>283785.83353660675</v>
          </cell>
          <cell r="F76">
            <v>254272.45353919323</v>
          </cell>
          <cell r="G76">
            <v>538058.28707580001</v>
          </cell>
          <cell r="H76">
            <v>283785.83353660675</v>
          </cell>
          <cell r="I76">
            <v>254272.45353919323</v>
          </cell>
          <cell r="J76">
            <v>0.99137381000000002</v>
          </cell>
          <cell r="K76">
            <v>93682.842297380004</v>
          </cell>
        </row>
        <row r="77">
          <cell r="B77" t="str">
            <v>Texas Forest Service (TFS)</v>
          </cell>
          <cell r="C77">
            <v>235589.10967478994</v>
          </cell>
          <cell r="D77">
            <v>117794.55483739497</v>
          </cell>
          <cell r="E77">
            <v>62127.889735288794</v>
          </cell>
          <cell r="F77">
            <v>55666.66510210617</v>
          </cell>
          <cell r="G77">
            <v>117794.55483739497</v>
          </cell>
          <cell r="H77">
            <v>62127.889735288794</v>
          </cell>
          <cell r="I77">
            <v>55666.66510210617</v>
          </cell>
          <cell r="J77">
            <v>0.99137381000000002</v>
          </cell>
          <cell r="K77">
            <v>20509.54138128</v>
          </cell>
        </row>
        <row r="78">
          <cell r="B78" t="str">
            <v>Total</v>
          </cell>
          <cell r="C78">
            <v>33067689.64815275</v>
          </cell>
          <cell r="D78">
            <v>16533844.824076375</v>
          </cell>
          <cell r="E78">
            <v>8720376.6723221578</v>
          </cell>
          <cell r="F78">
            <v>7813468.1517542163</v>
          </cell>
          <cell r="G78">
            <v>16533844.824076375</v>
          </cell>
          <cell r="H78">
            <v>8720376.6723221578</v>
          </cell>
          <cell r="I78">
            <v>7813468.1517542163</v>
          </cell>
          <cell r="K78">
            <v>2878754.2435994297</v>
          </cell>
        </row>
      </sheetData>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outlinePr summaryBelow="0" summaryRight="0"/>
  </sheetPr>
  <dimension ref="A1:R396"/>
  <sheetViews>
    <sheetView showGridLines="0" tabSelected="1" zoomScale="70" zoomScaleNormal="70" workbookViewId="0">
      <pane xSplit="2" ySplit="4" topLeftCell="C5" activePane="bottomRight" state="frozen"/>
      <selection activeCell="A2" sqref="A2"/>
      <selection pane="topRight" activeCell="A2" sqref="A2"/>
      <selection pane="bottomLeft" activeCell="A2" sqref="A2"/>
      <selection pane="bottomRight" activeCell="U15" sqref="U15"/>
    </sheetView>
  </sheetViews>
  <sheetFormatPr defaultRowHeight="12.75" outlineLevelRow="1" x14ac:dyDescent="0.2"/>
  <cols>
    <col min="1" max="1" width="7.28515625" style="1" customWidth="1"/>
    <col min="2" max="2" width="10.85546875" style="1" bestFit="1" customWidth="1"/>
    <col min="3" max="3" width="13.7109375" style="1" bestFit="1" customWidth="1"/>
    <col min="4" max="4" width="13.140625" style="1" customWidth="1"/>
    <col min="5" max="5" width="12.5703125" style="1" customWidth="1"/>
    <col min="6" max="6" width="13" style="1" customWidth="1"/>
    <col min="7" max="7" width="12.42578125" style="1" customWidth="1"/>
    <col min="8" max="10" width="12.5703125" style="1" bestFit="1" customWidth="1"/>
    <col min="11" max="11" width="2.7109375" style="126" customWidth="1"/>
    <col min="12" max="12" width="16.42578125" style="1" customWidth="1"/>
    <col min="13" max="13" width="11" style="1" customWidth="1"/>
    <col min="14" max="14" width="13.5703125" style="1" customWidth="1"/>
    <col min="15" max="15" width="2.42578125" style="1" customWidth="1"/>
    <col min="16" max="16" width="11" style="1" customWidth="1"/>
    <col min="17" max="17" width="8.42578125" style="1" customWidth="1"/>
    <col min="18" max="18" width="8.28515625" style="1" customWidth="1"/>
    <col min="19" max="16384" width="9.140625" style="1"/>
  </cols>
  <sheetData>
    <row r="1" spans="1:18" ht="41.25" customHeight="1" x14ac:dyDescent="0.2">
      <c r="A1" s="166" t="s">
        <v>88</v>
      </c>
      <c r="B1" s="166"/>
      <c r="C1" s="166"/>
      <c r="D1" s="166"/>
      <c r="E1" s="166"/>
      <c r="F1" s="166"/>
      <c r="G1" s="166"/>
      <c r="H1" s="166"/>
      <c r="I1" s="166"/>
      <c r="J1" s="166"/>
    </row>
    <row r="2" spans="1:18" ht="13.5" thickBot="1" x14ac:dyDescent="0.25">
      <c r="A2" s="71"/>
      <c r="B2" s="70"/>
      <c r="C2" s="70"/>
      <c r="D2" s="70"/>
      <c r="E2" s="70"/>
      <c r="F2" s="70"/>
    </row>
    <row r="3" spans="1:18" ht="12.75" customHeight="1" thickBot="1" x14ac:dyDescent="0.25">
      <c r="A3" s="167" t="s">
        <v>22</v>
      </c>
      <c r="B3" s="169" t="s">
        <v>21</v>
      </c>
      <c r="C3" s="171" t="s">
        <v>72</v>
      </c>
      <c r="D3" s="173" t="s">
        <v>33</v>
      </c>
      <c r="E3" s="174"/>
      <c r="F3" s="174"/>
      <c r="G3" s="176" t="s">
        <v>16</v>
      </c>
      <c r="H3" s="178" t="s">
        <v>32</v>
      </c>
      <c r="I3" s="179"/>
      <c r="J3" s="180"/>
      <c r="L3" s="181" t="s">
        <v>82</v>
      </c>
      <c r="M3" s="182"/>
      <c r="N3" s="183"/>
    </row>
    <row r="4" spans="1:18" ht="54" customHeight="1" thickBot="1" x14ac:dyDescent="0.25">
      <c r="A4" s="168"/>
      <c r="B4" s="170"/>
      <c r="C4" s="172"/>
      <c r="D4" s="120"/>
      <c r="E4" s="121" t="s">
        <v>31</v>
      </c>
      <c r="F4" s="121" t="s">
        <v>30</v>
      </c>
      <c r="G4" s="177"/>
      <c r="H4" s="103" t="s">
        <v>14</v>
      </c>
      <c r="I4" s="104" t="s">
        <v>13</v>
      </c>
      <c r="J4" s="110" t="s">
        <v>12</v>
      </c>
      <c r="L4" s="129" t="s">
        <v>78</v>
      </c>
      <c r="M4" s="99" t="s">
        <v>80</v>
      </c>
      <c r="N4" s="130" t="s">
        <v>81</v>
      </c>
      <c r="P4" s="146" t="s">
        <v>84</v>
      </c>
      <c r="Q4" s="146" t="s">
        <v>86</v>
      </c>
      <c r="R4" s="146" t="s">
        <v>87</v>
      </c>
    </row>
    <row r="5" spans="1:18" x14ac:dyDescent="0.2">
      <c r="A5" s="40">
        <v>3656</v>
      </c>
      <c r="B5" s="39" t="s">
        <v>71</v>
      </c>
      <c r="C5" s="69">
        <f t="shared" ref="C5:C42" si="0">SUM(D5:J5)</f>
        <v>12182601.492152015</v>
      </c>
      <c r="D5" s="73">
        <f t="shared" ref="D5:J20" si="1">D48/$C$86*$C$43</f>
        <v>211418.70978197211</v>
      </c>
      <c r="E5" s="66">
        <f t="shared" si="1"/>
        <v>3835487.7599612777</v>
      </c>
      <c r="F5" s="66">
        <f t="shared" si="1"/>
        <v>0</v>
      </c>
      <c r="G5" s="68">
        <f t="shared" si="1"/>
        <v>4594923.1743367631</v>
      </c>
      <c r="H5" s="67">
        <f t="shared" si="1"/>
        <v>1728173.1043915767</v>
      </c>
      <c r="I5" s="66">
        <f t="shared" si="1"/>
        <v>1211402.2425281291</v>
      </c>
      <c r="J5" s="65">
        <f t="shared" si="1"/>
        <v>601196.50115229585</v>
      </c>
      <c r="L5" s="72">
        <v>5.3941374102444546E-2</v>
      </c>
      <c r="M5" s="97">
        <f t="shared" ref="M5:M42" si="2">MIN(0,C48/$C$86-L5+$M$44)*-1*$N$43</f>
        <v>0</v>
      </c>
      <c r="N5" s="131">
        <f t="shared" ref="N5:N42" si="3">C5+M5</f>
        <v>12182601.492152015</v>
      </c>
      <c r="P5" s="163">
        <f t="shared" ref="P5:P43" si="4">N5-L5*$N$43</f>
        <v>-493621.42192245275</v>
      </c>
      <c r="Q5" s="147">
        <f t="shared" ref="Q5:Q43" si="5">N5/D219</f>
        <v>2427.7802893886042</v>
      </c>
      <c r="R5" s="147">
        <f t="shared" ref="R5:R42" si="6">N5/(D219/F219*100)</f>
        <v>718.71493672679026</v>
      </c>
    </row>
    <row r="6" spans="1:18" x14ac:dyDescent="0.2">
      <c r="A6" s="20">
        <v>3658</v>
      </c>
      <c r="B6" s="19" t="s">
        <v>70</v>
      </c>
      <c r="C6" s="54">
        <f t="shared" si="0"/>
        <v>25398797.864654843</v>
      </c>
      <c r="D6" s="15">
        <f t="shared" si="1"/>
        <v>376927.51108265907</v>
      </c>
      <c r="E6" s="14">
        <f t="shared" si="1"/>
        <v>10936551.734063353</v>
      </c>
      <c r="F6" s="14">
        <f t="shared" si="1"/>
        <v>0</v>
      </c>
      <c r="G6" s="16">
        <f t="shared" si="1"/>
        <v>4093944.8154060799</v>
      </c>
      <c r="H6" s="15">
        <f t="shared" si="1"/>
        <v>1213192.8553550988</v>
      </c>
      <c r="I6" s="14">
        <f t="shared" si="1"/>
        <v>2845705.1027199775</v>
      </c>
      <c r="J6" s="13">
        <f t="shared" si="1"/>
        <v>5932475.846027676</v>
      </c>
      <c r="L6" s="72">
        <v>9.7535367886092073E-2</v>
      </c>
      <c r="M6" s="98">
        <f t="shared" si="2"/>
        <v>0</v>
      </c>
      <c r="N6" s="132">
        <f t="shared" si="3"/>
        <v>25398797.864654843</v>
      </c>
      <c r="P6" s="163">
        <f t="shared" si="4"/>
        <v>2477986.4114232063</v>
      </c>
      <c r="Q6" s="148">
        <f t="shared" si="5"/>
        <v>2839.017608478875</v>
      </c>
      <c r="R6" s="148">
        <f t="shared" si="6"/>
        <v>752.27414345583838</v>
      </c>
    </row>
    <row r="7" spans="1:18" x14ac:dyDescent="0.2">
      <c r="A7" s="20">
        <v>9741</v>
      </c>
      <c r="B7" s="156" t="s">
        <v>69</v>
      </c>
      <c r="C7" s="155">
        <f t="shared" si="0"/>
        <v>6399549.0564098563</v>
      </c>
      <c r="D7" s="30">
        <f t="shared" si="1"/>
        <v>100822.03517502177</v>
      </c>
      <c r="E7" s="29">
        <f t="shared" si="1"/>
        <v>2480726.1754814107</v>
      </c>
      <c r="F7" s="29">
        <f t="shared" si="1"/>
        <v>0</v>
      </c>
      <c r="G7" s="43">
        <f t="shared" si="1"/>
        <v>1946009.932306295</v>
      </c>
      <c r="H7" s="30">
        <f t="shared" si="1"/>
        <v>628505.10226635484</v>
      </c>
      <c r="I7" s="29">
        <f t="shared" si="1"/>
        <v>899238.73969308322</v>
      </c>
      <c r="J7" s="28">
        <f t="shared" si="1"/>
        <v>344247.07148769096</v>
      </c>
      <c r="L7" s="154">
        <v>3.0845130992374833E-2</v>
      </c>
      <c r="M7" s="153">
        <f t="shared" si="2"/>
        <v>0</v>
      </c>
      <c r="N7" s="152">
        <f t="shared" si="3"/>
        <v>6399549.0564098563</v>
      </c>
      <c r="O7" s="151"/>
      <c r="P7" s="164">
        <f t="shared" si="4"/>
        <v>-849056.72679822985</v>
      </c>
      <c r="Q7" s="150">
        <f t="shared" si="5"/>
        <v>2674.2787532009429</v>
      </c>
      <c r="R7" s="150">
        <f t="shared" si="6"/>
        <v>717.50258503115265</v>
      </c>
    </row>
    <row r="8" spans="1:18" x14ac:dyDescent="0.2">
      <c r="A8" s="20">
        <v>3661</v>
      </c>
      <c r="B8" s="156" t="s">
        <v>68</v>
      </c>
      <c r="C8" s="155">
        <f t="shared" si="0"/>
        <v>8478071.7110235486</v>
      </c>
      <c r="D8" s="30">
        <f t="shared" si="1"/>
        <v>128797.72734226557</v>
      </c>
      <c r="E8" s="29">
        <f t="shared" si="1"/>
        <v>1406471.1825775399</v>
      </c>
      <c r="F8" s="29">
        <f t="shared" si="1"/>
        <v>0</v>
      </c>
      <c r="G8" s="43">
        <f t="shared" si="1"/>
        <v>3633960.957196373</v>
      </c>
      <c r="H8" s="30">
        <f t="shared" si="1"/>
        <v>551424.48657362512</v>
      </c>
      <c r="I8" s="29">
        <f t="shared" si="1"/>
        <v>1768493.4920482819</v>
      </c>
      <c r="J8" s="28">
        <f t="shared" si="1"/>
        <v>988923.86528546212</v>
      </c>
      <c r="L8" s="154">
        <v>3.8067899960727944E-2</v>
      </c>
      <c r="M8" s="153">
        <f t="shared" si="2"/>
        <v>0</v>
      </c>
      <c r="N8" s="152">
        <f t="shared" si="3"/>
        <v>8478071.7110235486</v>
      </c>
      <c r="O8" s="151"/>
      <c r="P8" s="164">
        <f t="shared" si="4"/>
        <v>-467884.77974751778</v>
      </c>
      <c r="Q8" s="150">
        <f t="shared" si="5"/>
        <v>2773.3306218591915</v>
      </c>
      <c r="R8" s="150">
        <f t="shared" si="6"/>
        <v>634.28552166065606</v>
      </c>
    </row>
    <row r="9" spans="1:18" x14ac:dyDescent="0.2">
      <c r="A9" s="20">
        <v>3599</v>
      </c>
      <c r="B9" s="156" t="s">
        <v>67</v>
      </c>
      <c r="C9" s="155">
        <f t="shared" si="0"/>
        <v>7997352.9775981959</v>
      </c>
      <c r="D9" s="30">
        <f t="shared" si="1"/>
        <v>108700.73161368832</v>
      </c>
      <c r="E9" s="29">
        <f t="shared" si="1"/>
        <v>1639750.5363924885</v>
      </c>
      <c r="F9" s="29">
        <f t="shared" si="1"/>
        <v>0</v>
      </c>
      <c r="G9" s="43">
        <f t="shared" si="1"/>
        <v>3448158.5438566958</v>
      </c>
      <c r="H9" s="30">
        <f t="shared" si="1"/>
        <v>515106.64523602853</v>
      </c>
      <c r="I9" s="29">
        <f t="shared" si="1"/>
        <v>978306.58452319482</v>
      </c>
      <c r="J9" s="28">
        <f t="shared" si="1"/>
        <v>1307329.9359761006</v>
      </c>
      <c r="L9" s="154">
        <v>3.6041180893975448E-2</v>
      </c>
      <c r="M9" s="153">
        <f t="shared" si="2"/>
        <v>0</v>
      </c>
      <c r="N9" s="152">
        <f t="shared" si="3"/>
        <v>7997352.9775981959</v>
      </c>
      <c r="O9" s="151"/>
      <c r="P9" s="164">
        <f t="shared" si="4"/>
        <v>-472324.53248603456</v>
      </c>
      <c r="Q9" s="150">
        <f t="shared" si="5"/>
        <v>3099.7492161233317</v>
      </c>
      <c r="R9" s="150">
        <f t="shared" si="6"/>
        <v>635.21581362233246</v>
      </c>
    </row>
    <row r="10" spans="1:18" x14ac:dyDescent="0.2">
      <c r="A10" s="20">
        <v>30646</v>
      </c>
      <c r="B10" s="156" t="s">
        <v>66</v>
      </c>
      <c r="C10" s="155">
        <f t="shared" si="0"/>
        <v>2946941.9955225452</v>
      </c>
      <c r="D10" s="30">
        <f t="shared" si="1"/>
        <v>92016.433272982671</v>
      </c>
      <c r="E10" s="29">
        <f t="shared" si="1"/>
        <v>926314.87114551512</v>
      </c>
      <c r="F10" s="29">
        <f t="shared" si="1"/>
        <v>36298.077573584444</v>
      </c>
      <c r="G10" s="43">
        <f t="shared" si="1"/>
        <v>1381229.5806468017</v>
      </c>
      <c r="H10" s="30">
        <f t="shared" si="1"/>
        <v>335286.98534175649</v>
      </c>
      <c r="I10" s="29">
        <f t="shared" si="1"/>
        <v>175796.04754190487</v>
      </c>
      <c r="J10" s="28">
        <f t="shared" si="1"/>
        <v>0</v>
      </c>
      <c r="L10" s="154">
        <v>1.3127311227878089E-2</v>
      </c>
      <c r="M10" s="153">
        <f t="shared" si="2"/>
        <v>0</v>
      </c>
      <c r="N10" s="152">
        <f t="shared" si="3"/>
        <v>2946941.9955225452</v>
      </c>
      <c r="O10" s="151"/>
      <c r="P10" s="164">
        <f t="shared" si="4"/>
        <v>-137976.1430288055</v>
      </c>
      <c r="Q10" s="150">
        <f t="shared" si="5"/>
        <v>2698.6648310646019</v>
      </c>
      <c r="R10" s="150">
        <f t="shared" si="6"/>
        <v>929.99326623313937</v>
      </c>
    </row>
    <row r="11" spans="1:18" x14ac:dyDescent="0.2">
      <c r="A11" s="20">
        <v>9930</v>
      </c>
      <c r="B11" s="156" t="s">
        <v>65</v>
      </c>
      <c r="C11" s="155">
        <f t="shared" si="0"/>
        <v>1383531.2287323107</v>
      </c>
      <c r="D11" s="30">
        <f t="shared" si="1"/>
        <v>0</v>
      </c>
      <c r="E11" s="29">
        <f t="shared" si="1"/>
        <v>349190.56729234452</v>
      </c>
      <c r="F11" s="29">
        <f t="shared" si="1"/>
        <v>24357.784907123598</v>
      </c>
      <c r="G11" s="43">
        <f t="shared" si="1"/>
        <v>588374.3089089758</v>
      </c>
      <c r="H11" s="30">
        <f t="shared" si="1"/>
        <v>148957.92117061824</v>
      </c>
      <c r="I11" s="29">
        <f t="shared" si="1"/>
        <v>207149.32704158954</v>
      </c>
      <c r="J11" s="28">
        <f t="shared" si="1"/>
        <v>65501.31941165922</v>
      </c>
      <c r="L11" s="154">
        <v>6.658597974462911E-3</v>
      </c>
      <c r="M11" s="153">
        <f t="shared" si="2"/>
        <v>0</v>
      </c>
      <c r="N11" s="152">
        <f t="shared" si="3"/>
        <v>1383531.2287323107</v>
      </c>
      <c r="O11" s="151"/>
      <c r="P11" s="164">
        <f t="shared" si="4"/>
        <v>-181239.29526647343</v>
      </c>
      <c r="Q11" s="150">
        <f t="shared" si="5"/>
        <v>2594.1210538730825</v>
      </c>
      <c r="R11" s="150">
        <f t="shared" si="6"/>
        <v>599.89502416536425</v>
      </c>
    </row>
    <row r="12" spans="1:18" x14ac:dyDescent="0.2">
      <c r="A12" s="20">
        <v>10115</v>
      </c>
      <c r="B12" s="156" t="s">
        <v>64</v>
      </c>
      <c r="C12" s="155">
        <f t="shared" si="0"/>
        <v>11403089.328846581</v>
      </c>
      <c r="D12" s="30">
        <f t="shared" si="1"/>
        <v>173570.07002759352</v>
      </c>
      <c r="E12" s="29">
        <f t="shared" si="1"/>
        <v>2561604.9501572349</v>
      </c>
      <c r="F12" s="29">
        <f t="shared" si="1"/>
        <v>0</v>
      </c>
      <c r="G12" s="43">
        <f t="shared" si="1"/>
        <v>4606228.6121854726</v>
      </c>
      <c r="H12" s="30">
        <f t="shared" si="1"/>
        <v>860715.98687443358</v>
      </c>
      <c r="I12" s="29">
        <f t="shared" si="1"/>
        <v>1878528.40576834</v>
      </c>
      <c r="J12" s="28">
        <f t="shared" si="1"/>
        <v>1322441.3038335072</v>
      </c>
      <c r="L12" s="154">
        <v>5.1993931386758195E-2</v>
      </c>
      <c r="M12" s="153">
        <f t="shared" si="2"/>
        <v>0</v>
      </c>
      <c r="N12" s="152">
        <f t="shared" si="3"/>
        <v>11403089.328846581</v>
      </c>
      <c r="O12" s="151"/>
      <c r="P12" s="164">
        <f t="shared" si="4"/>
        <v>-815484.54704159498</v>
      </c>
      <c r="Q12" s="150">
        <f t="shared" si="5"/>
        <v>2767.9640736742244</v>
      </c>
      <c r="R12" s="150">
        <f t="shared" si="6"/>
        <v>560.26455206602577</v>
      </c>
    </row>
    <row r="13" spans="1:18" x14ac:dyDescent="0.2">
      <c r="A13" s="20">
        <v>11163</v>
      </c>
      <c r="B13" s="156" t="s">
        <v>63</v>
      </c>
      <c r="C13" s="155">
        <f t="shared" si="0"/>
        <v>3122464.3278597365</v>
      </c>
      <c r="D13" s="30">
        <f t="shared" si="1"/>
        <v>50137.159155150817</v>
      </c>
      <c r="E13" s="29">
        <f t="shared" si="1"/>
        <v>904892.16081854701</v>
      </c>
      <c r="F13" s="29">
        <f t="shared" si="1"/>
        <v>0</v>
      </c>
      <c r="G13" s="43">
        <f t="shared" si="1"/>
        <v>1389585.773839327</v>
      </c>
      <c r="H13" s="30">
        <f t="shared" si="1"/>
        <v>272320.61193219945</v>
      </c>
      <c r="I13" s="29">
        <f t="shared" si="1"/>
        <v>374975.3920007078</v>
      </c>
      <c r="J13" s="28">
        <f t="shared" si="1"/>
        <v>130553.23011380447</v>
      </c>
      <c r="L13" s="154">
        <v>1.2069401585431769E-2</v>
      </c>
      <c r="M13" s="153">
        <f t="shared" si="2"/>
        <v>0</v>
      </c>
      <c r="N13" s="152">
        <f t="shared" si="3"/>
        <v>3122464.3278597365</v>
      </c>
      <c r="O13" s="151"/>
      <c r="P13" s="164">
        <f t="shared" si="4"/>
        <v>286154.95528327068</v>
      </c>
      <c r="Q13" s="150">
        <f t="shared" si="5"/>
        <v>2623.9196032434761</v>
      </c>
      <c r="R13" s="150">
        <f t="shared" si="6"/>
        <v>767.6471105035929</v>
      </c>
    </row>
    <row r="14" spans="1:18" x14ac:dyDescent="0.2">
      <c r="A14" s="20">
        <v>3632</v>
      </c>
      <c r="B14" s="156" t="s">
        <v>62</v>
      </c>
      <c r="C14" s="155">
        <f t="shared" si="0"/>
        <v>25494203.003444485</v>
      </c>
      <c r="D14" s="30">
        <f t="shared" si="1"/>
        <v>368220.21733582608</v>
      </c>
      <c r="E14" s="29">
        <f t="shared" si="1"/>
        <v>10834266.194744455</v>
      </c>
      <c r="F14" s="29">
        <f t="shared" si="1"/>
        <v>0</v>
      </c>
      <c r="G14" s="43">
        <f t="shared" si="1"/>
        <v>4393194.8398536853</v>
      </c>
      <c r="H14" s="30">
        <f t="shared" si="1"/>
        <v>1271630.0316140859</v>
      </c>
      <c r="I14" s="29">
        <f t="shared" si="1"/>
        <v>2814632.7036637398</v>
      </c>
      <c r="J14" s="28">
        <f t="shared" si="1"/>
        <v>5812259.0162326936</v>
      </c>
      <c r="L14" s="154">
        <v>0.10514316433214833</v>
      </c>
      <c r="M14" s="153">
        <f t="shared" si="2"/>
        <v>0</v>
      </c>
      <c r="N14" s="152">
        <f t="shared" si="3"/>
        <v>25494203.003444485</v>
      </c>
      <c r="O14" s="151"/>
      <c r="P14" s="164">
        <f t="shared" si="4"/>
        <v>785559.38538962603</v>
      </c>
      <c r="Q14" s="150">
        <f t="shared" si="5"/>
        <v>2917.0681189341112</v>
      </c>
      <c r="R14" s="150">
        <f t="shared" si="6"/>
        <v>736.32302577556254</v>
      </c>
    </row>
    <row r="15" spans="1:18" x14ac:dyDescent="0.2">
      <c r="A15" s="20">
        <v>10298</v>
      </c>
      <c r="B15" s="156" t="s">
        <v>61</v>
      </c>
      <c r="C15" s="155">
        <f t="shared" si="0"/>
        <v>1275140.7756385549</v>
      </c>
      <c r="D15" s="30">
        <f t="shared" si="1"/>
        <v>0</v>
      </c>
      <c r="E15" s="29">
        <f t="shared" si="1"/>
        <v>382057.93282242602</v>
      </c>
      <c r="F15" s="29">
        <f t="shared" si="1"/>
        <v>25910.116747975178</v>
      </c>
      <c r="G15" s="43">
        <f t="shared" si="1"/>
        <v>349485.49175796303</v>
      </c>
      <c r="H15" s="30">
        <f t="shared" si="1"/>
        <v>168454.5349513292</v>
      </c>
      <c r="I15" s="29">
        <f t="shared" si="1"/>
        <v>100484.9786428863</v>
      </c>
      <c r="J15" s="28">
        <f t="shared" si="1"/>
        <v>248747.72071597516</v>
      </c>
      <c r="L15" s="154">
        <v>7.0859752523080169E-3</v>
      </c>
      <c r="M15" s="153">
        <f t="shared" si="2"/>
        <v>0</v>
      </c>
      <c r="N15" s="152">
        <f t="shared" si="3"/>
        <v>1275140.7756385549</v>
      </c>
      <c r="O15" s="151"/>
      <c r="P15" s="164">
        <f t="shared" si="4"/>
        <v>-390063.40865382901</v>
      </c>
      <c r="Q15" s="150">
        <f t="shared" si="5"/>
        <v>4631.2618969923305</v>
      </c>
      <c r="R15" s="150">
        <f t="shared" si="6"/>
        <v>759.49458523579756</v>
      </c>
    </row>
    <row r="16" spans="1:18" x14ac:dyDescent="0.2">
      <c r="A16" s="20">
        <v>3630</v>
      </c>
      <c r="B16" s="156" t="s">
        <v>60</v>
      </c>
      <c r="C16" s="155">
        <f t="shared" si="0"/>
        <v>3005043.8501328891</v>
      </c>
      <c r="D16" s="30">
        <f t="shared" si="1"/>
        <v>39449.658282022028</v>
      </c>
      <c r="E16" s="29">
        <f t="shared" si="1"/>
        <v>205269.72192745461</v>
      </c>
      <c r="F16" s="29">
        <f t="shared" si="1"/>
        <v>0</v>
      </c>
      <c r="G16" s="43">
        <f t="shared" si="1"/>
        <v>1183630.1886823839</v>
      </c>
      <c r="H16" s="30">
        <f t="shared" si="1"/>
        <v>316243.29127610254</v>
      </c>
      <c r="I16" s="29">
        <f t="shared" si="1"/>
        <v>497579.70556498412</v>
      </c>
      <c r="J16" s="28">
        <f t="shared" si="1"/>
        <v>762871.2843999418</v>
      </c>
      <c r="L16" s="154">
        <v>1.5279410782616385E-2</v>
      </c>
      <c r="M16" s="153">
        <f t="shared" si="2"/>
        <v>0</v>
      </c>
      <c r="N16" s="152">
        <f t="shared" si="3"/>
        <v>3005043.8501328891</v>
      </c>
      <c r="O16" s="151"/>
      <c r="P16" s="164">
        <f t="shared" si="4"/>
        <v>-585617.68378196144</v>
      </c>
      <c r="Q16" s="150">
        <f t="shared" si="5"/>
        <v>3209.3739944459476</v>
      </c>
      <c r="R16" s="150">
        <f t="shared" si="6"/>
        <v>507.84132844613532</v>
      </c>
    </row>
    <row r="17" spans="1:18" x14ac:dyDescent="0.2">
      <c r="A17" s="20">
        <v>3631</v>
      </c>
      <c r="B17" s="156" t="s">
        <v>59</v>
      </c>
      <c r="C17" s="155">
        <f t="shared" si="0"/>
        <v>4190220.519723481</v>
      </c>
      <c r="D17" s="30">
        <f t="shared" si="1"/>
        <v>65108.086790834503</v>
      </c>
      <c r="E17" s="29">
        <f t="shared" si="1"/>
        <v>1089258.2920106614</v>
      </c>
      <c r="F17" s="29">
        <f t="shared" si="1"/>
        <v>0</v>
      </c>
      <c r="G17" s="43">
        <f t="shared" si="1"/>
        <v>1762173.6820707419</v>
      </c>
      <c r="H17" s="30">
        <f t="shared" si="1"/>
        <v>272299.545898941</v>
      </c>
      <c r="I17" s="29">
        <f t="shared" si="1"/>
        <v>419846.04284124187</v>
      </c>
      <c r="J17" s="28">
        <f t="shared" si="1"/>
        <v>581534.87011106021</v>
      </c>
      <c r="L17" s="154">
        <v>1.9985241623354359E-2</v>
      </c>
      <c r="M17" s="153">
        <f t="shared" si="2"/>
        <v>0</v>
      </c>
      <c r="N17" s="152">
        <f t="shared" si="3"/>
        <v>4190220.519723481</v>
      </c>
      <c r="O17" s="151"/>
      <c r="P17" s="164">
        <f t="shared" si="4"/>
        <v>-506311.26176479319</v>
      </c>
      <c r="Q17" s="150">
        <f t="shared" si="5"/>
        <v>2711.5318289841339</v>
      </c>
      <c r="R17" s="150">
        <f t="shared" si="6"/>
        <v>665.94591972889134</v>
      </c>
    </row>
    <row r="18" spans="1:18" x14ac:dyDescent="0.2">
      <c r="A18" s="64">
        <v>103631</v>
      </c>
      <c r="B18" s="156" t="s">
        <v>58</v>
      </c>
      <c r="C18" s="155">
        <f t="shared" si="0"/>
        <v>1244381.0834778561</v>
      </c>
      <c r="D18" s="30">
        <f t="shared" si="1"/>
        <v>38789.5892399234</v>
      </c>
      <c r="E18" s="29">
        <f t="shared" si="1"/>
        <v>259579.9311935674</v>
      </c>
      <c r="F18" s="29">
        <f t="shared" si="1"/>
        <v>355951.97147471231</v>
      </c>
      <c r="G18" s="43">
        <f t="shared" si="1"/>
        <v>482201.50128630345</v>
      </c>
      <c r="H18" s="30">
        <f t="shared" si="1"/>
        <v>93849.178166469268</v>
      </c>
      <c r="I18" s="29">
        <f t="shared" si="1"/>
        <v>14008.912116880374</v>
      </c>
      <c r="J18" s="28">
        <f t="shared" si="1"/>
        <v>0</v>
      </c>
      <c r="L18" s="154">
        <v>3.4527219750504121E-3</v>
      </c>
      <c r="M18" s="153">
        <f t="shared" si="2"/>
        <v>0</v>
      </c>
      <c r="N18" s="152">
        <f t="shared" si="3"/>
        <v>1244381.0834778561</v>
      </c>
      <c r="O18" s="151"/>
      <c r="P18" s="164">
        <f t="shared" si="4"/>
        <v>432991.41934100923</v>
      </c>
      <c r="Q18" s="150">
        <f t="shared" si="5"/>
        <v>2703.2174152306798</v>
      </c>
      <c r="R18" s="150">
        <f t="shared" si="6"/>
        <v>1827.0465188588055</v>
      </c>
    </row>
    <row r="19" spans="1:18" x14ac:dyDescent="0.2">
      <c r="A19" s="20">
        <v>11161</v>
      </c>
      <c r="B19" s="156" t="s">
        <v>57</v>
      </c>
      <c r="C19" s="155">
        <f t="shared" si="0"/>
        <v>4013285.7828638447</v>
      </c>
      <c r="D19" s="30">
        <f t="shared" si="1"/>
        <v>58493.352347675958</v>
      </c>
      <c r="E19" s="29">
        <f t="shared" si="1"/>
        <v>1040011.8047416784</v>
      </c>
      <c r="F19" s="29">
        <f t="shared" si="1"/>
        <v>0</v>
      </c>
      <c r="G19" s="43">
        <f t="shared" si="1"/>
        <v>1592592.1143400846</v>
      </c>
      <c r="H19" s="30">
        <f t="shared" si="1"/>
        <v>259617.793877344</v>
      </c>
      <c r="I19" s="29">
        <f t="shared" si="1"/>
        <v>618498.73646858311</v>
      </c>
      <c r="J19" s="28">
        <f t="shared" si="1"/>
        <v>444071.98108847864</v>
      </c>
      <c r="L19" s="154">
        <v>1.9224284187157891E-2</v>
      </c>
      <c r="M19" s="153">
        <f t="shared" si="2"/>
        <v>0</v>
      </c>
      <c r="N19" s="152">
        <f t="shared" si="3"/>
        <v>4013285.7828638447</v>
      </c>
      <c r="O19" s="151"/>
      <c r="P19" s="164">
        <f t="shared" si="4"/>
        <v>-504421.00111825997</v>
      </c>
      <c r="Q19" s="150">
        <f t="shared" si="5"/>
        <v>2890.7220524829613</v>
      </c>
      <c r="R19" s="150">
        <f t="shared" si="6"/>
        <v>617.93560606608162</v>
      </c>
    </row>
    <row r="20" spans="1:18" x14ac:dyDescent="0.2">
      <c r="A20" s="20">
        <v>3639</v>
      </c>
      <c r="B20" s="156" t="s">
        <v>56</v>
      </c>
      <c r="C20" s="155">
        <f t="shared" si="0"/>
        <v>2247352.024516799</v>
      </c>
      <c r="D20" s="30">
        <f t="shared" si="1"/>
        <v>32090.590663730989</v>
      </c>
      <c r="E20" s="29">
        <f t="shared" si="1"/>
        <v>271133.40051786311</v>
      </c>
      <c r="F20" s="29">
        <f t="shared" si="1"/>
        <v>0</v>
      </c>
      <c r="G20" s="43">
        <f t="shared" si="1"/>
        <v>956046.80938008183</v>
      </c>
      <c r="H20" s="30">
        <f t="shared" si="1"/>
        <v>155130.26891534901</v>
      </c>
      <c r="I20" s="29">
        <f t="shared" si="1"/>
        <v>362195.33182390459</v>
      </c>
      <c r="J20" s="28">
        <f t="shared" si="1"/>
        <v>470755.62321586977</v>
      </c>
      <c r="L20" s="154">
        <v>1.296528221607569E-2</v>
      </c>
      <c r="M20" s="153">
        <f t="shared" si="2"/>
        <v>0</v>
      </c>
      <c r="N20" s="152">
        <f t="shared" si="3"/>
        <v>2247352.024516799</v>
      </c>
      <c r="O20" s="151"/>
      <c r="P20" s="164">
        <f t="shared" si="4"/>
        <v>-799489.29626098834</v>
      </c>
      <c r="Q20" s="150">
        <f t="shared" si="5"/>
        <v>2950.5715857988612</v>
      </c>
      <c r="R20" s="150">
        <f t="shared" si="6"/>
        <v>527.54742359549277</v>
      </c>
    </row>
    <row r="21" spans="1:18" x14ac:dyDescent="0.2">
      <c r="A21" s="64">
        <v>103639</v>
      </c>
      <c r="B21" s="156" t="s">
        <v>55</v>
      </c>
      <c r="C21" s="155">
        <f t="shared" si="0"/>
        <v>1445279.3294836187</v>
      </c>
      <c r="D21" s="30">
        <f t="shared" ref="D21:J36" si="7">D64/$C$86*$C$43</f>
        <v>49519.222179569122</v>
      </c>
      <c r="E21" s="29">
        <f t="shared" si="7"/>
        <v>348656.59016264958</v>
      </c>
      <c r="F21" s="29">
        <f t="shared" si="7"/>
        <v>131447.31552888517</v>
      </c>
      <c r="G21" s="43">
        <f t="shared" si="7"/>
        <v>723056.48154143966</v>
      </c>
      <c r="H21" s="30">
        <f t="shared" si="7"/>
        <v>184454.1872111347</v>
      </c>
      <c r="I21" s="29">
        <f t="shared" si="7"/>
        <v>8145.5328599404684</v>
      </c>
      <c r="J21" s="28">
        <f t="shared" si="7"/>
        <v>0</v>
      </c>
      <c r="L21" s="154">
        <v>5.939285915308113E-3</v>
      </c>
      <c r="M21" s="153">
        <f t="shared" si="2"/>
        <v>0</v>
      </c>
      <c r="N21" s="152">
        <f t="shared" si="3"/>
        <v>1445279.3294836187</v>
      </c>
      <c r="O21" s="151"/>
      <c r="P21" s="164">
        <f t="shared" si="4"/>
        <v>49547.13938621222</v>
      </c>
      <c r="Q21" s="150">
        <f t="shared" si="5"/>
        <v>2459.352233948302</v>
      </c>
      <c r="R21" s="150">
        <f t="shared" si="6"/>
        <v>1023.0537001630096</v>
      </c>
    </row>
    <row r="22" spans="1:18" x14ac:dyDescent="0.2">
      <c r="A22" s="20">
        <v>9651</v>
      </c>
      <c r="B22" s="156" t="s">
        <v>54</v>
      </c>
      <c r="C22" s="155">
        <f t="shared" si="0"/>
        <v>2489632.0282950555</v>
      </c>
      <c r="D22" s="30">
        <f t="shared" si="7"/>
        <v>33270.28852620512</v>
      </c>
      <c r="E22" s="29">
        <f t="shared" si="7"/>
        <v>551177.77991746471</v>
      </c>
      <c r="F22" s="29">
        <f t="shared" si="7"/>
        <v>0</v>
      </c>
      <c r="G22" s="43">
        <f t="shared" si="7"/>
        <v>1050914.1791540433</v>
      </c>
      <c r="H22" s="30">
        <f t="shared" si="7"/>
        <v>266695.98105218878</v>
      </c>
      <c r="I22" s="29">
        <f t="shared" si="7"/>
        <v>427921.35559032083</v>
      </c>
      <c r="J22" s="28">
        <f t="shared" si="7"/>
        <v>159652.44405483321</v>
      </c>
      <c r="L22" s="154">
        <v>1.0886031395541047E-2</v>
      </c>
      <c r="M22" s="153">
        <f t="shared" si="2"/>
        <v>0</v>
      </c>
      <c r="N22" s="152">
        <f t="shared" si="3"/>
        <v>2489632.0282950555</v>
      </c>
      <c r="O22" s="151"/>
      <c r="P22" s="164">
        <f t="shared" si="4"/>
        <v>-68585.349657090381</v>
      </c>
      <c r="Q22" s="150">
        <f t="shared" si="5"/>
        <v>3152.7632270515692</v>
      </c>
      <c r="R22" s="150">
        <f t="shared" si="6"/>
        <v>609.3078874926714</v>
      </c>
    </row>
    <row r="23" spans="1:18" x14ac:dyDescent="0.2">
      <c r="A23" s="20">
        <v>3665</v>
      </c>
      <c r="B23" s="156" t="s">
        <v>53</v>
      </c>
      <c r="C23" s="155">
        <f t="shared" si="0"/>
        <v>3309355.1061043595</v>
      </c>
      <c r="D23" s="30">
        <f t="shared" si="7"/>
        <v>52903.831523096116</v>
      </c>
      <c r="E23" s="29">
        <f t="shared" si="7"/>
        <v>871502.45129046985</v>
      </c>
      <c r="F23" s="29">
        <f t="shared" si="7"/>
        <v>0</v>
      </c>
      <c r="G23" s="43">
        <f t="shared" si="7"/>
        <v>1311430.7904504156</v>
      </c>
      <c r="H23" s="30">
        <f t="shared" si="7"/>
        <v>339689.786292776</v>
      </c>
      <c r="I23" s="29">
        <f t="shared" si="7"/>
        <v>510921.52662867977</v>
      </c>
      <c r="J23" s="28">
        <f t="shared" si="7"/>
        <v>222906.71991892261</v>
      </c>
      <c r="L23" s="154">
        <v>1.5183466872892367E-2</v>
      </c>
      <c r="M23" s="153">
        <f t="shared" si="2"/>
        <v>0</v>
      </c>
      <c r="N23" s="152">
        <f t="shared" si="3"/>
        <v>3309355.1061043595</v>
      </c>
      <c r="O23" s="151"/>
      <c r="P23" s="164">
        <f t="shared" si="4"/>
        <v>-258759.60902534705</v>
      </c>
      <c r="Q23" s="150">
        <f t="shared" si="5"/>
        <v>2635.5363202317699</v>
      </c>
      <c r="R23" s="150">
        <f t="shared" si="6"/>
        <v>611.12083129735583</v>
      </c>
    </row>
    <row r="24" spans="1:18" x14ac:dyDescent="0.2">
      <c r="A24" s="20">
        <v>3565</v>
      </c>
      <c r="B24" s="156" t="s">
        <v>52</v>
      </c>
      <c r="C24" s="155">
        <f t="shared" si="0"/>
        <v>3408746.8044345388</v>
      </c>
      <c r="D24" s="30">
        <f t="shared" si="7"/>
        <v>55796.900090592208</v>
      </c>
      <c r="E24" s="29">
        <f t="shared" si="7"/>
        <v>859272.26139511995</v>
      </c>
      <c r="F24" s="29">
        <f t="shared" si="7"/>
        <v>0</v>
      </c>
      <c r="G24" s="43">
        <f t="shared" si="7"/>
        <v>1503131.6931024627</v>
      </c>
      <c r="H24" s="30">
        <f t="shared" si="7"/>
        <v>358902.00862449763</v>
      </c>
      <c r="I24" s="29">
        <f t="shared" si="7"/>
        <v>479182.03651925648</v>
      </c>
      <c r="J24" s="28">
        <f t="shared" si="7"/>
        <v>152461.90470260987</v>
      </c>
      <c r="L24" s="154">
        <v>1.411122580581306E-2</v>
      </c>
      <c r="M24" s="153">
        <f t="shared" si="2"/>
        <v>0</v>
      </c>
      <c r="N24" s="152">
        <f t="shared" si="3"/>
        <v>3408746.8044345388</v>
      </c>
      <c r="O24" s="151"/>
      <c r="P24" s="164">
        <f t="shared" si="4"/>
        <v>92608.740068469662</v>
      </c>
      <c r="Q24" s="150">
        <f t="shared" si="5"/>
        <v>2573.9341588984689</v>
      </c>
      <c r="R24" s="150">
        <f t="shared" si="6"/>
        <v>725.731942050464</v>
      </c>
    </row>
    <row r="25" spans="1:18" x14ac:dyDescent="0.2">
      <c r="A25" s="20">
        <v>29269</v>
      </c>
      <c r="B25" s="156" t="s">
        <v>51</v>
      </c>
      <c r="C25" s="155">
        <f t="shared" si="0"/>
        <v>926775.33300054295</v>
      </c>
      <c r="D25" s="30">
        <f t="shared" si="7"/>
        <v>14563.650992686666</v>
      </c>
      <c r="E25" s="29">
        <f t="shared" si="7"/>
        <v>276285.62654887163</v>
      </c>
      <c r="F25" s="29">
        <f t="shared" si="7"/>
        <v>163330.66533854205</v>
      </c>
      <c r="G25" s="43">
        <f t="shared" si="7"/>
        <v>352434.73641414836</v>
      </c>
      <c r="H25" s="30">
        <f t="shared" si="7"/>
        <v>82031.133508469444</v>
      </c>
      <c r="I25" s="29">
        <f t="shared" si="7"/>
        <v>38129.520197824779</v>
      </c>
      <c r="J25" s="28">
        <f t="shared" si="7"/>
        <v>0</v>
      </c>
      <c r="L25" s="154">
        <v>2.885126155730112E-3</v>
      </c>
      <c r="M25" s="153">
        <f t="shared" si="2"/>
        <v>0</v>
      </c>
      <c r="N25" s="152">
        <f t="shared" si="3"/>
        <v>926775.33300054295</v>
      </c>
      <c r="O25" s="151"/>
      <c r="P25" s="164">
        <f t="shared" si="4"/>
        <v>248770.68640396663</v>
      </c>
      <c r="Q25" s="150">
        <f t="shared" si="5"/>
        <v>2681.1243963371539</v>
      </c>
      <c r="R25" s="150">
        <f t="shared" si="6"/>
        <v>1039.3742052342538</v>
      </c>
    </row>
    <row r="26" spans="1:18" x14ac:dyDescent="0.2">
      <c r="A26" s="20">
        <v>3652</v>
      </c>
      <c r="B26" s="156" t="s">
        <v>50</v>
      </c>
      <c r="C26" s="155">
        <f t="shared" si="0"/>
        <v>14251696.933035614</v>
      </c>
      <c r="D26" s="30">
        <f t="shared" si="7"/>
        <v>214817.36314767142</v>
      </c>
      <c r="E26" s="29">
        <f t="shared" si="7"/>
        <v>4032479.9352203715</v>
      </c>
      <c r="F26" s="29">
        <f t="shared" si="7"/>
        <v>0</v>
      </c>
      <c r="G26" s="43">
        <f t="shared" si="7"/>
        <v>4973901.1126565794</v>
      </c>
      <c r="H26" s="30">
        <f t="shared" si="7"/>
        <v>960906.04105170141</v>
      </c>
      <c r="I26" s="29">
        <f t="shared" si="7"/>
        <v>2397455.025035237</v>
      </c>
      <c r="J26" s="28">
        <f t="shared" si="7"/>
        <v>1672137.4559240551</v>
      </c>
      <c r="L26" s="154">
        <v>6.680079885949769E-2</v>
      </c>
      <c r="M26" s="153">
        <f t="shared" si="2"/>
        <v>255951.55918591059</v>
      </c>
      <c r="N26" s="152">
        <f t="shared" si="3"/>
        <v>14507648.492221525</v>
      </c>
      <c r="O26" s="151"/>
      <c r="P26" s="164">
        <f t="shared" si="4"/>
        <v>-1190539.2397604324</v>
      </c>
      <c r="Q26" s="150">
        <f t="shared" si="5"/>
        <v>2845.3808496773386</v>
      </c>
      <c r="R26" s="150">
        <f t="shared" si="6"/>
        <v>609.6242605724259</v>
      </c>
    </row>
    <row r="27" spans="1:18" x14ac:dyDescent="0.2">
      <c r="A27" s="20">
        <v>11711</v>
      </c>
      <c r="B27" s="156" t="s">
        <v>49</v>
      </c>
      <c r="C27" s="155">
        <f t="shared" si="0"/>
        <v>2862873.9315004386</v>
      </c>
      <c r="D27" s="30">
        <f t="shared" si="7"/>
        <v>100330.49439899088</v>
      </c>
      <c r="E27" s="29">
        <f t="shared" si="7"/>
        <v>913296.54372350406</v>
      </c>
      <c r="F27" s="29">
        <f t="shared" si="7"/>
        <v>41809.327845842745</v>
      </c>
      <c r="G27" s="43">
        <f t="shared" si="7"/>
        <v>1141849.2227197583</v>
      </c>
      <c r="H27" s="30">
        <f t="shared" si="7"/>
        <v>263788.86846252042</v>
      </c>
      <c r="I27" s="29">
        <f t="shared" si="7"/>
        <v>401799.47434982203</v>
      </c>
      <c r="J27" s="28">
        <f t="shared" si="7"/>
        <v>0</v>
      </c>
      <c r="L27" s="154">
        <v>1.0972897764284933E-2</v>
      </c>
      <c r="M27" s="153">
        <f t="shared" si="2"/>
        <v>0</v>
      </c>
      <c r="N27" s="152">
        <f t="shared" si="3"/>
        <v>2862873.9315004386</v>
      </c>
      <c r="O27" s="151"/>
      <c r="P27" s="164">
        <f t="shared" si="4"/>
        <v>284242.95689347945</v>
      </c>
      <c r="Q27" s="150">
        <f t="shared" si="5"/>
        <v>2404.4293937573671</v>
      </c>
      <c r="R27" s="150">
        <f t="shared" si="6"/>
        <v>954.40442509867648</v>
      </c>
    </row>
    <row r="28" spans="1:18" x14ac:dyDescent="0.2">
      <c r="A28" s="20">
        <v>12826</v>
      </c>
      <c r="B28" s="156" t="s">
        <v>48</v>
      </c>
      <c r="C28" s="155">
        <f t="shared" si="0"/>
        <v>4952470.3561422974</v>
      </c>
      <c r="D28" s="30">
        <f t="shared" si="7"/>
        <v>100372.62646550781</v>
      </c>
      <c r="E28" s="29">
        <f t="shared" si="7"/>
        <v>400486.77959737624</v>
      </c>
      <c r="F28" s="29">
        <f t="shared" si="7"/>
        <v>0</v>
      </c>
      <c r="G28" s="43">
        <f t="shared" si="7"/>
        <v>2478840.1335237799</v>
      </c>
      <c r="H28" s="30">
        <f t="shared" si="7"/>
        <v>785004.66334350419</v>
      </c>
      <c r="I28" s="29">
        <f t="shared" si="7"/>
        <v>983959.30344755005</v>
      </c>
      <c r="J28" s="28">
        <f t="shared" si="7"/>
        <v>203806.84976457944</v>
      </c>
      <c r="L28" s="154">
        <v>2.262163232206927E-2</v>
      </c>
      <c r="M28" s="153">
        <f t="shared" si="2"/>
        <v>0</v>
      </c>
      <c r="N28" s="152">
        <f t="shared" si="3"/>
        <v>4952470.3561422974</v>
      </c>
      <c r="O28" s="151"/>
      <c r="P28" s="164">
        <f t="shared" si="4"/>
        <v>-363613.23954398092</v>
      </c>
      <c r="Q28" s="150">
        <f t="shared" si="5"/>
        <v>2078.8318271200351</v>
      </c>
      <c r="R28" s="150">
        <f t="shared" si="6"/>
        <v>620.17856136469584</v>
      </c>
    </row>
    <row r="29" spans="1:18" x14ac:dyDescent="0.2">
      <c r="A29" s="20">
        <v>13231</v>
      </c>
      <c r="B29" s="156" t="s">
        <v>47</v>
      </c>
      <c r="C29" s="155">
        <f t="shared" si="0"/>
        <v>1403314.7829610256</v>
      </c>
      <c r="D29" s="30">
        <f t="shared" si="7"/>
        <v>24296.158358098292</v>
      </c>
      <c r="E29" s="29">
        <f t="shared" si="7"/>
        <v>442674.93229429761</v>
      </c>
      <c r="F29" s="29">
        <f t="shared" si="7"/>
        <v>126663.68200837488</v>
      </c>
      <c r="G29" s="43">
        <f t="shared" si="7"/>
        <v>566254.97398758563</v>
      </c>
      <c r="H29" s="30">
        <f t="shared" si="7"/>
        <v>180999.35775674615</v>
      </c>
      <c r="I29" s="29">
        <f t="shared" si="7"/>
        <v>62425.678555923063</v>
      </c>
      <c r="J29" s="28">
        <f t="shared" si="7"/>
        <v>0</v>
      </c>
      <c r="L29" s="154">
        <v>5.6229417841748381E-3</v>
      </c>
      <c r="M29" s="153">
        <f t="shared" si="2"/>
        <v>0</v>
      </c>
      <c r="N29" s="152">
        <f t="shared" si="3"/>
        <v>1403314.7829610256</v>
      </c>
      <c r="O29" s="151"/>
      <c r="P29" s="164">
        <f t="shared" si="4"/>
        <v>81923.463679938577</v>
      </c>
      <c r="Q29" s="150">
        <f t="shared" si="5"/>
        <v>2433.4938432850158</v>
      </c>
      <c r="R29" s="150">
        <f t="shared" si="6"/>
        <v>975.45746290040086</v>
      </c>
    </row>
    <row r="30" spans="1:18" x14ac:dyDescent="0.2">
      <c r="A30" s="20">
        <v>3592</v>
      </c>
      <c r="B30" s="156" t="s">
        <v>46</v>
      </c>
      <c r="C30" s="155">
        <f t="shared" si="0"/>
        <v>2700269.1882431395</v>
      </c>
      <c r="D30" s="30">
        <f t="shared" si="7"/>
        <v>43466.248623303029</v>
      </c>
      <c r="E30" s="29">
        <f t="shared" si="7"/>
        <v>668366.01633098931</v>
      </c>
      <c r="F30" s="29">
        <f t="shared" si="7"/>
        <v>0</v>
      </c>
      <c r="G30" s="43">
        <f t="shared" si="7"/>
        <v>1017980.9471599739</v>
      </c>
      <c r="H30" s="30">
        <f t="shared" si="7"/>
        <v>181757.73495405095</v>
      </c>
      <c r="I30" s="29">
        <f t="shared" si="7"/>
        <v>330526.061825343</v>
      </c>
      <c r="J30" s="28">
        <f t="shared" si="7"/>
        <v>458172.17934947909</v>
      </c>
      <c r="L30" s="154">
        <v>1.0364568727977754E-2</v>
      </c>
      <c r="M30" s="153">
        <f t="shared" si="2"/>
        <v>0</v>
      </c>
      <c r="N30" s="152">
        <f t="shared" si="3"/>
        <v>2700269.1882431395</v>
      </c>
      <c r="O30" s="151"/>
      <c r="P30" s="164">
        <f t="shared" si="4"/>
        <v>264595.5371683673</v>
      </c>
      <c r="Q30" s="150">
        <f t="shared" si="5"/>
        <v>2617.3853197833337</v>
      </c>
      <c r="R30" s="150">
        <f t="shared" si="6"/>
        <v>631.37935346414088</v>
      </c>
    </row>
    <row r="31" spans="1:18" x14ac:dyDescent="0.2">
      <c r="A31" s="20">
        <v>3594</v>
      </c>
      <c r="B31" s="156" t="s">
        <v>45</v>
      </c>
      <c r="C31" s="155">
        <f t="shared" si="0"/>
        <v>16058392.552876353</v>
      </c>
      <c r="D31" s="30">
        <f t="shared" si="7"/>
        <v>253494.60021021633</v>
      </c>
      <c r="E31" s="29">
        <f t="shared" si="7"/>
        <v>5113408.5772404131</v>
      </c>
      <c r="F31" s="29">
        <f t="shared" si="7"/>
        <v>0</v>
      </c>
      <c r="G31" s="43">
        <f t="shared" si="7"/>
        <v>5633057.2933140034</v>
      </c>
      <c r="H31" s="30">
        <f t="shared" si="7"/>
        <v>994063.97740052815</v>
      </c>
      <c r="I31" s="29">
        <f t="shared" si="7"/>
        <v>2377231.6331071085</v>
      </c>
      <c r="J31" s="28">
        <f t="shared" si="7"/>
        <v>1687136.4716040832</v>
      </c>
      <c r="L31" s="154">
        <v>5.9972196847224775E-2</v>
      </c>
      <c r="M31" s="153">
        <f t="shared" si="2"/>
        <v>0</v>
      </c>
      <c r="N31" s="152">
        <f t="shared" si="3"/>
        <v>16058392.552876353</v>
      </c>
      <c r="O31" s="151"/>
      <c r="P31" s="164">
        <f t="shared" si="4"/>
        <v>1964926.2937785313</v>
      </c>
      <c r="Q31" s="150">
        <f t="shared" si="5"/>
        <v>2668.984911835405</v>
      </c>
      <c r="R31" s="150">
        <f t="shared" si="6"/>
        <v>690.91864460398051</v>
      </c>
    </row>
    <row r="32" spans="1:18" x14ac:dyDescent="0.2">
      <c r="A32" s="64">
        <v>113594</v>
      </c>
      <c r="B32" s="156" t="s">
        <v>44</v>
      </c>
      <c r="C32" s="155">
        <f t="shared" si="0"/>
        <v>1110378.8310968771</v>
      </c>
      <c r="D32" s="30">
        <f t="shared" si="7"/>
        <v>34000.577679165304</v>
      </c>
      <c r="E32" s="29">
        <f t="shared" si="7"/>
        <v>343618.33817006432</v>
      </c>
      <c r="F32" s="29">
        <f t="shared" si="7"/>
        <v>179681.74506323264</v>
      </c>
      <c r="G32" s="43">
        <f t="shared" si="7"/>
        <v>454920.98821658903</v>
      </c>
      <c r="H32" s="30">
        <f t="shared" si="7"/>
        <v>90626.075077923873</v>
      </c>
      <c r="I32" s="29">
        <f t="shared" si="7"/>
        <v>7531.1068899018555</v>
      </c>
      <c r="J32" s="28">
        <f t="shared" si="7"/>
        <v>0</v>
      </c>
      <c r="L32" s="154">
        <v>2.8602942419239919E-3</v>
      </c>
      <c r="M32" s="153">
        <f t="shared" si="2"/>
        <v>0</v>
      </c>
      <c r="N32" s="152">
        <f t="shared" si="3"/>
        <v>1110378.8310968771</v>
      </c>
      <c r="O32" s="151"/>
      <c r="P32" s="164">
        <f t="shared" si="4"/>
        <v>438209.68424473901</v>
      </c>
      <c r="Q32" s="150">
        <f t="shared" si="5"/>
        <v>2751.8682307233635</v>
      </c>
      <c r="R32" s="150">
        <f t="shared" si="6"/>
        <v>1173.5965661255041</v>
      </c>
    </row>
    <row r="33" spans="1:18" x14ac:dyDescent="0.2">
      <c r="A33" s="20">
        <v>3624</v>
      </c>
      <c r="B33" s="156" t="s">
        <v>43</v>
      </c>
      <c r="C33" s="155">
        <f t="shared" si="0"/>
        <v>5751965.9224436358</v>
      </c>
      <c r="D33" s="30">
        <f t="shared" si="7"/>
        <v>80963.787823373801</v>
      </c>
      <c r="E33" s="29">
        <f t="shared" si="7"/>
        <v>1569887.8458952177</v>
      </c>
      <c r="F33" s="29">
        <f t="shared" si="7"/>
        <v>0</v>
      </c>
      <c r="G33" s="43">
        <f t="shared" si="7"/>
        <v>2153440.1397913303</v>
      </c>
      <c r="H33" s="30">
        <f t="shared" si="7"/>
        <v>350033.20862268319</v>
      </c>
      <c r="I33" s="29">
        <f t="shared" si="7"/>
        <v>655680.28516977699</v>
      </c>
      <c r="J33" s="28">
        <f t="shared" si="7"/>
        <v>941960.65514125349</v>
      </c>
      <c r="L33" s="154">
        <v>2.3435865298122357E-2</v>
      </c>
      <c r="M33" s="153">
        <f t="shared" si="2"/>
        <v>0</v>
      </c>
      <c r="N33" s="152">
        <f t="shared" si="3"/>
        <v>5751965.9224436358</v>
      </c>
      <c r="O33" s="151"/>
      <c r="P33" s="164">
        <f t="shared" si="4"/>
        <v>244537.57738488168</v>
      </c>
      <c r="Q33" s="150">
        <f t="shared" si="5"/>
        <v>2993.2173056948668</v>
      </c>
      <c r="R33" s="150">
        <f t="shared" si="6"/>
        <v>606.35232199823758</v>
      </c>
    </row>
    <row r="34" spans="1:18" x14ac:dyDescent="0.2">
      <c r="A34" s="20">
        <v>3642</v>
      </c>
      <c r="B34" s="156" t="s">
        <v>42</v>
      </c>
      <c r="C34" s="155">
        <f t="shared" si="0"/>
        <v>2581709.5530644888</v>
      </c>
      <c r="D34" s="30">
        <f t="shared" si="7"/>
        <v>31950.150442007878</v>
      </c>
      <c r="E34" s="29">
        <f t="shared" si="7"/>
        <v>64262.402589025165</v>
      </c>
      <c r="F34" s="29">
        <f t="shared" si="7"/>
        <v>0</v>
      </c>
      <c r="G34" s="43">
        <f t="shared" si="7"/>
        <v>982590.01128574996</v>
      </c>
      <c r="H34" s="30">
        <f t="shared" si="7"/>
        <v>310429.06609676569</v>
      </c>
      <c r="I34" s="29">
        <f t="shared" si="7"/>
        <v>477356.31363685604</v>
      </c>
      <c r="J34" s="28">
        <f t="shared" si="7"/>
        <v>715121.60901408386</v>
      </c>
      <c r="L34" s="154">
        <v>1.3524899052819646E-2</v>
      </c>
      <c r="M34" s="153">
        <f t="shared" si="2"/>
        <v>0</v>
      </c>
      <c r="N34" s="152">
        <f t="shared" si="3"/>
        <v>2581709.5530644888</v>
      </c>
      <c r="O34" s="151"/>
      <c r="P34" s="164">
        <f t="shared" si="4"/>
        <v>-596641.72434812784</v>
      </c>
      <c r="Q34" s="150">
        <f t="shared" si="5"/>
        <v>3404.4521578872377</v>
      </c>
      <c r="R34" s="150">
        <f t="shared" si="6"/>
        <v>440.32098226958897</v>
      </c>
    </row>
    <row r="35" spans="1:18" x14ac:dyDescent="0.2">
      <c r="A35" s="20">
        <v>3644</v>
      </c>
      <c r="B35" s="156" t="s">
        <v>41</v>
      </c>
      <c r="C35" s="155">
        <f t="shared" si="0"/>
        <v>14486101.868414264</v>
      </c>
      <c r="D35" s="30">
        <f t="shared" si="7"/>
        <v>196925.27890014698</v>
      </c>
      <c r="E35" s="29">
        <f t="shared" si="7"/>
        <v>5045225.6454217648</v>
      </c>
      <c r="F35" s="29">
        <f t="shared" si="7"/>
        <v>0</v>
      </c>
      <c r="G35" s="43">
        <f t="shared" si="7"/>
        <v>4096500.82744144</v>
      </c>
      <c r="H35" s="30">
        <f t="shared" si="7"/>
        <v>819721.48615345743</v>
      </c>
      <c r="I35" s="29">
        <f t="shared" si="7"/>
        <v>1667903.1832391031</v>
      </c>
      <c r="J35" s="28">
        <f t="shared" si="7"/>
        <v>2659825.4472583537</v>
      </c>
      <c r="L35" s="154">
        <v>6.3345925146063756E-2</v>
      </c>
      <c r="M35" s="153">
        <f t="shared" si="2"/>
        <v>0</v>
      </c>
      <c r="N35" s="152">
        <f t="shared" si="3"/>
        <v>14486101.868414264</v>
      </c>
      <c r="O35" s="151"/>
      <c r="P35" s="164">
        <f t="shared" si="4"/>
        <v>-400190.54091071896</v>
      </c>
      <c r="Q35" s="150">
        <f t="shared" si="5"/>
        <v>3099.294366370189</v>
      </c>
      <c r="R35" s="150">
        <f t="shared" si="6"/>
        <v>652.74992172367342</v>
      </c>
    </row>
    <row r="36" spans="1:18" x14ac:dyDescent="0.2">
      <c r="A36" s="20">
        <v>3541</v>
      </c>
      <c r="B36" s="19" t="s">
        <v>40</v>
      </c>
      <c r="C36" s="54">
        <f t="shared" si="0"/>
        <v>2721541.9495079825</v>
      </c>
      <c r="D36" s="15">
        <f t="shared" si="7"/>
        <v>41766.921940453372</v>
      </c>
      <c r="E36" s="14">
        <f t="shared" si="7"/>
        <v>628104.89444785123</v>
      </c>
      <c r="F36" s="14">
        <f t="shared" si="7"/>
        <v>0</v>
      </c>
      <c r="G36" s="16">
        <f t="shared" si="7"/>
        <v>1066151.9432110011</v>
      </c>
      <c r="H36" s="15">
        <f t="shared" si="7"/>
        <v>181841.99908708481</v>
      </c>
      <c r="I36" s="14">
        <f t="shared" si="7"/>
        <v>326628.84567252669</v>
      </c>
      <c r="J36" s="13">
        <f t="shared" si="7"/>
        <v>477047.34514906519</v>
      </c>
      <c r="L36" s="72">
        <v>1.2561069385453944E-2</v>
      </c>
      <c r="M36" s="98">
        <f t="shared" si="2"/>
        <v>0</v>
      </c>
      <c r="N36" s="132">
        <f t="shared" si="3"/>
        <v>2721541.9495079825</v>
      </c>
      <c r="P36" s="163">
        <f t="shared" si="4"/>
        <v>-230309.3560736943</v>
      </c>
      <c r="Q36" s="148">
        <f t="shared" si="5"/>
        <v>2745.3348515547905</v>
      </c>
      <c r="R36" s="148">
        <f t="shared" si="6"/>
        <v>557.45947839638768</v>
      </c>
    </row>
    <row r="37" spans="1:18" x14ac:dyDescent="0.2">
      <c r="A37" s="20">
        <v>3646</v>
      </c>
      <c r="B37" s="19" t="s">
        <v>39</v>
      </c>
      <c r="C37" s="54">
        <f t="shared" si="0"/>
        <v>4495398.9472506838</v>
      </c>
      <c r="D37" s="15">
        <f t="shared" ref="D37:J42" si="8">D80/$C$86*$C$43</f>
        <v>76090.512129581839</v>
      </c>
      <c r="E37" s="14">
        <f t="shared" si="8"/>
        <v>1394612.2698150189</v>
      </c>
      <c r="F37" s="14">
        <f t="shared" si="8"/>
        <v>0</v>
      </c>
      <c r="G37" s="16">
        <f t="shared" si="8"/>
        <v>1838854.0431315608</v>
      </c>
      <c r="H37" s="15">
        <f t="shared" si="8"/>
        <v>555132.10842711537</v>
      </c>
      <c r="I37" s="14">
        <f t="shared" si="8"/>
        <v>408365.05471537751</v>
      </c>
      <c r="J37" s="13">
        <f t="shared" si="8"/>
        <v>222344.95903203019</v>
      </c>
      <c r="L37" s="72">
        <v>1.8983457031793705E-2</v>
      </c>
      <c r="M37" s="98">
        <f t="shared" si="2"/>
        <v>0</v>
      </c>
      <c r="N37" s="132">
        <f t="shared" si="3"/>
        <v>4495398.9472506838</v>
      </c>
      <c r="P37" s="163">
        <f t="shared" si="4"/>
        <v>34286.544779162854</v>
      </c>
      <c r="Q37" s="148">
        <f t="shared" si="5"/>
        <v>2489.1467039040331</v>
      </c>
      <c r="R37" s="148">
        <f t="shared" si="6"/>
        <v>685.650501380435</v>
      </c>
    </row>
    <row r="38" spans="1:18" x14ac:dyDescent="0.2">
      <c r="A38" s="20">
        <v>3581</v>
      </c>
      <c r="B38" s="19" t="s">
        <v>38</v>
      </c>
      <c r="C38" s="54">
        <f t="shared" si="0"/>
        <v>3619427.3884991785</v>
      </c>
      <c r="D38" s="15">
        <f t="shared" si="8"/>
        <v>56260.352822278473</v>
      </c>
      <c r="E38" s="14">
        <f t="shared" si="8"/>
        <v>413907.41571350268</v>
      </c>
      <c r="F38" s="14">
        <f t="shared" si="8"/>
        <v>0</v>
      </c>
      <c r="G38" s="16">
        <f t="shared" si="8"/>
        <v>1398925.0485839138</v>
      </c>
      <c r="H38" s="15">
        <f t="shared" si="8"/>
        <v>271077.7159699499</v>
      </c>
      <c r="I38" s="14">
        <f t="shared" si="8"/>
        <v>627346.47043713916</v>
      </c>
      <c r="J38" s="13">
        <f t="shared" si="8"/>
        <v>851910.38497239456</v>
      </c>
      <c r="L38" s="72">
        <v>1.8519296567582645E-2</v>
      </c>
      <c r="M38" s="98">
        <f t="shared" si="2"/>
        <v>0</v>
      </c>
      <c r="N38" s="132">
        <f t="shared" si="3"/>
        <v>3619427.3884991785</v>
      </c>
      <c r="P38" s="163">
        <f t="shared" si="4"/>
        <v>-732607.30488274293</v>
      </c>
      <c r="Q38" s="148">
        <f t="shared" si="5"/>
        <v>2710.5047841980868</v>
      </c>
      <c r="R38" s="148">
        <f t="shared" si="6"/>
        <v>497.51123313864406</v>
      </c>
    </row>
    <row r="39" spans="1:18" x14ac:dyDescent="0.2">
      <c r="A39" s="20">
        <v>3606</v>
      </c>
      <c r="B39" s="19" t="s">
        <v>37</v>
      </c>
      <c r="C39" s="54">
        <f t="shared" si="0"/>
        <v>8689616.0679905545</v>
      </c>
      <c r="D39" s="15">
        <f t="shared" si="8"/>
        <v>129668.45671694886</v>
      </c>
      <c r="E39" s="14">
        <f t="shared" si="8"/>
        <v>2662525.6445880169</v>
      </c>
      <c r="F39" s="14">
        <f t="shared" si="8"/>
        <v>0</v>
      </c>
      <c r="G39" s="16">
        <f t="shared" si="8"/>
        <v>3264322.2936211424</v>
      </c>
      <c r="H39" s="15">
        <f t="shared" si="8"/>
        <v>492228.93311733357</v>
      </c>
      <c r="I39" s="14">
        <f t="shared" si="8"/>
        <v>1249356.2124488004</v>
      </c>
      <c r="J39" s="13">
        <f t="shared" si="8"/>
        <v>891514.52749831195</v>
      </c>
      <c r="L39" s="72">
        <v>3.2554270941238916E-2</v>
      </c>
      <c r="M39" s="98">
        <f t="shared" si="2"/>
        <v>0</v>
      </c>
      <c r="N39" s="132">
        <f t="shared" si="3"/>
        <v>8689616.0679905545</v>
      </c>
      <c r="P39" s="163">
        <f t="shared" si="4"/>
        <v>1039362.3967994088</v>
      </c>
      <c r="Q39" s="148">
        <f t="shared" si="5"/>
        <v>2823.4428900651646</v>
      </c>
      <c r="R39" s="148">
        <f t="shared" si="6"/>
        <v>691.0561194164776</v>
      </c>
    </row>
    <row r="40" spans="1:18" x14ac:dyDescent="0.2">
      <c r="A40" s="20">
        <v>3615</v>
      </c>
      <c r="B40" s="19" t="s">
        <v>77</v>
      </c>
      <c r="C40" s="54">
        <f t="shared" si="0"/>
        <v>15621711.683183422</v>
      </c>
      <c r="D40" s="15">
        <f t="shared" si="8"/>
        <v>225870.00859728028</v>
      </c>
      <c r="E40" s="14">
        <f t="shared" si="8"/>
        <v>5004150.040472744</v>
      </c>
      <c r="F40" s="14">
        <f t="shared" si="8"/>
        <v>0</v>
      </c>
      <c r="G40" s="16">
        <f t="shared" si="8"/>
        <v>5419728.5965165971</v>
      </c>
      <c r="H40" s="15">
        <f t="shared" si="8"/>
        <v>944221.7427109956</v>
      </c>
      <c r="I40" s="14">
        <f t="shared" si="8"/>
        <v>2350547.9909797176</v>
      </c>
      <c r="J40" s="13">
        <f t="shared" si="8"/>
        <v>1677193.3039060871</v>
      </c>
      <c r="L40" s="72">
        <v>6.1387457427191858E-2</v>
      </c>
      <c r="M40" s="98">
        <f t="shared" si="2"/>
        <v>0</v>
      </c>
      <c r="N40" s="132">
        <f t="shared" si="3"/>
        <v>15621711.683183422</v>
      </c>
      <c r="P40" s="163">
        <f t="shared" si="4"/>
        <v>1195659.1877933349</v>
      </c>
      <c r="Q40" s="148">
        <f t="shared" si="5"/>
        <v>2913.9548000715208</v>
      </c>
      <c r="R40" s="148">
        <f t="shared" si="6"/>
        <v>682.06623898834926</v>
      </c>
    </row>
    <row r="41" spans="1:18" x14ac:dyDescent="0.2">
      <c r="A41" s="20">
        <v>3625</v>
      </c>
      <c r="B41" s="19" t="s">
        <v>36</v>
      </c>
      <c r="C41" s="54">
        <f t="shared" si="0"/>
        <v>539746.3937652451</v>
      </c>
      <c r="D41" s="15">
        <f t="shared" si="8"/>
        <v>0</v>
      </c>
      <c r="E41" s="14">
        <f t="shared" si="8"/>
        <v>33615.097358579704</v>
      </c>
      <c r="F41" s="14">
        <f t="shared" si="8"/>
        <v>16346.023147313943</v>
      </c>
      <c r="G41" s="16">
        <f t="shared" si="8"/>
        <v>240363.43947910535</v>
      </c>
      <c r="H41" s="15">
        <f t="shared" si="8"/>
        <v>56878.289797860169</v>
      </c>
      <c r="I41" s="14">
        <f t="shared" si="8"/>
        <v>81595.7688211278</v>
      </c>
      <c r="J41" s="13">
        <f t="shared" si="8"/>
        <v>110947.77516125809</v>
      </c>
      <c r="L41" s="72">
        <v>2.5717361648878246E-3</v>
      </c>
      <c r="M41" s="98">
        <f t="shared" si="2"/>
        <v>0</v>
      </c>
      <c r="N41" s="132">
        <f t="shared" si="3"/>
        <v>539746.3937652451</v>
      </c>
      <c r="P41" s="163">
        <f t="shared" si="4"/>
        <v>-64611.604983393685</v>
      </c>
      <c r="Q41" s="148">
        <f t="shared" si="5"/>
        <v>2850.7732065065761</v>
      </c>
      <c r="R41" s="148">
        <f t="shared" si="6"/>
        <v>442.40701844112186</v>
      </c>
    </row>
    <row r="42" spans="1:18" x14ac:dyDescent="0.2">
      <c r="A42" s="20">
        <v>20</v>
      </c>
      <c r="B42" s="19" t="s">
        <v>35</v>
      </c>
      <c r="C42" s="63">
        <f t="shared" si="0"/>
        <v>535616.4669232429</v>
      </c>
      <c r="D42" s="15">
        <f t="shared" si="8"/>
        <v>6811.3507535709095</v>
      </c>
      <c r="E42" s="14">
        <f t="shared" si="8"/>
        <v>60596.332820549535</v>
      </c>
      <c r="F42" s="14">
        <f t="shared" si="8"/>
        <v>192735.28843923923</v>
      </c>
      <c r="G42" s="16">
        <f t="shared" si="8"/>
        <v>212345.61524534464</v>
      </c>
      <c r="H42" s="15">
        <f t="shared" si="8"/>
        <v>43606.688845026132</v>
      </c>
      <c r="I42" s="14">
        <f t="shared" si="8"/>
        <v>19521.190819512507</v>
      </c>
      <c r="J42" s="13">
        <f t="shared" si="8"/>
        <v>0</v>
      </c>
      <c r="L42" s="72">
        <v>1.4792799135503695E-3</v>
      </c>
      <c r="M42" s="98">
        <f t="shared" si="2"/>
        <v>0</v>
      </c>
      <c r="N42" s="132">
        <f t="shared" si="3"/>
        <v>535616.4669232429</v>
      </c>
      <c r="P42" s="163">
        <f t="shared" si="4"/>
        <v>187985.68723890604</v>
      </c>
      <c r="Q42" s="148">
        <f t="shared" si="5"/>
        <v>3313.0915479788223</v>
      </c>
      <c r="R42" s="148">
        <f t="shared" si="6"/>
        <v>1212.4725092583094</v>
      </c>
    </row>
    <row r="43" spans="1:18" ht="13.5" thickBot="1" x14ac:dyDescent="0.25">
      <c r="A43" s="12"/>
      <c r="B43" s="11" t="s">
        <v>11</v>
      </c>
      <c r="C43" s="61">
        <f>N43-M43</f>
        <v>234744048.44081408</v>
      </c>
      <c r="D43" s="61">
        <f t="shared" ref="D43:J43" si="9">SUM(D5:D42)</f>
        <v>3667680.6544320919</v>
      </c>
      <c r="E43" s="60">
        <f t="shared" si="9"/>
        <v>70820680.636861697</v>
      </c>
      <c r="F43" s="60">
        <f t="shared" si="9"/>
        <v>1294531.9980748261</v>
      </c>
      <c r="G43" s="62">
        <f t="shared" si="9"/>
        <v>78282734.836602002</v>
      </c>
      <c r="H43" s="61">
        <f t="shared" si="9"/>
        <v>17504999.397405628</v>
      </c>
      <c r="I43" s="60">
        <f t="shared" si="9"/>
        <v>31056371.315934274</v>
      </c>
      <c r="J43" s="59">
        <f t="shared" si="9"/>
        <v>32117049.601503614</v>
      </c>
      <c r="L43" s="133">
        <f>SUM(L5:L42)</f>
        <v>1.0000000000000002</v>
      </c>
      <c r="M43" s="97">
        <f>SUM(M5:M42)</f>
        <v>255951.55918591059</v>
      </c>
      <c r="N43" s="134">
        <v>235000000</v>
      </c>
      <c r="P43" s="165">
        <f t="shared" si="4"/>
        <v>0</v>
      </c>
      <c r="Q43" s="149">
        <f t="shared" si="5"/>
        <v>2787.1396238349862</v>
      </c>
      <c r="R43" s="149">
        <f>AVERAGE(R5:R42)</f>
        <v>739.21372438290712</v>
      </c>
    </row>
    <row r="44" spans="1:18" ht="13.5" thickBot="1" x14ac:dyDescent="0.25">
      <c r="A44" s="58"/>
      <c r="C44" s="77"/>
      <c r="D44" s="78"/>
      <c r="E44" s="57"/>
      <c r="F44" s="57"/>
      <c r="G44" s="57"/>
      <c r="H44" s="57"/>
      <c r="I44" s="57"/>
      <c r="J44" s="57"/>
      <c r="L44" s="135" t="s">
        <v>79</v>
      </c>
      <c r="M44" s="136">
        <v>5.0000000000000001E-3</v>
      </c>
      <c r="N44" s="137"/>
    </row>
    <row r="45" spans="1:18" ht="13.5" thickBot="1" x14ac:dyDescent="0.25">
      <c r="A45" s="56" t="s">
        <v>74</v>
      </c>
    </row>
    <row r="46" spans="1:18" ht="12.75" customHeight="1" outlineLevel="1" x14ac:dyDescent="0.2">
      <c r="A46" s="184" t="s">
        <v>22</v>
      </c>
      <c r="B46" s="186" t="s">
        <v>21</v>
      </c>
      <c r="C46" s="188" t="s">
        <v>34</v>
      </c>
      <c r="D46" s="173" t="s">
        <v>33</v>
      </c>
      <c r="E46" s="174"/>
      <c r="F46" s="174"/>
      <c r="G46" s="176" t="s">
        <v>16</v>
      </c>
      <c r="H46" s="178" t="s">
        <v>32</v>
      </c>
      <c r="I46" s="179"/>
      <c r="J46" s="180"/>
      <c r="K46" s="191"/>
    </row>
    <row r="47" spans="1:18" ht="51.75" outlineLevel="1" thickBot="1" x14ac:dyDescent="0.25">
      <c r="A47" s="185"/>
      <c r="B47" s="187"/>
      <c r="C47" s="189"/>
      <c r="D47" s="124"/>
      <c r="E47" s="101" t="s">
        <v>31</v>
      </c>
      <c r="F47" s="101" t="s">
        <v>30</v>
      </c>
      <c r="G47" s="190"/>
      <c r="H47" s="103" t="s">
        <v>14</v>
      </c>
      <c r="I47" s="104" t="s">
        <v>13</v>
      </c>
      <c r="J47" s="110" t="s">
        <v>12</v>
      </c>
      <c r="K47" s="191"/>
    </row>
    <row r="48" spans="1:18" outlineLevel="1" x14ac:dyDescent="0.2">
      <c r="A48" s="20">
        <f t="shared" ref="A48:B63" si="10">A5</f>
        <v>3656</v>
      </c>
      <c r="B48" s="19" t="str">
        <f t="shared" si="10"/>
        <v>UTA</v>
      </c>
      <c r="C48" s="54">
        <f t="shared" ref="C48:C85" si="11">SUM(D48:J48)</f>
        <v>14457.635833333334</v>
      </c>
      <c r="D48" s="15">
        <f t="shared" ref="D48:J57" si="12">D90*D177</f>
        <v>250.9</v>
      </c>
      <c r="E48" s="14">
        <f t="shared" si="12"/>
        <v>4551.7441666666673</v>
      </c>
      <c r="F48" s="14">
        <f t="shared" si="12"/>
        <v>0</v>
      </c>
      <c r="G48" s="34">
        <f t="shared" si="12"/>
        <v>5453</v>
      </c>
      <c r="H48" s="36">
        <f t="shared" si="12"/>
        <v>2050.9</v>
      </c>
      <c r="I48" s="55">
        <f t="shared" si="12"/>
        <v>1437.6249999999998</v>
      </c>
      <c r="J48" s="35">
        <f t="shared" si="12"/>
        <v>713.4666666666667</v>
      </c>
      <c r="K48" s="125"/>
    </row>
    <row r="49" spans="1:11" outlineLevel="1" x14ac:dyDescent="0.2">
      <c r="A49" s="20">
        <f t="shared" si="10"/>
        <v>3658</v>
      </c>
      <c r="B49" s="19" t="str">
        <f t="shared" si="10"/>
        <v>UT</v>
      </c>
      <c r="C49" s="54">
        <f t="shared" si="11"/>
        <v>30141.884750000001</v>
      </c>
      <c r="D49" s="15">
        <f t="shared" si="12"/>
        <v>447.31666666666672</v>
      </c>
      <c r="E49" s="14">
        <f t="shared" si="12"/>
        <v>12978.893083333336</v>
      </c>
      <c r="F49" s="14">
        <f t="shared" si="12"/>
        <v>0</v>
      </c>
      <c r="G49" s="16">
        <f t="shared" si="12"/>
        <v>4858.4666666666672</v>
      </c>
      <c r="H49" s="15">
        <f t="shared" si="12"/>
        <v>1439.75</v>
      </c>
      <c r="I49" s="14">
        <f t="shared" si="12"/>
        <v>3377.1249999999995</v>
      </c>
      <c r="J49" s="13">
        <f t="shared" si="12"/>
        <v>7040.333333333333</v>
      </c>
      <c r="K49" s="74"/>
    </row>
    <row r="50" spans="1:11" outlineLevel="1" x14ac:dyDescent="0.2">
      <c r="A50" s="20">
        <f t="shared" si="10"/>
        <v>9741</v>
      </c>
      <c r="B50" s="19" t="str">
        <f t="shared" si="10"/>
        <v>UTD</v>
      </c>
      <c r="C50" s="54">
        <f t="shared" si="11"/>
        <v>7594.6299166666677</v>
      </c>
      <c r="D50" s="15">
        <f t="shared" si="12"/>
        <v>119.65</v>
      </c>
      <c r="E50" s="14">
        <f t="shared" si="12"/>
        <v>2943.9882499999999</v>
      </c>
      <c r="F50" s="14">
        <f t="shared" si="12"/>
        <v>0</v>
      </c>
      <c r="G50" s="16">
        <f t="shared" si="12"/>
        <v>2309.416666666667</v>
      </c>
      <c r="H50" s="15">
        <f t="shared" si="12"/>
        <v>745.875</v>
      </c>
      <c r="I50" s="14">
        <f t="shared" si="12"/>
        <v>1067.1666666666667</v>
      </c>
      <c r="J50" s="13">
        <f t="shared" si="12"/>
        <v>408.53333333333336</v>
      </c>
      <c r="K50" s="74"/>
    </row>
    <row r="51" spans="1:11" outlineLevel="1" x14ac:dyDescent="0.2">
      <c r="A51" s="20">
        <f t="shared" si="10"/>
        <v>3661</v>
      </c>
      <c r="B51" s="19" t="str">
        <f t="shared" si="10"/>
        <v>UTEP</v>
      </c>
      <c r="C51" s="54">
        <f t="shared" si="11"/>
        <v>10061.305333333334</v>
      </c>
      <c r="D51" s="15">
        <f t="shared" si="12"/>
        <v>152.85</v>
      </c>
      <c r="E51" s="14">
        <f t="shared" si="12"/>
        <v>1669.1219999999998</v>
      </c>
      <c r="F51" s="14">
        <f t="shared" si="12"/>
        <v>0</v>
      </c>
      <c r="G51" s="16">
        <f t="shared" si="12"/>
        <v>4312.5833333333339</v>
      </c>
      <c r="H51" s="15">
        <f t="shared" si="12"/>
        <v>654.40000000000009</v>
      </c>
      <c r="I51" s="14">
        <f t="shared" si="12"/>
        <v>2098.75</v>
      </c>
      <c r="J51" s="13">
        <f t="shared" si="12"/>
        <v>1173.5999999999999</v>
      </c>
      <c r="K51" s="74"/>
    </row>
    <row r="52" spans="1:11" outlineLevel="1" x14ac:dyDescent="0.2">
      <c r="A52" s="20">
        <f t="shared" si="10"/>
        <v>3599</v>
      </c>
      <c r="B52" s="19" t="str">
        <f t="shared" si="10"/>
        <v>UTPA</v>
      </c>
      <c r="C52" s="54">
        <f t="shared" si="11"/>
        <v>9490.8150000000005</v>
      </c>
      <c r="D52" s="15">
        <f t="shared" si="12"/>
        <v>129</v>
      </c>
      <c r="E52" s="14">
        <f t="shared" si="12"/>
        <v>1945.9650000000001</v>
      </c>
      <c r="F52" s="14">
        <f t="shared" si="12"/>
        <v>0</v>
      </c>
      <c r="G52" s="16">
        <f t="shared" si="12"/>
        <v>4092.0833333333335</v>
      </c>
      <c r="H52" s="15">
        <f t="shared" si="12"/>
        <v>611.30000000000007</v>
      </c>
      <c r="I52" s="14">
        <f t="shared" si="12"/>
        <v>1161</v>
      </c>
      <c r="J52" s="13">
        <f t="shared" si="12"/>
        <v>1551.4666666666667</v>
      </c>
      <c r="K52" s="74"/>
    </row>
    <row r="53" spans="1:11" outlineLevel="1" x14ac:dyDescent="0.2">
      <c r="A53" s="20">
        <f t="shared" si="10"/>
        <v>30646</v>
      </c>
      <c r="B53" s="19" t="str">
        <f t="shared" si="10"/>
        <v>UTB</v>
      </c>
      <c r="C53" s="54">
        <f t="shared" si="11"/>
        <v>3497.2673300253723</v>
      </c>
      <c r="D53" s="15">
        <f t="shared" si="12"/>
        <v>109.2</v>
      </c>
      <c r="E53" s="14">
        <f t="shared" si="12"/>
        <v>1099.299117897785</v>
      </c>
      <c r="F53" s="14">
        <f t="shared" si="12"/>
        <v>43.076545460920784</v>
      </c>
      <c r="G53" s="16">
        <f t="shared" si="12"/>
        <v>1639.1666666666665</v>
      </c>
      <c r="H53" s="15">
        <f t="shared" si="12"/>
        <v>397.90000000000003</v>
      </c>
      <c r="I53" s="14">
        <f t="shared" si="12"/>
        <v>208.62500000000003</v>
      </c>
      <c r="J53" s="13">
        <f t="shared" si="12"/>
        <v>0</v>
      </c>
      <c r="K53" s="74"/>
    </row>
    <row r="54" spans="1:11" outlineLevel="1" x14ac:dyDescent="0.2">
      <c r="A54" s="20">
        <f t="shared" si="10"/>
        <v>9930</v>
      </c>
      <c r="B54" s="19" t="str">
        <f t="shared" si="10"/>
        <v>UTPB</v>
      </c>
      <c r="C54" s="54">
        <f t="shared" si="11"/>
        <v>1641.8981349707244</v>
      </c>
      <c r="D54" s="15">
        <f t="shared" si="12"/>
        <v>0</v>
      </c>
      <c r="E54" s="14">
        <f t="shared" si="12"/>
        <v>414.40000000000003</v>
      </c>
      <c r="F54" s="14">
        <f t="shared" si="12"/>
        <v>28.906468304057512</v>
      </c>
      <c r="G54" s="16">
        <f t="shared" si="12"/>
        <v>698.25</v>
      </c>
      <c r="H54" s="15">
        <f t="shared" si="12"/>
        <v>176.77500000000001</v>
      </c>
      <c r="I54" s="14">
        <f t="shared" si="12"/>
        <v>245.83333333333337</v>
      </c>
      <c r="J54" s="13">
        <f t="shared" si="12"/>
        <v>77.733333333333348</v>
      </c>
      <c r="K54" s="74"/>
    </row>
    <row r="55" spans="1:11" outlineLevel="1" x14ac:dyDescent="0.2">
      <c r="A55" s="20">
        <f t="shared" si="10"/>
        <v>10115</v>
      </c>
      <c r="B55" s="19" t="str">
        <f t="shared" si="10"/>
        <v>UTSA</v>
      </c>
      <c r="C55" s="54">
        <f t="shared" si="11"/>
        <v>13532.554027777778</v>
      </c>
      <c r="D55" s="15">
        <f t="shared" si="12"/>
        <v>205.98333333333335</v>
      </c>
      <c r="E55" s="14">
        <f t="shared" si="12"/>
        <v>3039.9706944444447</v>
      </c>
      <c r="F55" s="14">
        <f t="shared" si="12"/>
        <v>0</v>
      </c>
      <c r="G55" s="16">
        <f t="shared" si="12"/>
        <v>5466.4166666666661</v>
      </c>
      <c r="H55" s="15">
        <f t="shared" si="12"/>
        <v>1021.45</v>
      </c>
      <c r="I55" s="14">
        <f t="shared" si="12"/>
        <v>2229.3333333333335</v>
      </c>
      <c r="J55" s="13">
        <f t="shared" si="12"/>
        <v>1569.3999999999999</v>
      </c>
      <c r="K55" s="74"/>
    </row>
    <row r="56" spans="1:11" outlineLevel="1" x14ac:dyDescent="0.2">
      <c r="A56" s="20">
        <f t="shared" si="10"/>
        <v>11163</v>
      </c>
      <c r="B56" s="19" t="str">
        <f t="shared" si="10"/>
        <v>UTT</v>
      </c>
      <c r="C56" s="54">
        <f t="shared" si="11"/>
        <v>3705.5675000000006</v>
      </c>
      <c r="D56" s="15">
        <f t="shared" si="12"/>
        <v>59.5</v>
      </c>
      <c r="E56" s="14">
        <f t="shared" si="12"/>
        <v>1073.8758333333335</v>
      </c>
      <c r="F56" s="14">
        <f t="shared" si="12"/>
        <v>0</v>
      </c>
      <c r="G56" s="16">
        <f t="shared" si="12"/>
        <v>1649.0833333333335</v>
      </c>
      <c r="H56" s="15">
        <f t="shared" si="12"/>
        <v>323.17500000000001</v>
      </c>
      <c r="I56" s="14">
        <f t="shared" si="12"/>
        <v>445</v>
      </c>
      <c r="J56" s="13">
        <f t="shared" si="12"/>
        <v>154.93333333333334</v>
      </c>
      <c r="K56" s="74"/>
    </row>
    <row r="57" spans="1:11" outlineLevel="1" x14ac:dyDescent="0.2">
      <c r="A57" s="20">
        <f t="shared" si="10"/>
        <v>3632</v>
      </c>
      <c r="B57" s="19" t="str">
        <f t="shared" si="10"/>
        <v>TAMU</v>
      </c>
      <c r="C57" s="54">
        <f t="shared" si="11"/>
        <v>30255.106277777773</v>
      </c>
      <c r="D57" s="15">
        <f t="shared" si="12"/>
        <v>436.98333333333335</v>
      </c>
      <c r="E57" s="14">
        <f t="shared" si="12"/>
        <v>12857.506277777775</v>
      </c>
      <c r="F57" s="14">
        <f t="shared" si="12"/>
        <v>0</v>
      </c>
      <c r="G57" s="16">
        <f t="shared" si="12"/>
        <v>5213.6000000000004</v>
      </c>
      <c r="H57" s="15">
        <f t="shared" si="12"/>
        <v>1509.1000000000001</v>
      </c>
      <c r="I57" s="14">
        <f t="shared" si="12"/>
        <v>3340.2500000000005</v>
      </c>
      <c r="J57" s="13">
        <f t="shared" si="12"/>
        <v>6897.666666666667</v>
      </c>
      <c r="K57" s="74"/>
    </row>
    <row r="58" spans="1:11" outlineLevel="1" x14ac:dyDescent="0.2">
      <c r="A58" s="20">
        <f t="shared" si="10"/>
        <v>10298</v>
      </c>
      <c r="B58" s="19" t="str">
        <f t="shared" si="10"/>
        <v>TAMUG</v>
      </c>
      <c r="C58" s="54">
        <f t="shared" si="11"/>
        <v>1513.2663563108852</v>
      </c>
      <c r="D58" s="15">
        <f t="shared" ref="D58:J58" si="13">D100*D187*1.5</f>
        <v>0</v>
      </c>
      <c r="E58" s="14">
        <f t="shared" si="13"/>
        <v>453.40516666666667</v>
      </c>
      <c r="F58" s="14">
        <f t="shared" si="13"/>
        <v>30.748689644218551</v>
      </c>
      <c r="G58" s="16">
        <f t="shared" si="13"/>
        <v>414.75</v>
      </c>
      <c r="H58" s="15">
        <f t="shared" si="13"/>
        <v>199.91250000000002</v>
      </c>
      <c r="I58" s="14">
        <f t="shared" si="13"/>
        <v>119.25</v>
      </c>
      <c r="J58" s="13">
        <f t="shared" si="13"/>
        <v>295.20000000000005</v>
      </c>
      <c r="K58" s="74"/>
    </row>
    <row r="59" spans="1:11" outlineLevel="1" x14ac:dyDescent="0.2">
      <c r="A59" s="20">
        <f t="shared" si="10"/>
        <v>3630</v>
      </c>
      <c r="B59" s="19" t="str">
        <f t="shared" si="10"/>
        <v>Prairie View</v>
      </c>
      <c r="C59" s="54">
        <f t="shared" si="11"/>
        <v>3566.2193888888892</v>
      </c>
      <c r="D59" s="15">
        <f t="shared" ref="D59:J74" si="14">D101*D188</f>
        <v>46.81666666666667</v>
      </c>
      <c r="E59" s="14">
        <f t="shared" si="14"/>
        <v>243.60272222222221</v>
      </c>
      <c r="F59" s="14">
        <f t="shared" si="14"/>
        <v>0</v>
      </c>
      <c r="G59" s="16">
        <f t="shared" si="14"/>
        <v>1404.6666666666665</v>
      </c>
      <c r="H59" s="15">
        <f t="shared" si="14"/>
        <v>375.3</v>
      </c>
      <c r="I59" s="14">
        <f t="shared" si="14"/>
        <v>590.5</v>
      </c>
      <c r="J59" s="13">
        <f t="shared" si="14"/>
        <v>905.33333333333337</v>
      </c>
      <c r="K59" s="74"/>
    </row>
    <row r="60" spans="1:11" outlineLevel="1" x14ac:dyDescent="0.2">
      <c r="A60" s="20">
        <f t="shared" si="10"/>
        <v>3631</v>
      </c>
      <c r="B60" s="19" t="str">
        <f t="shared" si="10"/>
        <v>Tarleton</v>
      </c>
      <c r="C60" s="54">
        <f t="shared" si="11"/>
        <v>4972.721333333333</v>
      </c>
      <c r="D60" s="15">
        <f t="shared" si="14"/>
        <v>77.266666666666666</v>
      </c>
      <c r="E60" s="14">
        <f t="shared" si="14"/>
        <v>1292.6713333333335</v>
      </c>
      <c r="F60" s="14">
        <f t="shared" si="14"/>
        <v>0</v>
      </c>
      <c r="G60" s="16">
        <f t="shared" si="14"/>
        <v>2091.25</v>
      </c>
      <c r="H60" s="15">
        <f t="shared" si="14"/>
        <v>323.15000000000003</v>
      </c>
      <c r="I60" s="14">
        <f t="shared" si="14"/>
        <v>498.25</v>
      </c>
      <c r="J60" s="13">
        <f t="shared" si="14"/>
        <v>690.13333333333333</v>
      </c>
      <c r="K60" s="74"/>
    </row>
    <row r="61" spans="1:11" outlineLevel="1" x14ac:dyDescent="0.2">
      <c r="A61" s="27">
        <f t="shared" si="10"/>
        <v>103631</v>
      </c>
      <c r="B61" s="19" t="str">
        <f t="shared" si="10"/>
        <v>TAMUCT</v>
      </c>
      <c r="C61" s="54">
        <f t="shared" si="11"/>
        <v>1476.7624595125453</v>
      </c>
      <c r="D61" s="15">
        <f t="shared" si="14"/>
        <v>46.033333333333331</v>
      </c>
      <c r="E61" s="14">
        <f t="shared" si="14"/>
        <v>308.05506666666668</v>
      </c>
      <c r="F61" s="14">
        <f t="shared" si="14"/>
        <v>422.42405951254528</v>
      </c>
      <c r="G61" s="16">
        <f t="shared" si="14"/>
        <v>572.25</v>
      </c>
      <c r="H61" s="15">
        <f t="shared" si="14"/>
        <v>111.375</v>
      </c>
      <c r="I61" s="14">
        <f t="shared" si="14"/>
        <v>16.625</v>
      </c>
      <c r="J61" s="13">
        <f t="shared" si="14"/>
        <v>0</v>
      </c>
      <c r="K61" s="74"/>
    </row>
    <row r="62" spans="1:11" outlineLevel="1" x14ac:dyDescent="0.2">
      <c r="A62" s="20">
        <f t="shared" si="10"/>
        <v>11161</v>
      </c>
      <c r="B62" s="19" t="str">
        <f t="shared" si="10"/>
        <v>TAMUCC</v>
      </c>
      <c r="C62" s="54">
        <f t="shared" si="11"/>
        <v>4762.7449999999999</v>
      </c>
      <c r="D62" s="15">
        <f t="shared" si="14"/>
        <v>69.416666666666671</v>
      </c>
      <c r="E62" s="14">
        <f t="shared" si="14"/>
        <v>1234.2283333333332</v>
      </c>
      <c r="F62" s="14">
        <f t="shared" si="14"/>
        <v>0</v>
      </c>
      <c r="G62" s="16">
        <f t="shared" si="14"/>
        <v>1890</v>
      </c>
      <c r="H62" s="15">
        <f t="shared" si="14"/>
        <v>308.10000000000002</v>
      </c>
      <c r="I62" s="14">
        <f t="shared" si="14"/>
        <v>734</v>
      </c>
      <c r="J62" s="13">
        <f t="shared" si="14"/>
        <v>527</v>
      </c>
      <c r="K62" s="74"/>
    </row>
    <row r="63" spans="1:11" outlineLevel="1" x14ac:dyDescent="0.2">
      <c r="A63" s="20">
        <f t="shared" si="10"/>
        <v>3639</v>
      </c>
      <c r="B63" s="19" t="str">
        <f t="shared" si="10"/>
        <v>TAMUK</v>
      </c>
      <c r="C63" s="54">
        <f t="shared" si="11"/>
        <v>2667.0327500000003</v>
      </c>
      <c r="D63" s="15">
        <f t="shared" si="14"/>
        <v>38.083333333333336</v>
      </c>
      <c r="E63" s="14">
        <f t="shared" si="14"/>
        <v>321.76608333333337</v>
      </c>
      <c r="F63" s="14">
        <f t="shared" si="14"/>
        <v>0</v>
      </c>
      <c r="G63" s="16">
        <f t="shared" si="14"/>
        <v>1134.5833333333335</v>
      </c>
      <c r="H63" s="15">
        <f t="shared" si="14"/>
        <v>184.10000000000002</v>
      </c>
      <c r="I63" s="14">
        <f t="shared" si="14"/>
        <v>429.83333333333331</v>
      </c>
      <c r="J63" s="13">
        <f t="shared" si="14"/>
        <v>558.66666666666663</v>
      </c>
      <c r="K63" s="74"/>
    </row>
    <row r="64" spans="1:11" outlineLevel="1" x14ac:dyDescent="0.2">
      <c r="A64" s="27">
        <f t="shared" ref="A64:B79" si="15">A21</f>
        <v>103639</v>
      </c>
      <c r="B64" s="19" t="str">
        <f t="shared" si="15"/>
        <v>TAMUSA</v>
      </c>
      <c r="C64" s="54">
        <f t="shared" si="11"/>
        <v>1715.1773565423632</v>
      </c>
      <c r="D64" s="15">
        <f t="shared" si="14"/>
        <v>58.766666666666666</v>
      </c>
      <c r="E64" s="14">
        <f t="shared" si="14"/>
        <v>413.76630555555556</v>
      </c>
      <c r="F64" s="14">
        <f t="shared" si="14"/>
        <v>155.99438432014094</v>
      </c>
      <c r="G64" s="16">
        <f t="shared" si="14"/>
        <v>858.08333333333326</v>
      </c>
      <c r="H64" s="15">
        <f t="shared" si="14"/>
        <v>218.9</v>
      </c>
      <c r="I64" s="14">
        <f t="shared" si="14"/>
        <v>9.6666666666666661</v>
      </c>
      <c r="J64" s="13">
        <f t="shared" si="14"/>
        <v>0</v>
      </c>
      <c r="K64" s="74"/>
    </row>
    <row r="65" spans="1:11" outlineLevel="1" x14ac:dyDescent="0.2">
      <c r="A65" s="20">
        <f t="shared" si="15"/>
        <v>9651</v>
      </c>
      <c r="B65" s="19" t="str">
        <f t="shared" si="15"/>
        <v>TAMI</v>
      </c>
      <c r="C65" s="54">
        <f t="shared" si="11"/>
        <v>2954.5572222222222</v>
      </c>
      <c r="D65" s="15">
        <f t="shared" si="14"/>
        <v>39.483333333333334</v>
      </c>
      <c r="E65" s="14">
        <f t="shared" si="14"/>
        <v>654.10722222222216</v>
      </c>
      <c r="F65" s="14">
        <f t="shared" si="14"/>
        <v>0</v>
      </c>
      <c r="G65" s="16">
        <f t="shared" si="14"/>
        <v>1247.1666666666665</v>
      </c>
      <c r="H65" s="15">
        <f t="shared" si="14"/>
        <v>316.5</v>
      </c>
      <c r="I65" s="14">
        <f t="shared" si="14"/>
        <v>507.83333333333331</v>
      </c>
      <c r="J65" s="13">
        <f t="shared" si="14"/>
        <v>189.4666666666667</v>
      </c>
      <c r="K65" s="74"/>
    </row>
    <row r="66" spans="1:11" outlineLevel="1" x14ac:dyDescent="0.2">
      <c r="A66" s="20">
        <f t="shared" si="15"/>
        <v>3665</v>
      </c>
      <c r="B66" s="19" t="str">
        <f t="shared" si="15"/>
        <v>WTAMU</v>
      </c>
      <c r="C66" s="54">
        <f t="shared" si="11"/>
        <v>3927.3591111111114</v>
      </c>
      <c r="D66" s="15">
        <f t="shared" si="14"/>
        <v>62.783333333333339</v>
      </c>
      <c r="E66" s="14">
        <f t="shared" si="14"/>
        <v>1034.2507777777778</v>
      </c>
      <c r="F66" s="14">
        <f t="shared" si="14"/>
        <v>0</v>
      </c>
      <c r="G66" s="16">
        <f t="shared" si="14"/>
        <v>1556.3333333333335</v>
      </c>
      <c r="H66" s="15">
        <f t="shared" si="14"/>
        <v>403.125</v>
      </c>
      <c r="I66" s="14">
        <f t="shared" si="14"/>
        <v>606.33333333333337</v>
      </c>
      <c r="J66" s="13">
        <f t="shared" si="14"/>
        <v>264.53333333333336</v>
      </c>
      <c r="K66" s="74"/>
    </row>
    <row r="67" spans="1:11" outlineLevel="1" x14ac:dyDescent="0.2">
      <c r="A67" s="20">
        <f t="shared" si="15"/>
        <v>3565</v>
      </c>
      <c r="B67" s="19" t="str">
        <f t="shared" si="15"/>
        <v>TAMUC</v>
      </c>
      <c r="C67" s="54">
        <f t="shared" si="11"/>
        <v>4045.311666666667</v>
      </c>
      <c r="D67" s="15">
        <f t="shared" si="14"/>
        <v>66.216666666666669</v>
      </c>
      <c r="E67" s="14">
        <f t="shared" si="14"/>
        <v>1019.7366666666666</v>
      </c>
      <c r="F67" s="14">
        <f t="shared" si="14"/>
        <v>0</v>
      </c>
      <c r="G67" s="16">
        <f t="shared" si="14"/>
        <v>1783.8333333333335</v>
      </c>
      <c r="H67" s="15">
        <f t="shared" si="14"/>
        <v>425.92500000000001</v>
      </c>
      <c r="I67" s="14">
        <f t="shared" si="14"/>
        <v>568.66666666666663</v>
      </c>
      <c r="J67" s="13">
        <f t="shared" si="14"/>
        <v>180.93333333333334</v>
      </c>
      <c r="K67" s="74"/>
    </row>
    <row r="68" spans="1:11" outlineLevel="1" x14ac:dyDescent="0.2">
      <c r="A68" s="20">
        <f t="shared" si="15"/>
        <v>29269</v>
      </c>
      <c r="B68" s="19" t="str">
        <f t="shared" si="15"/>
        <v>TAMUT</v>
      </c>
      <c r="C68" s="54">
        <f t="shared" si="11"/>
        <v>1099.8455684912335</v>
      </c>
      <c r="D68" s="15">
        <f t="shared" si="14"/>
        <v>17.283333333333335</v>
      </c>
      <c r="E68" s="14">
        <f t="shared" si="14"/>
        <v>327.88045945696564</v>
      </c>
      <c r="F68" s="14">
        <f t="shared" si="14"/>
        <v>193.8317757009346</v>
      </c>
      <c r="G68" s="16">
        <f t="shared" si="14"/>
        <v>418.25</v>
      </c>
      <c r="H68" s="15">
        <f t="shared" si="14"/>
        <v>97.35</v>
      </c>
      <c r="I68" s="14">
        <f t="shared" si="14"/>
        <v>45.25</v>
      </c>
      <c r="J68" s="13">
        <f t="shared" si="14"/>
        <v>0</v>
      </c>
      <c r="K68" s="74"/>
    </row>
    <row r="69" spans="1:11" outlineLevel="1" x14ac:dyDescent="0.2">
      <c r="A69" s="20">
        <f t="shared" si="15"/>
        <v>3652</v>
      </c>
      <c r="B69" s="19" t="str">
        <f t="shared" si="15"/>
        <v>UH</v>
      </c>
      <c r="C69" s="54">
        <f t="shared" si="11"/>
        <v>16913.123555555558</v>
      </c>
      <c r="D69" s="15">
        <f t="shared" si="14"/>
        <v>254.93333333333337</v>
      </c>
      <c r="E69" s="14">
        <f t="shared" si="14"/>
        <v>4785.5235555555555</v>
      </c>
      <c r="F69" s="14">
        <f t="shared" si="14"/>
        <v>0</v>
      </c>
      <c r="G69" s="16">
        <f t="shared" si="14"/>
        <v>5902.75</v>
      </c>
      <c r="H69" s="15">
        <f t="shared" si="14"/>
        <v>1140.3500000000001</v>
      </c>
      <c r="I69" s="14">
        <f t="shared" si="14"/>
        <v>2845.1666666666665</v>
      </c>
      <c r="J69" s="13">
        <f t="shared" si="14"/>
        <v>1984.4</v>
      </c>
      <c r="K69" s="74"/>
    </row>
    <row r="70" spans="1:11" outlineLevel="1" x14ac:dyDescent="0.2">
      <c r="A70" s="20">
        <f t="shared" si="15"/>
        <v>11711</v>
      </c>
      <c r="B70" s="19" t="str">
        <f t="shared" si="15"/>
        <v>UHCL</v>
      </c>
      <c r="C70" s="54">
        <f t="shared" si="11"/>
        <v>3397.5000138550172</v>
      </c>
      <c r="D70" s="15">
        <f t="shared" si="14"/>
        <v>119.06666666666668</v>
      </c>
      <c r="E70" s="14">
        <f t="shared" si="14"/>
        <v>1083.8496888782297</v>
      </c>
      <c r="F70" s="14">
        <f t="shared" si="14"/>
        <v>49.616991643454043</v>
      </c>
      <c r="G70" s="16">
        <f t="shared" si="14"/>
        <v>1355.0833333333335</v>
      </c>
      <c r="H70" s="15">
        <f t="shared" si="14"/>
        <v>313.05</v>
      </c>
      <c r="I70" s="14">
        <f t="shared" si="14"/>
        <v>476.83333333333331</v>
      </c>
      <c r="J70" s="13">
        <f t="shared" si="14"/>
        <v>0</v>
      </c>
      <c r="K70" s="74"/>
    </row>
    <row r="71" spans="1:11" outlineLevel="1" x14ac:dyDescent="0.2">
      <c r="A71" s="20">
        <f t="shared" si="15"/>
        <v>12826</v>
      </c>
      <c r="B71" s="19" t="str">
        <f t="shared" si="15"/>
        <v>UHD</v>
      </c>
      <c r="C71" s="54">
        <f t="shared" si="11"/>
        <v>5877.3171666666667</v>
      </c>
      <c r="D71" s="15">
        <f t="shared" si="14"/>
        <v>119.11666666666667</v>
      </c>
      <c r="E71" s="14">
        <f t="shared" si="14"/>
        <v>475.27550000000008</v>
      </c>
      <c r="F71" s="14">
        <f t="shared" si="14"/>
        <v>0</v>
      </c>
      <c r="G71" s="16">
        <f t="shared" si="14"/>
        <v>2941.75</v>
      </c>
      <c r="H71" s="15">
        <f t="shared" si="14"/>
        <v>931.6</v>
      </c>
      <c r="I71" s="14">
        <f t="shared" si="14"/>
        <v>1167.7083333333333</v>
      </c>
      <c r="J71" s="13">
        <f t="shared" si="14"/>
        <v>241.86666666666667</v>
      </c>
      <c r="K71" s="74"/>
    </row>
    <row r="72" spans="1:11" outlineLevel="1" x14ac:dyDescent="0.2">
      <c r="A72" s="20">
        <f t="shared" si="15"/>
        <v>13231</v>
      </c>
      <c r="B72" s="19" t="str">
        <f t="shared" si="15"/>
        <v>UHV</v>
      </c>
      <c r="C72" s="54">
        <f t="shared" si="11"/>
        <v>1665.3761599813934</v>
      </c>
      <c r="D72" s="15">
        <f t="shared" si="14"/>
        <v>28.833333333333332</v>
      </c>
      <c r="E72" s="14">
        <f t="shared" si="14"/>
        <v>525.3420599680062</v>
      </c>
      <c r="F72" s="14">
        <f t="shared" si="14"/>
        <v>150.31743334672061</v>
      </c>
      <c r="G72" s="16">
        <f t="shared" si="14"/>
        <v>672</v>
      </c>
      <c r="H72" s="15">
        <f t="shared" si="14"/>
        <v>214.8</v>
      </c>
      <c r="I72" s="14">
        <f t="shared" si="14"/>
        <v>74.083333333333329</v>
      </c>
      <c r="J72" s="13">
        <f t="shared" si="14"/>
        <v>0</v>
      </c>
      <c r="K72" s="74"/>
    </row>
    <row r="73" spans="1:11" outlineLevel="1" x14ac:dyDescent="0.2">
      <c r="A73" s="20">
        <f t="shared" si="15"/>
        <v>3592</v>
      </c>
      <c r="B73" s="19" t="str">
        <f t="shared" si="15"/>
        <v>Midwestern</v>
      </c>
      <c r="C73" s="54">
        <f t="shared" si="11"/>
        <v>3204.5297222222225</v>
      </c>
      <c r="D73" s="15">
        <f t="shared" si="14"/>
        <v>51.583333333333343</v>
      </c>
      <c r="E73" s="14">
        <f t="shared" si="14"/>
        <v>793.17972222222215</v>
      </c>
      <c r="F73" s="14">
        <f t="shared" si="14"/>
        <v>0</v>
      </c>
      <c r="G73" s="16">
        <f t="shared" si="14"/>
        <v>1208.0833333333335</v>
      </c>
      <c r="H73" s="15">
        <f t="shared" si="14"/>
        <v>215.70000000000002</v>
      </c>
      <c r="I73" s="14">
        <f t="shared" si="14"/>
        <v>392.25</v>
      </c>
      <c r="J73" s="13">
        <f t="shared" si="14"/>
        <v>543.73333333333335</v>
      </c>
      <c r="K73" s="74"/>
    </row>
    <row r="74" spans="1:11" outlineLevel="1" x14ac:dyDescent="0.2">
      <c r="A74" s="20">
        <f t="shared" si="15"/>
        <v>3594</v>
      </c>
      <c r="B74" s="19" t="str">
        <f t="shared" si="15"/>
        <v>UNT</v>
      </c>
      <c r="C74" s="54">
        <f t="shared" si="11"/>
        <v>19057.209722222226</v>
      </c>
      <c r="D74" s="15">
        <f t="shared" si="14"/>
        <v>300.83333333333337</v>
      </c>
      <c r="E74" s="14">
        <f t="shared" si="14"/>
        <v>6068.3097222222223</v>
      </c>
      <c r="F74" s="14">
        <f t="shared" si="14"/>
        <v>0</v>
      </c>
      <c r="G74" s="16">
        <f t="shared" si="14"/>
        <v>6685</v>
      </c>
      <c r="H74" s="15">
        <f t="shared" si="14"/>
        <v>1179.7</v>
      </c>
      <c r="I74" s="14">
        <f t="shared" si="14"/>
        <v>2821.1666666666665</v>
      </c>
      <c r="J74" s="13">
        <f t="shared" si="14"/>
        <v>2002.1999999999998</v>
      </c>
      <c r="K74" s="74"/>
    </row>
    <row r="75" spans="1:11" outlineLevel="1" x14ac:dyDescent="0.2">
      <c r="A75" s="27">
        <f t="shared" si="15"/>
        <v>113594</v>
      </c>
      <c r="B75" s="19" t="str">
        <f t="shared" si="15"/>
        <v>UNTD</v>
      </c>
      <c r="C75" s="54">
        <f t="shared" si="11"/>
        <v>1317.7360178269448</v>
      </c>
      <c r="D75" s="15">
        <f t="shared" ref="D75:J85" si="16">D117*D204</f>
        <v>40.35</v>
      </c>
      <c r="E75" s="14">
        <f t="shared" si="16"/>
        <v>407.78718750000002</v>
      </c>
      <c r="F75" s="14">
        <f t="shared" si="16"/>
        <v>213.23633032694477</v>
      </c>
      <c r="G75" s="16">
        <f t="shared" si="16"/>
        <v>539.875</v>
      </c>
      <c r="H75" s="15">
        <f t="shared" si="16"/>
        <v>107.55</v>
      </c>
      <c r="I75" s="14">
        <f t="shared" si="16"/>
        <v>8.9375</v>
      </c>
      <c r="J75" s="13">
        <f t="shared" si="16"/>
        <v>0</v>
      </c>
      <c r="K75" s="74"/>
    </row>
    <row r="76" spans="1:11" outlineLevel="1" x14ac:dyDescent="0.2">
      <c r="A76" s="20">
        <f t="shared" si="15"/>
        <v>3624</v>
      </c>
      <c r="B76" s="19" t="str">
        <f t="shared" si="15"/>
        <v>SFA</v>
      </c>
      <c r="C76" s="54">
        <f t="shared" si="11"/>
        <v>6826.1141666666663</v>
      </c>
      <c r="D76" s="15">
        <f t="shared" si="16"/>
        <v>96.083333333333343</v>
      </c>
      <c r="E76" s="14">
        <f t="shared" si="16"/>
        <v>1863.0558333333331</v>
      </c>
      <c r="F76" s="14">
        <f t="shared" si="16"/>
        <v>0</v>
      </c>
      <c r="G76" s="16">
        <f t="shared" si="16"/>
        <v>2555.583333333333</v>
      </c>
      <c r="H76" s="15">
        <f t="shared" si="16"/>
        <v>415.40000000000003</v>
      </c>
      <c r="I76" s="14">
        <f t="shared" si="16"/>
        <v>778.125</v>
      </c>
      <c r="J76" s="13">
        <f t="shared" si="16"/>
        <v>1117.8666666666666</v>
      </c>
      <c r="K76" s="74"/>
    </row>
    <row r="77" spans="1:11" outlineLevel="1" x14ac:dyDescent="0.2">
      <c r="A77" s="20">
        <f t="shared" si="15"/>
        <v>3642</v>
      </c>
      <c r="B77" s="19" t="str">
        <f t="shared" si="15"/>
        <v>TSU</v>
      </c>
      <c r="C77" s="54">
        <f t="shared" si="11"/>
        <v>3063.8297222222222</v>
      </c>
      <c r="D77" s="15">
        <f t="shared" si="16"/>
        <v>37.916666666666671</v>
      </c>
      <c r="E77" s="14">
        <f t="shared" si="16"/>
        <v>76.263055555555553</v>
      </c>
      <c r="F77" s="14">
        <f t="shared" si="16"/>
        <v>0</v>
      </c>
      <c r="G77" s="16">
        <f t="shared" si="16"/>
        <v>1166.0833333333335</v>
      </c>
      <c r="H77" s="15">
        <f t="shared" si="16"/>
        <v>368.4</v>
      </c>
      <c r="I77" s="14">
        <f t="shared" si="16"/>
        <v>566.5</v>
      </c>
      <c r="J77" s="13">
        <f t="shared" si="16"/>
        <v>848.66666666666663</v>
      </c>
      <c r="K77" s="74"/>
    </row>
    <row r="78" spans="1:11" outlineLevel="1" x14ac:dyDescent="0.2">
      <c r="A78" s="20">
        <f t="shared" si="15"/>
        <v>3644</v>
      </c>
      <c r="B78" s="19" t="str">
        <f t="shared" si="15"/>
        <v>TTU</v>
      </c>
      <c r="C78" s="54">
        <f t="shared" si="11"/>
        <v>17191.302333333333</v>
      </c>
      <c r="D78" s="15">
        <f t="shared" si="16"/>
        <v>233.70000000000002</v>
      </c>
      <c r="E78" s="14">
        <f t="shared" si="16"/>
        <v>5987.3939999999993</v>
      </c>
      <c r="F78" s="14">
        <f t="shared" si="16"/>
        <v>0</v>
      </c>
      <c r="G78" s="16">
        <f t="shared" si="16"/>
        <v>4861.5</v>
      </c>
      <c r="H78" s="15">
        <f t="shared" si="16"/>
        <v>972.80000000000007</v>
      </c>
      <c r="I78" s="14">
        <f t="shared" si="16"/>
        <v>1979.3749999999998</v>
      </c>
      <c r="J78" s="13">
        <f t="shared" si="16"/>
        <v>3156.5333333333333</v>
      </c>
      <c r="K78" s="74"/>
    </row>
    <row r="79" spans="1:11" outlineLevel="1" x14ac:dyDescent="0.2">
      <c r="A79" s="20">
        <f t="shared" si="15"/>
        <v>3541</v>
      </c>
      <c r="B79" s="19" t="str">
        <f t="shared" si="15"/>
        <v>Angelo</v>
      </c>
      <c r="C79" s="54">
        <f t="shared" si="11"/>
        <v>3229.7750555555558</v>
      </c>
      <c r="D79" s="15">
        <f t="shared" si="16"/>
        <v>49.56666666666667</v>
      </c>
      <c r="E79" s="14">
        <f t="shared" si="16"/>
        <v>745.40005555555558</v>
      </c>
      <c r="F79" s="14">
        <f t="shared" si="16"/>
        <v>0</v>
      </c>
      <c r="G79" s="16">
        <f t="shared" si="16"/>
        <v>1265.25</v>
      </c>
      <c r="H79" s="15">
        <f t="shared" si="16"/>
        <v>215.8</v>
      </c>
      <c r="I79" s="14">
        <f t="shared" si="16"/>
        <v>387.62500000000006</v>
      </c>
      <c r="J79" s="13">
        <f t="shared" si="16"/>
        <v>566.13333333333333</v>
      </c>
      <c r="K79" s="74"/>
    </row>
    <row r="80" spans="1:11" outlineLevel="1" x14ac:dyDescent="0.2">
      <c r="A80" s="20">
        <f t="shared" ref="A80:B85" si="17">A37</f>
        <v>3646</v>
      </c>
      <c r="B80" s="19" t="str">
        <f t="shared" si="17"/>
        <v>TWU</v>
      </c>
      <c r="C80" s="54">
        <f t="shared" si="11"/>
        <v>5334.890166666667</v>
      </c>
      <c r="D80" s="15">
        <f t="shared" si="16"/>
        <v>90.300000000000011</v>
      </c>
      <c r="E80" s="14">
        <f t="shared" si="16"/>
        <v>1655.0485000000001</v>
      </c>
      <c r="F80" s="14">
        <f t="shared" si="16"/>
        <v>0</v>
      </c>
      <c r="G80" s="16">
        <f t="shared" si="16"/>
        <v>2182.25</v>
      </c>
      <c r="H80" s="15">
        <f t="shared" si="16"/>
        <v>658.80000000000007</v>
      </c>
      <c r="I80" s="14">
        <f t="shared" si="16"/>
        <v>484.62499999999994</v>
      </c>
      <c r="J80" s="13">
        <f t="shared" si="16"/>
        <v>263.86666666666667</v>
      </c>
      <c r="K80" s="74"/>
    </row>
    <row r="81" spans="1:11" outlineLevel="1" x14ac:dyDescent="0.2">
      <c r="A81" s="20">
        <f t="shared" si="17"/>
        <v>3581</v>
      </c>
      <c r="B81" s="19" t="str">
        <f t="shared" si="17"/>
        <v>Lamar</v>
      </c>
      <c r="C81" s="54">
        <f t="shared" si="11"/>
        <v>4295.3356999999996</v>
      </c>
      <c r="D81" s="15">
        <f t="shared" si="16"/>
        <v>66.766666666666666</v>
      </c>
      <c r="E81" s="14">
        <f t="shared" si="16"/>
        <v>491.20236666666659</v>
      </c>
      <c r="F81" s="14">
        <f t="shared" si="16"/>
        <v>0</v>
      </c>
      <c r="G81" s="16">
        <f t="shared" si="16"/>
        <v>1660.1666666666665</v>
      </c>
      <c r="H81" s="15">
        <f t="shared" si="16"/>
        <v>321.70000000000005</v>
      </c>
      <c r="I81" s="14">
        <f t="shared" si="16"/>
        <v>744.5</v>
      </c>
      <c r="J81" s="13">
        <f t="shared" si="16"/>
        <v>1011</v>
      </c>
      <c r="K81" s="74"/>
    </row>
    <row r="82" spans="1:11" outlineLevel="1" x14ac:dyDescent="0.2">
      <c r="A82" s="20">
        <f t="shared" si="17"/>
        <v>3606</v>
      </c>
      <c r="B82" s="19" t="str">
        <f t="shared" si="17"/>
        <v>SHSU</v>
      </c>
      <c r="C82" s="54">
        <f t="shared" si="11"/>
        <v>10312.354444444445</v>
      </c>
      <c r="D82" s="15">
        <f t="shared" si="16"/>
        <v>153.88333333333333</v>
      </c>
      <c r="E82" s="14">
        <f t="shared" si="16"/>
        <v>3159.7377777777779</v>
      </c>
      <c r="F82" s="14">
        <f t="shared" si="16"/>
        <v>0</v>
      </c>
      <c r="G82" s="16">
        <f t="shared" si="16"/>
        <v>3873.9166666666665</v>
      </c>
      <c r="H82" s="15">
        <f t="shared" si="16"/>
        <v>584.15</v>
      </c>
      <c r="I82" s="14">
        <f t="shared" si="16"/>
        <v>1482.666666666667</v>
      </c>
      <c r="J82" s="13">
        <f t="shared" si="16"/>
        <v>1058</v>
      </c>
      <c r="K82" s="74"/>
    </row>
    <row r="83" spans="1:11" outlineLevel="1" x14ac:dyDescent="0.2">
      <c r="A83" s="20">
        <f t="shared" si="17"/>
        <v>3615</v>
      </c>
      <c r="B83" s="19" t="str">
        <f t="shared" si="17"/>
        <v>TXST</v>
      </c>
      <c r="C83" s="54">
        <f t="shared" si="11"/>
        <v>18538.981083333336</v>
      </c>
      <c r="D83" s="15">
        <f t="shared" si="16"/>
        <v>268.05</v>
      </c>
      <c r="E83" s="14">
        <f t="shared" si="16"/>
        <v>5938.6477500000001</v>
      </c>
      <c r="F83" s="14">
        <f t="shared" si="16"/>
        <v>0</v>
      </c>
      <c r="G83" s="16">
        <f t="shared" si="16"/>
        <v>6431.8333333333339</v>
      </c>
      <c r="H83" s="15">
        <f t="shared" si="16"/>
        <v>1120.55</v>
      </c>
      <c r="I83" s="14">
        <f t="shared" si="16"/>
        <v>2789.5</v>
      </c>
      <c r="J83" s="13">
        <f t="shared" si="16"/>
        <v>1990.4</v>
      </c>
      <c r="K83" s="74"/>
    </row>
    <row r="84" spans="1:11" outlineLevel="1" x14ac:dyDescent="0.2">
      <c r="A84" s="20">
        <f t="shared" si="17"/>
        <v>3625</v>
      </c>
      <c r="B84" s="19" t="str">
        <f t="shared" si="17"/>
        <v>SRSU</v>
      </c>
      <c r="C84" s="54">
        <f t="shared" si="11"/>
        <v>640.54108709373838</v>
      </c>
      <c r="D84" s="15">
        <f t="shared" si="16"/>
        <v>0</v>
      </c>
      <c r="E84" s="14">
        <f t="shared" si="16"/>
        <v>39.89253333333334</v>
      </c>
      <c r="F84" s="14">
        <f t="shared" si="16"/>
        <v>19.398553760405097</v>
      </c>
      <c r="G84" s="16">
        <f t="shared" si="16"/>
        <v>285.25</v>
      </c>
      <c r="H84" s="15">
        <f t="shared" si="16"/>
        <v>67.5</v>
      </c>
      <c r="I84" s="14">
        <f t="shared" si="16"/>
        <v>96.833333333333329</v>
      </c>
      <c r="J84" s="13">
        <f t="shared" si="16"/>
        <v>131.66666666666666</v>
      </c>
      <c r="K84" s="74"/>
    </row>
    <row r="85" spans="1:11" outlineLevel="1" x14ac:dyDescent="0.2">
      <c r="A85" s="20">
        <f t="shared" si="17"/>
        <v>20</v>
      </c>
      <c r="B85" s="19" t="str">
        <f t="shared" si="17"/>
        <v>SRRG</v>
      </c>
      <c r="C85" s="54">
        <f t="shared" si="11"/>
        <v>635.63991895338347</v>
      </c>
      <c r="D85" s="15">
        <f t="shared" si="16"/>
        <v>8.0833333333333339</v>
      </c>
      <c r="E85" s="14">
        <f t="shared" si="16"/>
        <v>71.912367265672856</v>
      </c>
      <c r="F85" s="14">
        <f t="shared" si="16"/>
        <v>228.72755168771067</v>
      </c>
      <c r="G85" s="16">
        <f t="shared" si="16"/>
        <v>252</v>
      </c>
      <c r="H85" s="15">
        <f t="shared" si="16"/>
        <v>51.75</v>
      </c>
      <c r="I85" s="14">
        <f t="shared" si="16"/>
        <v>23.166666666666671</v>
      </c>
      <c r="J85" s="13">
        <f t="shared" si="16"/>
        <v>0</v>
      </c>
      <c r="K85" s="74"/>
    </row>
    <row r="86" spans="1:11" ht="13.5" outlineLevel="1" thickBot="1" x14ac:dyDescent="0.25">
      <c r="A86" s="12"/>
      <c r="B86" s="11" t="s">
        <v>11</v>
      </c>
      <c r="C86" s="53">
        <f t="shared" ref="C86:J86" si="18">SUM(C48:C85)</f>
        <v>278581.21835356357</v>
      </c>
      <c r="D86" s="9">
        <f t="shared" si="18"/>
        <v>4352.6000000000004</v>
      </c>
      <c r="E86" s="7">
        <f t="shared" si="18"/>
        <v>84046.056236522199</v>
      </c>
      <c r="F86" s="7">
        <f t="shared" si="18"/>
        <v>1536.278783708053</v>
      </c>
      <c r="G86" s="6">
        <f t="shared" si="18"/>
        <v>92901.608333333337</v>
      </c>
      <c r="H86" s="5">
        <f t="shared" si="18"/>
        <v>20773.962499999998</v>
      </c>
      <c r="I86" s="4">
        <f t="shared" si="18"/>
        <v>36855.979166666664</v>
      </c>
      <c r="J86" s="3">
        <f t="shared" si="18"/>
        <v>38114.733333333337</v>
      </c>
    </row>
    <row r="87" spans="1:11" ht="13.5" thickBot="1" x14ac:dyDescent="0.25">
      <c r="A87" s="56" t="s">
        <v>28</v>
      </c>
    </row>
    <row r="88" spans="1:11" ht="12.75" customHeight="1" outlineLevel="1" x14ac:dyDescent="0.2">
      <c r="A88" s="184" t="s">
        <v>22</v>
      </c>
      <c r="B88" s="186" t="s">
        <v>21</v>
      </c>
      <c r="C88" s="188" t="s">
        <v>75</v>
      </c>
      <c r="D88" s="173" t="s">
        <v>33</v>
      </c>
      <c r="E88" s="174"/>
      <c r="F88" s="174"/>
      <c r="G88" s="176" t="s">
        <v>16</v>
      </c>
      <c r="H88" s="178" t="s">
        <v>32</v>
      </c>
      <c r="I88" s="179"/>
      <c r="J88" s="180"/>
      <c r="K88" s="191"/>
    </row>
    <row r="89" spans="1:11" ht="51.75" outlineLevel="1" thickBot="1" x14ac:dyDescent="0.25">
      <c r="A89" s="185"/>
      <c r="B89" s="187"/>
      <c r="C89" s="189"/>
      <c r="D89" s="120"/>
      <c r="E89" s="121" t="s">
        <v>31</v>
      </c>
      <c r="F89" s="121" t="s">
        <v>30</v>
      </c>
      <c r="G89" s="177"/>
      <c r="H89" s="122" t="s">
        <v>14</v>
      </c>
      <c r="I89" s="123" t="s">
        <v>13</v>
      </c>
      <c r="J89" s="138" t="s">
        <v>12</v>
      </c>
      <c r="K89" s="191"/>
    </row>
    <row r="90" spans="1:11" outlineLevel="1" x14ac:dyDescent="0.2">
      <c r="A90" s="20">
        <f t="shared" ref="A90:B105" si="19">A5</f>
        <v>3656</v>
      </c>
      <c r="B90" s="19" t="str">
        <f t="shared" si="19"/>
        <v>UTA</v>
      </c>
      <c r="C90" s="117">
        <f t="shared" ref="C90:C127" si="20">SUM(D90:J90)</f>
        <v>1</v>
      </c>
      <c r="D90" s="81">
        <f t="shared" ref="D90:J99" si="21">HLOOKUP(D131,$D$170:$J$171,2,0)</f>
        <v>0.05</v>
      </c>
      <c r="E90" s="81">
        <f t="shared" si="21"/>
        <v>0.25</v>
      </c>
      <c r="F90" s="81">
        <f t="shared" si="21"/>
        <v>0</v>
      </c>
      <c r="G90" s="81">
        <f t="shared" si="21"/>
        <v>0.25</v>
      </c>
      <c r="H90" s="81">
        <f t="shared" si="21"/>
        <v>0.2</v>
      </c>
      <c r="I90" s="81">
        <f t="shared" si="21"/>
        <v>0.15</v>
      </c>
      <c r="J90" s="82">
        <f t="shared" si="21"/>
        <v>0.1</v>
      </c>
      <c r="K90" s="125"/>
    </row>
    <row r="91" spans="1:11" outlineLevel="1" x14ac:dyDescent="0.2">
      <c r="A91" s="20">
        <f t="shared" si="19"/>
        <v>3658</v>
      </c>
      <c r="B91" s="19" t="str">
        <f t="shared" si="19"/>
        <v>UT</v>
      </c>
      <c r="C91" s="117">
        <f t="shared" si="20"/>
        <v>1</v>
      </c>
      <c r="D91" s="81">
        <f t="shared" si="21"/>
        <v>0.05</v>
      </c>
      <c r="E91" s="81">
        <f t="shared" si="21"/>
        <v>0.25</v>
      </c>
      <c r="F91" s="81">
        <f t="shared" si="21"/>
        <v>0</v>
      </c>
      <c r="G91" s="81">
        <f t="shared" si="21"/>
        <v>0.2</v>
      </c>
      <c r="H91" s="81">
        <f t="shared" si="21"/>
        <v>0.1</v>
      </c>
      <c r="I91" s="81">
        <f t="shared" si="21"/>
        <v>0.15</v>
      </c>
      <c r="J91" s="82">
        <f t="shared" si="21"/>
        <v>0.25</v>
      </c>
      <c r="K91" s="74"/>
    </row>
    <row r="92" spans="1:11" outlineLevel="1" x14ac:dyDescent="0.2">
      <c r="A92" s="20">
        <f t="shared" si="19"/>
        <v>9741</v>
      </c>
      <c r="B92" s="19" t="str">
        <f t="shared" si="19"/>
        <v>UTD</v>
      </c>
      <c r="C92" s="117">
        <f t="shared" si="20"/>
        <v>1.0000000000000002</v>
      </c>
      <c r="D92" s="81">
        <f t="shared" si="21"/>
        <v>0.05</v>
      </c>
      <c r="E92" s="81">
        <f t="shared" si="21"/>
        <v>0.25</v>
      </c>
      <c r="F92" s="81">
        <f t="shared" si="21"/>
        <v>0</v>
      </c>
      <c r="G92" s="81">
        <f t="shared" si="21"/>
        <v>0.25</v>
      </c>
      <c r="H92" s="81">
        <f t="shared" si="21"/>
        <v>0.15</v>
      </c>
      <c r="I92" s="81">
        <f t="shared" si="21"/>
        <v>0.2</v>
      </c>
      <c r="J92" s="82">
        <f t="shared" si="21"/>
        <v>0.1</v>
      </c>
      <c r="K92" s="74"/>
    </row>
    <row r="93" spans="1:11" outlineLevel="1" x14ac:dyDescent="0.2">
      <c r="A93" s="20">
        <f t="shared" si="19"/>
        <v>3661</v>
      </c>
      <c r="B93" s="19" t="str">
        <f t="shared" si="19"/>
        <v>UTEP</v>
      </c>
      <c r="C93" s="117">
        <f t="shared" si="20"/>
        <v>1</v>
      </c>
      <c r="D93" s="81">
        <f t="shared" si="21"/>
        <v>0.05</v>
      </c>
      <c r="E93" s="81">
        <f t="shared" si="21"/>
        <v>0.2</v>
      </c>
      <c r="F93" s="81">
        <f t="shared" si="21"/>
        <v>0</v>
      </c>
      <c r="G93" s="81">
        <f t="shared" si="21"/>
        <v>0.25</v>
      </c>
      <c r="H93" s="81">
        <f t="shared" si="21"/>
        <v>0.1</v>
      </c>
      <c r="I93" s="81">
        <f t="shared" si="21"/>
        <v>0.25</v>
      </c>
      <c r="J93" s="82">
        <f t="shared" si="21"/>
        <v>0.15</v>
      </c>
      <c r="K93" s="74"/>
    </row>
    <row r="94" spans="1:11" outlineLevel="1" x14ac:dyDescent="0.2">
      <c r="A94" s="20">
        <f t="shared" si="19"/>
        <v>3599</v>
      </c>
      <c r="B94" s="19" t="str">
        <f t="shared" si="19"/>
        <v>UTPA</v>
      </c>
      <c r="C94" s="117">
        <f t="shared" si="20"/>
        <v>1</v>
      </c>
      <c r="D94" s="81">
        <f t="shared" si="21"/>
        <v>0.05</v>
      </c>
      <c r="E94" s="81">
        <f t="shared" si="21"/>
        <v>0.25</v>
      </c>
      <c r="F94" s="81">
        <f t="shared" si="21"/>
        <v>0</v>
      </c>
      <c r="G94" s="81">
        <f t="shared" si="21"/>
        <v>0.25</v>
      </c>
      <c r="H94" s="81">
        <f t="shared" si="21"/>
        <v>0.1</v>
      </c>
      <c r="I94" s="81">
        <f t="shared" si="21"/>
        <v>0.15</v>
      </c>
      <c r="J94" s="82">
        <f t="shared" si="21"/>
        <v>0.2</v>
      </c>
      <c r="K94" s="74"/>
    </row>
    <row r="95" spans="1:11" outlineLevel="1" x14ac:dyDescent="0.2">
      <c r="A95" s="20">
        <f t="shared" si="19"/>
        <v>30646</v>
      </c>
      <c r="B95" s="19" t="str">
        <f t="shared" si="19"/>
        <v>UTB</v>
      </c>
      <c r="C95" s="117">
        <f t="shared" si="20"/>
        <v>0.99999999999999989</v>
      </c>
      <c r="D95" s="81">
        <f t="shared" si="21"/>
        <v>0.1</v>
      </c>
      <c r="E95" s="81">
        <f t="shared" si="21"/>
        <v>0.25</v>
      </c>
      <c r="F95" s="81">
        <f t="shared" si="21"/>
        <v>0.05</v>
      </c>
      <c r="G95" s="81">
        <f t="shared" si="21"/>
        <v>0.25</v>
      </c>
      <c r="H95" s="81">
        <f t="shared" si="21"/>
        <v>0.2</v>
      </c>
      <c r="I95" s="81">
        <f t="shared" si="21"/>
        <v>0.15</v>
      </c>
      <c r="J95" s="82">
        <f t="shared" si="21"/>
        <v>0</v>
      </c>
      <c r="K95" s="74"/>
    </row>
    <row r="96" spans="1:11" outlineLevel="1" x14ac:dyDescent="0.2">
      <c r="A96" s="20">
        <f t="shared" si="19"/>
        <v>9930</v>
      </c>
      <c r="B96" s="19" t="str">
        <f t="shared" si="19"/>
        <v>UTPB</v>
      </c>
      <c r="C96" s="117">
        <f t="shared" si="20"/>
        <v>1.0000000000000002</v>
      </c>
      <c r="D96" s="81">
        <f t="shared" si="21"/>
        <v>0</v>
      </c>
      <c r="E96" s="81">
        <f t="shared" si="21"/>
        <v>0.25</v>
      </c>
      <c r="F96" s="81">
        <f t="shared" si="21"/>
        <v>0.05</v>
      </c>
      <c r="G96" s="81">
        <f t="shared" si="21"/>
        <v>0.25</v>
      </c>
      <c r="H96" s="81">
        <f t="shared" si="21"/>
        <v>0.15</v>
      </c>
      <c r="I96" s="81">
        <f t="shared" si="21"/>
        <v>0.2</v>
      </c>
      <c r="J96" s="82">
        <f t="shared" si="21"/>
        <v>0.1</v>
      </c>
      <c r="K96" s="74"/>
    </row>
    <row r="97" spans="1:11" outlineLevel="1" x14ac:dyDescent="0.2">
      <c r="A97" s="20">
        <f t="shared" si="19"/>
        <v>10115</v>
      </c>
      <c r="B97" s="19" t="str">
        <f t="shared" si="19"/>
        <v>UTSA</v>
      </c>
      <c r="C97" s="117">
        <f t="shared" si="20"/>
        <v>1</v>
      </c>
      <c r="D97" s="81">
        <f t="shared" si="21"/>
        <v>0.05</v>
      </c>
      <c r="E97" s="81">
        <f t="shared" si="21"/>
        <v>0.25</v>
      </c>
      <c r="F97" s="81">
        <f t="shared" si="21"/>
        <v>0</v>
      </c>
      <c r="G97" s="81">
        <f t="shared" si="21"/>
        <v>0.25</v>
      </c>
      <c r="H97" s="81">
        <f t="shared" si="21"/>
        <v>0.1</v>
      </c>
      <c r="I97" s="81">
        <f t="shared" si="21"/>
        <v>0.2</v>
      </c>
      <c r="J97" s="82">
        <f t="shared" si="21"/>
        <v>0.15</v>
      </c>
      <c r="K97" s="74"/>
    </row>
    <row r="98" spans="1:11" outlineLevel="1" x14ac:dyDescent="0.2">
      <c r="A98" s="20">
        <f t="shared" si="19"/>
        <v>11163</v>
      </c>
      <c r="B98" s="19" t="str">
        <f t="shared" si="19"/>
        <v>UTT</v>
      </c>
      <c r="C98" s="117">
        <f t="shared" si="20"/>
        <v>1.0000000000000002</v>
      </c>
      <c r="D98" s="81">
        <f t="shared" si="21"/>
        <v>0.05</v>
      </c>
      <c r="E98" s="81">
        <f t="shared" si="21"/>
        <v>0.25</v>
      </c>
      <c r="F98" s="81">
        <f t="shared" si="21"/>
        <v>0</v>
      </c>
      <c r="G98" s="81">
        <f t="shared" si="21"/>
        <v>0.25</v>
      </c>
      <c r="H98" s="81">
        <f t="shared" si="21"/>
        <v>0.15</v>
      </c>
      <c r="I98" s="81">
        <f t="shared" si="21"/>
        <v>0.2</v>
      </c>
      <c r="J98" s="82">
        <f t="shared" si="21"/>
        <v>0.1</v>
      </c>
      <c r="K98" s="74"/>
    </row>
    <row r="99" spans="1:11" outlineLevel="1" x14ac:dyDescent="0.2">
      <c r="A99" s="20">
        <f t="shared" si="19"/>
        <v>3632</v>
      </c>
      <c r="B99" s="19" t="str">
        <f t="shared" si="19"/>
        <v>TAMU</v>
      </c>
      <c r="C99" s="117">
        <f t="shared" si="20"/>
        <v>1</v>
      </c>
      <c r="D99" s="81">
        <f t="shared" si="21"/>
        <v>0.05</v>
      </c>
      <c r="E99" s="81">
        <f t="shared" si="21"/>
        <v>0.25</v>
      </c>
      <c r="F99" s="81">
        <f t="shared" si="21"/>
        <v>0</v>
      </c>
      <c r="G99" s="81">
        <f t="shared" si="21"/>
        <v>0.2</v>
      </c>
      <c r="H99" s="81">
        <f t="shared" si="21"/>
        <v>0.1</v>
      </c>
      <c r="I99" s="81">
        <f t="shared" si="21"/>
        <v>0.15</v>
      </c>
      <c r="J99" s="82">
        <f t="shared" si="21"/>
        <v>0.25</v>
      </c>
      <c r="K99" s="74"/>
    </row>
    <row r="100" spans="1:11" outlineLevel="1" x14ac:dyDescent="0.2">
      <c r="A100" s="20">
        <f t="shared" si="19"/>
        <v>10298</v>
      </c>
      <c r="B100" s="19" t="str">
        <f t="shared" si="19"/>
        <v>TAMUG</v>
      </c>
      <c r="C100" s="117">
        <f t="shared" si="20"/>
        <v>1</v>
      </c>
      <c r="D100" s="81">
        <f t="shared" ref="D100:J109" si="22">HLOOKUP(D141,$D$170:$J$171,2,0)</f>
        <v>0</v>
      </c>
      <c r="E100" s="81">
        <f t="shared" si="22"/>
        <v>0.25</v>
      </c>
      <c r="F100" s="81">
        <f t="shared" si="22"/>
        <v>0.05</v>
      </c>
      <c r="G100" s="81">
        <f t="shared" si="22"/>
        <v>0.25</v>
      </c>
      <c r="H100" s="81">
        <f t="shared" si="22"/>
        <v>0.15</v>
      </c>
      <c r="I100" s="81">
        <f t="shared" si="22"/>
        <v>0.1</v>
      </c>
      <c r="J100" s="82">
        <f t="shared" si="22"/>
        <v>0.2</v>
      </c>
      <c r="K100" s="74"/>
    </row>
    <row r="101" spans="1:11" outlineLevel="1" x14ac:dyDescent="0.2">
      <c r="A101" s="20">
        <f t="shared" si="19"/>
        <v>3630</v>
      </c>
      <c r="B101" s="19" t="str">
        <f t="shared" si="19"/>
        <v>Prairie View</v>
      </c>
      <c r="C101" s="117">
        <f t="shared" si="20"/>
        <v>1</v>
      </c>
      <c r="D101" s="81">
        <f t="shared" si="22"/>
        <v>0.05</v>
      </c>
      <c r="E101" s="81">
        <f t="shared" si="22"/>
        <v>0.1</v>
      </c>
      <c r="F101" s="81">
        <f t="shared" si="22"/>
        <v>0</v>
      </c>
      <c r="G101" s="81">
        <f t="shared" si="22"/>
        <v>0.25</v>
      </c>
      <c r="H101" s="81">
        <f t="shared" si="22"/>
        <v>0.15</v>
      </c>
      <c r="I101" s="81">
        <f t="shared" si="22"/>
        <v>0.2</v>
      </c>
      <c r="J101" s="82">
        <f t="shared" si="22"/>
        <v>0.25</v>
      </c>
      <c r="K101" s="74"/>
    </row>
    <row r="102" spans="1:11" outlineLevel="1" x14ac:dyDescent="0.2">
      <c r="A102" s="20">
        <f t="shared" si="19"/>
        <v>3631</v>
      </c>
      <c r="B102" s="19" t="str">
        <f t="shared" si="19"/>
        <v>Tarleton</v>
      </c>
      <c r="C102" s="117">
        <f t="shared" si="20"/>
        <v>1</v>
      </c>
      <c r="D102" s="81">
        <f t="shared" si="22"/>
        <v>0.05</v>
      </c>
      <c r="E102" s="81">
        <f t="shared" si="22"/>
        <v>0.25</v>
      </c>
      <c r="F102" s="81">
        <f t="shared" si="22"/>
        <v>0</v>
      </c>
      <c r="G102" s="81">
        <f t="shared" si="22"/>
        <v>0.25</v>
      </c>
      <c r="H102" s="81">
        <f t="shared" si="22"/>
        <v>0.1</v>
      </c>
      <c r="I102" s="81">
        <f t="shared" si="22"/>
        <v>0.15</v>
      </c>
      <c r="J102" s="82">
        <f t="shared" si="22"/>
        <v>0.2</v>
      </c>
      <c r="K102" s="74"/>
    </row>
    <row r="103" spans="1:11" outlineLevel="1" x14ac:dyDescent="0.2">
      <c r="A103" s="27">
        <f t="shared" si="19"/>
        <v>103631</v>
      </c>
      <c r="B103" s="19" t="str">
        <f t="shared" si="19"/>
        <v>TAMUCT</v>
      </c>
      <c r="C103" s="117">
        <f t="shared" si="20"/>
        <v>1</v>
      </c>
      <c r="D103" s="81">
        <f t="shared" si="22"/>
        <v>0.1</v>
      </c>
      <c r="E103" s="81">
        <f t="shared" si="22"/>
        <v>0.2</v>
      </c>
      <c r="F103" s="81">
        <f t="shared" si="22"/>
        <v>0.25</v>
      </c>
      <c r="G103" s="81">
        <f t="shared" si="22"/>
        <v>0.25</v>
      </c>
      <c r="H103" s="81">
        <f t="shared" si="22"/>
        <v>0.15</v>
      </c>
      <c r="I103" s="81">
        <f t="shared" si="22"/>
        <v>0.05</v>
      </c>
      <c r="J103" s="82">
        <f t="shared" si="22"/>
        <v>0</v>
      </c>
      <c r="K103" s="74"/>
    </row>
    <row r="104" spans="1:11" outlineLevel="1" x14ac:dyDescent="0.2">
      <c r="A104" s="20">
        <f t="shared" si="19"/>
        <v>11161</v>
      </c>
      <c r="B104" s="19" t="str">
        <f t="shared" si="19"/>
        <v>TAMUCC</v>
      </c>
      <c r="C104" s="117">
        <f t="shared" si="20"/>
        <v>1</v>
      </c>
      <c r="D104" s="81">
        <f t="shared" si="22"/>
        <v>0.05</v>
      </c>
      <c r="E104" s="81">
        <f t="shared" si="22"/>
        <v>0.25</v>
      </c>
      <c r="F104" s="81">
        <f t="shared" si="22"/>
        <v>0</v>
      </c>
      <c r="G104" s="81">
        <f t="shared" si="22"/>
        <v>0.25</v>
      </c>
      <c r="H104" s="81">
        <f t="shared" si="22"/>
        <v>0.1</v>
      </c>
      <c r="I104" s="81">
        <f t="shared" si="22"/>
        <v>0.2</v>
      </c>
      <c r="J104" s="82">
        <f t="shared" si="22"/>
        <v>0.15</v>
      </c>
      <c r="K104" s="74"/>
    </row>
    <row r="105" spans="1:11" outlineLevel="1" x14ac:dyDescent="0.2">
      <c r="A105" s="20">
        <f t="shared" si="19"/>
        <v>3639</v>
      </c>
      <c r="B105" s="19" t="str">
        <f t="shared" si="19"/>
        <v>TAMUK</v>
      </c>
      <c r="C105" s="117">
        <f t="shared" si="20"/>
        <v>1</v>
      </c>
      <c r="D105" s="81">
        <f t="shared" si="22"/>
        <v>0.05</v>
      </c>
      <c r="E105" s="81">
        <f t="shared" si="22"/>
        <v>0.15</v>
      </c>
      <c r="F105" s="81">
        <f t="shared" si="22"/>
        <v>0</v>
      </c>
      <c r="G105" s="81">
        <f t="shared" si="22"/>
        <v>0.25</v>
      </c>
      <c r="H105" s="81">
        <f t="shared" si="22"/>
        <v>0.1</v>
      </c>
      <c r="I105" s="81">
        <f t="shared" si="22"/>
        <v>0.2</v>
      </c>
      <c r="J105" s="82">
        <f t="shared" si="22"/>
        <v>0.25</v>
      </c>
      <c r="K105" s="74"/>
    </row>
    <row r="106" spans="1:11" outlineLevel="1" x14ac:dyDescent="0.2">
      <c r="A106" s="27">
        <f t="shared" ref="A106:B121" si="23">A21</f>
        <v>103639</v>
      </c>
      <c r="B106" s="19" t="str">
        <f t="shared" si="23"/>
        <v>TAMUSA</v>
      </c>
      <c r="C106" s="117">
        <f t="shared" si="20"/>
        <v>1</v>
      </c>
      <c r="D106" s="81">
        <f t="shared" si="22"/>
        <v>0.1</v>
      </c>
      <c r="E106" s="81">
        <f t="shared" si="22"/>
        <v>0.25</v>
      </c>
      <c r="F106" s="81">
        <f t="shared" si="22"/>
        <v>0.15</v>
      </c>
      <c r="G106" s="81">
        <f t="shared" si="22"/>
        <v>0.25</v>
      </c>
      <c r="H106" s="81">
        <f t="shared" si="22"/>
        <v>0.2</v>
      </c>
      <c r="I106" s="81">
        <f t="shared" si="22"/>
        <v>0.05</v>
      </c>
      <c r="J106" s="82">
        <f t="shared" si="22"/>
        <v>0</v>
      </c>
      <c r="K106" s="74"/>
    </row>
    <row r="107" spans="1:11" outlineLevel="1" x14ac:dyDescent="0.2">
      <c r="A107" s="20">
        <f t="shared" si="23"/>
        <v>9651</v>
      </c>
      <c r="B107" s="19" t="str">
        <f t="shared" si="23"/>
        <v>TAMI</v>
      </c>
      <c r="C107" s="117">
        <f t="shared" si="20"/>
        <v>1.0000000000000002</v>
      </c>
      <c r="D107" s="81">
        <f t="shared" si="22"/>
        <v>0.05</v>
      </c>
      <c r="E107" s="81">
        <f t="shared" si="22"/>
        <v>0.25</v>
      </c>
      <c r="F107" s="81">
        <f t="shared" si="22"/>
        <v>0</v>
      </c>
      <c r="G107" s="81">
        <f t="shared" si="22"/>
        <v>0.25</v>
      </c>
      <c r="H107" s="81">
        <f t="shared" si="22"/>
        <v>0.15</v>
      </c>
      <c r="I107" s="81">
        <f t="shared" si="22"/>
        <v>0.2</v>
      </c>
      <c r="J107" s="82">
        <f t="shared" si="22"/>
        <v>0.1</v>
      </c>
      <c r="K107" s="74"/>
    </row>
    <row r="108" spans="1:11" outlineLevel="1" x14ac:dyDescent="0.2">
      <c r="A108" s="20">
        <f t="shared" si="23"/>
        <v>3665</v>
      </c>
      <c r="B108" s="19" t="str">
        <f t="shared" si="23"/>
        <v>WTAMU</v>
      </c>
      <c r="C108" s="117">
        <f t="shared" si="20"/>
        <v>1.0000000000000002</v>
      </c>
      <c r="D108" s="81">
        <f t="shared" si="22"/>
        <v>0.05</v>
      </c>
      <c r="E108" s="81">
        <f t="shared" si="22"/>
        <v>0.25</v>
      </c>
      <c r="F108" s="81">
        <f t="shared" si="22"/>
        <v>0</v>
      </c>
      <c r="G108" s="81">
        <f t="shared" si="22"/>
        <v>0.25</v>
      </c>
      <c r="H108" s="81">
        <f t="shared" si="22"/>
        <v>0.15</v>
      </c>
      <c r="I108" s="81">
        <f t="shared" si="22"/>
        <v>0.2</v>
      </c>
      <c r="J108" s="82">
        <f t="shared" si="22"/>
        <v>0.1</v>
      </c>
      <c r="K108" s="74"/>
    </row>
    <row r="109" spans="1:11" outlineLevel="1" x14ac:dyDescent="0.2">
      <c r="A109" s="20">
        <f t="shared" si="23"/>
        <v>3565</v>
      </c>
      <c r="B109" s="19" t="str">
        <f t="shared" si="23"/>
        <v>TAMUC</v>
      </c>
      <c r="C109" s="117">
        <f t="shared" si="20"/>
        <v>1.0000000000000002</v>
      </c>
      <c r="D109" s="81">
        <f t="shared" si="22"/>
        <v>0.05</v>
      </c>
      <c r="E109" s="81">
        <f t="shared" si="22"/>
        <v>0.25</v>
      </c>
      <c r="F109" s="81">
        <f t="shared" si="22"/>
        <v>0</v>
      </c>
      <c r="G109" s="81">
        <f t="shared" si="22"/>
        <v>0.25</v>
      </c>
      <c r="H109" s="81">
        <f t="shared" si="22"/>
        <v>0.15</v>
      </c>
      <c r="I109" s="81">
        <f t="shared" si="22"/>
        <v>0.2</v>
      </c>
      <c r="J109" s="82">
        <f t="shared" si="22"/>
        <v>0.1</v>
      </c>
      <c r="K109" s="74"/>
    </row>
    <row r="110" spans="1:11" outlineLevel="1" x14ac:dyDescent="0.2">
      <c r="A110" s="20">
        <f t="shared" si="23"/>
        <v>29269</v>
      </c>
      <c r="B110" s="19" t="str">
        <f t="shared" si="23"/>
        <v>TAMUT</v>
      </c>
      <c r="C110" s="117">
        <f t="shared" si="20"/>
        <v>1</v>
      </c>
      <c r="D110" s="81">
        <f t="shared" ref="D110:J119" si="24">HLOOKUP(D151,$D$170:$J$171,2,0)</f>
        <v>0.05</v>
      </c>
      <c r="E110" s="81">
        <f t="shared" si="24"/>
        <v>0.25</v>
      </c>
      <c r="F110" s="81">
        <f t="shared" si="24"/>
        <v>0.2</v>
      </c>
      <c r="G110" s="81">
        <f t="shared" si="24"/>
        <v>0.25</v>
      </c>
      <c r="H110" s="81">
        <f t="shared" si="24"/>
        <v>0.15</v>
      </c>
      <c r="I110" s="81">
        <f t="shared" si="24"/>
        <v>0.1</v>
      </c>
      <c r="J110" s="82">
        <f t="shared" si="24"/>
        <v>0</v>
      </c>
      <c r="K110" s="74"/>
    </row>
    <row r="111" spans="1:11" outlineLevel="1" x14ac:dyDescent="0.2">
      <c r="A111" s="20">
        <f t="shared" si="23"/>
        <v>3652</v>
      </c>
      <c r="B111" s="19" t="str">
        <f t="shared" si="23"/>
        <v>UH</v>
      </c>
      <c r="C111" s="117">
        <f t="shared" si="20"/>
        <v>1</v>
      </c>
      <c r="D111" s="81">
        <f t="shared" si="24"/>
        <v>0.05</v>
      </c>
      <c r="E111" s="81">
        <f t="shared" si="24"/>
        <v>0.25</v>
      </c>
      <c r="F111" s="81">
        <f t="shared" si="24"/>
        <v>0</v>
      </c>
      <c r="G111" s="81">
        <f t="shared" si="24"/>
        <v>0.25</v>
      </c>
      <c r="H111" s="81">
        <f t="shared" si="24"/>
        <v>0.1</v>
      </c>
      <c r="I111" s="81">
        <f t="shared" si="24"/>
        <v>0.2</v>
      </c>
      <c r="J111" s="82">
        <f t="shared" si="24"/>
        <v>0.15</v>
      </c>
      <c r="K111" s="74"/>
    </row>
    <row r="112" spans="1:11" outlineLevel="1" x14ac:dyDescent="0.2">
      <c r="A112" s="20">
        <f t="shared" si="23"/>
        <v>11711</v>
      </c>
      <c r="B112" s="19" t="str">
        <f t="shared" si="23"/>
        <v>UHCL</v>
      </c>
      <c r="C112" s="117">
        <f t="shared" si="20"/>
        <v>1</v>
      </c>
      <c r="D112" s="81">
        <f t="shared" si="24"/>
        <v>0.1</v>
      </c>
      <c r="E112" s="81">
        <f t="shared" si="24"/>
        <v>0.25</v>
      </c>
      <c r="F112" s="81">
        <f t="shared" si="24"/>
        <v>0.05</v>
      </c>
      <c r="G112" s="81">
        <f t="shared" si="24"/>
        <v>0.25</v>
      </c>
      <c r="H112" s="81">
        <f t="shared" si="24"/>
        <v>0.15</v>
      </c>
      <c r="I112" s="81">
        <f t="shared" si="24"/>
        <v>0.2</v>
      </c>
      <c r="J112" s="82">
        <f t="shared" si="24"/>
        <v>0</v>
      </c>
      <c r="K112" s="74"/>
    </row>
    <row r="113" spans="1:14" outlineLevel="1" x14ac:dyDescent="0.2">
      <c r="A113" s="20">
        <f t="shared" si="23"/>
        <v>12826</v>
      </c>
      <c r="B113" s="19" t="str">
        <f t="shared" si="23"/>
        <v>UHD</v>
      </c>
      <c r="C113" s="117">
        <f t="shared" si="20"/>
        <v>1</v>
      </c>
      <c r="D113" s="81">
        <f t="shared" si="24"/>
        <v>0.05</v>
      </c>
      <c r="E113" s="81">
        <f t="shared" si="24"/>
        <v>0.15</v>
      </c>
      <c r="F113" s="81">
        <f t="shared" si="24"/>
        <v>0</v>
      </c>
      <c r="G113" s="81">
        <f t="shared" si="24"/>
        <v>0.25</v>
      </c>
      <c r="H113" s="81">
        <f t="shared" si="24"/>
        <v>0.2</v>
      </c>
      <c r="I113" s="81">
        <f t="shared" si="24"/>
        <v>0.25</v>
      </c>
      <c r="J113" s="82">
        <f t="shared" si="24"/>
        <v>0.1</v>
      </c>
      <c r="K113" s="74"/>
    </row>
    <row r="114" spans="1:14" outlineLevel="1" x14ac:dyDescent="0.2">
      <c r="A114" s="20">
        <f t="shared" si="23"/>
        <v>13231</v>
      </c>
      <c r="B114" s="19" t="str">
        <f t="shared" si="23"/>
        <v>UHV</v>
      </c>
      <c r="C114" s="117">
        <f t="shared" si="20"/>
        <v>0.99999999999999989</v>
      </c>
      <c r="D114" s="81">
        <f t="shared" si="24"/>
        <v>0.05</v>
      </c>
      <c r="E114" s="81">
        <f t="shared" si="24"/>
        <v>0.25</v>
      </c>
      <c r="F114" s="81">
        <f t="shared" si="24"/>
        <v>0.15</v>
      </c>
      <c r="G114" s="81">
        <f t="shared" si="24"/>
        <v>0.25</v>
      </c>
      <c r="H114" s="81">
        <f t="shared" si="24"/>
        <v>0.2</v>
      </c>
      <c r="I114" s="81">
        <f t="shared" si="24"/>
        <v>0.1</v>
      </c>
      <c r="J114" s="82">
        <f t="shared" si="24"/>
        <v>0</v>
      </c>
      <c r="K114" s="74"/>
    </row>
    <row r="115" spans="1:14" outlineLevel="1" x14ac:dyDescent="0.2">
      <c r="A115" s="20">
        <f t="shared" si="23"/>
        <v>3592</v>
      </c>
      <c r="B115" s="19" t="str">
        <f t="shared" si="23"/>
        <v>Midwestern</v>
      </c>
      <c r="C115" s="117">
        <f t="shared" si="20"/>
        <v>1</v>
      </c>
      <c r="D115" s="81">
        <f t="shared" si="24"/>
        <v>0.05</v>
      </c>
      <c r="E115" s="81">
        <f t="shared" si="24"/>
        <v>0.25</v>
      </c>
      <c r="F115" s="81">
        <f t="shared" si="24"/>
        <v>0</v>
      </c>
      <c r="G115" s="81">
        <f t="shared" si="24"/>
        <v>0.25</v>
      </c>
      <c r="H115" s="81">
        <f t="shared" si="24"/>
        <v>0.1</v>
      </c>
      <c r="I115" s="81">
        <f t="shared" si="24"/>
        <v>0.15</v>
      </c>
      <c r="J115" s="82">
        <f t="shared" si="24"/>
        <v>0.2</v>
      </c>
      <c r="K115" s="74"/>
    </row>
    <row r="116" spans="1:14" outlineLevel="1" x14ac:dyDescent="0.2">
      <c r="A116" s="20">
        <f t="shared" si="23"/>
        <v>3594</v>
      </c>
      <c r="B116" s="19" t="str">
        <f t="shared" si="23"/>
        <v>UNT</v>
      </c>
      <c r="C116" s="117">
        <f t="shared" si="20"/>
        <v>1</v>
      </c>
      <c r="D116" s="81">
        <f t="shared" si="24"/>
        <v>0.05</v>
      </c>
      <c r="E116" s="81">
        <f t="shared" si="24"/>
        <v>0.25</v>
      </c>
      <c r="F116" s="81">
        <f t="shared" si="24"/>
        <v>0</v>
      </c>
      <c r="G116" s="81">
        <f t="shared" si="24"/>
        <v>0.25</v>
      </c>
      <c r="H116" s="81">
        <f t="shared" si="24"/>
        <v>0.1</v>
      </c>
      <c r="I116" s="81">
        <f t="shared" si="24"/>
        <v>0.2</v>
      </c>
      <c r="J116" s="82">
        <f t="shared" si="24"/>
        <v>0.15</v>
      </c>
      <c r="K116" s="74"/>
      <c r="N116" s="76"/>
    </row>
    <row r="117" spans="1:14" outlineLevel="1" x14ac:dyDescent="0.2">
      <c r="A117" s="27">
        <f t="shared" si="23"/>
        <v>113594</v>
      </c>
      <c r="B117" s="19" t="str">
        <f t="shared" si="23"/>
        <v>UNTD</v>
      </c>
      <c r="C117" s="117">
        <f t="shared" si="20"/>
        <v>1</v>
      </c>
      <c r="D117" s="81">
        <f t="shared" si="24"/>
        <v>0.1</v>
      </c>
      <c r="E117" s="81">
        <f t="shared" si="24"/>
        <v>0.25</v>
      </c>
      <c r="F117" s="81">
        <f t="shared" si="24"/>
        <v>0.2</v>
      </c>
      <c r="G117" s="81">
        <f t="shared" si="24"/>
        <v>0.25</v>
      </c>
      <c r="H117" s="81">
        <f t="shared" si="24"/>
        <v>0.15</v>
      </c>
      <c r="I117" s="81">
        <f t="shared" si="24"/>
        <v>0.05</v>
      </c>
      <c r="J117" s="82">
        <f t="shared" si="24"/>
        <v>0</v>
      </c>
      <c r="K117" s="74"/>
    </row>
    <row r="118" spans="1:14" outlineLevel="1" x14ac:dyDescent="0.2">
      <c r="A118" s="20">
        <f t="shared" si="23"/>
        <v>3624</v>
      </c>
      <c r="B118" s="19" t="str">
        <f t="shared" si="23"/>
        <v>SFA</v>
      </c>
      <c r="C118" s="117">
        <f t="shared" si="20"/>
        <v>1</v>
      </c>
      <c r="D118" s="81">
        <f t="shared" si="24"/>
        <v>0.05</v>
      </c>
      <c r="E118" s="81">
        <f t="shared" si="24"/>
        <v>0.25</v>
      </c>
      <c r="F118" s="81">
        <f t="shared" si="24"/>
        <v>0</v>
      </c>
      <c r="G118" s="81">
        <f t="shared" si="24"/>
        <v>0.25</v>
      </c>
      <c r="H118" s="81">
        <f t="shared" si="24"/>
        <v>0.1</v>
      </c>
      <c r="I118" s="81">
        <f t="shared" si="24"/>
        <v>0.15</v>
      </c>
      <c r="J118" s="82">
        <f t="shared" si="24"/>
        <v>0.2</v>
      </c>
      <c r="K118" s="74"/>
    </row>
    <row r="119" spans="1:14" outlineLevel="1" x14ac:dyDescent="0.2">
      <c r="A119" s="20">
        <f t="shared" si="23"/>
        <v>3642</v>
      </c>
      <c r="B119" s="19" t="str">
        <f t="shared" si="23"/>
        <v>TSU</v>
      </c>
      <c r="C119" s="117">
        <f t="shared" si="20"/>
        <v>1</v>
      </c>
      <c r="D119" s="81">
        <f t="shared" si="24"/>
        <v>0.05</v>
      </c>
      <c r="E119" s="81">
        <f t="shared" si="24"/>
        <v>0.1</v>
      </c>
      <c r="F119" s="81">
        <f t="shared" si="24"/>
        <v>0</v>
      </c>
      <c r="G119" s="81">
        <f t="shared" si="24"/>
        <v>0.25</v>
      </c>
      <c r="H119" s="81">
        <f t="shared" si="24"/>
        <v>0.15</v>
      </c>
      <c r="I119" s="81">
        <f t="shared" si="24"/>
        <v>0.2</v>
      </c>
      <c r="J119" s="82">
        <f t="shared" si="24"/>
        <v>0.25</v>
      </c>
      <c r="K119" s="74"/>
    </row>
    <row r="120" spans="1:14" outlineLevel="1" x14ac:dyDescent="0.2">
      <c r="A120" s="20">
        <f t="shared" si="23"/>
        <v>3644</v>
      </c>
      <c r="B120" s="19" t="str">
        <f t="shared" si="23"/>
        <v>TTU</v>
      </c>
      <c r="C120" s="117">
        <f t="shared" si="20"/>
        <v>1</v>
      </c>
      <c r="D120" s="81">
        <f t="shared" ref="D120:J129" si="25">HLOOKUP(D161,$D$170:$J$171,2,0)</f>
        <v>0.05</v>
      </c>
      <c r="E120" s="81">
        <f t="shared" si="25"/>
        <v>0.25</v>
      </c>
      <c r="F120" s="81">
        <f t="shared" si="25"/>
        <v>0</v>
      </c>
      <c r="G120" s="81">
        <f t="shared" si="25"/>
        <v>0.25</v>
      </c>
      <c r="H120" s="81">
        <f t="shared" si="25"/>
        <v>0.1</v>
      </c>
      <c r="I120" s="81">
        <f t="shared" si="25"/>
        <v>0.15</v>
      </c>
      <c r="J120" s="82">
        <f t="shared" si="25"/>
        <v>0.2</v>
      </c>
      <c r="K120" s="74"/>
    </row>
    <row r="121" spans="1:14" outlineLevel="1" x14ac:dyDescent="0.2">
      <c r="A121" s="20">
        <f t="shared" si="23"/>
        <v>3541</v>
      </c>
      <c r="B121" s="19" t="str">
        <f t="shared" si="23"/>
        <v>Angelo</v>
      </c>
      <c r="C121" s="117">
        <f t="shared" si="20"/>
        <v>1</v>
      </c>
      <c r="D121" s="81">
        <f t="shared" si="25"/>
        <v>0.05</v>
      </c>
      <c r="E121" s="81">
        <f t="shared" si="25"/>
        <v>0.25</v>
      </c>
      <c r="F121" s="81">
        <f t="shared" si="25"/>
        <v>0</v>
      </c>
      <c r="G121" s="81">
        <f t="shared" si="25"/>
        <v>0.25</v>
      </c>
      <c r="H121" s="81">
        <f t="shared" si="25"/>
        <v>0.1</v>
      </c>
      <c r="I121" s="81">
        <f t="shared" si="25"/>
        <v>0.15</v>
      </c>
      <c r="J121" s="82">
        <f t="shared" si="25"/>
        <v>0.2</v>
      </c>
      <c r="K121" s="74"/>
    </row>
    <row r="122" spans="1:14" outlineLevel="1" x14ac:dyDescent="0.2">
      <c r="A122" s="20">
        <f t="shared" ref="A122:B127" si="26">A37</f>
        <v>3646</v>
      </c>
      <c r="B122" s="19" t="str">
        <f t="shared" si="26"/>
        <v>TWU</v>
      </c>
      <c r="C122" s="117">
        <f t="shared" si="20"/>
        <v>1</v>
      </c>
      <c r="D122" s="81">
        <f t="shared" si="25"/>
        <v>0.05</v>
      </c>
      <c r="E122" s="81">
        <f t="shared" si="25"/>
        <v>0.25</v>
      </c>
      <c r="F122" s="81">
        <f t="shared" si="25"/>
        <v>0</v>
      </c>
      <c r="G122" s="81">
        <f t="shared" si="25"/>
        <v>0.25</v>
      </c>
      <c r="H122" s="81">
        <f t="shared" si="25"/>
        <v>0.2</v>
      </c>
      <c r="I122" s="81">
        <f t="shared" si="25"/>
        <v>0.15</v>
      </c>
      <c r="J122" s="82">
        <f t="shared" si="25"/>
        <v>0.1</v>
      </c>
      <c r="K122" s="74"/>
    </row>
    <row r="123" spans="1:14" outlineLevel="1" x14ac:dyDescent="0.2">
      <c r="A123" s="20">
        <f t="shared" si="26"/>
        <v>3581</v>
      </c>
      <c r="B123" s="19" t="str">
        <f t="shared" si="26"/>
        <v>Lamar</v>
      </c>
      <c r="C123" s="117">
        <f t="shared" si="20"/>
        <v>1</v>
      </c>
      <c r="D123" s="81">
        <f t="shared" si="25"/>
        <v>0.05</v>
      </c>
      <c r="E123" s="81">
        <f t="shared" si="25"/>
        <v>0.15</v>
      </c>
      <c r="F123" s="81">
        <f t="shared" si="25"/>
        <v>0</v>
      </c>
      <c r="G123" s="81">
        <f t="shared" si="25"/>
        <v>0.25</v>
      </c>
      <c r="H123" s="81">
        <f t="shared" si="25"/>
        <v>0.1</v>
      </c>
      <c r="I123" s="81">
        <f t="shared" si="25"/>
        <v>0.2</v>
      </c>
      <c r="J123" s="82">
        <f t="shared" si="25"/>
        <v>0.25</v>
      </c>
      <c r="K123" s="74"/>
    </row>
    <row r="124" spans="1:14" outlineLevel="1" x14ac:dyDescent="0.2">
      <c r="A124" s="20">
        <f t="shared" si="26"/>
        <v>3606</v>
      </c>
      <c r="B124" s="19" t="str">
        <f t="shared" si="26"/>
        <v>SHSU</v>
      </c>
      <c r="C124" s="117">
        <f t="shared" si="20"/>
        <v>1</v>
      </c>
      <c r="D124" s="81">
        <f t="shared" si="25"/>
        <v>0.05</v>
      </c>
      <c r="E124" s="81">
        <f t="shared" si="25"/>
        <v>0.25</v>
      </c>
      <c r="F124" s="81">
        <f t="shared" si="25"/>
        <v>0</v>
      </c>
      <c r="G124" s="81">
        <f t="shared" si="25"/>
        <v>0.25</v>
      </c>
      <c r="H124" s="81">
        <f t="shared" si="25"/>
        <v>0.1</v>
      </c>
      <c r="I124" s="81">
        <f t="shared" si="25"/>
        <v>0.2</v>
      </c>
      <c r="J124" s="82">
        <f t="shared" si="25"/>
        <v>0.15</v>
      </c>
      <c r="K124" s="74"/>
    </row>
    <row r="125" spans="1:14" outlineLevel="1" x14ac:dyDescent="0.2">
      <c r="A125" s="20">
        <f t="shared" si="26"/>
        <v>3615</v>
      </c>
      <c r="B125" s="19" t="str">
        <f t="shared" si="26"/>
        <v>TXST</v>
      </c>
      <c r="C125" s="117">
        <f t="shared" si="20"/>
        <v>1</v>
      </c>
      <c r="D125" s="81">
        <f t="shared" si="25"/>
        <v>0.05</v>
      </c>
      <c r="E125" s="81">
        <f t="shared" si="25"/>
        <v>0.25</v>
      </c>
      <c r="F125" s="81">
        <f t="shared" si="25"/>
        <v>0</v>
      </c>
      <c r="G125" s="81">
        <f t="shared" si="25"/>
        <v>0.25</v>
      </c>
      <c r="H125" s="81">
        <f t="shared" si="25"/>
        <v>0.1</v>
      </c>
      <c r="I125" s="81">
        <f t="shared" si="25"/>
        <v>0.2</v>
      </c>
      <c r="J125" s="82">
        <f t="shared" si="25"/>
        <v>0.15</v>
      </c>
      <c r="K125" s="74"/>
    </row>
    <row r="126" spans="1:14" outlineLevel="1" x14ac:dyDescent="0.2">
      <c r="A126" s="20">
        <f t="shared" si="26"/>
        <v>3625</v>
      </c>
      <c r="B126" s="19" t="str">
        <f t="shared" si="26"/>
        <v>SRSU</v>
      </c>
      <c r="C126" s="117">
        <f t="shared" si="20"/>
        <v>1</v>
      </c>
      <c r="D126" s="81">
        <f t="shared" si="25"/>
        <v>0</v>
      </c>
      <c r="E126" s="81">
        <f t="shared" si="25"/>
        <v>0.1</v>
      </c>
      <c r="F126" s="81">
        <f t="shared" si="25"/>
        <v>0.05</v>
      </c>
      <c r="G126" s="81">
        <f t="shared" si="25"/>
        <v>0.25</v>
      </c>
      <c r="H126" s="81">
        <f t="shared" si="25"/>
        <v>0.15</v>
      </c>
      <c r="I126" s="81">
        <f t="shared" si="25"/>
        <v>0.2</v>
      </c>
      <c r="J126" s="82">
        <f t="shared" si="25"/>
        <v>0.25</v>
      </c>
      <c r="K126" s="74"/>
    </row>
    <row r="127" spans="1:14" ht="13.5" outlineLevel="1" thickBot="1" x14ac:dyDescent="0.25">
      <c r="A127" s="111">
        <f t="shared" si="26"/>
        <v>20</v>
      </c>
      <c r="B127" s="112" t="str">
        <f t="shared" si="26"/>
        <v>SRRG</v>
      </c>
      <c r="C127" s="139">
        <f t="shared" si="20"/>
        <v>1</v>
      </c>
      <c r="D127" s="119">
        <f t="shared" si="25"/>
        <v>0.05</v>
      </c>
      <c r="E127" s="119">
        <f t="shared" si="25"/>
        <v>0.2</v>
      </c>
      <c r="F127" s="119">
        <f t="shared" si="25"/>
        <v>0.25</v>
      </c>
      <c r="G127" s="119">
        <f t="shared" si="25"/>
        <v>0.25</v>
      </c>
      <c r="H127" s="119">
        <f t="shared" si="25"/>
        <v>0.15</v>
      </c>
      <c r="I127" s="119">
        <f t="shared" si="25"/>
        <v>0.1</v>
      </c>
      <c r="J127" s="140">
        <f t="shared" si="25"/>
        <v>0</v>
      </c>
      <c r="K127" s="74"/>
    </row>
    <row r="128" spans="1:14" ht="13.5" thickBot="1" x14ac:dyDescent="0.25">
      <c r="A128" s="75" t="s">
        <v>83</v>
      </c>
      <c r="B128" s="58"/>
      <c r="C128" s="79"/>
      <c r="D128" s="90"/>
      <c r="E128" s="90"/>
      <c r="F128" s="90"/>
      <c r="G128" s="90"/>
      <c r="H128" s="90"/>
      <c r="I128" s="90"/>
      <c r="J128" s="90"/>
      <c r="K128" s="74"/>
    </row>
    <row r="129" spans="1:11" ht="12.75" customHeight="1" outlineLevel="1" x14ac:dyDescent="0.2">
      <c r="A129" s="167" t="s">
        <v>22</v>
      </c>
      <c r="B129" s="169" t="s">
        <v>21</v>
      </c>
      <c r="C129" s="171" t="s">
        <v>72</v>
      </c>
      <c r="D129" s="174" t="s">
        <v>33</v>
      </c>
      <c r="E129" s="174"/>
      <c r="F129" s="174"/>
      <c r="G129" s="176" t="s">
        <v>16</v>
      </c>
      <c r="H129" s="178" t="s">
        <v>32</v>
      </c>
      <c r="I129" s="179"/>
      <c r="J129" s="180"/>
      <c r="K129" s="74"/>
    </row>
    <row r="130" spans="1:11" ht="51.75" customHeight="1" outlineLevel="1" thickBot="1" x14ac:dyDescent="0.25">
      <c r="A130" s="168"/>
      <c r="B130" s="170"/>
      <c r="C130" s="172"/>
      <c r="D130" s="100"/>
      <c r="E130" s="101" t="s">
        <v>31</v>
      </c>
      <c r="F130" s="101" t="s">
        <v>30</v>
      </c>
      <c r="G130" s="190"/>
      <c r="H130" s="103" t="s">
        <v>14</v>
      </c>
      <c r="I130" s="104" t="s">
        <v>13</v>
      </c>
      <c r="J130" s="110" t="s">
        <v>12</v>
      </c>
      <c r="K130" s="74"/>
    </row>
    <row r="131" spans="1:11" outlineLevel="1" x14ac:dyDescent="0.2">
      <c r="A131" s="20">
        <f t="shared" ref="A131:B146" si="27">A90</f>
        <v>3656</v>
      </c>
      <c r="B131" s="19" t="str">
        <f t="shared" si="27"/>
        <v>UTA</v>
      </c>
      <c r="C131" s="79"/>
      <c r="D131" s="83">
        <f t="shared" ref="D131:J140" si="28">RANK(D177,$D177:$J177)</f>
        <v>6</v>
      </c>
      <c r="E131" s="84">
        <f t="shared" si="28"/>
        <v>2</v>
      </c>
      <c r="F131" s="84">
        <f t="shared" si="28"/>
        <v>7</v>
      </c>
      <c r="G131" s="86">
        <f t="shared" si="28"/>
        <v>1</v>
      </c>
      <c r="H131" s="83">
        <f t="shared" si="28"/>
        <v>3</v>
      </c>
      <c r="I131" s="84">
        <f t="shared" si="28"/>
        <v>4</v>
      </c>
      <c r="J131" s="85">
        <f t="shared" si="28"/>
        <v>5</v>
      </c>
      <c r="K131" s="74"/>
    </row>
    <row r="132" spans="1:11" outlineLevel="1" x14ac:dyDescent="0.2">
      <c r="A132" s="20">
        <f t="shared" si="27"/>
        <v>3658</v>
      </c>
      <c r="B132" s="19" t="str">
        <f t="shared" si="27"/>
        <v>UT</v>
      </c>
      <c r="C132" s="79"/>
      <c r="D132" s="87">
        <f t="shared" si="28"/>
        <v>6</v>
      </c>
      <c r="E132" s="88">
        <f t="shared" si="28"/>
        <v>1</v>
      </c>
      <c r="F132" s="88">
        <f t="shared" si="28"/>
        <v>7</v>
      </c>
      <c r="G132" s="87">
        <f t="shared" si="28"/>
        <v>3</v>
      </c>
      <c r="H132" s="87">
        <f t="shared" si="28"/>
        <v>5</v>
      </c>
      <c r="I132" s="88">
        <f t="shared" si="28"/>
        <v>4</v>
      </c>
      <c r="J132" s="89">
        <f t="shared" si="28"/>
        <v>2</v>
      </c>
      <c r="K132" s="74"/>
    </row>
    <row r="133" spans="1:11" outlineLevel="1" x14ac:dyDescent="0.2">
      <c r="A133" s="20">
        <f t="shared" si="27"/>
        <v>9741</v>
      </c>
      <c r="B133" s="19" t="str">
        <f t="shared" si="27"/>
        <v>UTD</v>
      </c>
      <c r="C133" s="79"/>
      <c r="D133" s="87">
        <f t="shared" si="28"/>
        <v>6</v>
      </c>
      <c r="E133" s="88">
        <f t="shared" si="28"/>
        <v>1</v>
      </c>
      <c r="F133" s="88">
        <f t="shared" si="28"/>
        <v>7</v>
      </c>
      <c r="G133" s="87">
        <f t="shared" si="28"/>
        <v>2</v>
      </c>
      <c r="H133" s="87">
        <f t="shared" si="28"/>
        <v>4</v>
      </c>
      <c r="I133" s="88">
        <f t="shared" si="28"/>
        <v>3</v>
      </c>
      <c r="J133" s="89">
        <f t="shared" si="28"/>
        <v>5</v>
      </c>
      <c r="K133" s="74"/>
    </row>
    <row r="134" spans="1:11" outlineLevel="1" x14ac:dyDescent="0.2">
      <c r="A134" s="20">
        <f t="shared" si="27"/>
        <v>3661</v>
      </c>
      <c r="B134" s="19" t="str">
        <f t="shared" si="27"/>
        <v>UTEP</v>
      </c>
      <c r="C134" s="79"/>
      <c r="D134" s="87">
        <f t="shared" si="28"/>
        <v>6</v>
      </c>
      <c r="E134" s="88">
        <f t="shared" si="28"/>
        <v>3</v>
      </c>
      <c r="F134" s="88">
        <f t="shared" si="28"/>
        <v>7</v>
      </c>
      <c r="G134" s="87">
        <f t="shared" si="28"/>
        <v>1</v>
      </c>
      <c r="H134" s="87">
        <f t="shared" si="28"/>
        <v>5</v>
      </c>
      <c r="I134" s="88">
        <f t="shared" si="28"/>
        <v>2</v>
      </c>
      <c r="J134" s="89">
        <f t="shared" si="28"/>
        <v>4</v>
      </c>
      <c r="K134" s="74"/>
    </row>
    <row r="135" spans="1:11" outlineLevel="1" x14ac:dyDescent="0.2">
      <c r="A135" s="20">
        <f t="shared" si="27"/>
        <v>3599</v>
      </c>
      <c r="B135" s="19" t="str">
        <f t="shared" si="27"/>
        <v>UTPA</v>
      </c>
      <c r="C135" s="79"/>
      <c r="D135" s="87">
        <f t="shared" si="28"/>
        <v>6</v>
      </c>
      <c r="E135" s="88">
        <f t="shared" si="28"/>
        <v>2</v>
      </c>
      <c r="F135" s="88">
        <f t="shared" si="28"/>
        <v>7</v>
      </c>
      <c r="G135" s="87">
        <f t="shared" si="28"/>
        <v>1</v>
      </c>
      <c r="H135" s="87">
        <f t="shared" si="28"/>
        <v>5</v>
      </c>
      <c r="I135" s="88">
        <f t="shared" si="28"/>
        <v>4</v>
      </c>
      <c r="J135" s="89">
        <f t="shared" si="28"/>
        <v>3</v>
      </c>
      <c r="K135" s="74"/>
    </row>
    <row r="136" spans="1:11" outlineLevel="1" x14ac:dyDescent="0.2">
      <c r="A136" s="20">
        <f t="shared" si="27"/>
        <v>30646</v>
      </c>
      <c r="B136" s="19" t="str">
        <f t="shared" si="27"/>
        <v>UTB</v>
      </c>
      <c r="C136" s="79"/>
      <c r="D136" s="87">
        <f t="shared" si="28"/>
        <v>5</v>
      </c>
      <c r="E136" s="88">
        <f t="shared" si="28"/>
        <v>2</v>
      </c>
      <c r="F136" s="88">
        <f t="shared" si="28"/>
        <v>6</v>
      </c>
      <c r="G136" s="87">
        <f t="shared" si="28"/>
        <v>1</v>
      </c>
      <c r="H136" s="87">
        <f t="shared" si="28"/>
        <v>3</v>
      </c>
      <c r="I136" s="88">
        <f t="shared" si="28"/>
        <v>4</v>
      </c>
      <c r="J136" s="89">
        <f t="shared" si="28"/>
        <v>7</v>
      </c>
      <c r="K136" s="74"/>
    </row>
    <row r="137" spans="1:11" outlineLevel="1" x14ac:dyDescent="0.2">
      <c r="A137" s="20">
        <f t="shared" si="27"/>
        <v>9930</v>
      </c>
      <c r="B137" s="19" t="str">
        <f t="shared" si="27"/>
        <v>UTPB</v>
      </c>
      <c r="C137" s="79"/>
      <c r="D137" s="87">
        <f t="shared" si="28"/>
        <v>7</v>
      </c>
      <c r="E137" s="88">
        <f t="shared" si="28"/>
        <v>2</v>
      </c>
      <c r="F137" s="88">
        <f t="shared" si="28"/>
        <v>6</v>
      </c>
      <c r="G137" s="87">
        <f t="shared" si="28"/>
        <v>1</v>
      </c>
      <c r="H137" s="87">
        <f t="shared" si="28"/>
        <v>4</v>
      </c>
      <c r="I137" s="88">
        <f t="shared" si="28"/>
        <v>3</v>
      </c>
      <c r="J137" s="89">
        <f t="shared" si="28"/>
        <v>5</v>
      </c>
      <c r="K137" s="74"/>
    </row>
    <row r="138" spans="1:11" outlineLevel="1" x14ac:dyDescent="0.2">
      <c r="A138" s="20">
        <f t="shared" si="27"/>
        <v>10115</v>
      </c>
      <c r="B138" s="19" t="str">
        <f t="shared" si="27"/>
        <v>UTSA</v>
      </c>
      <c r="C138" s="79"/>
      <c r="D138" s="87">
        <f t="shared" si="28"/>
        <v>6</v>
      </c>
      <c r="E138" s="88">
        <f t="shared" si="28"/>
        <v>2</v>
      </c>
      <c r="F138" s="88">
        <f t="shared" si="28"/>
        <v>7</v>
      </c>
      <c r="G138" s="87">
        <f t="shared" si="28"/>
        <v>1</v>
      </c>
      <c r="H138" s="87">
        <f t="shared" si="28"/>
        <v>5</v>
      </c>
      <c r="I138" s="88">
        <f t="shared" si="28"/>
        <v>3</v>
      </c>
      <c r="J138" s="89">
        <f t="shared" si="28"/>
        <v>4</v>
      </c>
      <c r="K138" s="74"/>
    </row>
    <row r="139" spans="1:11" outlineLevel="1" x14ac:dyDescent="0.2">
      <c r="A139" s="20">
        <f t="shared" si="27"/>
        <v>11163</v>
      </c>
      <c r="B139" s="19" t="str">
        <f t="shared" si="27"/>
        <v>UTT</v>
      </c>
      <c r="C139" s="79"/>
      <c r="D139" s="87">
        <f t="shared" si="28"/>
        <v>6</v>
      </c>
      <c r="E139" s="88">
        <f t="shared" si="28"/>
        <v>2</v>
      </c>
      <c r="F139" s="88">
        <f t="shared" si="28"/>
        <v>7</v>
      </c>
      <c r="G139" s="87">
        <f t="shared" si="28"/>
        <v>1</v>
      </c>
      <c r="H139" s="87">
        <f t="shared" si="28"/>
        <v>4</v>
      </c>
      <c r="I139" s="88">
        <f t="shared" si="28"/>
        <v>3</v>
      </c>
      <c r="J139" s="89">
        <f t="shared" si="28"/>
        <v>5</v>
      </c>
      <c r="K139" s="74"/>
    </row>
    <row r="140" spans="1:11" outlineLevel="1" x14ac:dyDescent="0.2">
      <c r="A140" s="20">
        <f t="shared" si="27"/>
        <v>3632</v>
      </c>
      <c r="B140" s="19" t="str">
        <f t="shared" si="27"/>
        <v>TAMU</v>
      </c>
      <c r="C140" s="79"/>
      <c r="D140" s="87">
        <f t="shared" si="28"/>
        <v>6</v>
      </c>
      <c r="E140" s="88">
        <f t="shared" si="28"/>
        <v>1</v>
      </c>
      <c r="F140" s="88">
        <f t="shared" si="28"/>
        <v>7</v>
      </c>
      <c r="G140" s="87">
        <f t="shared" si="28"/>
        <v>3</v>
      </c>
      <c r="H140" s="87">
        <f t="shared" si="28"/>
        <v>5</v>
      </c>
      <c r="I140" s="88">
        <f t="shared" si="28"/>
        <v>4</v>
      </c>
      <c r="J140" s="89">
        <f t="shared" si="28"/>
        <v>2</v>
      </c>
      <c r="K140" s="74"/>
    </row>
    <row r="141" spans="1:11" outlineLevel="1" x14ac:dyDescent="0.2">
      <c r="A141" s="20">
        <f t="shared" si="27"/>
        <v>10298</v>
      </c>
      <c r="B141" s="19" t="str">
        <f t="shared" si="27"/>
        <v>TAMUG</v>
      </c>
      <c r="C141" s="79"/>
      <c r="D141" s="87">
        <f t="shared" ref="D141:J150" si="29">RANK(D187,$D187:$J187)</f>
        <v>7</v>
      </c>
      <c r="E141" s="88">
        <f t="shared" si="29"/>
        <v>1</v>
      </c>
      <c r="F141" s="88">
        <f t="shared" si="29"/>
        <v>6</v>
      </c>
      <c r="G141" s="87">
        <f t="shared" si="29"/>
        <v>2</v>
      </c>
      <c r="H141" s="87">
        <f t="shared" si="29"/>
        <v>4</v>
      </c>
      <c r="I141" s="88">
        <f t="shared" si="29"/>
        <v>5</v>
      </c>
      <c r="J141" s="89">
        <f t="shared" si="29"/>
        <v>3</v>
      </c>
      <c r="K141" s="74"/>
    </row>
    <row r="142" spans="1:11" outlineLevel="1" x14ac:dyDescent="0.2">
      <c r="A142" s="20">
        <f t="shared" si="27"/>
        <v>3630</v>
      </c>
      <c r="B142" s="19" t="str">
        <f t="shared" si="27"/>
        <v>Prairie View</v>
      </c>
      <c r="C142" s="79"/>
      <c r="D142" s="87">
        <f t="shared" si="29"/>
        <v>6</v>
      </c>
      <c r="E142" s="88">
        <f t="shared" si="29"/>
        <v>5</v>
      </c>
      <c r="F142" s="88">
        <f t="shared" si="29"/>
        <v>7</v>
      </c>
      <c r="G142" s="87">
        <f t="shared" si="29"/>
        <v>1</v>
      </c>
      <c r="H142" s="87">
        <f t="shared" si="29"/>
        <v>4</v>
      </c>
      <c r="I142" s="88">
        <f t="shared" si="29"/>
        <v>3</v>
      </c>
      <c r="J142" s="89">
        <f t="shared" si="29"/>
        <v>2</v>
      </c>
      <c r="K142" s="74"/>
    </row>
    <row r="143" spans="1:11" outlineLevel="1" x14ac:dyDescent="0.2">
      <c r="A143" s="20">
        <f t="shared" si="27"/>
        <v>3631</v>
      </c>
      <c r="B143" s="19" t="str">
        <f t="shared" si="27"/>
        <v>Tarleton</v>
      </c>
      <c r="C143" s="79"/>
      <c r="D143" s="87">
        <f t="shared" si="29"/>
        <v>6</v>
      </c>
      <c r="E143" s="88">
        <f t="shared" si="29"/>
        <v>2</v>
      </c>
      <c r="F143" s="88">
        <f t="shared" si="29"/>
        <v>7</v>
      </c>
      <c r="G143" s="87">
        <f t="shared" si="29"/>
        <v>1</v>
      </c>
      <c r="H143" s="87">
        <f t="shared" si="29"/>
        <v>5</v>
      </c>
      <c r="I143" s="88">
        <f t="shared" si="29"/>
        <v>4</v>
      </c>
      <c r="J143" s="89">
        <f t="shared" si="29"/>
        <v>3</v>
      </c>
      <c r="K143" s="74"/>
    </row>
    <row r="144" spans="1:11" outlineLevel="1" x14ac:dyDescent="0.2">
      <c r="A144" s="27">
        <f t="shared" si="27"/>
        <v>103631</v>
      </c>
      <c r="B144" s="19" t="str">
        <f t="shared" si="27"/>
        <v>TAMUCT</v>
      </c>
      <c r="C144" s="79"/>
      <c r="D144" s="87">
        <f t="shared" si="29"/>
        <v>5</v>
      </c>
      <c r="E144" s="88">
        <f t="shared" si="29"/>
        <v>3</v>
      </c>
      <c r="F144" s="88">
        <f t="shared" si="29"/>
        <v>2</v>
      </c>
      <c r="G144" s="87">
        <f t="shared" si="29"/>
        <v>1</v>
      </c>
      <c r="H144" s="87">
        <f t="shared" si="29"/>
        <v>4</v>
      </c>
      <c r="I144" s="88">
        <f t="shared" si="29"/>
        <v>6</v>
      </c>
      <c r="J144" s="89">
        <f t="shared" si="29"/>
        <v>7</v>
      </c>
      <c r="K144" s="74"/>
    </row>
    <row r="145" spans="1:11" outlineLevel="1" x14ac:dyDescent="0.2">
      <c r="A145" s="20">
        <f t="shared" si="27"/>
        <v>11161</v>
      </c>
      <c r="B145" s="19" t="str">
        <f t="shared" si="27"/>
        <v>TAMUCC</v>
      </c>
      <c r="C145" s="79"/>
      <c r="D145" s="87">
        <f t="shared" si="29"/>
        <v>6</v>
      </c>
      <c r="E145" s="88">
        <f t="shared" si="29"/>
        <v>2</v>
      </c>
      <c r="F145" s="88">
        <f t="shared" si="29"/>
        <v>7</v>
      </c>
      <c r="G145" s="87">
        <f t="shared" si="29"/>
        <v>1</v>
      </c>
      <c r="H145" s="87">
        <f t="shared" si="29"/>
        <v>5</v>
      </c>
      <c r="I145" s="88">
        <f t="shared" si="29"/>
        <v>3</v>
      </c>
      <c r="J145" s="89">
        <f t="shared" si="29"/>
        <v>4</v>
      </c>
      <c r="K145" s="74"/>
    </row>
    <row r="146" spans="1:11" outlineLevel="1" x14ac:dyDescent="0.2">
      <c r="A146" s="20">
        <f t="shared" si="27"/>
        <v>3639</v>
      </c>
      <c r="B146" s="19" t="str">
        <f t="shared" si="27"/>
        <v>TAMUK</v>
      </c>
      <c r="C146" s="79"/>
      <c r="D146" s="87">
        <f t="shared" si="29"/>
        <v>6</v>
      </c>
      <c r="E146" s="88">
        <f t="shared" si="29"/>
        <v>4</v>
      </c>
      <c r="F146" s="88">
        <f t="shared" si="29"/>
        <v>7</v>
      </c>
      <c r="G146" s="87">
        <f t="shared" si="29"/>
        <v>1</v>
      </c>
      <c r="H146" s="87">
        <f t="shared" si="29"/>
        <v>5</v>
      </c>
      <c r="I146" s="88">
        <f t="shared" si="29"/>
        <v>3</v>
      </c>
      <c r="J146" s="89">
        <f t="shared" si="29"/>
        <v>2</v>
      </c>
      <c r="K146" s="74"/>
    </row>
    <row r="147" spans="1:11" outlineLevel="1" x14ac:dyDescent="0.2">
      <c r="A147" s="27">
        <f t="shared" ref="A147:B162" si="30">A106</f>
        <v>103639</v>
      </c>
      <c r="B147" s="19" t="str">
        <f t="shared" si="30"/>
        <v>TAMUSA</v>
      </c>
      <c r="C147" s="79"/>
      <c r="D147" s="87">
        <f t="shared" si="29"/>
        <v>5</v>
      </c>
      <c r="E147" s="88">
        <f t="shared" si="29"/>
        <v>2</v>
      </c>
      <c r="F147" s="88">
        <f t="shared" si="29"/>
        <v>4</v>
      </c>
      <c r="G147" s="87">
        <f t="shared" si="29"/>
        <v>1</v>
      </c>
      <c r="H147" s="87">
        <f t="shared" si="29"/>
        <v>3</v>
      </c>
      <c r="I147" s="88">
        <f t="shared" si="29"/>
        <v>6</v>
      </c>
      <c r="J147" s="89">
        <f t="shared" si="29"/>
        <v>7</v>
      </c>
      <c r="K147" s="74"/>
    </row>
    <row r="148" spans="1:11" outlineLevel="1" x14ac:dyDescent="0.2">
      <c r="A148" s="20">
        <f t="shared" si="30"/>
        <v>9651</v>
      </c>
      <c r="B148" s="19" t="str">
        <f t="shared" si="30"/>
        <v>TAMI</v>
      </c>
      <c r="C148" s="79"/>
      <c r="D148" s="87">
        <f t="shared" si="29"/>
        <v>6</v>
      </c>
      <c r="E148" s="88">
        <f t="shared" si="29"/>
        <v>2</v>
      </c>
      <c r="F148" s="88">
        <f t="shared" si="29"/>
        <v>7</v>
      </c>
      <c r="G148" s="87">
        <f t="shared" si="29"/>
        <v>1</v>
      </c>
      <c r="H148" s="87">
        <f t="shared" si="29"/>
        <v>4</v>
      </c>
      <c r="I148" s="88">
        <f t="shared" si="29"/>
        <v>3</v>
      </c>
      <c r="J148" s="89">
        <f t="shared" si="29"/>
        <v>5</v>
      </c>
      <c r="K148" s="74"/>
    </row>
    <row r="149" spans="1:11" outlineLevel="1" x14ac:dyDescent="0.2">
      <c r="A149" s="20">
        <f t="shared" si="30"/>
        <v>3665</v>
      </c>
      <c r="B149" s="19" t="str">
        <f t="shared" si="30"/>
        <v>WTAMU</v>
      </c>
      <c r="C149" s="79"/>
      <c r="D149" s="87">
        <f t="shared" si="29"/>
        <v>6</v>
      </c>
      <c r="E149" s="88">
        <f t="shared" si="29"/>
        <v>2</v>
      </c>
      <c r="F149" s="88">
        <f t="shared" si="29"/>
        <v>7</v>
      </c>
      <c r="G149" s="87">
        <f t="shared" si="29"/>
        <v>1</v>
      </c>
      <c r="H149" s="87">
        <f t="shared" si="29"/>
        <v>4</v>
      </c>
      <c r="I149" s="88">
        <f t="shared" si="29"/>
        <v>3</v>
      </c>
      <c r="J149" s="89">
        <f t="shared" si="29"/>
        <v>5</v>
      </c>
      <c r="K149" s="74"/>
    </row>
    <row r="150" spans="1:11" outlineLevel="1" x14ac:dyDescent="0.2">
      <c r="A150" s="20">
        <f t="shared" si="30"/>
        <v>3565</v>
      </c>
      <c r="B150" s="19" t="str">
        <f t="shared" si="30"/>
        <v>TAMUC</v>
      </c>
      <c r="C150" s="79"/>
      <c r="D150" s="87">
        <f t="shared" si="29"/>
        <v>6</v>
      </c>
      <c r="E150" s="88">
        <f t="shared" si="29"/>
        <v>2</v>
      </c>
      <c r="F150" s="88">
        <f t="shared" si="29"/>
        <v>7</v>
      </c>
      <c r="G150" s="87">
        <f t="shared" si="29"/>
        <v>1</v>
      </c>
      <c r="H150" s="87">
        <f t="shared" si="29"/>
        <v>4</v>
      </c>
      <c r="I150" s="88">
        <f t="shared" si="29"/>
        <v>3</v>
      </c>
      <c r="J150" s="89">
        <f t="shared" si="29"/>
        <v>5</v>
      </c>
      <c r="K150" s="74"/>
    </row>
    <row r="151" spans="1:11" outlineLevel="1" x14ac:dyDescent="0.2">
      <c r="A151" s="20">
        <f t="shared" si="30"/>
        <v>29269</v>
      </c>
      <c r="B151" s="19" t="str">
        <f t="shared" si="30"/>
        <v>TAMUT</v>
      </c>
      <c r="C151" s="79"/>
      <c r="D151" s="87">
        <f t="shared" ref="D151:J160" si="31">RANK(D197,$D197:$J197)</f>
        <v>6</v>
      </c>
      <c r="E151" s="88">
        <f t="shared" si="31"/>
        <v>2</v>
      </c>
      <c r="F151" s="88">
        <f t="shared" si="31"/>
        <v>3</v>
      </c>
      <c r="G151" s="87">
        <f t="shared" si="31"/>
        <v>1</v>
      </c>
      <c r="H151" s="87">
        <f t="shared" si="31"/>
        <v>4</v>
      </c>
      <c r="I151" s="88">
        <f t="shared" si="31"/>
        <v>5</v>
      </c>
      <c r="J151" s="89">
        <f t="shared" si="31"/>
        <v>7</v>
      </c>
      <c r="K151" s="74"/>
    </row>
    <row r="152" spans="1:11" outlineLevel="1" x14ac:dyDescent="0.2">
      <c r="A152" s="20">
        <f t="shared" si="30"/>
        <v>3652</v>
      </c>
      <c r="B152" s="19" t="str">
        <f t="shared" si="30"/>
        <v>UH</v>
      </c>
      <c r="C152" s="79"/>
      <c r="D152" s="87">
        <f t="shared" si="31"/>
        <v>6</v>
      </c>
      <c r="E152" s="88">
        <f t="shared" si="31"/>
        <v>2</v>
      </c>
      <c r="F152" s="88">
        <f t="shared" si="31"/>
        <v>7</v>
      </c>
      <c r="G152" s="87">
        <f t="shared" si="31"/>
        <v>1</v>
      </c>
      <c r="H152" s="87">
        <f t="shared" si="31"/>
        <v>5</v>
      </c>
      <c r="I152" s="88">
        <f t="shared" si="31"/>
        <v>3</v>
      </c>
      <c r="J152" s="89">
        <f t="shared" si="31"/>
        <v>4</v>
      </c>
      <c r="K152" s="74"/>
    </row>
    <row r="153" spans="1:11" outlineLevel="1" x14ac:dyDescent="0.2">
      <c r="A153" s="20">
        <f t="shared" si="30"/>
        <v>11711</v>
      </c>
      <c r="B153" s="19" t="str">
        <f t="shared" si="30"/>
        <v>UHCL</v>
      </c>
      <c r="C153" s="79"/>
      <c r="D153" s="87">
        <f t="shared" si="31"/>
        <v>5</v>
      </c>
      <c r="E153" s="88">
        <f t="shared" si="31"/>
        <v>2</v>
      </c>
      <c r="F153" s="88">
        <f t="shared" si="31"/>
        <v>6</v>
      </c>
      <c r="G153" s="87">
        <f t="shared" si="31"/>
        <v>1</v>
      </c>
      <c r="H153" s="87">
        <f t="shared" si="31"/>
        <v>4</v>
      </c>
      <c r="I153" s="88">
        <f t="shared" si="31"/>
        <v>3</v>
      </c>
      <c r="J153" s="89">
        <f t="shared" si="31"/>
        <v>7</v>
      </c>
      <c r="K153" s="74"/>
    </row>
    <row r="154" spans="1:11" outlineLevel="1" x14ac:dyDescent="0.2">
      <c r="A154" s="20">
        <f t="shared" si="30"/>
        <v>12826</v>
      </c>
      <c r="B154" s="19" t="str">
        <f t="shared" si="30"/>
        <v>UHD</v>
      </c>
      <c r="C154" s="79"/>
      <c r="D154" s="87">
        <f t="shared" si="31"/>
        <v>6</v>
      </c>
      <c r="E154" s="88">
        <f t="shared" si="31"/>
        <v>4</v>
      </c>
      <c r="F154" s="88">
        <f t="shared" si="31"/>
        <v>7</v>
      </c>
      <c r="G154" s="87">
        <f t="shared" si="31"/>
        <v>1</v>
      </c>
      <c r="H154" s="87">
        <f t="shared" si="31"/>
        <v>3</v>
      </c>
      <c r="I154" s="88">
        <f t="shared" si="31"/>
        <v>2</v>
      </c>
      <c r="J154" s="89">
        <f t="shared" si="31"/>
        <v>5</v>
      </c>
      <c r="K154" s="74"/>
    </row>
    <row r="155" spans="1:11" outlineLevel="1" x14ac:dyDescent="0.2">
      <c r="A155" s="20">
        <f t="shared" si="30"/>
        <v>13231</v>
      </c>
      <c r="B155" s="19" t="str">
        <f t="shared" si="30"/>
        <v>UHV</v>
      </c>
      <c r="C155" s="79"/>
      <c r="D155" s="87">
        <f t="shared" si="31"/>
        <v>6</v>
      </c>
      <c r="E155" s="88">
        <f t="shared" si="31"/>
        <v>2</v>
      </c>
      <c r="F155" s="88">
        <f t="shared" si="31"/>
        <v>4</v>
      </c>
      <c r="G155" s="87">
        <f t="shared" si="31"/>
        <v>1</v>
      </c>
      <c r="H155" s="87">
        <f t="shared" si="31"/>
        <v>3</v>
      </c>
      <c r="I155" s="88">
        <f t="shared" si="31"/>
        <v>5</v>
      </c>
      <c r="J155" s="89">
        <f t="shared" si="31"/>
        <v>7</v>
      </c>
      <c r="K155" s="74"/>
    </row>
    <row r="156" spans="1:11" outlineLevel="1" x14ac:dyDescent="0.2">
      <c r="A156" s="20">
        <f t="shared" si="30"/>
        <v>3592</v>
      </c>
      <c r="B156" s="19" t="str">
        <f t="shared" si="30"/>
        <v>Midwestern</v>
      </c>
      <c r="C156" s="79"/>
      <c r="D156" s="87">
        <f t="shared" si="31"/>
        <v>6</v>
      </c>
      <c r="E156" s="88">
        <f t="shared" si="31"/>
        <v>2</v>
      </c>
      <c r="F156" s="88">
        <f t="shared" si="31"/>
        <v>7</v>
      </c>
      <c r="G156" s="87">
        <f t="shared" si="31"/>
        <v>1</v>
      </c>
      <c r="H156" s="87">
        <f t="shared" si="31"/>
        <v>5</v>
      </c>
      <c r="I156" s="88">
        <f t="shared" si="31"/>
        <v>4</v>
      </c>
      <c r="J156" s="89">
        <f t="shared" si="31"/>
        <v>3</v>
      </c>
      <c r="K156" s="74"/>
    </row>
    <row r="157" spans="1:11" outlineLevel="1" x14ac:dyDescent="0.2">
      <c r="A157" s="20">
        <f t="shared" si="30"/>
        <v>3594</v>
      </c>
      <c r="B157" s="19" t="str">
        <f t="shared" si="30"/>
        <v>UNT</v>
      </c>
      <c r="C157" s="79"/>
      <c r="D157" s="87">
        <f t="shared" si="31"/>
        <v>6</v>
      </c>
      <c r="E157" s="88">
        <f t="shared" si="31"/>
        <v>2</v>
      </c>
      <c r="F157" s="88">
        <f t="shared" si="31"/>
        <v>7</v>
      </c>
      <c r="G157" s="87">
        <f t="shared" si="31"/>
        <v>1</v>
      </c>
      <c r="H157" s="87">
        <f t="shared" si="31"/>
        <v>5</v>
      </c>
      <c r="I157" s="88">
        <f t="shared" si="31"/>
        <v>3</v>
      </c>
      <c r="J157" s="89">
        <f t="shared" si="31"/>
        <v>4</v>
      </c>
      <c r="K157" s="74"/>
    </row>
    <row r="158" spans="1:11" outlineLevel="1" x14ac:dyDescent="0.2">
      <c r="A158" s="27">
        <f t="shared" si="30"/>
        <v>113594</v>
      </c>
      <c r="B158" s="19" t="str">
        <f t="shared" si="30"/>
        <v>UNTD</v>
      </c>
      <c r="C158" s="79"/>
      <c r="D158" s="87">
        <f t="shared" si="31"/>
        <v>5</v>
      </c>
      <c r="E158" s="88">
        <f t="shared" si="31"/>
        <v>2</v>
      </c>
      <c r="F158" s="88">
        <f t="shared" si="31"/>
        <v>3</v>
      </c>
      <c r="G158" s="87">
        <f t="shared" si="31"/>
        <v>1</v>
      </c>
      <c r="H158" s="87">
        <f t="shared" si="31"/>
        <v>4</v>
      </c>
      <c r="I158" s="88">
        <f t="shared" si="31"/>
        <v>6</v>
      </c>
      <c r="J158" s="89">
        <f t="shared" si="31"/>
        <v>7</v>
      </c>
      <c r="K158" s="74"/>
    </row>
    <row r="159" spans="1:11" outlineLevel="1" x14ac:dyDescent="0.2">
      <c r="A159" s="20">
        <f t="shared" si="30"/>
        <v>3624</v>
      </c>
      <c r="B159" s="19" t="str">
        <f t="shared" si="30"/>
        <v>SFA</v>
      </c>
      <c r="C159" s="79"/>
      <c r="D159" s="87">
        <f t="shared" si="31"/>
        <v>6</v>
      </c>
      <c r="E159" s="88">
        <f t="shared" si="31"/>
        <v>2</v>
      </c>
      <c r="F159" s="88">
        <f t="shared" si="31"/>
        <v>7</v>
      </c>
      <c r="G159" s="87">
        <f t="shared" si="31"/>
        <v>1</v>
      </c>
      <c r="H159" s="87">
        <f t="shared" si="31"/>
        <v>5</v>
      </c>
      <c r="I159" s="88">
        <f t="shared" si="31"/>
        <v>4</v>
      </c>
      <c r="J159" s="89">
        <f t="shared" si="31"/>
        <v>3</v>
      </c>
      <c r="K159" s="74"/>
    </row>
    <row r="160" spans="1:11" outlineLevel="1" x14ac:dyDescent="0.2">
      <c r="A160" s="20">
        <f t="shared" si="30"/>
        <v>3642</v>
      </c>
      <c r="B160" s="19" t="str">
        <f t="shared" si="30"/>
        <v>TSU</v>
      </c>
      <c r="C160" s="79"/>
      <c r="D160" s="87">
        <f t="shared" si="31"/>
        <v>6</v>
      </c>
      <c r="E160" s="88">
        <f t="shared" si="31"/>
        <v>5</v>
      </c>
      <c r="F160" s="88">
        <f t="shared" si="31"/>
        <v>7</v>
      </c>
      <c r="G160" s="87">
        <f t="shared" si="31"/>
        <v>1</v>
      </c>
      <c r="H160" s="87">
        <f t="shared" si="31"/>
        <v>4</v>
      </c>
      <c r="I160" s="88">
        <f t="shared" si="31"/>
        <v>3</v>
      </c>
      <c r="J160" s="89">
        <f t="shared" si="31"/>
        <v>2</v>
      </c>
      <c r="K160" s="74"/>
    </row>
    <row r="161" spans="1:12" outlineLevel="1" x14ac:dyDescent="0.2">
      <c r="A161" s="20">
        <f t="shared" si="30"/>
        <v>3644</v>
      </c>
      <c r="B161" s="19" t="str">
        <f t="shared" si="30"/>
        <v>TTU</v>
      </c>
      <c r="C161" s="79"/>
      <c r="D161" s="87">
        <f t="shared" ref="D161:J170" si="32">RANK(D207,$D207:$J207)</f>
        <v>6</v>
      </c>
      <c r="E161" s="88">
        <f t="shared" si="32"/>
        <v>1</v>
      </c>
      <c r="F161" s="88">
        <f t="shared" si="32"/>
        <v>7</v>
      </c>
      <c r="G161" s="87">
        <f t="shared" si="32"/>
        <v>2</v>
      </c>
      <c r="H161" s="87">
        <f t="shared" si="32"/>
        <v>5</v>
      </c>
      <c r="I161" s="88">
        <f t="shared" si="32"/>
        <v>4</v>
      </c>
      <c r="J161" s="89">
        <f t="shared" si="32"/>
        <v>3</v>
      </c>
      <c r="K161" s="74"/>
    </row>
    <row r="162" spans="1:12" outlineLevel="1" x14ac:dyDescent="0.2">
      <c r="A162" s="20">
        <f t="shared" si="30"/>
        <v>3541</v>
      </c>
      <c r="B162" s="19" t="str">
        <f t="shared" si="30"/>
        <v>Angelo</v>
      </c>
      <c r="C162" s="79"/>
      <c r="D162" s="87">
        <f t="shared" si="32"/>
        <v>6</v>
      </c>
      <c r="E162" s="88">
        <f t="shared" si="32"/>
        <v>2</v>
      </c>
      <c r="F162" s="88">
        <f t="shared" si="32"/>
        <v>7</v>
      </c>
      <c r="G162" s="87">
        <f t="shared" si="32"/>
        <v>1</v>
      </c>
      <c r="H162" s="87">
        <f t="shared" si="32"/>
        <v>5</v>
      </c>
      <c r="I162" s="88">
        <f t="shared" si="32"/>
        <v>4</v>
      </c>
      <c r="J162" s="89">
        <f t="shared" si="32"/>
        <v>3</v>
      </c>
      <c r="K162" s="74"/>
    </row>
    <row r="163" spans="1:12" outlineLevel="1" x14ac:dyDescent="0.2">
      <c r="A163" s="20">
        <f t="shared" ref="A163:B168" si="33">A122</f>
        <v>3646</v>
      </c>
      <c r="B163" s="19" t="str">
        <f t="shared" si="33"/>
        <v>TWU</v>
      </c>
      <c r="C163" s="79"/>
      <c r="D163" s="87">
        <f t="shared" si="32"/>
        <v>6</v>
      </c>
      <c r="E163" s="88">
        <f t="shared" si="32"/>
        <v>2</v>
      </c>
      <c r="F163" s="88">
        <f t="shared" si="32"/>
        <v>7</v>
      </c>
      <c r="G163" s="87">
        <f t="shared" si="32"/>
        <v>1</v>
      </c>
      <c r="H163" s="87">
        <f t="shared" si="32"/>
        <v>3</v>
      </c>
      <c r="I163" s="88">
        <f t="shared" si="32"/>
        <v>4</v>
      </c>
      <c r="J163" s="89">
        <f t="shared" si="32"/>
        <v>5</v>
      </c>
      <c r="K163" s="74"/>
    </row>
    <row r="164" spans="1:12" outlineLevel="1" x14ac:dyDescent="0.2">
      <c r="A164" s="20">
        <f t="shared" si="33"/>
        <v>3581</v>
      </c>
      <c r="B164" s="19" t="str">
        <f t="shared" si="33"/>
        <v>Lamar</v>
      </c>
      <c r="C164" s="79"/>
      <c r="D164" s="87">
        <f t="shared" si="32"/>
        <v>6</v>
      </c>
      <c r="E164" s="88">
        <f t="shared" si="32"/>
        <v>4</v>
      </c>
      <c r="F164" s="88">
        <f t="shared" si="32"/>
        <v>7</v>
      </c>
      <c r="G164" s="87">
        <f t="shared" si="32"/>
        <v>1</v>
      </c>
      <c r="H164" s="87">
        <f t="shared" si="32"/>
        <v>5</v>
      </c>
      <c r="I164" s="88">
        <f t="shared" si="32"/>
        <v>3</v>
      </c>
      <c r="J164" s="89">
        <f t="shared" si="32"/>
        <v>2</v>
      </c>
      <c r="K164" s="74"/>
    </row>
    <row r="165" spans="1:12" outlineLevel="1" x14ac:dyDescent="0.2">
      <c r="A165" s="20">
        <f t="shared" si="33"/>
        <v>3606</v>
      </c>
      <c r="B165" s="19" t="str">
        <f t="shared" si="33"/>
        <v>SHSU</v>
      </c>
      <c r="C165" s="79"/>
      <c r="D165" s="87">
        <f t="shared" si="32"/>
        <v>6</v>
      </c>
      <c r="E165" s="88">
        <f t="shared" si="32"/>
        <v>2</v>
      </c>
      <c r="F165" s="88">
        <f t="shared" si="32"/>
        <v>7</v>
      </c>
      <c r="G165" s="87">
        <f t="shared" si="32"/>
        <v>1</v>
      </c>
      <c r="H165" s="87">
        <f t="shared" si="32"/>
        <v>5</v>
      </c>
      <c r="I165" s="88">
        <f t="shared" si="32"/>
        <v>3</v>
      </c>
      <c r="J165" s="89">
        <f t="shared" si="32"/>
        <v>4</v>
      </c>
      <c r="K165" s="74"/>
    </row>
    <row r="166" spans="1:12" outlineLevel="1" x14ac:dyDescent="0.2">
      <c r="A166" s="20">
        <f t="shared" si="33"/>
        <v>3615</v>
      </c>
      <c r="B166" s="19" t="str">
        <f t="shared" si="33"/>
        <v>TXST</v>
      </c>
      <c r="C166" s="79"/>
      <c r="D166" s="87">
        <f t="shared" si="32"/>
        <v>6</v>
      </c>
      <c r="E166" s="88">
        <f t="shared" si="32"/>
        <v>2</v>
      </c>
      <c r="F166" s="88">
        <f t="shared" si="32"/>
        <v>7</v>
      </c>
      <c r="G166" s="87">
        <f t="shared" si="32"/>
        <v>1</v>
      </c>
      <c r="H166" s="87">
        <f t="shared" si="32"/>
        <v>5</v>
      </c>
      <c r="I166" s="88">
        <f t="shared" si="32"/>
        <v>3</v>
      </c>
      <c r="J166" s="89">
        <f t="shared" si="32"/>
        <v>4</v>
      </c>
      <c r="K166" s="74"/>
    </row>
    <row r="167" spans="1:12" outlineLevel="1" x14ac:dyDescent="0.2">
      <c r="A167" s="20">
        <f t="shared" si="33"/>
        <v>3625</v>
      </c>
      <c r="B167" s="19" t="str">
        <f t="shared" si="33"/>
        <v>SRSU</v>
      </c>
      <c r="C167" s="79"/>
      <c r="D167" s="87">
        <f t="shared" si="32"/>
        <v>7</v>
      </c>
      <c r="E167" s="88">
        <f t="shared" si="32"/>
        <v>5</v>
      </c>
      <c r="F167" s="88">
        <f t="shared" si="32"/>
        <v>6</v>
      </c>
      <c r="G167" s="87">
        <f t="shared" si="32"/>
        <v>1</v>
      </c>
      <c r="H167" s="87">
        <f t="shared" si="32"/>
        <v>4</v>
      </c>
      <c r="I167" s="88">
        <f t="shared" si="32"/>
        <v>3</v>
      </c>
      <c r="J167" s="89">
        <f t="shared" si="32"/>
        <v>2</v>
      </c>
      <c r="K167" s="74"/>
    </row>
    <row r="168" spans="1:12" ht="13.5" outlineLevel="1" thickBot="1" x14ac:dyDescent="0.25">
      <c r="A168" s="111">
        <f t="shared" si="33"/>
        <v>20</v>
      </c>
      <c r="B168" s="112" t="str">
        <f t="shared" si="33"/>
        <v>SRRG</v>
      </c>
      <c r="C168" s="113"/>
      <c r="D168" s="114">
        <f t="shared" si="32"/>
        <v>6</v>
      </c>
      <c r="E168" s="115">
        <f t="shared" si="32"/>
        <v>3</v>
      </c>
      <c r="F168" s="115">
        <f t="shared" si="32"/>
        <v>2</v>
      </c>
      <c r="G168" s="114">
        <f t="shared" si="32"/>
        <v>1</v>
      </c>
      <c r="H168" s="114">
        <f t="shared" si="32"/>
        <v>4</v>
      </c>
      <c r="I168" s="115">
        <f t="shared" si="32"/>
        <v>5</v>
      </c>
      <c r="J168" s="116">
        <f t="shared" si="32"/>
        <v>7</v>
      </c>
      <c r="K168" s="74"/>
    </row>
    <row r="169" spans="1:12" ht="13.5" thickBot="1" x14ac:dyDescent="0.25">
      <c r="C169" s="79"/>
      <c r="D169" s="80"/>
      <c r="E169" s="80"/>
      <c r="F169" s="80"/>
      <c r="G169" s="80"/>
      <c r="H169" s="80"/>
      <c r="I169" s="80"/>
      <c r="J169" s="80"/>
      <c r="K169" s="74"/>
    </row>
    <row r="170" spans="1:12" x14ac:dyDescent="0.2">
      <c r="C170" s="91" t="s">
        <v>11</v>
      </c>
      <c r="D170" s="92">
        <v>1</v>
      </c>
      <c r="E170" s="92">
        <v>2</v>
      </c>
      <c r="F170" s="92">
        <v>3</v>
      </c>
      <c r="G170" s="92">
        <v>4</v>
      </c>
      <c r="H170" s="92">
        <v>5</v>
      </c>
      <c r="I170" s="92">
        <v>6</v>
      </c>
      <c r="J170" s="93">
        <v>7</v>
      </c>
      <c r="L170" s="126"/>
    </row>
    <row r="171" spans="1:12" ht="13.5" thickBot="1" x14ac:dyDescent="0.25">
      <c r="C171" s="160">
        <f>SUM(D171:J171)</f>
        <v>1</v>
      </c>
      <c r="D171" s="161">
        <v>0.25</v>
      </c>
      <c r="E171" s="161">
        <v>0.25</v>
      </c>
      <c r="F171" s="142">
        <v>0.2</v>
      </c>
      <c r="G171" s="118">
        <v>0.15</v>
      </c>
      <c r="H171" s="144">
        <v>0.1</v>
      </c>
      <c r="I171" s="145">
        <v>0.05</v>
      </c>
      <c r="J171" s="162">
        <v>0</v>
      </c>
      <c r="L171" s="126"/>
    </row>
    <row r="172" spans="1:12" x14ac:dyDescent="0.2">
      <c r="C172" s="79"/>
      <c r="D172" s="80"/>
      <c r="E172" s="80"/>
      <c r="F172" s="80"/>
      <c r="G172" s="80"/>
      <c r="H172" s="80"/>
      <c r="I172" s="80"/>
      <c r="J172" s="80"/>
      <c r="K172" s="74"/>
    </row>
    <row r="173" spans="1:12" ht="13.5" thickBot="1" x14ac:dyDescent="0.25">
      <c r="A173" s="56" t="s">
        <v>73</v>
      </c>
    </row>
    <row r="174" spans="1:12" ht="12.75" customHeight="1" outlineLevel="1" x14ac:dyDescent="0.2">
      <c r="A174" s="184" t="s">
        <v>22</v>
      </c>
      <c r="B174" s="186" t="s">
        <v>21</v>
      </c>
      <c r="C174" s="188" t="s">
        <v>34</v>
      </c>
      <c r="D174" s="173" t="s">
        <v>33</v>
      </c>
      <c r="E174" s="174"/>
      <c r="F174" s="174"/>
      <c r="G174" s="176" t="s">
        <v>16</v>
      </c>
      <c r="H174" s="178" t="s">
        <v>32</v>
      </c>
      <c r="I174" s="179"/>
      <c r="J174" s="180"/>
      <c r="K174" s="191"/>
    </row>
    <row r="175" spans="1:12" ht="51.75" outlineLevel="1" thickBot="1" x14ac:dyDescent="0.25">
      <c r="A175" s="185"/>
      <c r="B175" s="187"/>
      <c r="C175" s="189"/>
      <c r="D175" s="124"/>
      <c r="E175" s="101" t="s">
        <v>31</v>
      </c>
      <c r="F175" s="101" t="s">
        <v>30</v>
      </c>
      <c r="G175" s="190"/>
      <c r="H175" s="103" t="s">
        <v>14</v>
      </c>
      <c r="I175" s="104" t="s">
        <v>13</v>
      </c>
      <c r="J175" s="110" t="s">
        <v>12</v>
      </c>
      <c r="K175" s="191"/>
    </row>
    <row r="176" spans="1:12" outlineLevel="1" x14ac:dyDescent="0.2">
      <c r="A176" s="198" t="s">
        <v>76</v>
      </c>
      <c r="B176" s="199"/>
      <c r="C176" s="200"/>
      <c r="D176" s="106">
        <v>1</v>
      </c>
      <c r="E176" s="107">
        <v>7</v>
      </c>
      <c r="F176" s="107">
        <v>25</v>
      </c>
      <c r="G176" s="109">
        <v>7</v>
      </c>
      <c r="H176" s="106">
        <v>1.5</v>
      </c>
      <c r="I176" s="107">
        <v>2.5</v>
      </c>
      <c r="J176" s="108">
        <v>4</v>
      </c>
    </row>
    <row r="177" spans="1:11" outlineLevel="1" x14ac:dyDescent="0.2">
      <c r="A177" s="20">
        <f t="shared" ref="A177:B192" si="34">A5</f>
        <v>3656</v>
      </c>
      <c r="B177" s="19" t="str">
        <f t="shared" si="34"/>
        <v>UTA</v>
      </c>
      <c r="C177" s="54">
        <f t="shared" ref="C177:C214" si="35">SUM(D177:J177)</f>
        <v>72750.404706951216</v>
      </c>
      <c r="D177" s="15">
        <f t="shared" ref="D177:J192" si="36">D219*D$176</f>
        <v>5018</v>
      </c>
      <c r="E177" s="14">
        <f t="shared" si="36"/>
        <v>18206.976666666669</v>
      </c>
      <c r="F177" s="14">
        <f t="shared" si="36"/>
        <v>740.09470695120706</v>
      </c>
      <c r="G177" s="34">
        <f t="shared" si="36"/>
        <v>21812</v>
      </c>
      <c r="H177" s="36">
        <f t="shared" si="36"/>
        <v>10254.5</v>
      </c>
      <c r="I177" s="55">
        <f t="shared" si="36"/>
        <v>9584.1666666666661</v>
      </c>
      <c r="J177" s="35">
        <f t="shared" si="36"/>
        <v>7134.666666666667</v>
      </c>
      <c r="K177" s="125"/>
    </row>
    <row r="178" spans="1:11" outlineLevel="1" x14ac:dyDescent="0.2">
      <c r="A178" s="20">
        <f t="shared" si="34"/>
        <v>3658</v>
      </c>
      <c r="B178" s="19" t="str">
        <f t="shared" si="34"/>
        <v>UT</v>
      </c>
      <c r="C178" s="54">
        <f t="shared" si="35"/>
        <v>150889.68130152812</v>
      </c>
      <c r="D178" s="15">
        <f t="shared" si="36"/>
        <v>8946.3333333333339</v>
      </c>
      <c r="E178" s="14">
        <f t="shared" si="36"/>
        <v>51915.572333333344</v>
      </c>
      <c r="F178" s="14">
        <f t="shared" si="36"/>
        <v>662.4423015281169</v>
      </c>
      <c r="G178" s="16">
        <f t="shared" si="36"/>
        <v>24292.333333333336</v>
      </c>
      <c r="H178" s="15">
        <f t="shared" si="36"/>
        <v>14397.5</v>
      </c>
      <c r="I178" s="14">
        <f t="shared" si="36"/>
        <v>22514.166666666664</v>
      </c>
      <c r="J178" s="13">
        <f t="shared" si="36"/>
        <v>28161.333333333332</v>
      </c>
      <c r="K178" s="74"/>
    </row>
    <row r="179" spans="1:11" outlineLevel="1" x14ac:dyDescent="0.2">
      <c r="A179" s="20">
        <f t="shared" si="34"/>
        <v>9741</v>
      </c>
      <c r="B179" s="19" t="str">
        <f t="shared" si="34"/>
        <v>UTD</v>
      </c>
      <c r="C179" s="54">
        <f t="shared" si="35"/>
        <v>38471.030346249296</v>
      </c>
      <c r="D179" s="15">
        <f t="shared" si="36"/>
        <v>2393</v>
      </c>
      <c r="E179" s="14">
        <f t="shared" si="36"/>
        <v>11775.953</v>
      </c>
      <c r="F179" s="14">
        <f t="shared" si="36"/>
        <v>670.74401291595666</v>
      </c>
      <c r="G179" s="16">
        <f t="shared" si="36"/>
        <v>9237.6666666666679</v>
      </c>
      <c r="H179" s="15">
        <f t="shared" si="36"/>
        <v>4972.5</v>
      </c>
      <c r="I179" s="14">
        <f t="shared" si="36"/>
        <v>5335.8333333333339</v>
      </c>
      <c r="J179" s="13">
        <f t="shared" si="36"/>
        <v>4085.3333333333335</v>
      </c>
      <c r="K179" s="74"/>
    </row>
    <row r="180" spans="1:11" outlineLevel="1" x14ac:dyDescent="0.2">
      <c r="A180" s="20">
        <f t="shared" si="34"/>
        <v>3661</v>
      </c>
      <c r="B180" s="19" t="str">
        <f t="shared" si="34"/>
        <v>UTEP</v>
      </c>
      <c r="C180" s="54">
        <f t="shared" si="35"/>
        <v>51987.715696733918</v>
      </c>
      <c r="D180" s="15">
        <f t="shared" si="36"/>
        <v>3057</v>
      </c>
      <c r="E180" s="14">
        <f t="shared" si="36"/>
        <v>8345.6099999999988</v>
      </c>
      <c r="F180" s="14">
        <f t="shared" si="36"/>
        <v>571.77236340058357</v>
      </c>
      <c r="G180" s="16">
        <f t="shared" si="36"/>
        <v>17250.333333333336</v>
      </c>
      <c r="H180" s="15">
        <f t="shared" si="36"/>
        <v>6544</v>
      </c>
      <c r="I180" s="14">
        <f t="shared" si="36"/>
        <v>8395</v>
      </c>
      <c r="J180" s="13">
        <f t="shared" si="36"/>
        <v>7824</v>
      </c>
      <c r="K180" s="74"/>
    </row>
    <row r="181" spans="1:11" outlineLevel="1" x14ac:dyDescent="0.2">
      <c r="A181" s="20">
        <f t="shared" si="34"/>
        <v>3599</v>
      </c>
      <c r="B181" s="19" t="str">
        <f t="shared" si="34"/>
        <v>UTPA</v>
      </c>
      <c r="C181" s="54">
        <f t="shared" si="35"/>
        <v>48854.838929154117</v>
      </c>
      <c r="D181" s="15">
        <f t="shared" si="36"/>
        <v>2580</v>
      </c>
      <c r="E181" s="14">
        <f t="shared" si="36"/>
        <v>7783.8600000000006</v>
      </c>
      <c r="F181" s="14">
        <f t="shared" si="36"/>
        <v>512.31226248744588</v>
      </c>
      <c r="G181" s="16">
        <f t="shared" si="36"/>
        <v>16368.333333333334</v>
      </c>
      <c r="H181" s="15">
        <f t="shared" si="36"/>
        <v>6113</v>
      </c>
      <c r="I181" s="14">
        <f t="shared" si="36"/>
        <v>7740</v>
      </c>
      <c r="J181" s="13">
        <f t="shared" si="36"/>
        <v>7757.333333333333</v>
      </c>
      <c r="K181" s="74"/>
    </row>
    <row r="182" spans="1:11" outlineLevel="1" x14ac:dyDescent="0.2">
      <c r="A182" s="20">
        <f t="shared" si="34"/>
        <v>30646</v>
      </c>
      <c r="B182" s="19" t="str">
        <f t="shared" si="34"/>
        <v>UTB</v>
      </c>
      <c r="C182" s="54">
        <f t="shared" si="35"/>
        <v>16690.394047476224</v>
      </c>
      <c r="D182" s="15">
        <f t="shared" si="36"/>
        <v>1092</v>
      </c>
      <c r="E182" s="14">
        <f t="shared" si="36"/>
        <v>4397.1964715911399</v>
      </c>
      <c r="F182" s="14">
        <f t="shared" si="36"/>
        <v>861.53090921841567</v>
      </c>
      <c r="G182" s="16">
        <f t="shared" si="36"/>
        <v>6556.6666666666661</v>
      </c>
      <c r="H182" s="15">
        <f t="shared" si="36"/>
        <v>1989.5</v>
      </c>
      <c r="I182" s="14">
        <f t="shared" si="36"/>
        <v>1390.8333333333335</v>
      </c>
      <c r="J182" s="13">
        <f t="shared" si="36"/>
        <v>402.66666666666669</v>
      </c>
      <c r="K182" s="74"/>
    </row>
    <row r="183" spans="1:11" outlineLevel="1" x14ac:dyDescent="0.2">
      <c r="A183" s="20">
        <f t="shared" si="34"/>
        <v>9930</v>
      </c>
      <c r="B183" s="19" t="str">
        <f t="shared" si="34"/>
        <v>UTPB</v>
      </c>
      <c r="C183" s="54">
        <f t="shared" si="35"/>
        <v>8747.0626994144841</v>
      </c>
      <c r="D183" s="15">
        <f t="shared" si="36"/>
        <v>533.33333333333337</v>
      </c>
      <c r="E183" s="14">
        <f t="shared" si="36"/>
        <v>1657.6000000000001</v>
      </c>
      <c r="F183" s="14">
        <f t="shared" si="36"/>
        <v>578.12936608115024</v>
      </c>
      <c r="G183" s="16">
        <f t="shared" si="36"/>
        <v>2793</v>
      </c>
      <c r="H183" s="15">
        <f t="shared" si="36"/>
        <v>1178.5</v>
      </c>
      <c r="I183" s="14">
        <f t="shared" si="36"/>
        <v>1229.1666666666667</v>
      </c>
      <c r="J183" s="13">
        <f t="shared" si="36"/>
        <v>777.33333333333337</v>
      </c>
      <c r="K183" s="74"/>
    </row>
    <row r="184" spans="1:11" outlineLevel="1" x14ac:dyDescent="0.2">
      <c r="A184" s="20">
        <f t="shared" si="34"/>
        <v>10115</v>
      </c>
      <c r="B184" s="19" t="str">
        <f t="shared" si="34"/>
        <v>UTSA</v>
      </c>
      <c r="C184" s="54">
        <f t="shared" si="35"/>
        <v>70475.075296978655</v>
      </c>
      <c r="D184" s="15">
        <f t="shared" si="36"/>
        <v>4119.666666666667</v>
      </c>
      <c r="E184" s="14">
        <f t="shared" si="36"/>
        <v>12159.882777777779</v>
      </c>
      <c r="F184" s="14">
        <f t="shared" si="36"/>
        <v>506.02585253421006</v>
      </c>
      <c r="G184" s="16">
        <f t="shared" si="36"/>
        <v>21865.666666666664</v>
      </c>
      <c r="H184" s="15">
        <f t="shared" si="36"/>
        <v>10214.5</v>
      </c>
      <c r="I184" s="14">
        <f t="shared" si="36"/>
        <v>11146.666666666668</v>
      </c>
      <c r="J184" s="13">
        <f t="shared" si="36"/>
        <v>10462.666666666666</v>
      </c>
      <c r="K184" s="74"/>
    </row>
    <row r="185" spans="1:11" outlineLevel="1" x14ac:dyDescent="0.2">
      <c r="A185" s="20">
        <f t="shared" si="34"/>
        <v>11163</v>
      </c>
      <c r="B185" s="19" t="str">
        <f t="shared" si="34"/>
        <v>UTT</v>
      </c>
      <c r="C185" s="54">
        <f t="shared" si="35"/>
        <v>18742.063512928798</v>
      </c>
      <c r="D185" s="15">
        <f t="shared" si="36"/>
        <v>1190</v>
      </c>
      <c r="E185" s="14">
        <f t="shared" si="36"/>
        <v>4295.503333333334</v>
      </c>
      <c r="F185" s="14">
        <f t="shared" si="36"/>
        <v>731.39351292879735</v>
      </c>
      <c r="G185" s="16">
        <f t="shared" si="36"/>
        <v>6596.3333333333339</v>
      </c>
      <c r="H185" s="15">
        <f t="shared" si="36"/>
        <v>2154.5</v>
      </c>
      <c r="I185" s="14">
        <f t="shared" si="36"/>
        <v>2225</v>
      </c>
      <c r="J185" s="13">
        <f t="shared" si="36"/>
        <v>1549.3333333333333</v>
      </c>
      <c r="K185" s="74"/>
    </row>
    <row r="186" spans="1:11" outlineLevel="1" x14ac:dyDescent="0.2">
      <c r="A186" s="20">
        <f t="shared" si="34"/>
        <v>3632</v>
      </c>
      <c r="B186" s="19" t="str">
        <f t="shared" si="34"/>
        <v>TAMU</v>
      </c>
      <c r="C186" s="54">
        <f t="shared" si="35"/>
        <v>151818.73894204883</v>
      </c>
      <c r="D186" s="15">
        <f t="shared" si="36"/>
        <v>8739.6666666666661</v>
      </c>
      <c r="E186" s="14">
        <f t="shared" si="36"/>
        <v>51430.025111111099</v>
      </c>
      <c r="F186" s="14">
        <f t="shared" si="36"/>
        <v>631.047164271067</v>
      </c>
      <c r="G186" s="16">
        <f t="shared" si="36"/>
        <v>26068</v>
      </c>
      <c r="H186" s="15">
        <f t="shared" si="36"/>
        <v>15091</v>
      </c>
      <c r="I186" s="14">
        <f t="shared" si="36"/>
        <v>22268.333333333336</v>
      </c>
      <c r="J186" s="13">
        <f t="shared" si="36"/>
        <v>27590.666666666668</v>
      </c>
      <c r="K186" s="74"/>
    </row>
    <row r="187" spans="1:11" outlineLevel="1" x14ac:dyDescent="0.2">
      <c r="A187" s="20">
        <f t="shared" si="34"/>
        <v>10298</v>
      </c>
      <c r="B187" s="19" t="str">
        <f t="shared" si="34"/>
        <v>TAMUG</v>
      </c>
      <c r="C187" s="54">
        <f t="shared" si="35"/>
        <v>5667.8963063673582</v>
      </c>
      <c r="D187" s="15">
        <f t="shared" si="36"/>
        <v>275.33333333333331</v>
      </c>
      <c r="E187" s="14">
        <f t="shared" si="36"/>
        <v>1209.0804444444445</v>
      </c>
      <c r="F187" s="14">
        <f t="shared" si="36"/>
        <v>409.98252858958068</v>
      </c>
      <c r="G187" s="16">
        <f t="shared" si="36"/>
        <v>1106</v>
      </c>
      <c r="H187" s="15">
        <f t="shared" si="36"/>
        <v>888.5</v>
      </c>
      <c r="I187" s="14">
        <f t="shared" si="36"/>
        <v>795</v>
      </c>
      <c r="J187" s="13">
        <f t="shared" si="36"/>
        <v>984</v>
      </c>
      <c r="K187" s="74"/>
    </row>
    <row r="188" spans="1:11" outlineLevel="1" x14ac:dyDescent="0.2">
      <c r="A188" s="20">
        <f t="shared" si="34"/>
        <v>3630</v>
      </c>
      <c r="B188" s="19" t="str">
        <f t="shared" si="34"/>
        <v>Prairie View</v>
      </c>
      <c r="C188" s="54">
        <f t="shared" si="35"/>
        <v>18462.452756187977</v>
      </c>
      <c r="D188" s="15">
        <f t="shared" si="36"/>
        <v>936.33333333333337</v>
      </c>
      <c r="E188" s="14">
        <f t="shared" si="36"/>
        <v>2436.027222222222</v>
      </c>
      <c r="F188" s="14">
        <f t="shared" si="36"/>
        <v>395.59220063242179</v>
      </c>
      <c r="G188" s="16">
        <f t="shared" si="36"/>
        <v>5618.6666666666661</v>
      </c>
      <c r="H188" s="15">
        <f t="shared" si="36"/>
        <v>2502</v>
      </c>
      <c r="I188" s="14">
        <f t="shared" si="36"/>
        <v>2952.5</v>
      </c>
      <c r="J188" s="13">
        <f t="shared" si="36"/>
        <v>3621.3333333333335</v>
      </c>
      <c r="K188" s="74"/>
    </row>
    <row r="189" spans="1:11" outlineLevel="1" x14ac:dyDescent="0.2">
      <c r="A189" s="20">
        <f t="shared" si="34"/>
        <v>3631</v>
      </c>
      <c r="B189" s="19" t="str">
        <f t="shared" si="34"/>
        <v>Tarleton</v>
      </c>
      <c r="C189" s="54">
        <f t="shared" si="35"/>
        <v>25698.846193808145</v>
      </c>
      <c r="D189" s="15">
        <f t="shared" si="36"/>
        <v>1545.3333333333333</v>
      </c>
      <c r="E189" s="14">
        <f t="shared" si="36"/>
        <v>5170.6853333333338</v>
      </c>
      <c r="F189" s="14">
        <f t="shared" si="36"/>
        <v>613.99419380814152</v>
      </c>
      <c r="G189" s="16">
        <f t="shared" si="36"/>
        <v>8365</v>
      </c>
      <c r="H189" s="15">
        <f t="shared" si="36"/>
        <v>3231.5</v>
      </c>
      <c r="I189" s="14">
        <f t="shared" si="36"/>
        <v>3321.666666666667</v>
      </c>
      <c r="J189" s="13">
        <f t="shared" si="36"/>
        <v>3450.6666666666665</v>
      </c>
      <c r="K189" s="74"/>
    </row>
    <row r="190" spans="1:11" outlineLevel="1" x14ac:dyDescent="0.2">
      <c r="A190" s="27">
        <f t="shared" si="34"/>
        <v>103631</v>
      </c>
      <c r="B190" s="19" t="str">
        <f t="shared" si="34"/>
        <v>TAMUCT</v>
      </c>
      <c r="C190" s="54">
        <f t="shared" si="35"/>
        <v>7190.3049047168479</v>
      </c>
      <c r="D190" s="15">
        <f t="shared" si="36"/>
        <v>460.33333333333331</v>
      </c>
      <c r="E190" s="14">
        <f t="shared" si="36"/>
        <v>1540.2753333333333</v>
      </c>
      <c r="F190" s="14">
        <f t="shared" si="36"/>
        <v>1689.6962380501811</v>
      </c>
      <c r="G190" s="16">
        <f t="shared" si="36"/>
        <v>2289</v>
      </c>
      <c r="H190" s="15">
        <f t="shared" si="36"/>
        <v>742.5</v>
      </c>
      <c r="I190" s="14">
        <f t="shared" si="36"/>
        <v>332.5</v>
      </c>
      <c r="J190" s="13">
        <f t="shared" si="36"/>
        <v>136</v>
      </c>
      <c r="K190" s="74"/>
    </row>
    <row r="191" spans="1:11" outlineLevel="1" x14ac:dyDescent="0.2">
      <c r="A191" s="20">
        <f t="shared" si="34"/>
        <v>11161</v>
      </c>
      <c r="B191" s="19" t="str">
        <f t="shared" si="34"/>
        <v>TAMUCC</v>
      </c>
      <c r="C191" s="54">
        <f t="shared" si="35"/>
        <v>24683.992851570518</v>
      </c>
      <c r="D191" s="15">
        <f t="shared" si="36"/>
        <v>1388.3333333333333</v>
      </c>
      <c r="E191" s="14">
        <f t="shared" si="36"/>
        <v>4936.913333333333</v>
      </c>
      <c r="F191" s="14">
        <f t="shared" si="36"/>
        <v>534.41285157051936</v>
      </c>
      <c r="G191" s="16">
        <f t="shared" si="36"/>
        <v>7560</v>
      </c>
      <c r="H191" s="15">
        <f t="shared" si="36"/>
        <v>3081</v>
      </c>
      <c r="I191" s="14">
        <f t="shared" si="36"/>
        <v>3670</v>
      </c>
      <c r="J191" s="13">
        <f t="shared" si="36"/>
        <v>3513.3333333333335</v>
      </c>
      <c r="K191" s="74"/>
    </row>
    <row r="192" spans="1:11" outlineLevel="1" x14ac:dyDescent="0.2">
      <c r="A192" s="20">
        <f t="shared" si="34"/>
        <v>3639</v>
      </c>
      <c r="B192" s="19" t="str">
        <f t="shared" si="34"/>
        <v>TAMUK</v>
      </c>
      <c r="C192" s="54">
        <f t="shared" si="35"/>
        <v>14116.92803599374</v>
      </c>
      <c r="D192" s="15">
        <f t="shared" si="36"/>
        <v>761.66666666666663</v>
      </c>
      <c r="E192" s="14">
        <f t="shared" si="36"/>
        <v>2145.1072222222224</v>
      </c>
      <c r="F192" s="14">
        <f t="shared" si="36"/>
        <v>446.98748043818466</v>
      </c>
      <c r="G192" s="16">
        <f t="shared" si="36"/>
        <v>4538.3333333333339</v>
      </c>
      <c r="H192" s="15">
        <f t="shared" si="36"/>
        <v>1841</v>
      </c>
      <c r="I192" s="14">
        <f t="shared" si="36"/>
        <v>2149.1666666666665</v>
      </c>
      <c r="J192" s="13">
        <f t="shared" si="36"/>
        <v>2234.6666666666665</v>
      </c>
      <c r="K192" s="74"/>
    </row>
    <row r="193" spans="1:11" outlineLevel="1" x14ac:dyDescent="0.2">
      <c r="A193" s="27">
        <f t="shared" ref="A193:B208" si="37">A21</f>
        <v>103639</v>
      </c>
      <c r="B193" s="19" t="str">
        <f t="shared" si="37"/>
        <v>TAMUSA</v>
      </c>
      <c r="C193" s="54">
        <f t="shared" si="35"/>
        <v>8013.5277843564945</v>
      </c>
      <c r="D193" s="15">
        <f t="shared" ref="D193:J208" si="38">D235*D$176</f>
        <v>587.66666666666663</v>
      </c>
      <c r="E193" s="14">
        <f t="shared" si="38"/>
        <v>1655.0652222222222</v>
      </c>
      <c r="F193" s="14">
        <f t="shared" si="38"/>
        <v>1039.962562134273</v>
      </c>
      <c r="G193" s="16">
        <f t="shared" si="38"/>
        <v>3432.333333333333</v>
      </c>
      <c r="H193" s="15">
        <f t="shared" si="38"/>
        <v>1094.5</v>
      </c>
      <c r="I193" s="14">
        <f t="shared" si="38"/>
        <v>193.33333333333331</v>
      </c>
      <c r="J193" s="13">
        <f t="shared" si="38"/>
        <v>10.666666666666666</v>
      </c>
      <c r="K193" s="74"/>
    </row>
    <row r="194" spans="1:11" outlineLevel="1" x14ac:dyDescent="0.2">
      <c r="A194" s="20">
        <f t="shared" si="37"/>
        <v>9651</v>
      </c>
      <c r="B194" s="19" t="str">
        <f t="shared" si="37"/>
        <v>TAMI</v>
      </c>
      <c r="C194" s="54">
        <f t="shared" si="35"/>
        <v>15421.749414260074</v>
      </c>
      <c r="D194" s="15">
        <f t="shared" si="38"/>
        <v>789.66666666666663</v>
      </c>
      <c r="E194" s="14">
        <f t="shared" si="38"/>
        <v>2616.4288888888887</v>
      </c>
      <c r="F194" s="14">
        <f t="shared" si="38"/>
        <v>483.15385870451951</v>
      </c>
      <c r="G194" s="16">
        <f t="shared" si="38"/>
        <v>4988.6666666666661</v>
      </c>
      <c r="H194" s="15">
        <f t="shared" si="38"/>
        <v>2110</v>
      </c>
      <c r="I194" s="14">
        <f t="shared" si="38"/>
        <v>2539.1666666666665</v>
      </c>
      <c r="J194" s="13">
        <f t="shared" si="38"/>
        <v>1894.6666666666667</v>
      </c>
      <c r="K194" s="74"/>
    </row>
    <row r="195" spans="1:11" outlineLevel="1" x14ac:dyDescent="0.2">
      <c r="A195" s="20">
        <f t="shared" si="37"/>
        <v>3665</v>
      </c>
      <c r="B195" s="19" t="str">
        <f t="shared" si="37"/>
        <v>WTAMU</v>
      </c>
      <c r="C195" s="54">
        <f t="shared" si="35"/>
        <v>20562.196157461934</v>
      </c>
      <c r="D195" s="15">
        <f t="shared" si="38"/>
        <v>1255.6666666666667</v>
      </c>
      <c r="E195" s="14">
        <f t="shared" si="38"/>
        <v>4137.0031111111111</v>
      </c>
      <c r="F195" s="14">
        <f t="shared" si="38"/>
        <v>579.69304635082176</v>
      </c>
      <c r="G195" s="16">
        <f t="shared" si="38"/>
        <v>6225.3333333333339</v>
      </c>
      <c r="H195" s="15">
        <f t="shared" si="38"/>
        <v>2687.5</v>
      </c>
      <c r="I195" s="14">
        <f t="shared" si="38"/>
        <v>3031.666666666667</v>
      </c>
      <c r="J195" s="13">
        <f t="shared" si="38"/>
        <v>2645.3333333333335</v>
      </c>
      <c r="K195" s="74"/>
    </row>
    <row r="196" spans="1:11" outlineLevel="1" x14ac:dyDescent="0.2">
      <c r="A196" s="20">
        <f t="shared" si="37"/>
        <v>3565</v>
      </c>
      <c r="B196" s="19" t="str">
        <f t="shared" si="37"/>
        <v>TAMUC</v>
      </c>
      <c r="C196" s="54">
        <f t="shared" si="35"/>
        <v>20735.665884067294</v>
      </c>
      <c r="D196" s="15">
        <f t="shared" si="38"/>
        <v>1324.3333333333333</v>
      </c>
      <c r="E196" s="14">
        <f t="shared" si="38"/>
        <v>4078.9466666666663</v>
      </c>
      <c r="F196" s="14">
        <f t="shared" si="38"/>
        <v>704.88588406729627</v>
      </c>
      <c r="G196" s="16">
        <f t="shared" si="38"/>
        <v>7135.3333333333339</v>
      </c>
      <c r="H196" s="15">
        <f t="shared" si="38"/>
        <v>2839.5</v>
      </c>
      <c r="I196" s="14">
        <f t="shared" si="38"/>
        <v>2843.333333333333</v>
      </c>
      <c r="J196" s="13">
        <f t="shared" si="38"/>
        <v>1809.3333333333333</v>
      </c>
      <c r="K196" s="74"/>
    </row>
    <row r="197" spans="1:11" outlineLevel="1" x14ac:dyDescent="0.2">
      <c r="A197" s="20">
        <f t="shared" si="37"/>
        <v>29269</v>
      </c>
      <c r="B197" s="19" t="str">
        <f t="shared" si="37"/>
        <v>TAMUT</v>
      </c>
      <c r="C197" s="54">
        <f t="shared" si="35"/>
        <v>5403.5140496658687</v>
      </c>
      <c r="D197" s="15">
        <f t="shared" si="38"/>
        <v>345.66666666666669</v>
      </c>
      <c r="E197" s="14">
        <f t="shared" si="38"/>
        <v>1311.5218378278626</v>
      </c>
      <c r="F197" s="14">
        <f t="shared" si="38"/>
        <v>969.15887850467288</v>
      </c>
      <c r="G197" s="16">
        <f t="shared" si="38"/>
        <v>1673</v>
      </c>
      <c r="H197" s="15">
        <f t="shared" si="38"/>
        <v>649</v>
      </c>
      <c r="I197" s="14">
        <f t="shared" si="38"/>
        <v>452.5</v>
      </c>
      <c r="J197" s="13">
        <f t="shared" si="38"/>
        <v>2.6666666666666665</v>
      </c>
      <c r="K197" s="74"/>
    </row>
    <row r="198" spans="1:11" outlineLevel="1" x14ac:dyDescent="0.2">
      <c r="A198" s="20">
        <f t="shared" si="37"/>
        <v>3652</v>
      </c>
      <c r="B198" s="19" t="str">
        <f t="shared" si="37"/>
        <v>UH</v>
      </c>
      <c r="C198" s="54">
        <f t="shared" si="35"/>
        <v>87246.053797506218</v>
      </c>
      <c r="D198" s="15">
        <f t="shared" si="38"/>
        <v>5098.666666666667</v>
      </c>
      <c r="E198" s="14">
        <f t="shared" si="38"/>
        <v>19142.094222222222</v>
      </c>
      <c r="F198" s="14">
        <f t="shared" si="38"/>
        <v>535.62624195066564</v>
      </c>
      <c r="G198" s="16">
        <f t="shared" si="38"/>
        <v>23611</v>
      </c>
      <c r="H198" s="15">
        <f t="shared" si="38"/>
        <v>11403.5</v>
      </c>
      <c r="I198" s="14">
        <f t="shared" si="38"/>
        <v>14225.833333333332</v>
      </c>
      <c r="J198" s="13">
        <f t="shared" si="38"/>
        <v>13229.333333333334</v>
      </c>
      <c r="K198" s="74"/>
    </row>
    <row r="199" spans="1:11" outlineLevel="1" x14ac:dyDescent="0.2">
      <c r="A199" s="20">
        <f t="shared" si="37"/>
        <v>11711</v>
      </c>
      <c r="B199" s="19" t="str">
        <f t="shared" si="37"/>
        <v>UHCL</v>
      </c>
      <c r="C199" s="54">
        <f t="shared" si="35"/>
        <v>16637.905255048667</v>
      </c>
      <c r="D199" s="15">
        <f t="shared" si="38"/>
        <v>1190.6666666666667</v>
      </c>
      <c r="E199" s="14">
        <f t="shared" si="38"/>
        <v>4335.3987555129188</v>
      </c>
      <c r="F199" s="14">
        <f t="shared" si="38"/>
        <v>992.33983286908085</v>
      </c>
      <c r="G199" s="16">
        <f t="shared" si="38"/>
        <v>5420.3333333333339</v>
      </c>
      <c r="H199" s="15">
        <f t="shared" si="38"/>
        <v>2087</v>
      </c>
      <c r="I199" s="14">
        <f t="shared" si="38"/>
        <v>2384.1666666666665</v>
      </c>
      <c r="J199" s="13">
        <f t="shared" si="38"/>
        <v>228</v>
      </c>
      <c r="K199" s="74"/>
    </row>
    <row r="200" spans="1:11" outlineLevel="1" x14ac:dyDescent="0.2">
      <c r="A200" s="20">
        <f t="shared" si="37"/>
        <v>12826</v>
      </c>
      <c r="B200" s="19" t="str">
        <f t="shared" si="37"/>
        <v>UHD</v>
      </c>
      <c r="C200" s="54">
        <f t="shared" si="35"/>
        <v>29811.162463243822</v>
      </c>
      <c r="D200" s="15">
        <f t="shared" si="38"/>
        <v>2382.3333333333335</v>
      </c>
      <c r="E200" s="14">
        <f t="shared" si="38"/>
        <v>3168.503333333334</v>
      </c>
      <c r="F200" s="14">
        <f t="shared" si="38"/>
        <v>745.82579657715337</v>
      </c>
      <c r="G200" s="16">
        <f t="shared" si="38"/>
        <v>11767</v>
      </c>
      <c r="H200" s="15">
        <f t="shared" si="38"/>
        <v>4658</v>
      </c>
      <c r="I200" s="14">
        <f t="shared" si="38"/>
        <v>4670.833333333333</v>
      </c>
      <c r="J200" s="13">
        <f t="shared" si="38"/>
        <v>2418.6666666666665</v>
      </c>
      <c r="K200" s="74"/>
    </row>
    <row r="201" spans="1:11" outlineLevel="1" x14ac:dyDescent="0.2">
      <c r="A201" s="20">
        <f t="shared" si="37"/>
        <v>13231</v>
      </c>
      <c r="B201" s="19" t="str">
        <f t="shared" si="37"/>
        <v>UHV</v>
      </c>
      <c r="C201" s="54">
        <f t="shared" si="35"/>
        <v>8209.6511288501624</v>
      </c>
      <c r="D201" s="15">
        <f t="shared" si="38"/>
        <v>576.66666666666663</v>
      </c>
      <c r="E201" s="14">
        <f t="shared" si="38"/>
        <v>2101.3682398720248</v>
      </c>
      <c r="F201" s="14">
        <f t="shared" si="38"/>
        <v>1002.1162223114708</v>
      </c>
      <c r="G201" s="16">
        <f t="shared" si="38"/>
        <v>2688</v>
      </c>
      <c r="H201" s="15">
        <f t="shared" si="38"/>
        <v>1074</v>
      </c>
      <c r="I201" s="14">
        <f t="shared" si="38"/>
        <v>740.83333333333326</v>
      </c>
      <c r="J201" s="13">
        <f t="shared" si="38"/>
        <v>26.666666666666668</v>
      </c>
      <c r="K201" s="74"/>
    </row>
    <row r="202" spans="1:11" outlineLevel="1" x14ac:dyDescent="0.2">
      <c r="A202" s="20">
        <f t="shared" si="37"/>
        <v>3592</v>
      </c>
      <c r="B202" s="19" t="str">
        <f t="shared" si="37"/>
        <v>Midwestern</v>
      </c>
      <c r="C202" s="54">
        <f t="shared" si="35"/>
        <v>17130.448609256422</v>
      </c>
      <c r="D202" s="15">
        <f t="shared" si="38"/>
        <v>1031.6666666666667</v>
      </c>
      <c r="E202" s="14">
        <f t="shared" si="38"/>
        <v>3172.7188888888886</v>
      </c>
      <c r="F202" s="14">
        <f t="shared" si="38"/>
        <v>603.063053700865</v>
      </c>
      <c r="G202" s="16">
        <f t="shared" si="38"/>
        <v>4832.3333333333339</v>
      </c>
      <c r="H202" s="15">
        <f t="shared" si="38"/>
        <v>2157</v>
      </c>
      <c r="I202" s="14">
        <f t="shared" si="38"/>
        <v>2615</v>
      </c>
      <c r="J202" s="13">
        <f t="shared" si="38"/>
        <v>2718.6666666666665</v>
      </c>
      <c r="K202" s="74"/>
    </row>
    <row r="203" spans="1:11" outlineLevel="1" x14ac:dyDescent="0.2">
      <c r="A203" s="20">
        <f t="shared" si="37"/>
        <v>3594</v>
      </c>
      <c r="B203" s="19" t="str">
        <f t="shared" si="37"/>
        <v>UNT</v>
      </c>
      <c r="C203" s="54">
        <f t="shared" si="35"/>
        <v>96927.912503040992</v>
      </c>
      <c r="D203" s="15">
        <f t="shared" si="38"/>
        <v>6016.666666666667</v>
      </c>
      <c r="E203" s="14">
        <f t="shared" si="38"/>
        <v>24273.238888888889</v>
      </c>
      <c r="F203" s="14">
        <f t="shared" si="38"/>
        <v>647.17361415210314</v>
      </c>
      <c r="G203" s="16">
        <f t="shared" si="38"/>
        <v>26740</v>
      </c>
      <c r="H203" s="15">
        <f t="shared" si="38"/>
        <v>11797</v>
      </c>
      <c r="I203" s="14">
        <f t="shared" si="38"/>
        <v>14105.833333333332</v>
      </c>
      <c r="J203" s="13">
        <f t="shared" si="38"/>
        <v>13348</v>
      </c>
      <c r="K203" s="74"/>
    </row>
    <row r="204" spans="1:11" outlineLevel="1" x14ac:dyDescent="0.2">
      <c r="A204" s="27">
        <f t="shared" si="37"/>
        <v>113594</v>
      </c>
      <c r="B204" s="19" t="str">
        <f t="shared" si="37"/>
        <v>UNTD</v>
      </c>
      <c r="C204" s="54">
        <f t="shared" si="35"/>
        <v>6200.0804016347238</v>
      </c>
      <c r="D204" s="15">
        <f t="shared" si="38"/>
        <v>403.5</v>
      </c>
      <c r="E204" s="14">
        <f t="shared" si="38"/>
        <v>1631.1487500000001</v>
      </c>
      <c r="F204" s="14">
        <f t="shared" si="38"/>
        <v>1066.1816516347237</v>
      </c>
      <c r="G204" s="16">
        <f t="shared" si="38"/>
        <v>2159.5</v>
      </c>
      <c r="H204" s="15">
        <f t="shared" si="38"/>
        <v>717</v>
      </c>
      <c r="I204" s="14">
        <f t="shared" si="38"/>
        <v>178.75</v>
      </c>
      <c r="J204" s="13">
        <f t="shared" si="38"/>
        <v>44</v>
      </c>
      <c r="K204" s="74"/>
    </row>
    <row r="205" spans="1:11" outlineLevel="1" x14ac:dyDescent="0.2">
      <c r="A205" s="20">
        <f t="shared" si="37"/>
        <v>3624</v>
      </c>
      <c r="B205" s="19" t="str">
        <f t="shared" si="37"/>
        <v>SFA</v>
      </c>
      <c r="C205" s="54">
        <f t="shared" si="35"/>
        <v>35033.495274418761</v>
      </c>
      <c r="D205" s="15">
        <f t="shared" si="38"/>
        <v>1921.6666666666667</v>
      </c>
      <c r="E205" s="14">
        <f t="shared" si="38"/>
        <v>7452.2233333333324</v>
      </c>
      <c r="F205" s="14">
        <f t="shared" si="38"/>
        <v>506.43860775209788</v>
      </c>
      <c r="G205" s="16">
        <f t="shared" si="38"/>
        <v>10222.333333333332</v>
      </c>
      <c r="H205" s="15">
        <f t="shared" si="38"/>
        <v>4154</v>
      </c>
      <c r="I205" s="14">
        <f t="shared" si="38"/>
        <v>5187.5</v>
      </c>
      <c r="J205" s="13">
        <f t="shared" si="38"/>
        <v>5589.333333333333</v>
      </c>
      <c r="K205" s="74"/>
    </row>
    <row r="206" spans="1:11" outlineLevel="1" x14ac:dyDescent="0.2">
      <c r="A206" s="20">
        <f t="shared" si="37"/>
        <v>3642</v>
      </c>
      <c r="B206" s="19" t="str">
        <f t="shared" si="37"/>
        <v>TSU</v>
      </c>
      <c r="C206" s="54">
        <f t="shared" si="35"/>
        <v>15191.805914161207</v>
      </c>
      <c r="D206" s="15">
        <f t="shared" si="38"/>
        <v>758.33333333333337</v>
      </c>
      <c r="E206" s="14">
        <f t="shared" si="38"/>
        <v>762.63055555555547</v>
      </c>
      <c r="F206" s="14">
        <f t="shared" si="38"/>
        <v>323.34202527231793</v>
      </c>
      <c r="G206" s="16">
        <f t="shared" si="38"/>
        <v>4664.3333333333339</v>
      </c>
      <c r="H206" s="15">
        <f t="shared" si="38"/>
        <v>2456</v>
      </c>
      <c r="I206" s="14">
        <f t="shared" si="38"/>
        <v>2832.5</v>
      </c>
      <c r="J206" s="13">
        <f t="shared" si="38"/>
        <v>3394.6666666666665</v>
      </c>
      <c r="K206" s="74"/>
    </row>
    <row r="207" spans="1:11" outlineLevel="1" x14ac:dyDescent="0.2">
      <c r="A207" s="20">
        <f t="shared" si="37"/>
        <v>3644</v>
      </c>
      <c r="B207" s="19" t="str">
        <f t="shared" si="37"/>
        <v>TTU</v>
      </c>
      <c r="C207" s="54">
        <f t="shared" si="35"/>
        <v>87302.607078175832</v>
      </c>
      <c r="D207" s="15">
        <f t="shared" si="38"/>
        <v>4674</v>
      </c>
      <c r="E207" s="14">
        <f t="shared" si="38"/>
        <v>23949.575999999997</v>
      </c>
      <c r="F207" s="14">
        <f t="shared" si="38"/>
        <v>526.53107817583384</v>
      </c>
      <c r="G207" s="16">
        <f t="shared" si="38"/>
        <v>19446</v>
      </c>
      <c r="H207" s="15">
        <f t="shared" si="38"/>
        <v>9728</v>
      </c>
      <c r="I207" s="14">
        <f t="shared" si="38"/>
        <v>13195.833333333332</v>
      </c>
      <c r="J207" s="13">
        <f t="shared" si="38"/>
        <v>15782.666666666666</v>
      </c>
      <c r="K207" s="74"/>
    </row>
    <row r="208" spans="1:11" outlineLevel="1" x14ac:dyDescent="0.2">
      <c r="A208" s="20">
        <f t="shared" si="37"/>
        <v>3541</v>
      </c>
      <c r="B208" s="19" t="str">
        <f t="shared" si="37"/>
        <v>Angelo</v>
      </c>
      <c r="C208" s="54">
        <f t="shared" si="35"/>
        <v>17114.4094065955</v>
      </c>
      <c r="D208" s="15">
        <f t="shared" si="38"/>
        <v>991.33333333333337</v>
      </c>
      <c r="E208" s="14">
        <f t="shared" si="38"/>
        <v>2981.6002222222223</v>
      </c>
      <c r="F208" s="14">
        <f t="shared" si="38"/>
        <v>507.64251770660741</v>
      </c>
      <c r="G208" s="16">
        <f t="shared" si="38"/>
        <v>5061</v>
      </c>
      <c r="H208" s="15">
        <f t="shared" si="38"/>
        <v>2158</v>
      </c>
      <c r="I208" s="14">
        <f t="shared" si="38"/>
        <v>2584.166666666667</v>
      </c>
      <c r="J208" s="13">
        <f t="shared" si="38"/>
        <v>2830.6666666666665</v>
      </c>
      <c r="K208" s="74"/>
    </row>
    <row r="209" spans="1:11" outlineLevel="1" x14ac:dyDescent="0.2">
      <c r="A209" s="20">
        <f t="shared" ref="A209:B214" si="39">A37</f>
        <v>3646</v>
      </c>
      <c r="B209" s="19" t="str">
        <f t="shared" si="39"/>
        <v>TWU</v>
      </c>
      <c r="C209" s="54">
        <f t="shared" si="35"/>
        <v>27007.334107375998</v>
      </c>
      <c r="D209" s="15">
        <f t="shared" ref="D209:J214" si="40">D251*D$176</f>
        <v>1806</v>
      </c>
      <c r="E209" s="14">
        <f t="shared" si="40"/>
        <v>6620.1940000000004</v>
      </c>
      <c r="F209" s="14">
        <f t="shared" si="40"/>
        <v>688.64010737599904</v>
      </c>
      <c r="G209" s="16">
        <f t="shared" si="40"/>
        <v>8729</v>
      </c>
      <c r="H209" s="15">
        <f t="shared" si="40"/>
        <v>3294</v>
      </c>
      <c r="I209" s="14">
        <f t="shared" si="40"/>
        <v>3230.833333333333</v>
      </c>
      <c r="J209" s="13">
        <f t="shared" si="40"/>
        <v>2638.6666666666665</v>
      </c>
      <c r="K209" s="74"/>
    </row>
    <row r="210" spans="1:11" outlineLevel="1" x14ac:dyDescent="0.2">
      <c r="A210" s="20">
        <f t="shared" si="39"/>
        <v>3581</v>
      </c>
      <c r="B210" s="19" t="str">
        <f t="shared" si="39"/>
        <v>Lamar</v>
      </c>
      <c r="C210" s="54">
        <f t="shared" si="35"/>
        <v>22693.055673555747</v>
      </c>
      <c r="D210" s="15">
        <f t="shared" si="40"/>
        <v>1335.3333333333333</v>
      </c>
      <c r="E210" s="14">
        <f t="shared" si="40"/>
        <v>3274.6824444444442</v>
      </c>
      <c r="F210" s="14">
        <f t="shared" si="40"/>
        <v>458.87322911130246</v>
      </c>
      <c r="G210" s="16">
        <f t="shared" si="40"/>
        <v>6640.6666666666661</v>
      </c>
      <c r="H210" s="15">
        <f t="shared" si="40"/>
        <v>3217</v>
      </c>
      <c r="I210" s="14">
        <f t="shared" si="40"/>
        <v>3722.5</v>
      </c>
      <c r="J210" s="13">
        <f t="shared" si="40"/>
        <v>4044</v>
      </c>
      <c r="K210" s="74"/>
    </row>
    <row r="211" spans="1:11" outlineLevel="1" x14ac:dyDescent="0.2">
      <c r="A211" s="20">
        <f t="shared" si="39"/>
        <v>3606</v>
      </c>
      <c r="B211" s="19" t="str">
        <f t="shared" si="39"/>
        <v>SHSU</v>
      </c>
      <c r="C211" s="54">
        <f t="shared" si="35"/>
        <v>52132.342467093637</v>
      </c>
      <c r="D211" s="15">
        <f t="shared" si="40"/>
        <v>3077.6666666666665</v>
      </c>
      <c r="E211" s="14">
        <f t="shared" si="40"/>
        <v>12638.951111111111</v>
      </c>
      <c r="F211" s="14">
        <f t="shared" si="40"/>
        <v>611.8913559825254</v>
      </c>
      <c r="G211" s="16">
        <f t="shared" si="40"/>
        <v>15495.666666666666</v>
      </c>
      <c r="H211" s="15">
        <f t="shared" si="40"/>
        <v>5841.5</v>
      </c>
      <c r="I211" s="14">
        <f t="shared" si="40"/>
        <v>7413.3333333333339</v>
      </c>
      <c r="J211" s="13">
        <f t="shared" si="40"/>
        <v>7053.333333333333</v>
      </c>
      <c r="K211" s="74"/>
    </row>
    <row r="212" spans="1:11" outlineLevel="1" x14ac:dyDescent="0.2">
      <c r="A212" s="20">
        <f t="shared" si="39"/>
        <v>3615</v>
      </c>
      <c r="B212" s="19" t="str">
        <f t="shared" si="39"/>
        <v>TXST</v>
      </c>
      <c r="C212" s="54">
        <f t="shared" si="35"/>
        <v>93850.429954661333</v>
      </c>
      <c r="D212" s="15">
        <f t="shared" si="40"/>
        <v>5361</v>
      </c>
      <c r="E212" s="14">
        <f t="shared" si="40"/>
        <v>23754.591</v>
      </c>
      <c r="F212" s="14">
        <f t="shared" si="40"/>
        <v>585.17228799465988</v>
      </c>
      <c r="G212" s="16">
        <f t="shared" si="40"/>
        <v>25727.333333333336</v>
      </c>
      <c r="H212" s="15">
        <f t="shared" si="40"/>
        <v>11205.5</v>
      </c>
      <c r="I212" s="14">
        <f t="shared" si="40"/>
        <v>13947.5</v>
      </c>
      <c r="J212" s="13">
        <f t="shared" si="40"/>
        <v>13269.333333333334</v>
      </c>
      <c r="K212" s="74"/>
    </row>
    <row r="213" spans="1:11" outlineLevel="1" x14ac:dyDescent="0.2">
      <c r="A213" s="20">
        <f t="shared" si="39"/>
        <v>3625</v>
      </c>
      <c r="B213" s="19" t="str">
        <f t="shared" si="39"/>
        <v>SRSU</v>
      </c>
      <c r="C213" s="54">
        <f t="shared" si="35"/>
        <v>3578.0630752081015</v>
      </c>
      <c r="D213" s="15">
        <f t="shared" si="40"/>
        <v>189.33333333333334</v>
      </c>
      <c r="E213" s="14">
        <f t="shared" si="40"/>
        <v>398.92533333333336</v>
      </c>
      <c r="F213" s="14">
        <f t="shared" si="40"/>
        <v>387.97107520810192</v>
      </c>
      <c r="G213" s="16">
        <f t="shared" si="40"/>
        <v>1141</v>
      </c>
      <c r="H213" s="15">
        <f t="shared" si="40"/>
        <v>450</v>
      </c>
      <c r="I213" s="14">
        <f t="shared" si="40"/>
        <v>484.16666666666663</v>
      </c>
      <c r="J213" s="13">
        <f t="shared" si="40"/>
        <v>526.66666666666663</v>
      </c>
      <c r="K213" s="74"/>
    </row>
    <row r="214" spans="1:11" outlineLevel="1" x14ac:dyDescent="0.2">
      <c r="A214" s="20">
        <f t="shared" si="39"/>
        <v>20</v>
      </c>
      <c r="B214" s="19" t="str">
        <f t="shared" si="39"/>
        <v>SRRG</v>
      </c>
      <c r="C214" s="54">
        <f t="shared" si="35"/>
        <v>3038.1387097458737</v>
      </c>
      <c r="D214" s="15">
        <f t="shared" si="40"/>
        <v>161.66666666666666</v>
      </c>
      <c r="E214" s="14">
        <f t="shared" si="40"/>
        <v>359.56183632836428</v>
      </c>
      <c r="F214" s="14">
        <f t="shared" si="40"/>
        <v>914.91020675084269</v>
      </c>
      <c r="G214" s="16">
        <f t="shared" si="40"/>
        <v>1008</v>
      </c>
      <c r="H214" s="15">
        <f t="shared" si="40"/>
        <v>345</v>
      </c>
      <c r="I214" s="14">
        <f t="shared" si="40"/>
        <v>231.66666666666669</v>
      </c>
      <c r="J214" s="13">
        <f t="shared" si="40"/>
        <v>17.333333333333332</v>
      </c>
      <c r="K214" s="74"/>
    </row>
    <row r="215" spans="1:11" ht="13.5" outlineLevel="1" thickBot="1" x14ac:dyDescent="0.25">
      <c r="A215" s="12"/>
      <c r="B215" s="11" t="s">
        <v>11</v>
      </c>
      <c r="C215" s="53">
        <f t="shared" ref="C215:J215" si="41">SUM(C177:C214)</f>
        <v>1414488.9756374927</v>
      </c>
      <c r="D215" s="9">
        <f t="shared" si="41"/>
        <v>84315.833333333314</v>
      </c>
      <c r="E215" s="7">
        <f t="shared" si="41"/>
        <v>343222.64122446562</v>
      </c>
      <c r="F215" s="7">
        <f t="shared" si="41"/>
        <v>25436.751079693917</v>
      </c>
      <c r="G215" s="6">
        <f t="shared" si="41"/>
        <v>381125.5</v>
      </c>
      <c r="H215" s="5">
        <f t="shared" si="41"/>
        <v>171319</v>
      </c>
      <c r="I215" s="4">
        <f t="shared" si="41"/>
        <v>205861.25000000003</v>
      </c>
      <c r="J215" s="3">
        <f t="shared" si="41"/>
        <v>203207.99999999997</v>
      </c>
      <c r="K215" s="127"/>
    </row>
    <row r="216" spans="1:11" ht="13.5" thickBot="1" x14ac:dyDescent="0.25">
      <c r="A216" s="42" t="s">
        <v>27</v>
      </c>
      <c r="B216" s="42"/>
      <c r="C216" s="105"/>
      <c r="D216" s="51"/>
      <c r="E216" s="51"/>
      <c r="F216" s="52"/>
      <c r="K216" s="127"/>
    </row>
    <row r="217" spans="1:11" ht="12.75" customHeight="1" outlineLevel="1" x14ac:dyDescent="0.2">
      <c r="A217" s="184" t="s">
        <v>22</v>
      </c>
      <c r="B217" s="186" t="s">
        <v>21</v>
      </c>
      <c r="C217" s="188"/>
      <c r="D217" s="196" t="s">
        <v>26</v>
      </c>
      <c r="E217" s="194" t="s">
        <v>19</v>
      </c>
      <c r="F217" s="186" t="s">
        <v>18</v>
      </c>
      <c r="G217" s="176" t="s">
        <v>16</v>
      </c>
      <c r="H217" s="178" t="s">
        <v>15</v>
      </c>
      <c r="I217" s="179"/>
      <c r="J217" s="180"/>
      <c r="K217" s="127"/>
    </row>
    <row r="218" spans="1:11" s="41" customFormat="1" ht="41.25" customHeight="1" outlineLevel="1" thickBot="1" x14ac:dyDescent="0.25">
      <c r="A218" s="185"/>
      <c r="B218" s="187"/>
      <c r="C218" s="189"/>
      <c r="D218" s="197"/>
      <c r="E218" s="195"/>
      <c r="F218" s="187"/>
      <c r="G218" s="190"/>
      <c r="H218" s="103" t="s">
        <v>14</v>
      </c>
      <c r="I218" s="104" t="s">
        <v>13</v>
      </c>
      <c r="J218" s="110" t="s">
        <v>12</v>
      </c>
      <c r="K218" s="127"/>
    </row>
    <row r="219" spans="1:11" outlineLevel="1" x14ac:dyDescent="0.2">
      <c r="A219" s="20">
        <f t="shared" ref="A219:B234" si="42">A177</f>
        <v>3656</v>
      </c>
      <c r="B219" s="19" t="str">
        <f t="shared" si="42"/>
        <v>UTA</v>
      </c>
      <c r="C219" s="38"/>
      <c r="D219" s="33">
        <f t="shared" ref="D219:D256" si="43">AVERAGE(D261,D303,D345)</f>
        <v>5018</v>
      </c>
      <c r="E219" s="96">
        <f t="shared" ref="E219:E256" si="44">AVERAGE(E261,E303,E345)*D219</f>
        <v>2600.9966666666669</v>
      </c>
      <c r="F219" s="32">
        <f t="shared" ref="F219:F256" si="45">D219/AVERAGE(F261,F303,F345)*100</f>
        <v>29.603788278048281</v>
      </c>
      <c r="G219" s="34">
        <f t="shared" ref="G219:J234" si="46">AVERAGE(G261,G303,G345)</f>
        <v>3116</v>
      </c>
      <c r="H219" s="33">
        <f t="shared" si="46"/>
        <v>6836.333333333333</v>
      </c>
      <c r="I219" s="32">
        <f t="shared" si="46"/>
        <v>3833.6666666666665</v>
      </c>
      <c r="J219" s="31">
        <f t="shared" si="46"/>
        <v>1783.6666666666667</v>
      </c>
      <c r="K219" s="127"/>
    </row>
    <row r="220" spans="1:11" outlineLevel="1" x14ac:dyDescent="0.2">
      <c r="A220" s="20">
        <f t="shared" si="42"/>
        <v>3658</v>
      </c>
      <c r="B220" s="19" t="str">
        <f t="shared" si="42"/>
        <v>UT</v>
      </c>
      <c r="C220" s="18"/>
      <c r="D220" s="15">
        <f t="shared" si="43"/>
        <v>8946.3333333333339</v>
      </c>
      <c r="E220" s="94">
        <f t="shared" si="44"/>
        <v>7416.5103333333345</v>
      </c>
      <c r="F220" s="14">
        <f t="shared" si="45"/>
        <v>26.497692061124674</v>
      </c>
      <c r="G220" s="16">
        <f t="shared" si="46"/>
        <v>3470.3333333333335</v>
      </c>
      <c r="H220" s="15">
        <f t="shared" si="46"/>
        <v>9598.3333333333339</v>
      </c>
      <c r="I220" s="14">
        <f t="shared" si="46"/>
        <v>9005.6666666666661</v>
      </c>
      <c r="J220" s="13">
        <f t="shared" si="46"/>
        <v>7040.333333333333</v>
      </c>
      <c r="K220" s="127"/>
    </row>
    <row r="221" spans="1:11" outlineLevel="1" x14ac:dyDescent="0.2">
      <c r="A221" s="20">
        <f t="shared" si="42"/>
        <v>9741</v>
      </c>
      <c r="B221" s="19" t="str">
        <f t="shared" si="42"/>
        <v>UTD</v>
      </c>
      <c r="C221" s="18"/>
      <c r="D221" s="15">
        <f t="shared" si="43"/>
        <v>2393</v>
      </c>
      <c r="E221" s="94">
        <f t="shared" si="44"/>
        <v>1682.279</v>
      </c>
      <c r="F221" s="14">
        <f t="shared" si="45"/>
        <v>26.829760516638267</v>
      </c>
      <c r="G221" s="16">
        <f t="shared" si="46"/>
        <v>1319.6666666666667</v>
      </c>
      <c r="H221" s="15">
        <f t="shared" si="46"/>
        <v>3315</v>
      </c>
      <c r="I221" s="14">
        <f t="shared" si="46"/>
        <v>2134.3333333333335</v>
      </c>
      <c r="J221" s="13">
        <f t="shared" si="46"/>
        <v>1021.3333333333334</v>
      </c>
      <c r="K221" s="127"/>
    </row>
    <row r="222" spans="1:11" outlineLevel="1" x14ac:dyDescent="0.2">
      <c r="A222" s="20">
        <f t="shared" si="42"/>
        <v>3661</v>
      </c>
      <c r="B222" s="19" t="str">
        <f t="shared" si="42"/>
        <v>UTEP</v>
      </c>
      <c r="C222" s="18"/>
      <c r="D222" s="15">
        <f t="shared" si="43"/>
        <v>3057</v>
      </c>
      <c r="E222" s="94">
        <f t="shared" si="44"/>
        <v>1192.2299999999998</v>
      </c>
      <c r="F222" s="14">
        <f t="shared" si="45"/>
        <v>22.870894536023343</v>
      </c>
      <c r="G222" s="16">
        <f t="shared" si="46"/>
        <v>2464.3333333333335</v>
      </c>
      <c r="H222" s="15">
        <f t="shared" si="46"/>
        <v>4362.666666666667</v>
      </c>
      <c r="I222" s="14">
        <f t="shared" si="46"/>
        <v>3358</v>
      </c>
      <c r="J222" s="13">
        <f t="shared" si="46"/>
        <v>1956</v>
      </c>
      <c r="K222" s="127"/>
    </row>
    <row r="223" spans="1:11" outlineLevel="1" x14ac:dyDescent="0.2">
      <c r="A223" s="20">
        <f t="shared" si="42"/>
        <v>3599</v>
      </c>
      <c r="B223" s="19" t="str">
        <f t="shared" si="42"/>
        <v>UTPA</v>
      </c>
      <c r="C223" s="18"/>
      <c r="D223" s="15">
        <f t="shared" si="43"/>
        <v>2580</v>
      </c>
      <c r="E223" s="94">
        <f t="shared" si="44"/>
        <v>1111.98</v>
      </c>
      <c r="F223" s="14">
        <f t="shared" si="45"/>
        <v>20.492490499497837</v>
      </c>
      <c r="G223" s="16">
        <f t="shared" si="46"/>
        <v>2338.3333333333335</v>
      </c>
      <c r="H223" s="15">
        <f t="shared" si="46"/>
        <v>4075.3333333333335</v>
      </c>
      <c r="I223" s="14">
        <f t="shared" si="46"/>
        <v>3096</v>
      </c>
      <c r="J223" s="13">
        <f t="shared" si="46"/>
        <v>1939.3333333333333</v>
      </c>
      <c r="K223" s="127"/>
    </row>
    <row r="224" spans="1:11" outlineLevel="1" x14ac:dyDescent="0.2">
      <c r="A224" s="20">
        <f t="shared" si="42"/>
        <v>30646</v>
      </c>
      <c r="B224" s="19" t="str">
        <f t="shared" si="42"/>
        <v>UTB</v>
      </c>
      <c r="C224" s="18"/>
      <c r="D224" s="15">
        <f t="shared" si="43"/>
        <v>1092</v>
      </c>
      <c r="E224" s="94">
        <f t="shared" si="44"/>
        <v>628.17092451302005</v>
      </c>
      <c r="F224" s="14">
        <f t="shared" si="45"/>
        <v>34.461236368736628</v>
      </c>
      <c r="G224" s="16">
        <f t="shared" si="46"/>
        <v>936.66666666666663</v>
      </c>
      <c r="H224" s="15">
        <f t="shared" si="46"/>
        <v>1326.3333333333333</v>
      </c>
      <c r="I224" s="14">
        <f t="shared" si="46"/>
        <v>556.33333333333337</v>
      </c>
      <c r="J224" s="13">
        <f t="shared" si="46"/>
        <v>100.66666666666667</v>
      </c>
      <c r="K224" s="127"/>
    </row>
    <row r="225" spans="1:11" outlineLevel="1" x14ac:dyDescent="0.2">
      <c r="A225" s="20">
        <f t="shared" si="42"/>
        <v>9930</v>
      </c>
      <c r="B225" s="19" t="str">
        <f t="shared" si="42"/>
        <v>UTPB</v>
      </c>
      <c r="C225" s="18"/>
      <c r="D225" s="15">
        <f t="shared" si="43"/>
        <v>533.33333333333337</v>
      </c>
      <c r="E225" s="94">
        <f t="shared" si="44"/>
        <v>236.8</v>
      </c>
      <c r="F225" s="14">
        <f t="shared" si="45"/>
        <v>23.125174643246009</v>
      </c>
      <c r="G225" s="16">
        <f t="shared" si="46"/>
        <v>399</v>
      </c>
      <c r="H225" s="15">
        <f t="shared" si="46"/>
        <v>785.66666666666663</v>
      </c>
      <c r="I225" s="14">
        <f t="shared" si="46"/>
        <v>491.66666666666669</v>
      </c>
      <c r="J225" s="13">
        <f t="shared" si="46"/>
        <v>194.33333333333334</v>
      </c>
      <c r="K225" s="127"/>
    </row>
    <row r="226" spans="1:11" outlineLevel="1" x14ac:dyDescent="0.2">
      <c r="A226" s="20">
        <f t="shared" si="42"/>
        <v>10115</v>
      </c>
      <c r="B226" s="19" t="str">
        <f t="shared" si="42"/>
        <v>UTSA</v>
      </c>
      <c r="C226" s="18"/>
      <c r="D226" s="15">
        <f t="shared" si="43"/>
        <v>4119.666666666667</v>
      </c>
      <c r="E226" s="94">
        <f t="shared" si="44"/>
        <v>1737.1261111111112</v>
      </c>
      <c r="F226" s="14">
        <f t="shared" si="45"/>
        <v>20.241034101368403</v>
      </c>
      <c r="G226" s="16">
        <f t="shared" si="46"/>
        <v>3123.6666666666665</v>
      </c>
      <c r="H226" s="15">
        <f t="shared" si="46"/>
        <v>6809.666666666667</v>
      </c>
      <c r="I226" s="14">
        <f t="shared" si="46"/>
        <v>4458.666666666667</v>
      </c>
      <c r="J226" s="13">
        <f t="shared" si="46"/>
        <v>2615.6666666666665</v>
      </c>
      <c r="K226" s="127"/>
    </row>
    <row r="227" spans="1:11" outlineLevel="1" x14ac:dyDescent="0.2">
      <c r="A227" s="20">
        <f t="shared" si="42"/>
        <v>11163</v>
      </c>
      <c r="B227" s="19" t="str">
        <f t="shared" si="42"/>
        <v>UTT</v>
      </c>
      <c r="C227" s="18"/>
      <c r="D227" s="15">
        <f t="shared" si="43"/>
        <v>1190</v>
      </c>
      <c r="E227" s="94">
        <f t="shared" si="44"/>
        <v>613.64333333333343</v>
      </c>
      <c r="F227" s="14">
        <f t="shared" si="45"/>
        <v>29.255740517151896</v>
      </c>
      <c r="G227" s="16">
        <f t="shared" si="46"/>
        <v>942.33333333333337</v>
      </c>
      <c r="H227" s="15">
        <f t="shared" si="46"/>
        <v>1436.3333333333333</v>
      </c>
      <c r="I227" s="14">
        <f t="shared" si="46"/>
        <v>890</v>
      </c>
      <c r="J227" s="13">
        <f t="shared" si="46"/>
        <v>387.33333333333331</v>
      </c>
      <c r="K227" s="127"/>
    </row>
    <row r="228" spans="1:11" outlineLevel="1" x14ac:dyDescent="0.2">
      <c r="A228" s="20">
        <f t="shared" si="42"/>
        <v>3632</v>
      </c>
      <c r="B228" s="19" t="str">
        <f t="shared" si="42"/>
        <v>TAMU</v>
      </c>
      <c r="C228" s="18"/>
      <c r="D228" s="15">
        <f t="shared" si="43"/>
        <v>8739.6666666666661</v>
      </c>
      <c r="E228" s="94">
        <f t="shared" si="44"/>
        <v>7347.1464444444427</v>
      </c>
      <c r="F228" s="14">
        <f t="shared" si="45"/>
        <v>25.241886570842681</v>
      </c>
      <c r="G228" s="16">
        <f t="shared" si="46"/>
        <v>3724</v>
      </c>
      <c r="H228" s="15">
        <f t="shared" si="46"/>
        <v>10060.666666666666</v>
      </c>
      <c r="I228" s="14">
        <f t="shared" si="46"/>
        <v>8907.3333333333339</v>
      </c>
      <c r="J228" s="13">
        <f t="shared" si="46"/>
        <v>6897.666666666667</v>
      </c>
      <c r="K228" s="127"/>
    </row>
    <row r="229" spans="1:11" outlineLevel="1" x14ac:dyDescent="0.2">
      <c r="A229" s="20">
        <f t="shared" si="42"/>
        <v>10298</v>
      </c>
      <c r="B229" s="19" t="str">
        <f t="shared" si="42"/>
        <v>TAMUG</v>
      </c>
      <c r="C229" s="18"/>
      <c r="D229" s="15">
        <f t="shared" si="43"/>
        <v>275.33333333333331</v>
      </c>
      <c r="E229" s="94">
        <f t="shared" si="44"/>
        <v>172.72577777777778</v>
      </c>
      <c r="F229" s="14">
        <f t="shared" si="45"/>
        <v>16.399301143583227</v>
      </c>
      <c r="G229" s="16">
        <f t="shared" si="46"/>
        <v>158</v>
      </c>
      <c r="H229" s="15">
        <f t="shared" si="46"/>
        <v>592.33333333333337</v>
      </c>
      <c r="I229" s="14">
        <f t="shared" si="46"/>
        <v>318</v>
      </c>
      <c r="J229" s="13">
        <f t="shared" si="46"/>
        <v>246</v>
      </c>
      <c r="K229" s="127"/>
    </row>
    <row r="230" spans="1:11" outlineLevel="1" x14ac:dyDescent="0.2">
      <c r="A230" s="20">
        <f t="shared" si="42"/>
        <v>3630</v>
      </c>
      <c r="B230" s="19" t="str">
        <f t="shared" si="42"/>
        <v>Prairie View</v>
      </c>
      <c r="C230" s="18"/>
      <c r="D230" s="15">
        <f t="shared" si="43"/>
        <v>936.33333333333337</v>
      </c>
      <c r="E230" s="94">
        <f t="shared" si="44"/>
        <v>348.00388888888887</v>
      </c>
      <c r="F230" s="14">
        <f t="shared" si="45"/>
        <v>15.823688025296873</v>
      </c>
      <c r="G230" s="16">
        <f t="shared" si="46"/>
        <v>802.66666666666663</v>
      </c>
      <c r="H230" s="15">
        <f t="shared" si="46"/>
        <v>1668</v>
      </c>
      <c r="I230" s="14">
        <f t="shared" si="46"/>
        <v>1181</v>
      </c>
      <c r="J230" s="13">
        <f t="shared" si="46"/>
        <v>905.33333333333337</v>
      </c>
      <c r="K230" s="127"/>
    </row>
    <row r="231" spans="1:11" outlineLevel="1" x14ac:dyDescent="0.2">
      <c r="A231" s="20">
        <f t="shared" si="42"/>
        <v>3631</v>
      </c>
      <c r="B231" s="19" t="str">
        <f t="shared" si="42"/>
        <v>Tarleton</v>
      </c>
      <c r="C231" s="18"/>
      <c r="D231" s="15">
        <f t="shared" si="43"/>
        <v>1545.3333333333333</v>
      </c>
      <c r="E231" s="94">
        <f t="shared" si="44"/>
        <v>738.66933333333338</v>
      </c>
      <c r="F231" s="14">
        <f t="shared" si="45"/>
        <v>24.559767752325659</v>
      </c>
      <c r="G231" s="16">
        <f t="shared" si="46"/>
        <v>1195</v>
      </c>
      <c r="H231" s="15">
        <f t="shared" si="46"/>
        <v>2154.3333333333335</v>
      </c>
      <c r="I231" s="14">
        <f t="shared" si="46"/>
        <v>1328.6666666666667</v>
      </c>
      <c r="J231" s="13">
        <f t="shared" si="46"/>
        <v>862.66666666666663</v>
      </c>
      <c r="K231" s="127"/>
    </row>
    <row r="232" spans="1:11" outlineLevel="1" x14ac:dyDescent="0.2">
      <c r="A232" s="27">
        <f t="shared" si="42"/>
        <v>103631</v>
      </c>
      <c r="B232" s="19" t="str">
        <f t="shared" si="42"/>
        <v>TAMUCT</v>
      </c>
      <c r="C232" s="18"/>
      <c r="D232" s="15">
        <f t="shared" si="43"/>
        <v>460.33333333333331</v>
      </c>
      <c r="E232" s="94">
        <f t="shared" si="44"/>
        <v>220.03933333333333</v>
      </c>
      <c r="F232" s="14">
        <f t="shared" si="45"/>
        <v>67.587849522007247</v>
      </c>
      <c r="G232" s="16">
        <f t="shared" si="46"/>
        <v>327</v>
      </c>
      <c r="H232" s="15">
        <f t="shared" si="46"/>
        <v>495</v>
      </c>
      <c r="I232" s="14">
        <f t="shared" si="46"/>
        <v>133</v>
      </c>
      <c r="J232" s="13">
        <f t="shared" si="46"/>
        <v>34</v>
      </c>
      <c r="K232" s="127"/>
    </row>
    <row r="233" spans="1:11" outlineLevel="1" x14ac:dyDescent="0.2">
      <c r="A233" s="20">
        <f t="shared" si="42"/>
        <v>11161</v>
      </c>
      <c r="B233" s="19" t="str">
        <f t="shared" si="42"/>
        <v>TAMUCC</v>
      </c>
      <c r="C233" s="18"/>
      <c r="D233" s="15">
        <f t="shared" si="43"/>
        <v>1388.3333333333333</v>
      </c>
      <c r="E233" s="94">
        <f t="shared" si="44"/>
        <v>705.27333333333331</v>
      </c>
      <c r="F233" s="14">
        <f t="shared" si="45"/>
        <v>21.376514062820775</v>
      </c>
      <c r="G233" s="16">
        <f t="shared" si="46"/>
        <v>1080</v>
      </c>
      <c r="H233" s="15">
        <f t="shared" si="46"/>
        <v>2054</v>
      </c>
      <c r="I233" s="14">
        <f t="shared" si="46"/>
        <v>1468</v>
      </c>
      <c r="J233" s="13">
        <f t="shared" si="46"/>
        <v>878.33333333333337</v>
      </c>
      <c r="K233" s="127"/>
    </row>
    <row r="234" spans="1:11" outlineLevel="1" x14ac:dyDescent="0.2">
      <c r="A234" s="20">
        <f t="shared" si="42"/>
        <v>3639</v>
      </c>
      <c r="B234" s="19" t="str">
        <f t="shared" si="42"/>
        <v>TAMUK</v>
      </c>
      <c r="C234" s="18"/>
      <c r="D234" s="15">
        <f t="shared" si="43"/>
        <v>761.66666666666663</v>
      </c>
      <c r="E234" s="94">
        <f t="shared" si="44"/>
        <v>306.44388888888892</v>
      </c>
      <c r="F234" s="14">
        <f t="shared" si="45"/>
        <v>17.879499217527385</v>
      </c>
      <c r="G234" s="16">
        <f t="shared" si="46"/>
        <v>648.33333333333337</v>
      </c>
      <c r="H234" s="15">
        <f t="shared" si="46"/>
        <v>1227.3333333333333</v>
      </c>
      <c r="I234" s="14">
        <f t="shared" si="46"/>
        <v>859.66666666666663</v>
      </c>
      <c r="J234" s="13">
        <f t="shared" si="46"/>
        <v>558.66666666666663</v>
      </c>
      <c r="K234" s="127"/>
    </row>
    <row r="235" spans="1:11" outlineLevel="1" x14ac:dyDescent="0.2">
      <c r="A235" s="27">
        <f t="shared" ref="A235:B250" si="47">A193</f>
        <v>103639</v>
      </c>
      <c r="B235" s="19" t="str">
        <f t="shared" si="47"/>
        <v>TAMUSA</v>
      </c>
      <c r="C235" s="18"/>
      <c r="D235" s="15">
        <f t="shared" si="43"/>
        <v>587.66666666666663</v>
      </c>
      <c r="E235" s="94">
        <f t="shared" si="44"/>
        <v>236.43788888888889</v>
      </c>
      <c r="F235" s="14">
        <f t="shared" si="45"/>
        <v>41.598502485370922</v>
      </c>
      <c r="G235" s="16">
        <f t="shared" ref="G235:J250" si="48">AVERAGE(G277,G319,G361)</f>
        <v>490.33333333333331</v>
      </c>
      <c r="H235" s="15">
        <f t="shared" si="48"/>
        <v>729.66666666666663</v>
      </c>
      <c r="I235" s="14">
        <f t="shared" si="48"/>
        <v>77.333333333333329</v>
      </c>
      <c r="J235" s="13">
        <f t="shared" si="48"/>
        <v>2.6666666666666665</v>
      </c>
      <c r="K235" s="127"/>
    </row>
    <row r="236" spans="1:11" outlineLevel="1" x14ac:dyDescent="0.2">
      <c r="A236" s="20">
        <f t="shared" si="47"/>
        <v>9651</v>
      </c>
      <c r="B236" s="19" t="str">
        <f t="shared" si="47"/>
        <v>TAMI</v>
      </c>
      <c r="C236" s="18"/>
      <c r="D236" s="15">
        <f t="shared" si="43"/>
        <v>789.66666666666663</v>
      </c>
      <c r="E236" s="94">
        <f t="shared" si="44"/>
        <v>373.77555555555551</v>
      </c>
      <c r="F236" s="14">
        <f t="shared" si="45"/>
        <v>19.326154348180779</v>
      </c>
      <c r="G236" s="16">
        <f t="shared" si="48"/>
        <v>712.66666666666663</v>
      </c>
      <c r="H236" s="15">
        <f t="shared" si="48"/>
        <v>1406.6666666666667</v>
      </c>
      <c r="I236" s="14">
        <f t="shared" si="48"/>
        <v>1015.6666666666666</v>
      </c>
      <c r="J236" s="13">
        <f t="shared" si="48"/>
        <v>473.66666666666669</v>
      </c>
      <c r="K236" s="127"/>
    </row>
    <row r="237" spans="1:11" outlineLevel="1" x14ac:dyDescent="0.2">
      <c r="A237" s="20">
        <f t="shared" si="47"/>
        <v>3665</v>
      </c>
      <c r="B237" s="19" t="str">
        <f t="shared" si="47"/>
        <v>WTAMU</v>
      </c>
      <c r="C237" s="18"/>
      <c r="D237" s="15">
        <f t="shared" si="43"/>
        <v>1255.6666666666667</v>
      </c>
      <c r="E237" s="94">
        <f t="shared" si="44"/>
        <v>591.00044444444438</v>
      </c>
      <c r="F237" s="14">
        <f t="shared" si="45"/>
        <v>23.187721854032869</v>
      </c>
      <c r="G237" s="16">
        <f t="shared" si="48"/>
        <v>889.33333333333337</v>
      </c>
      <c r="H237" s="15">
        <f t="shared" si="48"/>
        <v>1791.6666666666667</v>
      </c>
      <c r="I237" s="14">
        <f t="shared" si="48"/>
        <v>1212.6666666666667</v>
      </c>
      <c r="J237" s="13">
        <f t="shared" si="48"/>
        <v>661.33333333333337</v>
      </c>
      <c r="K237" s="127"/>
    </row>
    <row r="238" spans="1:11" outlineLevel="1" x14ac:dyDescent="0.2">
      <c r="A238" s="20">
        <f t="shared" si="47"/>
        <v>3565</v>
      </c>
      <c r="B238" s="19" t="str">
        <f t="shared" si="47"/>
        <v>TAMUC</v>
      </c>
      <c r="C238" s="18"/>
      <c r="D238" s="15">
        <f t="shared" si="43"/>
        <v>1324.3333333333333</v>
      </c>
      <c r="E238" s="94">
        <f t="shared" si="44"/>
        <v>582.70666666666659</v>
      </c>
      <c r="F238" s="14">
        <f t="shared" si="45"/>
        <v>28.19543536269185</v>
      </c>
      <c r="G238" s="16">
        <f t="shared" si="48"/>
        <v>1019.3333333333334</v>
      </c>
      <c r="H238" s="15">
        <f t="shared" si="48"/>
        <v>1893</v>
      </c>
      <c r="I238" s="14">
        <f t="shared" si="48"/>
        <v>1137.3333333333333</v>
      </c>
      <c r="J238" s="13">
        <f t="shared" si="48"/>
        <v>452.33333333333331</v>
      </c>
      <c r="K238" s="127"/>
    </row>
    <row r="239" spans="1:11" outlineLevel="1" x14ac:dyDescent="0.2">
      <c r="A239" s="20">
        <f t="shared" si="47"/>
        <v>29269</v>
      </c>
      <c r="B239" s="19" t="str">
        <f t="shared" si="47"/>
        <v>TAMUT</v>
      </c>
      <c r="C239" s="18"/>
      <c r="D239" s="15">
        <f t="shared" si="43"/>
        <v>345.66666666666669</v>
      </c>
      <c r="E239" s="94">
        <f t="shared" si="44"/>
        <v>187.3602625468375</v>
      </c>
      <c r="F239" s="14">
        <f t="shared" si="45"/>
        <v>38.766355140186917</v>
      </c>
      <c r="G239" s="16">
        <f t="shared" si="48"/>
        <v>239</v>
      </c>
      <c r="H239" s="15">
        <f t="shared" si="48"/>
        <v>432.66666666666669</v>
      </c>
      <c r="I239" s="14">
        <f t="shared" si="48"/>
        <v>181</v>
      </c>
      <c r="J239" s="13">
        <f t="shared" si="48"/>
        <v>0.66666666666666663</v>
      </c>
      <c r="K239" s="127"/>
    </row>
    <row r="240" spans="1:11" outlineLevel="1" x14ac:dyDescent="0.2">
      <c r="A240" s="20">
        <f t="shared" si="47"/>
        <v>3652</v>
      </c>
      <c r="B240" s="19" t="str">
        <f t="shared" si="47"/>
        <v>UH</v>
      </c>
      <c r="C240" s="18"/>
      <c r="D240" s="15">
        <f t="shared" si="43"/>
        <v>5098.666666666667</v>
      </c>
      <c r="E240" s="94">
        <f t="shared" si="44"/>
        <v>2734.5848888888891</v>
      </c>
      <c r="F240" s="14">
        <f t="shared" si="45"/>
        <v>21.425049678026625</v>
      </c>
      <c r="G240" s="16">
        <f t="shared" si="48"/>
        <v>3373</v>
      </c>
      <c r="H240" s="15">
        <f t="shared" si="48"/>
        <v>7602.333333333333</v>
      </c>
      <c r="I240" s="14">
        <f t="shared" si="48"/>
        <v>5690.333333333333</v>
      </c>
      <c r="J240" s="13">
        <f t="shared" si="48"/>
        <v>3307.3333333333335</v>
      </c>
      <c r="K240" s="127"/>
    </row>
    <row r="241" spans="1:11" outlineLevel="1" x14ac:dyDescent="0.2">
      <c r="A241" s="20">
        <f t="shared" si="47"/>
        <v>11711</v>
      </c>
      <c r="B241" s="19" t="str">
        <f t="shared" si="47"/>
        <v>UHCL</v>
      </c>
      <c r="C241" s="18"/>
      <c r="D241" s="15">
        <f t="shared" si="43"/>
        <v>1190.6666666666667</v>
      </c>
      <c r="E241" s="94">
        <f t="shared" si="44"/>
        <v>619.34267935898833</v>
      </c>
      <c r="F241" s="14">
        <f t="shared" si="45"/>
        <v>39.693593314763234</v>
      </c>
      <c r="G241" s="16">
        <f t="shared" si="48"/>
        <v>774.33333333333337</v>
      </c>
      <c r="H241" s="15">
        <f t="shared" si="48"/>
        <v>1391.3333333333333</v>
      </c>
      <c r="I241" s="14">
        <f t="shared" si="48"/>
        <v>953.66666666666663</v>
      </c>
      <c r="J241" s="13">
        <f t="shared" si="48"/>
        <v>57</v>
      </c>
      <c r="K241" s="127"/>
    </row>
    <row r="242" spans="1:11" outlineLevel="1" x14ac:dyDescent="0.2">
      <c r="A242" s="20">
        <f t="shared" si="47"/>
        <v>12826</v>
      </c>
      <c r="B242" s="19" t="str">
        <f t="shared" si="47"/>
        <v>UHD</v>
      </c>
      <c r="C242" s="18"/>
      <c r="D242" s="15">
        <f t="shared" si="43"/>
        <v>2382.3333333333335</v>
      </c>
      <c r="E242" s="94">
        <f t="shared" si="44"/>
        <v>452.64333333333343</v>
      </c>
      <c r="F242" s="14">
        <f t="shared" si="45"/>
        <v>29.833031863086134</v>
      </c>
      <c r="G242" s="16">
        <f t="shared" si="48"/>
        <v>1681</v>
      </c>
      <c r="H242" s="15">
        <f t="shared" si="48"/>
        <v>3105.3333333333335</v>
      </c>
      <c r="I242" s="14">
        <f t="shared" si="48"/>
        <v>1868.3333333333333</v>
      </c>
      <c r="J242" s="13">
        <f t="shared" si="48"/>
        <v>604.66666666666663</v>
      </c>
      <c r="K242" s="127"/>
    </row>
    <row r="243" spans="1:11" outlineLevel="1" x14ac:dyDescent="0.2">
      <c r="A243" s="20">
        <f t="shared" si="47"/>
        <v>13231</v>
      </c>
      <c r="B243" s="19" t="str">
        <f t="shared" si="47"/>
        <v>UHV</v>
      </c>
      <c r="C243" s="18"/>
      <c r="D243" s="15">
        <f t="shared" si="43"/>
        <v>576.66666666666663</v>
      </c>
      <c r="E243" s="94">
        <f t="shared" si="44"/>
        <v>300.19546283886069</v>
      </c>
      <c r="F243" s="14">
        <f t="shared" si="45"/>
        <v>40.08464889245883</v>
      </c>
      <c r="G243" s="16">
        <f t="shared" si="48"/>
        <v>384</v>
      </c>
      <c r="H243" s="15">
        <f t="shared" si="48"/>
        <v>716</v>
      </c>
      <c r="I243" s="14">
        <f t="shared" si="48"/>
        <v>296.33333333333331</v>
      </c>
      <c r="J243" s="13">
        <f t="shared" si="48"/>
        <v>6.666666666666667</v>
      </c>
      <c r="K243" s="127"/>
    </row>
    <row r="244" spans="1:11" outlineLevel="1" x14ac:dyDescent="0.2">
      <c r="A244" s="20">
        <f t="shared" si="47"/>
        <v>3592</v>
      </c>
      <c r="B244" s="19" t="str">
        <f t="shared" si="47"/>
        <v>Midwestern</v>
      </c>
      <c r="C244" s="18"/>
      <c r="D244" s="15">
        <f t="shared" si="43"/>
        <v>1031.6666666666667</v>
      </c>
      <c r="E244" s="94">
        <f t="shared" si="44"/>
        <v>453.24555555555554</v>
      </c>
      <c r="F244" s="14">
        <f t="shared" si="45"/>
        <v>24.122522148034601</v>
      </c>
      <c r="G244" s="16">
        <f t="shared" si="48"/>
        <v>690.33333333333337</v>
      </c>
      <c r="H244" s="15">
        <f t="shared" si="48"/>
        <v>1438</v>
      </c>
      <c r="I244" s="14">
        <f t="shared" si="48"/>
        <v>1046</v>
      </c>
      <c r="J244" s="13">
        <f t="shared" si="48"/>
        <v>679.66666666666663</v>
      </c>
      <c r="K244" s="127"/>
    </row>
    <row r="245" spans="1:11" outlineLevel="1" x14ac:dyDescent="0.2">
      <c r="A245" s="20">
        <f t="shared" si="47"/>
        <v>3594</v>
      </c>
      <c r="B245" s="19" t="str">
        <f t="shared" si="47"/>
        <v>UNT</v>
      </c>
      <c r="C245" s="18"/>
      <c r="D245" s="15">
        <f t="shared" si="43"/>
        <v>6016.666666666667</v>
      </c>
      <c r="E245" s="94">
        <f t="shared" si="44"/>
        <v>3467.6055555555558</v>
      </c>
      <c r="F245" s="14">
        <f t="shared" si="45"/>
        <v>25.886944566084125</v>
      </c>
      <c r="G245" s="16">
        <f t="shared" si="48"/>
        <v>3820</v>
      </c>
      <c r="H245" s="15">
        <f t="shared" si="48"/>
        <v>7864.666666666667</v>
      </c>
      <c r="I245" s="14">
        <f t="shared" si="48"/>
        <v>5642.333333333333</v>
      </c>
      <c r="J245" s="13">
        <f t="shared" si="48"/>
        <v>3337</v>
      </c>
      <c r="K245" s="127"/>
    </row>
    <row r="246" spans="1:11" outlineLevel="1" x14ac:dyDescent="0.2">
      <c r="A246" s="27">
        <f t="shared" si="47"/>
        <v>113594</v>
      </c>
      <c r="B246" s="19" t="str">
        <f t="shared" si="47"/>
        <v>UNTD</v>
      </c>
      <c r="C246" s="18"/>
      <c r="D246" s="15">
        <f t="shared" si="43"/>
        <v>403.5</v>
      </c>
      <c r="E246" s="94">
        <f t="shared" si="44"/>
        <v>233.02125000000001</v>
      </c>
      <c r="F246" s="14">
        <f t="shared" si="45"/>
        <v>42.647266065388948</v>
      </c>
      <c r="G246" s="16">
        <f t="shared" si="48"/>
        <v>308.5</v>
      </c>
      <c r="H246" s="15">
        <f t="shared" si="48"/>
        <v>478</v>
      </c>
      <c r="I246" s="14">
        <f t="shared" si="48"/>
        <v>71.5</v>
      </c>
      <c r="J246" s="13">
        <f t="shared" si="48"/>
        <v>11</v>
      </c>
      <c r="K246" s="127"/>
    </row>
    <row r="247" spans="1:11" outlineLevel="1" x14ac:dyDescent="0.2">
      <c r="A247" s="20">
        <f t="shared" si="47"/>
        <v>3624</v>
      </c>
      <c r="B247" s="19" t="str">
        <f t="shared" si="47"/>
        <v>SFA</v>
      </c>
      <c r="C247" s="18"/>
      <c r="D247" s="15">
        <f t="shared" si="43"/>
        <v>1921.6666666666667</v>
      </c>
      <c r="E247" s="94">
        <f t="shared" si="44"/>
        <v>1064.6033333333332</v>
      </c>
      <c r="F247" s="14">
        <f t="shared" si="45"/>
        <v>20.257544310083915</v>
      </c>
      <c r="G247" s="16">
        <f t="shared" si="48"/>
        <v>1460.3333333333333</v>
      </c>
      <c r="H247" s="15">
        <f t="shared" si="48"/>
        <v>2769.3333333333335</v>
      </c>
      <c r="I247" s="14">
        <f t="shared" si="48"/>
        <v>2075</v>
      </c>
      <c r="J247" s="13">
        <f t="shared" si="48"/>
        <v>1397.3333333333333</v>
      </c>
      <c r="K247" s="127"/>
    </row>
    <row r="248" spans="1:11" outlineLevel="1" x14ac:dyDescent="0.2">
      <c r="A248" s="20">
        <f t="shared" si="47"/>
        <v>3642</v>
      </c>
      <c r="B248" s="19" t="str">
        <f t="shared" si="47"/>
        <v>TSU</v>
      </c>
      <c r="C248" s="18"/>
      <c r="D248" s="15">
        <f t="shared" si="43"/>
        <v>758.33333333333337</v>
      </c>
      <c r="E248" s="94">
        <f t="shared" si="44"/>
        <v>108.94722222222221</v>
      </c>
      <c r="F248" s="14">
        <f t="shared" si="45"/>
        <v>12.933681010892716</v>
      </c>
      <c r="G248" s="16">
        <f t="shared" si="48"/>
        <v>666.33333333333337</v>
      </c>
      <c r="H248" s="15">
        <f t="shared" si="48"/>
        <v>1637.3333333333333</v>
      </c>
      <c r="I248" s="14">
        <f t="shared" si="48"/>
        <v>1133</v>
      </c>
      <c r="J248" s="13">
        <f t="shared" si="48"/>
        <v>848.66666666666663</v>
      </c>
      <c r="K248" s="127"/>
    </row>
    <row r="249" spans="1:11" outlineLevel="1" x14ac:dyDescent="0.2">
      <c r="A249" s="20">
        <f t="shared" si="47"/>
        <v>3644</v>
      </c>
      <c r="B249" s="19" t="str">
        <f t="shared" si="47"/>
        <v>TTU</v>
      </c>
      <c r="C249" s="18"/>
      <c r="D249" s="15">
        <f t="shared" si="43"/>
        <v>4674</v>
      </c>
      <c r="E249" s="94">
        <f t="shared" si="44"/>
        <v>3421.3679999999995</v>
      </c>
      <c r="F249" s="14">
        <f t="shared" si="45"/>
        <v>21.061243127033354</v>
      </c>
      <c r="G249" s="16">
        <f t="shared" si="48"/>
        <v>2778</v>
      </c>
      <c r="H249" s="15">
        <f t="shared" si="48"/>
        <v>6485.333333333333</v>
      </c>
      <c r="I249" s="14">
        <f t="shared" si="48"/>
        <v>5278.333333333333</v>
      </c>
      <c r="J249" s="13">
        <f t="shared" si="48"/>
        <v>3945.6666666666665</v>
      </c>
      <c r="K249" s="127"/>
    </row>
    <row r="250" spans="1:11" outlineLevel="1" x14ac:dyDescent="0.2">
      <c r="A250" s="20">
        <f t="shared" si="47"/>
        <v>3541</v>
      </c>
      <c r="B250" s="19" t="str">
        <f t="shared" si="47"/>
        <v>Angelo</v>
      </c>
      <c r="C250" s="18"/>
      <c r="D250" s="15">
        <f t="shared" si="43"/>
        <v>991.33333333333337</v>
      </c>
      <c r="E250" s="94">
        <f t="shared" si="44"/>
        <v>425.94288888888889</v>
      </c>
      <c r="F250" s="14">
        <f t="shared" si="45"/>
        <v>20.305700708264297</v>
      </c>
      <c r="G250" s="16">
        <f t="shared" si="48"/>
        <v>723</v>
      </c>
      <c r="H250" s="15">
        <f t="shared" si="48"/>
        <v>1438.6666666666667</v>
      </c>
      <c r="I250" s="14">
        <f t="shared" si="48"/>
        <v>1033.6666666666667</v>
      </c>
      <c r="J250" s="13">
        <f t="shared" si="48"/>
        <v>707.66666666666663</v>
      </c>
      <c r="K250" s="127"/>
    </row>
    <row r="251" spans="1:11" outlineLevel="1" x14ac:dyDescent="0.2">
      <c r="A251" s="20">
        <f t="shared" ref="A251:B256" si="49">A209</f>
        <v>3646</v>
      </c>
      <c r="B251" s="19" t="str">
        <f t="shared" si="49"/>
        <v>TWU</v>
      </c>
      <c r="C251" s="18"/>
      <c r="D251" s="15">
        <f t="shared" si="43"/>
        <v>1806</v>
      </c>
      <c r="E251" s="94">
        <f t="shared" si="44"/>
        <v>945.74200000000008</v>
      </c>
      <c r="F251" s="14">
        <f t="shared" si="45"/>
        <v>27.545604295039961</v>
      </c>
      <c r="G251" s="16">
        <f t="shared" ref="G251:J256" si="50">AVERAGE(G293,G335,G377)</f>
        <v>1247</v>
      </c>
      <c r="H251" s="15">
        <f t="shared" si="50"/>
        <v>2196</v>
      </c>
      <c r="I251" s="14">
        <f t="shared" si="50"/>
        <v>1292.3333333333333</v>
      </c>
      <c r="J251" s="13">
        <f t="shared" si="50"/>
        <v>659.66666666666663</v>
      </c>
      <c r="K251" s="127"/>
    </row>
    <row r="252" spans="1:11" outlineLevel="1" x14ac:dyDescent="0.2">
      <c r="A252" s="20">
        <f t="shared" si="49"/>
        <v>3581</v>
      </c>
      <c r="B252" s="19" t="str">
        <f t="shared" si="49"/>
        <v>Lamar</v>
      </c>
      <c r="C252" s="18"/>
      <c r="D252" s="15">
        <f t="shared" si="43"/>
        <v>1335.3333333333333</v>
      </c>
      <c r="E252" s="94">
        <f t="shared" si="44"/>
        <v>467.81177777777776</v>
      </c>
      <c r="F252" s="14">
        <f t="shared" si="45"/>
        <v>18.354929164452098</v>
      </c>
      <c r="G252" s="16">
        <f t="shared" si="50"/>
        <v>948.66666666666663</v>
      </c>
      <c r="H252" s="15">
        <f t="shared" si="50"/>
        <v>2144.6666666666665</v>
      </c>
      <c r="I252" s="14">
        <f t="shared" si="50"/>
        <v>1489</v>
      </c>
      <c r="J252" s="13">
        <f t="shared" si="50"/>
        <v>1011</v>
      </c>
      <c r="K252" s="127"/>
    </row>
    <row r="253" spans="1:11" outlineLevel="1" x14ac:dyDescent="0.2">
      <c r="A253" s="20">
        <f t="shared" si="49"/>
        <v>3606</v>
      </c>
      <c r="B253" s="19" t="str">
        <f t="shared" si="49"/>
        <v>SHSU</v>
      </c>
      <c r="C253" s="18"/>
      <c r="D253" s="15">
        <f t="shared" si="43"/>
        <v>3077.6666666666665</v>
      </c>
      <c r="E253" s="94">
        <f t="shared" si="44"/>
        <v>1805.5644444444445</v>
      </c>
      <c r="F253" s="14">
        <f t="shared" si="45"/>
        <v>24.475654239301015</v>
      </c>
      <c r="G253" s="16">
        <f t="shared" si="50"/>
        <v>2213.6666666666665</v>
      </c>
      <c r="H253" s="15">
        <f t="shared" si="50"/>
        <v>3894.3333333333335</v>
      </c>
      <c r="I253" s="14">
        <f t="shared" si="50"/>
        <v>2965.3333333333335</v>
      </c>
      <c r="J253" s="13">
        <f t="shared" si="50"/>
        <v>1763.3333333333333</v>
      </c>
    </row>
    <row r="254" spans="1:11" outlineLevel="1" x14ac:dyDescent="0.2">
      <c r="A254" s="20">
        <f t="shared" si="49"/>
        <v>3615</v>
      </c>
      <c r="B254" s="19" t="str">
        <f t="shared" si="49"/>
        <v>TXST</v>
      </c>
      <c r="C254" s="18"/>
      <c r="D254" s="15">
        <f t="shared" si="43"/>
        <v>5361</v>
      </c>
      <c r="E254" s="94">
        <f t="shared" si="44"/>
        <v>3393.5129999999999</v>
      </c>
      <c r="F254" s="14">
        <f t="shared" si="45"/>
        <v>23.406891519786395</v>
      </c>
      <c r="G254" s="16">
        <f t="shared" si="50"/>
        <v>3675.3333333333335</v>
      </c>
      <c r="H254" s="15">
        <f t="shared" si="50"/>
        <v>7470.333333333333</v>
      </c>
      <c r="I254" s="14">
        <f t="shared" si="50"/>
        <v>5579</v>
      </c>
      <c r="J254" s="13">
        <f t="shared" si="50"/>
        <v>3317.3333333333335</v>
      </c>
    </row>
    <row r="255" spans="1:11" outlineLevel="1" x14ac:dyDescent="0.2">
      <c r="A255" s="20">
        <f t="shared" si="49"/>
        <v>3625</v>
      </c>
      <c r="B255" s="19" t="str">
        <f t="shared" si="49"/>
        <v>SRSU</v>
      </c>
      <c r="C255" s="18"/>
      <c r="D255" s="15">
        <f t="shared" si="43"/>
        <v>189.33333333333334</v>
      </c>
      <c r="E255" s="94">
        <f t="shared" si="44"/>
        <v>56.989333333333335</v>
      </c>
      <c r="F255" s="14">
        <f t="shared" si="45"/>
        <v>15.518843008324076</v>
      </c>
      <c r="G255" s="16">
        <f t="shared" si="50"/>
        <v>163</v>
      </c>
      <c r="H255" s="15">
        <f t="shared" si="50"/>
        <v>300</v>
      </c>
      <c r="I255" s="14">
        <f t="shared" si="50"/>
        <v>193.66666666666666</v>
      </c>
      <c r="J255" s="13">
        <f t="shared" si="50"/>
        <v>131.66666666666666</v>
      </c>
      <c r="K255" s="128"/>
    </row>
    <row r="256" spans="1:11" outlineLevel="1" x14ac:dyDescent="0.2">
      <c r="A256" s="20">
        <f t="shared" si="49"/>
        <v>20</v>
      </c>
      <c r="B256" s="19" t="str">
        <f t="shared" si="49"/>
        <v>SRRG</v>
      </c>
      <c r="C256" s="18"/>
      <c r="D256" s="15">
        <f t="shared" si="43"/>
        <v>161.66666666666666</v>
      </c>
      <c r="E256" s="94">
        <f t="shared" si="44"/>
        <v>51.365976618337754</v>
      </c>
      <c r="F256" s="14">
        <f t="shared" si="45"/>
        <v>36.596408270033706</v>
      </c>
      <c r="G256" s="16">
        <f t="shared" si="50"/>
        <v>144</v>
      </c>
      <c r="H256" s="15">
        <f t="shared" si="50"/>
        <v>230</v>
      </c>
      <c r="I256" s="14">
        <f t="shared" si="50"/>
        <v>92.666666666666671</v>
      </c>
      <c r="J256" s="13">
        <f t="shared" si="50"/>
        <v>4.333333333333333</v>
      </c>
    </row>
    <row r="257" spans="1:11" ht="13.5" outlineLevel="1" thickBot="1" x14ac:dyDescent="0.25">
      <c r="A257" s="12"/>
      <c r="B257" s="11" t="s">
        <v>11</v>
      </c>
      <c r="C257" s="10"/>
      <c r="D257" s="9">
        <f t="shared" ref="D257:J257" si="51">SUM(D219:D256)</f>
        <v>84315.833333333314</v>
      </c>
      <c r="E257" s="95">
        <f t="shared" si="51"/>
        <v>49031.80588920939</v>
      </c>
      <c r="F257" s="7">
        <f t="shared" si="51"/>
        <v>1017.4700431877567</v>
      </c>
      <c r="G257" s="6">
        <f t="shared" si="51"/>
        <v>54446.500000000007</v>
      </c>
      <c r="H257" s="5">
        <f t="shared" si="51"/>
        <v>114212.66666666664</v>
      </c>
      <c r="I257" s="4">
        <f t="shared" si="51"/>
        <v>82344.5</v>
      </c>
      <c r="J257" s="3">
        <f t="shared" si="51"/>
        <v>50801.999999999993</v>
      </c>
    </row>
    <row r="258" spans="1:11" ht="13.5" thickBot="1" x14ac:dyDescent="0.25">
      <c r="A258" s="42" t="s">
        <v>25</v>
      </c>
      <c r="B258" s="42"/>
      <c r="C258" s="42"/>
      <c r="D258" s="51"/>
      <c r="F258" s="51"/>
      <c r="G258" s="51"/>
    </row>
    <row r="259" spans="1:11" ht="12.75" customHeight="1" outlineLevel="1" x14ac:dyDescent="0.2">
      <c r="A259" s="184" t="s">
        <v>22</v>
      </c>
      <c r="B259" s="186" t="s">
        <v>21</v>
      </c>
      <c r="C259" s="188"/>
      <c r="D259" s="196" t="s">
        <v>20</v>
      </c>
      <c r="E259" s="194" t="s">
        <v>19</v>
      </c>
      <c r="F259" s="186" t="s">
        <v>18</v>
      </c>
      <c r="G259" s="176" t="s">
        <v>16</v>
      </c>
      <c r="H259" s="178" t="s">
        <v>15</v>
      </c>
      <c r="I259" s="179"/>
      <c r="J259" s="180"/>
    </row>
    <row r="260" spans="1:11" s="41" customFormat="1" ht="36" customHeight="1" outlineLevel="1" thickBot="1" x14ac:dyDescent="0.25">
      <c r="A260" s="185"/>
      <c r="B260" s="187"/>
      <c r="C260" s="189"/>
      <c r="D260" s="197"/>
      <c r="E260" s="195"/>
      <c r="F260" s="187"/>
      <c r="G260" s="190"/>
      <c r="H260" s="103" t="s">
        <v>14</v>
      </c>
      <c r="I260" s="104" t="s">
        <v>13</v>
      </c>
      <c r="J260" s="110" t="s">
        <v>12</v>
      </c>
      <c r="K260" s="126"/>
    </row>
    <row r="261" spans="1:11" outlineLevel="1" x14ac:dyDescent="0.2">
      <c r="A261" s="40">
        <f t="shared" ref="A261:B276" si="52">A219</f>
        <v>3656</v>
      </c>
      <c r="B261" s="39" t="str">
        <f t="shared" si="52"/>
        <v>UTA</v>
      </c>
      <c r="C261" s="38"/>
      <c r="D261" s="33">
        <v>5773</v>
      </c>
      <c r="E261" s="37">
        <v>0.55500000000000005</v>
      </c>
      <c r="F261" s="32">
        <v>17781.466666666667</v>
      </c>
      <c r="G261" s="34">
        <v>3528</v>
      </c>
      <c r="H261" s="50">
        <v>6893</v>
      </c>
      <c r="I261" s="49">
        <v>3962</v>
      </c>
      <c r="J261" s="48">
        <v>1894</v>
      </c>
    </row>
    <row r="262" spans="1:11" outlineLevel="1" x14ac:dyDescent="0.2">
      <c r="A262" s="20">
        <f t="shared" si="52"/>
        <v>3658</v>
      </c>
      <c r="B262" s="19" t="str">
        <f t="shared" si="52"/>
        <v>UT</v>
      </c>
      <c r="C262" s="18"/>
      <c r="D262" s="15">
        <v>8860</v>
      </c>
      <c r="E262" s="21">
        <v>0.82499999999999996</v>
      </c>
      <c r="F262" s="14">
        <v>33841.466666666667</v>
      </c>
      <c r="G262" s="16">
        <v>3501</v>
      </c>
      <c r="H262" s="30">
        <v>9260</v>
      </c>
      <c r="I262" s="29">
        <v>8373</v>
      </c>
      <c r="J262" s="28">
        <v>6348</v>
      </c>
    </row>
    <row r="263" spans="1:11" outlineLevel="1" x14ac:dyDescent="0.2">
      <c r="A263" s="20">
        <f t="shared" si="52"/>
        <v>9741</v>
      </c>
      <c r="B263" s="19" t="str">
        <f t="shared" si="52"/>
        <v>UTD</v>
      </c>
      <c r="C263" s="18"/>
      <c r="D263" s="15">
        <v>2510</v>
      </c>
      <c r="E263" s="21">
        <v>0.71900000000000008</v>
      </c>
      <c r="F263" s="14">
        <v>9826.5333333333328</v>
      </c>
      <c r="G263" s="16">
        <v>1410</v>
      </c>
      <c r="H263" s="30">
        <v>3522</v>
      </c>
      <c r="I263" s="29">
        <v>2348</v>
      </c>
      <c r="J263" s="28">
        <v>1065</v>
      </c>
    </row>
    <row r="264" spans="1:11" outlineLevel="1" x14ac:dyDescent="0.2">
      <c r="A264" s="20">
        <f t="shared" si="52"/>
        <v>3661</v>
      </c>
      <c r="B264" s="19" t="str">
        <f t="shared" si="52"/>
        <v>UTEP</v>
      </c>
      <c r="C264" s="18"/>
      <c r="D264" s="15">
        <v>3132</v>
      </c>
      <c r="E264" s="21">
        <v>0.41200000000000003</v>
      </c>
      <c r="F264" s="14">
        <v>13931.066666666668</v>
      </c>
      <c r="G264" s="16">
        <v>2590</v>
      </c>
      <c r="H264" s="30">
        <v>4400</v>
      </c>
      <c r="I264" s="29">
        <v>3304</v>
      </c>
      <c r="J264" s="28">
        <v>1986</v>
      </c>
    </row>
    <row r="265" spans="1:11" outlineLevel="1" x14ac:dyDescent="0.2">
      <c r="A265" s="20">
        <f t="shared" si="52"/>
        <v>3599</v>
      </c>
      <c r="B265" s="19" t="str">
        <f t="shared" si="52"/>
        <v>UTPA</v>
      </c>
      <c r="C265" s="18"/>
      <c r="D265" s="15">
        <v>2462</v>
      </c>
      <c r="E265" s="21">
        <v>0.44</v>
      </c>
      <c r="F265" s="14">
        <v>12698.333333333334</v>
      </c>
      <c r="G265" s="16">
        <v>2247</v>
      </c>
      <c r="H265" s="30">
        <v>3730</v>
      </c>
      <c r="I265" s="29">
        <v>2862</v>
      </c>
      <c r="J265" s="28">
        <v>1896</v>
      </c>
    </row>
    <row r="266" spans="1:11" outlineLevel="1" x14ac:dyDescent="0.2">
      <c r="A266" s="20">
        <f t="shared" si="52"/>
        <v>30646</v>
      </c>
      <c r="B266" s="19" t="str">
        <f t="shared" si="52"/>
        <v>UTB</v>
      </c>
      <c r="C266" s="18"/>
      <c r="D266" s="15">
        <v>1149</v>
      </c>
      <c r="E266" s="17">
        <v>0.52783109404990403</v>
      </c>
      <c r="F266" s="14">
        <v>3400.5333333333333</v>
      </c>
      <c r="G266" s="16">
        <v>978</v>
      </c>
      <c r="H266" s="30">
        <v>1243</v>
      </c>
      <c r="I266" s="29">
        <v>486</v>
      </c>
      <c r="J266" s="28">
        <v>99</v>
      </c>
    </row>
    <row r="267" spans="1:11" outlineLevel="1" x14ac:dyDescent="0.2">
      <c r="A267" s="20">
        <f t="shared" si="52"/>
        <v>9930</v>
      </c>
      <c r="B267" s="19" t="str">
        <f t="shared" si="52"/>
        <v>UTPB</v>
      </c>
      <c r="C267" s="18"/>
      <c r="D267" s="15">
        <v>546</v>
      </c>
      <c r="E267" s="21">
        <v>0.47899999999999998</v>
      </c>
      <c r="F267" s="14">
        <v>2343.2666666666669</v>
      </c>
      <c r="G267" s="16">
        <v>411</v>
      </c>
      <c r="H267" s="30">
        <v>742</v>
      </c>
      <c r="I267" s="29">
        <v>535</v>
      </c>
      <c r="J267" s="28">
        <v>210</v>
      </c>
    </row>
    <row r="268" spans="1:11" outlineLevel="1" x14ac:dyDescent="0.2">
      <c r="A268" s="20">
        <f t="shared" si="52"/>
        <v>10115</v>
      </c>
      <c r="B268" s="19" t="str">
        <f t="shared" si="52"/>
        <v>UTSA</v>
      </c>
      <c r="C268" s="18"/>
      <c r="D268" s="15">
        <v>4243</v>
      </c>
      <c r="E268" s="21">
        <v>0.43099999999999999</v>
      </c>
      <c r="F268" s="14">
        <v>21066.866666666665</v>
      </c>
      <c r="G268" s="16">
        <v>3204</v>
      </c>
      <c r="H268" s="30">
        <v>6815</v>
      </c>
      <c r="I268" s="29">
        <v>4371</v>
      </c>
      <c r="J268" s="28">
        <v>2560</v>
      </c>
    </row>
    <row r="269" spans="1:11" outlineLevel="1" x14ac:dyDescent="0.2">
      <c r="A269" s="20">
        <f t="shared" si="52"/>
        <v>11163</v>
      </c>
      <c r="B269" s="19" t="str">
        <f t="shared" si="52"/>
        <v>UTT</v>
      </c>
      <c r="C269" s="18"/>
      <c r="D269" s="15">
        <v>1144</v>
      </c>
      <c r="E269" s="21">
        <v>0.51800000000000002</v>
      </c>
      <c r="F269" s="14">
        <v>4086.7333333333331</v>
      </c>
      <c r="G269" s="16">
        <v>886</v>
      </c>
      <c r="H269" s="30">
        <v>1409</v>
      </c>
      <c r="I269" s="29">
        <v>844</v>
      </c>
      <c r="J269" s="28">
        <v>383</v>
      </c>
    </row>
    <row r="270" spans="1:11" outlineLevel="1" x14ac:dyDescent="0.2">
      <c r="A270" s="20">
        <f t="shared" si="52"/>
        <v>3632</v>
      </c>
      <c r="B270" s="19" t="str">
        <f t="shared" si="52"/>
        <v>TAMU</v>
      </c>
      <c r="C270" s="18"/>
      <c r="D270" s="15">
        <v>9020</v>
      </c>
      <c r="E270" s="21">
        <v>0.84200000000000008</v>
      </c>
      <c r="F270" s="14">
        <v>35116.666666666664</v>
      </c>
      <c r="G270" s="16">
        <v>3915</v>
      </c>
      <c r="H270" s="30">
        <v>10547</v>
      </c>
      <c r="I270" s="29">
        <v>8924</v>
      </c>
      <c r="J270" s="28">
        <v>6938</v>
      </c>
    </row>
    <row r="271" spans="1:11" outlineLevel="1" x14ac:dyDescent="0.2">
      <c r="A271" s="20">
        <f t="shared" si="52"/>
        <v>10298</v>
      </c>
      <c r="B271" s="19" t="str">
        <f t="shared" si="52"/>
        <v>TAMUG</v>
      </c>
      <c r="C271" s="18"/>
      <c r="D271" s="15">
        <v>314</v>
      </c>
      <c r="E271" s="21">
        <v>0.626</v>
      </c>
      <c r="F271" s="14">
        <v>1769.4666666666667</v>
      </c>
      <c r="G271" s="16">
        <v>186</v>
      </c>
      <c r="H271" s="30">
        <v>607</v>
      </c>
      <c r="I271" s="29">
        <v>296</v>
      </c>
      <c r="J271" s="28">
        <v>263</v>
      </c>
    </row>
    <row r="272" spans="1:11" outlineLevel="1" x14ac:dyDescent="0.2">
      <c r="A272" s="20">
        <f t="shared" si="52"/>
        <v>3630</v>
      </c>
      <c r="B272" s="19" t="str">
        <f t="shared" si="52"/>
        <v>Prairie View</v>
      </c>
      <c r="C272" s="18"/>
      <c r="D272" s="15">
        <v>1026</v>
      </c>
      <c r="E272" s="21">
        <v>0.40299999999999997</v>
      </c>
      <c r="F272" s="14">
        <v>5822.8</v>
      </c>
      <c r="G272" s="16">
        <v>877</v>
      </c>
      <c r="H272" s="30">
        <v>1701</v>
      </c>
      <c r="I272" s="29">
        <v>1132</v>
      </c>
      <c r="J272" s="28">
        <v>871</v>
      </c>
    </row>
    <row r="273" spans="1:10" outlineLevel="1" x14ac:dyDescent="0.2">
      <c r="A273" s="20">
        <f t="shared" si="52"/>
        <v>3631</v>
      </c>
      <c r="B273" s="19" t="str">
        <f t="shared" si="52"/>
        <v>Tarleton</v>
      </c>
      <c r="C273" s="18"/>
      <c r="D273" s="15">
        <v>1662</v>
      </c>
      <c r="E273" s="21">
        <v>0.47600000000000003</v>
      </c>
      <c r="F273" s="14">
        <v>6766.4</v>
      </c>
      <c r="G273" s="16">
        <v>1296</v>
      </c>
      <c r="H273" s="30">
        <v>2227</v>
      </c>
      <c r="I273" s="29">
        <v>1216</v>
      </c>
      <c r="J273" s="28">
        <v>845</v>
      </c>
    </row>
    <row r="274" spans="1:10" outlineLevel="1" x14ac:dyDescent="0.2">
      <c r="A274" s="27">
        <f t="shared" si="52"/>
        <v>103631</v>
      </c>
      <c r="B274" s="19" t="str">
        <f t="shared" si="52"/>
        <v>TAMUCT</v>
      </c>
      <c r="C274" s="18"/>
      <c r="D274" s="15">
        <v>469</v>
      </c>
      <c r="E274" s="21">
        <f>E273</f>
        <v>0.47600000000000003</v>
      </c>
      <c r="F274" s="14">
        <v>684.13333333333333</v>
      </c>
      <c r="G274" s="16">
        <v>329</v>
      </c>
      <c r="H274" s="30">
        <v>550</v>
      </c>
      <c r="I274" s="29">
        <v>119</v>
      </c>
      <c r="J274" s="28">
        <v>5</v>
      </c>
    </row>
    <row r="275" spans="1:10" outlineLevel="1" x14ac:dyDescent="0.2">
      <c r="A275" s="20">
        <f t="shared" si="52"/>
        <v>11161</v>
      </c>
      <c r="B275" s="19" t="str">
        <f t="shared" si="52"/>
        <v>TAMUCC</v>
      </c>
      <c r="C275" s="18"/>
      <c r="D275" s="15">
        <v>1515</v>
      </c>
      <c r="E275" s="21">
        <v>0.51</v>
      </c>
      <c r="F275" s="14">
        <v>6742.2</v>
      </c>
      <c r="G275" s="16">
        <v>1182</v>
      </c>
      <c r="H275" s="30">
        <v>1957</v>
      </c>
      <c r="I275" s="29">
        <v>1470</v>
      </c>
      <c r="J275" s="28">
        <v>959</v>
      </c>
    </row>
    <row r="276" spans="1:10" outlineLevel="1" x14ac:dyDescent="0.2">
      <c r="A276" s="20">
        <f t="shared" si="52"/>
        <v>3639</v>
      </c>
      <c r="B276" s="19" t="str">
        <f t="shared" si="52"/>
        <v>TAMUK</v>
      </c>
      <c r="C276" s="18"/>
      <c r="D276" s="15">
        <v>855</v>
      </c>
      <c r="E276" s="21">
        <v>0.39200000000000002</v>
      </c>
      <c r="F276" s="14">
        <v>4577.5333333333338</v>
      </c>
      <c r="G276" s="16">
        <v>742</v>
      </c>
      <c r="H276" s="30">
        <v>1343</v>
      </c>
      <c r="I276" s="29">
        <v>910</v>
      </c>
      <c r="J276" s="28">
        <v>571</v>
      </c>
    </row>
    <row r="277" spans="1:10" outlineLevel="1" x14ac:dyDescent="0.2">
      <c r="A277" s="27">
        <f t="shared" ref="A277:B292" si="53">A235</f>
        <v>103639</v>
      </c>
      <c r="B277" s="19" t="str">
        <f t="shared" si="53"/>
        <v>TAMUSA</v>
      </c>
      <c r="C277" s="18"/>
      <c r="D277" s="15">
        <v>647</v>
      </c>
      <c r="E277" s="21">
        <f>E276</f>
        <v>0.39200000000000002</v>
      </c>
      <c r="F277" s="14">
        <v>1673.0666666666666</v>
      </c>
      <c r="G277" s="16">
        <v>549</v>
      </c>
      <c r="H277" s="30">
        <v>887</v>
      </c>
      <c r="I277" s="29">
        <v>190</v>
      </c>
      <c r="J277" s="28">
        <v>1</v>
      </c>
    </row>
    <row r="278" spans="1:10" outlineLevel="1" x14ac:dyDescent="0.2">
      <c r="A278" s="20">
        <f t="shared" si="53"/>
        <v>9651</v>
      </c>
      <c r="B278" s="19" t="str">
        <f t="shared" si="53"/>
        <v>TAMI</v>
      </c>
      <c r="C278" s="18"/>
      <c r="D278" s="15">
        <v>805</v>
      </c>
      <c r="E278" s="21">
        <v>0.45700000000000002</v>
      </c>
      <c r="F278" s="14">
        <v>4312.1333333333332</v>
      </c>
      <c r="G278" s="16">
        <v>737</v>
      </c>
      <c r="H278" s="30">
        <v>1292</v>
      </c>
      <c r="I278" s="29">
        <v>1039</v>
      </c>
      <c r="J278" s="28">
        <v>488</v>
      </c>
    </row>
    <row r="279" spans="1:10" outlineLevel="1" x14ac:dyDescent="0.2">
      <c r="A279" s="20">
        <f t="shared" si="53"/>
        <v>3665</v>
      </c>
      <c r="B279" s="19" t="str">
        <f t="shared" si="53"/>
        <v>WTAMU</v>
      </c>
      <c r="C279" s="18"/>
      <c r="D279" s="15">
        <v>1253</v>
      </c>
      <c r="E279" s="21">
        <v>0.48200000000000004</v>
      </c>
      <c r="F279" s="14">
        <v>5523.2</v>
      </c>
      <c r="G279" s="16">
        <v>902</v>
      </c>
      <c r="H279" s="30">
        <v>1631</v>
      </c>
      <c r="I279" s="29">
        <v>1213</v>
      </c>
      <c r="J279" s="28">
        <v>689</v>
      </c>
    </row>
    <row r="280" spans="1:10" outlineLevel="1" x14ac:dyDescent="0.2">
      <c r="A280" s="20">
        <f t="shared" si="53"/>
        <v>3565</v>
      </c>
      <c r="B280" s="19" t="str">
        <f t="shared" si="53"/>
        <v>TAMUC</v>
      </c>
      <c r="C280" s="18"/>
      <c r="D280" s="15">
        <v>1507</v>
      </c>
      <c r="E280" s="21">
        <v>0.44600000000000001</v>
      </c>
      <c r="F280" s="14">
        <v>5135.2666666666664</v>
      </c>
      <c r="G280" s="16">
        <v>1172</v>
      </c>
      <c r="H280" s="30">
        <v>2056</v>
      </c>
      <c r="I280" s="29">
        <v>1174</v>
      </c>
      <c r="J280" s="28">
        <v>457</v>
      </c>
    </row>
    <row r="281" spans="1:10" outlineLevel="1" x14ac:dyDescent="0.2">
      <c r="A281" s="20">
        <f t="shared" si="53"/>
        <v>29269</v>
      </c>
      <c r="B281" s="19" t="str">
        <f t="shared" si="53"/>
        <v>TAMUT</v>
      </c>
      <c r="C281" s="18"/>
      <c r="D281" s="15">
        <v>376</v>
      </c>
      <c r="E281" s="17">
        <v>0.49242424242424243</v>
      </c>
      <c r="F281" s="14">
        <v>1101.2666666666667</v>
      </c>
      <c r="G281" s="16">
        <v>277</v>
      </c>
      <c r="H281" s="30">
        <v>484</v>
      </c>
      <c r="I281" s="29">
        <v>219</v>
      </c>
      <c r="J281" s="28">
        <v>1</v>
      </c>
    </row>
    <row r="282" spans="1:10" outlineLevel="1" x14ac:dyDescent="0.2">
      <c r="A282" s="20">
        <f t="shared" si="53"/>
        <v>3652</v>
      </c>
      <c r="B282" s="19" t="str">
        <f t="shared" si="53"/>
        <v>UH</v>
      </c>
      <c r="C282" s="18"/>
      <c r="D282" s="15">
        <v>5426</v>
      </c>
      <c r="E282" s="21">
        <v>0.53600000000000003</v>
      </c>
      <c r="F282" s="14">
        <v>24760.400000000001</v>
      </c>
      <c r="G282" s="16">
        <v>3688</v>
      </c>
      <c r="H282" s="30">
        <v>7823</v>
      </c>
      <c r="I282" s="29">
        <v>5667</v>
      </c>
      <c r="J282" s="28">
        <v>3232</v>
      </c>
    </row>
    <row r="283" spans="1:10" outlineLevel="1" x14ac:dyDescent="0.2">
      <c r="A283" s="20">
        <f t="shared" si="53"/>
        <v>11711</v>
      </c>
      <c r="B283" s="19" t="str">
        <f t="shared" si="53"/>
        <v>UHCL</v>
      </c>
      <c r="C283" s="18"/>
      <c r="D283" s="15">
        <v>1251</v>
      </c>
      <c r="E283" s="17">
        <v>0.51671732522796354</v>
      </c>
      <c r="F283" s="14">
        <v>3079.2666666666669</v>
      </c>
      <c r="G283" s="16">
        <v>839</v>
      </c>
      <c r="H283" s="30">
        <v>1391</v>
      </c>
      <c r="I283" s="29">
        <v>1014</v>
      </c>
      <c r="J283" s="28">
        <v>37</v>
      </c>
    </row>
    <row r="284" spans="1:10" outlineLevel="1" x14ac:dyDescent="0.2">
      <c r="A284" s="20">
        <f t="shared" si="53"/>
        <v>12826</v>
      </c>
      <c r="B284" s="19" t="str">
        <f t="shared" si="53"/>
        <v>UHD</v>
      </c>
      <c r="C284" s="18"/>
      <c r="D284" s="15">
        <v>2351</v>
      </c>
      <c r="E284" s="21">
        <v>0.17399999999999999</v>
      </c>
      <c r="F284" s="14">
        <v>8043.8</v>
      </c>
      <c r="G284" s="16">
        <v>1694</v>
      </c>
      <c r="H284" s="30">
        <v>3011</v>
      </c>
      <c r="I284" s="29">
        <v>1820</v>
      </c>
      <c r="J284" s="28">
        <v>590</v>
      </c>
    </row>
    <row r="285" spans="1:10" outlineLevel="1" x14ac:dyDescent="0.2">
      <c r="A285" s="20">
        <f t="shared" si="53"/>
        <v>13231</v>
      </c>
      <c r="B285" s="19" t="str">
        <f t="shared" si="53"/>
        <v>UHV</v>
      </c>
      <c r="C285" s="18"/>
      <c r="D285" s="15">
        <v>619</v>
      </c>
      <c r="E285" s="17">
        <v>0.47520661157024796</v>
      </c>
      <c r="F285" s="14">
        <v>1685.8666666666666</v>
      </c>
      <c r="G285" s="16">
        <v>418</v>
      </c>
      <c r="H285" s="30">
        <v>776</v>
      </c>
      <c r="I285" s="29">
        <v>334</v>
      </c>
      <c r="J285" s="28">
        <v>6</v>
      </c>
    </row>
    <row r="286" spans="1:10" outlineLevel="1" x14ac:dyDescent="0.2">
      <c r="A286" s="20">
        <f t="shared" si="53"/>
        <v>3592</v>
      </c>
      <c r="B286" s="19" t="str">
        <f t="shared" si="53"/>
        <v>Midwestern</v>
      </c>
      <c r="C286" s="18"/>
      <c r="D286" s="15">
        <v>1066</v>
      </c>
      <c r="E286" s="21">
        <v>0.46299999999999997</v>
      </c>
      <c r="F286" s="14">
        <v>4147.7333333333336</v>
      </c>
      <c r="G286" s="16">
        <v>723</v>
      </c>
      <c r="H286" s="30">
        <v>1310</v>
      </c>
      <c r="I286" s="29">
        <v>979</v>
      </c>
      <c r="J286" s="28">
        <v>683</v>
      </c>
    </row>
    <row r="287" spans="1:10" outlineLevel="1" x14ac:dyDescent="0.2">
      <c r="A287" s="20">
        <f t="shared" si="53"/>
        <v>3594</v>
      </c>
      <c r="B287" s="19" t="str">
        <f t="shared" si="53"/>
        <v>UNT</v>
      </c>
      <c r="C287" s="18"/>
      <c r="D287" s="15">
        <v>5843</v>
      </c>
      <c r="E287" s="21">
        <v>0.56799999999999995</v>
      </c>
      <c r="F287" s="14">
        <v>23213.466666666667</v>
      </c>
      <c r="G287" s="16">
        <v>3771</v>
      </c>
      <c r="H287" s="30">
        <v>7310</v>
      </c>
      <c r="I287" s="29">
        <v>5432</v>
      </c>
      <c r="J287" s="28">
        <v>3116</v>
      </c>
    </row>
    <row r="288" spans="1:10" outlineLevel="1" x14ac:dyDescent="0.2">
      <c r="A288" s="27">
        <f t="shared" si="53"/>
        <v>113594</v>
      </c>
      <c r="B288" s="19" t="str">
        <f t="shared" si="53"/>
        <v>UNTD</v>
      </c>
      <c r="C288" s="18"/>
      <c r="D288" s="15">
        <v>419</v>
      </c>
      <c r="E288" s="21">
        <f>E287</f>
        <v>0.56799999999999995</v>
      </c>
      <c r="F288" s="14">
        <v>983.4666666666667</v>
      </c>
      <c r="G288" s="16">
        <v>313</v>
      </c>
      <c r="H288" s="30">
        <v>469</v>
      </c>
      <c r="I288" s="29">
        <v>80</v>
      </c>
      <c r="J288" s="28">
        <v>4</v>
      </c>
    </row>
    <row r="289" spans="1:11" outlineLevel="1" x14ac:dyDescent="0.2">
      <c r="A289" s="20">
        <f t="shared" si="53"/>
        <v>3624</v>
      </c>
      <c r="B289" s="19" t="str">
        <f t="shared" si="53"/>
        <v>SFA</v>
      </c>
      <c r="C289" s="18"/>
      <c r="D289" s="15">
        <v>2011</v>
      </c>
      <c r="E289" s="21">
        <v>0.55299999999999994</v>
      </c>
      <c r="F289" s="14">
        <v>9507.3333333333339</v>
      </c>
      <c r="G289" s="16">
        <v>1513</v>
      </c>
      <c r="H289" s="30">
        <v>2605</v>
      </c>
      <c r="I289" s="29">
        <v>2125</v>
      </c>
      <c r="J289" s="28">
        <v>1473</v>
      </c>
    </row>
    <row r="290" spans="1:11" outlineLevel="1" x14ac:dyDescent="0.2">
      <c r="A290" s="20">
        <f t="shared" si="53"/>
        <v>3642</v>
      </c>
      <c r="B290" s="19" t="str">
        <f t="shared" si="53"/>
        <v>TSU</v>
      </c>
      <c r="C290" s="18"/>
      <c r="D290" s="15">
        <v>737</v>
      </c>
      <c r="E290" s="21">
        <v>0.14099999999999999</v>
      </c>
      <c r="F290" s="14">
        <v>5767.1333333333332</v>
      </c>
      <c r="G290" s="16">
        <v>641</v>
      </c>
      <c r="H290" s="30">
        <v>1349</v>
      </c>
      <c r="I290" s="29">
        <v>988</v>
      </c>
      <c r="J290" s="28">
        <v>760</v>
      </c>
    </row>
    <row r="291" spans="1:11" outlineLevel="1" x14ac:dyDescent="0.2">
      <c r="A291" s="20">
        <f t="shared" si="53"/>
        <v>3644</v>
      </c>
      <c r="B291" s="19" t="str">
        <f t="shared" si="53"/>
        <v>TTU</v>
      </c>
      <c r="C291" s="18"/>
      <c r="D291" s="15">
        <v>4941</v>
      </c>
      <c r="E291" s="21">
        <v>0.73599999999999999</v>
      </c>
      <c r="F291" s="14">
        <v>22627.599999999999</v>
      </c>
      <c r="G291" s="16">
        <v>3071</v>
      </c>
      <c r="H291" s="30">
        <v>6449</v>
      </c>
      <c r="I291" s="29">
        <v>5332</v>
      </c>
      <c r="J291" s="28">
        <v>4048</v>
      </c>
    </row>
    <row r="292" spans="1:11" outlineLevel="1" x14ac:dyDescent="0.2">
      <c r="A292" s="20">
        <f t="shared" si="53"/>
        <v>3541</v>
      </c>
      <c r="B292" s="19" t="str">
        <f t="shared" si="53"/>
        <v>Angelo</v>
      </c>
      <c r="C292" s="18"/>
      <c r="D292" s="15">
        <v>1073</v>
      </c>
      <c r="E292" s="21">
        <v>0.40799999999999997</v>
      </c>
      <c r="F292" s="14">
        <v>4921.333333333333</v>
      </c>
      <c r="G292" s="16">
        <v>773</v>
      </c>
      <c r="H292" s="30">
        <v>1398</v>
      </c>
      <c r="I292" s="29">
        <v>1022</v>
      </c>
      <c r="J292" s="28">
        <v>707</v>
      </c>
    </row>
    <row r="293" spans="1:11" outlineLevel="1" x14ac:dyDescent="0.2">
      <c r="A293" s="20">
        <f t="shared" ref="A293:B298" si="54">A251</f>
        <v>3646</v>
      </c>
      <c r="B293" s="19" t="str">
        <f t="shared" si="54"/>
        <v>TWU</v>
      </c>
      <c r="C293" s="18"/>
      <c r="D293" s="15">
        <v>1919</v>
      </c>
      <c r="E293" s="21">
        <v>0.54200000000000004</v>
      </c>
      <c r="F293" s="14">
        <v>6999.5333333333338</v>
      </c>
      <c r="G293" s="16">
        <v>1326</v>
      </c>
      <c r="H293" s="30">
        <v>2425</v>
      </c>
      <c r="I293" s="29">
        <v>1247</v>
      </c>
      <c r="J293" s="28">
        <v>703</v>
      </c>
    </row>
    <row r="294" spans="1:11" outlineLevel="1" x14ac:dyDescent="0.2">
      <c r="A294" s="20">
        <f t="shared" si="54"/>
        <v>3581</v>
      </c>
      <c r="B294" s="19" t="str">
        <f t="shared" si="54"/>
        <v>Lamar</v>
      </c>
      <c r="C294" s="18"/>
      <c r="D294" s="15">
        <v>1380</v>
      </c>
      <c r="E294" s="21">
        <v>0.35899999999999999</v>
      </c>
      <c r="F294" s="14">
        <v>7404.4666666666662</v>
      </c>
      <c r="G294" s="16">
        <v>995</v>
      </c>
      <c r="H294" s="30">
        <v>2074</v>
      </c>
      <c r="I294" s="29">
        <v>1486</v>
      </c>
      <c r="J294" s="28">
        <v>1002</v>
      </c>
    </row>
    <row r="295" spans="1:11" outlineLevel="1" x14ac:dyDescent="0.2">
      <c r="A295" s="20">
        <f t="shared" si="54"/>
        <v>3606</v>
      </c>
      <c r="B295" s="19" t="str">
        <f t="shared" si="54"/>
        <v>SHSU</v>
      </c>
      <c r="C295" s="18"/>
      <c r="D295" s="15">
        <v>2978</v>
      </c>
      <c r="E295" s="21">
        <v>0.57799999999999996</v>
      </c>
      <c r="F295" s="14">
        <v>12574.466666666667</v>
      </c>
      <c r="G295" s="16">
        <v>2163</v>
      </c>
      <c r="H295" s="30">
        <v>3894</v>
      </c>
      <c r="I295" s="29">
        <v>2915</v>
      </c>
      <c r="J295" s="28">
        <v>1704</v>
      </c>
    </row>
    <row r="296" spans="1:11" outlineLevel="1" x14ac:dyDescent="0.2">
      <c r="A296" s="20">
        <f t="shared" si="54"/>
        <v>3615</v>
      </c>
      <c r="B296" s="19" t="str">
        <f t="shared" si="54"/>
        <v>TXST</v>
      </c>
      <c r="C296" s="18"/>
      <c r="D296" s="15">
        <v>5435</v>
      </c>
      <c r="E296" s="21">
        <v>0.61399999999999999</v>
      </c>
      <c r="F296" s="14">
        <v>24028</v>
      </c>
      <c r="G296" s="16">
        <v>3816</v>
      </c>
      <c r="H296" s="30">
        <v>7425</v>
      </c>
      <c r="I296" s="29">
        <v>5561</v>
      </c>
      <c r="J296" s="28">
        <v>3333</v>
      </c>
    </row>
    <row r="297" spans="1:11" outlineLevel="1" x14ac:dyDescent="0.2">
      <c r="A297" s="20">
        <f t="shared" si="54"/>
        <v>3625</v>
      </c>
      <c r="B297" s="19" t="str">
        <f t="shared" si="54"/>
        <v>SRSU</v>
      </c>
      <c r="C297" s="18"/>
      <c r="D297" s="15">
        <v>191</v>
      </c>
      <c r="E297" s="21">
        <v>0.32600000000000001</v>
      </c>
      <c r="F297" s="14">
        <v>1229</v>
      </c>
      <c r="G297" s="16">
        <v>167</v>
      </c>
      <c r="H297" s="30">
        <v>284</v>
      </c>
      <c r="I297" s="29">
        <v>188</v>
      </c>
      <c r="J297" s="28">
        <v>144</v>
      </c>
      <c r="K297" s="128"/>
    </row>
    <row r="298" spans="1:11" outlineLevel="1" x14ac:dyDescent="0.2">
      <c r="A298" s="20">
        <f t="shared" si="54"/>
        <v>20</v>
      </c>
      <c r="B298" s="19" t="str">
        <f t="shared" si="54"/>
        <v>SRRG</v>
      </c>
      <c r="C298" s="18"/>
      <c r="D298" s="15">
        <v>154</v>
      </c>
      <c r="E298" s="17">
        <v>0.25423728813559321</v>
      </c>
      <c r="F298" s="14">
        <v>436.8</v>
      </c>
      <c r="G298" s="16">
        <v>138</v>
      </c>
      <c r="H298" s="30">
        <v>215</v>
      </c>
      <c r="I298" s="29">
        <v>91</v>
      </c>
      <c r="J298" s="28">
        <v>6</v>
      </c>
    </row>
    <row r="299" spans="1:11" ht="13.5" outlineLevel="1" thickBot="1" x14ac:dyDescent="0.25">
      <c r="A299" s="12"/>
      <c r="B299" s="11" t="s">
        <v>11</v>
      </c>
      <c r="C299" s="10"/>
      <c r="D299" s="9">
        <f>SUM(D261:D298)</f>
        <v>87062</v>
      </c>
      <c r="E299" s="8">
        <v>0.58700000000000008</v>
      </c>
      <c r="F299" s="7">
        <f t="shared" ref="F299:J299" si="55">SUM(F261:F298)</f>
        <v>359610.06666666665</v>
      </c>
      <c r="G299" s="6">
        <f t="shared" si="55"/>
        <v>56968</v>
      </c>
      <c r="H299" s="5">
        <f t="shared" si="55"/>
        <v>113504</v>
      </c>
      <c r="I299" s="4">
        <f t="shared" si="55"/>
        <v>81268</v>
      </c>
      <c r="J299" s="3">
        <f t="shared" si="55"/>
        <v>50077</v>
      </c>
    </row>
    <row r="300" spans="1:11" ht="13.5" thickBot="1" x14ac:dyDescent="0.25">
      <c r="A300" s="42" t="s">
        <v>24</v>
      </c>
      <c r="B300" s="42"/>
      <c r="C300" s="42"/>
      <c r="D300" s="42"/>
      <c r="F300" s="42"/>
      <c r="G300" s="42"/>
    </row>
    <row r="301" spans="1:11" ht="12.75" customHeight="1" outlineLevel="1" x14ac:dyDescent="0.2">
      <c r="A301" s="184" t="s">
        <v>22</v>
      </c>
      <c r="B301" s="186" t="s">
        <v>21</v>
      </c>
      <c r="C301" s="188"/>
      <c r="D301" s="196" t="s">
        <v>20</v>
      </c>
      <c r="E301" s="194" t="s">
        <v>19</v>
      </c>
      <c r="F301" s="186" t="s">
        <v>18</v>
      </c>
      <c r="G301" s="176" t="s">
        <v>16</v>
      </c>
      <c r="H301" s="178" t="s">
        <v>15</v>
      </c>
      <c r="I301" s="179"/>
      <c r="J301" s="180"/>
    </row>
    <row r="302" spans="1:11" s="41" customFormat="1" ht="40.5" customHeight="1" outlineLevel="1" thickBot="1" x14ac:dyDescent="0.25">
      <c r="A302" s="185"/>
      <c r="B302" s="187"/>
      <c r="C302" s="189"/>
      <c r="D302" s="197"/>
      <c r="E302" s="195"/>
      <c r="F302" s="187"/>
      <c r="G302" s="190"/>
      <c r="H302" s="103" t="s">
        <v>14</v>
      </c>
      <c r="I302" s="104" t="s">
        <v>13</v>
      </c>
      <c r="J302" s="110" t="s">
        <v>12</v>
      </c>
      <c r="K302" s="126"/>
    </row>
    <row r="303" spans="1:11" outlineLevel="1" x14ac:dyDescent="0.2">
      <c r="A303" s="40">
        <f t="shared" ref="A303:B318" si="56">A261</f>
        <v>3656</v>
      </c>
      <c r="B303" s="39" t="str">
        <f t="shared" si="56"/>
        <v>UTA</v>
      </c>
      <c r="C303" s="38"/>
      <c r="D303" s="33">
        <v>5103</v>
      </c>
      <c r="E303" s="37">
        <v>0.49299999999999999</v>
      </c>
      <c r="F303" s="32">
        <v>17372</v>
      </c>
      <c r="G303" s="34">
        <v>3158</v>
      </c>
      <c r="H303" s="33">
        <v>6986</v>
      </c>
      <c r="I303" s="32">
        <v>3903</v>
      </c>
      <c r="J303" s="31">
        <v>1733</v>
      </c>
    </row>
    <row r="304" spans="1:11" outlineLevel="1" x14ac:dyDescent="0.2">
      <c r="A304" s="20">
        <f t="shared" si="56"/>
        <v>3658</v>
      </c>
      <c r="B304" s="19" t="str">
        <f t="shared" si="56"/>
        <v>UT</v>
      </c>
      <c r="C304" s="18"/>
      <c r="D304" s="15">
        <v>9027</v>
      </c>
      <c r="E304" s="21">
        <v>0.83299999999999996</v>
      </c>
      <c r="F304" s="14">
        <v>33709.866666666669</v>
      </c>
      <c r="G304" s="16">
        <v>3475</v>
      </c>
      <c r="H304" s="15">
        <v>9939</v>
      </c>
      <c r="I304" s="14">
        <v>8895</v>
      </c>
      <c r="J304" s="13">
        <v>7485</v>
      </c>
    </row>
    <row r="305" spans="1:10" outlineLevel="1" x14ac:dyDescent="0.2">
      <c r="A305" s="20">
        <f t="shared" si="56"/>
        <v>9741</v>
      </c>
      <c r="B305" s="19" t="str">
        <f t="shared" si="56"/>
        <v>UTD</v>
      </c>
      <c r="C305" s="18"/>
      <c r="D305" s="15">
        <v>2314</v>
      </c>
      <c r="E305" s="21">
        <v>0.68299999999999994</v>
      </c>
      <c r="F305" s="14">
        <v>8822.2000000000007</v>
      </c>
      <c r="G305" s="16">
        <v>1294</v>
      </c>
      <c r="H305" s="15">
        <v>3345</v>
      </c>
      <c r="I305" s="14">
        <v>2105</v>
      </c>
      <c r="J305" s="13">
        <v>1076</v>
      </c>
    </row>
    <row r="306" spans="1:10" outlineLevel="1" x14ac:dyDescent="0.2">
      <c r="A306" s="20">
        <f t="shared" si="56"/>
        <v>3661</v>
      </c>
      <c r="B306" s="19" t="str">
        <f t="shared" si="56"/>
        <v>UTEP</v>
      </c>
      <c r="C306" s="18"/>
      <c r="D306" s="15">
        <v>3008</v>
      </c>
      <c r="E306" s="21">
        <v>0.38400000000000001</v>
      </c>
      <c r="F306" s="14">
        <v>13376</v>
      </c>
      <c r="G306" s="16">
        <v>2409</v>
      </c>
      <c r="H306" s="15">
        <v>4488</v>
      </c>
      <c r="I306" s="14">
        <v>3404</v>
      </c>
      <c r="J306" s="13">
        <v>1910</v>
      </c>
    </row>
    <row r="307" spans="1:10" outlineLevel="1" x14ac:dyDescent="0.2">
      <c r="A307" s="20">
        <f t="shared" si="56"/>
        <v>3599</v>
      </c>
      <c r="B307" s="19" t="str">
        <f t="shared" si="56"/>
        <v>UTPA</v>
      </c>
      <c r="C307" s="18"/>
      <c r="D307" s="15">
        <v>2658</v>
      </c>
      <c r="E307" s="21">
        <v>0.46399999999999997</v>
      </c>
      <c r="F307" s="14">
        <v>12499.266666666666</v>
      </c>
      <c r="G307" s="16">
        <v>2427</v>
      </c>
      <c r="H307" s="15">
        <v>4142</v>
      </c>
      <c r="I307" s="14">
        <v>3290</v>
      </c>
      <c r="J307" s="13">
        <v>1998</v>
      </c>
    </row>
    <row r="308" spans="1:10" outlineLevel="1" x14ac:dyDescent="0.2">
      <c r="A308" s="20">
        <f t="shared" si="56"/>
        <v>30646</v>
      </c>
      <c r="B308" s="19" t="str">
        <f t="shared" si="56"/>
        <v>UTB</v>
      </c>
      <c r="C308" s="18"/>
      <c r="D308" s="15">
        <v>1075</v>
      </c>
      <c r="E308" s="17">
        <v>0.55124653739612184</v>
      </c>
      <c r="F308" s="14">
        <v>3116.2</v>
      </c>
      <c r="G308" s="16">
        <v>916</v>
      </c>
      <c r="H308" s="15">
        <v>1359</v>
      </c>
      <c r="I308" s="14">
        <v>600</v>
      </c>
      <c r="J308" s="13">
        <v>131</v>
      </c>
    </row>
    <row r="309" spans="1:10" outlineLevel="1" x14ac:dyDescent="0.2">
      <c r="A309" s="20">
        <f t="shared" si="56"/>
        <v>9930</v>
      </c>
      <c r="B309" s="19" t="str">
        <f t="shared" si="56"/>
        <v>UTPB</v>
      </c>
      <c r="C309" s="18"/>
      <c r="D309" s="15">
        <v>541</v>
      </c>
      <c r="E309" s="21">
        <v>0.40700000000000003</v>
      </c>
      <c r="F309" s="14">
        <v>2416</v>
      </c>
      <c r="G309" s="16">
        <v>407</v>
      </c>
      <c r="H309" s="15">
        <v>908</v>
      </c>
      <c r="I309" s="14">
        <v>490</v>
      </c>
      <c r="J309" s="13">
        <v>191</v>
      </c>
    </row>
    <row r="310" spans="1:10" outlineLevel="1" x14ac:dyDescent="0.2">
      <c r="A310" s="20">
        <f t="shared" si="56"/>
        <v>10115</v>
      </c>
      <c r="B310" s="19" t="str">
        <f t="shared" si="56"/>
        <v>UTSA</v>
      </c>
      <c r="C310" s="18"/>
      <c r="D310" s="15">
        <v>4148</v>
      </c>
      <c r="E310" s="21">
        <v>0.39400000000000002</v>
      </c>
      <c r="F310" s="14">
        <v>20284.733333333334</v>
      </c>
      <c r="G310" s="16">
        <v>3211</v>
      </c>
      <c r="H310" s="15">
        <v>6802</v>
      </c>
      <c r="I310" s="14">
        <v>4390</v>
      </c>
      <c r="J310" s="13">
        <v>2699</v>
      </c>
    </row>
    <row r="311" spans="1:10" outlineLevel="1" x14ac:dyDescent="0.2">
      <c r="A311" s="20">
        <f t="shared" si="56"/>
        <v>11163</v>
      </c>
      <c r="B311" s="19" t="str">
        <f t="shared" si="56"/>
        <v>UTT</v>
      </c>
      <c r="C311" s="18"/>
      <c r="D311" s="15">
        <v>1188</v>
      </c>
      <c r="E311" s="21">
        <v>0.53300000000000003</v>
      </c>
      <c r="F311" s="14">
        <v>4030.7333333333331</v>
      </c>
      <c r="G311" s="16">
        <v>939</v>
      </c>
      <c r="H311" s="15">
        <v>1496</v>
      </c>
      <c r="I311" s="14">
        <v>905</v>
      </c>
      <c r="J311" s="13">
        <v>401</v>
      </c>
    </row>
    <row r="312" spans="1:10" outlineLevel="1" x14ac:dyDescent="0.2">
      <c r="A312" s="20">
        <f t="shared" si="56"/>
        <v>3632</v>
      </c>
      <c r="B312" s="19" t="str">
        <f t="shared" si="56"/>
        <v>TAMU</v>
      </c>
      <c r="C312" s="18"/>
      <c r="D312" s="15">
        <v>8748</v>
      </c>
      <c r="E312" s="21">
        <v>0.84399999999999997</v>
      </c>
      <c r="F312" s="14">
        <v>34425.133333333331</v>
      </c>
      <c r="G312" s="16">
        <v>3727</v>
      </c>
      <c r="H312" s="15">
        <v>9623</v>
      </c>
      <c r="I312" s="14">
        <v>8962</v>
      </c>
      <c r="J312" s="13">
        <v>6823</v>
      </c>
    </row>
    <row r="313" spans="1:10" outlineLevel="1" x14ac:dyDescent="0.2">
      <c r="A313" s="20">
        <f t="shared" si="56"/>
        <v>10298</v>
      </c>
      <c r="B313" s="19" t="str">
        <f t="shared" si="56"/>
        <v>TAMUG</v>
      </c>
      <c r="C313" s="18"/>
      <c r="D313" s="15">
        <v>250</v>
      </c>
      <c r="E313" s="21">
        <v>0.66400000000000003</v>
      </c>
      <c r="F313" s="14">
        <v>1668.1333333333334</v>
      </c>
      <c r="G313" s="16">
        <v>151</v>
      </c>
      <c r="H313" s="15">
        <v>600</v>
      </c>
      <c r="I313" s="14">
        <v>336</v>
      </c>
      <c r="J313" s="13">
        <v>234</v>
      </c>
    </row>
    <row r="314" spans="1:10" outlineLevel="1" x14ac:dyDescent="0.2">
      <c r="A314" s="20">
        <f t="shared" si="56"/>
        <v>3630</v>
      </c>
      <c r="B314" s="19" t="str">
        <f t="shared" si="56"/>
        <v>Prairie View</v>
      </c>
      <c r="C314" s="18"/>
      <c r="D314" s="15">
        <v>904</v>
      </c>
      <c r="E314" s="21">
        <v>0.37</v>
      </c>
      <c r="F314" s="46">
        <v>6088.2666666666664</v>
      </c>
      <c r="G314" s="16">
        <v>775</v>
      </c>
      <c r="H314" s="15">
        <v>1660</v>
      </c>
      <c r="I314" s="14">
        <v>1237</v>
      </c>
      <c r="J314" s="13">
        <v>905</v>
      </c>
    </row>
    <row r="315" spans="1:10" outlineLevel="1" x14ac:dyDescent="0.2">
      <c r="A315" s="20">
        <f t="shared" si="56"/>
        <v>3631</v>
      </c>
      <c r="B315" s="19" t="str">
        <f t="shared" si="56"/>
        <v>Tarleton</v>
      </c>
      <c r="C315" s="18"/>
      <c r="D315" s="15">
        <v>1552</v>
      </c>
      <c r="E315" s="21">
        <v>0.48299999999999998</v>
      </c>
      <c r="F315" s="46">
        <v>6264.4666666666662</v>
      </c>
      <c r="G315" s="16">
        <v>1196</v>
      </c>
      <c r="H315" s="47">
        <v>2096</v>
      </c>
      <c r="I315" s="46">
        <v>1464</v>
      </c>
      <c r="J315" s="45">
        <v>840</v>
      </c>
    </row>
    <row r="316" spans="1:10" outlineLevel="1" x14ac:dyDescent="0.2">
      <c r="A316" s="27">
        <f t="shared" si="56"/>
        <v>103631</v>
      </c>
      <c r="B316" s="19" t="str">
        <f t="shared" si="56"/>
        <v>TAMUCT</v>
      </c>
      <c r="C316" s="18"/>
      <c r="D316" s="15">
        <v>462</v>
      </c>
      <c r="E316" s="21">
        <v>0.48299999999999998</v>
      </c>
      <c r="F316" s="46">
        <v>700.66666666666663</v>
      </c>
      <c r="G316" s="16">
        <v>330</v>
      </c>
      <c r="H316" s="47">
        <v>555</v>
      </c>
      <c r="I316" s="46">
        <v>143</v>
      </c>
      <c r="J316" s="45">
        <v>66</v>
      </c>
    </row>
    <row r="317" spans="1:10" outlineLevel="1" x14ac:dyDescent="0.2">
      <c r="A317" s="20">
        <f t="shared" si="56"/>
        <v>11161</v>
      </c>
      <c r="B317" s="19" t="str">
        <f t="shared" si="56"/>
        <v>TAMUCC</v>
      </c>
      <c r="C317" s="18"/>
      <c r="D317" s="15">
        <v>1315</v>
      </c>
      <c r="E317" s="21">
        <v>0.51100000000000001</v>
      </c>
      <c r="F317" s="46">
        <v>6609.8666666666668</v>
      </c>
      <c r="G317" s="16">
        <v>1034</v>
      </c>
      <c r="H317" s="15">
        <v>2126</v>
      </c>
      <c r="I317" s="14">
        <v>1577</v>
      </c>
      <c r="J317" s="13">
        <v>864</v>
      </c>
    </row>
    <row r="318" spans="1:10" outlineLevel="1" x14ac:dyDescent="0.2">
      <c r="A318" s="20">
        <f t="shared" si="56"/>
        <v>3639</v>
      </c>
      <c r="B318" s="19" t="str">
        <f t="shared" si="56"/>
        <v>TAMUK</v>
      </c>
      <c r="C318" s="18"/>
      <c r="D318" s="15">
        <v>738</v>
      </c>
      <c r="E318" s="21">
        <v>0.39799999999999996</v>
      </c>
      <c r="F318" s="46">
        <v>4394.2</v>
      </c>
      <c r="G318" s="16">
        <v>613</v>
      </c>
      <c r="H318" s="47">
        <v>1180</v>
      </c>
      <c r="I318" s="46">
        <v>879</v>
      </c>
      <c r="J318" s="45">
        <v>555</v>
      </c>
    </row>
    <row r="319" spans="1:10" outlineLevel="1" x14ac:dyDescent="0.2">
      <c r="A319" s="27">
        <f t="shared" ref="A319:B334" si="57">A277</f>
        <v>103639</v>
      </c>
      <c r="B319" s="19" t="str">
        <f t="shared" si="57"/>
        <v>TAMUSA</v>
      </c>
      <c r="C319" s="18"/>
      <c r="D319" s="15">
        <v>620</v>
      </c>
      <c r="E319" s="21">
        <v>0.39799999999999996</v>
      </c>
      <c r="F319" s="46">
        <v>1492.4</v>
      </c>
      <c r="G319" s="16">
        <v>520</v>
      </c>
      <c r="H319" s="47">
        <v>995</v>
      </c>
      <c r="I319" s="46">
        <v>37</v>
      </c>
      <c r="J319" s="45">
        <v>2</v>
      </c>
    </row>
    <row r="320" spans="1:10" outlineLevel="1" x14ac:dyDescent="0.2">
      <c r="A320" s="20">
        <f t="shared" si="57"/>
        <v>9651</v>
      </c>
      <c r="B320" s="19" t="str">
        <f t="shared" si="57"/>
        <v>TAMI</v>
      </c>
      <c r="C320" s="18"/>
      <c r="D320" s="15">
        <v>766</v>
      </c>
      <c r="E320" s="21">
        <v>0.503</v>
      </c>
      <c r="F320" s="14">
        <v>4126.8</v>
      </c>
      <c r="G320" s="16">
        <v>688</v>
      </c>
      <c r="H320" s="15">
        <v>1515</v>
      </c>
      <c r="I320" s="14">
        <v>1027</v>
      </c>
      <c r="J320" s="13">
        <v>486</v>
      </c>
    </row>
    <row r="321" spans="1:10" outlineLevel="1" x14ac:dyDescent="0.2">
      <c r="A321" s="20">
        <f t="shared" si="57"/>
        <v>3665</v>
      </c>
      <c r="B321" s="19" t="str">
        <f t="shared" si="57"/>
        <v>WTAMU</v>
      </c>
      <c r="C321" s="18"/>
      <c r="D321" s="15">
        <v>1294</v>
      </c>
      <c r="E321" s="21">
        <v>0.47399999999999998</v>
      </c>
      <c r="F321" s="14">
        <v>5457.666666666667</v>
      </c>
      <c r="G321" s="16">
        <v>913</v>
      </c>
      <c r="H321" s="15">
        <v>1871</v>
      </c>
      <c r="I321" s="14">
        <v>1264</v>
      </c>
      <c r="J321" s="13">
        <v>664</v>
      </c>
    </row>
    <row r="322" spans="1:10" outlineLevel="1" x14ac:dyDescent="0.2">
      <c r="A322" s="20">
        <f t="shared" si="57"/>
        <v>3565</v>
      </c>
      <c r="B322" s="19" t="str">
        <f t="shared" si="57"/>
        <v>TAMUC</v>
      </c>
      <c r="C322" s="18"/>
      <c r="D322" s="15">
        <v>1313</v>
      </c>
      <c r="E322" s="21">
        <v>0.42600000000000005</v>
      </c>
      <c r="F322" s="14">
        <v>4783.5333333333338</v>
      </c>
      <c r="G322" s="16">
        <v>1002</v>
      </c>
      <c r="H322" s="15">
        <v>1911</v>
      </c>
      <c r="I322" s="14">
        <v>1200</v>
      </c>
      <c r="J322" s="13">
        <v>477</v>
      </c>
    </row>
    <row r="323" spans="1:10" outlineLevel="1" x14ac:dyDescent="0.2">
      <c r="A323" s="20">
        <f t="shared" si="57"/>
        <v>29269</v>
      </c>
      <c r="B323" s="19" t="str">
        <f t="shared" si="57"/>
        <v>TAMUT</v>
      </c>
      <c r="C323" s="18"/>
      <c r="D323" s="15">
        <v>335</v>
      </c>
      <c r="E323" s="17">
        <v>0.56028368794326244</v>
      </c>
      <c r="F323" s="14">
        <v>879.13333333333333</v>
      </c>
      <c r="G323" s="16">
        <v>230</v>
      </c>
      <c r="H323" s="15">
        <v>411</v>
      </c>
      <c r="I323" s="14">
        <v>186</v>
      </c>
      <c r="J323" s="13">
        <v>1</v>
      </c>
    </row>
    <row r="324" spans="1:10" outlineLevel="1" x14ac:dyDescent="0.2">
      <c r="A324" s="20">
        <f t="shared" si="57"/>
        <v>3652</v>
      </c>
      <c r="B324" s="19" t="str">
        <f t="shared" si="57"/>
        <v>UH</v>
      </c>
      <c r="C324" s="18"/>
      <c r="D324" s="15">
        <v>5092</v>
      </c>
      <c r="E324" s="21">
        <v>0.54200000000000004</v>
      </c>
      <c r="F324" s="14">
        <v>23853.933333333334</v>
      </c>
      <c r="G324" s="16">
        <v>3340</v>
      </c>
      <c r="H324" s="15">
        <v>7467</v>
      </c>
      <c r="I324" s="14">
        <v>5804</v>
      </c>
      <c r="J324" s="13">
        <v>3314</v>
      </c>
    </row>
    <row r="325" spans="1:10" outlineLevel="1" x14ac:dyDescent="0.2">
      <c r="A325" s="20">
        <f t="shared" si="57"/>
        <v>11711</v>
      </c>
      <c r="B325" s="19" t="str">
        <f t="shared" si="57"/>
        <v>UHCL</v>
      </c>
      <c r="C325" s="18"/>
      <c r="D325" s="15">
        <v>1197</v>
      </c>
      <c r="E325" s="17">
        <v>0.53820033955857383</v>
      </c>
      <c r="F325" s="14">
        <v>3046.8</v>
      </c>
      <c r="G325" s="16">
        <v>777</v>
      </c>
      <c r="H325" s="15">
        <v>1434</v>
      </c>
      <c r="I325" s="14">
        <v>959</v>
      </c>
      <c r="J325" s="13">
        <v>53</v>
      </c>
    </row>
    <row r="326" spans="1:10" outlineLevel="1" x14ac:dyDescent="0.2">
      <c r="A326" s="20">
        <f t="shared" si="57"/>
        <v>12826</v>
      </c>
      <c r="B326" s="19" t="str">
        <f t="shared" si="57"/>
        <v>UHD</v>
      </c>
      <c r="C326" s="18"/>
      <c r="D326" s="15">
        <v>2437</v>
      </c>
      <c r="E326" s="21">
        <v>0.215</v>
      </c>
      <c r="F326" s="14">
        <v>7949.2666666666664</v>
      </c>
      <c r="G326" s="16">
        <v>1730</v>
      </c>
      <c r="H326" s="15">
        <v>3223</v>
      </c>
      <c r="I326" s="14">
        <v>1896</v>
      </c>
      <c r="J326" s="13">
        <v>618</v>
      </c>
    </row>
    <row r="327" spans="1:10" outlineLevel="1" x14ac:dyDescent="0.2">
      <c r="A327" s="20">
        <f t="shared" si="57"/>
        <v>13231</v>
      </c>
      <c r="B327" s="19" t="str">
        <f t="shared" si="57"/>
        <v>UHV</v>
      </c>
      <c r="C327" s="18"/>
      <c r="D327" s="15">
        <v>596</v>
      </c>
      <c r="E327" s="17">
        <v>0.5339366515837104</v>
      </c>
      <c r="F327" s="14">
        <v>1494.2</v>
      </c>
      <c r="G327" s="16">
        <v>397</v>
      </c>
      <c r="H327" s="15">
        <v>718</v>
      </c>
      <c r="I327" s="14">
        <v>286</v>
      </c>
      <c r="J327" s="13">
        <v>6</v>
      </c>
    </row>
    <row r="328" spans="1:10" outlineLevel="1" x14ac:dyDescent="0.2">
      <c r="A328" s="20">
        <f t="shared" si="57"/>
        <v>3592</v>
      </c>
      <c r="B328" s="19" t="str">
        <f t="shared" si="57"/>
        <v>Midwestern</v>
      </c>
      <c r="C328" s="18"/>
      <c r="D328" s="15">
        <v>1027</v>
      </c>
      <c r="E328" s="21">
        <v>0.443</v>
      </c>
      <c r="F328" s="14">
        <v>4387.7333333333336</v>
      </c>
      <c r="G328" s="16">
        <v>675</v>
      </c>
      <c r="H328" s="15">
        <v>1507</v>
      </c>
      <c r="I328" s="14">
        <v>1079</v>
      </c>
      <c r="J328" s="13">
        <v>734</v>
      </c>
    </row>
    <row r="329" spans="1:10" outlineLevel="1" x14ac:dyDescent="0.2">
      <c r="A329" s="20">
        <f t="shared" si="57"/>
        <v>3594</v>
      </c>
      <c r="B329" s="19" t="str">
        <f t="shared" si="57"/>
        <v>UNT</v>
      </c>
      <c r="C329" s="18"/>
      <c r="D329" s="15">
        <v>6183</v>
      </c>
      <c r="E329" s="21">
        <v>0.58700000000000008</v>
      </c>
      <c r="F329" s="14">
        <v>23168.733333333334</v>
      </c>
      <c r="G329" s="16">
        <v>3942</v>
      </c>
      <c r="H329" s="15">
        <v>7957</v>
      </c>
      <c r="I329" s="14">
        <v>5891</v>
      </c>
      <c r="J329" s="13">
        <v>3310</v>
      </c>
    </row>
    <row r="330" spans="1:10" outlineLevel="1" x14ac:dyDescent="0.2">
      <c r="A330" s="27">
        <f t="shared" si="57"/>
        <v>113594</v>
      </c>
      <c r="B330" s="19" t="str">
        <f t="shared" si="57"/>
        <v>UNTD</v>
      </c>
      <c r="C330" s="18"/>
      <c r="D330" s="30">
        <v>388</v>
      </c>
      <c r="E330" s="44">
        <v>0.58700000000000008</v>
      </c>
      <c r="F330" s="29">
        <v>908.8</v>
      </c>
      <c r="G330" s="43">
        <v>304</v>
      </c>
      <c r="H330" s="30">
        <v>487</v>
      </c>
      <c r="I330" s="29">
        <v>63</v>
      </c>
      <c r="J330" s="28">
        <v>18</v>
      </c>
    </row>
    <row r="331" spans="1:10" outlineLevel="1" x14ac:dyDescent="0.2">
      <c r="A331" s="20">
        <f t="shared" si="57"/>
        <v>3624</v>
      </c>
      <c r="B331" s="19" t="str">
        <f t="shared" si="57"/>
        <v>SFA</v>
      </c>
      <c r="C331" s="18"/>
      <c r="D331" s="15">
        <v>1880</v>
      </c>
      <c r="E331" s="21">
        <v>0.53900000000000003</v>
      </c>
      <c r="F331" s="14">
        <v>9440.9333333333325</v>
      </c>
      <c r="G331" s="16">
        <v>1446</v>
      </c>
      <c r="H331" s="15">
        <v>3040</v>
      </c>
      <c r="I331" s="14">
        <v>2166</v>
      </c>
      <c r="J331" s="13">
        <v>1402</v>
      </c>
    </row>
    <row r="332" spans="1:10" outlineLevel="1" x14ac:dyDescent="0.2">
      <c r="A332" s="20">
        <f t="shared" si="57"/>
        <v>3642</v>
      </c>
      <c r="B332" s="19" t="str">
        <f t="shared" si="57"/>
        <v>TSU</v>
      </c>
      <c r="C332" s="18"/>
      <c r="D332" s="15">
        <v>721</v>
      </c>
      <c r="E332" s="21">
        <v>0.14099999999999999</v>
      </c>
      <c r="F332" s="14">
        <v>5912.8</v>
      </c>
      <c r="G332" s="16">
        <v>635</v>
      </c>
      <c r="H332" s="15">
        <v>1692</v>
      </c>
      <c r="I332" s="14">
        <v>1274</v>
      </c>
      <c r="J332" s="13">
        <v>870</v>
      </c>
    </row>
    <row r="333" spans="1:10" outlineLevel="1" x14ac:dyDescent="0.2">
      <c r="A333" s="20">
        <f t="shared" si="57"/>
        <v>3644</v>
      </c>
      <c r="B333" s="19" t="str">
        <f t="shared" si="57"/>
        <v>TTU</v>
      </c>
      <c r="C333" s="18"/>
      <c r="D333" s="15">
        <v>4605</v>
      </c>
      <c r="E333" s="21">
        <v>0.7320000000000001</v>
      </c>
      <c r="F333" s="14">
        <v>22527.466666666667</v>
      </c>
      <c r="G333" s="16">
        <v>2724</v>
      </c>
      <c r="H333" s="15">
        <v>6577</v>
      </c>
      <c r="I333" s="14">
        <v>5355</v>
      </c>
      <c r="J333" s="13">
        <v>3957</v>
      </c>
    </row>
    <row r="334" spans="1:10" outlineLevel="1" x14ac:dyDescent="0.2">
      <c r="A334" s="20">
        <f t="shared" si="57"/>
        <v>3541</v>
      </c>
      <c r="B334" s="19" t="str">
        <f t="shared" si="57"/>
        <v>Angelo</v>
      </c>
      <c r="C334" s="18"/>
      <c r="D334" s="15">
        <v>960</v>
      </c>
      <c r="E334" s="21">
        <v>0.441</v>
      </c>
      <c r="F334" s="14">
        <v>4895.666666666667</v>
      </c>
      <c r="G334" s="16">
        <v>720</v>
      </c>
      <c r="H334" s="15">
        <v>1444</v>
      </c>
      <c r="I334" s="14">
        <v>1071</v>
      </c>
      <c r="J334" s="13">
        <v>708</v>
      </c>
    </row>
    <row r="335" spans="1:10" outlineLevel="1" x14ac:dyDescent="0.2">
      <c r="A335" s="20">
        <f t="shared" ref="A335:B340" si="58">A293</f>
        <v>3646</v>
      </c>
      <c r="B335" s="19" t="str">
        <f t="shared" si="58"/>
        <v>TWU</v>
      </c>
      <c r="C335" s="18"/>
      <c r="D335" s="15">
        <v>1725</v>
      </c>
      <c r="E335" s="21">
        <v>0.48399999999999999</v>
      </c>
      <c r="F335" s="14">
        <v>6598.2</v>
      </c>
      <c r="G335" s="16">
        <v>1201</v>
      </c>
      <c r="H335" s="15">
        <v>2121</v>
      </c>
      <c r="I335" s="14">
        <v>1259</v>
      </c>
      <c r="J335" s="13">
        <v>608</v>
      </c>
    </row>
    <row r="336" spans="1:10" outlineLevel="1" x14ac:dyDescent="0.2">
      <c r="A336" s="20">
        <f t="shared" si="58"/>
        <v>3581</v>
      </c>
      <c r="B336" s="19" t="str">
        <f t="shared" si="58"/>
        <v>Lamar</v>
      </c>
      <c r="C336" s="18"/>
      <c r="D336" s="15">
        <v>1340</v>
      </c>
      <c r="E336" s="21">
        <v>0.35399999999999998</v>
      </c>
      <c r="F336" s="14">
        <v>7247.8</v>
      </c>
      <c r="G336" s="16">
        <v>943</v>
      </c>
      <c r="H336" s="15">
        <v>2317</v>
      </c>
      <c r="I336" s="14">
        <v>1577</v>
      </c>
      <c r="J336" s="13">
        <v>1000</v>
      </c>
    </row>
    <row r="337" spans="1:12" outlineLevel="1" x14ac:dyDescent="0.2">
      <c r="A337" s="20">
        <f t="shared" si="58"/>
        <v>3606</v>
      </c>
      <c r="B337" s="19" t="str">
        <f t="shared" si="58"/>
        <v>SHSU</v>
      </c>
      <c r="C337" s="18"/>
      <c r="D337" s="15">
        <v>3013</v>
      </c>
      <c r="E337" s="21">
        <v>0.60299999999999998</v>
      </c>
      <c r="F337" s="14">
        <v>12631.666666666666</v>
      </c>
      <c r="G337" s="16">
        <v>2160</v>
      </c>
      <c r="H337" s="15">
        <v>3940</v>
      </c>
      <c r="I337" s="14">
        <v>2970</v>
      </c>
      <c r="J337" s="13">
        <v>1716</v>
      </c>
    </row>
    <row r="338" spans="1:12" outlineLevel="1" x14ac:dyDescent="0.2">
      <c r="A338" s="20">
        <f t="shared" si="58"/>
        <v>3615</v>
      </c>
      <c r="B338" s="19" t="str">
        <f t="shared" si="58"/>
        <v>TXST</v>
      </c>
      <c r="C338" s="18"/>
      <c r="D338" s="15">
        <v>5349</v>
      </c>
      <c r="E338" s="21">
        <v>0.6409999999999999</v>
      </c>
      <c r="F338" s="14">
        <v>22917.933333333334</v>
      </c>
      <c r="G338" s="16">
        <v>3665</v>
      </c>
      <c r="H338" s="15">
        <v>7685</v>
      </c>
      <c r="I338" s="14">
        <v>5748</v>
      </c>
      <c r="J338" s="13">
        <v>3317</v>
      </c>
    </row>
    <row r="339" spans="1:12" outlineLevel="1" x14ac:dyDescent="0.2">
      <c r="A339" s="20">
        <f t="shared" si="58"/>
        <v>3625</v>
      </c>
      <c r="B339" s="19" t="str">
        <f t="shared" si="58"/>
        <v>SRSU</v>
      </c>
      <c r="C339" s="18"/>
      <c r="D339" s="15">
        <v>196</v>
      </c>
      <c r="E339" s="21">
        <v>0.29199999999999998</v>
      </c>
      <c r="F339" s="14">
        <v>1200.1333333333334</v>
      </c>
      <c r="G339" s="16">
        <v>166</v>
      </c>
      <c r="H339" s="15">
        <v>298</v>
      </c>
      <c r="I339" s="14">
        <v>217</v>
      </c>
      <c r="J339" s="13">
        <v>136</v>
      </c>
      <c r="K339" s="128"/>
    </row>
    <row r="340" spans="1:12" outlineLevel="1" x14ac:dyDescent="0.2">
      <c r="A340" s="20">
        <f t="shared" si="58"/>
        <v>20</v>
      </c>
      <c r="B340" s="19" t="str">
        <f t="shared" si="58"/>
        <v>SRRG</v>
      </c>
      <c r="C340" s="18"/>
      <c r="D340" s="15">
        <v>163</v>
      </c>
      <c r="E340" s="17">
        <v>0.33750000000000002</v>
      </c>
      <c r="F340" s="14">
        <v>472.13333333333333</v>
      </c>
      <c r="G340" s="16">
        <v>145</v>
      </c>
      <c r="H340" s="15">
        <v>224</v>
      </c>
      <c r="I340" s="14">
        <v>97</v>
      </c>
      <c r="J340" s="13">
        <v>2</v>
      </c>
    </row>
    <row r="341" spans="1:12" ht="13.5" outlineLevel="1" thickBot="1" x14ac:dyDescent="0.25">
      <c r="A341" s="12"/>
      <c r="B341" s="11" t="s">
        <v>11</v>
      </c>
      <c r="C341" s="10"/>
      <c r="D341" s="9">
        <f>SUM(D303:D340)</f>
        <v>84231</v>
      </c>
      <c r="E341" s="8">
        <v>0.58399999999999996</v>
      </c>
      <c r="F341" s="7">
        <f t="shared" ref="F341:J341" si="59">SUM(F303:F340)</f>
        <v>351171.46666666673</v>
      </c>
      <c r="G341" s="6">
        <f t="shared" si="59"/>
        <v>54385</v>
      </c>
      <c r="H341" s="5">
        <f t="shared" si="59"/>
        <v>116139</v>
      </c>
      <c r="I341" s="4">
        <f t="shared" si="59"/>
        <v>84006</v>
      </c>
      <c r="J341" s="3">
        <f t="shared" si="59"/>
        <v>51310</v>
      </c>
    </row>
    <row r="342" spans="1:12" ht="13.5" thickBot="1" x14ac:dyDescent="0.25">
      <c r="A342" s="42" t="s">
        <v>23</v>
      </c>
      <c r="B342" s="42"/>
      <c r="C342" s="42"/>
      <c r="D342" s="42"/>
      <c r="F342" s="42"/>
      <c r="G342" s="42"/>
    </row>
    <row r="343" spans="1:12" ht="12.75" customHeight="1" outlineLevel="1" x14ac:dyDescent="0.2">
      <c r="A343" s="184" t="s">
        <v>22</v>
      </c>
      <c r="B343" s="186" t="s">
        <v>21</v>
      </c>
      <c r="C343" s="188"/>
      <c r="D343" s="196" t="s">
        <v>20</v>
      </c>
      <c r="E343" s="194" t="s">
        <v>19</v>
      </c>
      <c r="F343" s="186" t="s">
        <v>18</v>
      </c>
      <c r="G343" s="176" t="s">
        <v>16</v>
      </c>
      <c r="H343" s="178" t="s">
        <v>15</v>
      </c>
      <c r="I343" s="179"/>
      <c r="J343" s="180"/>
    </row>
    <row r="344" spans="1:12" s="41" customFormat="1" ht="39.75" customHeight="1" outlineLevel="1" thickBot="1" x14ac:dyDescent="0.25">
      <c r="A344" s="185"/>
      <c r="B344" s="187"/>
      <c r="C344" s="189"/>
      <c r="D344" s="197"/>
      <c r="E344" s="195"/>
      <c r="F344" s="187"/>
      <c r="G344" s="190"/>
      <c r="H344" s="103" t="s">
        <v>14</v>
      </c>
      <c r="I344" s="104" t="s">
        <v>13</v>
      </c>
      <c r="J344" s="110" t="s">
        <v>12</v>
      </c>
      <c r="K344" s="126"/>
    </row>
    <row r="345" spans="1:12" outlineLevel="1" x14ac:dyDescent="0.2">
      <c r="A345" s="40">
        <f t="shared" ref="A345:B360" si="60">A303</f>
        <v>3656</v>
      </c>
      <c r="B345" s="39" t="str">
        <f t="shared" si="60"/>
        <v>UTA</v>
      </c>
      <c r="C345" s="38"/>
      <c r="D345" s="33">
        <v>4178</v>
      </c>
      <c r="E345" s="37">
        <v>0.50700000000000001</v>
      </c>
      <c r="F345" s="32">
        <v>15698.133333333333</v>
      </c>
      <c r="G345" s="34">
        <v>2662</v>
      </c>
      <c r="H345" s="33">
        <v>6630</v>
      </c>
      <c r="I345" s="32">
        <v>3636</v>
      </c>
      <c r="J345" s="31">
        <v>1724</v>
      </c>
    </row>
    <row r="346" spans="1:12" outlineLevel="1" x14ac:dyDescent="0.2">
      <c r="A346" s="20">
        <f t="shared" si="60"/>
        <v>3658</v>
      </c>
      <c r="B346" s="19" t="str">
        <f t="shared" si="60"/>
        <v>UT</v>
      </c>
      <c r="C346" s="18"/>
      <c r="D346" s="15">
        <v>8952</v>
      </c>
      <c r="E346" s="21">
        <v>0.82899999999999996</v>
      </c>
      <c r="F346" s="14">
        <v>33736.73333333333</v>
      </c>
      <c r="G346" s="16">
        <v>3435</v>
      </c>
      <c r="H346" s="15">
        <v>9596</v>
      </c>
      <c r="I346" s="14">
        <v>9749</v>
      </c>
      <c r="J346" s="13">
        <v>7288</v>
      </c>
      <c r="L346" s="2"/>
    </row>
    <row r="347" spans="1:12" outlineLevel="1" x14ac:dyDescent="0.2">
      <c r="A347" s="20">
        <f t="shared" si="60"/>
        <v>9741</v>
      </c>
      <c r="B347" s="19" t="str">
        <f t="shared" si="60"/>
        <v>UTD</v>
      </c>
      <c r="C347" s="18"/>
      <c r="D347" s="15">
        <v>2355</v>
      </c>
      <c r="E347" s="21">
        <v>0.70699999999999996</v>
      </c>
      <c r="F347" s="14">
        <v>8108.8666666666668</v>
      </c>
      <c r="G347" s="16">
        <v>1255</v>
      </c>
      <c r="H347" s="15">
        <v>3078</v>
      </c>
      <c r="I347" s="14">
        <v>1950</v>
      </c>
      <c r="J347" s="13">
        <v>923</v>
      </c>
      <c r="L347" s="2"/>
    </row>
    <row r="348" spans="1:12" outlineLevel="1" x14ac:dyDescent="0.2">
      <c r="A348" s="20">
        <f t="shared" si="60"/>
        <v>3661</v>
      </c>
      <c r="B348" s="19" t="str">
        <f t="shared" si="60"/>
        <v>UTEP</v>
      </c>
      <c r="C348" s="18"/>
      <c r="D348" s="15">
        <v>3031</v>
      </c>
      <c r="E348" s="21">
        <v>0.374</v>
      </c>
      <c r="F348" s="14">
        <v>12791.933333333332</v>
      </c>
      <c r="G348" s="16">
        <v>2394</v>
      </c>
      <c r="H348" s="15">
        <v>4200</v>
      </c>
      <c r="I348" s="14">
        <v>3366</v>
      </c>
      <c r="J348" s="13">
        <v>1972</v>
      </c>
      <c r="L348" s="2"/>
    </row>
    <row r="349" spans="1:12" outlineLevel="1" x14ac:dyDescent="0.2">
      <c r="A349" s="20">
        <f t="shared" si="60"/>
        <v>3599</v>
      </c>
      <c r="B349" s="19" t="str">
        <f t="shared" si="60"/>
        <v>UTPA</v>
      </c>
      <c r="C349" s="18"/>
      <c r="D349" s="15">
        <v>2620</v>
      </c>
      <c r="E349" s="21">
        <v>0.38900000000000001</v>
      </c>
      <c r="F349" s="14">
        <v>12572.333333333334</v>
      </c>
      <c r="G349" s="16">
        <v>2341</v>
      </c>
      <c r="H349" s="15">
        <v>4354</v>
      </c>
      <c r="I349" s="14">
        <v>3136</v>
      </c>
      <c r="J349" s="13">
        <v>1924</v>
      </c>
      <c r="L349" s="2"/>
    </row>
    <row r="350" spans="1:12" outlineLevel="1" x14ac:dyDescent="0.2">
      <c r="A350" s="20">
        <f t="shared" si="60"/>
        <v>30646</v>
      </c>
      <c r="B350" s="19" t="str">
        <f t="shared" si="60"/>
        <v>UTB</v>
      </c>
      <c r="C350" s="18"/>
      <c r="D350" s="15">
        <v>1052</v>
      </c>
      <c r="E350" s="17">
        <v>0.64666666666666661</v>
      </c>
      <c r="F350" s="14">
        <v>2989.6</v>
      </c>
      <c r="G350" s="16">
        <v>916</v>
      </c>
      <c r="H350" s="15">
        <v>1377</v>
      </c>
      <c r="I350" s="14">
        <v>583</v>
      </c>
      <c r="J350" s="13">
        <v>72</v>
      </c>
      <c r="L350" s="2"/>
    </row>
    <row r="351" spans="1:12" outlineLevel="1" x14ac:dyDescent="0.2">
      <c r="A351" s="20">
        <f t="shared" si="60"/>
        <v>9930</v>
      </c>
      <c r="B351" s="19" t="str">
        <f t="shared" si="60"/>
        <v>UTPB</v>
      </c>
      <c r="C351" s="18"/>
      <c r="D351" s="15">
        <v>513</v>
      </c>
      <c r="E351" s="21">
        <v>0.44600000000000001</v>
      </c>
      <c r="F351" s="14">
        <v>2159.6</v>
      </c>
      <c r="G351" s="16">
        <v>379</v>
      </c>
      <c r="H351" s="15">
        <v>707</v>
      </c>
      <c r="I351" s="14">
        <v>450</v>
      </c>
      <c r="J351" s="13">
        <v>182</v>
      </c>
      <c r="L351" s="2"/>
    </row>
    <row r="352" spans="1:12" outlineLevel="1" x14ac:dyDescent="0.2">
      <c r="A352" s="20">
        <f t="shared" si="60"/>
        <v>10115</v>
      </c>
      <c r="B352" s="19" t="str">
        <f t="shared" si="60"/>
        <v>UTSA</v>
      </c>
      <c r="C352" s="18"/>
      <c r="D352" s="15">
        <v>3968</v>
      </c>
      <c r="E352" s="21">
        <v>0.44</v>
      </c>
      <c r="F352" s="14">
        <v>19707.533333333333</v>
      </c>
      <c r="G352" s="16">
        <v>2956</v>
      </c>
      <c r="H352" s="15">
        <v>6812</v>
      </c>
      <c r="I352" s="14">
        <v>4615</v>
      </c>
      <c r="J352" s="13">
        <v>2588</v>
      </c>
      <c r="L352" s="2"/>
    </row>
    <row r="353" spans="1:12" outlineLevel="1" x14ac:dyDescent="0.2">
      <c r="A353" s="20">
        <f t="shared" si="60"/>
        <v>11163</v>
      </c>
      <c r="B353" s="19" t="str">
        <f t="shared" si="60"/>
        <v>UTT</v>
      </c>
      <c r="C353" s="18"/>
      <c r="D353" s="15">
        <v>1238</v>
      </c>
      <c r="E353" s="21">
        <v>0.496</v>
      </c>
      <c r="F353" s="14">
        <v>4085.2666666666669</v>
      </c>
      <c r="G353" s="16">
        <v>1002</v>
      </c>
      <c r="H353" s="15">
        <v>1404</v>
      </c>
      <c r="I353" s="14">
        <v>921</v>
      </c>
      <c r="J353" s="13">
        <v>378</v>
      </c>
      <c r="L353" s="2"/>
    </row>
    <row r="354" spans="1:12" outlineLevel="1" x14ac:dyDescent="0.2">
      <c r="A354" s="20">
        <f t="shared" si="60"/>
        <v>3632</v>
      </c>
      <c r="B354" s="19" t="str">
        <f t="shared" si="60"/>
        <v>TAMU</v>
      </c>
      <c r="C354" s="18"/>
      <c r="D354" s="15">
        <v>8451</v>
      </c>
      <c r="E354" s="21">
        <v>0.83599999999999997</v>
      </c>
      <c r="F354" s="14">
        <v>34329.199999999997</v>
      </c>
      <c r="G354" s="16">
        <v>3530</v>
      </c>
      <c r="H354" s="15">
        <v>10012</v>
      </c>
      <c r="I354" s="14">
        <v>8836</v>
      </c>
      <c r="J354" s="13">
        <v>6932</v>
      </c>
      <c r="L354" s="2"/>
    </row>
    <row r="355" spans="1:12" outlineLevel="1" x14ac:dyDescent="0.2">
      <c r="A355" s="20">
        <f t="shared" si="60"/>
        <v>10298</v>
      </c>
      <c r="B355" s="19" t="str">
        <f t="shared" si="60"/>
        <v>TAMUG</v>
      </c>
      <c r="C355" s="18"/>
      <c r="D355" s="15">
        <v>262</v>
      </c>
      <c r="E355" s="21">
        <v>0.59199999999999997</v>
      </c>
      <c r="F355" s="14">
        <v>1599.2</v>
      </c>
      <c r="G355" s="16">
        <v>137</v>
      </c>
      <c r="H355" s="15">
        <v>570</v>
      </c>
      <c r="I355" s="14">
        <v>322</v>
      </c>
      <c r="J355" s="13">
        <v>241</v>
      </c>
      <c r="L355" s="2"/>
    </row>
    <row r="356" spans="1:12" outlineLevel="1" x14ac:dyDescent="0.2">
      <c r="A356" s="20">
        <f t="shared" si="60"/>
        <v>3630</v>
      </c>
      <c r="B356" s="19" t="str">
        <f t="shared" si="60"/>
        <v>Prairie View</v>
      </c>
      <c r="C356" s="18"/>
      <c r="D356" s="15">
        <v>879</v>
      </c>
      <c r="E356" s="21">
        <v>0.34200000000000003</v>
      </c>
      <c r="F356" s="14">
        <v>5840.8</v>
      </c>
      <c r="G356" s="16">
        <v>756</v>
      </c>
      <c r="H356" s="15">
        <v>1643</v>
      </c>
      <c r="I356" s="14">
        <v>1174</v>
      </c>
      <c r="J356" s="13">
        <v>940</v>
      </c>
      <c r="L356" s="2"/>
    </row>
    <row r="357" spans="1:12" outlineLevel="1" x14ac:dyDescent="0.2">
      <c r="A357" s="20">
        <f t="shared" si="60"/>
        <v>3631</v>
      </c>
      <c r="B357" s="19" t="str">
        <f t="shared" si="60"/>
        <v>Tarleton</v>
      </c>
      <c r="C357" s="18"/>
      <c r="D357" s="15">
        <v>1422</v>
      </c>
      <c r="E357" s="21">
        <v>0.47499999999999998</v>
      </c>
      <c r="F357" s="14">
        <v>5845.5333333333338</v>
      </c>
      <c r="G357" s="16">
        <v>1093</v>
      </c>
      <c r="H357" s="15">
        <v>2140</v>
      </c>
      <c r="I357" s="14">
        <v>1306</v>
      </c>
      <c r="J357" s="13">
        <v>903</v>
      </c>
      <c r="L357" s="2"/>
    </row>
    <row r="358" spans="1:12" outlineLevel="1" x14ac:dyDescent="0.2">
      <c r="A358" s="27">
        <f t="shared" si="60"/>
        <v>103631</v>
      </c>
      <c r="B358" s="19" t="str">
        <f t="shared" si="60"/>
        <v>TAMUCT</v>
      </c>
      <c r="C358" s="18"/>
      <c r="D358" s="15">
        <v>450</v>
      </c>
      <c r="E358" s="21">
        <v>0.47499999999999998</v>
      </c>
      <c r="F358" s="14">
        <v>658.4666666666667</v>
      </c>
      <c r="G358" s="16">
        <v>322</v>
      </c>
      <c r="H358" s="15">
        <v>380</v>
      </c>
      <c r="I358" s="14">
        <v>137</v>
      </c>
      <c r="J358" s="13">
        <v>31</v>
      </c>
      <c r="L358" s="2"/>
    </row>
    <row r="359" spans="1:12" outlineLevel="1" x14ac:dyDescent="0.2">
      <c r="A359" s="20">
        <f t="shared" si="60"/>
        <v>11161</v>
      </c>
      <c r="B359" s="19" t="str">
        <f t="shared" si="60"/>
        <v>TAMUCC</v>
      </c>
      <c r="C359" s="18"/>
      <c r="D359" s="15">
        <v>1335</v>
      </c>
      <c r="E359" s="21">
        <v>0.503</v>
      </c>
      <c r="F359" s="14">
        <v>6131.9333333333334</v>
      </c>
      <c r="G359" s="16">
        <v>1024</v>
      </c>
      <c r="H359" s="15">
        <v>2079</v>
      </c>
      <c r="I359" s="14">
        <v>1357</v>
      </c>
      <c r="J359" s="13">
        <v>812</v>
      </c>
      <c r="L359" s="2"/>
    </row>
    <row r="360" spans="1:12" outlineLevel="1" x14ac:dyDescent="0.2">
      <c r="A360" s="20">
        <f t="shared" si="60"/>
        <v>3639</v>
      </c>
      <c r="B360" s="19" t="str">
        <f t="shared" si="60"/>
        <v>TAMUK</v>
      </c>
      <c r="C360" s="18"/>
      <c r="D360" s="15">
        <v>692</v>
      </c>
      <c r="E360" s="21">
        <v>0.41699999999999998</v>
      </c>
      <c r="F360" s="14">
        <v>3808.2666666666669</v>
      </c>
      <c r="G360" s="16">
        <v>590</v>
      </c>
      <c r="H360" s="15">
        <v>1159</v>
      </c>
      <c r="I360" s="14">
        <v>790</v>
      </c>
      <c r="J360" s="13">
        <v>550</v>
      </c>
      <c r="L360" s="2"/>
    </row>
    <row r="361" spans="1:12" outlineLevel="1" x14ac:dyDescent="0.2">
      <c r="A361" s="27">
        <f t="shared" ref="A361:B376" si="61">A319</f>
        <v>103639</v>
      </c>
      <c r="B361" s="19" t="str">
        <f t="shared" si="61"/>
        <v>TAMUSA</v>
      </c>
      <c r="C361" s="18"/>
      <c r="D361" s="15">
        <v>496</v>
      </c>
      <c r="E361" s="21">
        <v>0.41699999999999998</v>
      </c>
      <c r="F361" s="14">
        <v>1072.6666666666667</v>
      </c>
      <c r="G361" s="16">
        <v>402</v>
      </c>
      <c r="H361" s="15">
        <v>307</v>
      </c>
      <c r="I361" s="14">
        <v>5</v>
      </c>
      <c r="J361" s="13">
        <v>5</v>
      </c>
      <c r="L361" s="2"/>
    </row>
    <row r="362" spans="1:12" outlineLevel="1" x14ac:dyDescent="0.2">
      <c r="A362" s="20">
        <f t="shared" si="61"/>
        <v>9651</v>
      </c>
      <c r="B362" s="19" t="str">
        <f t="shared" si="61"/>
        <v>TAMI</v>
      </c>
      <c r="C362" s="18"/>
      <c r="D362" s="15">
        <v>798</v>
      </c>
      <c r="E362" s="21">
        <v>0.46</v>
      </c>
      <c r="F362" s="14">
        <v>3819.0666666666666</v>
      </c>
      <c r="G362" s="16">
        <v>713</v>
      </c>
      <c r="H362" s="15">
        <v>1413</v>
      </c>
      <c r="I362" s="14">
        <v>981</v>
      </c>
      <c r="J362" s="13">
        <v>447</v>
      </c>
      <c r="L362" s="2"/>
    </row>
    <row r="363" spans="1:12" outlineLevel="1" x14ac:dyDescent="0.2">
      <c r="A363" s="20">
        <f t="shared" si="61"/>
        <v>3665</v>
      </c>
      <c r="B363" s="19" t="str">
        <f t="shared" si="61"/>
        <v>WTAMU</v>
      </c>
      <c r="C363" s="18"/>
      <c r="D363" s="15">
        <v>1220</v>
      </c>
      <c r="E363" s="21">
        <v>0.45600000000000002</v>
      </c>
      <c r="F363" s="14">
        <v>5264.8</v>
      </c>
      <c r="G363" s="16">
        <v>853</v>
      </c>
      <c r="H363" s="15">
        <v>1873</v>
      </c>
      <c r="I363" s="14">
        <v>1161</v>
      </c>
      <c r="J363" s="13">
        <v>631</v>
      </c>
      <c r="L363" s="2"/>
    </row>
    <row r="364" spans="1:12" outlineLevel="1" x14ac:dyDescent="0.2">
      <c r="A364" s="20">
        <f t="shared" si="61"/>
        <v>3565</v>
      </c>
      <c r="B364" s="19" t="str">
        <f t="shared" si="61"/>
        <v>TAMUC</v>
      </c>
      <c r="C364" s="18"/>
      <c r="D364" s="15">
        <v>1153</v>
      </c>
      <c r="E364" s="21">
        <v>0.44800000000000001</v>
      </c>
      <c r="F364" s="14">
        <v>4172.1333333333332</v>
      </c>
      <c r="G364" s="16">
        <v>884</v>
      </c>
      <c r="H364" s="15">
        <v>1712</v>
      </c>
      <c r="I364" s="14">
        <v>1038</v>
      </c>
      <c r="J364" s="13">
        <v>423</v>
      </c>
      <c r="L364" s="2"/>
    </row>
    <row r="365" spans="1:12" outlineLevel="1" x14ac:dyDescent="0.2">
      <c r="A365" s="20">
        <f t="shared" si="61"/>
        <v>29269</v>
      </c>
      <c r="B365" s="19" t="str">
        <f t="shared" si="61"/>
        <v>TAMUT</v>
      </c>
      <c r="C365" s="18"/>
      <c r="D365" s="15">
        <v>326</v>
      </c>
      <c r="E365" s="17">
        <v>0.57336956521739135</v>
      </c>
      <c r="F365" s="14">
        <v>694.6</v>
      </c>
      <c r="G365" s="16">
        <v>210</v>
      </c>
      <c r="H365" s="15">
        <v>403</v>
      </c>
      <c r="I365" s="14">
        <v>138</v>
      </c>
      <c r="J365" s="13">
        <v>0</v>
      </c>
      <c r="L365" s="2"/>
    </row>
    <row r="366" spans="1:12" outlineLevel="1" x14ac:dyDescent="0.2">
      <c r="A366" s="20">
        <f t="shared" si="61"/>
        <v>3652</v>
      </c>
      <c r="B366" s="19" t="str">
        <f t="shared" si="61"/>
        <v>UH</v>
      </c>
      <c r="C366" s="18"/>
      <c r="D366" s="15">
        <v>4778</v>
      </c>
      <c r="E366" s="21">
        <v>0.53100000000000003</v>
      </c>
      <c r="F366" s="14">
        <v>22778.733333333334</v>
      </c>
      <c r="G366" s="16">
        <v>3091</v>
      </c>
      <c r="H366" s="15">
        <v>7517</v>
      </c>
      <c r="I366" s="14">
        <v>5600</v>
      </c>
      <c r="J366" s="13">
        <v>3376</v>
      </c>
      <c r="L366" s="2"/>
    </row>
    <row r="367" spans="1:12" outlineLevel="1" x14ac:dyDescent="0.2">
      <c r="A367" s="20">
        <f t="shared" si="61"/>
        <v>11711</v>
      </c>
      <c r="B367" s="19" t="str">
        <f t="shared" si="61"/>
        <v>UHCL</v>
      </c>
      <c r="C367" s="18"/>
      <c r="D367" s="15">
        <v>1124</v>
      </c>
      <c r="E367" s="17">
        <v>0.50557620817843862</v>
      </c>
      <c r="F367" s="14">
        <v>2872.8666666666668</v>
      </c>
      <c r="G367" s="16">
        <v>707</v>
      </c>
      <c r="H367" s="15">
        <v>1349</v>
      </c>
      <c r="I367" s="14">
        <v>888</v>
      </c>
      <c r="J367" s="13">
        <v>81</v>
      </c>
      <c r="L367" s="2"/>
    </row>
    <row r="368" spans="1:12" outlineLevel="1" x14ac:dyDescent="0.2">
      <c r="A368" s="20">
        <f t="shared" si="61"/>
        <v>12826</v>
      </c>
      <c r="B368" s="19" t="str">
        <f t="shared" si="61"/>
        <v>UHD</v>
      </c>
      <c r="C368" s="18"/>
      <c r="D368" s="15">
        <v>2359</v>
      </c>
      <c r="E368" s="21">
        <v>0.18099999999999999</v>
      </c>
      <c r="F368" s="14">
        <v>7963.6</v>
      </c>
      <c r="G368" s="16">
        <v>1619</v>
      </c>
      <c r="H368" s="15">
        <v>3082</v>
      </c>
      <c r="I368" s="14">
        <v>1889</v>
      </c>
      <c r="J368" s="13">
        <v>606</v>
      </c>
      <c r="L368" s="2"/>
    </row>
    <row r="369" spans="1:12" outlineLevel="1" x14ac:dyDescent="0.2">
      <c r="A369" s="20">
        <f t="shared" si="61"/>
        <v>13231</v>
      </c>
      <c r="B369" s="19" t="str">
        <f t="shared" si="61"/>
        <v>UHV</v>
      </c>
      <c r="C369" s="18"/>
      <c r="D369" s="15">
        <v>515</v>
      </c>
      <c r="E369" s="17">
        <v>0.55256723716381417</v>
      </c>
      <c r="F369" s="14">
        <v>1135.8</v>
      </c>
      <c r="G369" s="16">
        <v>337</v>
      </c>
      <c r="H369" s="15">
        <v>654</v>
      </c>
      <c r="I369" s="14">
        <v>269</v>
      </c>
      <c r="J369" s="13">
        <v>8</v>
      </c>
      <c r="L369" s="2"/>
    </row>
    <row r="370" spans="1:12" outlineLevel="1" x14ac:dyDescent="0.2">
      <c r="A370" s="20">
        <f t="shared" si="61"/>
        <v>3592</v>
      </c>
      <c r="B370" s="19" t="str">
        <f t="shared" si="61"/>
        <v>Midwestern</v>
      </c>
      <c r="C370" s="18"/>
      <c r="D370" s="15">
        <v>1002</v>
      </c>
      <c r="E370" s="21">
        <v>0.41199999999999998</v>
      </c>
      <c r="F370" s="14">
        <v>4294.8666666666668</v>
      </c>
      <c r="G370" s="16">
        <v>673</v>
      </c>
      <c r="H370" s="15">
        <v>1497</v>
      </c>
      <c r="I370" s="14">
        <v>1080</v>
      </c>
      <c r="J370" s="13">
        <v>622</v>
      </c>
      <c r="L370" s="2"/>
    </row>
    <row r="371" spans="1:12" outlineLevel="1" x14ac:dyDescent="0.2">
      <c r="A371" s="20">
        <f t="shared" si="61"/>
        <v>3594</v>
      </c>
      <c r="B371" s="19" t="str">
        <f t="shared" si="61"/>
        <v>UNT</v>
      </c>
      <c r="C371" s="18"/>
      <c r="D371" s="15">
        <v>6024</v>
      </c>
      <c r="E371" s="21">
        <v>0.57399999999999995</v>
      </c>
      <c r="F371" s="14">
        <f>22506.0666666667+838</f>
        <v>23344.066666666698</v>
      </c>
      <c r="G371" s="16">
        <v>3747</v>
      </c>
      <c r="H371" s="30">
        <v>8327</v>
      </c>
      <c r="I371" s="29">
        <v>5604</v>
      </c>
      <c r="J371" s="28">
        <v>3585</v>
      </c>
      <c r="L371" s="2"/>
    </row>
    <row r="372" spans="1:12" outlineLevel="1" x14ac:dyDescent="0.2">
      <c r="A372" s="27">
        <f t="shared" si="61"/>
        <v>113594</v>
      </c>
      <c r="B372" s="19" t="str">
        <f t="shared" si="61"/>
        <v>UNTD</v>
      </c>
      <c r="C372" s="18"/>
      <c r="D372" s="24"/>
      <c r="E372" s="26"/>
      <c r="F372" s="23"/>
      <c r="G372" s="25"/>
      <c r="H372" s="24"/>
      <c r="I372" s="23"/>
      <c r="J372" s="22"/>
      <c r="L372" s="2"/>
    </row>
    <row r="373" spans="1:12" outlineLevel="1" x14ac:dyDescent="0.2">
      <c r="A373" s="20">
        <f t="shared" si="61"/>
        <v>3624</v>
      </c>
      <c r="B373" s="19" t="str">
        <f t="shared" si="61"/>
        <v>SFA</v>
      </c>
      <c r="C373" s="18"/>
      <c r="D373" s="15">
        <v>1874</v>
      </c>
      <c r="E373" s="21">
        <v>0.56999999999999995</v>
      </c>
      <c r="F373" s="14">
        <v>9510.2666666666664</v>
      </c>
      <c r="G373" s="16">
        <v>1422</v>
      </c>
      <c r="H373" s="15">
        <v>2663</v>
      </c>
      <c r="I373" s="14">
        <v>1934</v>
      </c>
      <c r="J373" s="13">
        <v>1317</v>
      </c>
      <c r="L373" s="2"/>
    </row>
    <row r="374" spans="1:12" outlineLevel="1" x14ac:dyDescent="0.2">
      <c r="A374" s="20">
        <f t="shared" si="61"/>
        <v>3642</v>
      </c>
      <c r="B374" s="19" t="str">
        <f t="shared" si="61"/>
        <v>TSU</v>
      </c>
      <c r="C374" s="18"/>
      <c r="D374" s="15">
        <v>817</v>
      </c>
      <c r="E374" s="21">
        <v>0.14899999999999999</v>
      </c>
      <c r="F374" s="14">
        <v>5909.8</v>
      </c>
      <c r="G374" s="16">
        <v>723</v>
      </c>
      <c r="H374" s="15">
        <v>1871</v>
      </c>
      <c r="I374" s="14">
        <v>1137</v>
      </c>
      <c r="J374" s="13">
        <v>916</v>
      </c>
      <c r="L374" s="2"/>
    </row>
    <row r="375" spans="1:12" outlineLevel="1" x14ac:dyDescent="0.2">
      <c r="A375" s="20">
        <f t="shared" si="61"/>
        <v>3644</v>
      </c>
      <c r="B375" s="19" t="str">
        <f t="shared" si="61"/>
        <v>TTU</v>
      </c>
      <c r="C375" s="18"/>
      <c r="D375" s="15">
        <v>4476</v>
      </c>
      <c r="E375" s="21">
        <v>0.72799999999999998</v>
      </c>
      <c r="F375" s="14">
        <v>21422.2</v>
      </c>
      <c r="G375" s="16">
        <v>2539</v>
      </c>
      <c r="H375" s="15">
        <v>6430</v>
      </c>
      <c r="I375" s="14">
        <v>5148</v>
      </c>
      <c r="J375" s="13">
        <v>3832</v>
      </c>
      <c r="L375" s="2"/>
    </row>
    <row r="376" spans="1:12" outlineLevel="1" x14ac:dyDescent="0.2">
      <c r="A376" s="20">
        <f t="shared" si="61"/>
        <v>3541</v>
      </c>
      <c r="B376" s="19" t="str">
        <f t="shared" si="61"/>
        <v>Angelo</v>
      </c>
      <c r="C376" s="18"/>
      <c r="D376" s="15">
        <v>941</v>
      </c>
      <c r="E376" s="21">
        <v>0.44</v>
      </c>
      <c r="F376" s="14">
        <v>4829.1333333333332</v>
      </c>
      <c r="G376" s="16">
        <v>676</v>
      </c>
      <c r="H376" s="15">
        <v>1474</v>
      </c>
      <c r="I376" s="14">
        <v>1008</v>
      </c>
      <c r="J376" s="13">
        <v>708</v>
      </c>
      <c r="L376" s="2"/>
    </row>
    <row r="377" spans="1:12" outlineLevel="1" x14ac:dyDescent="0.2">
      <c r="A377" s="20">
        <f t="shared" ref="A377:B382" si="62">A335</f>
        <v>3646</v>
      </c>
      <c r="B377" s="19" t="str">
        <f t="shared" si="62"/>
        <v>TWU</v>
      </c>
      <c r="C377" s="18"/>
      <c r="D377" s="15">
        <v>1774</v>
      </c>
      <c r="E377" s="21">
        <v>0.54500000000000004</v>
      </c>
      <c r="F377" s="14">
        <v>6071.4666666666662</v>
      </c>
      <c r="G377" s="16">
        <v>1214</v>
      </c>
      <c r="H377" s="15">
        <v>2042</v>
      </c>
      <c r="I377" s="14">
        <v>1371</v>
      </c>
      <c r="J377" s="13">
        <v>668</v>
      </c>
      <c r="L377" s="2"/>
    </row>
    <row r="378" spans="1:12" outlineLevel="1" x14ac:dyDescent="0.2">
      <c r="A378" s="20">
        <f t="shared" si="62"/>
        <v>3581</v>
      </c>
      <c r="B378" s="19" t="str">
        <f t="shared" si="62"/>
        <v>Lamar</v>
      </c>
      <c r="C378" s="18"/>
      <c r="D378" s="15">
        <v>1286</v>
      </c>
      <c r="E378" s="21">
        <v>0.33800000000000002</v>
      </c>
      <c r="F378" s="14">
        <v>7172.9333333333334</v>
      </c>
      <c r="G378" s="16">
        <v>908</v>
      </c>
      <c r="H378" s="15">
        <v>2043</v>
      </c>
      <c r="I378" s="14">
        <v>1404</v>
      </c>
      <c r="J378" s="13">
        <v>1031</v>
      </c>
      <c r="L378" s="2"/>
    </row>
    <row r="379" spans="1:12" outlineLevel="1" x14ac:dyDescent="0.2">
      <c r="A379" s="20">
        <f t="shared" si="62"/>
        <v>3606</v>
      </c>
      <c r="B379" s="19" t="str">
        <f t="shared" si="62"/>
        <v>SHSU</v>
      </c>
      <c r="C379" s="18"/>
      <c r="D379" s="15">
        <v>3242</v>
      </c>
      <c r="E379" s="21">
        <v>0.57899999999999996</v>
      </c>
      <c r="F379" s="14">
        <v>12517.066666666668</v>
      </c>
      <c r="G379" s="16">
        <v>2318</v>
      </c>
      <c r="H379" s="15">
        <v>3849</v>
      </c>
      <c r="I379" s="14">
        <v>3011</v>
      </c>
      <c r="J379" s="13">
        <v>1870</v>
      </c>
      <c r="L379" s="2"/>
    </row>
    <row r="380" spans="1:12" outlineLevel="1" x14ac:dyDescent="0.2">
      <c r="A380" s="20">
        <f t="shared" si="62"/>
        <v>3615</v>
      </c>
      <c r="B380" s="19" t="str">
        <f t="shared" si="62"/>
        <v>TXST</v>
      </c>
      <c r="C380" s="18"/>
      <c r="D380" s="15">
        <v>5299</v>
      </c>
      <c r="E380" s="21">
        <v>0.64400000000000002</v>
      </c>
      <c r="F380" s="14">
        <v>21764.6</v>
      </c>
      <c r="G380" s="16">
        <v>3545</v>
      </c>
      <c r="H380" s="15">
        <v>7301</v>
      </c>
      <c r="I380" s="14">
        <v>5428</v>
      </c>
      <c r="J380" s="13">
        <v>3302</v>
      </c>
      <c r="L380" s="2"/>
    </row>
    <row r="381" spans="1:12" outlineLevel="1" x14ac:dyDescent="0.2">
      <c r="A381" s="20">
        <f t="shared" si="62"/>
        <v>3625</v>
      </c>
      <c r="B381" s="19" t="str">
        <f t="shared" si="62"/>
        <v>SRSU</v>
      </c>
      <c r="C381" s="18"/>
      <c r="D381" s="15">
        <v>181</v>
      </c>
      <c r="E381" s="21">
        <v>0.28499999999999998</v>
      </c>
      <c r="F381" s="14">
        <v>1230.9333333333334</v>
      </c>
      <c r="G381" s="16">
        <v>156</v>
      </c>
      <c r="H381" s="15">
        <v>318</v>
      </c>
      <c r="I381" s="14">
        <v>176</v>
      </c>
      <c r="J381" s="13">
        <v>115</v>
      </c>
      <c r="L381" s="2"/>
    </row>
    <row r="382" spans="1:12" outlineLevel="1" x14ac:dyDescent="0.2">
      <c r="A382" s="20">
        <f t="shared" si="62"/>
        <v>20</v>
      </c>
      <c r="B382" s="19" t="str">
        <f t="shared" si="62"/>
        <v>SRRG</v>
      </c>
      <c r="C382" s="18"/>
      <c r="D382" s="15">
        <v>168</v>
      </c>
      <c r="E382" s="17">
        <v>0.36144578313253012</v>
      </c>
      <c r="F382" s="14">
        <v>416.33333333333331</v>
      </c>
      <c r="G382" s="16">
        <v>149</v>
      </c>
      <c r="H382" s="15">
        <v>251</v>
      </c>
      <c r="I382" s="14">
        <v>90</v>
      </c>
      <c r="J382" s="13">
        <v>5</v>
      </c>
      <c r="L382" s="2"/>
    </row>
    <row r="383" spans="1:12" ht="13.5" outlineLevel="1" thickBot="1" x14ac:dyDescent="0.25">
      <c r="A383" s="12"/>
      <c r="B383" s="11" t="s">
        <v>11</v>
      </c>
      <c r="C383" s="10"/>
      <c r="D383" s="9">
        <f>SUM(D345:D382)</f>
        <v>81251</v>
      </c>
      <c r="E383" s="8">
        <v>0.56799999999999995</v>
      </c>
      <c r="F383" s="7">
        <f t="shared" ref="F383:J383" si="63">SUM(F345:F382)</f>
        <v>338321.33333333337</v>
      </c>
      <c r="G383" s="6">
        <f t="shared" si="63"/>
        <v>51678</v>
      </c>
      <c r="H383" s="5">
        <f t="shared" si="63"/>
        <v>112517</v>
      </c>
      <c r="I383" s="4">
        <f t="shared" si="63"/>
        <v>81688</v>
      </c>
      <c r="J383" s="3">
        <f t="shared" si="63"/>
        <v>51008</v>
      </c>
      <c r="L383" s="2"/>
    </row>
    <row r="384" spans="1:12" x14ac:dyDescent="0.2">
      <c r="L384" s="2"/>
    </row>
    <row r="386" spans="1:1" x14ac:dyDescent="0.2">
      <c r="A386" s="1" t="s">
        <v>10</v>
      </c>
    </row>
    <row r="387" spans="1:1" x14ac:dyDescent="0.2">
      <c r="A387" s="1" t="s">
        <v>9</v>
      </c>
    </row>
    <row r="388" spans="1:1" x14ac:dyDescent="0.2">
      <c r="A388" s="1" t="s">
        <v>8</v>
      </c>
    </row>
    <row r="389" spans="1:1" x14ac:dyDescent="0.2">
      <c r="A389" s="1" t="s">
        <v>7</v>
      </c>
    </row>
    <row r="390" spans="1:1" x14ac:dyDescent="0.2">
      <c r="A390" s="1" t="s">
        <v>6</v>
      </c>
    </row>
    <row r="391" spans="1:1" x14ac:dyDescent="0.2">
      <c r="A391" s="1" t="s">
        <v>5</v>
      </c>
    </row>
    <row r="392" spans="1:1" x14ac:dyDescent="0.2">
      <c r="A392" s="1" t="s">
        <v>4</v>
      </c>
    </row>
    <row r="393" spans="1:1" x14ac:dyDescent="0.2">
      <c r="A393" s="1" t="s">
        <v>3</v>
      </c>
    </row>
    <row r="394" spans="1:1" x14ac:dyDescent="0.2">
      <c r="A394" s="1" t="s">
        <v>2</v>
      </c>
    </row>
    <row r="395" spans="1:1" x14ac:dyDescent="0.2">
      <c r="A395" s="1" t="s">
        <v>1</v>
      </c>
    </row>
    <row r="396" spans="1:1" x14ac:dyDescent="0.2">
      <c r="A396" s="1" t="s">
        <v>0</v>
      </c>
    </row>
  </sheetData>
  <mergeCells count="68">
    <mergeCell ref="A1:J1"/>
    <mergeCell ref="A3:A4"/>
    <mergeCell ref="B3:B4"/>
    <mergeCell ref="C3:C4"/>
    <mergeCell ref="D3:F3"/>
    <mergeCell ref="G3:G4"/>
    <mergeCell ref="H3:J3"/>
    <mergeCell ref="L3:N3"/>
    <mergeCell ref="A46:A47"/>
    <mergeCell ref="B46:B47"/>
    <mergeCell ref="C46:C47"/>
    <mergeCell ref="D46:F46"/>
    <mergeCell ref="G46:G47"/>
    <mergeCell ref="H46:J46"/>
    <mergeCell ref="K46:K47"/>
    <mergeCell ref="K88:K89"/>
    <mergeCell ref="A129:A130"/>
    <mergeCell ref="B129:B130"/>
    <mergeCell ref="C129:C130"/>
    <mergeCell ref="D129:F129"/>
    <mergeCell ref="G129:G130"/>
    <mergeCell ref="H129:J129"/>
    <mergeCell ref="A88:A89"/>
    <mergeCell ref="B88:B89"/>
    <mergeCell ref="C88:C89"/>
    <mergeCell ref="D88:F88"/>
    <mergeCell ref="G88:G89"/>
    <mergeCell ref="H88:J88"/>
    <mergeCell ref="K174:K175"/>
    <mergeCell ref="A176:C176"/>
    <mergeCell ref="A217:A218"/>
    <mergeCell ref="B217:B218"/>
    <mergeCell ref="C217:C218"/>
    <mergeCell ref="D217:D218"/>
    <mergeCell ref="E217:E218"/>
    <mergeCell ref="F217:F218"/>
    <mergeCell ref="G217:G218"/>
    <mergeCell ref="A174:A175"/>
    <mergeCell ref="B174:B175"/>
    <mergeCell ref="C174:C175"/>
    <mergeCell ref="D174:F174"/>
    <mergeCell ref="G174:G175"/>
    <mergeCell ref="H174:J174"/>
    <mergeCell ref="H217:J217"/>
    <mergeCell ref="A259:A260"/>
    <mergeCell ref="B259:B260"/>
    <mergeCell ref="C259:C260"/>
    <mergeCell ref="D259:D260"/>
    <mergeCell ref="E259:E260"/>
    <mergeCell ref="F259:F260"/>
    <mergeCell ref="G259:G260"/>
    <mergeCell ref="H259:J259"/>
    <mergeCell ref="G343:G344"/>
    <mergeCell ref="H343:J343"/>
    <mergeCell ref="G301:G302"/>
    <mergeCell ref="H301:J301"/>
    <mergeCell ref="A343:A344"/>
    <mergeCell ref="B343:B344"/>
    <mergeCell ref="C343:C344"/>
    <mergeCell ref="D343:D344"/>
    <mergeCell ref="E343:E344"/>
    <mergeCell ref="F343:F344"/>
    <mergeCell ref="A301:A302"/>
    <mergeCell ref="B301:B302"/>
    <mergeCell ref="C301:C302"/>
    <mergeCell ref="D301:D302"/>
    <mergeCell ref="E301:E302"/>
    <mergeCell ref="F301:F302"/>
  </mergeCells>
  <conditionalFormatting sqref="Q5:Q42">
    <cfRule type="top10" dxfId="12" priority="3" bottom="1" rank="5"/>
    <cfRule type="top10" dxfId="11" priority="4" rank="5"/>
  </conditionalFormatting>
  <conditionalFormatting sqref="R5:R42">
    <cfRule type="top10" dxfId="10" priority="1" bottom="1" rank="5"/>
    <cfRule type="top10" dxfId="9" priority="2" rank="5"/>
  </conditionalFormatting>
  <conditionalFormatting sqref="D128:J128">
    <cfRule type="colorScale" priority="46">
      <colorScale>
        <cfvo type="min"/>
        <cfvo type="max"/>
        <color theme="6" tint="0.79998168889431442"/>
        <color theme="6" tint="-0.499984740745262"/>
      </colorScale>
    </cfRule>
  </conditionalFormatting>
  <conditionalFormatting sqref="D90:J127">
    <cfRule type="cellIs" dxfId="8" priority="48" operator="equal">
      <formula>$D$171</formula>
    </cfRule>
    <cfRule type="cellIs" dxfId="7" priority="49" operator="equal">
      <formula>$E$171</formula>
    </cfRule>
    <cfRule type="cellIs" dxfId="6" priority="50" operator="equal">
      <formula>$F$171</formula>
    </cfRule>
    <cfRule type="cellIs" dxfId="5" priority="51" operator="equal">
      <formula>#REF!</formula>
    </cfRule>
    <cfRule type="cellIs" dxfId="4" priority="52" operator="equal">
      <formula>$G$171</formula>
    </cfRule>
    <cfRule type="cellIs" dxfId="3" priority="53" operator="equal">
      <formula>$H$171</formula>
    </cfRule>
    <cfRule type="cellIs" dxfId="2" priority="54" operator="equal">
      <formula>$I$171</formula>
    </cfRule>
    <cfRule type="cellIs" dxfId="1" priority="55" operator="equal">
      <formula>$J$171</formula>
    </cfRule>
    <cfRule type="cellIs" dxfId="0" priority="56" operator="equal">
      <formula>#REF!</formula>
    </cfRule>
  </conditionalFormatting>
  <pageMargins left="0.25" right="0.25" top="0.5" bottom="0.25" header="0.3" footer="0.3"/>
  <pageSetup scale="65" orientation="landscape" r:id="rId1"/>
  <rowBreaks count="9" manualBreakCount="9">
    <brk id="44" max="16383" man="1"/>
    <brk id="86" max="16383" man="1"/>
    <brk id="127" max="16383" man="1"/>
    <brk id="172" max="16383" man="1"/>
    <brk id="215" max="16383" man="1"/>
    <brk id="257" max="16383" man="1"/>
    <brk id="299" max="16383" man="1"/>
    <brk id="341" max="16383" man="1"/>
    <brk id="38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outlinePr summaryBelow="0" summaryRight="0"/>
  </sheetPr>
  <dimension ref="A1:S396"/>
  <sheetViews>
    <sheetView showGridLines="0" zoomScale="70" zoomScaleNormal="70" workbookViewId="0">
      <pane xSplit="2" ySplit="4" topLeftCell="C5" activePane="bottomRight" state="frozen"/>
      <selection activeCell="A2" sqref="A2"/>
      <selection pane="topRight" activeCell="A2" sqref="A2"/>
      <selection pane="bottomLeft" activeCell="A2" sqref="A2"/>
      <selection pane="bottomRight" activeCell="C5" sqref="C5"/>
    </sheetView>
  </sheetViews>
  <sheetFormatPr defaultRowHeight="12.75" outlineLevelRow="1" x14ac:dyDescent="0.2"/>
  <cols>
    <col min="1" max="1" width="7.28515625" style="1" customWidth="1"/>
    <col min="2" max="2" width="10.85546875" style="1" bestFit="1" customWidth="1"/>
    <col min="3" max="3" width="13.7109375" style="1" bestFit="1" customWidth="1"/>
    <col min="4" max="4" width="13.140625" style="1" customWidth="1"/>
    <col min="5" max="5" width="12.5703125" style="1" customWidth="1"/>
    <col min="6" max="6" width="13" style="1" customWidth="1"/>
    <col min="7" max="8" width="12.42578125" style="1" customWidth="1"/>
    <col min="9" max="11" width="12.5703125" style="1" bestFit="1" customWidth="1"/>
    <col min="12" max="12" width="2.7109375" style="126" customWidth="1"/>
    <col min="13" max="13" width="16.42578125" style="1" customWidth="1"/>
    <col min="14" max="14" width="11" style="1" customWidth="1"/>
    <col min="15" max="15" width="13.5703125" style="1" customWidth="1"/>
    <col min="16" max="16" width="2.42578125" style="1" customWidth="1"/>
    <col min="17" max="17" width="11" style="1" customWidth="1"/>
    <col min="18" max="18" width="8.42578125" style="1" customWidth="1"/>
    <col min="19" max="19" width="8.28515625" style="1" customWidth="1"/>
    <col min="20" max="16384" width="9.140625" style="1"/>
  </cols>
  <sheetData>
    <row r="1" spans="1:19" ht="41.25" customHeight="1" x14ac:dyDescent="0.2">
      <c r="A1" s="166" t="s">
        <v>85</v>
      </c>
      <c r="B1" s="166"/>
      <c r="C1" s="166"/>
      <c r="D1" s="166"/>
      <c r="E1" s="166"/>
      <c r="F1" s="166"/>
      <c r="G1" s="166"/>
      <c r="H1" s="166"/>
      <c r="I1" s="166"/>
      <c r="J1" s="166"/>
      <c r="K1" s="166"/>
    </row>
    <row r="2" spans="1:19" ht="13.5" thickBot="1" x14ac:dyDescent="0.25">
      <c r="A2" s="71"/>
      <c r="B2" s="70"/>
      <c r="C2" s="70"/>
      <c r="D2" s="70"/>
      <c r="E2" s="70"/>
      <c r="F2" s="70"/>
      <c r="G2" s="70"/>
    </row>
    <row r="3" spans="1:19" ht="12.75" customHeight="1" thickBot="1" x14ac:dyDescent="0.25">
      <c r="A3" s="167" t="s">
        <v>22</v>
      </c>
      <c r="B3" s="169" t="s">
        <v>21</v>
      </c>
      <c r="C3" s="171" t="s">
        <v>72</v>
      </c>
      <c r="D3" s="173" t="s">
        <v>33</v>
      </c>
      <c r="E3" s="174"/>
      <c r="F3" s="174"/>
      <c r="G3" s="175"/>
      <c r="H3" s="176" t="s">
        <v>16</v>
      </c>
      <c r="I3" s="178" t="s">
        <v>32</v>
      </c>
      <c r="J3" s="179"/>
      <c r="K3" s="180"/>
      <c r="M3" s="181" t="s">
        <v>82</v>
      </c>
      <c r="N3" s="182"/>
      <c r="O3" s="183"/>
    </row>
    <row r="4" spans="1:19" ht="54" customHeight="1" thickBot="1" x14ac:dyDescent="0.25">
      <c r="A4" s="168"/>
      <c r="B4" s="170"/>
      <c r="C4" s="172"/>
      <c r="D4" s="120"/>
      <c r="E4" s="121" t="s">
        <v>31</v>
      </c>
      <c r="F4" s="121" t="s">
        <v>30</v>
      </c>
      <c r="G4" s="159" t="s">
        <v>29</v>
      </c>
      <c r="H4" s="177"/>
      <c r="I4" s="103" t="s">
        <v>14</v>
      </c>
      <c r="J4" s="104" t="s">
        <v>13</v>
      </c>
      <c r="K4" s="110" t="s">
        <v>12</v>
      </c>
      <c r="M4" s="129" t="s">
        <v>78</v>
      </c>
      <c r="N4" s="99" t="s">
        <v>80</v>
      </c>
      <c r="O4" s="130" t="s">
        <v>81</v>
      </c>
      <c r="Q4" s="146" t="s">
        <v>84</v>
      </c>
      <c r="R4" s="146" t="s">
        <v>86</v>
      </c>
      <c r="S4" s="146" t="s">
        <v>87</v>
      </c>
    </row>
    <row r="5" spans="1:19" x14ac:dyDescent="0.2">
      <c r="A5" s="40">
        <v>3656</v>
      </c>
      <c r="B5" s="39" t="s">
        <v>71</v>
      </c>
      <c r="C5" s="69">
        <f t="shared" ref="C5:C42" si="0">SUM(D5:K5)</f>
        <v>12246012.469067669</v>
      </c>
      <c r="D5" s="73">
        <f t="shared" ref="D5:K20" si="1">D48/$C$86*$C$43</f>
        <v>215783.97197935477</v>
      </c>
      <c r="E5" s="66">
        <f t="shared" si="1"/>
        <v>3914680.8916587946</v>
      </c>
      <c r="F5" s="66">
        <f t="shared" si="1"/>
        <v>0</v>
      </c>
      <c r="G5" s="65">
        <f t="shared" si="1"/>
        <v>224009.24875900988</v>
      </c>
      <c r="H5" s="68">
        <f t="shared" si="1"/>
        <v>4689796.7285907594</v>
      </c>
      <c r="I5" s="67">
        <f t="shared" si="1"/>
        <v>1763855.5126841718</v>
      </c>
      <c r="J5" s="66">
        <f t="shared" si="1"/>
        <v>824276.42544657865</v>
      </c>
      <c r="K5" s="65">
        <f t="shared" si="1"/>
        <v>613609.68994899816</v>
      </c>
      <c r="M5" s="72">
        <v>5.3941374102444546E-2</v>
      </c>
      <c r="N5" s="97">
        <f t="shared" ref="N5:N42" si="2">MIN(0,C48/$C$86-M5+$N$44)*-1*$O$43</f>
        <v>0</v>
      </c>
      <c r="O5" s="131">
        <f t="shared" ref="O5:O42" si="3">C5+N5</f>
        <v>12246012.469067669</v>
      </c>
      <c r="Q5" s="163">
        <f t="shared" ref="Q5:Q43" si="4">O5-M5*$O$43</f>
        <v>-430210.44500679895</v>
      </c>
      <c r="R5" s="147">
        <f t="shared" ref="R5:R43" si="5">O5/D219</f>
        <v>2440.4169926400295</v>
      </c>
      <c r="S5" s="147">
        <f t="shared" ref="S5:S42" si="6">O5/(D219/F219*100)</f>
        <v>722.45587960266755</v>
      </c>
    </row>
    <row r="6" spans="1:19" x14ac:dyDescent="0.2">
      <c r="A6" s="20">
        <v>3658</v>
      </c>
      <c r="B6" s="19" t="s">
        <v>70</v>
      </c>
      <c r="C6" s="54">
        <f t="shared" si="0"/>
        <v>25372148.761112634</v>
      </c>
      <c r="D6" s="15">
        <f t="shared" si="1"/>
        <v>384710.11186089437</v>
      </c>
      <c r="E6" s="14">
        <f t="shared" si="1"/>
        <v>11162363.895643851</v>
      </c>
      <c r="F6" s="14">
        <f t="shared" si="1"/>
        <v>0</v>
      </c>
      <c r="G6" s="13">
        <f t="shared" si="1"/>
        <v>417083.79960600124</v>
      </c>
      <c r="H6" s="16">
        <f t="shared" si="1"/>
        <v>4178474.4322942579</v>
      </c>
      <c r="I6" s="15">
        <f t="shared" si="1"/>
        <v>1238242.2226276447</v>
      </c>
      <c r="J6" s="14">
        <f t="shared" si="1"/>
        <v>1936307.8155195387</v>
      </c>
      <c r="K6" s="13">
        <f t="shared" si="1"/>
        <v>6054966.4835604513</v>
      </c>
      <c r="M6" s="72">
        <v>9.7535367886092073E-2</v>
      </c>
      <c r="N6" s="98">
        <f t="shared" si="2"/>
        <v>0</v>
      </c>
      <c r="O6" s="132">
        <f t="shared" si="3"/>
        <v>25372148.761112634</v>
      </c>
      <c r="Q6" s="163">
        <f t="shared" si="4"/>
        <v>2451337.3078809977</v>
      </c>
      <c r="R6" s="148">
        <f t="shared" si="5"/>
        <v>2836.0388346562054</v>
      </c>
      <c r="S6" s="148">
        <f t="shared" si="6"/>
        <v>751.48483714111001</v>
      </c>
    </row>
    <row r="7" spans="1:19" x14ac:dyDescent="0.2">
      <c r="A7" s="20">
        <v>9741</v>
      </c>
      <c r="B7" s="156" t="s">
        <v>69</v>
      </c>
      <c r="C7" s="155">
        <f t="shared" si="0"/>
        <v>6427537.1344229886</v>
      </c>
      <c r="D7" s="30">
        <f t="shared" si="1"/>
        <v>102903.75546962854</v>
      </c>
      <c r="E7" s="29">
        <f t="shared" si="1"/>
        <v>2531946.9033302097</v>
      </c>
      <c r="F7" s="29">
        <f t="shared" si="1"/>
        <v>0</v>
      </c>
      <c r="G7" s="28">
        <f t="shared" si="1"/>
        <v>109680.94032891731</v>
      </c>
      <c r="H7" s="43">
        <f t="shared" si="1"/>
        <v>1986190.1207200275</v>
      </c>
      <c r="I7" s="30">
        <f t="shared" si="1"/>
        <v>427654.76311970566</v>
      </c>
      <c r="J7" s="29">
        <f t="shared" si="1"/>
        <v>917805.74769749492</v>
      </c>
      <c r="K7" s="28">
        <f t="shared" si="1"/>
        <v>351354.90375700442</v>
      </c>
      <c r="M7" s="154">
        <v>3.0845130992374833E-2</v>
      </c>
      <c r="N7" s="153">
        <f t="shared" si="2"/>
        <v>0</v>
      </c>
      <c r="O7" s="152">
        <f t="shared" si="3"/>
        <v>6427537.1344229886</v>
      </c>
      <c r="P7" s="151"/>
      <c r="Q7" s="164">
        <f t="shared" si="4"/>
        <v>-821068.64878509752</v>
      </c>
      <c r="R7" s="150">
        <f t="shared" si="5"/>
        <v>2685.974565157956</v>
      </c>
      <c r="S7" s="150">
        <f t="shared" si="6"/>
        <v>720.64054336969559</v>
      </c>
    </row>
    <row r="8" spans="1:19" x14ac:dyDescent="0.2">
      <c r="A8" s="20">
        <v>3661</v>
      </c>
      <c r="B8" s="156" t="s">
        <v>68</v>
      </c>
      <c r="C8" s="155">
        <f t="shared" si="0"/>
        <v>8452089.8296512775</v>
      </c>
      <c r="D8" s="30">
        <f t="shared" si="1"/>
        <v>131457.07499818405</v>
      </c>
      <c r="E8" s="29">
        <f t="shared" si="1"/>
        <v>1435511.2589801697</v>
      </c>
      <c r="F8" s="29">
        <f t="shared" si="1"/>
        <v>0</v>
      </c>
      <c r="G8" s="28">
        <f t="shared" si="1"/>
        <v>135414.90623394377</v>
      </c>
      <c r="H8" s="43">
        <f t="shared" si="1"/>
        <v>3708993.0695840274</v>
      </c>
      <c r="I8" s="30">
        <f t="shared" si="1"/>
        <v>562810.00902068464</v>
      </c>
      <c r="J8" s="29">
        <f t="shared" si="1"/>
        <v>1805008.4144745748</v>
      </c>
      <c r="K8" s="28">
        <f t="shared" si="1"/>
        <v>672895.09635969391</v>
      </c>
      <c r="M8" s="154">
        <v>3.8067899960727944E-2</v>
      </c>
      <c r="N8" s="153">
        <f t="shared" si="2"/>
        <v>0</v>
      </c>
      <c r="O8" s="152">
        <f t="shared" si="3"/>
        <v>8452089.8296512775</v>
      </c>
      <c r="P8" s="151"/>
      <c r="Q8" s="164">
        <f t="shared" si="4"/>
        <v>-493866.66111978889</v>
      </c>
      <c r="R8" s="150">
        <f t="shared" si="5"/>
        <v>2764.8314784596919</v>
      </c>
      <c r="S8" s="150">
        <f t="shared" si="6"/>
        <v>632.34169153729113</v>
      </c>
    </row>
    <row r="9" spans="1:19" x14ac:dyDescent="0.2">
      <c r="A9" s="20">
        <v>3599</v>
      </c>
      <c r="B9" s="156" t="s">
        <v>67</v>
      </c>
      <c r="C9" s="155">
        <f t="shared" si="0"/>
        <v>7940032.4143828778</v>
      </c>
      <c r="D9" s="30">
        <f t="shared" si="1"/>
        <v>110945.12708384522</v>
      </c>
      <c r="E9" s="29">
        <f t="shared" si="1"/>
        <v>1673607.2420598052</v>
      </c>
      <c r="F9" s="29">
        <f t="shared" si="1"/>
        <v>0</v>
      </c>
      <c r="G9" s="28">
        <f t="shared" si="1"/>
        <v>110389.68474864107</v>
      </c>
      <c r="H9" s="43">
        <f t="shared" si="1"/>
        <v>3519354.3058476872</v>
      </c>
      <c r="I9" s="30">
        <f t="shared" si="1"/>
        <v>525742.29601825261</v>
      </c>
      <c r="J9" s="29">
        <f t="shared" si="1"/>
        <v>665670.76250307134</v>
      </c>
      <c r="K9" s="28">
        <f t="shared" si="1"/>
        <v>1334322.9961215742</v>
      </c>
      <c r="M9" s="154">
        <v>3.6041180893975448E-2</v>
      </c>
      <c r="N9" s="153">
        <f t="shared" si="2"/>
        <v>0</v>
      </c>
      <c r="O9" s="152">
        <f t="shared" si="3"/>
        <v>7940032.4143828778</v>
      </c>
      <c r="P9" s="151"/>
      <c r="Q9" s="164">
        <f t="shared" si="4"/>
        <v>-529645.09570135269</v>
      </c>
      <c r="R9" s="150">
        <f t="shared" si="5"/>
        <v>3077.5319435592551</v>
      </c>
      <c r="S9" s="150">
        <f t="shared" si="6"/>
        <v>630.66294115289156</v>
      </c>
    </row>
    <row r="10" spans="1:19" x14ac:dyDescent="0.2">
      <c r="A10" s="20">
        <v>30646</v>
      </c>
      <c r="B10" s="156" t="s">
        <v>66</v>
      </c>
      <c r="C10" s="155">
        <f t="shared" si="0"/>
        <v>2993084.9459608304</v>
      </c>
      <c r="D10" s="30">
        <f t="shared" si="1"/>
        <v>93916.340136092243</v>
      </c>
      <c r="E10" s="29">
        <f t="shared" si="1"/>
        <v>945440.93285526126</v>
      </c>
      <c r="F10" s="29">
        <f t="shared" si="1"/>
        <v>37047.541166627074</v>
      </c>
      <c r="G10" s="28">
        <f t="shared" si="1"/>
        <v>45104.641077967521</v>
      </c>
      <c r="H10" s="43">
        <f t="shared" si="1"/>
        <v>1409748.481743692</v>
      </c>
      <c r="I10" s="30">
        <f t="shared" si="1"/>
        <v>342209.81447024818</v>
      </c>
      <c r="J10" s="29">
        <f t="shared" si="1"/>
        <v>119617.19451094166</v>
      </c>
      <c r="K10" s="28">
        <f t="shared" si="1"/>
        <v>0</v>
      </c>
      <c r="M10" s="154">
        <v>1.3127311227878089E-2</v>
      </c>
      <c r="N10" s="153">
        <f t="shared" si="2"/>
        <v>0</v>
      </c>
      <c r="O10" s="152">
        <f t="shared" si="3"/>
        <v>2993084.9459608304</v>
      </c>
      <c r="P10" s="151"/>
      <c r="Q10" s="164">
        <f t="shared" si="4"/>
        <v>-91833.192590520252</v>
      </c>
      <c r="R10" s="150">
        <f t="shared" si="5"/>
        <v>2740.9202801839106</v>
      </c>
      <c r="S10" s="150">
        <f t="shared" si="6"/>
        <v>944.55501643281571</v>
      </c>
    </row>
    <row r="11" spans="1:19" x14ac:dyDescent="0.2">
      <c r="A11" s="20">
        <v>9930</v>
      </c>
      <c r="B11" s="156" t="s">
        <v>65</v>
      </c>
      <c r="C11" s="155">
        <f t="shared" si="0"/>
        <v>1384354.2042781066</v>
      </c>
      <c r="D11" s="30">
        <f t="shared" si="1"/>
        <v>22934.393195626923</v>
      </c>
      <c r="E11" s="29">
        <f t="shared" si="1"/>
        <v>356400.47026004235</v>
      </c>
      <c r="F11" s="29">
        <f t="shared" si="1"/>
        <v>24860.71162433182</v>
      </c>
      <c r="G11" s="28">
        <f t="shared" si="1"/>
        <v>0</v>
      </c>
      <c r="H11" s="43">
        <f t="shared" si="1"/>
        <v>600522.75183174363</v>
      </c>
      <c r="I11" s="30">
        <f t="shared" si="1"/>
        <v>101355.68392892371</v>
      </c>
      <c r="J11" s="29">
        <f t="shared" si="1"/>
        <v>211426.43727218566</v>
      </c>
      <c r="K11" s="28">
        <f t="shared" si="1"/>
        <v>66853.756165252475</v>
      </c>
      <c r="M11" s="154">
        <v>6.658597974462911E-3</v>
      </c>
      <c r="N11" s="153">
        <f t="shared" si="2"/>
        <v>0</v>
      </c>
      <c r="O11" s="152">
        <f t="shared" si="3"/>
        <v>1384354.2042781066</v>
      </c>
      <c r="P11" s="151"/>
      <c r="Q11" s="164">
        <f t="shared" si="4"/>
        <v>-180416.31972067757</v>
      </c>
      <c r="R11" s="150">
        <f t="shared" si="5"/>
        <v>2595.6641330214497</v>
      </c>
      <c r="S11" s="150">
        <f t="shared" si="6"/>
        <v>600.25186391330772</v>
      </c>
    </row>
    <row r="12" spans="1:19" x14ac:dyDescent="0.2">
      <c r="A12" s="20">
        <v>10115</v>
      </c>
      <c r="B12" s="156" t="s">
        <v>64</v>
      </c>
      <c r="C12" s="155">
        <f t="shared" si="0"/>
        <v>11369532.801719192</v>
      </c>
      <c r="D12" s="30">
        <f t="shared" si="1"/>
        <v>177153.85344047067</v>
      </c>
      <c r="E12" s="29">
        <f t="shared" si="1"/>
        <v>2614495.6203589463</v>
      </c>
      <c r="F12" s="29">
        <f t="shared" si="1"/>
        <v>0</v>
      </c>
      <c r="G12" s="28">
        <f t="shared" si="1"/>
        <v>180913.94720489136</v>
      </c>
      <c r="H12" s="43">
        <f t="shared" si="1"/>
        <v>4701335.595167309</v>
      </c>
      <c r="I12" s="30">
        <f t="shared" si="1"/>
        <v>878487.59736274183</v>
      </c>
      <c r="J12" s="29">
        <f t="shared" si="1"/>
        <v>1917315.2711544107</v>
      </c>
      <c r="K12" s="28">
        <f t="shared" si="1"/>
        <v>899830.91703042213</v>
      </c>
      <c r="M12" s="154">
        <v>5.1993931386758195E-2</v>
      </c>
      <c r="N12" s="153">
        <f t="shared" si="2"/>
        <v>0</v>
      </c>
      <c r="O12" s="152">
        <f t="shared" si="3"/>
        <v>11369532.801719192</v>
      </c>
      <c r="P12" s="151"/>
      <c r="Q12" s="164">
        <f t="shared" si="4"/>
        <v>-849041.07416898385</v>
      </c>
      <c r="R12" s="150">
        <f t="shared" si="5"/>
        <v>2759.8186265197487</v>
      </c>
      <c r="S12" s="150">
        <f t="shared" si="6"/>
        <v>558.61582932977944</v>
      </c>
    </row>
    <row r="13" spans="1:19" x14ac:dyDescent="0.2">
      <c r="A13" s="20">
        <v>11163</v>
      </c>
      <c r="B13" s="156" t="s">
        <v>63</v>
      </c>
      <c r="C13" s="155">
        <f t="shared" si="0"/>
        <v>3145087.0832485072</v>
      </c>
      <c r="D13" s="30">
        <f t="shared" si="1"/>
        <v>51172.364817742564</v>
      </c>
      <c r="E13" s="29">
        <f t="shared" si="1"/>
        <v>923575.89768555714</v>
      </c>
      <c r="F13" s="29">
        <f t="shared" si="1"/>
        <v>0</v>
      </c>
      <c r="G13" s="28">
        <f t="shared" si="1"/>
        <v>50799.537588356376</v>
      </c>
      <c r="H13" s="43">
        <f t="shared" si="1"/>
        <v>1418277.209213316</v>
      </c>
      <c r="I13" s="30">
        <f t="shared" si="1"/>
        <v>185295.56302491823</v>
      </c>
      <c r="J13" s="29">
        <f t="shared" si="1"/>
        <v>382717.68645202415</v>
      </c>
      <c r="K13" s="28">
        <f t="shared" si="1"/>
        <v>133248.8244665924</v>
      </c>
      <c r="M13" s="154">
        <v>1.2069401585431769E-2</v>
      </c>
      <c r="N13" s="153">
        <f t="shared" si="2"/>
        <v>0</v>
      </c>
      <c r="O13" s="152">
        <f t="shared" si="3"/>
        <v>3145087.0832485072</v>
      </c>
      <c r="P13" s="151"/>
      <c r="Q13" s="164">
        <f t="shared" si="4"/>
        <v>308777.7106720414</v>
      </c>
      <c r="R13" s="150">
        <f t="shared" si="5"/>
        <v>2642.9303220575689</v>
      </c>
      <c r="S13" s="150">
        <f t="shared" si="6"/>
        <v>773.20883707028941</v>
      </c>
    </row>
    <row r="14" spans="1:19" x14ac:dyDescent="0.2">
      <c r="A14" s="20">
        <v>3632</v>
      </c>
      <c r="B14" s="156" t="s">
        <v>62</v>
      </c>
      <c r="C14" s="155">
        <f t="shared" si="0"/>
        <v>25495284.83212956</v>
      </c>
      <c r="D14" s="30">
        <f t="shared" si="1"/>
        <v>375823.03449758887</v>
      </c>
      <c r="E14" s="29">
        <f t="shared" si="1"/>
        <v>11057966.418367388</v>
      </c>
      <c r="F14" s="29">
        <f t="shared" si="1"/>
        <v>0</v>
      </c>
      <c r="G14" s="28">
        <f t="shared" si="1"/>
        <v>432273.53489937168</v>
      </c>
      <c r="H14" s="43">
        <f t="shared" si="1"/>
        <v>4483903.2136770189</v>
      </c>
      <c r="I14" s="30">
        <f t="shared" si="1"/>
        <v>1297885.9789320219</v>
      </c>
      <c r="J14" s="29">
        <f t="shared" si="1"/>
        <v>1915165.1717923207</v>
      </c>
      <c r="K14" s="28">
        <f t="shared" si="1"/>
        <v>5932267.4799638484</v>
      </c>
      <c r="M14" s="154">
        <v>0.10514316433214833</v>
      </c>
      <c r="N14" s="153">
        <f t="shared" si="2"/>
        <v>0</v>
      </c>
      <c r="O14" s="152">
        <f t="shared" si="3"/>
        <v>25495284.83212956</v>
      </c>
      <c r="P14" s="151"/>
      <c r="Q14" s="164">
        <f t="shared" si="4"/>
        <v>786641.21407470107</v>
      </c>
      <c r="R14" s="150">
        <f t="shared" si="5"/>
        <v>2917.19190268083</v>
      </c>
      <c r="S14" s="150">
        <f t="shared" si="6"/>
        <v>736.35427112850255</v>
      </c>
    </row>
    <row r="15" spans="1:19" x14ac:dyDescent="0.2">
      <c r="A15" s="20">
        <v>10298</v>
      </c>
      <c r="B15" s="156" t="s">
        <v>61</v>
      </c>
      <c r="C15" s="155">
        <f t="shared" si="0"/>
        <v>1266864.2217574373</v>
      </c>
      <c r="D15" s="30">
        <f t="shared" si="1"/>
        <v>0</v>
      </c>
      <c r="E15" s="29">
        <f t="shared" si="1"/>
        <v>389946.46384732833</v>
      </c>
      <c r="F15" s="29">
        <f t="shared" si="1"/>
        <v>26445.095195655369</v>
      </c>
      <c r="G15" s="28">
        <f t="shared" si="1"/>
        <v>22705.909303415414</v>
      </c>
      <c r="H15" s="43">
        <f t="shared" si="1"/>
        <v>356701.48417073494</v>
      </c>
      <c r="I15" s="30">
        <f t="shared" si="1"/>
        <v>114621.79699301918</v>
      </c>
      <c r="J15" s="29">
        <f t="shared" si="1"/>
        <v>102559.73957169412</v>
      </c>
      <c r="K15" s="28">
        <f t="shared" si="1"/>
        <v>253883.73267559006</v>
      </c>
      <c r="M15" s="154">
        <v>7.0859752523080169E-3</v>
      </c>
      <c r="N15" s="153">
        <f t="shared" si="2"/>
        <v>0</v>
      </c>
      <c r="O15" s="152">
        <f t="shared" si="3"/>
        <v>1266864.2217574373</v>
      </c>
      <c r="P15" s="151"/>
      <c r="Q15" s="164">
        <f t="shared" si="4"/>
        <v>-398339.96253494662</v>
      </c>
      <c r="R15" s="150">
        <f t="shared" si="5"/>
        <v>4601.2017739374242</v>
      </c>
      <c r="S15" s="150">
        <f t="shared" si="6"/>
        <v>754.56493513189173</v>
      </c>
    </row>
    <row r="16" spans="1:19" x14ac:dyDescent="0.2">
      <c r="A16" s="20">
        <v>3630</v>
      </c>
      <c r="B16" s="156" t="s">
        <v>60</v>
      </c>
      <c r="C16" s="155">
        <f t="shared" si="0"/>
        <v>3004068.8508470091</v>
      </c>
      <c r="D16" s="30">
        <f t="shared" si="1"/>
        <v>40264.194054072512</v>
      </c>
      <c r="E16" s="29">
        <f t="shared" si="1"/>
        <v>209508.02306135729</v>
      </c>
      <c r="F16" s="29">
        <f t="shared" si="1"/>
        <v>0</v>
      </c>
      <c r="G16" s="28">
        <f t="shared" si="1"/>
        <v>44569.409676764299</v>
      </c>
      <c r="H16" s="43">
        <f t="shared" si="1"/>
        <v>1208069.1615796478</v>
      </c>
      <c r="I16" s="30">
        <f t="shared" si="1"/>
        <v>215181.94415796958</v>
      </c>
      <c r="J16" s="29">
        <f t="shared" si="1"/>
        <v>507853.46932566352</v>
      </c>
      <c r="K16" s="28">
        <f t="shared" si="1"/>
        <v>778622.6489915339</v>
      </c>
      <c r="M16" s="154">
        <v>1.5279410782616385E-2</v>
      </c>
      <c r="N16" s="153">
        <f t="shared" si="2"/>
        <v>0</v>
      </c>
      <c r="O16" s="152">
        <f t="shared" si="3"/>
        <v>3004068.8508470091</v>
      </c>
      <c r="P16" s="151"/>
      <c r="Q16" s="164">
        <f t="shared" si="4"/>
        <v>-586592.68306784146</v>
      </c>
      <c r="R16" s="150">
        <f t="shared" si="5"/>
        <v>3208.3326993738083</v>
      </c>
      <c r="S16" s="150">
        <f t="shared" si="6"/>
        <v>507.67655716249715</v>
      </c>
    </row>
    <row r="17" spans="1:19" x14ac:dyDescent="0.2">
      <c r="A17" s="20">
        <v>3631</v>
      </c>
      <c r="B17" s="156" t="s">
        <v>59</v>
      </c>
      <c r="C17" s="155">
        <f t="shared" si="0"/>
        <v>4201037.5033300519</v>
      </c>
      <c r="D17" s="30">
        <f t="shared" si="1"/>
        <v>66452.404284328994</v>
      </c>
      <c r="E17" s="29">
        <f t="shared" si="1"/>
        <v>1111748.7236768242</v>
      </c>
      <c r="F17" s="29">
        <f t="shared" si="1"/>
        <v>0</v>
      </c>
      <c r="G17" s="28">
        <f t="shared" si="1"/>
        <v>67137.784290985132</v>
      </c>
      <c r="H17" s="43">
        <f t="shared" si="1"/>
        <v>1798558.1163883046</v>
      </c>
      <c r="I17" s="30">
        <f t="shared" si="1"/>
        <v>277921.84354375652</v>
      </c>
      <c r="J17" s="29">
        <f t="shared" si="1"/>
        <v>285676.5352430279</v>
      </c>
      <c r="K17" s="28">
        <f t="shared" si="1"/>
        <v>593542.09590282466</v>
      </c>
      <c r="M17" s="154">
        <v>1.9985241623354359E-2</v>
      </c>
      <c r="N17" s="153">
        <f t="shared" si="2"/>
        <v>0</v>
      </c>
      <c r="O17" s="152">
        <f t="shared" si="3"/>
        <v>4201037.5033300519</v>
      </c>
      <c r="P17" s="151"/>
      <c r="Q17" s="164">
        <f t="shared" si="4"/>
        <v>-495494.27815822233</v>
      </c>
      <c r="R17" s="150">
        <f t="shared" si="5"/>
        <v>2718.5316026725964</v>
      </c>
      <c r="S17" s="150">
        <f t="shared" si="6"/>
        <v>667.66504788996622</v>
      </c>
    </row>
    <row r="18" spans="1:19" x14ac:dyDescent="0.2">
      <c r="A18" s="64">
        <v>103631</v>
      </c>
      <c r="B18" s="156" t="s">
        <v>58</v>
      </c>
      <c r="C18" s="155">
        <f t="shared" si="0"/>
        <v>1256499.0398402242</v>
      </c>
      <c r="D18" s="30">
        <f t="shared" si="1"/>
        <v>39590.496253950965</v>
      </c>
      <c r="E18" s="29">
        <f t="shared" si="1"/>
        <v>264939.60093143984</v>
      </c>
      <c r="F18" s="29">
        <f t="shared" si="1"/>
        <v>363301.48035576072</v>
      </c>
      <c r="G18" s="28">
        <f t="shared" si="1"/>
        <v>18353.606504694108</v>
      </c>
      <c r="H18" s="43">
        <f t="shared" si="1"/>
        <v>492157.74398240645</v>
      </c>
      <c r="I18" s="30">
        <f t="shared" si="1"/>
        <v>63857.951054073696</v>
      </c>
      <c r="J18" s="29">
        <f t="shared" si="1"/>
        <v>14298.160757898657</v>
      </c>
      <c r="K18" s="28">
        <f t="shared" si="1"/>
        <v>0</v>
      </c>
      <c r="M18" s="154">
        <v>3.4527219750504121E-3</v>
      </c>
      <c r="N18" s="153">
        <f t="shared" si="2"/>
        <v>0</v>
      </c>
      <c r="O18" s="152">
        <f t="shared" si="3"/>
        <v>1256499.0398402242</v>
      </c>
      <c r="P18" s="151"/>
      <c r="Q18" s="164">
        <f t="shared" si="4"/>
        <v>445109.3757033773</v>
      </c>
      <c r="R18" s="150">
        <f t="shared" si="5"/>
        <v>2729.5417230417615</v>
      </c>
      <c r="S18" s="150">
        <f t="shared" si="6"/>
        <v>1844.8385524098696</v>
      </c>
    </row>
    <row r="19" spans="1:19" x14ac:dyDescent="0.2">
      <c r="A19" s="20">
        <v>11161</v>
      </c>
      <c r="B19" s="156" t="s">
        <v>57</v>
      </c>
      <c r="C19" s="155">
        <f t="shared" si="0"/>
        <v>4005362.7656545164</v>
      </c>
      <c r="D19" s="30">
        <f t="shared" si="1"/>
        <v>59701.092287366322</v>
      </c>
      <c r="E19" s="29">
        <f t="shared" si="1"/>
        <v>1061485.4208693733</v>
      </c>
      <c r="F19" s="29">
        <f t="shared" si="1"/>
        <v>0</v>
      </c>
      <c r="G19" s="28">
        <f t="shared" si="1"/>
        <v>60293.086311728737</v>
      </c>
      <c r="H19" s="43">
        <f t="shared" si="1"/>
        <v>1625475.1177400576</v>
      </c>
      <c r="I19" s="30">
        <f t="shared" si="1"/>
        <v>264978.24538397451</v>
      </c>
      <c r="J19" s="29">
        <f t="shared" si="1"/>
        <v>631269.17270963092</v>
      </c>
      <c r="K19" s="28">
        <f t="shared" si="1"/>
        <v>302160.6303523847</v>
      </c>
      <c r="M19" s="154">
        <v>1.9224284187157891E-2</v>
      </c>
      <c r="N19" s="153">
        <f t="shared" si="2"/>
        <v>0</v>
      </c>
      <c r="O19" s="152">
        <f t="shared" si="3"/>
        <v>4005362.7656545164</v>
      </c>
      <c r="P19" s="151"/>
      <c r="Q19" s="164">
        <f t="shared" si="4"/>
        <v>-512344.01832758822</v>
      </c>
      <c r="R19" s="150">
        <f t="shared" si="5"/>
        <v>2885.015197350192</v>
      </c>
      <c r="S19" s="150">
        <f t="shared" si="6"/>
        <v>616.71567937608029</v>
      </c>
    </row>
    <row r="20" spans="1:19" x14ac:dyDescent="0.2">
      <c r="A20" s="20">
        <v>3639</v>
      </c>
      <c r="B20" s="156" t="s">
        <v>56</v>
      </c>
      <c r="C20" s="155">
        <f t="shared" si="0"/>
        <v>2239426.2912477423</v>
      </c>
      <c r="D20" s="30">
        <f t="shared" si="1"/>
        <v>32753.180282504698</v>
      </c>
      <c r="E20" s="29">
        <f t="shared" si="1"/>
        <v>184487.74680458813</v>
      </c>
      <c r="F20" s="29">
        <f t="shared" si="1"/>
        <v>0</v>
      </c>
      <c r="G20" s="28">
        <f t="shared" si="1"/>
        <v>37915.998870755393</v>
      </c>
      <c r="H20" s="43">
        <f t="shared" si="1"/>
        <v>975786.76049518911</v>
      </c>
      <c r="I20" s="30">
        <f t="shared" si="1"/>
        <v>158333.31702430936</v>
      </c>
      <c r="J20" s="29">
        <f t="shared" si="1"/>
        <v>369673.75032201136</v>
      </c>
      <c r="K20" s="28">
        <f t="shared" si="1"/>
        <v>480475.53744838393</v>
      </c>
      <c r="M20" s="154">
        <v>1.296528221607569E-2</v>
      </c>
      <c r="N20" s="153">
        <f t="shared" si="2"/>
        <v>0</v>
      </c>
      <c r="O20" s="152">
        <f t="shared" si="3"/>
        <v>2239426.2912477423</v>
      </c>
      <c r="P20" s="151"/>
      <c r="Q20" s="164">
        <f t="shared" si="4"/>
        <v>-807415.02953004511</v>
      </c>
      <c r="R20" s="150">
        <f t="shared" si="5"/>
        <v>2940.1658090779988</v>
      </c>
      <c r="S20" s="150">
        <f t="shared" si="6"/>
        <v>525.68692282810855</v>
      </c>
    </row>
    <row r="21" spans="1:19" x14ac:dyDescent="0.2">
      <c r="A21" s="64">
        <v>103639</v>
      </c>
      <c r="B21" s="156" t="s">
        <v>55</v>
      </c>
      <c r="C21" s="155">
        <f t="shared" si="0"/>
        <v>1452460.5453753057</v>
      </c>
      <c r="D21" s="30">
        <f t="shared" ref="D21:K36" si="7">D64/$C$86*$C$43</f>
        <v>50541.669004862815</v>
      </c>
      <c r="E21" s="29">
        <f t="shared" si="7"/>
        <v>355855.46785173833</v>
      </c>
      <c r="F21" s="29">
        <f t="shared" si="7"/>
        <v>89440.913657696277</v>
      </c>
      <c r="G21" s="28">
        <f t="shared" si="7"/>
        <v>22060.306134958686</v>
      </c>
      <c r="H21" s="43">
        <f t="shared" si="7"/>
        <v>737985.77104803233</v>
      </c>
      <c r="I21" s="30">
        <f t="shared" si="7"/>
        <v>188262.70014460248</v>
      </c>
      <c r="J21" s="29">
        <f t="shared" si="7"/>
        <v>8313.717533414756</v>
      </c>
      <c r="K21" s="28">
        <f t="shared" si="7"/>
        <v>0</v>
      </c>
      <c r="M21" s="154">
        <v>5.939285915308113E-3</v>
      </c>
      <c r="N21" s="153">
        <f t="shared" si="2"/>
        <v>0</v>
      </c>
      <c r="O21" s="152">
        <f t="shared" si="3"/>
        <v>1452460.5453753057</v>
      </c>
      <c r="P21" s="151"/>
      <c r="Q21" s="164">
        <f t="shared" si="4"/>
        <v>56728.355277899187</v>
      </c>
      <c r="R21" s="150">
        <f t="shared" si="5"/>
        <v>2471.5721135144172</v>
      </c>
      <c r="S21" s="150">
        <f t="shared" si="6"/>
        <v>1028.1369870680294</v>
      </c>
    </row>
    <row r="22" spans="1:19" x14ac:dyDescent="0.2">
      <c r="A22" s="20">
        <v>9651</v>
      </c>
      <c r="B22" s="156" t="s">
        <v>54</v>
      </c>
      <c r="C22" s="155">
        <f t="shared" si="0"/>
        <v>2481661.5739492937</v>
      </c>
      <c r="D22" s="30">
        <f t="shared" si="7"/>
        <v>33957.235925275105</v>
      </c>
      <c r="E22" s="29">
        <f t="shared" si="7"/>
        <v>562558.20849539083</v>
      </c>
      <c r="F22" s="29">
        <f t="shared" si="7"/>
        <v>0</v>
      </c>
      <c r="G22" s="28">
        <f t="shared" si="7"/>
        <v>31359.127526104363</v>
      </c>
      <c r="H22" s="43">
        <f t="shared" si="7"/>
        <v>1072612.9017679763</v>
      </c>
      <c r="I22" s="30">
        <f t="shared" si="7"/>
        <v>181468.38616039799</v>
      </c>
      <c r="J22" s="29">
        <f t="shared" si="7"/>
        <v>436756.85041922011</v>
      </c>
      <c r="K22" s="28">
        <f t="shared" si="7"/>
        <v>162948.86365492927</v>
      </c>
      <c r="M22" s="154">
        <v>1.0886031395541047E-2</v>
      </c>
      <c r="N22" s="153">
        <f t="shared" si="2"/>
        <v>0</v>
      </c>
      <c r="O22" s="152">
        <f t="shared" si="3"/>
        <v>2481661.5739492937</v>
      </c>
      <c r="P22" s="151"/>
      <c r="Q22" s="164">
        <f t="shared" si="4"/>
        <v>-76555.804002852179</v>
      </c>
      <c r="R22" s="150">
        <f t="shared" si="5"/>
        <v>3142.6697854993167</v>
      </c>
      <c r="S22" s="150">
        <f t="shared" si="6"/>
        <v>607.35721339923975</v>
      </c>
    </row>
    <row r="23" spans="1:19" x14ac:dyDescent="0.2">
      <c r="A23" s="20">
        <v>3665</v>
      </c>
      <c r="B23" s="156" t="s">
        <v>53</v>
      </c>
      <c r="C23" s="155">
        <f t="shared" si="0"/>
        <v>3315946.4730264731</v>
      </c>
      <c r="D23" s="30">
        <f t="shared" si="7"/>
        <v>53996.161979954129</v>
      </c>
      <c r="E23" s="29">
        <f t="shared" si="7"/>
        <v>889496.77501644439</v>
      </c>
      <c r="F23" s="29">
        <f t="shared" si="7"/>
        <v>0</v>
      </c>
      <c r="G23" s="28">
        <f t="shared" si="7"/>
        <v>53829.385939435044</v>
      </c>
      <c r="H23" s="43">
        <f t="shared" si="7"/>
        <v>1338508.5228797761</v>
      </c>
      <c r="I23" s="30">
        <f t="shared" si="7"/>
        <v>231135.68142467755</v>
      </c>
      <c r="J23" s="29">
        <f t="shared" si="7"/>
        <v>521470.76528556703</v>
      </c>
      <c r="K23" s="28">
        <f t="shared" si="7"/>
        <v>227509.18050061906</v>
      </c>
      <c r="M23" s="154">
        <v>1.5183466872892367E-2</v>
      </c>
      <c r="N23" s="153">
        <f t="shared" si="2"/>
        <v>0</v>
      </c>
      <c r="O23" s="152">
        <f t="shared" si="3"/>
        <v>3315946.4730264731</v>
      </c>
      <c r="P23" s="151"/>
      <c r="Q23" s="164">
        <f t="shared" si="4"/>
        <v>-252168.24210323347</v>
      </c>
      <c r="R23" s="150">
        <f t="shared" si="5"/>
        <v>2640.7856169576371</v>
      </c>
      <c r="S23" s="150">
        <f t="shared" si="6"/>
        <v>612.33802362144274</v>
      </c>
    </row>
    <row r="24" spans="1:19" x14ac:dyDescent="0.2">
      <c r="A24" s="20">
        <v>3565</v>
      </c>
      <c r="B24" s="156" t="s">
        <v>52</v>
      </c>
      <c r="C24" s="155">
        <f t="shared" si="0"/>
        <v>3410816.4300096389</v>
      </c>
      <c r="D24" s="30">
        <f t="shared" si="7"/>
        <v>56948.965103891096</v>
      </c>
      <c r="E24" s="29">
        <f t="shared" si="7"/>
        <v>877014.06259992276</v>
      </c>
      <c r="F24" s="29">
        <f t="shared" si="7"/>
        <v>0</v>
      </c>
      <c r="G24" s="28">
        <f t="shared" si="7"/>
        <v>53791.759200598637</v>
      </c>
      <c r="H24" s="43">
        <f t="shared" si="7"/>
        <v>1534167.5648299684</v>
      </c>
      <c r="I24" s="30">
        <f t="shared" si="7"/>
        <v>244208.2855461849</v>
      </c>
      <c r="J24" s="29">
        <f t="shared" si="7"/>
        <v>489075.93489674403</v>
      </c>
      <c r="K24" s="28">
        <f t="shared" si="7"/>
        <v>155609.85783232865</v>
      </c>
      <c r="M24" s="154">
        <v>1.411122580581306E-2</v>
      </c>
      <c r="N24" s="153">
        <f t="shared" si="2"/>
        <v>0</v>
      </c>
      <c r="O24" s="152">
        <f t="shared" si="3"/>
        <v>3410816.4300096389</v>
      </c>
      <c r="P24" s="151"/>
      <c r="Q24" s="164">
        <f t="shared" si="4"/>
        <v>94678.365643569734</v>
      </c>
      <c r="R24" s="150">
        <f t="shared" si="5"/>
        <v>2575.496926762879</v>
      </c>
      <c r="S24" s="150">
        <f t="shared" si="6"/>
        <v>726.17257125354251</v>
      </c>
    </row>
    <row r="25" spans="1:19" x14ac:dyDescent="0.2">
      <c r="A25" s="20">
        <v>29269</v>
      </c>
      <c r="B25" s="156" t="s">
        <v>51</v>
      </c>
      <c r="C25" s="155">
        <f t="shared" si="0"/>
        <v>931331.29331982019</v>
      </c>
      <c r="D25" s="30">
        <f t="shared" si="7"/>
        <v>14864.353589915696</v>
      </c>
      <c r="E25" s="29">
        <f t="shared" si="7"/>
        <v>281990.22668808227</v>
      </c>
      <c r="F25" s="29">
        <f t="shared" si="7"/>
        <v>166703.03091494241</v>
      </c>
      <c r="G25" s="28">
        <f t="shared" si="7"/>
        <v>13328.680955532229</v>
      </c>
      <c r="H25" s="43">
        <f t="shared" si="7"/>
        <v>359711.62327766098</v>
      </c>
      <c r="I25" s="30">
        <f t="shared" si="7"/>
        <v>55816.579439857014</v>
      </c>
      <c r="J25" s="29">
        <f t="shared" si="7"/>
        <v>38916.798453829426</v>
      </c>
      <c r="K25" s="28">
        <f t="shared" si="7"/>
        <v>0</v>
      </c>
      <c r="M25" s="154">
        <v>2.885126155730112E-3</v>
      </c>
      <c r="N25" s="153">
        <f t="shared" si="2"/>
        <v>0</v>
      </c>
      <c r="O25" s="152">
        <f t="shared" si="3"/>
        <v>931331.29331982019</v>
      </c>
      <c r="P25" s="151"/>
      <c r="Q25" s="164">
        <f t="shared" si="4"/>
        <v>253326.64672324387</v>
      </c>
      <c r="R25" s="150">
        <f t="shared" si="5"/>
        <v>2694.3046094112442</v>
      </c>
      <c r="S25" s="150">
        <f t="shared" si="6"/>
        <v>1044.483693442789</v>
      </c>
    </row>
    <row r="26" spans="1:19" x14ac:dyDescent="0.2">
      <c r="A26" s="20">
        <v>3652</v>
      </c>
      <c r="B26" s="156" t="s">
        <v>50</v>
      </c>
      <c r="C26" s="155">
        <f t="shared" si="0"/>
        <v>14204556.659969909</v>
      </c>
      <c r="D26" s="30">
        <f t="shared" si="7"/>
        <v>219252.79895019336</v>
      </c>
      <c r="E26" s="29">
        <f t="shared" si="7"/>
        <v>4115740.457626712</v>
      </c>
      <c r="F26" s="29">
        <f t="shared" si="7"/>
        <v>0</v>
      </c>
      <c r="G26" s="28">
        <f t="shared" si="7"/>
        <v>227485.81608753544</v>
      </c>
      <c r="H26" s="43">
        <f t="shared" si="7"/>
        <v>5076599.6038307548</v>
      </c>
      <c r="I26" s="30">
        <f t="shared" si="7"/>
        <v>980746.32302374346</v>
      </c>
      <c r="J26" s="29">
        <f t="shared" si="7"/>
        <v>2446956.4140159194</v>
      </c>
      <c r="K26" s="28">
        <f t="shared" si="7"/>
        <v>1137775.2464350513</v>
      </c>
      <c r="M26" s="154">
        <v>6.680079885949769E-2</v>
      </c>
      <c r="N26" s="153">
        <f t="shared" si="2"/>
        <v>300447.30988839181</v>
      </c>
      <c r="O26" s="152">
        <f t="shared" si="3"/>
        <v>14505003.969858302</v>
      </c>
      <c r="P26" s="151"/>
      <c r="Q26" s="164">
        <f t="shared" si="4"/>
        <v>-1193183.7621236555</v>
      </c>
      <c r="R26" s="150">
        <f t="shared" si="5"/>
        <v>2844.8621802807861</v>
      </c>
      <c r="S26" s="150">
        <f t="shared" si="6"/>
        <v>609.51313539654973</v>
      </c>
    </row>
    <row r="27" spans="1:19" x14ac:dyDescent="0.2">
      <c r="A27" s="20">
        <v>11711</v>
      </c>
      <c r="B27" s="156" t="s">
        <v>49</v>
      </c>
      <c r="C27" s="155">
        <f t="shared" si="0"/>
        <v>2881325.6626793831</v>
      </c>
      <c r="D27" s="30">
        <f t="shared" si="7"/>
        <v>102402.0656184742</v>
      </c>
      <c r="E27" s="29">
        <f t="shared" si="7"/>
        <v>932153.8098634209</v>
      </c>
      <c r="F27" s="29">
        <f t="shared" si="7"/>
        <v>42672.584832566623</v>
      </c>
      <c r="G27" s="28">
        <f t="shared" si="7"/>
        <v>49085.765056813347</v>
      </c>
      <c r="H27" s="43">
        <f t="shared" si="7"/>
        <v>1165425.5242315291</v>
      </c>
      <c r="I27" s="30">
        <f t="shared" si="7"/>
        <v>179490.29474727518</v>
      </c>
      <c r="J27" s="29">
        <f t="shared" si="7"/>
        <v>410095.6183293038</v>
      </c>
      <c r="K27" s="28">
        <f t="shared" si="7"/>
        <v>0</v>
      </c>
      <c r="M27" s="154">
        <v>1.0972897764284933E-2</v>
      </c>
      <c r="N27" s="153">
        <f t="shared" si="2"/>
        <v>0</v>
      </c>
      <c r="O27" s="152">
        <f t="shared" si="3"/>
        <v>2881325.6626793831</v>
      </c>
      <c r="P27" s="151"/>
      <c r="Q27" s="164">
        <f t="shared" si="4"/>
        <v>302694.68807242392</v>
      </c>
      <c r="R27" s="150">
        <f t="shared" si="5"/>
        <v>2419.9263684317325</v>
      </c>
      <c r="S27" s="150">
        <f t="shared" si="6"/>
        <v>960.55573120201097</v>
      </c>
    </row>
    <row r="28" spans="1:19" x14ac:dyDescent="0.2">
      <c r="A28" s="20">
        <v>12826</v>
      </c>
      <c r="B28" s="156" t="s">
        <v>48</v>
      </c>
      <c r="C28" s="155">
        <f t="shared" si="0"/>
        <v>5010311.968827541</v>
      </c>
      <c r="D28" s="30">
        <f t="shared" si="7"/>
        <v>102445.06760571599</v>
      </c>
      <c r="E28" s="29">
        <f t="shared" si="7"/>
        <v>272503.8798312046</v>
      </c>
      <c r="F28" s="29">
        <f t="shared" si="7"/>
        <v>0</v>
      </c>
      <c r="G28" s="28">
        <f t="shared" si="7"/>
        <v>91837.55240284602</v>
      </c>
      <c r="H28" s="43">
        <f t="shared" si="7"/>
        <v>2530021.9193713306</v>
      </c>
      <c r="I28" s="30">
        <f t="shared" si="7"/>
        <v>801213.02628922637</v>
      </c>
      <c r="J28" s="29">
        <f t="shared" si="7"/>
        <v>1004275.5770428819</v>
      </c>
      <c r="K28" s="28">
        <f t="shared" si="7"/>
        <v>208014.94628433615</v>
      </c>
      <c r="M28" s="154">
        <v>2.262163232206927E-2</v>
      </c>
      <c r="N28" s="153">
        <f t="shared" si="2"/>
        <v>0</v>
      </c>
      <c r="O28" s="152">
        <f t="shared" si="3"/>
        <v>5010311.968827541</v>
      </c>
      <c r="P28" s="151"/>
      <c r="Q28" s="164">
        <f t="shared" si="4"/>
        <v>-305771.62685873732</v>
      </c>
      <c r="R28" s="150">
        <f t="shared" si="5"/>
        <v>2103.111222398576</v>
      </c>
      <c r="S28" s="150">
        <f t="shared" si="6"/>
        <v>627.42184109430752</v>
      </c>
    </row>
    <row r="29" spans="1:19" x14ac:dyDescent="0.2">
      <c r="A29" s="20">
        <v>13231</v>
      </c>
      <c r="B29" s="156" t="s">
        <v>47</v>
      </c>
      <c r="C29" s="155">
        <f t="shared" si="0"/>
        <v>1412514.0962417256</v>
      </c>
      <c r="D29" s="30">
        <f t="shared" si="7"/>
        <v>24797.812642771605</v>
      </c>
      <c r="E29" s="29">
        <f t="shared" si="7"/>
        <v>451815.0512065076</v>
      </c>
      <c r="F29" s="29">
        <f t="shared" si="7"/>
        <v>86185.978013278305</v>
      </c>
      <c r="G29" s="28">
        <f t="shared" si="7"/>
        <v>23317.397561993912</v>
      </c>
      <c r="H29" s="43">
        <f t="shared" si="7"/>
        <v>577946.70852979831</v>
      </c>
      <c r="I29" s="30">
        <f t="shared" si="7"/>
        <v>184736.53719077483</v>
      </c>
      <c r="J29" s="29">
        <f t="shared" si="7"/>
        <v>63714.611096601024</v>
      </c>
      <c r="K29" s="28">
        <f t="shared" si="7"/>
        <v>0</v>
      </c>
      <c r="M29" s="154">
        <v>5.6229417841748381E-3</v>
      </c>
      <c r="N29" s="153">
        <f t="shared" si="2"/>
        <v>0</v>
      </c>
      <c r="O29" s="152">
        <f t="shared" si="3"/>
        <v>1412514.0962417256</v>
      </c>
      <c r="P29" s="151"/>
      <c r="Q29" s="164">
        <f t="shared" si="4"/>
        <v>91122.776960638585</v>
      </c>
      <c r="R29" s="150">
        <f t="shared" si="5"/>
        <v>2449.4464096677325</v>
      </c>
      <c r="S29" s="150">
        <f t="shared" si="6"/>
        <v>981.85199312424925</v>
      </c>
    </row>
    <row r="30" spans="1:19" x14ac:dyDescent="0.2">
      <c r="A30" s="20">
        <v>3592</v>
      </c>
      <c r="B30" s="156" t="s">
        <v>46</v>
      </c>
      <c r="C30" s="155">
        <f t="shared" si="0"/>
        <v>2685757.6774663068</v>
      </c>
      <c r="D30" s="30">
        <f t="shared" si="7"/>
        <v>44363.716837790824</v>
      </c>
      <c r="E30" s="29">
        <f t="shared" si="7"/>
        <v>682166.08590909687</v>
      </c>
      <c r="F30" s="29">
        <f t="shared" si="7"/>
        <v>0</v>
      </c>
      <c r="G30" s="28">
        <f t="shared" si="7"/>
        <v>42184.949484206343</v>
      </c>
      <c r="H30" s="43">
        <f t="shared" si="7"/>
        <v>1038999.6817406359</v>
      </c>
      <c r="I30" s="30">
        <f t="shared" si="7"/>
        <v>185510.57296112724</v>
      </c>
      <c r="J30" s="29">
        <f t="shared" si="7"/>
        <v>224900.39327461645</v>
      </c>
      <c r="K30" s="28">
        <f t="shared" si="7"/>
        <v>467632.27725883282</v>
      </c>
      <c r="M30" s="154">
        <v>1.0364568727977754E-2</v>
      </c>
      <c r="N30" s="153">
        <f t="shared" si="2"/>
        <v>0</v>
      </c>
      <c r="O30" s="152">
        <f t="shared" si="3"/>
        <v>2685757.6774663068</v>
      </c>
      <c r="P30" s="151"/>
      <c r="Q30" s="164">
        <f t="shared" si="4"/>
        <v>250084.0263915346</v>
      </c>
      <c r="R30" s="150">
        <f t="shared" si="5"/>
        <v>2603.3192350238837</v>
      </c>
      <c r="S30" s="150">
        <f t="shared" si="6"/>
        <v>627.98625905268125</v>
      </c>
    </row>
    <row r="31" spans="1:19" x14ac:dyDescent="0.2">
      <c r="A31" s="20">
        <v>3594</v>
      </c>
      <c r="B31" s="156" t="s">
        <v>45</v>
      </c>
      <c r="C31" s="155">
        <f t="shared" si="0"/>
        <v>16061326.996507313</v>
      </c>
      <c r="D31" s="30">
        <f t="shared" si="7"/>
        <v>258728.62323816621</v>
      </c>
      <c r="E31" s="29">
        <f t="shared" si="7"/>
        <v>5218987.5450858753</v>
      </c>
      <c r="F31" s="29">
        <f t="shared" si="7"/>
        <v>0</v>
      </c>
      <c r="G31" s="28">
        <f t="shared" si="7"/>
        <v>245359.73542454554</v>
      </c>
      <c r="H31" s="43">
        <f t="shared" si="7"/>
        <v>5749365.6942287227</v>
      </c>
      <c r="I31" s="30">
        <f t="shared" si="7"/>
        <v>1014588.8869830404</v>
      </c>
      <c r="J31" s="29">
        <f t="shared" si="7"/>
        <v>2426315.4601398553</v>
      </c>
      <c r="K31" s="28">
        <f t="shared" si="7"/>
        <v>1147981.0514071055</v>
      </c>
      <c r="M31" s="154">
        <v>5.9972196847224775E-2</v>
      </c>
      <c r="N31" s="153">
        <f t="shared" si="2"/>
        <v>0</v>
      </c>
      <c r="O31" s="152">
        <f t="shared" si="3"/>
        <v>16061326.996507313</v>
      </c>
      <c r="P31" s="151"/>
      <c r="Q31" s="164">
        <f t="shared" si="4"/>
        <v>1967860.7374094911</v>
      </c>
      <c r="R31" s="150">
        <f t="shared" si="5"/>
        <v>2669.4726309984453</v>
      </c>
      <c r="S31" s="150">
        <f t="shared" si="6"/>
        <v>691.04490019335492</v>
      </c>
    </row>
    <row r="32" spans="1:19" x14ac:dyDescent="0.2">
      <c r="A32" s="64">
        <v>113594</v>
      </c>
      <c r="B32" s="156" t="s">
        <v>44</v>
      </c>
      <c r="C32" s="155">
        <f t="shared" si="0"/>
        <v>1117649.6150379826</v>
      </c>
      <c r="D32" s="30">
        <f t="shared" si="7"/>
        <v>34702.603704132984</v>
      </c>
      <c r="E32" s="29">
        <f t="shared" si="7"/>
        <v>350713.18868489395</v>
      </c>
      <c r="F32" s="29">
        <f t="shared" si="7"/>
        <v>183391.71912415262</v>
      </c>
      <c r="G32" s="28">
        <f t="shared" si="7"/>
        <v>15176.691357248577</v>
      </c>
      <c r="H32" s="43">
        <f t="shared" si="7"/>
        <v>464313.95724334061</v>
      </c>
      <c r="I32" s="30">
        <f t="shared" si="7"/>
        <v>61664.849704741886</v>
      </c>
      <c r="J32" s="29">
        <f t="shared" si="7"/>
        <v>7686.6052194718341</v>
      </c>
      <c r="K32" s="28">
        <f t="shared" si="7"/>
        <v>0</v>
      </c>
      <c r="M32" s="154">
        <v>2.8602942419239919E-3</v>
      </c>
      <c r="N32" s="153">
        <f t="shared" si="2"/>
        <v>0</v>
      </c>
      <c r="O32" s="152">
        <f t="shared" si="3"/>
        <v>1117649.6150379826</v>
      </c>
      <c r="P32" s="151"/>
      <c r="Q32" s="164">
        <f t="shared" si="4"/>
        <v>445480.46818584448</v>
      </c>
      <c r="R32" s="150">
        <f t="shared" si="5"/>
        <v>2769.887521779387</v>
      </c>
      <c r="S32" s="150">
        <f t="shared" si="6"/>
        <v>1181.2813011252633</v>
      </c>
    </row>
    <row r="33" spans="1:19" x14ac:dyDescent="0.2">
      <c r="A33" s="20">
        <v>3624</v>
      </c>
      <c r="B33" s="156" t="s">
        <v>43</v>
      </c>
      <c r="C33" s="155">
        <f t="shared" si="0"/>
        <v>5727677.7136332989</v>
      </c>
      <c r="D33" s="30">
        <f t="shared" si="7"/>
        <v>82635.485482993245</v>
      </c>
      <c r="E33" s="29">
        <f t="shared" si="7"/>
        <v>1602302.0635152387</v>
      </c>
      <c r="F33" s="29">
        <f t="shared" si="7"/>
        <v>0</v>
      </c>
      <c r="G33" s="28">
        <f t="shared" si="7"/>
        <v>80021.036328670569</v>
      </c>
      <c r="H33" s="43">
        <f t="shared" si="7"/>
        <v>2197903.2379071582</v>
      </c>
      <c r="I33" s="30">
        <f t="shared" si="7"/>
        <v>357260.51000487834</v>
      </c>
      <c r="J33" s="29">
        <f t="shared" si="7"/>
        <v>446145.61763367988</v>
      </c>
      <c r="K33" s="28">
        <f t="shared" si="7"/>
        <v>961409.76276068029</v>
      </c>
      <c r="M33" s="154">
        <v>2.3435865298122357E-2</v>
      </c>
      <c r="N33" s="153">
        <f t="shared" si="2"/>
        <v>0</v>
      </c>
      <c r="O33" s="152">
        <f t="shared" si="3"/>
        <v>5727677.7136332989</v>
      </c>
      <c r="P33" s="151"/>
      <c r="Q33" s="164">
        <f t="shared" si="4"/>
        <v>220249.36857454479</v>
      </c>
      <c r="R33" s="150">
        <f t="shared" si="5"/>
        <v>2980.5781684128178</v>
      </c>
      <c r="S33" s="150">
        <f t="shared" si="6"/>
        <v>603.79194316291432</v>
      </c>
    </row>
    <row r="34" spans="1:19" x14ac:dyDescent="0.2">
      <c r="A34" s="20">
        <v>3642</v>
      </c>
      <c r="B34" s="156" t="s">
        <v>42</v>
      </c>
      <c r="C34" s="155">
        <f t="shared" si="0"/>
        <v>2561409.9776788517</v>
      </c>
      <c r="D34" s="30">
        <f t="shared" si="7"/>
        <v>32609.84032503203</v>
      </c>
      <c r="E34" s="29">
        <f t="shared" si="7"/>
        <v>65589.258840414404</v>
      </c>
      <c r="F34" s="29">
        <f t="shared" si="7"/>
        <v>0</v>
      </c>
      <c r="G34" s="28">
        <f t="shared" si="7"/>
        <v>32007.525823731914</v>
      </c>
      <c r="H34" s="43">
        <f t="shared" si="7"/>
        <v>1002878.0124575235</v>
      </c>
      <c r="I34" s="30">
        <f t="shared" si="7"/>
        <v>211225.76133172392</v>
      </c>
      <c r="J34" s="29">
        <f t="shared" si="7"/>
        <v>487212.51544959936</v>
      </c>
      <c r="K34" s="28">
        <f t="shared" si="7"/>
        <v>729887.06345082656</v>
      </c>
      <c r="M34" s="154">
        <v>1.3524899052819646E-2</v>
      </c>
      <c r="N34" s="153">
        <f t="shared" si="2"/>
        <v>0</v>
      </c>
      <c r="O34" s="152">
        <f t="shared" si="3"/>
        <v>2561409.9776788517</v>
      </c>
      <c r="P34" s="151"/>
      <c r="Q34" s="164">
        <f t="shared" si="4"/>
        <v>-616941.29973376496</v>
      </c>
      <c r="R34" s="150">
        <f t="shared" si="5"/>
        <v>3377.6834870490352</v>
      </c>
      <c r="S34" s="150">
        <f t="shared" si="6"/>
        <v>436.85880777251998</v>
      </c>
    </row>
    <row r="35" spans="1:19" x14ac:dyDescent="0.2">
      <c r="A35" s="20">
        <v>3644</v>
      </c>
      <c r="B35" s="156" t="s">
        <v>41</v>
      </c>
      <c r="C35" s="155">
        <f t="shared" si="0"/>
        <v>14435520.715685509</v>
      </c>
      <c r="D35" s="30">
        <f t="shared" si="7"/>
        <v>200991.28836817542</v>
      </c>
      <c r="E35" s="29">
        <f t="shared" si="7"/>
        <v>5149396.8079926539</v>
      </c>
      <c r="F35" s="29">
        <f t="shared" si="7"/>
        <v>0</v>
      </c>
      <c r="G35" s="28">
        <f t="shared" si="7"/>
        <v>217764.5001717406</v>
      </c>
      <c r="H35" s="43">
        <f t="shared" si="7"/>
        <v>4181083.2195202601</v>
      </c>
      <c r="I35" s="30">
        <f t="shared" si="7"/>
        <v>836646.66377647</v>
      </c>
      <c r="J35" s="29">
        <f t="shared" si="7"/>
        <v>1134894.1132898508</v>
      </c>
      <c r="K35" s="28">
        <f t="shared" si="7"/>
        <v>2714744.1225663582</v>
      </c>
      <c r="M35" s="154">
        <v>6.3345925146063756E-2</v>
      </c>
      <c r="N35" s="153">
        <f t="shared" si="2"/>
        <v>0</v>
      </c>
      <c r="O35" s="152">
        <f t="shared" si="3"/>
        <v>14435520.715685509</v>
      </c>
      <c r="P35" s="151"/>
      <c r="Q35" s="164">
        <f t="shared" si="4"/>
        <v>-450771.69363947399</v>
      </c>
      <c r="R35" s="150">
        <f t="shared" si="5"/>
        <v>3088.4725536340411</v>
      </c>
      <c r="S35" s="150">
        <f t="shared" si="6"/>
        <v>650.47071343256107</v>
      </c>
    </row>
    <row r="36" spans="1:19" x14ac:dyDescent="0.2">
      <c r="A36" s="20">
        <v>3541</v>
      </c>
      <c r="B36" s="19" t="s">
        <v>40</v>
      </c>
      <c r="C36" s="54">
        <f t="shared" si="0"/>
        <v>2709125.6023633094</v>
      </c>
      <c r="D36" s="15">
        <f t="shared" si="7"/>
        <v>42629.303352371535</v>
      </c>
      <c r="E36" s="14">
        <f t="shared" si="7"/>
        <v>641073.67358074733</v>
      </c>
      <c r="F36" s="14">
        <f t="shared" si="7"/>
        <v>0</v>
      </c>
      <c r="G36" s="13">
        <f t="shared" si="7"/>
        <v>42514.989736287192</v>
      </c>
      <c r="H36" s="16">
        <f t="shared" si="7"/>
        <v>1088165.2871537609</v>
      </c>
      <c r="I36" s="15">
        <f t="shared" si="7"/>
        <v>185596.57693561085</v>
      </c>
      <c r="J36" s="14">
        <f t="shared" si="7"/>
        <v>222248.60406137211</v>
      </c>
      <c r="K36" s="13">
        <f t="shared" si="7"/>
        <v>486897.16754315951</v>
      </c>
      <c r="M36" s="72">
        <v>1.2561069385453944E-2</v>
      </c>
      <c r="N36" s="98">
        <f t="shared" si="2"/>
        <v>0</v>
      </c>
      <c r="O36" s="132">
        <f t="shared" si="3"/>
        <v>2709125.6023633094</v>
      </c>
      <c r="Q36" s="163">
        <f t="shared" si="4"/>
        <v>-242725.70321836742</v>
      </c>
      <c r="R36" s="148">
        <f t="shared" si="5"/>
        <v>2732.8099553093234</v>
      </c>
      <c r="S36" s="148">
        <f t="shared" si="6"/>
        <v>554.91621045076249</v>
      </c>
    </row>
    <row r="37" spans="1:19" x14ac:dyDescent="0.2">
      <c r="A37" s="20">
        <v>3646</v>
      </c>
      <c r="B37" s="19" t="s">
        <v>39</v>
      </c>
      <c r="C37" s="54">
        <f t="shared" si="0"/>
        <v>4523510.5523759723</v>
      </c>
      <c r="D37" s="15">
        <f t="shared" ref="D37:K42" si="8">D80/$C$86*$C$43</f>
        <v>77661.58895869166</v>
      </c>
      <c r="E37" s="14">
        <f t="shared" si="8"/>
        <v>1423407.4896312202</v>
      </c>
      <c r="F37" s="14">
        <f t="shared" si="8"/>
        <v>0</v>
      </c>
      <c r="G37" s="13">
        <f t="shared" si="8"/>
        <v>74225.22848822063</v>
      </c>
      <c r="H37" s="16">
        <f t="shared" si="8"/>
        <v>1876821.7331683815</v>
      </c>
      <c r="I37" s="15">
        <f t="shared" si="8"/>
        <v>566594.18389796303</v>
      </c>
      <c r="J37" s="14">
        <f t="shared" si="8"/>
        <v>277864.50756076735</v>
      </c>
      <c r="K37" s="13">
        <f t="shared" si="8"/>
        <v>226935.82067072837</v>
      </c>
      <c r="M37" s="72">
        <v>1.8983457031793705E-2</v>
      </c>
      <c r="N37" s="98">
        <f t="shared" si="2"/>
        <v>0</v>
      </c>
      <c r="O37" s="132">
        <f t="shared" si="3"/>
        <v>4523510.5523759723</v>
      </c>
      <c r="Q37" s="163">
        <f t="shared" si="4"/>
        <v>62398.149904451333</v>
      </c>
      <c r="R37" s="148">
        <f t="shared" si="5"/>
        <v>2504.7123767308817</v>
      </c>
      <c r="S37" s="148">
        <f t="shared" si="6"/>
        <v>689.93816002317931</v>
      </c>
    </row>
    <row r="38" spans="1:19" x14ac:dyDescent="0.2">
      <c r="A38" s="20">
        <v>3581</v>
      </c>
      <c r="B38" s="19" t="s">
        <v>38</v>
      </c>
      <c r="C38" s="54">
        <f t="shared" si="0"/>
        <v>3611069.5844888091</v>
      </c>
      <c r="D38" s="15">
        <f t="shared" si="8"/>
        <v>57421.986963550895</v>
      </c>
      <c r="E38" s="14">
        <f t="shared" si="8"/>
        <v>281635.70539389597</v>
      </c>
      <c r="F38" s="14">
        <f t="shared" si="8"/>
        <v>0</v>
      </c>
      <c r="G38" s="13">
        <f t="shared" si="8"/>
        <v>57728.017772755396</v>
      </c>
      <c r="H38" s="16">
        <f t="shared" si="8"/>
        <v>1427809.3163852482</v>
      </c>
      <c r="I38" s="15">
        <f t="shared" si="8"/>
        <v>276674.78591374424</v>
      </c>
      <c r="J38" s="14">
        <f t="shared" si="8"/>
        <v>640299.59003040905</v>
      </c>
      <c r="K38" s="13">
        <f t="shared" si="8"/>
        <v>869500.18202920561</v>
      </c>
      <c r="M38" s="72">
        <v>1.8519296567582645E-2</v>
      </c>
      <c r="N38" s="98">
        <f t="shared" si="2"/>
        <v>0</v>
      </c>
      <c r="O38" s="132">
        <f t="shared" si="3"/>
        <v>3611069.5844888091</v>
      </c>
      <c r="Q38" s="163">
        <f t="shared" si="4"/>
        <v>-740965.10889311228</v>
      </c>
      <c r="R38" s="148">
        <f t="shared" si="5"/>
        <v>2704.2458196371513</v>
      </c>
      <c r="S38" s="148">
        <f t="shared" si="6"/>
        <v>496.36240462705615</v>
      </c>
    </row>
    <row r="39" spans="1:19" x14ac:dyDescent="0.2">
      <c r="A39" s="20">
        <v>3606</v>
      </c>
      <c r="B39" s="19" t="s">
        <v>37</v>
      </c>
      <c r="C39" s="54">
        <f t="shared" si="0"/>
        <v>8691230.2832210306</v>
      </c>
      <c r="D39" s="15">
        <f t="shared" si="8"/>
        <v>132345.78273451456</v>
      </c>
      <c r="E39" s="14">
        <f t="shared" si="8"/>
        <v>2717500.0721486998</v>
      </c>
      <c r="F39" s="14">
        <f t="shared" si="8"/>
        <v>0</v>
      </c>
      <c r="G39" s="13">
        <f t="shared" si="8"/>
        <v>125502.94817470823</v>
      </c>
      <c r="H39" s="16">
        <f t="shared" si="8"/>
        <v>3331722.3015159643</v>
      </c>
      <c r="I39" s="15">
        <f t="shared" si="8"/>
        <v>502392.21694595489</v>
      </c>
      <c r="J39" s="14">
        <f t="shared" si="8"/>
        <v>1275152.261676857</v>
      </c>
      <c r="K39" s="13">
        <f t="shared" si="8"/>
        <v>606614.70002433204</v>
      </c>
      <c r="M39" s="72">
        <v>3.2554270941238916E-2</v>
      </c>
      <c r="N39" s="98">
        <f t="shared" si="2"/>
        <v>0</v>
      </c>
      <c r="O39" s="132">
        <f t="shared" si="3"/>
        <v>8691230.2832210306</v>
      </c>
      <c r="Q39" s="163">
        <f t="shared" si="4"/>
        <v>1040976.6120298849</v>
      </c>
      <c r="R39" s="148">
        <f t="shared" si="5"/>
        <v>2823.9673832625467</v>
      </c>
      <c r="S39" s="148">
        <f t="shared" si="6"/>
        <v>691.18449255797748</v>
      </c>
    </row>
    <row r="40" spans="1:19" x14ac:dyDescent="0.2">
      <c r="A40" s="20">
        <v>3615</v>
      </c>
      <c r="B40" s="19" t="s">
        <v>77</v>
      </c>
      <c r="C40" s="54">
        <f t="shared" si="0"/>
        <v>15598065.393451752</v>
      </c>
      <c r="D40" s="15">
        <f t="shared" si="8"/>
        <v>230533.65360329233</v>
      </c>
      <c r="E40" s="14">
        <f t="shared" si="8"/>
        <v>5107473.0955809411</v>
      </c>
      <c r="F40" s="14">
        <f t="shared" si="8"/>
        <v>0</v>
      </c>
      <c r="G40" s="13">
        <f t="shared" si="8"/>
        <v>224412.53572934444</v>
      </c>
      <c r="H40" s="16">
        <f t="shared" si="8"/>
        <v>5531632.2988277404</v>
      </c>
      <c r="I40" s="15">
        <f t="shared" si="8"/>
        <v>963717.53607599018</v>
      </c>
      <c r="J40" s="14">
        <f t="shared" si="8"/>
        <v>2399080.868220048</v>
      </c>
      <c r="K40" s="13">
        <f t="shared" si="8"/>
        <v>1141215.4054143955</v>
      </c>
      <c r="M40" s="72">
        <v>6.1387457427191858E-2</v>
      </c>
      <c r="N40" s="98">
        <f t="shared" si="2"/>
        <v>0</v>
      </c>
      <c r="O40" s="132">
        <f t="shared" si="3"/>
        <v>15598065.393451752</v>
      </c>
      <c r="Q40" s="163">
        <f t="shared" si="4"/>
        <v>1172012.8980616648</v>
      </c>
      <c r="R40" s="148">
        <f t="shared" si="5"/>
        <v>2909.5440017630576</v>
      </c>
      <c r="S40" s="148">
        <f t="shared" si="6"/>
        <v>681.03380821313078</v>
      </c>
    </row>
    <row r="41" spans="1:19" x14ac:dyDescent="0.2">
      <c r="A41" s="20">
        <v>3625</v>
      </c>
      <c r="B41" s="19" t="s">
        <v>36</v>
      </c>
      <c r="C41" s="54">
        <f t="shared" si="0"/>
        <v>540018.38565679826</v>
      </c>
      <c r="D41" s="15">
        <f t="shared" si="8"/>
        <v>0</v>
      </c>
      <c r="E41" s="14">
        <f t="shared" si="8"/>
        <v>34309.164188862007</v>
      </c>
      <c r="F41" s="14">
        <f t="shared" si="8"/>
        <v>16683.527226286413</v>
      </c>
      <c r="G41" s="13">
        <f t="shared" si="8"/>
        <v>8478.4868145295823</v>
      </c>
      <c r="H41" s="16">
        <f t="shared" si="8"/>
        <v>245326.33721447171</v>
      </c>
      <c r="I41" s="15">
        <f t="shared" si="8"/>
        <v>38701.788517620422</v>
      </c>
      <c r="J41" s="14">
        <f t="shared" si="8"/>
        <v>83280.515291620235</v>
      </c>
      <c r="K41" s="13">
        <f t="shared" si="8"/>
        <v>113238.56640340791</v>
      </c>
      <c r="M41" s="72">
        <v>2.5717361648878246E-3</v>
      </c>
      <c r="N41" s="98">
        <f t="shared" si="2"/>
        <v>0</v>
      </c>
      <c r="O41" s="132">
        <f t="shared" si="3"/>
        <v>540018.38565679826</v>
      </c>
      <c r="Q41" s="163">
        <f t="shared" si="4"/>
        <v>-64339.613091840525</v>
      </c>
      <c r="R41" s="148">
        <f t="shared" si="5"/>
        <v>2852.2097833985822</v>
      </c>
      <c r="S41" s="148">
        <f t="shared" si="6"/>
        <v>442.62995855368615</v>
      </c>
    </row>
    <row r="42" spans="1:19" x14ac:dyDescent="0.2">
      <c r="A42" s="20">
        <v>20</v>
      </c>
      <c r="B42" s="19" t="s">
        <v>35</v>
      </c>
      <c r="C42" s="63">
        <f t="shared" si="0"/>
        <v>537842.34049497521</v>
      </c>
      <c r="D42" s="15">
        <f t="shared" si="8"/>
        <v>6951.9879374244101</v>
      </c>
      <c r="E42" s="14">
        <f t="shared" si="8"/>
        <v>61847.493993722674</v>
      </c>
      <c r="F42" s="14">
        <f t="shared" si="8"/>
        <v>196714.78519046385</v>
      </c>
      <c r="G42" s="13">
        <f t="shared" si="8"/>
        <v>6002.4323891467147</v>
      </c>
      <c r="H42" s="16">
        <f t="shared" si="8"/>
        <v>216730.01569867437</v>
      </c>
      <c r="I42" s="15">
        <f t="shared" si="8"/>
        <v>29671.371196842327</v>
      </c>
      <c r="J42" s="14">
        <f t="shared" si="8"/>
        <v>19924.254088700891</v>
      </c>
      <c r="K42" s="13">
        <f t="shared" si="8"/>
        <v>0</v>
      </c>
      <c r="M42" s="72">
        <v>1.4792799135503695E-3</v>
      </c>
      <c r="N42" s="98">
        <f t="shared" si="2"/>
        <v>0</v>
      </c>
      <c r="O42" s="132">
        <f t="shared" si="3"/>
        <v>537842.34049497521</v>
      </c>
      <c r="Q42" s="163">
        <f t="shared" si="4"/>
        <v>190211.56081063836</v>
      </c>
      <c r="R42" s="148">
        <f t="shared" si="5"/>
        <v>3326.8598381132488</v>
      </c>
      <c r="S42" s="148">
        <f t="shared" si="6"/>
        <v>1217.511208927707</v>
      </c>
    </row>
    <row r="43" spans="1:19" ht="13.5" thickBot="1" x14ac:dyDescent="0.25">
      <c r="A43" s="12"/>
      <c r="B43" s="11" t="s">
        <v>11</v>
      </c>
      <c r="C43" s="61">
        <f>O43-N43</f>
        <v>234699552.69011161</v>
      </c>
      <c r="D43" s="61">
        <f t="shared" ref="D43:K43" si="9">SUM(D5:D42)</f>
        <v>3766343.386568842</v>
      </c>
      <c r="E43" s="60">
        <f t="shared" si="9"/>
        <v>71913635.094116628</v>
      </c>
      <c r="F43" s="60">
        <f t="shared" si="9"/>
        <v>1233447.3673017616</v>
      </c>
      <c r="G43" s="59">
        <f t="shared" si="9"/>
        <v>3694120.9039663966</v>
      </c>
      <c r="H43" s="62">
        <f t="shared" si="9"/>
        <v>79899075.525854886</v>
      </c>
      <c r="I43" s="61">
        <f t="shared" si="9"/>
        <v>16695758.057558864</v>
      </c>
      <c r="J43" s="60">
        <f t="shared" si="9"/>
        <v>27671223.347763401</v>
      </c>
      <c r="K43" s="59">
        <f t="shared" si="9"/>
        <v>29825949.006980844</v>
      </c>
      <c r="M43" s="133">
        <f>SUM(M5:M42)</f>
        <v>1.0000000000000002</v>
      </c>
      <c r="N43" s="97">
        <f>SUM(N5:N42)</f>
        <v>300447.30988839181</v>
      </c>
      <c r="O43" s="134">
        <v>235000000</v>
      </c>
      <c r="Q43" s="165">
        <f t="shared" si="4"/>
        <v>0</v>
      </c>
      <c r="R43" s="149">
        <f t="shared" si="5"/>
        <v>2787.1396238349862</v>
      </c>
      <c r="S43" s="149">
        <f>AVERAGE(S5:S42)</f>
        <v>740.80423060978217</v>
      </c>
    </row>
    <row r="44" spans="1:19" ht="13.5" thickBot="1" x14ac:dyDescent="0.25">
      <c r="A44" s="58"/>
      <c r="C44" s="77"/>
      <c r="D44" s="78"/>
      <c r="E44" s="57"/>
      <c r="F44" s="57"/>
      <c r="G44" s="57"/>
      <c r="H44" s="57"/>
      <c r="I44" s="57"/>
      <c r="J44" s="57"/>
      <c r="K44" s="57"/>
      <c r="M44" s="135" t="s">
        <v>79</v>
      </c>
      <c r="N44" s="136">
        <v>5.0000000000000001E-3</v>
      </c>
      <c r="O44" s="137"/>
    </row>
    <row r="45" spans="1:19" ht="13.5" thickBot="1" x14ac:dyDescent="0.25">
      <c r="A45" s="56" t="s">
        <v>74</v>
      </c>
    </row>
    <row r="46" spans="1:19" ht="12.75" customHeight="1" outlineLevel="1" x14ac:dyDescent="0.2">
      <c r="A46" s="184" t="s">
        <v>22</v>
      </c>
      <c r="B46" s="186" t="s">
        <v>21</v>
      </c>
      <c r="C46" s="188" t="s">
        <v>34</v>
      </c>
      <c r="D46" s="173" t="s">
        <v>33</v>
      </c>
      <c r="E46" s="174"/>
      <c r="F46" s="174"/>
      <c r="G46" s="175"/>
      <c r="H46" s="176" t="s">
        <v>16</v>
      </c>
      <c r="I46" s="178" t="s">
        <v>32</v>
      </c>
      <c r="J46" s="179"/>
      <c r="K46" s="180"/>
      <c r="L46" s="191"/>
    </row>
    <row r="47" spans="1:19" ht="51.75" outlineLevel="1" thickBot="1" x14ac:dyDescent="0.25">
      <c r="A47" s="185"/>
      <c r="B47" s="187"/>
      <c r="C47" s="189"/>
      <c r="D47" s="124"/>
      <c r="E47" s="101" t="s">
        <v>31</v>
      </c>
      <c r="F47" s="101" t="s">
        <v>30</v>
      </c>
      <c r="G47" s="157" t="s">
        <v>29</v>
      </c>
      <c r="H47" s="190"/>
      <c r="I47" s="103" t="s">
        <v>14</v>
      </c>
      <c r="J47" s="104" t="s">
        <v>13</v>
      </c>
      <c r="K47" s="110" t="s">
        <v>12</v>
      </c>
      <c r="L47" s="191"/>
    </row>
    <row r="48" spans="1:19" outlineLevel="1" x14ac:dyDescent="0.2">
      <c r="A48" s="20">
        <f t="shared" ref="A48:B63" si="10">A5</f>
        <v>3656</v>
      </c>
      <c r="B48" s="19" t="str">
        <f t="shared" si="10"/>
        <v>UTA</v>
      </c>
      <c r="C48" s="54">
        <f t="shared" ref="C48:C85" si="11">SUM(D48:K48)</f>
        <v>14238.891333333333</v>
      </c>
      <c r="D48" s="15">
        <f t="shared" ref="D48:K57" si="12">D90*D177</f>
        <v>250.9</v>
      </c>
      <c r="E48" s="14">
        <f t="shared" si="12"/>
        <v>4551.7441666666673</v>
      </c>
      <c r="F48" s="14">
        <f t="shared" si="12"/>
        <v>0</v>
      </c>
      <c r="G48" s="13">
        <f t="shared" si="12"/>
        <v>260.46383333333449</v>
      </c>
      <c r="H48" s="34">
        <f t="shared" si="12"/>
        <v>5453</v>
      </c>
      <c r="I48" s="36">
        <f t="shared" si="12"/>
        <v>2050.9</v>
      </c>
      <c r="J48" s="55">
        <f t="shared" si="12"/>
        <v>958.41666666666663</v>
      </c>
      <c r="K48" s="35">
        <f t="shared" si="12"/>
        <v>713.4666666666667</v>
      </c>
      <c r="L48" s="125"/>
    </row>
    <row r="49" spans="1:12" outlineLevel="1" x14ac:dyDescent="0.2">
      <c r="A49" s="20">
        <f t="shared" si="10"/>
        <v>3658</v>
      </c>
      <c r="B49" s="19" t="str">
        <f t="shared" si="10"/>
        <v>UT</v>
      </c>
      <c r="C49" s="54">
        <f t="shared" si="11"/>
        <v>29501.135166666681</v>
      </c>
      <c r="D49" s="15">
        <f t="shared" si="12"/>
        <v>447.31666666666672</v>
      </c>
      <c r="E49" s="14">
        <f t="shared" si="12"/>
        <v>12978.893083333336</v>
      </c>
      <c r="F49" s="14">
        <f t="shared" si="12"/>
        <v>0</v>
      </c>
      <c r="G49" s="13">
        <f t="shared" si="12"/>
        <v>484.95875000001297</v>
      </c>
      <c r="H49" s="16">
        <f t="shared" si="12"/>
        <v>4858.4666666666672</v>
      </c>
      <c r="I49" s="15">
        <f t="shared" si="12"/>
        <v>1439.75</v>
      </c>
      <c r="J49" s="14">
        <f t="shared" si="12"/>
        <v>2251.4166666666665</v>
      </c>
      <c r="K49" s="13">
        <f t="shared" si="12"/>
        <v>7040.333333333333</v>
      </c>
      <c r="L49" s="74"/>
    </row>
    <row r="50" spans="1:12" outlineLevel="1" x14ac:dyDescent="0.2">
      <c r="A50" s="20">
        <f t="shared" si="10"/>
        <v>9741</v>
      </c>
      <c r="B50" s="19" t="str">
        <f t="shared" si="10"/>
        <v>UTD</v>
      </c>
      <c r="C50" s="54">
        <f t="shared" si="11"/>
        <v>7473.5350000000035</v>
      </c>
      <c r="D50" s="15">
        <f t="shared" si="12"/>
        <v>119.65</v>
      </c>
      <c r="E50" s="14">
        <f t="shared" si="12"/>
        <v>2943.9882499999999</v>
      </c>
      <c r="F50" s="14">
        <f t="shared" si="12"/>
        <v>0</v>
      </c>
      <c r="G50" s="13">
        <f t="shared" si="12"/>
        <v>127.53008333333599</v>
      </c>
      <c r="H50" s="16">
        <f t="shared" si="12"/>
        <v>2309.416666666667</v>
      </c>
      <c r="I50" s="15">
        <f t="shared" si="12"/>
        <v>497.25</v>
      </c>
      <c r="J50" s="14">
        <f t="shared" si="12"/>
        <v>1067.1666666666667</v>
      </c>
      <c r="K50" s="13">
        <f t="shared" si="12"/>
        <v>408.53333333333336</v>
      </c>
      <c r="L50" s="74"/>
    </row>
    <row r="51" spans="1:12" outlineLevel="1" x14ac:dyDescent="0.2">
      <c r="A51" s="20">
        <f t="shared" si="10"/>
        <v>3661</v>
      </c>
      <c r="B51" s="19" t="str">
        <f t="shared" si="10"/>
        <v>UTEP</v>
      </c>
      <c r="C51" s="54">
        <f t="shared" si="11"/>
        <v>9827.5572500000035</v>
      </c>
      <c r="D51" s="15">
        <f t="shared" si="12"/>
        <v>152.85</v>
      </c>
      <c r="E51" s="14">
        <f t="shared" si="12"/>
        <v>1669.1219999999998</v>
      </c>
      <c r="F51" s="14">
        <f t="shared" si="12"/>
        <v>0</v>
      </c>
      <c r="G51" s="13">
        <f t="shared" si="12"/>
        <v>157.45191666667034</v>
      </c>
      <c r="H51" s="16">
        <f t="shared" si="12"/>
        <v>4312.5833333333339</v>
      </c>
      <c r="I51" s="15">
        <f t="shared" si="12"/>
        <v>654.40000000000009</v>
      </c>
      <c r="J51" s="14">
        <f t="shared" si="12"/>
        <v>2098.75</v>
      </c>
      <c r="K51" s="13">
        <f t="shared" si="12"/>
        <v>782.40000000000009</v>
      </c>
      <c r="L51" s="74"/>
    </row>
    <row r="52" spans="1:12" outlineLevel="1" x14ac:dyDescent="0.2">
      <c r="A52" s="20">
        <f t="shared" si="10"/>
        <v>3599</v>
      </c>
      <c r="B52" s="19" t="str">
        <f t="shared" si="10"/>
        <v>UTPA</v>
      </c>
      <c r="C52" s="54">
        <f t="shared" si="11"/>
        <v>9232.1691666666702</v>
      </c>
      <c r="D52" s="15">
        <f t="shared" si="12"/>
        <v>129</v>
      </c>
      <c r="E52" s="14">
        <f t="shared" si="12"/>
        <v>1945.9650000000001</v>
      </c>
      <c r="F52" s="14">
        <f t="shared" si="12"/>
        <v>0</v>
      </c>
      <c r="G52" s="13">
        <f t="shared" si="12"/>
        <v>128.3541666666695</v>
      </c>
      <c r="H52" s="16">
        <f t="shared" si="12"/>
        <v>4092.0833333333335</v>
      </c>
      <c r="I52" s="15">
        <f t="shared" si="12"/>
        <v>611.30000000000007</v>
      </c>
      <c r="J52" s="14">
        <f t="shared" si="12"/>
        <v>774</v>
      </c>
      <c r="K52" s="13">
        <f t="shared" si="12"/>
        <v>1551.4666666666667</v>
      </c>
      <c r="L52" s="74"/>
    </row>
    <row r="53" spans="1:12" outlineLevel="1" x14ac:dyDescent="0.2">
      <c r="A53" s="20">
        <f t="shared" si="10"/>
        <v>30646</v>
      </c>
      <c r="B53" s="19" t="str">
        <f t="shared" si="10"/>
        <v>UTB</v>
      </c>
      <c r="C53" s="54">
        <f t="shared" si="11"/>
        <v>3480.1704966920397</v>
      </c>
      <c r="D53" s="15">
        <f t="shared" si="12"/>
        <v>109.2</v>
      </c>
      <c r="E53" s="14">
        <f t="shared" si="12"/>
        <v>1099.299117897785</v>
      </c>
      <c r="F53" s="14">
        <f t="shared" si="12"/>
        <v>43.076545460920784</v>
      </c>
      <c r="G53" s="13">
        <f t="shared" si="12"/>
        <v>52.444833333333889</v>
      </c>
      <c r="H53" s="16">
        <f t="shared" si="12"/>
        <v>1639.1666666666665</v>
      </c>
      <c r="I53" s="15">
        <f t="shared" si="12"/>
        <v>397.90000000000003</v>
      </c>
      <c r="J53" s="14">
        <f t="shared" si="12"/>
        <v>139.08333333333334</v>
      </c>
      <c r="K53" s="13">
        <f t="shared" si="12"/>
        <v>0</v>
      </c>
      <c r="L53" s="74"/>
    </row>
    <row r="54" spans="1:12" outlineLevel="1" x14ac:dyDescent="0.2">
      <c r="A54" s="20">
        <f t="shared" si="10"/>
        <v>9930</v>
      </c>
      <c r="B54" s="19" t="str">
        <f t="shared" si="10"/>
        <v>UTPB</v>
      </c>
      <c r="C54" s="54">
        <f t="shared" si="11"/>
        <v>1609.6398016373907</v>
      </c>
      <c r="D54" s="15">
        <f t="shared" si="12"/>
        <v>26.666666666666671</v>
      </c>
      <c r="E54" s="14">
        <f t="shared" si="12"/>
        <v>414.40000000000003</v>
      </c>
      <c r="F54" s="14">
        <f t="shared" si="12"/>
        <v>28.906468304057512</v>
      </c>
      <c r="G54" s="13">
        <f t="shared" si="12"/>
        <v>0</v>
      </c>
      <c r="H54" s="16">
        <f t="shared" si="12"/>
        <v>698.25</v>
      </c>
      <c r="I54" s="15">
        <f t="shared" si="12"/>
        <v>117.85000000000001</v>
      </c>
      <c r="J54" s="14">
        <f t="shared" si="12"/>
        <v>245.83333333333337</v>
      </c>
      <c r="K54" s="13">
        <f t="shared" si="12"/>
        <v>77.733333333333348</v>
      </c>
      <c r="L54" s="74"/>
    </row>
    <row r="55" spans="1:12" outlineLevel="1" x14ac:dyDescent="0.2">
      <c r="A55" s="20">
        <f t="shared" si="10"/>
        <v>10115</v>
      </c>
      <c r="B55" s="19" t="str">
        <f t="shared" si="10"/>
        <v>UTSA</v>
      </c>
      <c r="C55" s="54">
        <f t="shared" si="11"/>
        <v>13219.776027777776</v>
      </c>
      <c r="D55" s="15">
        <f t="shared" si="12"/>
        <v>205.98333333333335</v>
      </c>
      <c r="E55" s="14">
        <f t="shared" si="12"/>
        <v>3039.9706944444447</v>
      </c>
      <c r="F55" s="14">
        <f t="shared" si="12"/>
        <v>0</v>
      </c>
      <c r="G55" s="13">
        <f t="shared" si="12"/>
        <v>210.35533333333061</v>
      </c>
      <c r="H55" s="16">
        <f t="shared" si="12"/>
        <v>5466.4166666666661</v>
      </c>
      <c r="I55" s="15">
        <f t="shared" si="12"/>
        <v>1021.45</v>
      </c>
      <c r="J55" s="14">
        <f t="shared" si="12"/>
        <v>2229.3333333333335</v>
      </c>
      <c r="K55" s="13">
        <f t="shared" si="12"/>
        <v>1046.2666666666667</v>
      </c>
      <c r="L55" s="74"/>
    </row>
    <row r="56" spans="1:12" outlineLevel="1" x14ac:dyDescent="0.2">
      <c r="A56" s="20">
        <f t="shared" si="10"/>
        <v>11163</v>
      </c>
      <c r="B56" s="19" t="str">
        <f t="shared" si="10"/>
        <v>UTT</v>
      </c>
      <c r="C56" s="54">
        <f t="shared" si="11"/>
        <v>3656.9090000000006</v>
      </c>
      <c r="D56" s="15">
        <f t="shared" si="12"/>
        <v>59.5</v>
      </c>
      <c r="E56" s="14">
        <f t="shared" si="12"/>
        <v>1073.8758333333335</v>
      </c>
      <c r="F56" s="14">
        <f t="shared" si="12"/>
        <v>0</v>
      </c>
      <c r="G56" s="13">
        <f t="shared" si="12"/>
        <v>59.066500000000261</v>
      </c>
      <c r="H56" s="16">
        <f t="shared" si="12"/>
        <v>1649.0833333333335</v>
      </c>
      <c r="I56" s="15">
        <f t="shared" si="12"/>
        <v>215.45000000000002</v>
      </c>
      <c r="J56" s="14">
        <f t="shared" si="12"/>
        <v>445</v>
      </c>
      <c r="K56" s="13">
        <f t="shared" si="12"/>
        <v>154.93333333333334</v>
      </c>
      <c r="L56" s="74"/>
    </row>
    <row r="57" spans="1:12" outlineLevel="1" x14ac:dyDescent="0.2">
      <c r="A57" s="20">
        <f t="shared" si="10"/>
        <v>3632</v>
      </c>
      <c r="B57" s="19" t="str">
        <f t="shared" si="10"/>
        <v>TAMU</v>
      </c>
      <c r="C57" s="54">
        <f t="shared" si="11"/>
        <v>29644.310027777778</v>
      </c>
      <c r="D57" s="15">
        <f t="shared" si="12"/>
        <v>436.98333333333335</v>
      </c>
      <c r="E57" s="14">
        <f t="shared" si="12"/>
        <v>12857.506277777775</v>
      </c>
      <c r="F57" s="14">
        <f t="shared" si="12"/>
        <v>0</v>
      </c>
      <c r="G57" s="13">
        <f t="shared" si="12"/>
        <v>502.62041666667005</v>
      </c>
      <c r="H57" s="16">
        <f t="shared" si="12"/>
        <v>5213.6000000000004</v>
      </c>
      <c r="I57" s="15">
        <f t="shared" si="12"/>
        <v>1509.1000000000001</v>
      </c>
      <c r="J57" s="14">
        <f t="shared" si="12"/>
        <v>2226.8333333333335</v>
      </c>
      <c r="K57" s="13">
        <f t="shared" si="12"/>
        <v>6897.666666666667</v>
      </c>
      <c r="L57" s="74"/>
    </row>
    <row r="58" spans="1:12" outlineLevel="1" x14ac:dyDescent="0.2">
      <c r="A58" s="20">
        <f t="shared" si="10"/>
        <v>10298</v>
      </c>
      <c r="B58" s="19" t="str">
        <f t="shared" si="10"/>
        <v>TAMUG</v>
      </c>
      <c r="C58" s="54">
        <f t="shared" si="11"/>
        <v>1473.0298563108852</v>
      </c>
      <c r="D58" s="15">
        <f t="shared" ref="D58:K58" si="13">D100*D187*1.5</f>
        <v>0</v>
      </c>
      <c r="E58" s="14">
        <f t="shared" si="13"/>
        <v>453.40516666666667</v>
      </c>
      <c r="F58" s="14">
        <f t="shared" si="13"/>
        <v>30.748689644218551</v>
      </c>
      <c r="G58" s="13">
        <f t="shared" si="13"/>
        <v>26.400999999999918</v>
      </c>
      <c r="H58" s="16">
        <f t="shared" si="13"/>
        <v>414.75</v>
      </c>
      <c r="I58" s="15">
        <f t="shared" si="13"/>
        <v>133.27500000000001</v>
      </c>
      <c r="J58" s="14">
        <f t="shared" si="13"/>
        <v>119.25</v>
      </c>
      <c r="K58" s="13">
        <f t="shared" si="13"/>
        <v>295.20000000000005</v>
      </c>
      <c r="L58" s="74"/>
    </row>
    <row r="59" spans="1:12" outlineLevel="1" x14ac:dyDescent="0.2">
      <c r="A59" s="20">
        <f t="shared" si="10"/>
        <v>3630</v>
      </c>
      <c r="B59" s="19" t="str">
        <f t="shared" si="10"/>
        <v>Prairie View</v>
      </c>
      <c r="C59" s="54">
        <f t="shared" si="11"/>
        <v>3492.941888888889</v>
      </c>
      <c r="D59" s="15">
        <f t="shared" ref="D59:K74" si="14">D101*D188</f>
        <v>46.81666666666667</v>
      </c>
      <c r="E59" s="14">
        <f t="shared" si="14"/>
        <v>243.60272222222221</v>
      </c>
      <c r="F59" s="14">
        <f t="shared" si="14"/>
        <v>0</v>
      </c>
      <c r="G59" s="13">
        <f t="shared" si="14"/>
        <v>51.822500000000232</v>
      </c>
      <c r="H59" s="16">
        <f t="shared" si="14"/>
        <v>1404.6666666666665</v>
      </c>
      <c r="I59" s="15">
        <f t="shared" si="14"/>
        <v>250.20000000000002</v>
      </c>
      <c r="J59" s="14">
        <f t="shared" si="14"/>
        <v>590.5</v>
      </c>
      <c r="K59" s="13">
        <f t="shared" si="14"/>
        <v>905.33333333333337</v>
      </c>
      <c r="L59" s="74"/>
    </row>
    <row r="60" spans="1:12" outlineLevel="1" x14ac:dyDescent="0.2">
      <c r="A60" s="20">
        <f t="shared" si="10"/>
        <v>3631</v>
      </c>
      <c r="B60" s="19" t="str">
        <f t="shared" si="10"/>
        <v>Tarleton</v>
      </c>
      <c r="C60" s="54">
        <f t="shared" si="11"/>
        <v>4884.7015833333344</v>
      </c>
      <c r="D60" s="15">
        <f t="shared" si="14"/>
        <v>77.266666666666666</v>
      </c>
      <c r="E60" s="14">
        <f t="shared" si="14"/>
        <v>1292.6713333333335</v>
      </c>
      <c r="F60" s="14">
        <f t="shared" si="14"/>
        <v>0</v>
      </c>
      <c r="G60" s="13">
        <f t="shared" si="14"/>
        <v>78.063583333334009</v>
      </c>
      <c r="H60" s="16">
        <f t="shared" si="14"/>
        <v>2091.25</v>
      </c>
      <c r="I60" s="15">
        <f t="shared" si="14"/>
        <v>323.15000000000003</v>
      </c>
      <c r="J60" s="14">
        <f t="shared" si="14"/>
        <v>332.16666666666674</v>
      </c>
      <c r="K60" s="13">
        <f t="shared" si="14"/>
        <v>690.13333333333333</v>
      </c>
      <c r="L60" s="74"/>
    </row>
    <row r="61" spans="1:12" outlineLevel="1" x14ac:dyDescent="0.2">
      <c r="A61" s="27">
        <f t="shared" si="10"/>
        <v>103631</v>
      </c>
      <c r="B61" s="19" t="str">
        <f t="shared" si="10"/>
        <v>TAMUCT</v>
      </c>
      <c r="C61" s="54">
        <f t="shared" si="11"/>
        <v>1460.977876179212</v>
      </c>
      <c r="D61" s="15">
        <f t="shared" si="14"/>
        <v>46.033333333333331</v>
      </c>
      <c r="E61" s="14">
        <f t="shared" si="14"/>
        <v>308.05506666666668</v>
      </c>
      <c r="F61" s="14">
        <f t="shared" si="14"/>
        <v>422.42405951254528</v>
      </c>
      <c r="G61" s="13">
        <f t="shared" si="14"/>
        <v>21.340416666666648</v>
      </c>
      <c r="H61" s="16">
        <f t="shared" si="14"/>
        <v>572.25</v>
      </c>
      <c r="I61" s="15">
        <f t="shared" si="14"/>
        <v>74.25</v>
      </c>
      <c r="J61" s="14">
        <f t="shared" si="14"/>
        <v>16.625</v>
      </c>
      <c r="K61" s="13">
        <f t="shared" si="14"/>
        <v>0</v>
      </c>
      <c r="L61" s="74"/>
    </row>
    <row r="62" spans="1:12" outlineLevel="1" x14ac:dyDescent="0.2">
      <c r="A62" s="20">
        <f t="shared" si="10"/>
        <v>11161</v>
      </c>
      <c r="B62" s="19" t="str">
        <f t="shared" si="10"/>
        <v>TAMUCC</v>
      </c>
      <c r="C62" s="54">
        <f t="shared" si="11"/>
        <v>4657.1833333333334</v>
      </c>
      <c r="D62" s="15">
        <f t="shared" si="14"/>
        <v>69.416666666666671</v>
      </c>
      <c r="E62" s="14">
        <f t="shared" si="14"/>
        <v>1234.2283333333332</v>
      </c>
      <c r="F62" s="14">
        <f t="shared" si="14"/>
        <v>0</v>
      </c>
      <c r="G62" s="13">
        <f t="shared" si="14"/>
        <v>70.105000000000345</v>
      </c>
      <c r="H62" s="16">
        <f t="shared" si="14"/>
        <v>1890</v>
      </c>
      <c r="I62" s="15">
        <f t="shared" si="14"/>
        <v>308.10000000000002</v>
      </c>
      <c r="J62" s="14">
        <f t="shared" si="14"/>
        <v>734</v>
      </c>
      <c r="K62" s="13">
        <f t="shared" si="14"/>
        <v>351.33333333333337</v>
      </c>
      <c r="L62" s="74"/>
    </row>
    <row r="63" spans="1:12" outlineLevel="1" x14ac:dyDescent="0.2">
      <c r="A63" s="20">
        <f t="shared" si="10"/>
        <v>3639</v>
      </c>
      <c r="B63" s="19" t="str">
        <f t="shared" si="10"/>
        <v>TAMUK</v>
      </c>
      <c r="C63" s="54">
        <f t="shared" si="11"/>
        <v>2603.8637222222223</v>
      </c>
      <c r="D63" s="15">
        <f t="shared" si="14"/>
        <v>38.083333333333336</v>
      </c>
      <c r="E63" s="14">
        <f t="shared" si="14"/>
        <v>214.51072222222226</v>
      </c>
      <c r="F63" s="14">
        <f t="shared" si="14"/>
        <v>0</v>
      </c>
      <c r="G63" s="13">
        <f t="shared" si="14"/>
        <v>44.086333333333492</v>
      </c>
      <c r="H63" s="16">
        <f t="shared" si="14"/>
        <v>1134.5833333333335</v>
      </c>
      <c r="I63" s="15">
        <f t="shared" si="14"/>
        <v>184.10000000000002</v>
      </c>
      <c r="J63" s="14">
        <f t="shared" si="14"/>
        <v>429.83333333333331</v>
      </c>
      <c r="K63" s="13">
        <f t="shared" si="14"/>
        <v>558.66666666666663</v>
      </c>
      <c r="L63" s="74"/>
    </row>
    <row r="64" spans="1:12" outlineLevel="1" x14ac:dyDescent="0.2">
      <c r="A64" s="27">
        <f t="shared" ref="A64:B79" si="15">A21</f>
        <v>103639</v>
      </c>
      <c r="B64" s="19" t="str">
        <f t="shared" si="15"/>
        <v>TAMUSA</v>
      </c>
      <c r="C64" s="54">
        <f t="shared" si="11"/>
        <v>1688.829561768983</v>
      </c>
      <c r="D64" s="15">
        <f t="shared" si="14"/>
        <v>58.766666666666666</v>
      </c>
      <c r="E64" s="14">
        <f t="shared" si="14"/>
        <v>413.76630555555556</v>
      </c>
      <c r="F64" s="14">
        <f t="shared" si="14"/>
        <v>103.9962562134273</v>
      </c>
      <c r="G64" s="13">
        <f t="shared" si="14"/>
        <v>25.65033333333345</v>
      </c>
      <c r="H64" s="16">
        <f t="shared" si="14"/>
        <v>858.08333333333326</v>
      </c>
      <c r="I64" s="15">
        <f t="shared" si="14"/>
        <v>218.9</v>
      </c>
      <c r="J64" s="14">
        <f t="shared" si="14"/>
        <v>9.6666666666666661</v>
      </c>
      <c r="K64" s="13">
        <f t="shared" si="14"/>
        <v>0</v>
      </c>
      <c r="L64" s="74"/>
    </row>
    <row r="65" spans="1:12" outlineLevel="1" x14ac:dyDescent="0.2">
      <c r="A65" s="20">
        <f t="shared" si="15"/>
        <v>9651</v>
      </c>
      <c r="B65" s="19" t="str">
        <f t="shared" si="15"/>
        <v>TAMI</v>
      </c>
      <c r="C65" s="54">
        <f t="shared" si="11"/>
        <v>2885.5196388888889</v>
      </c>
      <c r="D65" s="15">
        <f t="shared" si="14"/>
        <v>39.483333333333334</v>
      </c>
      <c r="E65" s="14">
        <f t="shared" si="14"/>
        <v>654.10722222222216</v>
      </c>
      <c r="F65" s="14">
        <f t="shared" si="14"/>
        <v>0</v>
      </c>
      <c r="G65" s="13">
        <f t="shared" si="14"/>
        <v>36.46241666666679</v>
      </c>
      <c r="H65" s="16">
        <f t="shared" si="14"/>
        <v>1247.1666666666665</v>
      </c>
      <c r="I65" s="15">
        <f t="shared" si="14"/>
        <v>211</v>
      </c>
      <c r="J65" s="14">
        <f t="shared" si="14"/>
        <v>507.83333333333331</v>
      </c>
      <c r="K65" s="13">
        <f t="shared" si="14"/>
        <v>189.4666666666667</v>
      </c>
      <c r="L65" s="74"/>
    </row>
    <row r="66" spans="1:12" outlineLevel="1" x14ac:dyDescent="0.2">
      <c r="A66" s="20">
        <f t="shared" si="15"/>
        <v>3665</v>
      </c>
      <c r="B66" s="19" t="str">
        <f t="shared" si="15"/>
        <v>WTAMU</v>
      </c>
      <c r="C66" s="54">
        <f t="shared" si="11"/>
        <v>3855.5735277777785</v>
      </c>
      <c r="D66" s="15">
        <f t="shared" si="14"/>
        <v>62.783333333333339</v>
      </c>
      <c r="E66" s="14">
        <f t="shared" si="14"/>
        <v>1034.2507777777778</v>
      </c>
      <c r="F66" s="14">
        <f t="shared" si="14"/>
        <v>0</v>
      </c>
      <c r="G66" s="13">
        <f t="shared" si="14"/>
        <v>62.589416666667091</v>
      </c>
      <c r="H66" s="16">
        <f t="shared" si="14"/>
        <v>1556.3333333333335</v>
      </c>
      <c r="I66" s="15">
        <f t="shared" si="14"/>
        <v>268.75</v>
      </c>
      <c r="J66" s="14">
        <f t="shared" si="14"/>
        <v>606.33333333333337</v>
      </c>
      <c r="K66" s="13">
        <f t="shared" si="14"/>
        <v>264.53333333333336</v>
      </c>
      <c r="L66" s="74"/>
    </row>
    <row r="67" spans="1:12" outlineLevel="1" x14ac:dyDescent="0.2">
      <c r="A67" s="20">
        <f t="shared" si="15"/>
        <v>3565</v>
      </c>
      <c r="B67" s="19" t="str">
        <f t="shared" si="15"/>
        <v>TAMUC</v>
      </c>
      <c r="C67" s="54">
        <f t="shared" si="11"/>
        <v>3965.8823333333335</v>
      </c>
      <c r="D67" s="15">
        <f t="shared" si="14"/>
        <v>66.216666666666669</v>
      </c>
      <c r="E67" s="14">
        <f t="shared" si="14"/>
        <v>1019.7366666666666</v>
      </c>
      <c r="F67" s="14">
        <f t="shared" si="14"/>
        <v>0</v>
      </c>
      <c r="G67" s="13">
        <f t="shared" si="14"/>
        <v>62.545666666667287</v>
      </c>
      <c r="H67" s="16">
        <f t="shared" si="14"/>
        <v>1783.8333333333335</v>
      </c>
      <c r="I67" s="15">
        <f t="shared" si="14"/>
        <v>283.95</v>
      </c>
      <c r="J67" s="14">
        <f t="shared" si="14"/>
        <v>568.66666666666663</v>
      </c>
      <c r="K67" s="13">
        <f t="shared" si="14"/>
        <v>180.93333333333334</v>
      </c>
      <c r="L67" s="74"/>
    </row>
    <row r="68" spans="1:12" outlineLevel="1" x14ac:dyDescent="0.2">
      <c r="A68" s="20">
        <f t="shared" si="15"/>
        <v>29269</v>
      </c>
      <c r="B68" s="19" t="str">
        <f t="shared" si="15"/>
        <v>TAMUT</v>
      </c>
      <c r="C68" s="54">
        <f t="shared" si="11"/>
        <v>1082.8933184912337</v>
      </c>
      <c r="D68" s="15">
        <f t="shared" si="14"/>
        <v>17.283333333333335</v>
      </c>
      <c r="E68" s="14">
        <f t="shared" si="14"/>
        <v>327.88045945696564</v>
      </c>
      <c r="F68" s="14">
        <f t="shared" si="14"/>
        <v>193.8317757009346</v>
      </c>
      <c r="G68" s="13">
        <f t="shared" si="14"/>
        <v>15.497749999999957</v>
      </c>
      <c r="H68" s="16">
        <f t="shared" si="14"/>
        <v>418.25</v>
      </c>
      <c r="I68" s="15">
        <f t="shared" si="14"/>
        <v>64.900000000000006</v>
      </c>
      <c r="J68" s="14">
        <f t="shared" si="14"/>
        <v>45.25</v>
      </c>
      <c r="K68" s="13">
        <f t="shared" si="14"/>
        <v>0</v>
      </c>
      <c r="L68" s="74"/>
    </row>
    <row r="69" spans="1:12" outlineLevel="1" x14ac:dyDescent="0.2">
      <c r="A69" s="20">
        <f t="shared" si="15"/>
        <v>3652</v>
      </c>
      <c r="B69" s="19" t="str">
        <f t="shared" si="15"/>
        <v>UH</v>
      </c>
      <c r="C69" s="54">
        <f t="shared" si="11"/>
        <v>16516.163055555538</v>
      </c>
      <c r="D69" s="15">
        <f t="shared" si="14"/>
        <v>254.93333333333337</v>
      </c>
      <c r="E69" s="14">
        <f t="shared" si="14"/>
        <v>4785.5235555555555</v>
      </c>
      <c r="F69" s="14">
        <f t="shared" si="14"/>
        <v>0</v>
      </c>
      <c r="G69" s="13">
        <f t="shared" si="14"/>
        <v>264.5061666666486</v>
      </c>
      <c r="H69" s="16">
        <f t="shared" si="14"/>
        <v>5902.75</v>
      </c>
      <c r="I69" s="15">
        <f t="shared" si="14"/>
        <v>1140.3500000000001</v>
      </c>
      <c r="J69" s="14">
        <f t="shared" si="14"/>
        <v>2845.1666666666665</v>
      </c>
      <c r="K69" s="13">
        <f t="shared" si="14"/>
        <v>1322.9333333333334</v>
      </c>
      <c r="L69" s="74"/>
    </row>
    <row r="70" spans="1:12" outlineLevel="1" x14ac:dyDescent="0.2">
      <c r="A70" s="20">
        <f t="shared" si="15"/>
        <v>11711</v>
      </c>
      <c r="B70" s="19" t="str">
        <f t="shared" si="15"/>
        <v>UHCL</v>
      </c>
      <c r="C70" s="54">
        <f t="shared" si="11"/>
        <v>3350.2238471883506</v>
      </c>
      <c r="D70" s="15">
        <f t="shared" si="14"/>
        <v>119.06666666666668</v>
      </c>
      <c r="E70" s="14">
        <f t="shared" si="14"/>
        <v>1083.8496888782297</v>
      </c>
      <c r="F70" s="14">
        <f t="shared" si="14"/>
        <v>49.616991643454043</v>
      </c>
      <c r="G70" s="13">
        <f t="shared" si="14"/>
        <v>57.073833333333823</v>
      </c>
      <c r="H70" s="16">
        <f t="shared" si="14"/>
        <v>1355.0833333333335</v>
      </c>
      <c r="I70" s="15">
        <f t="shared" si="14"/>
        <v>208.70000000000002</v>
      </c>
      <c r="J70" s="14">
        <f t="shared" si="14"/>
        <v>476.83333333333331</v>
      </c>
      <c r="K70" s="13">
        <f t="shared" si="14"/>
        <v>0</v>
      </c>
      <c r="L70" s="74"/>
    </row>
    <row r="71" spans="1:12" outlineLevel="1" x14ac:dyDescent="0.2">
      <c r="A71" s="20">
        <f t="shared" si="15"/>
        <v>12826</v>
      </c>
      <c r="B71" s="19" t="str">
        <f t="shared" si="15"/>
        <v>UHD</v>
      </c>
      <c r="C71" s="54">
        <f t="shared" si="11"/>
        <v>5825.6749166666677</v>
      </c>
      <c r="D71" s="15">
        <f t="shared" si="14"/>
        <v>119.11666666666667</v>
      </c>
      <c r="E71" s="14">
        <f t="shared" si="14"/>
        <v>316.85033333333342</v>
      </c>
      <c r="F71" s="14">
        <f t="shared" si="14"/>
        <v>0</v>
      </c>
      <c r="G71" s="13">
        <f t="shared" si="14"/>
        <v>106.78291666666803</v>
      </c>
      <c r="H71" s="16">
        <f t="shared" si="14"/>
        <v>2941.75</v>
      </c>
      <c r="I71" s="15">
        <f t="shared" si="14"/>
        <v>931.6</v>
      </c>
      <c r="J71" s="14">
        <f t="shared" si="14"/>
        <v>1167.7083333333333</v>
      </c>
      <c r="K71" s="13">
        <f t="shared" si="14"/>
        <v>241.86666666666667</v>
      </c>
      <c r="L71" s="74"/>
    </row>
    <row r="72" spans="1:12" outlineLevel="1" x14ac:dyDescent="0.2">
      <c r="A72" s="20">
        <f t="shared" si="15"/>
        <v>13231</v>
      </c>
      <c r="B72" s="19" t="str">
        <f t="shared" si="15"/>
        <v>UHV</v>
      </c>
      <c r="C72" s="54">
        <f t="shared" si="11"/>
        <v>1642.3823488658199</v>
      </c>
      <c r="D72" s="15">
        <f t="shared" si="14"/>
        <v>28.833333333333332</v>
      </c>
      <c r="E72" s="14">
        <f t="shared" si="14"/>
        <v>525.3420599680062</v>
      </c>
      <c r="F72" s="14">
        <f t="shared" si="14"/>
        <v>100.21162223114709</v>
      </c>
      <c r="G72" s="13">
        <f t="shared" si="14"/>
        <v>27.11200000000003</v>
      </c>
      <c r="H72" s="16">
        <f t="shared" si="14"/>
        <v>672</v>
      </c>
      <c r="I72" s="15">
        <f t="shared" si="14"/>
        <v>214.8</v>
      </c>
      <c r="J72" s="14">
        <f t="shared" si="14"/>
        <v>74.083333333333329</v>
      </c>
      <c r="K72" s="13">
        <f t="shared" si="14"/>
        <v>0</v>
      </c>
      <c r="L72" s="74"/>
    </row>
    <row r="73" spans="1:12" outlineLevel="1" x14ac:dyDescent="0.2">
      <c r="A73" s="20">
        <f t="shared" si="15"/>
        <v>3592</v>
      </c>
      <c r="B73" s="19" t="str">
        <f t="shared" si="15"/>
        <v>Midwestern</v>
      </c>
      <c r="C73" s="54">
        <f t="shared" si="11"/>
        <v>3122.8297222222227</v>
      </c>
      <c r="D73" s="15">
        <f t="shared" si="14"/>
        <v>51.583333333333343</v>
      </c>
      <c r="E73" s="14">
        <f t="shared" si="14"/>
        <v>793.17972222222215</v>
      </c>
      <c r="F73" s="14">
        <f t="shared" si="14"/>
        <v>0</v>
      </c>
      <c r="G73" s="13">
        <f t="shared" si="14"/>
        <v>49.05000000000009</v>
      </c>
      <c r="H73" s="16">
        <f t="shared" si="14"/>
        <v>1208.0833333333335</v>
      </c>
      <c r="I73" s="15">
        <f t="shared" si="14"/>
        <v>215.70000000000002</v>
      </c>
      <c r="J73" s="14">
        <f t="shared" si="14"/>
        <v>261.5</v>
      </c>
      <c r="K73" s="13">
        <f t="shared" si="14"/>
        <v>543.73333333333335</v>
      </c>
      <c r="L73" s="74"/>
    </row>
    <row r="74" spans="1:12" outlineLevel="1" x14ac:dyDescent="0.2">
      <c r="A74" s="20">
        <f t="shared" si="15"/>
        <v>3594</v>
      </c>
      <c r="B74" s="19" t="str">
        <f t="shared" si="15"/>
        <v>UNT</v>
      </c>
      <c r="C74" s="54">
        <f t="shared" si="11"/>
        <v>18675.098555555534</v>
      </c>
      <c r="D74" s="15">
        <f t="shared" si="14"/>
        <v>300.83333333333337</v>
      </c>
      <c r="E74" s="14">
        <f t="shared" si="14"/>
        <v>6068.3097222222223</v>
      </c>
      <c r="F74" s="14">
        <f t="shared" si="14"/>
        <v>0</v>
      </c>
      <c r="G74" s="13">
        <f t="shared" si="14"/>
        <v>285.28883333331322</v>
      </c>
      <c r="H74" s="16">
        <f t="shared" si="14"/>
        <v>6685</v>
      </c>
      <c r="I74" s="15">
        <f t="shared" si="14"/>
        <v>1179.7</v>
      </c>
      <c r="J74" s="14">
        <f t="shared" si="14"/>
        <v>2821.1666666666665</v>
      </c>
      <c r="K74" s="13">
        <f t="shared" si="14"/>
        <v>1334.8000000000002</v>
      </c>
      <c r="L74" s="74"/>
    </row>
    <row r="75" spans="1:12" outlineLevel="1" x14ac:dyDescent="0.2">
      <c r="A75" s="27">
        <f t="shared" si="15"/>
        <v>113594</v>
      </c>
      <c r="B75" s="19" t="str">
        <f t="shared" si="15"/>
        <v>UNTD</v>
      </c>
      <c r="C75" s="54">
        <f t="shared" si="11"/>
        <v>1299.5325178269447</v>
      </c>
      <c r="D75" s="15">
        <f t="shared" ref="D75:K85" si="16">D117*D204</f>
        <v>40.35</v>
      </c>
      <c r="E75" s="14">
        <f t="shared" si="16"/>
        <v>407.78718750000002</v>
      </c>
      <c r="F75" s="14">
        <f t="shared" si="16"/>
        <v>213.23633032694477</v>
      </c>
      <c r="G75" s="13">
        <f t="shared" si="16"/>
        <v>17.646499999999929</v>
      </c>
      <c r="H75" s="16">
        <f t="shared" si="16"/>
        <v>539.875</v>
      </c>
      <c r="I75" s="15">
        <f t="shared" si="16"/>
        <v>71.7</v>
      </c>
      <c r="J75" s="14">
        <f t="shared" si="16"/>
        <v>8.9375</v>
      </c>
      <c r="K75" s="13">
        <f t="shared" si="16"/>
        <v>0</v>
      </c>
      <c r="L75" s="74"/>
    </row>
    <row r="76" spans="1:12" outlineLevel="1" x14ac:dyDescent="0.2">
      <c r="A76" s="20">
        <f t="shared" si="15"/>
        <v>3624</v>
      </c>
      <c r="B76" s="19" t="str">
        <f t="shared" si="15"/>
        <v>SFA</v>
      </c>
      <c r="C76" s="54">
        <f t="shared" si="11"/>
        <v>6659.7825833333327</v>
      </c>
      <c r="D76" s="15">
        <f t="shared" si="16"/>
        <v>96.083333333333343</v>
      </c>
      <c r="E76" s="14">
        <f t="shared" si="16"/>
        <v>1863.0558333333331</v>
      </c>
      <c r="F76" s="14">
        <f t="shared" si="16"/>
        <v>0</v>
      </c>
      <c r="G76" s="13">
        <f t="shared" si="16"/>
        <v>93.043416666666729</v>
      </c>
      <c r="H76" s="16">
        <f t="shared" si="16"/>
        <v>2555.583333333333</v>
      </c>
      <c r="I76" s="15">
        <f t="shared" si="16"/>
        <v>415.40000000000003</v>
      </c>
      <c r="J76" s="14">
        <f t="shared" si="16"/>
        <v>518.75</v>
      </c>
      <c r="K76" s="13">
        <f t="shared" si="16"/>
        <v>1117.8666666666666</v>
      </c>
      <c r="L76" s="74"/>
    </row>
    <row r="77" spans="1:12" outlineLevel="1" x14ac:dyDescent="0.2">
      <c r="A77" s="20">
        <f t="shared" si="15"/>
        <v>3642</v>
      </c>
      <c r="B77" s="19" t="str">
        <f t="shared" si="15"/>
        <v>TSU</v>
      </c>
      <c r="C77" s="54">
        <f t="shared" si="11"/>
        <v>2978.2460555555558</v>
      </c>
      <c r="D77" s="15">
        <f t="shared" si="16"/>
        <v>37.916666666666671</v>
      </c>
      <c r="E77" s="14">
        <f t="shared" si="16"/>
        <v>76.263055555555553</v>
      </c>
      <c r="F77" s="14">
        <f t="shared" si="16"/>
        <v>0</v>
      </c>
      <c r="G77" s="13">
        <f t="shared" si="16"/>
        <v>37.216333333333381</v>
      </c>
      <c r="H77" s="16">
        <f t="shared" si="16"/>
        <v>1166.0833333333335</v>
      </c>
      <c r="I77" s="15">
        <f t="shared" si="16"/>
        <v>245.60000000000002</v>
      </c>
      <c r="J77" s="14">
        <f t="shared" si="16"/>
        <v>566.5</v>
      </c>
      <c r="K77" s="13">
        <f t="shared" si="16"/>
        <v>848.66666666666663</v>
      </c>
      <c r="L77" s="74"/>
    </row>
    <row r="78" spans="1:12" outlineLevel="1" x14ac:dyDescent="0.2">
      <c r="A78" s="20">
        <f t="shared" si="15"/>
        <v>3644</v>
      </c>
      <c r="B78" s="19" t="str">
        <f t="shared" si="15"/>
        <v>TTU</v>
      </c>
      <c r="C78" s="54">
        <f t="shared" si="11"/>
        <v>16784.713499999983</v>
      </c>
      <c r="D78" s="15">
        <f t="shared" si="16"/>
        <v>233.70000000000002</v>
      </c>
      <c r="E78" s="14">
        <f t="shared" si="16"/>
        <v>5987.3939999999993</v>
      </c>
      <c r="F78" s="14">
        <f t="shared" si="16"/>
        <v>0</v>
      </c>
      <c r="G78" s="13">
        <f t="shared" si="16"/>
        <v>253.20283333331705</v>
      </c>
      <c r="H78" s="16">
        <f t="shared" si="16"/>
        <v>4861.5</v>
      </c>
      <c r="I78" s="15">
        <f t="shared" si="16"/>
        <v>972.80000000000007</v>
      </c>
      <c r="J78" s="14">
        <f t="shared" si="16"/>
        <v>1319.5833333333333</v>
      </c>
      <c r="K78" s="13">
        <f t="shared" si="16"/>
        <v>3156.5333333333333</v>
      </c>
      <c r="L78" s="74"/>
    </row>
    <row r="79" spans="1:12" outlineLevel="1" x14ac:dyDescent="0.2">
      <c r="A79" s="20">
        <f t="shared" si="15"/>
        <v>3541</v>
      </c>
      <c r="B79" s="19" t="str">
        <f t="shared" si="15"/>
        <v>Angelo</v>
      </c>
      <c r="C79" s="54">
        <f t="shared" si="11"/>
        <v>3150.0004722222225</v>
      </c>
      <c r="D79" s="15">
        <f t="shared" si="16"/>
        <v>49.56666666666667</v>
      </c>
      <c r="E79" s="14">
        <f t="shared" si="16"/>
        <v>745.40005555555558</v>
      </c>
      <c r="F79" s="14">
        <f t="shared" si="16"/>
        <v>0</v>
      </c>
      <c r="G79" s="13">
        <f t="shared" si="16"/>
        <v>49.433750000000131</v>
      </c>
      <c r="H79" s="16">
        <f t="shared" si="16"/>
        <v>1265.25</v>
      </c>
      <c r="I79" s="15">
        <f t="shared" si="16"/>
        <v>215.8</v>
      </c>
      <c r="J79" s="14">
        <f t="shared" si="16"/>
        <v>258.41666666666669</v>
      </c>
      <c r="K79" s="13">
        <f t="shared" si="16"/>
        <v>566.13333333333333</v>
      </c>
      <c r="L79" s="74"/>
    </row>
    <row r="80" spans="1:12" outlineLevel="1" x14ac:dyDescent="0.2">
      <c r="A80" s="20">
        <f t="shared" ref="A80:B85" si="17">A37</f>
        <v>3646</v>
      </c>
      <c r="B80" s="19" t="str">
        <f t="shared" si="17"/>
        <v>TWU</v>
      </c>
      <c r="C80" s="54">
        <f t="shared" si="11"/>
        <v>5259.6529166666669</v>
      </c>
      <c r="D80" s="15">
        <f t="shared" si="16"/>
        <v>90.300000000000011</v>
      </c>
      <c r="E80" s="14">
        <f t="shared" si="16"/>
        <v>1655.0485000000001</v>
      </c>
      <c r="F80" s="14">
        <f t="shared" si="16"/>
        <v>0</v>
      </c>
      <c r="G80" s="13">
        <f t="shared" si="16"/>
        <v>86.304416666666654</v>
      </c>
      <c r="H80" s="16">
        <f t="shared" si="16"/>
        <v>2182.25</v>
      </c>
      <c r="I80" s="15">
        <f t="shared" si="16"/>
        <v>658.80000000000007</v>
      </c>
      <c r="J80" s="14">
        <f t="shared" si="16"/>
        <v>323.08333333333331</v>
      </c>
      <c r="K80" s="13">
        <f t="shared" si="16"/>
        <v>263.86666666666667</v>
      </c>
      <c r="L80" s="74"/>
    </row>
    <row r="81" spans="1:12" outlineLevel="1" x14ac:dyDescent="0.2">
      <c r="A81" s="20">
        <f t="shared" si="17"/>
        <v>3581</v>
      </c>
      <c r="B81" s="19" t="str">
        <f t="shared" si="17"/>
        <v>Lamar</v>
      </c>
      <c r="C81" s="54">
        <f t="shared" si="11"/>
        <v>4198.7240777777779</v>
      </c>
      <c r="D81" s="15">
        <f t="shared" si="16"/>
        <v>66.766666666666666</v>
      </c>
      <c r="E81" s="14">
        <f t="shared" si="16"/>
        <v>327.46824444444445</v>
      </c>
      <c r="F81" s="14">
        <f t="shared" si="16"/>
        <v>0</v>
      </c>
      <c r="G81" s="13">
        <f t="shared" si="16"/>
        <v>67.122500000000414</v>
      </c>
      <c r="H81" s="16">
        <f t="shared" si="16"/>
        <v>1660.1666666666665</v>
      </c>
      <c r="I81" s="15">
        <f t="shared" si="16"/>
        <v>321.70000000000005</v>
      </c>
      <c r="J81" s="14">
        <f t="shared" si="16"/>
        <v>744.5</v>
      </c>
      <c r="K81" s="13">
        <f t="shared" si="16"/>
        <v>1011</v>
      </c>
      <c r="L81" s="74"/>
    </row>
    <row r="82" spans="1:12" outlineLevel="1" x14ac:dyDescent="0.2">
      <c r="A82" s="20">
        <f t="shared" si="17"/>
        <v>3606</v>
      </c>
      <c r="B82" s="19" t="str">
        <f t="shared" si="17"/>
        <v>SHSU</v>
      </c>
      <c r="C82" s="54">
        <f t="shared" si="11"/>
        <v>10105.614694444446</v>
      </c>
      <c r="D82" s="15">
        <f t="shared" si="16"/>
        <v>153.88333333333333</v>
      </c>
      <c r="E82" s="14">
        <f t="shared" si="16"/>
        <v>3159.7377777777779</v>
      </c>
      <c r="F82" s="14">
        <f t="shared" si="16"/>
        <v>0</v>
      </c>
      <c r="G82" s="13">
        <f t="shared" si="16"/>
        <v>145.92691666666971</v>
      </c>
      <c r="H82" s="16">
        <f t="shared" si="16"/>
        <v>3873.9166666666665</v>
      </c>
      <c r="I82" s="15">
        <f t="shared" si="16"/>
        <v>584.15</v>
      </c>
      <c r="J82" s="14">
        <f t="shared" si="16"/>
        <v>1482.666666666667</v>
      </c>
      <c r="K82" s="13">
        <f t="shared" si="16"/>
        <v>705.33333333333337</v>
      </c>
      <c r="L82" s="74"/>
    </row>
    <row r="83" spans="1:12" outlineLevel="1" x14ac:dyDescent="0.2">
      <c r="A83" s="20">
        <f t="shared" si="17"/>
        <v>3615</v>
      </c>
      <c r="B83" s="19" t="str">
        <f t="shared" si="17"/>
        <v>TXST</v>
      </c>
      <c r="C83" s="54">
        <f t="shared" si="11"/>
        <v>18136.44716666665</v>
      </c>
      <c r="D83" s="15">
        <f t="shared" si="16"/>
        <v>268.05</v>
      </c>
      <c r="E83" s="14">
        <f t="shared" si="16"/>
        <v>5938.6477500000001</v>
      </c>
      <c r="F83" s="14">
        <f t="shared" si="16"/>
        <v>0</v>
      </c>
      <c r="G83" s="13">
        <f t="shared" si="16"/>
        <v>260.93274999998397</v>
      </c>
      <c r="H83" s="16">
        <f t="shared" si="16"/>
        <v>6431.8333333333339</v>
      </c>
      <c r="I83" s="15">
        <f t="shared" si="16"/>
        <v>1120.55</v>
      </c>
      <c r="J83" s="14">
        <f t="shared" si="16"/>
        <v>2789.5</v>
      </c>
      <c r="K83" s="13">
        <f t="shared" si="16"/>
        <v>1326.9333333333334</v>
      </c>
      <c r="L83" s="74"/>
    </row>
    <row r="84" spans="1:12" outlineLevel="1" x14ac:dyDescent="0.2">
      <c r="A84" s="20">
        <f t="shared" si="17"/>
        <v>3625</v>
      </c>
      <c r="B84" s="19" t="str">
        <f t="shared" si="17"/>
        <v>SRSU</v>
      </c>
      <c r="C84" s="54">
        <f t="shared" si="11"/>
        <v>627.89933709373838</v>
      </c>
      <c r="D84" s="15">
        <f t="shared" si="16"/>
        <v>0</v>
      </c>
      <c r="E84" s="14">
        <f t="shared" si="16"/>
        <v>39.89253333333334</v>
      </c>
      <c r="F84" s="14">
        <f t="shared" si="16"/>
        <v>19.398553760405097</v>
      </c>
      <c r="G84" s="13">
        <f t="shared" si="16"/>
        <v>9.8582499999999911</v>
      </c>
      <c r="H84" s="16">
        <f t="shared" si="16"/>
        <v>285.25</v>
      </c>
      <c r="I84" s="15">
        <f t="shared" si="16"/>
        <v>45</v>
      </c>
      <c r="J84" s="14">
        <f t="shared" si="16"/>
        <v>96.833333333333329</v>
      </c>
      <c r="K84" s="13">
        <f t="shared" si="16"/>
        <v>131.66666666666666</v>
      </c>
      <c r="L84" s="74"/>
    </row>
    <row r="85" spans="1:12" outlineLevel="1" x14ac:dyDescent="0.2">
      <c r="A85" s="20">
        <f t="shared" si="17"/>
        <v>20</v>
      </c>
      <c r="B85" s="19" t="str">
        <f t="shared" si="17"/>
        <v>SRRG</v>
      </c>
      <c r="C85" s="54">
        <f t="shared" si="11"/>
        <v>625.36916895338345</v>
      </c>
      <c r="D85" s="15">
        <f t="shared" si="16"/>
        <v>8.0833333333333339</v>
      </c>
      <c r="E85" s="14">
        <f t="shared" si="16"/>
        <v>71.912367265672856</v>
      </c>
      <c r="F85" s="14">
        <f t="shared" si="16"/>
        <v>228.72755168771067</v>
      </c>
      <c r="G85" s="13">
        <f t="shared" si="16"/>
        <v>6.9792499999999951</v>
      </c>
      <c r="H85" s="16">
        <f t="shared" si="16"/>
        <v>252</v>
      </c>
      <c r="I85" s="15">
        <f t="shared" si="16"/>
        <v>34.5</v>
      </c>
      <c r="J85" s="14">
        <f t="shared" si="16"/>
        <v>23.166666666666671</v>
      </c>
      <c r="K85" s="13">
        <f t="shared" si="16"/>
        <v>0</v>
      </c>
      <c r="L85" s="74"/>
    </row>
    <row r="86" spans="1:12" ht="13.5" outlineLevel="1" thickBot="1" x14ac:dyDescent="0.25">
      <c r="A86" s="12"/>
      <c r="B86" s="11" t="s">
        <v>11</v>
      </c>
      <c r="C86" s="53">
        <f t="shared" ref="C86:K86" si="18">SUM(C48:C85)</f>
        <v>272893.8448476746</v>
      </c>
      <c r="D86" s="9">
        <f t="shared" si="18"/>
        <v>4379.2666666666673</v>
      </c>
      <c r="E86" s="7">
        <f t="shared" si="18"/>
        <v>83616.641586522208</v>
      </c>
      <c r="F86" s="7">
        <f t="shared" si="18"/>
        <v>1434.1748444857658</v>
      </c>
      <c r="G86" s="3">
        <f t="shared" si="18"/>
        <v>4295.2909166666295</v>
      </c>
      <c r="H86" s="6">
        <f t="shared" si="18"/>
        <v>92901.608333333337</v>
      </c>
      <c r="I86" s="5">
        <f t="shared" si="18"/>
        <v>19412.775000000005</v>
      </c>
      <c r="J86" s="4">
        <f t="shared" si="18"/>
        <v>32174.354166666668</v>
      </c>
      <c r="K86" s="3">
        <f t="shared" si="18"/>
        <v>34679.73333333333</v>
      </c>
    </row>
    <row r="87" spans="1:12" ht="13.5" thickBot="1" x14ac:dyDescent="0.25">
      <c r="A87" s="56" t="s">
        <v>28</v>
      </c>
    </row>
    <row r="88" spans="1:12" ht="12.75" customHeight="1" outlineLevel="1" x14ac:dyDescent="0.2">
      <c r="A88" s="184" t="s">
        <v>22</v>
      </c>
      <c r="B88" s="186" t="s">
        <v>21</v>
      </c>
      <c r="C88" s="188" t="s">
        <v>75</v>
      </c>
      <c r="D88" s="173" t="s">
        <v>33</v>
      </c>
      <c r="E88" s="174"/>
      <c r="F88" s="174"/>
      <c r="G88" s="175"/>
      <c r="H88" s="176" t="s">
        <v>16</v>
      </c>
      <c r="I88" s="178" t="s">
        <v>32</v>
      </c>
      <c r="J88" s="179"/>
      <c r="K88" s="180"/>
      <c r="L88" s="191"/>
    </row>
    <row r="89" spans="1:12" ht="51.75" outlineLevel="1" thickBot="1" x14ac:dyDescent="0.25">
      <c r="A89" s="185"/>
      <c r="B89" s="187"/>
      <c r="C89" s="189"/>
      <c r="D89" s="120"/>
      <c r="E89" s="121" t="s">
        <v>31</v>
      </c>
      <c r="F89" s="121" t="s">
        <v>30</v>
      </c>
      <c r="G89" s="158" t="s">
        <v>29</v>
      </c>
      <c r="H89" s="177"/>
      <c r="I89" s="122" t="s">
        <v>14</v>
      </c>
      <c r="J89" s="123" t="s">
        <v>13</v>
      </c>
      <c r="K89" s="138" t="s">
        <v>12</v>
      </c>
      <c r="L89" s="191"/>
    </row>
    <row r="90" spans="1:12" outlineLevel="1" x14ac:dyDescent="0.2">
      <c r="A90" s="20">
        <f t="shared" ref="A90:B105" si="19">A5</f>
        <v>3656</v>
      </c>
      <c r="B90" s="19" t="str">
        <f t="shared" si="19"/>
        <v>UTA</v>
      </c>
      <c r="C90" s="117">
        <f t="shared" ref="C90:C127" si="20">SUM(D90:K90)</f>
        <v>1</v>
      </c>
      <c r="D90" s="81">
        <f t="shared" ref="D90:K99" si="21">HLOOKUP(D131,$D$170:$K$171,2,0)</f>
        <v>0.05</v>
      </c>
      <c r="E90" s="81">
        <f t="shared" si="21"/>
        <v>0.25</v>
      </c>
      <c r="F90" s="81">
        <f t="shared" si="21"/>
        <v>0</v>
      </c>
      <c r="G90" s="81">
        <f t="shared" si="21"/>
        <v>0.05</v>
      </c>
      <c r="H90" s="81">
        <f t="shared" si="21"/>
        <v>0.25</v>
      </c>
      <c r="I90" s="81">
        <f t="shared" si="21"/>
        <v>0.2</v>
      </c>
      <c r="J90" s="81">
        <f t="shared" si="21"/>
        <v>0.1</v>
      </c>
      <c r="K90" s="82">
        <f t="shared" si="21"/>
        <v>0.1</v>
      </c>
      <c r="L90" s="125"/>
    </row>
    <row r="91" spans="1:12" outlineLevel="1" x14ac:dyDescent="0.2">
      <c r="A91" s="20">
        <f t="shared" si="19"/>
        <v>3658</v>
      </c>
      <c r="B91" s="19" t="str">
        <f t="shared" si="19"/>
        <v>UT</v>
      </c>
      <c r="C91" s="117">
        <f t="shared" si="20"/>
        <v>1</v>
      </c>
      <c r="D91" s="81">
        <f t="shared" si="21"/>
        <v>0.05</v>
      </c>
      <c r="E91" s="81">
        <f t="shared" si="21"/>
        <v>0.25</v>
      </c>
      <c r="F91" s="81">
        <f t="shared" si="21"/>
        <v>0</v>
      </c>
      <c r="G91" s="81">
        <f t="shared" si="21"/>
        <v>0.05</v>
      </c>
      <c r="H91" s="81">
        <f t="shared" si="21"/>
        <v>0.2</v>
      </c>
      <c r="I91" s="81">
        <f t="shared" si="21"/>
        <v>0.1</v>
      </c>
      <c r="J91" s="81">
        <f t="shared" si="21"/>
        <v>0.1</v>
      </c>
      <c r="K91" s="82">
        <f t="shared" si="21"/>
        <v>0.25</v>
      </c>
      <c r="L91" s="74"/>
    </row>
    <row r="92" spans="1:12" outlineLevel="1" x14ac:dyDescent="0.2">
      <c r="A92" s="20">
        <f t="shared" si="19"/>
        <v>9741</v>
      </c>
      <c r="B92" s="19" t="str">
        <f t="shared" si="19"/>
        <v>UTD</v>
      </c>
      <c r="C92" s="117">
        <f t="shared" si="20"/>
        <v>0.99999999999999989</v>
      </c>
      <c r="D92" s="81">
        <f t="shared" si="21"/>
        <v>0.05</v>
      </c>
      <c r="E92" s="81">
        <f t="shared" si="21"/>
        <v>0.25</v>
      </c>
      <c r="F92" s="81">
        <f t="shared" si="21"/>
        <v>0</v>
      </c>
      <c r="G92" s="81">
        <f t="shared" si="21"/>
        <v>0.05</v>
      </c>
      <c r="H92" s="81">
        <f t="shared" si="21"/>
        <v>0.25</v>
      </c>
      <c r="I92" s="81">
        <f t="shared" si="21"/>
        <v>0.1</v>
      </c>
      <c r="J92" s="81">
        <f t="shared" si="21"/>
        <v>0.2</v>
      </c>
      <c r="K92" s="82">
        <f t="shared" si="21"/>
        <v>0.1</v>
      </c>
      <c r="L92" s="74"/>
    </row>
    <row r="93" spans="1:12" outlineLevel="1" x14ac:dyDescent="0.2">
      <c r="A93" s="20">
        <f t="shared" si="19"/>
        <v>3661</v>
      </c>
      <c r="B93" s="19" t="str">
        <f t="shared" si="19"/>
        <v>UTEP</v>
      </c>
      <c r="C93" s="117">
        <f t="shared" si="20"/>
        <v>1</v>
      </c>
      <c r="D93" s="81">
        <f t="shared" si="21"/>
        <v>0.05</v>
      </c>
      <c r="E93" s="81">
        <f t="shared" si="21"/>
        <v>0.2</v>
      </c>
      <c r="F93" s="81">
        <f t="shared" si="21"/>
        <v>0</v>
      </c>
      <c r="G93" s="81">
        <f t="shared" si="21"/>
        <v>0.05</v>
      </c>
      <c r="H93" s="81">
        <f t="shared" si="21"/>
        <v>0.25</v>
      </c>
      <c r="I93" s="81">
        <f t="shared" si="21"/>
        <v>0.1</v>
      </c>
      <c r="J93" s="81">
        <f t="shared" si="21"/>
        <v>0.25</v>
      </c>
      <c r="K93" s="82">
        <f t="shared" si="21"/>
        <v>0.1</v>
      </c>
      <c r="L93" s="74"/>
    </row>
    <row r="94" spans="1:12" outlineLevel="1" x14ac:dyDescent="0.2">
      <c r="A94" s="20">
        <f t="shared" si="19"/>
        <v>3599</v>
      </c>
      <c r="B94" s="19" t="str">
        <f t="shared" si="19"/>
        <v>UTPA</v>
      </c>
      <c r="C94" s="117">
        <f t="shared" si="20"/>
        <v>1</v>
      </c>
      <c r="D94" s="81">
        <f t="shared" si="21"/>
        <v>0.05</v>
      </c>
      <c r="E94" s="81">
        <f t="shared" si="21"/>
        <v>0.25</v>
      </c>
      <c r="F94" s="81">
        <f t="shared" si="21"/>
        <v>0</v>
      </c>
      <c r="G94" s="81">
        <f t="shared" si="21"/>
        <v>0.05</v>
      </c>
      <c r="H94" s="81">
        <f t="shared" si="21"/>
        <v>0.25</v>
      </c>
      <c r="I94" s="81">
        <f t="shared" si="21"/>
        <v>0.1</v>
      </c>
      <c r="J94" s="81">
        <f t="shared" si="21"/>
        <v>0.1</v>
      </c>
      <c r="K94" s="82">
        <f t="shared" si="21"/>
        <v>0.2</v>
      </c>
      <c r="L94" s="74"/>
    </row>
    <row r="95" spans="1:12" outlineLevel="1" x14ac:dyDescent="0.2">
      <c r="A95" s="20">
        <f t="shared" si="19"/>
        <v>30646</v>
      </c>
      <c r="B95" s="19" t="str">
        <f t="shared" si="19"/>
        <v>UTB</v>
      </c>
      <c r="C95" s="117">
        <f t="shared" si="20"/>
        <v>0.99999999999999989</v>
      </c>
      <c r="D95" s="81">
        <f t="shared" si="21"/>
        <v>0.1</v>
      </c>
      <c r="E95" s="81">
        <f t="shared" si="21"/>
        <v>0.25</v>
      </c>
      <c r="F95" s="81">
        <f t="shared" si="21"/>
        <v>0.05</v>
      </c>
      <c r="G95" s="81">
        <f t="shared" si="21"/>
        <v>0.05</v>
      </c>
      <c r="H95" s="81">
        <f t="shared" si="21"/>
        <v>0.25</v>
      </c>
      <c r="I95" s="81">
        <f t="shared" si="21"/>
        <v>0.2</v>
      </c>
      <c r="J95" s="81">
        <f t="shared" si="21"/>
        <v>0.1</v>
      </c>
      <c r="K95" s="82">
        <f t="shared" si="21"/>
        <v>0</v>
      </c>
      <c r="L95" s="74"/>
    </row>
    <row r="96" spans="1:12" outlineLevel="1" x14ac:dyDescent="0.2">
      <c r="A96" s="20">
        <f t="shared" si="19"/>
        <v>9930</v>
      </c>
      <c r="B96" s="19" t="str">
        <f t="shared" si="19"/>
        <v>UTPB</v>
      </c>
      <c r="C96" s="117">
        <f t="shared" si="20"/>
        <v>0.99999999999999989</v>
      </c>
      <c r="D96" s="81">
        <f t="shared" si="21"/>
        <v>0.05</v>
      </c>
      <c r="E96" s="81">
        <f t="shared" si="21"/>
        <v>0.25</v>
      </c>
      <c r="F96" s="81">
        <f t="shared" si="21"/>
        <v>0.05</v>
      </c>
      <c r="G96" s="81">
        <f t="shared" si="21"/>
        <v>0</v>
      </c>
      <c r="H96" s="81">
        <f t="shared" si="21"/>
        <v>0.25</v>
      </c>
      <c r="I96" s="81">
        <f t="shared" si="21"/>
        <v>0.1</v>
      </c>
      <c r="J96" s="81">
        <f t="shared" si="21"/>
        <v>0.2</v>
      </c>
      <c r="K96" s="82">
        <f t="shared" si="21"/>
        <v>0.1</v>
      </c>
      <c r="L96" s="74"/>
    </row>
    <row r="97" spans="1:12" outlineLevel="1" x14ac:dyDescent="0.2">
      <c r="A97" s="20">
        <f t="shared" si="19"/>
        <v>10115</v>
      </c>
      <c r="B97" s="19" t="str">
        <f t="shared" si="19"/>
        <v>UTSA</v>
      </c>
      <c r="C97" s="117">
        <f t="shared" si="20"/>
        <v>0.99999999999999989</v>
      </c>
      <c r="D97" s="81">
        <f t="shared" si="21"/>
        <v>0.05</v>
      </c>
      <c r="E97" s="81">
        <f t="shared" si="21"/>
        <v>0.25</v>
      </c>
      <c r="F97" s="81">
        <f t="shared" si="21"/>
        <v>0</v>
      </c>
      <c r="G97" s="81">
        <f t="shared" si="21"/>
        <v>0.05</v>
      </c>
      <c r="H97" s="81">
        <f t="shared" si="21"/>
        <v>0.25</v>
      </c>
      <c r="I97" s="81">
        <f t="shared" si="21"/>
        <v>0.1</v>
      </c>
      <c r="J97" s="81">
        <f t="shared" si="21"/>
        <v>0.2</v>
      </c>
      <c r="K97" s="82">
        <f t="shared" si="21"/>
        <v>0.1</v>
      </c>
      <c r="L97" s="74"/>
    </row>
    <row r="98" spans="1:12" outlineLevel="1" x14ac:dyDescent="0.2">
      <c r="A98" s="20">
        <f t="shared" si="19"/>
        <v>11163</v>
      </c>
      <c r="B98" s="19" t="str">
        <f t="shared" si="19"/>
        <v>UTT</v>
      </c>
      <c r="C98" s="117">
        <f t="shared" si="20"/>
        <v>0.99999999999999989</v>
      </c>
      <c r="D98" s="81">
        <f t="shared" si="21"/>
        <v>0.05</v>
      </c>
      <c r="E98" s="81">
        <f t="shared" si="21"/>
        <v>0.25</v>
      </c>
      <c r="F98" s="81">
        <f t="shared" si="21"/>
        <v>0</v>
      </c>
      <c r="G98" s="81">
        <f t="shared" si="21"/>
        <v>0.05</v>
      </c>
      <c r="H98" s="81">
        <f t="shared" si="21"/>
        <v>0.25</v>
      </c>
      <c r="I98" s="81">
        <f t="shared" si="21"/>
        <v>0.1</v>
      </c>
      <c r="J98" s="81">
        <f t="shared" si="21"/>
        <v>0.2</v>
      </c>
      <c r="K98" s="82">
        <f t="shared" si="21"/>
        <v>0.1</v>
      </c>
      <c r="L98" s="74"/>
    </row>
    <row r="99" spans="1:12" outlineLevel="1" x14ac:dyDescent="0.2">
      <c r="A99" s="20">
        <f t="shared" si="19"/>
        <v>3632</v>
      </c>
      <c r="B99" s="19" t="str">
        <f t="shared" si="19"/>
        <v>TAMU</v>
      </c>
      <c r="C99" s="117">
        <f t="shared" si="20"/>
        <v>1</v>
      </c>
      <c r="D99" s="81">
        <f t="shared" si="21"/>
        <v>0.05</v>
      </c>
      <c r="E99" s="81">
        <f t="shared" si="21"/>
        <v>0.25</v>
      </c>
      <c r="F99" s="81">
        <f t="shared" si="21"/>
        <v>0</v>
      </c>
      <c r="G99" s="81">
        <f t="shared" si="21"/>
        <v>0.05</v>
      </c>
      <c r="H99" s="81">
        <f t="shared" si="21"/>
        <v>0.2</v>
      </c>
      <c r="I99" s="81">
        <f t="shared" si="21"/>
        <v>0.1</v>
      </c>
      <c r="J99" s="81">
        <f t="shared" si="21"/>
        <v>0.1</v>
      </c>
      <c r="K99" s="82">
        <f t="shared" si="21"/>
        <v>0.25</v>
      </c>
      <c r="L99" s="74"/>
    </row>
    <row r="100" spans="1:12" outlineLevel="1" x14ac:dyDescent="0.2">
      <c r="A100" s="20">
        <f t="shared" si="19"/>
        <v>10298</v>
      </c>
      <c r="B100" s="19" t="str">
        <f t="shared" si="19"/>
        <v>TAMUG</v>
      </c>
      <c r="C100" s="117">
        <f t="shared" si="20"/>
        <v>1</v>
      </c>
      <c r="D100" s="81">
        <f t="shared" ref="D100:K109" si="22">HLOOKUP(D141,$D$170:$K$171,2,0)</f>
        <v>0</v>
      </c>
      <c r="E100" s="81">
        <f t="shared" si="22"/>
        <v>0.25</v>
      </c>
      <c r="F100" s="81">
        <f t="shared" si="22"/>
        <v>0.05</v>
      </c>
      <c r="G100" s="81">
        <f t="shared" si="22"/>
        <v>0.05</v>
      </c>
      <c r="H100" s="81">
        <f t="shared" si="22"/>
        <v>0.25</v>
      </c>
      <c r="I100" s="81">
        <f t="shared" si="22"/>
        <v>0.1</v>
      </c>
      <c r="J100" s="81">
        <f t="shared" si="22"/>
        <v>0.1</v>
      </c>
      <c r="K100" s="82">
        <f t="shared" si="22"/>
        <v>0.2</v>
      </c>
      <c r="L100" s="74"/>
    </row>
    <row r="101" spans="1:12" outlineLevel="1" x14ac:dyDescent="0.2">
      <c r="A101" s="20">
        <f t="shared" si="19"/>
        <v>3630</v>
      </c>
      <c r="B101" s="19" t="str">
        <f t="shared" si="19"/>
        <v>Prairie View</v>
      </c>
      <c r="C101" s="117">
        <f t="shared" si="20"/>
        <v>1</v>
      </c>
      <c r="D101" s="81">
        <f t="shared" si="22"/>
        <v>0.05</v>
      </c>
      <c r="E101" s="81">
        <f t="shared" si="22"/>
        <v>0.1</v>
      </c>
      <c r="F101" s="81">
        <f t="shared" si="22"/>
        <v>0</v>
      </c>
      <c r="G101" s="81">
        <f t="shared" si="22"/>
        <v>0.05</v>
      </c>
      <c r="H101" s="81">
        <f t="shared" si="22"/>
        <v>0.25</v>
      </c>
      <c r="I101" s="81">
        <f t="shared" si="22"/>
        <v>0.1</v>
      </c>
      <c r="J101" s="81">
        <f t="shared" si="22"/>
        <v>0.2</v>
      </c>
      <c r="K101" s="82">
        <f t="shared" si="22"/>
        <v>0.25</v>
      </c>
      <c r="L101" s="74"/>
    </row>
    <row r="102" spans="1:12" outlineLevel="1" x14ac:dyDescent="0.2">
      <c r="A102" s="20">
        <f t="shared" si="19"/>
        <v>3631</v>
      </c>
      <c r="B102" s="19" t="str">
        <f t="shared" si="19"/>
        <v>Tarleton</v>
      </c>
      <c r="C102" s="117">
        <f t="shared" si="20"/>
        <v>1</v>
      </c>
      <c r="D102" s="81">
        <f t="shared" si="22"/>
        <v>0.05</v>
      </c>
      <c r="E102" s="81">
        <f t="shared" si="22"/>
        <v>0.25</v>
      </c>
      <c r="F102" s="81">
        <f t="shared" si="22"/>
        <v>0</v>
      </c>
      <c r="G102" s="81">
        <f t="shared" si="22"/>
        <v>0.05</v>
      </c>
      <c r="H102" s="81">
        <f t="shared" si="22"/>
        <v>0.25</v>
      </c>
      <c r="I102" s="81">
        <f t="shared" si="22"/>
        <v>0.1</v>
      </c>
      <c r="J102" s="81">
        <f t="shared" si="22"/>
        <v>0.1</v>
      </c>
      <c r="K102" s="82">
        <f t="shared" si="22"/>
        <v>0.2</v>
      </c>
      <c r="L102" s="74"/>
    </row>
    <row r="103" spans="1:12" outlineLevel="1" x14ac:dyDescent="0.2">
      <c r="A103" s="27">
        <f t="shared" si="19"/>
        <v>103631</v>
      </c>
      <c r="B103" s="19" t="str">
        <f t="shared" si="19"/>
        <v>TAMUCT</v>
      </c>
      <c r="C103" s="117">
        <f t="shared" si="20"/>
        <v>1</v>
      </c>
      <c r="D103" s="81">
        <f t="shared" si="22"/>
        <v>0.1</v>
      </c>
      <c r="E103" s="81">
        <f t="shared" si="22"/>
        <v>0.2</v>
      </c>
      <c r="F103" s="81">
        <f t="shared" si="22"/>
        <v>0.25</v>
      </c>
      <c r="G103" s="81">
        <f t="shared" si="22"/>
        <v>0.05</v>
      </c>
      <c r="H103" s="81">
        <f t="shared" si="22"/>
        <v>0.25</v>
      </c>
      <c r="I103" s="81">
        <f t="shared" si="22"/>
        <v>0.1</v>
      </c>
      <c r="J103" s="81">
        <f t="shared" si="22"/>
        <v>0.05</v>
      </c>
      <c r="K103" s="82">
        <f t="shared" si="22"/>
        <v>0</v>
      </c>
      <c r="L103" s="74"/>
    </row>
    <row r="104" spans="1:12" outlineLevel="1" x14ac:dyDescent="0.2">
      <c r="A104" s="20">
        <f t="shared" si="19"/>
        <v>11161</v>
      </c>
      <c r="B104" s="19" t="str">
        <f t="shared" si="19"/>
        <v>TAMUCC</v>
      </c>
      <c r="C104" s="117">
        <f t="shared" si="20"/>
        <v>0.99999999999999989</v>
      </c>
      <c r="D104" s="81">
        <f t="shared" si="22"/>
        <v>0.05</v>
      </c>
      <c r="E104" s="81">
        <f t="shared" si="22"/>
        <v>0.25</v>
      </c>
      <c r="F104" s="81">
        <f t="shared" si="22"/>
        <v>0</v>
      </c>
      <c r="G104" s="81">
        <f t="shared" si="22"/>
        <v>0.05</v>
      </c>
      <c r="H104" s="81">
        <f t="shared" si="22"/>
        <v>0.25</v>
      </c>
      <c r="I104" s="81">
        <f t="shared" si="22"/>
        <v>0.1</v>
      </c>
      <c r="J104" s="81">
        <f t="shared" si="22"/>
        <v>0.2</v>
      </c>
      <c r="K104" s="82">
        <f t="shared" si="22"/>
        <v>0.1</v>
      </c>
      <c r="L104" s="74"/>
    </row>
    <row r="105" spans="1:12" outlineLevel="1" x14ac:dyDescent="0.2">
      <c r="A105" s="20">
        <f t="shared" si="19"/>
        <v>3639</v>
      </c>
      <c r="B105" s="19" t="str">
        <f t="shared" si="19"/>
        <v>TAMUK</v>
      </c>
      <c r="C105" s="117">
        <f t="shared" si="20"/>
        <v>1</v>
      </c>
      <c r="D105" s="81">
        <f t="shared" si="22"/>
        <v>0.05</v>
      </c>
      <c r="E105" s="81">
        <f t="shared" si="22"/>
        <v>0.1</v>
      </c>
      <c r="F105" s="81">
        <f t="shared" si="22"/>
        <v>0</v>
      </c>
      <c r="G105" s="81">
        <f t="shared" si="22"/>
        <v>0.05</v>
      </c>
      <c r="H105" s="81">
        <f t="shared" si="22"/>
        <v>0.25</v>
      </c>
      <c r="I105" s="81">
        <f t="shared" si="22"/>
        <v>0.1</v>
      </c>
      <c r="J105" s="81">
        <f t="shared" si="22"/>
        <v>0.2</v>
      </c>
      <c r="K105" s="82">
        <f t="shared" si="22"/>
        <v>0.25</v>
      </c>
      <c r="L105" s="74"/>
    </row>
    <row r="106" spans="1:12" outlineLevel="1" x14ac:dyDescent="0.2">
      <c r="A106" s="27">
        <f t="shared" ref="A106:B121" si="23">A21</f>
        <v>103639</v>
      </c>
      <c r="B106" s="19" t="str">
        <f t="shared" si="23"/>
        <v>TAMUSA</v>
      </c>
      <c r="C106" s="117">
        <f t="shared" si="20"/>
        <v>1</v>
      </c>
      <c r="D106" s="81">
        <f t="shared" si="22"/>
        <v>0.1</v>
      </c>
      <c r="E106" s="81">
        <f t="shared" si="22"/>
        <v>0.25</v>
      </c>
      <c r="F106" s="81">
        <f t="shared" si="22"/>
        <v>0.1</v>
      </c>
      <c r="G106" s="81">
        <f t="shared" si="22"/>
        <v>0.05</v>
      </c>
      <c r="H106" s="81">
        <f t="shared" si="22"/>
        <v>0.25</v>
      </c>
      <c r="I106" s="81">
        <f t="shared" si="22"/>
        <v>0.2</v>
      </c>
      <c r="J106" s="81">
        <f t="shared" si="22"/>
        <v>0.05</v>
      </c>
      <c r="K106" s="82">
        <f t="shared" si="22"/>
        <v>0</v>
      </c>
      <c r="L106" s="74"/>
    </row>
    <row r="107" spans="1:12" outlineLevel="1" x14ac:dyDescent="0.2">
      <c r="A107" s="20">
        <f t="shared" si="23"/>
        <v>9651</v>
      </c>
      <c r="B107" s="19" t="str">
        <f t="shared" si="23"/>
        <v>TAMI</v>
      </c>
      <c r="C107" s="117">
        <f t="shared" si="20"/>
        <v>0.99999999999999989</v>
      </c>
      <c r="D107" s="81">
        <f t="shared" si="22"/>
        <v>0.05</v>
      </c>
      <c r="E107" s="81">
        <f t="shared" si="22"/>
        <v>0.25</v>
      </c>
      <c r="F107" s="81">
        <f t="shared" si="22"/>
        <v>0</v>
      </c>
      <c r="G107" s="81">
        <f t="shared" si="22"/>
        <v>0.05</v>
      </c>
      <c r="H107" s="81">
        <f t="shared" si="22"/>
        <v>0.25</v>
      </c>
      <c r="I107" s="81">
        <f t="shared" si="22"/>
        <v>0.1</v>
      </c>
      <c r="J107" s="81">
        <f t="shared" si="22"/>
        <v>0.2</v>
      </c>
      <c r="K107" s="82">
        <f t="shared" si="22"/>
        <v>0.1</v>
      </c>
      <c r="L107" s="74"/>
    </row>
    <row r="108" spans="1:12" outlineLevel="1" x14ac:dyDescent="0.2">
      <c r="A108" s="20">
        <f t="shared" si="23"/>
        <v>3665</v>
      </c>
      <c r="B108" s="19" t="str">
        <f t="shared" si="23"/>
        <v>WTAMU</v>
      </c>
      <c r="C108" s="117">
        <f t="shared" si="20"/>
        <v>0.99999999999999989</v>
      </c>
      <c r="D108" s="81">
        <f t="shared" si="22"/>
        <v>0.05</v>
      </c>
      <c r="E108" s="81">
        <f t="shared" si="22"/>
        <v>0.25</v>
      </c>
      <c r="F108" s="81">
        <f t="shared" si="22"/>
        <v>0</v>
      </c>
      <c r="G108" s="81">
        <f t="shared" si="22"/>
        <v>0.05</v>
      </c>
      <c r="H108" s="81">
        <f t="shared" si="22"/>
        <v>0.25</v>
      </c>
      <c r="I108" s="81">
        <f t="shared" si="22"/>
        <v>0.1</v>
      </c>
      <c r="J108" s="81">
        <f t="shared" si="22"/>
        <v>0.2</v>
      </c>
      <c r="K108" s="82">
        <f t="shared" si="22"/>
        <v>0.1</v>
      </c>
      <c r="L108" s="74"/>
    </row>
    <row r="109" spans="1:12" outlineLevel="1" x14ac:dyDescent="0.2">
      <c r="A109" s="20">
        <f t="shared" si="23"/>
        <v>3565</v>
      </c>
      <c r="B109" s="19" t="str">
        <f t="shared" si="23"/>
        <v>TAMUC</v>
      </c>
      <c r="C109" s="117">
        <f t="shared" si="20"/>
        <v>0.99999999999999989</v>
      </c>
      <c r="D109" s="81">
        <f t="shared" si="22"/>
        <v>0.05</v>
      </c>
      <c r="E109" s="81">
        <f t="shared" si="22"/>
        <v>0.25</v>
      </c>
      <c r="F109" s="81">
        <f t="shared" si="22"/>
        <v>0</v>
      </c>
      <c r="G109" s="81">
        <f t="shared" si="22"/>
        <v>0.05</v>
      </c>
      <c r="H109" s="81">
        <f t="shared" si="22"/>
        <v>0.25</v>
      </c>
      <c r="I109" s="81">
        <f t="shared" si="22"/>
        <v>0.1</v>
      </c>
      <c r="J109" s="81">
        <f t="shared" si="22"/>
        <v>0.2</v>
      </c>
      <c r="K109" s="82">
        <f t="shared" si="22"/>
        <v>0.1</v>
      </c>
      <c r="L109" s="74"/>
    </row>
    <row r="110" spans="1:12" outlineLevel="1" x14ac:dyDescent="0.2">
      <c r="A110" s="20">
        <f t="shared" si="23"/>
        <v>29269</v>
      </c>
      <c r="B110" s="19" t="str">
        <f t="shared" si="23"/>
        <v>TAMUT</v>
      </c>
      <c r="C110" s="117">
        <f t="shared" si="20"/>
        <v>1</v>
      </c>
      <c r="D110" s="81">
        <f t="shared" ref="D110:K119" si="24">HLOOKUP(D151,$D$170:$K$171,2,0)</f>
        <v>0.05</v>
      </c>
      <c r="E110" s="81">
        <f t="shared" si="24"/>
        <v>0.25</v>
      </c>
      <c r="F110" s="81">
        <f t="shared" si="24"/>
        <v>0.2</v>
      </c>
      <c r="G110" s="81">
        <f t="shared" si="24"/>
        <v>0.05</v>
      </c>
      <c r="H110" s="81">
        <f t="shared" si="24"/>
        <v>0.25</v>
      </c>
      <c r="I110" s="81">
        <f t="shared" si="24"/>
        <v>0.1</v>
      </c>
      <c r="J110" s="81">
        <f t="shared" si="24"/>
        <v>0.1</v>
      </c>
      <c r="K110" s="82">
        <f t="shared" si="24"/>
        <v>0</v>
      </c>
      <c r="L110" s="74"/>
    </row>
    <row r="111" spans="1:12" outlineLevel="1" x14ac:dyDescent="0.2">
      <c r="A111" s="20">
        <f t="shared" si="23"/>
        <v>3652</v>
      </c>
      <c r="B111" s="19" t="str">
        <f t="shared" si="23"/>
        <v>UH</v>
      </c>
      <c r="C111" s="117">
        <f t="shared" si="20"/>
        <v>0.99999999999999989</v>
      </c>
      <c r="D111" s="81">
        <f t="shared" si="24"/>
        <v>0.05</v>
      </c>
      <c r="E111" s="81">
        <f t="shared" si="24"/>
        <v>0.25</v>
      </c>
      <c r="F111" s="81">
        <f t="shared" si="24"/>
        <v>0</v>
      </c>
      <c r="G111" s="81">
        <f t="shared" si="24"/>
        <v>0.05</v>
      </c>
      <c r="H111" s="81">
        <f t="shared" si="24"/>
        <v>0.25</v>
      </c>
      <c r="I111" s="81">
        <f t="shared" si="24"/>
        <v>0.1</v>
      </c>
      <c r="J111" s="81">
        <f t="shared" si="24"/>
        <v>0.2</v>
      </c>
      <c r="K111" s="82">
        <f t="shared" si="24"/>
        <v>0.1</v>
      </c>
      <c r="L111" s="74"/>
    </row>
    <row r="112" spans="1:12" outlineLevel="1" x14ac:dyDescent="0.2">
      <c r="A112" s="20">
        <f t="shared" si="23"/>
        <v>11711</v>
      </c>
      <c r="B112" s="19" t="str">
        <f t="shared" si="23"/>
        <v>UHCL</v>
      </c>
      <c r="C112" s="117">
        <f t="shared" si="20"/>
        <v>1</v>
      </c>
      <c r="D112" s="81">
        <f t="shared" si="24"/>
        <v>0.1</v>
      </c>
      <c r="E112" s="81">
        <f t="shared" si="24"/>
        <v>0.25</v>
      </c>
      <c r="F112" s="81">
        <f t="shared" si="24"/>
        <v>0.05</v>
      </c>
      <c r="G112" s="81">
        <f t="shared" si="24"/>
        <v>0.05</v>
      </c>
      <c r="H112" s="81">
        <f t="shared" si="24"/>
        <v>0.25</v>
      </c>
      <c r="I112" s="81">
        <f t="shared" si="24"/>
        <v>0.1</v>
      </c>
      <c r="J112" s="81">
        <f t="shared" si="24"/>
        <v>0.2</v>
      </c>
      <c r="K112" s="82">
        <f t="shared" si="24"/>
        <v>0</v>
      </c>
      <c r="L112" s="74"/>
    </row>
    <row r="113" spans="1:15" outlineLevel="1" x14ac:dyDescent="0.2">
      <c r="A113" s="20">
        <f t="shared" si="23"/>
        <v>12826</v>
      </c>
      <c r="B113" s="19" t="str">
        <f t="shared" si="23"/>
        <v>UHD</v>
      </c>
      <c r="C113" s="117">
        <f t="shared" si="20"/>
        <v>1</v>
      </c>
      <c r="D113" s="81">
        <f t="shared" si="24"/>
        <v>0.05</v>
      </c>
      <c r="E113" s="81">
        <f t="shared" si="24"/>
        <v>0.1</v>
      </c>
      <c r="F113" s="81">
        <f t="shared" si="24"/>
        <v>0</v>
      </c>
      <c r="G113" s="81">
        <f t="shared" si="24"/>
        <v>0.05</v>
      </c>
      <c r="H113" s="81">
        <f t="shared" si="24"/>
        <v>0.25</v>
      </c>
      <c r="I113" s="81">
        <f t="shared" si="24"/>
        <v>0.2</v>
      </c>
      <c r="J113" s="81">
        <f t="shared" si="24"/>
        <v>0.25</v>
      </c>
      <c r="K113" s="82">
        <f t="shared" si="24"/>
        <v>0.1</v>
      </c>
      <c r="L113" s="74"/>
    </row>
    <row r="114" spans="1:15" outlineLevel="1" x14ac:dyDescent="0.2">
      <c r="A114" s="20">
        <f t="shared" si="23"/>
        <v>13231</v>
      </c>
      <c r="B114" s="19" t="str">
        <f t="shared" si="23"/>
        <v>UHV</v>
      </c>
      <c r="C114" s="117">
        <f t="shared" si="20"/>
        <v>0.99999999999999989</v>
      </c>
      <c r="D114" s="81">
        <f t="shared" si="24"/>
        <v>0.05</v>
      </c>
      <c r="E114" s="81">
        <f t="shared" si="24"/>
        <v>0.25</v>
      </c>
      <c r="F114" s="81">
        <f t="shared" si="24"/>
        <v>0.1</v>
      </c>
      <c r="G114" s="81">
        <f t="shared" si="24"/>
        <v>0.05</v>
      </c>
      <c r="H114" s="81">
        <f t="shared" si="24"/>
        <v>0.25</v>
      </c>
      <c r="I114" s="81">
        <f t="shared" si="24"/>
        <v>0.2</v>
      </c>
      <c r="J114" s="81">
        <f t="shared" si="24"/>
        <v>0.1</v>
      </c>
      <c r="K114" s="82">
        <f t="shared" si="24"/>
        <v>0</v>
      </c>
      <c r="L114" s="74"/>
    </row>
    <row r="115" spans="1:15" outlineLevel="1" x14ac:dyDescent="0.2">
      <c r="A115" s="20">
        <f t="shared" si="23"/>
        <v>3592</v>
      </c>
      <c r="B115" s="19" t="str">
        <f t="shared" si="23"/>
        <v>Midwestern</v>
      </c>
      <c r="C115" s="117">
        <f t="shared" si="20"/>
        <v>1</v>
      </c>
      <c r="D115" s="81">
        <f t="shared" si="24"/>
        <v>0.05</v>
      </c>
      <c r="E115" s="81">
        <f t="shared" si="24"/>
        <v>0.25</v>
      </c>
      <c r="F115" s="81">
        <f t="shared" si="24"/>
        <v>0</v>
      </c>
      <c r="G115" s="81">
        <f t="shared" si="24"/>
        <v>0.05</v>
      </c>
      <c r="H115" s="81">
        <f t="shared" si="24"/>
        <v>0.25</v>
      </c>
      <c r="I115" s="81">
        <f t="shared" si="24"/>
        <v>0.1</v>
      </c>
      <c r="J115" s="81">
        <f t="shared" si="24"/>
        <v>0.1</v>
      </c>
      <c r="K115" s="82">
        <f t="shared" si="24"/>
        <v>0.2</v>
      </c>
      <c r="L115" s="74"/>
    </row>
    <row r="116" spans="1:15" outlineLevel="1" x14ac:dyDescent="0.2">
      <c r="A116" s="20">
        <f t="shared" si="23"/>
        <v>3594</v>
      </c>
      <c r="B116" s="19" t="str">
        <f t="shared" si="23"/>
        <v>UNT</v>
      </c>
      <c r="C116" s="117">
        <f t="shared" si="20"/>
        <v>0.99999999999999989</v>
      </c>
      <c r="D116" s="81">
        <f t="shared" si="24"/>
        <v>0.05</v>
      </c>
      <c r="E116" s="81">
        <f t="shared" si="24"/>
        <v>0.25</v>
      </c>
      <c r="F116" s="81">
        <f t="shared" si="24"/>
        <v>0</v>
      </c>
      <c r="G116" s="81">
        <f t="shared" si="24"/>
        <v>0.05</v>
      </c>
      <c r="H116" s="81">
        <f t="shared" si="24"/>
        <v>0.25</v>
      </c>
      <c r="I116" s="81">
        <f t="shared" si="24"/>
        <v>0.1</v>
      </c>
      <c r="J116" s="81">
        <f t="shared" si="24"/>
        <v>0.2</v>
      </c>
      <c r="K116" s="82">
        <f t="shared" si="24"/>
        <v>0.1</v>
      </c>
      <c r="L116" s="74"/>
      <c r="O116" s="76"/>
    </row>
    <row r="117" spans="1:15" outlineLevel="1" x14ac:dyDescent="0.2">
      <c r="A117" s="27">
        <f t="shared" si="23"/>
        <v>113594</v>
      </c>
      <c r="B117" s="19" t="str">
        <f t="shared" si="23"/>
        <v>UNTD</v>
      </c>
      <c r="C117" s="117">
        <f t="shared" si="20"/>
        <v>1</v>
      </c>
      <c r="D117" s="81">
        <f t="shared" si="24"/>
        <v>0.1</v>
      </c>
      <c r="E117" s="81">
        <f t="shared" si="24"/>
        <v>0.25</v>
      </c>
      <c r="F117" s="81">
        <f t="shared" si="24"/>
        <v>0.2</v>
      </c>
      <c r="G117" s="81">
        <f t="shared" si="24"/>
        <v>0.05</v>
      </c>
      <c r="H117" s="81">
        <f t="shared" si="24"/>
        <v>0.25</v>
      </c>
      <c r="I117" s="81">
        <f t="shared" si="24"/>
        <v>0.1</v>
      </c>
      <c r="J117" s="81">
        <f t="shared" si="24"/>
        <v>0.05</v>
      </c>
      <c r="K117" s="82">
        <f t="shared" si="24"/>
        <v>0</v>
      </c>
      <c r="L117" s="74"/>
    </row>
    <row r="118" spans="1:15" outlineLevel="1" x14ac:dyDescent="0.2">
      <c r="A118" s="20">
        <f t="shared" si="23"/>
        <v>3624</v>
      </c>
      <c r="B118" s="19" t="str">
        <f t="shared" si="23"/>
        <v>SFA</v>
      </c>
      <c r="C118" s="117">
        <f t="shared" si="20"/>
        <v>1</v>
      </c>
      <c r="D118" s="81">
        <f t="shared" si="24"/>
        <v>0.05</v>
      </c>
      <c r="E118" s="81">
        <f t="shared" si="24"/>
        <v>0.25</v>
      </c>
      <c r="F118" s="81">
        <f t="shared" si="24"/>
        <v>0</v>
      </c>
      <c r="G118" s="81">
        <f t="shared" si="24"/>
        <v>0.05</v>
      </c>
      <c r="H118" s="81">
        <f t="shared" si="24"/>
        <v>0.25</v>
      </c>
      <c r="I118" s="81">
        <f t="shared" si="24"/>
        <v>0.1</v>
      </c>
      <c r="J118" s="81">
        <f t="shared" si="24"/>
        <v>0.1</v>
      </c>
      <c r="K118" s="82">
        <f t="shared" si="24"/>
        <v>0.2</v>
      </c>
      <c r="L118" s="74"/>
    </row>
    <row r="119" spans="1:15" outlineLevel="1" x14ac:dyDescent="0.2">
      <c r="A119" s="20">
        <f t="shared" si="23"/>
        <v>3642</v>
      </c>
      <c r="B119" s="19" t="str">
        <f t="shared" si="23"/>
        <v>TSU</v>
      </c>
      <c r="C119" s="117">
        <f t="shared" si="20"/>
        <v>1</v>
      </c>
      <c r="D119" s="81">
        <f t="shared" si="24"/>
        <v>0.05</v>
      </c>
      <c r="E119" s="81">
        <f t="shared" si="24"/>
        <v>0.1</v>
      </c>
      <c r="F119" s="81">
        <f t="shared" si="24"/>
        <v>0</v>
      </c>
      <c r="G119" s="81">
        <f t="shared" si="24"/>
        <v>0.05</v>
      </c>
      <c r="H119" s="81">
        <f t="shared" si="24"/>
        <v>0.25</v>
      </c>
      <c r="I119" s="81">
        <f t="shared" si="24"/>
        <v>0.1</v>
      </c>
      <c r="J119" s="81">
        <f t="shared" si="24"/>
        <v>0.2</v>
      </c>
      <c r="K119" s="82">
        <f t="shared" si="24"/>
        <v>0.25</v>
      </c>
      <c r="L119" s="74"/>
    </row>
    <row r="120" spans="1:15" outlineLevel="1" x14ac:dyDescent="0.2">
      <c r="A120" s="20">
        <f t="shared" si="23"/>
        <v>3644</v>
      </c>
      <c r="B120" s="19" t="str">
        <f t="shared" si="23"/>
        <v>TTU</v>
      </c>
      <c r="C120" s="117">
        <f t="shared" si="20"/>
        <v>1</v>
      </c>
      <c r="D120" s="81">
        <f t="shared" ref="D120:K127" si="25">HLOOKUP(D161,$D$170:$K$171,2,0)</f>
        <v>0.05</v>
      </c>
      <c r="E120" s="81">
        <f t="shared" si="25"/>
        <v>0.25</v>
      </c>
      <c r="F120" s="81">
        <f t="shared" si="25"/>
        <v>0</v>
      </c>
      <c r="G120" s="81">
        <f t="shared" si="25"/>
        <v>0.05</v>
      </c>
      <c r="H120" s="81">
        <f t="shared" si="25"/>
        <v>0.25</v>
      </c>
      <c r="I120" s="81">
        <f t="shared" si="25"/>
        <v>0.1</v>
      </c>
      <c r="J120" s="81">
        <f t="shared" si="25"/>
        <v>0.1</v>
      </c>
      <c r="K120" s="82">
        <f t="shared" si="25"/>
        <v>0.2</v>
      </c>
      <c r="L120" s="74"/>
    </row>
    <row r="121" spans="1:15" outlineLevel="1" x14ac:dyDescent="0.2">
      <c r="A121" s="20">
        <f t="shared" si="23"/>
        <v>3541</v>
      </c>
      <c r="B121" s="19" t="str">
        <f t="shared" si="23"/>
        <v>Angelo</v>
      </c>
      <c r="C121" s="117">
        <f t="shared" si="20"/>
        <v>1</v>
      </c>
      <c r="D121" s="81">
        <f t="shared" si="25"/>
        <v>0.05</v>
      </c>
      <c r="E121" s="81">
        <f t="shared" si="25"/>
        <v>0.25</v>
      </c>
      <c r="F121" s="81">
        <f t="shared" si="25"/>
        <v>0</v>
      </c>
      <c r="G121" s="81">
        <f t="shared" si="25"/>
        <v>0.05</v>
      </c>
      <c r="H121" s="81">
        <f t="shared" si="25"/>
        <v>0.25</v>
      </c>
      <c r="I121" s="81">
        <f t="shared" si="25"/>
        <v>0.1</v>
      </c>
      <c r="J121" s="81">
        <f t="shared" si="25"/>
        <v>0.1</v>
      </c>
      <c r="K121" s="82">
        <f t="shared" si="25"/>
        <v>0.2</v>
      </c>
      <c r="L121" s="74"/>
    </row>
    <row r="122" spans="1:15" outlineLevel="1" x14ac:dyDescent="0.2">
      <c r="A122" s="20">
        <f t="shared" ref="A122:B127" si="26">A37</f>
        <v>3646</v>
      </c>
      <c r="B122" s="19" t="str">
        <f t="shared" si="26"/>
        <v>TWU</v>
      </c>
      <c r="C122" s="117">
        <f t="shared" si="20"/>
        <v>1</v>
      </c>
      <c r="D122" s="81">
        <f t="shared" si="25"/>
        <v>0.05</v>
      </c>
      <c r="E122" s="81">
        <f t="shared" si="25"/>
        <v>0.25</v>
      </c>
      <c r="F122" s="81">
        <f t="shared" si="25"/>
        <v>0</v>
      </c>
      <c r="G122" s="81">
        <f t="shared" si="25"/>
        <v>0.05</v>
      </c>
      <c r="H122" s="81">
        <f t="shared" si="25"/>
        <v>0.25</v>
      </c>
      <c r="I122" s="81">
        <f t="shared" si="25"/>
        <v>0.2</v>
      </c>
      <c r="J122" s="81">
        <f t="shared" si="25"/>
        <v>0.1</v>
      </c>
      <c r="K122" s="82">
        <f t="shared" si="25"/>
        <v>0.1</v>
      </c>
      <c r="L122" s="74"/>
    </row>
    <row r="123" spans="1:15" outlineLevel="1" x14ac:dyDescent="0.2">
      <c r="A123" s="20">
        <f t="shared" si="26"/>
        <v>3581</v>
      </c>
      <c r="B123" s="19" t="str">
        <f t="shared" si="26"/>
        <v>Lamar</v>
      </c>
      <c r="C123" s="117">
        <f t="shared" si="20"/>
        <v>1</v>
      </c>
      <c r="D123" s="81">
        <f t="shared" si="25"/>
        <v>0.05</v>
      </c>
      <c r="E123" s="81">
        <f t="shared" si="25"/>
        <v>0.1</v>
      </c>
      <c r="F123" s="81">
        <f t="shared" si="25"/>
        <v>0</v>
      </c>
      <c r="G123" s="81">
        <f t="shared" si="25"/>
        <v>0.05</v>
      </c>
      <c r="H123" s="81">
        <f t="shared" si="25"/>
        <v>0.25</v>
      </c>
      <c r="I123" s="81">
        <f t="shared" si="25"/>
        <v>0.1</v>
      </c>
      <c r="J123" s="81">
        <f t="shared" si="25"/>
        <v>0.2</v>
      </c>
      <c r="K123" s="82">
        <f t="shared" si="25"/>
        <v>0.25</v>
      </c>
      <c r="L123" s="74"/>
    </row>
    <row r="124" spans="1:15" outlineLevel="1" x14ac:dyDescent="0.2">
      <c r="A124" s="20">
        <f t="shared" si="26"/>
        <v>3606</v>
      </c>
      <c r="B124" s="19" t="str">
        <f t="shared" si="26"/>
        <v>SHSU</v>
      </c>
      <c r="C124" s="117">
        <f t="shared" si="20"/>
        <v>0.99999999999999989</v>
      </c>
      <c r="D124" s="81">
        <f t="shared" si="25"/>
        <v>0.05</v>
      </c>
      <c r="E124" s="81">
        <f t="shared" si="25"/>
        <v>0.25</v>
      </c>
      <c r="F124" s="81">
        <f t="shared" si="25"/>
        <v>0</v>
      </c>
      <c r="G124" s="81">
        <f t="shared" si="25"/>
        <v>0.05</v>
      </c>
      <c r="H124" s="81">
        <f t="shared" si="25"/>
        <v>0.25</v>
      </c>
      <c r="I124" s="81">
        <f t="shared" si="25"/>
        <v>0.1</v>
      </c>
      <c r="J124" s="81">
        <f t="shared" si="25"/>
        <v>0.2</v>
      </c>
      <c r="K124" s="82">
        <f t="shared" si="25"/>
        <v>0.1</v>
      </c>
      <c r="L124" s="74"/>
    </row>
    <row r="125" spans="1:15" outlineLevel="1" x14ac:dyDescent="0.2">
      <c r="A125" s="20">
        <f t="shared" si="26"/>
        <v>3615</v>
      </c>
      <c r="B125" s="19" t="str">
        <f t="shared" si="26"/>
        <v>TXST</v>
      </c>
      <c r="C125" s="117">
        <f t="shared" si="20"/>
        <v>0.99999999999999989</v>
      </c>
      <c r="D125" s="81">
        <f t="shared" si="25"/>
        <v>0.05</v>
      </c>
      <c r="E125" s="81">
        <f t="shared" si="25"/>
        <v>0.25</v>
      </c>
      <c r="F125" s="81">
        <f t="shared" si="25"/>
        <v>0</v>
      </c>
      <c r="G125" s="81">
        <f t="shared" si="25"/>
        <v>0.05</v>
      </c>
      <c r="H125" s="81">
        <f t="shared" si="25"/>
        <v>0.25</v>
      </c>
      <c r="I125" s="81">
        <f t="shared" si="25"/>
        <v>0.1</v>
      </c>
      <c r="J125" s="81">
        <f t="shared" si="25"/>
        <v>0.2</v>
      </c>
      <c r="K125" s="82">
        <f t="shared" si="25"/>
        <v>0.1</v>
      </c>
      <c r="L125" s="74"/>
    </row>
    <row r="126" spans="1:15" outlineLevel="1" x14ac:dyDescent="0.2">
      <c r="A126" s="20">
        <f t="shared" si="26"/>
        <v>3625</v>
      </c>
      <c r="B126" s="19" t="str">
        <f t="shared" si="26"/>
        <v>SRSU</v>
      </c>
      <c r="C126" s="117">
        <f t="shared" si="20"/>
        <v>1</v>
      </c>
      <c r="D126" s="81">
        <f t="shared" si="25"/>
        <v>0</v>
      </c>
      <c r="E126" s="81">
        <f t="shared" si="25"/>
        <v>0.1</v>
      </c>
      <c r="F126" s="81">
        <f t="shared" si="25"/>
        <v>0.05</v>
      </c>
      <c r="G126" s="81">
        <f t="shared" si="25"/>
        <v>0.05</v>
      </c>
      <c r="H126" s="81">
        <f t="shared" si="25"/>
        <v>0.25</v>
      </c>
      <c r="I126" s="81">
        <f t="shared" si="25"/>
        <v>0.1</v>
      </c>
      <c r="J126" s="81">
        <f t="shared" si="25"/>
        <v>0.2</v>
      </c>
      <c r="K126" s="82">
        <f t="shared" si="25"/>
        <v>0.25</v>
      </c>
      <c r="L126" s="74"/>
    </row>
    <row r="127" spans="1:15" ht="13.5" outlineLevel="1" thickBot="1" x14ac:dyDescent="0.25">
      <c r="A127" s="111">
        <f t="shared" si="26"/>
        <v>20</v>
      </c>
      <c r="B127" s="112" t="str">
        <f t="shared" si="26"/>
        <v>SRRG</v>
      </c>
      <c r="C127" s="139">
        <f t="shared" si="20"/>
        <v>1</v>
      </c>
      <c r="D127" s="119">
        <f t="shared" si="25"/>
        <v>0.05</v>
      </c>
      <c r="E127" s="119">
        <f t="shared" si="25"/>
        <v>0.2</v>
      </c>
      <c r="F127" s="119">
        <f t="shared" si="25"/>
        <v>0.25</v>
      </c>
      <c r="G127" s="119">
        <f t="shared" si="25"/>
        <v>0.05</v>
      </c>
      <c r="H127" s="119">
        <f t="shared" si="25"/>
        <v>0.25</v>
      </c>
      <c r="I127" s="119">
        <f t="shared" si="25"/>
        <v>0.1</v>
      </c>
      <c r="J127" s="119">
        <f t="shared" si="25"/>
        <v>0.1</v>
      </c>
      <c r="K127" s="140">
        <f t="shared" si="25"/>
        <v>0</v>
      </c>
      <c r="L127" s="74"/>
    </row>
    <row r="128" spans="1:15" ht="13.5" thickBot="1" x14ac:dyDescent="0.25">
      <c r="A128" s="75" t="s">
        <v>83</v>
      </c>
      <c r="B128" s="58"/>
      <c r="C128" s="79"/>
      <c r="D128" s="90"/>
      <c r="E128" s="90"/>
      <c r="F128" s="90"/>
      <c r="G128" s="90"/>
      <c r="H128" s="90"/>
      <c r="I128" s="90"/>
      <c r="J128" s="90"/>
      <c r="K128" s="90"/>
      <c r="L128" s="74"/>
    </row>
    <row r="129" spans="1:12" ht="12.75" customHeight="1" outlineLevel="1" x14ac:dyDescent="0.2">
      <c r="A129" s="167" t="s">
        <v>22</v>
      </c>
      <c r="B129" s="169" t="s">
        <v>21</v>
      </c>
      <c r="C129" s="171" t="s">
        <v>72</v>
      </c>
      <c r="D129" s="174" t="s">
        <v>33</v>
      </c>
      <c r="E129" s="174"/>
      <c r="F129" s="174"/>
      <c r="G129" s="174"/>
      <c r="H129" s="176" t="s">
        <v>16</v>
      </c>
      <c r="I129" s="178" t="s">
        <v>32</v>
      </c>
      <c r="J129" s="179"/>
      <c r="K129" s="180"/>
      <c r="L129" s="74"/>
    </row>
    <row r="130" spans="1:12" ht="51.75" customHeight="1" outlineLevel="1" thickBot="1" x14ac:dyDescent="0.25">
      <c r="A130" s="168"/>
      <c r="B130" s="170"/>
      <c r="C130" s="172"/>
      <c r="D130" s="100"/>
      <c r="E130" s="101" t="s">
        <v>31</v>
      </c>
      <c r="F130" s="101" t="s">
        <v>30</v>
      </c>
      <c r="G130" s="102" t="s">
        <v>29</v>
      </c>
      <c r="H130" s="190"/>
      <c r="I130" s="103" t="s">
        <v>14</v>
      </c>
      <c r="J130" s="104" t="s">
        <v>13</v>
      </c>
      <c r="K130" s="110" t="s">
        <v>12</v>
      </c>
      <c r="L130" s="74"/>
    </row>
    <row r="131" spans="1:12" outlineLevel="1" x14ac:dyDescent="0.2">
      <c r="A131" s="20">
        <f t="shared" ref="A131:B146" si="27">A90</f>
        <v>3656</v>
      </c>
      <c r="B131" s="19" t="str">
        <f t="shared" si="27"/>
        <v>UTA</v>
      </c>
      <c r="C131" s="79"/>
      <c r="D131" s="83">
        <f t="shared" ref="D131:K140" si="28">RANK(D177,$D177:$K177)</f>
        <v>7</v>
      </c>
      <c r="E131" s="84">
        <f t="shared" si="28"/>
        <v>2</v>
      </c>
      <c r="F131" s="84">
        <f t="shared" si="28"/>
        <v>8</v>
      </c>
      <c r="G131" s="85">
        <f t="shared" si="28"/>
        <v>6</v>
      </c>
      <c r="H131" s="86">
        <f t="shared" si="28"/>
        <v>1</v>
      </c>
      <c r="I131" s="83">
        <f t="shared" si="28"/>
        <v>3</v>
      </c>
      <c r="J131" s="84">
        <f t="shared" si="28"/>
        <v>4</v>
      </c>
      <c r="K131" s="85">
        <f t="shared" si="28"/>
        <v>5</v>
      </c>
      <c r="L131" s="74"/>
    </row>
    <row r="132" spans="1:12" outlineLevel="1" x14ac:dyDescent="0.2">
      <c r="A132" s="20">
        <f t="shared" si="27"/>
        <v>3658</v>
      </c>
      <c r="B132" s="19" t="str">
        <f t="shared" si="27"/>
        <v>UT</v>
      </c>
      <c r="C132" s="79"/>
      <c r="D132" s="87">
        <f t="shared" si="28"/>
        <v>7</v>
      </c>
      <c r="E132" s="88">
        <f t="shared" si="28"/>
        <v>1</v>
      </c>
      <c r="F132" s="88">
        <f t="shared" si="28"/>
        <v>8</v>
      </c>
      <c r="G132" s="89">
        <f t="shared" si="28"/>
        <v>6</v>
      </c>
      <c r="H132" s="87">
        <f t="shared" si="28"/>
        <v>3</v>
      </c>
      <c r="I132" s="87">
        <f t="shared" si="28"/>
        <v>5</v>
      </c>
      <c r="J132" s="88">
        <f t="shared" si="28"/>
        <v>4</v>
      </c>
      <c r="K132" s="89">
        <f t="shared" si="28"/>
        <v>2</v>
      </c>
      <c r="L132" s="74"/>
    </row>
    <row r="133" spans="1:12" outlineLevel="1" x14ac:dyDescent="0.2">
      <c r="A133" s="20">
        <f t="shared" si="27"/>
        <v>9741</v>
      </c>
      <c r="B133" s="19" t="str">
        <f t="shared" si="27"/>
        <v>UTD</v>
      </c>
      <c r="C133" s="79"/>
      <c r="D133" s="87">
        <f t="shared" si="28"/>
        <v>7</v>
      </c>
      <c r="E133" s="88">
        <f t="shared" si="28"/>
        <v>1</v>
      </c>
      <c r="F133" s="88">
        <f t="shared" si="28"/>
        <v>8</v>
      </c>
      <c r="G133" s="89">
        <f t="shared" si="28"/>
        <v>6</v>
      </c>
      <c r="H133" s="87">
        <f t="shared" si="28"/>
        <v>2</v>
      </c>
      <c r="I133" s="87">
        <f t="shared" si="28"/>
        <v>4</v>
      </c>
      <c r="J133" s="88">
        <f t="shared" si="28"/>
        <v>3</v>
      </c>
      <c r="K133" s="89">
        <f t="shared" si="28"/>
        <v>5</v>
      </c>
      <c r="L133" s="74"/>
    </row>
    <row r="134" spans="1:12" outlineLevel="1" x14ac:dyDescent="0.2">
      <c r="A134" s="20">
        <f t="shared" si="27"/>
        <v>3661</v>
      </c>
      <c r="B134" s="19" t="str">
        <f t="shared" si="27"/>
        <v>UTEP</v>
      </c>
      <c r="C134" s="79"/>
      <c r="D134" s="87">
        <f t="shared" si="28"/>
        <v>7</v>
      </c>
      <c r="E134" s="88">
        <f t="shared" si="28"/>
        <v>3</v>
      </c>
      <c r="F134" s="88">
        <f t="shared" si="28"/>
        <v>8</v>
      </c>
      <c r="G134" s="89">
        <f t="shared" si="28"/>
        <v>6</v>
      </c>
      <c r="H134" s="87">
        <f t="shared" si="28"/>
        <v>1</v>
      </c>
      <c r="I134" s="87">
        <f t="shared" si="28"/>
        <v>5</v>
      </c>
      <c r="J134" s="88">
        <f t="shared" si="28"/>
        <v>2</v>
      </c>
      <c r="K134" s="89">
        <f t="shared" si="28"/>
        <v>4</v>
      </c>
      <c r="L134" s="74"/>
    </row>
    <row r="135" spans="1:12" outlineLevel="1" x14ac:dyDescent="0.2">
      <c r="A135" s="20">
        <f t="shared" si="27"/>
        <v>3599</v>
      </c>
      <c r="B135" s="19" t="str">
        <f t="shared" si="27"/>
        <v>UTPA</v>
      </c>
      <c r="C135" s="79"/>
      <c r="D135" s="87">
        <f t="shared" si="28"/>
        <v>6</v>
      </c>
      <c r="E135" s="88">
        <f t="shared" si="28"/>
        <v>2</v>
      </c>
      <c r="F135" s="88">
        <f t="shared" si="28"/>
        <v>8</v>
      </c>
      <c r="G135" s="89">
        <f t="shared" si="28"/>
        <v>7</v>
      </c>
      <c r="H135" s="87">
        <f t="shared" si="28"/>
        <v>1</v>
      </c>
      <c r="I135" s="87">
        <f t="shared" si="28"/>
        <v>5</v>
      </c>
      <c r="J135" s="88">
        <f t="shared" si="28"/>
        <v>4</v>
      </c>
      <c r="K135" s="89">
        <f t="shared" si="28"/>
        <v>3</v>
      </c>
      <c r="L135" s="74"/>
    </row>
    <row r="136" spans="1:12" outlineLevel="1" x14ac:dyDescent="0.2">
      <c r="A136" s="20">
        <f t="shared" si="27"/>
        <v>30646</v>
      </c>
      <c r="B136" s="19" t="str">
        <f t="shared" si="27"/>
        <v>UTB</v>
      </c>
      <c r="C136" s="79"/>
      <c r="D136" s="87">
        <f t="shared" si="28"/>
        <v>5</v>
      </c>
      <c r="E136" s="88">
        <f t="shared" si="28"/>
        <v>2</v>
      </c>
      <c r="F136" s="88">
        <f t="shared" si="28"/>
        <v>7</v>
      </c>
      <c r="G136" s="89">
        <f t="shared" si="28"/>
        <v>6</v>
      </c>
      <c r="H136" s="87">
        <f t="shared" si="28"/>
        <v>1</v>
      </c>
      <c r="I136" s="87">
        <f t="shared" si="28"/>
        <v>3</v>
      </c>
      <c r="J136" s="88">
        <f t="shared" si="28"/>
        <v>4</v>
      </c>
      <c r="K136" s="89">
        <f t="shared" si="28"/>
        <v>8</v>
      </c>
      <c r="L136" s="74"/>
    </row>
    <row r="137" spans="1:12" outlineLevel="1" x14ac:dyDescent="0.2">
      <c r="A137" s="20">
        <f t="shared" si="27"/>
        <v>9930</v>
      </c>
      <c r="B137" s="19" t="str">
        <f t="shared" si="27"/>
        <v>UTPB</v>
      </c>
      <c r="C137" s="79"/>
      <c r="D137" s="87">
        <f t="shared" si="28"/>
        <v>7</v>
      </c>
      <c r="E137" s="88">
        <f t="shared" si="28"/>
        <v>2</v>
      </c>
      <c r="F137" s="88">
        <f t="shared" si="28"/>
        <v>6</v>
      </c>
      <c r="G137" s="89">
        <f t="shared" si="28"/>
        <v>8</v>
      </c>
      <c r="H137" s="87">
        <f t="shared" si="28"/>
        <v>1</v>
      </c>
      <c r="I137" s="87">
        <f t="shared" si="28"/>
        <v>4</v>
      </c>
      <c r="J137" s="88">
        <f t="shared" si="28"/>
        <v>3</v>
      </c>
      <c r="K137" s="89">
        <f t="shared" si="28"/>
        <v>5</v>
      </c>
      <c r="L137" s="74"/>
    </row>
    <row r="138" spans="1:12" outlineLevel="1" x14ac:dyDescent="0.2">
      <c r="A138" s="20">
        <f t="shared" si="27"/>
        <v>10115</v>
      </c>
      <c r="B138" s="19" t="str">
        <f t="shared" si="27"/>
        <v>UTSA</v>
      </c>
      <c r="C138" s="79"/>
      <c r="D138" s="87">
        <f t="shared" si="28"/>
        <v>7</v>
      </c>
      <c r="E138" s="88">
        <f t="shared" si="28"/>
        <v>2</v>
      </c>
      <c r="F138" s="88">
        <f t="shared" si="28"/>
        <v>8</v>
      </c>
      <c r="G138" s="89">
        <f t="shared" si="28"/>
        <v>6</v>
      </c>
      <c r="H138" s="87">
        <f t="shared" si="28"/>
        <v>1</v>
      </c>
      <c r="I138" s="87">
        <f t="shared" si="28"/>
        <v>5</v>
      </c>
      <c r="J138" s="88">
        <f t="shared" si="28"/>
        <v>3</v>
      </c>
      <c r="K138" s="89">
        <f t="shared" si="28"/>
        <v>4</v>
      </c>
      <c r="L138" s="74"/>
    </row>
    <row r="139" spans="1:12" outlineLevel="1" x14ac:dyDescent="0.2">
      <c r="A139" s="20">
        <f t="shared" si="27"/>
        <v>11163</v>
      </c>
      <c r="B139" s="19" t="str">
        <f t="shared" si="27"/>
        <v>UTT</v>
      </c>
      <c r="C139" s="79"/>
      <c r="D139" s="87">
        <f t="shared" si="28"/>
        <v>6</v>
      </c>
      <c r="E139" s="88">
        <f t="shared" si="28"/>
        <v>2</v>
      </c>
      <c r="F139" s="88">
        <f t="shared" si="28"/>
        <v>8</v>
      </c>
      <c r="G139" s="89">
        <f t="shared" si="28"/>
        <v>7</v>
      </c>
      <c r="H139" s="87">
        <f t="shared" si="28"/>
        <v>1</v>
      </c>
      <c r="I139" s="87">
        <f t="shared" si="28"/>
        <v>4</v>
      </c>
      <c r="J139" s="88">
        <f t="shared" si="28"/>
        <v>3</v>
      </c>
      <c r="K139" s="89">
        <f t="shared" si="28"/>
        <v>5</v>
      </c>
      <c r="L139" s="74"/>
    </row>
    <row r="140" spans="1:12" outlineLevel="1" x14ac:dyDescent="0.2">
      <c r="A140" s="20">
        <f t="shared" si="27"/>
        <v>3632</v>
      </c>
      <c r="B140" s="19" t="str">
        <f t="shared" si="27"/>
        <v>TAMU</v>
      </c>
      <c r="C140" s="79"/>
      <c r="D140" s="87">
        <f t="shared" si="28"/>
        <v>7</v>
      </c>
      <c r="E140" s="88">
        <f t="shared" si="28"/>
        <v>1</v>
      </c>
      <c r="F140" s="88">
        <f t="shared" si="28"/>
        <v>8</v>
      </c>
      <c r="G140" s="89">
        <f t="shared" si="28"/>
        <v>6</v>
      </c>
      <c r="H140" s="87">
        <f t="shared" si="28"/>
        <v>3</v>
      </c>
      <c r="I140" s="87">
        <f t="shared" si="28"/>
        <v>5</v>
      </c>
      <c r="J140" s="88">
        <f t="shared" si="28"/>
        <v>4</v>
      </c>
      <c r="K140" s="89">
        <f t="shared" si="28"/>
        <v>2</v>
      </c>
      <c r="L140" s="74"/>
    </row>
    <row r="141" spans="1:12" outlineLevel="1" x14ac:dyDescent="0.2">
      <c r="A141" s="20">
        <f t="shared" si="27"/>
        <v>10298</v>
      </c>
      <c r="B141" s="19" t="str">
        <f t="shared" si="27"/>
        <v>TAMUG</v>
      </c>
      <c r="C141" s="79"/>
      <c r="D141" s="87">
        <f t="shared" ref="D141:K150" si="29">RANK(D187,$D187:$K187)</f>
        <v>8</v>
      </c>
      <c r="E141" s="88">
        <f t="shared" si="29"/>
        <v>1</v>
      </c>
      <c r="F141" s="88">
        <f t="shared" si="29"/>
        <v>6</v>
      </c>
      <c r="G141" s="89">
        <f t="shared" si="29"/>
        <v>7</v>
      </c>
      <c r="H141" s="87">
        <f t="shared" si="29"/>
        <v>2</v>
      </c>
      <c r="I141" s="87">
        <f t="shared" si="29"/>
        <v>4</v>
      </c>
      <c r="J141" s="88">
        <f t="shared" si="29"/>
        <v>5</v>
      </c>
      <c r="K141" s="89">
        <f t="shared" si="29"/>
        <v>3</v>
      </c>
      <c r="L141" s="74"/>
    </row>
    <row r="142" spans="1:12" outlineLevel="1" x14ac:dyDescent="0.2">
      <c r="A142" s="20">
        <f t="shared" si="27"/>
        <v>3630</v>
      </c>
      <c r="B142" s="19" t="str">
        <f t="shared" si="27"/>
        <v>Prairie View</v>
      </c>
      <c r="C142" s="79"/>
      <c r="D142" s="87">
        <f t="shared" si="29"/>
        <v>7</v>
      </c>
      <c r="E142" s="88">
        <f t="shared" si="29"/>
        <v>5</v>
      </c>
      <c r="F142" s="88">
        <f t="shared" si="29"/>
        <v>8</v>
      </c>
      <c r="G142" s="89">
        <f t="shared" si="29"/>
        <v>6</v>
      </c>
      <c r="H142" s="87">
        <f t="shared" si="29"/>
        <v>1</v>
      </c>
      <c r="I142" s="87">
        <f t="shared" si="29"/>
        <v>4</v>
      </c>
      <c r="J142" s="88">
        <f t="shared" si="29"/>
        <v>3</v>
      </c>
      <c r="K142" s="89">
        <f t="shared" si="29"/>
        <v>2</v>
      </c>
      <c r="L142" s="74"/>
    </row>
    <row r="143" spans="1:12" outlineLevel="1" x14ac:dyDescent="0.2">
      <c r="A143" s="20">
        <f t="shared" si="27"/>
        <v>3631</v>
      </c>
      <c r="B143" s="19" t="str">
        <f t="shared" si="27"/>
        <v>Tarleton</v>
      </c>
      <c r="C143" s="79"/>
      <c r="D143" s="87">
        <f t="shared" si="29"/>
        <v>7</v>
      </c>
      <c r="E143" s="88">
        <f t="shared" si="29"/>
        <v>2</v>
      </c>
      <c r="F143" s="88">
        <f t="shared" si="29"/>
        <v>8</v>
      </c>
      <c r="G143" s="89">
        <f t="shared" si="29"/>
        <v>6</v>
      </c>
      <c r="H143" s="87">
        <f t="shared" si="29"/>
        <v>1</v>
      </c>
      <c r="I143" s="87">
        <f t="shared" si="29"/>
        <v>5</v>
      </c>
      <c r="J143" s="88">
        <f t="shared" si="29"/>
        <v>4</v>
      </c>
      <c r="K143" s="89">
        <f t="shared" si="29"/>
        <v>3</v>
      </c>
      <c r="L143" s="74"/>
    </row>
    <row r="144" spans="1:12" outlineLevel="1" x14ac:dyDescent="0.2">
      <c r="A144" s="27">
        <f t="shared" si="27"/>
        <v>103631</v>
      </c>
      <c r="B144" s="19" t="str">
        <f t="shared" si="27"/>
        <v>TAMUCT</v>
      </c>
      <c r="C144" s="79"/>
      <c r="D144" s="87">
        <f t="shared" si="29"/>
        <v>5</v>
      </c>
      <c r="E144" s="88">
        <f t="shared" si="29"/>
        <v>3</v>
      </c>
      <c r="F144" s="88">
        <f t="shared" si="29"/>
        <v>2</v>
      </c>
      <c r="G144" s="89">
        <f t="shared" si="29"/>
        <v>6</v>
      </c>
      <c r="H144" s="87">
        <f t="shared" si="29"/>
        <v>1</v>
      </c>
      <c r="I144" s="87">
        <f t="shared" si="29"/>
        <v>4</v>
      </c>
      <c r="J144" s="88">
        <f t="shared" si="29"/>
        <v>7</v>
      </c>
      <c r="K144" s="89">
        <f t="shared" si="29"/>
        <v>8</v>
      </c>
      <c r="L144" s="74"/>
    </row>
    <row r="145" spans="1:12" outlineLevel="1" x14ac:dyDescent="0.2">
      <c r="A145" s="20">
        <f t="shared" si="27"/>
        <v>11161</v>
      </c>
      <c r="B145" s="19" t="str">
        <f t="shared" si="27"/>
        <v>TAMUCC</v>
      </c>
      <c r="C145" s="79"/>
      <c r="D145" s="87">
        <f t="shared" si="29"/>
        <v>7</v>
      </c>
      <c r="E145" s="88">
        <f t="shared" si="29"/>
        <v>2</v>
      </c>
      <c r="F145" s="88">
        <f t="shared" si="29"/>
        <v>8</v>
      </c>
      <c r="G145" s="89">
        <f t="shared" si="29"/>
        <v>6</v>
      </c>
      <c r="H145" s="87">
        <f t="shared" si="29"/>
        <v>1</v>
      </c>
      <c r="I145" s="87">
        <f t="shared" si="29"/>
        <v>5</v>
      </c>
      <c r="J145" s="88">
        <f t="shared" si="29"/>
        <v>3</v>
      </c>
      <c r="K145" s="89">
        <f t="shared" si="29"/>
        <v>4</v>
      </c>
      <c r="L145" s="74"/>
    </row>
    <row r="146" spans="1:12" outlineLevel="1" x14ac:dyDescent="0.2">
      <c r="A146" s="20">
        <f t="shared" si="27"/>
        <v>3639</v>
      </c>
      <c r="B146" s="19" t="str">
        <f t="shared" si="27"/>
        <v>TAMUK</v>
      </c>
      <c r="C146" s="79"/>
      <c r="D146" s="87">
        <f t="shared" si="29"/>
        <v>7</v>
      </c>
      <c r="E146" s="88">
        <f t="shared" si="29"/>
        <v>4</v>
      </c>
      <c r="F146" s="88">
        <f t="shared" si="29"/>
        <v>8</v>
      </c>
      <c r="G146" s="89">
        <f t="shared" si="29"/>
        <v>6</v>
      </c>
      <c r="H146" s="87">
        <f t="shared" si="29"/>
        <v>1</v>
      </c>
      <c r="I146" s="87">
        <f t="shared" si="29"/>
        <v>5</v>
      </c>
      <c r="J146" s="88">
        <f t="shared" si="29"/>
        <v>3</v>
      </c>
      <c r="K146" s="89">
        <f t="shared" si="29"/>
        <v>2</v>
      </c>
      <c r="L146" s="74"/>
    </row>
    <row r="147" spans="1:12" outlineLevel="1" x14ac:dyDescent="0.2">
      <c r="A147" s="27">
        <f t="shared" ref="A147:B162" si="30">A106</f>
        <v>103639</v>
      </c>
      <c r="B147" s="19" t="str">
        <f t="shared" si="30"/>
        <v>TAMUSA</v>
      </c>
      <c r="C147" s="79"/>
      <c r="D147" s="87">
        <f t="shared" si="29"/>
        <v>5</v>
      </c>
      <c r="E147" s="88">
        <f t="shared" si="29"/>
        <v>2</v>
      </c>
      <c r="F147" s="88">
        <f t="shared" si="29"/>
        <v>4</v>
      </c>
      <c r="G147" s="89">
        <f t="shared" si="29"/>
        <v>6</v>
      </c>
      <c r="H147" s="87">
        <f t="shared" si="29"/>
        <v>1</v>
      </c>
      <c r="I147" s="87">
        <f t="shared" si="29"/>
        <v>3</v>
      </c>
      <c r="J147" s="88">
        <f t="shared" si="29"/>
        <v>7</v>
      </c>
      <c r="K147" s="89">
        <f t="shared" si="29"/>
        <v>8</v>
      </c>
      <c r="L147" s="74"/>
    </row>
    <row r="148" spans="1:12" outlineLevel="1" x14ac:dyDescent="0.2">
      <c r="A148" s="20">
        <f t="shared" si="30"/>
        <v>9651</v>
      </c>
      <c r="B148" s="19" t="str">
        <f t="shared" si="30"/>
        <v>TAMI</v>
      </c>
      <c r="C148" s="79"/>
      <c r="D148" s="87">
        <f t="shared" si="29"/>
        <v>6</v>
      </c>
      <c r="E148" s="88">
        <f t="shared" si="29"/>
        <v>2</v>
      </c>
      <c r="F148" s="88">
        <f t="shared" si="29"/>
        <v>8</v>
      </c>
      <c r="G148" s="89">
        <f t="shared" si="29"/>
        <v>7</v>
      </c>
      <c r="H148" s="87">
        <f t="shared" si="29"/>
        <v>1</v>
      </c>
      <c r="I148" s="87">
        <f t="shared" si="29"/>
        <v>4</v>
      </c>
      <c r="J148" s="88">
        <f t="shared" si="29"/>
        <v>3</v>
      </c>
      <c r="K148" s="89">
        <f t="shared" si="29"/>
        <v>5</v>
      </c>
      <c r="L148" s="74"/>
    </row>
    <row r="149" spans="1:12" outlineLevel="1" x14ac:dyDescent="0.2">
      <c r="A149" s="20">
        <f t="shared" si="30"/>
        <v>3665</v>
      </c>
      <c r="B149" s="19" t="str">
        <f t="shared" si="30"/>
        <v>WTAMU</v>
      </c>
      <c r="C149" s="79"/>
      <c r="D149" s="87">
        <f t="shared" si="29"/>
        <v>6</v>
      </c>
      <c r="E149" s="88">
        <f t="shared" si="29"/>
        <v>2</v>
      </c>
      <c r="F149" s="88">
        <f t="shared" si="29"/>
        <v>8</v>
      </c>
      <c r="G149" s="89">
        <f t="shared" si="29"/>
        <v>7</v>
      </c>
      <c r="H149" s="87">
        <f t="shared" si="29"/>
        <v>1</v>
      </c>
      <c r="I149" s="87">
        <f t="shared" si="29"/>
        <v>4</v>
      </c>
      <c r="J149" s="88">
        <f t="shared" si="29"/>
        <v>3</v>
      </c>
      <c r="K149" s="89">
        <f t="shared" si="29"/>
        <v>5</v>
      </c>
      <c r="L149" s="74"/>
    </row>
    <row r="150" spans="1:12" outlineLevel="1" x14ac:dyDescent="0.2">
      <c r="A150" s="20">
        <f t="shared" si="30"/>
        <v>3565</v>
      </c>
      <c r="B150" s="19" t="str">
        <f t="shared" si="30"/>
        <v>TAMUC</v>
      </c>
      <c r="C150" s="79"/>
      <c r="D150" s="87">
        <f t="shared" si="29"/>
        <v>6</v>
      </c>
      <c r="E150" s="88">
        <f t="shared" si="29"/>
        <v>2</v>
      </c>
      <c r="F150" s="88">
        <f t="shared" si="29"/>
        <v>8</v>
      </c>
      <c r="G150" s="89">
        <f t="shared" si="29"/>
        <v>7</v>
      </c>
      <c r="H150" s="87">
        <f t="shared" si="29"/>
        <v>1</v>
      </c>
      <c r="I150" s="87">
        <f t="shared" si="29"/>
        <v>4</v>
      </c>
      <c r="J150" s="88">
        <f t="shared" si="29"/>
        <v>3</v>
      </c>
      <c r="K150" s="89">
        <f t="shared" si="29"/>
        <v>5</v>
      </c>
      <c r="L150" s="74"/>
    </row>
    <row r="151" spans="1:12" outlineLevel="1" x14ac:dyDescent="0.2">
      <c r="A151" s="20">
        <f t="shared" si="30"/>
        <v>29269</v>
      </c>
      <c r="B151" s="19" t="str">
        <f t="shared" si="30"/>
        <v>TAMUT</v>
      </c>
      <c r="C151" s="79"/>
      <c r="D151" s="87">
        <f t="shared" ref="D151:K160" si="31">RANK(D197,$D197:$K197)</f>
        <v>6</v>
      </c>
      <c r="E151" s="88">
        <f t="shared" si="31"/>
        <v>2</v>
      </c>
      <c r="F151" s="88">
        <f t="shared" si="31"/>
        <v>3</v>
      </c>
      <c r="G151" s="89">
        <f t="shared" si="31"/>
        <v>7</v>
      </c>
      <c r="H151" s="87">
        <f t="shared" si="31"/>
        <v>1</v>
      </c>
      <c r="I151" s="87">
        <f t="shared" si="31"/>
        <v>4</v>
      </c>
      <c r="J151" s="88">
        <f t="shared" si="31"/>
        <v>5</v>
      </c>
      <c r="K151" s="89">
        <f t="shared" si="31"/>
        <v>8</v>
      </c>
      <c r="L151" s="74"/>
    </row>
    <row r="152" spans="1:12" outlineLevel="1" x14ac:dyDescent="0.2">
      <c r="A152" s="20">
        <f t="shared" si="30"/>
        <v>3652</v>
      </c>
      <c r="B152" s="19" t="str">
        <f t="shared" si="30"/>
        <v>UH</v>
      </c>
      <c r="C152" s="79"/>
      <c r="D152" s="87">
        <f t="shared" si="31"/>
        <v>7</v>
      </c>
      <c r="E152" s="88">
        <f t="shared" si="31"/>
        <v>2</v>
      </c>
      <c r="F152" s="88">
        <f t="shared" si="31"/>
        <v>8</v>
      </c>
      <c r="G152" s="89">
        <f t="shared" si="31"/>
        <v>6</v>
      </c>
      <c r="H152" s="87">
        <f t="shared" si="31"/>
        <v>1</v>
      </c>
      <c r="I152" s="87">
        <f t="shared" si="31"/>
        <v>5</v>
      </c>
      <c r="J152" s="88">
        <f t="shared" si="31"/>
        <v>3</v>
      </c>
      <c r="K152" s="89">
        <f t="shared" si="31"/>
        <v>4</v>
      </c>
      <c r="L152" s="74"/>
    </row>
    <row r="153" spans="1:12" outlineLevel="1" x14ac:dyDescent="0.2">
      <c r="A153" s="20">
        <f t="shared" si="30"/>
        <v>11711</v>
      </c>
      <c r="B153" s="19" t="str">
        <f t="shared" si="30"/>
        <v>UHCL</v>
      </c>
      <c r="C153" s="79"/>
      <c r="D153" s="87">
        <f t="shared" si="31"/>
        <v>5</v>
      </c>
      <c r="E153" s="88">
        <f t="shared" si="31"/>
        <v>2</v>
      </c>
      <c r="F153" s="88">
        <f t="shared" si="31"/>
        <v>7</v>
      </c>
      <c r="G153" s="89">
        <f t="shared" si="31"/>
        <v>6</v>
      </c>
      <c r="H153" s="87">
        <f t="shared" si="31"/>
        <v>1</v>
      </c>
      <c r="I153" s="87">
        <f t="shared" si="31"/>
        <v>4</v>
      </c>
      <c r="J153" s="88">
        <f t="shared" si="31"/>
        <v>3</v>
      </c>
      <c r="K153" s="89">
        <f t="shared" si="31"/>
        <v>8</v>
      </c>
      <c r="L153" s="74"/>
    </row>
    <row r="154" spans="1:12" outlineLevel="1" x14ac:dyDescent="0.2">
      <c r="A154" s="20">
        <f t="shared" si="30"/>
        <v>12826</v>
      </c>
      <c r="B154" s="19" t="str">
        <f t="shared" si="30"/>
        <v>UHD</v>
      </c>
      <c r="C154" s="79"/>
      <c r="D154" s="87">
        <f t="shared" si="31"/>
        <v>6</v>
      </c>
      <c r="E154" s="88">
        <f t="shared" si="31"/>
        <v>4</v>
      </c>
      <c r="F154" s="88">
        <f t="shared" si="31"/>
        <v>8</v>
      </c>
      <c r="G154" s="89">
        <f t="shared" si="31"/>
        <v>7</v>
      </c>
      <c r="H154" s="87">
        <f t="shared" si="31"/>
        <v>1</v>
      </c>
      <c r="I154" s="87">
        <f t="shared" si="31"/>
        <v>3</v>
      </c>
      <c r="J154" s="88">
        <f t="shared" si="31"/>
        <v>2</v>
      </c>
      <c r="K154" s="89">
        <f t="shared" si="31"/>
        <v>5</v>
      </c>
      <c r="L154" s="74"/>
    </row>
    <row r="155" spans="1:12" outlineLevel="1" x14ac:dyDescent="0.2">
      <c r="A155" s="20">
        <f t="shared" si="30"/>
        <v>13231</v>
      </c>
      <c r="B155" s="19" t="str">
        <f t="shared" si="30"/>
        <v>UHV</v>
      </c>
      <c r="C155" s="79"/>
      <c r="D155" s="87">
        <f t="shared" si="31"/>
        <v>6</v>
      </c>
      <c r="E155" s="88">
        <f t="shared" si="31"/>
        <v>2</v>
      </c>
      <c r="F155" s="88">
        <f t="shared" si="31"/>
        <v>4</v>
      </c>
      <c r="G155" s="89">
        <f t="shared" si="31"/>
        <v>7</v>
      </c>
      <c r="H155" s="87">
        <f t="shared" si="31"/>
        <v>1</v>
      </c>
      <c r="I155" s="87">
        <f t="shared" si="31"/>
        <v>3</v>
      </c>
      <c r="J155" s="88">
        <f t="shared" si="31"/>
        <v>5</v>
      </c>
      <c r="K155" s="89">
        <f t="shared" si="31"/>
        <v>8</v>
      </c>
      <c r="L155" s="74"/>
    </row>
    <row r="156" spans="1:12" outlineLevel="1" x14ac:dyDescent="0.2">
      <c r="A156" s="20">
        <f t="shared" si="30"/>
        <v>3592</v>
      </c>
      <c r="B156" s="19" t="str">
        <f t="shared" si="30"/>
        <v>Midwestern</v>
      </c>
      <c r="C156" s="79"/>
      <c r="D156" s="87">
        <f t="shared" si="31"/>
        <v>6</v>
      </c>
      <c r="E156" s="88">
        <f t="shared" si="31"/>
        <v>2</v>
      </c>
      <c r="F156" s="88">
        <f t="shared" si="31"/>
        <v>8</v>
      </c>
      <c r="G156" s="89">
        <f t="shared" si="31"/>
        <v>7</v>
      </c>
      <c r="H156" s="87">
        <f t="shared" si="31"/>
        <v>1</v>
      </c>
      <c r="I156" s="87">
        <f t="shared" si="31"/>
        <v>5</v>
      </c>
      <c r="J156" s="88">
        <f t="shared" si="31"/>
        <v>4</v>
      </c>
      <c r="K156" s="89">
        <f t="shared" si="31"/>
        <v>3</v>
      </c>
      <c r="L156" s="74"/>
    </row>
    <row r="157" spans="1:12" outlineLevel="1" x14ac:dyDescent="0.2">
      <c r="A157" s="20">
        <f t="shared" si="30"/>
        <v>3594</v>
      </c>
      <c r="B157" s="19" t="str">
        <f t="shared" si="30"/>
        <v>UNT</v>
      </c>
      <c r="C157" s="79"/>
      <c r="D157" s="87">
        <f t="shared" si="31"/>
        <v>6</v>
      </c>
      <c r="E157" s="88">
        <f t="shared" si="31"/>
        <v>2</v>
      </c>
      <c r="F157" s="88">
        <f t="shared" si="31"/>
        <v>8</v>
      </c>
      <c r="G157" s="89">
        <f t="shared" si="31"/>
        <v>7</v>
      </c>
      <c r="H157" s="87">
        <f t="shared" si="31"/>
        <v>1</v>
      </c>
      <c r="I157" s="87">
        <f t="shared" si="31"/>
        <v>5</v>
      </c>
      <c r="J157" s="88">
        <f t="shared" si="31"/>
        <v>3</v>
      </c>
      <c r="K157" s="89">
        <f t="shared" si="31"/>
        <v>4</v>
      </c>
      <c r="L157" s="74"/>
    </row>
    <row r="158" spans="1:12" outlineLevel="1" x14ac:dyDescent="0.2">
      <c r="A158" s="27">
        <f t="shared" si="30"/>
        <v>113594</v>
      </c>
      <c r="B158" s="19" t="str">
        <f t="shared" si="30"/>
        <v>UNTD</v>
      </c>
      <c r="C158" s="79"/>
      <c r="D158" s="87">
        <f t="shared" si="31"/>
        <v>5</v>
      </c>
      <c r="E158" s="88">
        <f t="shared" si="31"/>
        <v>2</v>
      </c>
      <c r="F158" s="88">
        <f t="shared" si="31"/>
        <v>3</v>
      </c>
      <c r="G158" s="89">
        <f t="shared" si="31"/>
        <v>6</v>
      </c>
      <c r="H158" s="87">
        <f t="shared" si="31"/>
        <v>1</v>
      </c>
      <c r="I158" s="87">
        <f t="shared" si="31"/>
        <v>4</v>
      </c>
      <c r="J158" s="88">
        <f t="shared" si="31"/>
        <v>7</v>
      </c>
      <c r="K158" s="89">
        <f t="shared" si="31"/>
        <v>8</v>
      </c>
      <c r="L158" s="74"/>
    </row>
    <row r="159" spans="1:12" outlineLevel="1" x14ac:dyDescent="0.2">
      <c r="A159" s="20">
        <f t="shared" si="30"/>
        <v>3624</v>
      </c>
      <c r="B159" s="19" t="str">
        <f t="shared" si="30"/>
        <v>SFA</v>
      </c>
      <c r="C159" s="79"/>
      <c r="D159" s="87">
        <f t="shared" si="31"/>
        <v>6</v>
      </c>
      <c r="E159" s="88">
        <f t="shared" si="31"/>
        <v>2</v>
      </c>
      <c r="F159" s="88">
        <f t="shared" si="31"/>
        <v>8</v>
      </c>
      <c r="G159" s="89">
        <f t="shared" si="31"/>
        <v>7</v>
      </c>
      <c r="H159" s="87">
        <f t="shared" si="31"/>
        <v>1</v>
      </c>
      <c r="I159" s="87">
        <f t="shared" si="31"/>
        <v>5</v>
      </c>
      <c r="J159" s="88">
        <f t="shared" si="31"/>
        <v>4</v>
      </c>
      <c r="K159" s="89">
        <f t="shared" si="31"/>
        <v>3</v>
      </c>
      <c r="L159" s="74"/>
    </row>
    <row r="160" spans="1:12" outlineLevel="1" x14ac:dyDescent="0.2">
      <c r="A160" s="20">
        <f t="shared" si="30"/>
        <v>3642</v>
      </c>
      <c r="B160" s="19" t="str">
        <f t="shared" si="30"/>
        <v>TSU</v>
      </c>
      <c r="C160" s="79"/>
      <c r="D160" s="87">
        <f t="shared" si="31"/>
        <v>6</v>
      </c>
      <c r="E160" s="88">
        <f t="shared" si="31"/>
        <v>5</v>
      </c>
      <c r="F160" s="88">
        <f t="shared" si="31"/>
        <v>8</v>
      </c>
      <c r="G160" s="89">
        <f t="shared" si="31"/>
        <v>7</v>
      </c>
      <c r="H160" s="87">
        <f t="shared" si="31"/>
        <v>1</v>
      </c>
      <c r="I160" s="87">
        <f t="shared" si="31"/>
        <v>4</v>
      </c>
      <c r="J160" s="88">
        <f t="shared" si="31"/>
        <v>3</v>
      </c>
      <c r="K160" s="89">
        <f t="shared" si="31"/>
        <v>2</v>
      </c>
      <c r="L160" s="74"/>
    </row>
    <row r="161" spans="1:13" outlineLevel="1" x14ac:dyDescent="0.2">
      <c r="A161" s="20">
        <f t="shared" si="30"/>
        <v>3644</v>
      </c>
      <c r="B161" s="19" t="str">
        <f t="shared" si="30"/>
        <v>TTU</v>
      </c>
      <c r="C161" s="79"/>
      <c r="D161" s="87">
        <f t="shared" ref="D161:K168" si="32">RANK(D207,$D207:$K207)</f>
        <v>7</v>
      </c>
      <c r="E161" s="88">
        <f t="shared" si="32"/>
        <v>1</v>
      </c>
      <c r="F161" s="88">
        <f t="shared" si="32"/>
        <v>8</v>
      </c>
      <c r="G161" s="89">
        <f t="shared" si="32"/>
        <v>6</v>
      </c>
      <c r="H161" s="87">
        <f t="shared" si="32"/>
        <v>2</v>
      </c>
      <c r="I161" s="87">
        <f t="shared" si="32"/>
        <v>5</v>
      </c>
      <c r="J161" s="88">
        <f t="shared" si="32"/>
        <v>4</v>
      </c>
      <c r="K161" s="89">
        <f t="shared" si="32"/>
        <v>3</v>
      </c>
      <c r="L161" s="74"/>
    </row>
    <row r="162" spans="1:13" outlineLevel="1" x14ac:dyDescent="0.2">
      <c r="A162" s="20">
        <f t="shared" si="30"/>
        <v>3541</v>
      </c>
      <c r="B162" s="19" t="str">
        <f t="shared" si="30"/>
        <v>Angelo</v>
      </c>
      <c r="C162" s="79"/>
      <c r="D162" s="87">
        <f t="shared" si="32"/>
        <v>6</v>
      </c>
      <c r="E162" s="88">
        <f t="shared" si="32"/>
        <v>2</v>
      </c>
      <c r="F162" s="88">
        <f t="shared" si="32"/>
        <v>8</v>
      </c>
      <c r="G162" s="89">
        <f t="shared" si="32"/>
        <v>7</v>
      </c>
      <c r="H162" s="87">
        <f t="shared" si="32"/>
        <v>1</v>
      </c>
      <c r="I162" s="87">
        <f t="shared" si="32"/>
        <v>5</v>
      </c>
      <c r="J162" s="88">
        <f t="shared" si="32"/>
        <v>4</v>
      </c>
      <c r="K162" s="89">
        <f t="shared" si="32"/>
        <v>3</v>
      </c>
      <c r="L162" s="74"/>
    </row>
    <row r="163" spans="1:13" outlineLevel="1" x14ac:dyDescent="0.2">
      <c r="A163" s="20">
        <f t="shared" ref="A163:B168" si="33">A122</f>
        <v>3646</v>
      </c>
      <c r="B163" s="19" t="str">
        <f t="shared" si="33"/>
        <v>TWU</v>
      </c>
      <c r="C163" s="79"/>
      <c r="D163" s="87">
        <f t="shared" si="32"/>
        <v>6</v>
      </c>
      <c r="E163" s="88">
        <f t="shared" si="32"/>
        <v>2</v>
      </c>
      <c r="F163" s="88">
        <f t="shared" si="32"/>
        <v>8</v>
      </c>
      <c r="G163" s="89">
        <f t="shared" si="32"/>
        <v>7</v>
      </c>
      <c r="H163" s="87">
        <f t="shared" si="32"/>
        <v>1</v>
      </c>
      <c r="I163" s="87">
        <f t="shared" si="32"/>
        <v>3</v>
      </c>
      <c r="J163" s="88">
        <f t="shared" si="32"/>
        <v>4</v>
      </c>
      <c r="K163" s="89">
        <f t="shared" si="32"/>
        <v>5</v>
      </c>
      <c r="L163" s="74"/>
    </row>
    <row r="164" spans="1:13" outlineLevel="1" x14ac:dyDescent="0.2">
      <c r="A164" s="20">
        <f t="shared" si="33"/>
        <v>3581</v>
      </c>
      <c r="B164" s="19" t="str">
        <f t="shared" si="33"/>
        <v>Lamar</v>
      </c>
      <c r="C164" s="79"/>
      <c r="D164" s="87">
        <f t="shared" si="32"/>
        <v>7</v>
      </c>
      <c r="E164" s="88">
        <f t="shared" si="32"/>
        <v>4</v>
      </c>
      <c r="F164" s="88">
        <f t="shared" si="32"/>
        <v>8</v>
      </c>
      <c r="G164" s="89">
        <f t="shared" si="32"/>
        <v>6</v>
      </c>
      <c r="H164" s="87">
        <f t="shared" si="32"/>
        <v>1</v>
      </c>
      <c r="I164" s="87">
        <f t="shared" si="32"/>
        <v>5</v>
      </c>
      <c r="J164" s="88">
        <f t="shared" si="32"/>
        <v>3</v>
      </c>
      <c r="K164" s="89">
        <f t="shared" si="32"/>
        <v>2</v>
      </c>
      <c r="L164" s="74"/>
    </row>
    <row r="165" spans="1:13" outlineLevel="1" x14ac:dyDescent="0.2">
      <c r="A165" s="20">
        <f t="shared" si="33"/>
        <v>3606</v>
      </c>
      <c r="B165" s="19" t="str">
        <f t="shared" si="33"/>
        <v>SHSU</v>
      </c>
      <c r="C165" s="79"/>
      <c r="D165" s="87">
        <f t="shared" si="32"/>
        <v>6</v>
      </c>
      <c r="E165" s="88">
        <f t="shared" si="32"/>
        <v>2</v>
      </c>
      <c r="F165" s="88">
        <f t="shared" si="32"/>
        <v>8</v>
      </c>
      <c r="G165" s="89">
        <f t="shared" si="32"/>
        <v>7</v>
      </c>
      <c r="H165" s="87">
        <f t="shared" si="32"/>
        <v>1</v>
      </c>
      <c r="I165" s="87">
        <f t="shared" si="32"/>
        <v>5</v>
      </c>
      <c r="J165" s="88">
        <f t="shared" si="32"/>
        <v>3</v>
      </c>
      <c r="K165" s="89">
        <f t="shared" si="32"/>
        <v>4</v>
      </c>
      <c r="L165" s="74"/>
    </row>
    <row r="166" spans="1:13" outlineLevel="1" x14ac:dyDescent="0.2">
      <c r="A166" s="20">
        <f t="shared" si="33"/>
        <v>3615</v>
      </c>
      <c r="B166" s="19" t="str">
        <f t="shared" si="33"/>
        <v>TXST</v>
      </c>
      <c r="C166" s="79"/>
      <c r="D166" s="87">
        <f t="shared" si="32"/>
        <v>6</v>
      </c>
      <c r="E166" s="88">
        <f t="shared" si="32"/>
        <v>2</v>
      </c>
      <c r="F166" s="88">
        <f t="shared" si="32"/>
        <v>8</v>
      </c>
      <c r="G166" s="89">
        <f t="shared" si="32"/>
        <v>7</v>
      </c>
      <c r="H166" s="87">
        <f t="shared" si="32"/>
        <v>1</v>
      </c>
      <c r="I166" s="87">
        <f t="shared" si="32"/>
        <v>5</v>
      </c>
      <c r="J166" s="88">
        <f t="shared" si="32"/>
        <v>3</v>
      </c>
      <c r="K166" s="89">
        <f t="shared" si="32"/>
        <v>4</v>
      </c>
      <c r="L166" s="74"/>
    </row>
    <row r="167" spans="1:13" outlineLevel="1" x14ac:dyDescent="0.2">
      <c r="A167" s="20">
        <f t="shared" si="33"/>
        <v>3625</v>
      </c>
      <c r="B167" s="19" t="str">
        <f t="shared" si="33"/>
        <v>SRSU</v>
      </c>
      <c r="C167" s="79"/>
      <c r="D167" s="87">
        <f t="shared" si="32"/>
        <v>8</v>
      </c>
      <c r="E167" s="88">
        <f t="shared" si="32"/>
        <v>5</v>
      </c>
      <c r="F167" s="88">
        <f t="shared" si="32"/>
        <v>6</v>
      </c>
      <c r="G167" s="89">
        <f t="shared" si="32"/>
        <v>7</v>
      </c>
      <c r="H167" s="87">
        <f t="shared" si="32"/>
        <v>1</v>
      </c>
      <c r="I167" s="87">
        <f t="shared" si="32"/>
        <v>4</v>
      </c>
      <c r="J167" s="88">
        <f t="shared" si="32"/>
        <v>3</v>
      </c>
      <c r="K167" s="89">
        <f t="shared" si="32"/>
        <v>2</v>
      </c>
      <c r="L167" s="74"/>
    </row>
    <row r="168" spans="1:13" ht="13.5" outlineLevel="1" thickBot="1" x14ac:dyDescent="0.25">
      <c r="A168" s="111">
        <f t="shared" si="33"/>
        <v>20</v>
      </c>
      <c r="B168" s="112" t="str">
        <f t="shared" si="33"/>
        <v>SRRG</v>
      </c>
      <c r="C168" s="113"/>
      <c r="D168" s="114">
        <f t="shared" si="32"/>
        <v>6</v>
      </c>
      <c r="E168" s="115">
        <f t="shared" si="32"/>
        <v>3</v>
      </c>
      <c r="F168" s="115">
        <f t="shared" si="32"/>
        <v>2</v>
      </c>
      <c r="G168" s="116">
        <f t="shared" si="32"/>
        <v>7</v>
      </c>
      <c r="H168" s="114">
        <f t="shared" si="32"/>
        <v>1</v>
      </c>
      <c r="I168" s="114">
        <f t="shared" si="32"/>
        <v>4</v>
      </c>
      <c r="J168" s="115">
        <f t="shared" si="32"/>
        <v>5</v>
      </c>
      <c r="K168" s="116">
        <f t="shared" si="32"/>
        <v>8</v>
      </c>
      <c r="L168" s="74"/>
    </row>
    <row r="169" spans="1:13" ht="13.5" thickBot="1" x14ac:dyDescent="0.25">
      <c r="C169" s="79"/>
      <c r="D169" s="80"/>
      <c r="E169" s="80"/>
      <c r="F169" s="80"/>
      <c r="G169" s="80"/>
      <c r="H169" s="80"/>
      <c r="I169" s="80"/>
      <c r="J169" s="80"/>
      <c r="K169" s="80"/>
      <c r="L169" s="74"/>
    </row>
    <row r="170" spans="1:13" x14ac:dyDescent="0.2">
      <c r="C170" s="91" t="s">
        <v>11</v>
      </c>
      <c r="D170" s="92">
        <v>1</v>
      </c>
      <c r="E170" s="92">
        <v>2</v>
      </c>
      <c r="F170" s="92">
        <v>3</v>
      </c>
      <c r="G170" s="92">
        <v>4</v>
      </c>
      <c r="H170" s="92">
        <v>5</v>
      </c>
      <c r="I170" s="92">
        <v>6</v>
      </c>
      <c r="J170" s="92">
        <v>7</v>
      </c>
      <c r="K170" s="93">
        <v>8</v>
      </c>
      <c r="M170" s="126"/>
    </row>
    <row r="171" spans="1:13" ht="13.5" thickBot="1" x14ac:dyDescent="0.25">
      <c r="C171" s="160">
        <f>SUM(D171:K171)</f>
        <v>1</v>
      </c>
      <c r="D171" s="161">
        <v>0.25</v>
      </c>
      <c r="E171" s="141">
        <v>0.25</v>
      </c>
      <c r="F171" s="142">
        <v>0.2</v>
      </c>
      <c r="G171" s="143">
        <v>0.1</v>
      </c>
      <c r="H171" s="118">
        <v>0.1</v>
      </c>
      <c r="I171" s="144">
        <v>0.05</v>
      </c>
      <c r="J171" s="145">
        <v>0.05</v>
      </c>
      <c r="K171" s="162">
        <v>0</v>
      </c>
      <c r="M171" s="126"/>
    </row>
    <row r="172" spans="1:13" x14ac:dyDescent="0.2">
      <c r="C172" s="79"/>
      <c r="D172" s="80"/>
      <c r="E172" s="80"/>
      <c r="F172" s="80"/>
      <c r="G172" s="80"/>
      <c r="H172" s="80"/>
      <c r="I172" s="80"/>
      <c r="J172" s="80"/>
      <c r="K172" s="80"/>
      <c r="L172" s="74"/>
    </row>
    <row r="173" spans="1:13" ht="13.5" thickBot="1" x14ac:dyDescent="0.25">
      <c r="A173" s="56" t="s">
        <v>73</v>
      </c>
    </row>
    <row r="174" spans="1:13" ht="12.75" customHeight="1" outlineLevel="1" x14ac:dyDescent="0.2">
      <c r="A174" s="184" t="s">
        <v>22</v>
      </c>
      <c r="B174" s="186" t="s">
        <v>21</v>
      </c>
      <c r="C174" s="188" t="s">
        <v>34</v>
      </c>
      <c r="D174" s="173" t="s">
        <v>33</v>
      </c>
      <c r="E174" s="174"/>
      <c r="F174" s="174"/>
      <c r="G174" s="175"/>
      <c r="H174" s="176" t="s">
        <v>16</v>
      </c>
      <c r="I174" s="178" t="s">
        <v>32</v>
      </c>
      <c r="J174" s="179"/>
      <c r="K174" s="180"/>
      <c r="L174" s="191"/>
    </row>
    <row r="175" spans="1:13" ht="51.75" outlineLevel="1" thickBot="1" x14ac:dyDescent="0.25">
      <c r="A175" s="185"/>
      <c r="B175" s="187"/>
      <c r="C175" s="189"/>
      <c r="D175" s="124"/>
      <c r="E175" s="101" t="s">
        <v>31</v>
      </c>
      <c r="F175" s="101" t="s">
        <v>30</v>
      </c>
      <c r="G175" s="157" t="s">
        <v>29</v>
      </c>
      <c r="H175" s="190"/>
      <c r="I175" s="103" t="s">
        <v>14</v>
      </c>
      <c r="J175" s="104" t="s">
        <v>13</v>
      </c>
      <c r="K175" s="110" t="s">
        <v>12</v>
      </c>
      <c r="L175" s="191"/>
    </row>
    <row r="176" spans="1:13" outlineLevel="1" x14ac:dyDescent="0.2">
      <c r="A176" s="198" t="s">
        <v>76</v>
      </c>
      <c r="B176" s="199"/>
      <c r="C176" s="200"/>
      <c r="D176" s="106">
        <v>1</v>
      </c>
      <c r="E176" s="107">
        <v>7</v>
      </c>
      <c r="F176" s="107">
        <v>25</v>
      </c>
      <c r="G176" s="108">
        <v>0.5</v>
      </c>
      <c r="H176" s="109">
        <v>7</v>
      </c>
      <c r="I176" s="106">
        <v>1.5</v>
      </c>
      <c r="J176" s="107">
        <v>2.5</v>
      </c>
      <c r="K176" s="108">
        <v>4</v>
      </c>
    </row>
    <row r="177" spans="1:12" outlineLevel="1" x14ac:dyDescent="0.2">
      <c r="A177" s="20">
        <f t="shared" ref="A177:B192" si="34">A5</f>
        <v>3656</v>
      </c>
      <c r="B177" s="19" t="str">
        <f t="shared" si="34"/>
        <v>UTA</v>
      </c>
      <c r="C177" s="54">
        <f t="shared" ref="C177:C214" si="35">SUM(D177:K177)</f>
        <v>77959.681373617903</v>
      </c>
      <c r="D177" s="15">
        <f t="shared" ref="D177:K192" si="36">D219*D$176</f>
        <v>5018</v>
      </c>
      <c r="E177" s="14">
        <f t="shared" si="36"/>
        <v>18206.976666666669</v>
      </c>
      <c r="F177" s="14">
        <f t="shared" si="36"/>
        <v>740.09470695120706</v>
      </c>
      <c r="G177" s="13">
        <f t="shared" si="36"/>
        <v>5209.2766666666894</v>
      </c>
      <c r="H177" s="34">
        <f t="shared" si="36"/>
        <v>21812</v>
      </c>
      <c r="I177" s="36">
        <f t="shared" si="36"/>
        <v>10254.5</v>
      </c>
      <c r="J177" s="55">
        <f t="shared" si="36"/>
        <v>9584.1666666666661</v>
      </c>
      <c r="K177" s="35">
        <f t="shared" si="36"/>
        <v>7134.666666666667</v>
      </c>
      <c r="L177" s="125"/>
    </row>
    <row r="178" spans="1:12" outlineLevel="1" x14ac:dyDescent="0.2">
      <c r="A178" s="20">
        <f t="shared" si="34"/>
        <v>3658</v>
      </c>
      <c r="B178" s="19" t="str">
        <f t="shared" si="34"/>
        <v>UT</v>
      </c>
      <c r="C178" s="54">
        <f t="shared" si="35"/>
        <v>160588.8563015284</v>
      </c>
      <c r="D178" s="15">
        <f t="shared" si="36"/>
        <v>8946.3333333333339</v>
      </c>
      <c r="E178" s="14">
        <f t="shared" si="36"/>
        <v>51915.572333333344</v>
      </c>
      <c r="F178" s="14">
        <f t="shared" si="36"/>
        <v>662.4423015281169</v>
      </c>
      <c r="G178" s="13">
        <f t="shared" si="36"/>
        <v>9699.1750000002594</v>
      </c>
      <c r="H178" s="16">
        <f t="shared" si="36"/>
        <v>24292.333333333336</v>
      </c>
      <c r="I178" s="15">
        <f t="shared" si="36"/>
        <v>14397.5</v>
      </c>
      <c r="J178" s="14">
        <f t="shared" si="36"/>
        <v>22514.166666666664</v>
      </c>
      <c r="K178" s="13">
        <f t="shared" si="36"/>
        <v>28161.333333333332</v>
      </c>
      <c r="L178" s="74"/>
    </row>
    <row r="179" spans="1:12" outlineLevel="1" x14ac:dyDescent="0.2">
      <c r="A179" s="20">
        <f t="shared" si="34"/>
        <v>9741</v>
      </c>
      <c r="B179" s="19" t="str">
        <f t="shared" si="34"/>
        <v>UTD</v>
      </c>
      <c r="C179" s="54">
        <f t="shared" si="35"/>
        <v>41021.632012916016</v>
      </c>
      <c r="D179" s="15">
        <f t="shared" si="36"/>
        <v>2393</v>
      </c>
      <c r="E179" s="14">
        <f t="shared" si="36"/>
        <v>11775.953</v>
      </c>
      <c r="F179" s="14">
        <f t="shared" si="36"/>
        <v>670.74401291595666</v>
      </c>
      <c r="G179" s="13">
        <f t="shared" si="36"/>
        <v>2550.6016666667197</v>
      </c>
      <c r="H179" s="16">
        <f t="shared" si="36"/>
        <v>9237.6666666666679</v>
      </c>
      <c r="I179" s="15">
        <f t="shared" si="36"/>
        <v>4972.5</v>
      </c>
      <c r="J179" s="14">
        <f t="shared" si="36"/>
        <v>5335.8333333333339</v>
      </c>
      <c r="K179" s="13">
        <f t="shared" si="36"/>
        <v>4085.3333333333335</v>
      </c>
      <c r="L179" s="74"/>
    </row>
    <row r="180" spans="1:12" outlineLevel="1" x14ac:dyDescent="0.2">
      <c r="A180" s="20">
        <f t="shared" si="34"/>
        <v>3661</v>
      </c>
      <c r="B180" s="19" t="str">
        <f t="shared" si="34"/>
        <v>UTEP</v>
      </c>
      <c r="C180" s="54">
        <f t="shared" si="35"/>
        <v>55136.754030067328</v>
      </c>
      <c r="D180" s="15">
        <f t="shared" si="36"/>
        <v>3057</v>
      </c>
      <c r="E180" s="14">
        <f t="shared" si="36"/>
        <v>8345.6099999999988</v>
      </c>
      <c r="F180" s="14">
        <f t="shared" si="36"/>
        <v>571.77236340058357</v>
      </c>
      <c r="G180" s="13">
        <f t="shared" si="36"/>
        <v>3149.0383333334066</v>
      </c>
      <c r="H180" s="16">
        <f t="shared" si="36"/>
        <v>17250.333333333336</v>
      </c>
      <c r="I180" s="15">
        <f t="shared" si="36"/>
        <v>6544</v>
      </c>
      <c r="J180" s="14">
        <f t="shared" si="36"/>
        <v>8395</v>
      </c>
      <c r="K180" s="13">
        <f t="shared" si="36"/>
        <v>7824</v>
      </c>
      <c r="L180" s="74"/>
    </row>
    <row r="181" spans="1:12" outlineLevel="1" x14ac:dyDescent="0.2">
      <c r="A181" s="20">
        <f t="shared" si="34"/>
        <v>3599</v>
      </c>
      <c r="B181" s="19" t="str">
        <f t="shared" si="34"/>
        <v>UTPA</v>
      </c>
      <c r="C181" s="54">
        <f t="shared" si="35"/>
        <v>51421.922262487504</v>
      </c>
      <c r="D181" s="15">
        <f t="shared" si="36"/>
        <v>2580</v>
      </c>
      <c r="E181" s="14">
        <f t="shared" si="36"/>
        <v>7783.8600000000006</v>
      </c>
      <c r="F181" s="14">
        <f t="shared" si="36"/>
        <v>512.31226248744588</v>
      </c>
      <c r="G181" s="13">
        <f t="shared" si="36"/>
        <v>2567.0833333333899</v>
      </c>
      <c r="H181" s="16">
        <f t="shared" si="36"/>
        <v>16368.333333333334</v>
      </c>
      <c r="I181" s="15">
        <f t="shared" si="36"/>
        <v>6113</v>
      </c>
      <c r="J181" s="14">
        <f t="shared" si="36"/>
        <v>7740</v>
      </c>
      <c r="K181" s="13">
        <f t="shared" si="36"/>
        <v>7757.333333333333</v>
      </c>
      <c r="L181" s="74"/>
    </row>
    <row r="182" spans="1:12" outlineLevel="1" x14ac:dyDescent="0.2">
      <c r="A182" s="20">
        <f t="shared" si="34"/>
        <v>30646</v>
      </c>
      <c r="B182" s="19" t="str">
        <f t="shared" si="34"/>
        <v>UTB</v>
      </c>
      <c r="C182" s="54">
        <f t="shared" si="35"/>
        <v>17739.290714142899</v>
      </c>
      <c r="D182" s="15">
        <f t="shared" si="36"/>
        <v>1092</v>
      </c>
      <c r="E182" s="14">
        <f t="shared" si="36"/>
        <v>4397.1964715911399</v>
      </c>
      <c r="F182" s="14">
        <f t="shared" si="36"/>
        <v>861.53090921841567</v>
      </c>
      <c r="G182" s="13">
        <f t="shared" si="36"/>
        <v>1048.8966666666777</v>
      </c>
      <c r="H182" s="16">
        <f t="shared" si="36"/>
        <v>6556.6666666666661</v>
      </c>
      <c r="I182" s="15">
        <f t="shared" si="36"/>
        <v>1989.5</v>
      </c>
      <c r="J182" s="14">
        <f t="shared" si="36"/>
        <v>1390.8333333333335</v>
      </c>
      <c r="K182" s="13">
        <f t="shared" si="36"/>
        <v>402.66666666666669</v>
      </c>
      <c r="L182" s="74"/>
    </row>
    <row r="183" spans="1:12" outlineLevel="1" x14ac:dyDescent="0.2">
      <c r="A183" s="20">
        <f t="shared" si="34"/>
        <v>9930</v>
      </c>
      <c r="B183" s="19" t="str">
        <f t="shared" si="34"/>
        <v>UTPB</v>
      </c>
      <c r="C183" s="54">
        <f t="shared" si="35"/>
        <v>9247.8210327478191</v>
      </c>
      <c r="D183" s="15">
        <f t="shared" si="36"/>
        <v>533.33333333333337</v>
      </c>
      <c r="E183" s="14">
        <f t="shared" si="36"/>
        <v>1657.6000000000001</v>
      </c>
      <c r="F183" s="14">
        <f t="shared" si="36"/>
        <v>578.12936608115024</v>
      </c>
      <c r="G183" s="13">
        <f t="shared" si="36"/>
        <v>500.7583333333352</v>
      </c>
      <c r="H183" s="16">
        <f t="shared" si="36"/>
        <v>2793</v>
      </c>
      <c r="I183" s="15">
        <f t="shared" si="36"/>
        <v>1178.5</v>
      </c>
      <c r="J183" s="14">
        <f t="shared" si="36"/>
        <v>1229.1666666666667</v>
      </c>
      <c r="K183" s="13">
        <f t="shared" si="36"/>
        <v>777.33333333333337</v>
      </c>
      <c r="L183" s="74"/>
    </row>
    <row r="184" spans="1:12" outlineLevel="1" x14ac:dyDescent="0.2">
      <c r="A184" s="20">
        <f t="shared" si="34"/>
        <v>10115</v>
      </c>
      <c r="B184" s="19" t="str">
        <f t="shared" si="34"/>
        <v>UTSA</v>
      </c>
      <c r="C184" s="54">
        <f t="shared" si="35"/>
        <v>74682.181963645271</v>
      </c>
      <c r="D184" s="15">
        <f t="shared" si="36"/>
        <v>4119.666666666667</v>
      </c>
      <c r="E184" s="14">
        <f t="shared" si="36"/>
        <v>12159.882777777779</v>
      </c>
      <c r="F184" s="14">
        <f t="shared" si="36"/>
        <v>506.02585253421006</v>
      </c>
      <c r="G184" s="13">
        <f t="shared" si="36"/>
        <v>4207.106666666612</v>
      </c>
      <c r="H184" s="16">
        <f t="shared" si="36"/>
        <v>21865.666666666664</v>
      </c>
      <c r="I184" s="15">
        <f t="shared" si="36"/>
        <v>10214.5</v>
      </c>
      <c r="J184" s="14">
        <f t="shared" si="36"/>
        <v>11146.666666666668</v>
      </c>
      <c r="K184" s="13">
        <f t="shared" si="36"/>
        <v>10462.666666666666</v>
      </c>
      <c r="L184" s="74"/>
    </row>
    <row r="185" spans="1:12" outlineLevel="1" x14ac:dyDescent="0.2">
      <c r="A185" s="20">
        <f t="shared" si="34"/>
        <v>11163</v>
      </c>
      <c r="B185" s="19" t="str">
        <f t="shared" si="34"/>
        <v>UTT</v>
      </c>
      <c r="C185" s="54">
        <f t="shared" si="35"/>
        <v>19923.393512928804</v>
      </c>
      <c r="D185" s="15">
        <f t="shared" si="36"/>
        <v>1190</v>
      </c>
      <c r="E185" s="14">
        <f t="shared" si="36"/>
        <v>4295.503333333334</v>
      </c>
      <c r="F185" s="14">
        <f t="shared" si="36"/>
        <v>731.39351292879735</v>
      </c>
      <c r="G185" s="13">
        <f t="shared" si="36"/>
        <v>1181.3300000000052</v>
      </c>
      <c r="H185" s="16">
        <f t="shared" si="36"/>
        <v>6596.3333333333339</v>
      </c>
      <c r="I185" s="15">
        <f t="shared" si="36"/>
        <v>2154.5</v>
      </c>
      <c r="J185" s="14">
        <f t="shared" si="36"/>
        <v>2225</v>
      </c>
      <c r="K185" s="13">
        <f t="shared" si="36"/>
        <v>1549.3333333333333</v>
      </c>
      <c r="L185" s="74"/>
    </row>
    <row r="186" spans="1:12" outlineLevel="1" x14ac:dyDescent="0.2">
      <c r="A186" s="20">
        <f t="shared" si="34"/>
        <v>3632</v>
      </c>
      <c r="B186" s="19" t="str">
        <f t="shared" si="34"/>
        <v>TAMU</v>
      </c>
      <c r="C186" s="54">
        <f t="shared" si="35"/>
        <v>161871.14727538222</v>
      </c>
      <c r="D186" s="15">
        <f t="shared" si="36"/>
        <v>8739.6666666666661</v>
      </c>
      <c r="E186" s="14">
        <f t="shared" si="36"/>
        <v>51430.025111111099</v>
      </c>
      <c r="F186" s="14">
        <f t="shared" si="36"/>
        <v>631.047164271067</v>
      </c>
      <c r="G186" s="13">
        <f t="shared" si="36"/>
        <v>10052.4083333334</v>
      </c>
      <c r="H186" s="16">
        <f t="shared" si="36"/>
        <v>26068</v>
      </c>
      <c r="I186" s="15">
        <f t="shared" si="36"/>
        <v>15091</v>
      </c>
      <c r="J186" s="14">
        <f t="shared" si="36"/>
        <v>22268.333333333336</v>
      </c>
      <c r="K186" s="13">
        <f t="shared" si="36"/>
        <v>27590.666666666668</v>
      </c>
      <c r="L186" s="74"/>
    </row>
    <row r="187" spans="1:12" outlineLevel="1" x14ac:dyDescent="0.2">
      <c r="A187" s="20">
        <f t="shared" si="34"/>
        <v>10298</v>
      </c>
      <c r="B187" s="19" t="str">
        <f t="shared" si="34"/>
        <v>TAMUG</v>
      </c>
      <c r="C187" s="54">
        <f t="shared" si="35"/>
        <v>6019.9096397006906</v>
      </c>
      <c r="D187" s="15">
        <f t="shared" si="36"/>
        <v>275.33333333333331</v>
      </c>
      <c r="E187" s="14">
        <f t="shared" si="36"/>
        <v>1209.0804444444445</v>
      </c>
      <c r="F187" s="14">
        <f t="shared" si="36"/>
        <v>409.98252858958068</v>
      </c>
      <c r="G187" s="13">
        <f t="shared" si="36"/>
        <v>352.01333333333224</v>
      </c>
      <c r="H187" s="16">
        <f t="shared" si="36"/>
        <v>1106</v>
      </c>
      <c r="I187" s="15">
        <f t="shared" si="36"/>
        <v>888.5</v>
      </c>
      <c r="J187" s="14">
        <f t="shared" si="36"/>
        <v>795</v>
      </c>
      <c r="K187" s="13">
        <f t="shared" si="36"/>
        <v>984</v>
      </c>
      <c r="L187" s="74"/>
    </row>
    <row r="188" spans="1:12" outlineLevel="1" x14ac:dyDescent="0.2">
      <c r="A188" s="20">
        <f t="shared" si="34"/>
        <v>3630</v>
      </c>
      <c r="B188" s="19" t="str">
        <f t="shared" si="34"/>
        <v>Prairie View</v>
      </c>
      <c r="C188" s="54">
        <f t="shared" si="35"/>
        <v>19498.902756187981</v>
      </c>
      <c r="D188" s="15">
        <f t="shared" si="36"/>
        <v>936.33333333333337</v>
      </c>
      <c r="E188" s="14">
        <f t="shared" si="36"/>
        <v>2436.027222222222</v>
      </c>
      <c r="F188" s="14">
        <f t="shared" si="36"/>
        <v>395.59220063242179</v>
      </c>
      <c r="G188" s="13">
        <f t="shared" si="36"/>
        <v>1036.4500000000046</v>
      </c>
      <c r="H188" s="16">
        <f t="shared" si="36"/>
        <v>5618.6666666666661</v>
      </c>
      <c r="I188" s="15">
        <f t="shared" si="36"/>
        <v>2502</v>
      </c>
      <c r="J188" s="14">
        <f t="shared" si="36"/>
        <v>2952.5</v>
      </c>
      <c r="K188" s="13">
        <f t="shared" si="36"/>
        <v>3621.3333333333335</v>
      </c>
      <c r="L188" s="74"/>
    </row>
    <row r="189" spans="1:12" outlineLevel="1" x14ac:dyDescent="0.2">
      <c r="A189" s="20">
        <f t="shared" si="34"/>
        <v>3631</v>
      </c>
      <c r="B189" s="19" t="str">
        <f t="shared" si="34"/>
        <v>Tarleton</v>
      </c>
      <c r="C189" s="54">
        <f t="shared" si="35"/>
        <v>27260.117860474824</v>
      </c>
      <c r="D189" s="15">
        <f t="shared" si="36"/>
        <v>1545.3333333333333</v>
      </c>
      <c r="E189" s="14">
        <f t="shared" si="36"/>
        <v>5170.6853333333338</v>
      </c>
      <c r="F189" s="14">
        <f t="shared" si="36"/>
        <v>613.99419380814152</v>
      </c>
      <c r="G189" s="13">
        <f t="shared" si="36"/>
        <v>1561.2716666666799</v>
      </c>
      <c r="H189" s="16">
        <f t="shared" si="36"/>
        <v>8365</v>
      </c>
      <c r="I189" s="15">
        <f t="shared" si="36"/>
        <v>3231.5</v>
      </c>
      <c r="J189" s="14">
        <f t="shared" si="36"/>
        <v>3321.666666666667</v>
      </c>
      <c r="K189" s="13">
        <f t="shared" si="36"/>
        <v>3450.6666666666665</v>
      </c>
      <c r="L189" s="74"/>
    </row>
    <row r="190" spans="1:12" outlineLevel="1" x14ac:dyDescent="0.2">
      <c r="A190" s="27">
        <f t="shared" si="34"/>
        <v>103631</v>
      </c>
      <c r="B190" s="19" t="str">
        <f t="shared" si="34"/>
        <v>TAMUCT</v>
      </c>
      <c r="C190" s="54">
        <f t="shared" si="35"/>
        <v>7617.1132380501804</v>
      </c>
      <c r="D190" s="15">
        <f t="shared" si="36"/>
        <v>460.33333333333331</v>
      </c>
      <c r="E190" s="14">
        <f t="shared" si="36"/>
        <v>1540.2753333333333</v>
      </c>
      <c r="F190" s="14">
        <f t="shared" si="36"/>
        <v>1689.6962380501811</v>
      </c>
      <c r="G190" s="13">
        <f t="shared" si="36"/>
        <v>426.80833333333294</v>
      </c>
      <c r="H190" s="16">
        <f t="shared" si="36"/>
        <v>2289</v>
      </c>
      <c r="I190" s="15">
        <f t="shared" si="36"/>
        <v>742.5</v>
      </c>
      <c r="J190" s="14">
        <f t="shared" si="36"/>
        <v>332.5</v>
      </c>
      <c r="K190" s="13">
        <f t="shared" si="36"/>
        <v>136</v>
      </c>
      <c r="L190" s="74"/>
    </row>
    <row r="191" spans="1:12" outlineLevel="1" x14ac:dyDescent="0.2">
      <c r="A191" s="20">
        <f t="shared" si="34"/>
        <v>11161</v>
      </c>
      <c r="B191" s="19" t="str">
        <f t="shared" si="34"/>
        <v>TAMUCC</v>
      </c>
      <c r="C191" s="54">
        <f t="shared" si="35"/>
        <v>26086.092851570527</v>
      </c>
      <c r="D191" s="15">
        <f t="shared" si="36"/>
        <v>1388.3333333333333</v>
      </c>
      <c r="E191" s="14">
        <f t="shared" si="36"/>
        <v>4936.913333333333</v>
      </c>
      <c r="F191" s="14">
        <f t="shared" si="36"/>
        <v>534.41285157051936</v>
      </c>
      <c r="G191" s="13">
        <f t="shared" si="36"/>
        <v>1402.100000000007</v>
      </c>
      <c r="H191" s="16">
        <f t="shared" si="36"/>
        <v>7560</v>
      </c>
      <c r="I191" s="15">
        <f t="shared" si="36"/>
        <v>3081</v>
      </c>
      <c r="J191" s="14">
        <f t="shared" si="36"/>
        <v>3670</v>
      </c>
      <c r="K191" s="13">
        <f t="shared" si="36"/>
        <v>3513.3333333333335</v>
      </c>
      <c r="L191" s="74"/>
    </row>
    <row r="192" spans="1:12" outlineLevel="1" x14ac:dyDescent="0.2">
      <c r="A192" s="20">
        <f t="shared" si="34"/>
        <v>3639</v>
      </c>
      <c r="B192" s="19" t="str">
        <f t="shared" si="34"/>
        <v>TAMUK</v>
      </c>
      <c r="C192" s="54">
        <f t="shared" si="35"/>
        <v>14998.654702660409</v>
      </c>
      <c r="D192" s="15">
        <f t="shared" si="36"/>
        <v>761.66666666666663</v>
      </c>
      <c r="E192" s="14">
        <f t="shared" si="36"/>
        <v>2145.1072222222224</v>
      </c>
      <c r="F192" s="14">
        <f t="shared" si="36"/>
        <v>446.98748043818466</v>
      </c>
      <c r="G192" s="13">
        <f t="shared" si="36"/>
        <v>881.72666666666976</v>
      </c>
      <c r="H192" s="16">
        <f t="shared" si="36"/>
        <v>4538.3333333333339</v>
      </c>
      <c r="I192" s="15">
        <f t="shared" si="36"/>
        <v>1841</v>
      </c>
      <c r="J192" s="14">
        <f t="shared" si="36"/>
        <v>2149.1666666666665</v>
      </c>
      <c r="K192" s="13">
        <f t="shared" si="36"/>
        <v>2234.6666666666665</v>
      </c>
      <c r="L192" s="74"/>
    </row>
    <row r="193" spans="1:12" outlineLevel="1" x14ac:dyDescent="0.2">
      <c r="A193" s="27">
        <f t="shared" ref="A193:B208" si="37">A21</f>
        <v>103639</v>
      </c>
      <c r="B193" s="19" t="str">
        <f t="shared" si="37"/>
        <v>TAMUSA</v>
      </c>
      <c r="C193" s="54">
        <f t="shared" si="35"/>
        <v>8526.5344510231644</v>
      </c>
      <c r="D193" s="15">
        <f t="shared" ref="D193:K208" si="38">D235*D$176</f>
        <v>587.66666666666663</v>
      </c>
      <c r="E193" s="14">
        <f t="shared" si="38"/>
        <v>1655.0652222222222</v>
      </c>
      <c r="F193" s="14">
        <f t="shared" si="38"/>
        <v>1039.962562134273</v>
      </c>
      <c r="G193" s="13">
        <f t="shared" si="38"/>
        <v>513.00666666666893</v>
      </c>
      <c r="H193" s="16">
        <f t="shared" si="38"/>
        <v>3432.333333333333</v>
      </c>
      <c r="I193" s="15">
        <f t="shared" si="38"/>
        <v>1094.5</v>
      </c>
      <c r="J193" s="14">
        <f t="shared" si="38"/>
        <v>193.33333333333331</v>
      </c>
      <c r="K193" s="13">
        <f t="shared" si="38"/>
        <v>10.666666666666666</v>
      </c>
      <c r="L193" s="74"/>
    </row>
    <row r="194" spans="1:12" outlineLevel="1" x14ac:dyDescent="0.2">
      <c r="A194" s="20">
        <f t="shared" si="37"/>
        <v>9651</v>
      </c>
      <c r="B194" s="19" t="str">
        <f t="shared" si="37"/>
        <v>TAMI</v>
      </c>
      <c r="C194" s="54">
        <f t="shared" si="35"/>
        <v>16150.997747593408</v>
      </c>
      <c r="D194" s="15">
        <f t="shared" si="38"/>
        <v>789.66666666666663</v>
      </c>
      <c r="E194" s="14">
        <f t="shared" si="38"/>
        <v>2616.4288888888887</v>
      </c>
      <c r="F194" s="14">
        <f t="shared" si="38"/>
        <v>483.15385870451951</v>
      </c>
      <c r="G194" s="13">
        <f t="shared" si="38"/>
        <v>729.24833333333584</v>
      </c>
      <c r="H194" s="16">
        <f t="shared" si="38"/>
        <v>4988.6666666666661</v>
      </c>
      <c r="I194" s="15">
        <f t="shared" si="38"/>
        <v>2110</v>
      </c>
      <c r="J194" s="14">
        <f t="shared" si="38"/>
        <v>2539.1666666666665</v>
      </c>
      <c r="K194" s="13">
        <f t="shared" si="38"/>
        <v>1894.6666666666667</v>
      </c>
      <c r="L194" s="74"/>
    </row>
    <row r="195" spans="1:12" outlineLevel="1" x14ac:dyDescent="0.2">
      <c r="A195" s="20">
        <f t="shared" si="37"/>
        <v>3665</v>
      </c>
      <c r="B195" s="19" t="str">
        <f t="shared" si="37"/>
        <v>WTAMU</v>
      </c>
      <c r="C195" s="54">
        <f t="shared" si="35"/>
        <v>21813.984490795276</v>
      </c>
      <c r="D195" s="15">
        <f t="shared" si="38"/>
        <v>1255.6666666666667</v>
      </c>
      <c r="E195" s="14">
        <f t="shared" si="38"/>
        <v>4137.0031111111111</v>
      </c>
      <c r="F195" s="14">
        <f t="shared" si="38"/>
        <v>579.69304635082176</v>
      </c>
      <c r="G195" s="13">
        <f t="shared" si="38"/>
        <v>1251.7883333333418</v>
      </c>
      <c r="H195" s="16">
        <f t="shared" si="38"/>
        <v>6225.3333333333339</v>
      </c>
      <c r="I195" s="15">
        <f t="shared" si="38"/>
        <v>2687.5</v>
      </c>
      <c r="J195" s="14">
        <f t="shared" si="38"/>
        <v>3031.666666666667</v>
      </c>
      <c r="K195" s="13">
        <f t="shared" si="38"/>
        <v>2645.3333333333335</v>
      </c>
      <c r="L195" s="74"/>
    </row>
    <row r="196" spans="1:12" outlineLevel="1" x14ac:dyDescent="0.2">
      <c r="A196" s="20">
        <f t="shared" si="37"/>
        <v>3565</v>
      </c>
      <c r="B196" s="19" t="str">
        <f t="shared" si="37"/>
        <v>TAMUC</v>
      </c>
      <c r="C196" s="54">
        <f t="shared" si="35"/>
        <v>21986.579217400642</v>
      </c>
      <c r="D196" s="15">
        <f t="shared" si="38"/>
        <v>1324.3333333333333</v>
      </c>
      <c r="E196" s="14">
        <f t="shared" si="38"/>
        <v>4078.9466666666663</v>
      </c>
      <c r="F196" s="14">
        <f t="shared" si="38"/>
        <v>704.88588406729627</v>
      </c>
      <c r="G196" s="13">
        <f t="shared" si="38"/>
        <v>1250.9133333333457</v>
      </c>
      <c r="H196" s="16">
        <f t="shared" si="38"/>
        <v>7135.3333333333339</v>
      </c>
      <c r="I196" s="15">
        <f t="shared" si="38"/>
        <v>2839.5</v>
      </c>
      <c r="J196" s="14">
        <f t="shared" si="38"/>
        <v>2843.333333333333</v>
      </c>
      <c r="K196" s="13">
        <f t="shared" si="38"/>
        <v>1809.3333333333333</v>
      </c>
      <c r="L196" s="74"/>
    </row>
    <row r="197" spans="1:12" outlineLevel="1" x14ac:dyDescent="0.2">
      <c r="A197" s="20">
        <f t="shared" si="37"/>
        <v>29269</v>
      </c>
      <c r="B197" s="19" t="str">
        <f t="shared" si="37"/>
        <v>TAMUT</v>
      </c>
      <c r="C197" s="54">
        <f t="shared" si="35"/>
        <v>5713.4690496658686</v>
      </c>
      <c r="D197" s="15">
        <f t="shared" si="38"/>
        <v>345.66666666666669</v>
      </c>
      <c r="E197" s="14">
        <f t="shared" si="38"/>
        <v>1311.5218378278626</v>
      </c>
      <c r="F197" s="14">
        <f t="shared" si="38"/>
        <v>969.15887850467288</v>
      </c>
      <c r="G197" s="13">
        <f t="shared" si="38"/>
        <v>309.95499999999913</v>
      </c>
      <c r="H197" s="16">
        <f t="shared" si="38"/>
        <v>1673</v>
      </c>
      <c r="I197" s="15">
        <f t="shared" si="38"/>
        <v>649</v>
      </c>
      <c r="J197" s="14">
        <f t="shared" si="38"/>
        <v>452.5</v>
      </c>
      <c r="K197" s="13">
        <f t="shared" si="38"/>
        <v>2.6666666666666665</v>
      </c>
      <c r="L197" s="74"/>
    </row>
    <row r="198" spans="1:12" outlineLevel="1" x14ac:dyDescent="0.2">
      <c r="A198" s="20">
        <f t="shared" si="37"/>
        <v>3652</v>
      </c>
      <c r="B198" s="19" t="str">
        <f t="shared" si="37"/>
        <v>UH</v>
      </c>
      <c r="C198" s="54">
        <f t="shared" si="35"/>
        <v>92536.177130839191</v>
      </c>
      <c r="D198" s="15">
        <f t="shared" si="38"/>
        <v>5098.666666666667</v>
      </c>
      <c r="E198" s="14">
        <f t="shared" si="38"/>
        <v>19142.094222222222</v>
      </c>
      <c r="F198" s="14">
        <f t="shared" si="38"/>
        <v>535.62624195066564</v>
      </c>
      <c r="G198" s="13">
        <f t="shared" si="38"/>
        <v>5290.1233333329719</v>
      </c>
      <c r="H198" s="16">
        <f t="shared" si="38"/>
        <v>23611</v>
      </c>
      <c r="I198" s="15">
        <f t="shared" si="38"/>
        <v>11403.5</v>
      </c>
      <c r="J198" s="14">
        <f t="shared" si="38"/>
        <v>14225.833333333332</v>
      </c>
      <c r="K198" s="13">
        <f t="shared" si="38"/>
        <v>13229.333333333334</v>
      </c>
      <c r="L198" s="74"/>
    </row>
    <row r="199" spans="1:12" outlineLevel="1" x14ac:dyDescent="0.2">
      <c r="A199" s="20">
        <f t="shared" si="37"/>
        <v>11711</v>
      </c>
      <c r="B199" s="19" t="str">
        <f t="shared" si="37"/>
        <v>UHCL</v>
      </c>
      <c r="C199" s="54">
        <f t="shared" si="35"/>
        <v>17779.381921715343</v>
      </c>
      <c r="D199" s="15">
        <f t="shared" si="38"/>
        <v>1190.6666666666667</v>
      </c>
      <c r="E199" s="14">
        <f t="shared" si="38"/>
        <v>4335.3987555129188</v>
      </c>
      <c r="F199" s="14">
        <f t="shared" si="38"/>
        <v>992.33983286908085</v>
      </c>
      <c r="G199" s="13">
        <f t="shared" si="38"/>
        <v>1141.4766666666765</v>
      </c>
      <c r="H199" s="16">
        <f t="shared" si="38"/>
        <v>5420.3333333333339</v>
      </c>
      <c r="I199" s="15">
        <f t="shared" si="38"/>
        <v>2087</v>
      </c>
      <c r="J199" s="14">
        <f t="shared" si="38"/>
        <v>2384.1666666666665</v>
      </c>
      <c r="K199" s="13">
        <f t="shared" si="38"/>
        <v>228</v>
      </c>
      <c r="L199" s="74"/>
    </row>
    <row r="200" spans="1:12" outlineLevel="1" x14ac:dyDescent="0.2">
      <c r="A200" s="20">
        <f t="shared" si="37"/>
        <v>12826</v>
      </c>
      <c r="B200" s="19" t="str">
        <f t="shared" si="37"/>
        <v>UHD</v>
      </c>
      <c r="C200" s="54">
        <f t="shared" si="35"/>
        <v>31946.82079657718</v>
      </c>
      <c r="D200" s="15">
        <f t="shared" si="38"/>
        <v>2382.3333333333335</v>
      </c>
      <c r="E200" s="14">
        <f t="shared" si="38"/>
        <v>3168.503333333334</v>
      </c>
      <c r="F200" s="14">
        <f t="shared" si="38"/>
        <v>745.82579657715337</v>
      </c>
      <c r="G200" s="13">
        <f t="shared" si="38"/>
        <v>2135.6583333333606</v>
      </c>
      <c r="H200" s="16">
        <f t="shared" si="38"/>
        <v>11767</v>
      </c>
      <c r="I200" s="15">
        <f t="shared" si="38"/>
        <v>4658</v>
      </c>
      <c r="J200" s="14">
        <f t="shared" si="38"/>
        <v>4670.833333333333</v>
      </c>
      <c r="K200" s="13">
        <f t="shared" si="38"/>
        <v>2418.6666666666665</v>
      </c>
      <c r="L200" s="74"/>
    </row>
    <row r="201" spans="1:12" outlineLevel="1" x14ac:dyDescent="0.2">
      <c r="A201" s="20">
        <f t="shared" si="37"/>
        <v>13231</v>
      </c>
      <c r="B201" s="19" t="str">
        <f t="shared" si="37"/>
        <v>UHV</v>
      </c>
      <c r="C201" s="54">
        <f t="shared" si="35"/>
        <v>8751.8911288501622</v>
      </c>
      <c r="D201" s="15">
        <f t="shared" si="38"/>
        <v>576.66666666666663</v>
      </c>
      <c r="E201" s="14">
        <f t="shared" si="38"/>
        <v>2101.3682398720248</v>
      </c>
      <c r="F201" s="14">
        <f t="shared" si="38"/>
        <v>1002.1162223114708</v>
      </c>
      <c r="G201" s="13">
        <f t="shared" si="38"/>
        <v>542.24000000000058</v>
      </c>
      <c r="H201" s="16">
        <f t="shared" si="38"/>
        <v>2688</v>
      </c>
      <c r="I201" s="15">
        <f t="shared" si="38"/>
        <v>1074</v>
      </c>
      <c r="J201" s="14">
        <f t="shared" si="38"/>
        <v>740.83333333333326</v>
      </c>
      <c r="K201" s="13">
        <f t="shared" si="38"/>
        <v>26.666666666666668</v>
      </c>
      <c r="L201" s="74"/>
    </row>
    <row r="202" spans="1:12" outlineLevel="1" x14ac:dyDescent="0.2">
      <c r="A202" s="20">
        <f t="shared" si="37"/>
        <v>3592</v>
      </c>
      <c r="B202" s="19" t="str">
        <f t="shared" si="37"/>
        <v>Midwestern</v>
      </c>
      <c r="C202" s="54">
        <f t="shared" si="35"/>
        <v>18111.448609256422</v>
      </c>
      <c r="D202" s="15">
        <f t="shared" si="38"/>
        <v>1031.6666666666667</v>
      </c>
      <c r="E202" s="14">
        <f t="shared" si="38"/>
        <v>3172.7188888888886</v>
      </c>
      <c r="F202" s="14">
        <f t="shared" si="38"/>
        <v>603.063053700865</v>
      </c>
      <c r="G202" s="13">
        <f t="shared" si="38"/>
        <v>981.00000000000171</v>
      </c>
      <c r="H202" s="16">
        <f t="shared" si="38"/>
        <v>4832.3333333333339</v>
      </c>
      <c r="I202" s="15">
        <f t="shared" si="38"/>
        <v>2157</v>
      </c>
      <c r="J202" s="14">
        <f t="shared" si="38"/>
        <v>2615</v>
      </c>
      <c r="K202" s="13">
        <f t="shared" si="38"/>
        <v>2718.6666666666665</v>
      </c>
      <c r="L202" s="74"/>
    </row>
    <row r="203" spans="1:12" outlineLevel="1" x14ac:dyDescent="0.2">
      <c r="A203" s="20">
        <f t="shared" si="37"/>
        <v>3594</v>
      </c>
      <c r="B203" s="19" t="str">
        <f t="shared" si="37"/>
        <v>UNT</v>
      </c>
      <c r="C203" s="54">
        <f t="shared" si="35"/>
        <v>102633.68916970726</v>
      </c>
      <c r="D203" s="15">
        <f t="shared" si="38"/>
        <v>6016.666666666667</v>
      </c>
      <c r="E203" s="14">
        <f t="shared" si="38"/>
        <v>24273.238888888889</v>
      </c>
      <c r="F203" s="14">
        <f t="shared" si="38"/>
        <v>647.17361415210314</v>
      </c>
      <c r="G203" s="13">
        <f t="shared" si="38"/>
        <v>5705.7766666662646</v>
      </c>
      <c r="H203" s="16">
        <f t="shared" si="38"/>
        <v>26740</v>
      </c>
      <c r="I203" s="15">
        <f t="shared" si="38"/>
        <v>11797</v>
      </c>
      <c r="J203" s="14">
        <f t="shared" si="38"/>
        <v>14105.833333333332</v>
      </c>
      <c r="K203" s="13">
        <f t="shared" si="38"/>
        <v>13348</v>
      </c>
      <c r="L203" s="74"/>
    </row>
    <row r="204" spans="1:12" outlineLevel="1" x14ac:dyDescent="0.2">
      <c r="A204" s="27">
        <f t="shared" si="37"/>
        <v>113594</v>
      </c>
      <c r="B204" s="19" t="str">
        <f t="shared" si="37"/>
        <v>UNTD</v>
      </c>
      <c r="C204" s="54">
        <f t="shared" si="35"/>
        <v>6553.0104016347223</v>
      </c>
      <c r="D204" s="15">
        <f t="shared" si="38"/>
        <v>403.5</v>
      </c>
      <c r="E204" s="14">
        <f t="shared" si="38"/>
        <v>1631.1487500000001</v>
      </c>
      <c r="F204" s="14">
        <f t="shared" si="38"/>
        <v>1066.1816516347237</v>
      </c>
      <c r="G204" s="13">
        <f t="shared" si="38"/>
        <v>352.92999999999859</v>
      </c>
      <c r="H204" s="16">
        <f t="shared" si="38"/>
        <v>2159.5</v>
      </c>
      <c r="I204" s="15">
        <f t="shared" si="38"/>
        <v>717</v>
      </c>
      <c r="J204" s="14">
        <f t="shared" si="38"/>
        <v>178.75</v>
      </c>
      <c r="K204" s="13">
        <f t="shared" si="38"/>
        <v>44</v>
      </c>
      <c r="L204" s="74"/>
    </row>
    <row r="205" spans="1:12" outlineLevel="1" x14ac:dyDescent="0.2">
      <c r="A205" s="20">
        <f t="shared" si="37"/>
        <v>3624</v>
      </c>
      <c r="B205" s="19" t="str">
        <f t="shared" si="37"/>
        <v>SFA</v>
      </c>
      <c r="C205" s="54">
        <f t="shared" si="35"/>
        <v>36894.363607752101</v>
      </c>
      <c r="D205" s="15">
        <f t="shared" si="38"/>
        <v>1921.6666666666667</v>
      </c>
      <c r="E205" s="14">
        <f t="shared" si="38"/>
        <v>7452.2233333333324</v>
      </c>
      <c r="F205" s="14">
        <f t="shared" si="38"/>
        <v>506.43860775209788</v>
      </c>
      <c r="G205" s="13">
        <f t="shared" si="38"/>
        <v>1860.8683333333345</v>
      </c>
      <c r="H205" s="16">
        <f t="shared" si="38"/>
        <v>10222.333333333332</v>
      </c>
      <c r="I205" s="15">
        <f t="shared" si="38"/>
        <v>4154</v>
      </c>
      <c r="J205" s="14">
        <f t="shared" si="38"/>
        <v>5187.5</v>
      </c>
      <c r="K205" s="13">
        <f t="shared" si="38"/>
        <v>5589.333333333333</v>
      </c>
      <c r="L205" s="74"/>
    </row>
    <row r="206" spans="1:12" outlineLevel="1" x14ac:dyDescent="0.2">
      <c r="A206" s="20">
        <f t="shared" si="37"/>
        <v>3642</v>
      </c>
      <c r="B206" s="19" t="str">
        <f t="shared" si="37"/>
        <v>TSU</v>
      </c>
      <c r="C206" s="54">
        <f t="shared" si="35"/>
        <v>15936.132580827874</v>
      </c>
      <c r="D206" s="15">
        <f t="shared" si="38"/>
        <v>758.33333333333337</v>
      </c>
      <c r="E206" s="14">
        <f t="shared" si="38"/>
        <v>762.63055555555547</v>
      </c>
      <c r="F206" s="14">
        <f t="shared" si="38"/>
        <v>323.34202527231793</v>
      </c>
      <c r="G206" s="13">
        <f t="shared" si="38"/>
        <v>744.32666666666762</v>
      </c>
      <c r="H206" s="16">
        <f t="shared" si="38"/>
        <v>4664.3333333333339</v>
      </c>
      <c r="I206" s="15">
        <f t="shared" si="38"/>
        <v>2456</v>
      </c>
      <c r="J206" s="14">
        <f t="shared" si="38"/>
        <v>2832.5</v>
      </c>
      <c r="K206" s="13">
        <f t="shared" si="38"/>
        <v>3394.6666666666665</v>
      </c>
      <c r="L206" s="74"/>
    </row>
    <row r="207" spans="1:12" outlineLevel="1" x14ac:dyDescent="0.2">
      <c r="A207" s="20">
        <f t="shared" si="37"/>
        <v>3644</v>
      </c>
      <c r="B207" s="19" t="str">
        <f t="shared" si="37"/>
        <v>TTU</v>
      </c>
      <c r="C207" s="54">
        <f t="shared" si="35"/>
        <v>92366.663744842182</v>
      </c>
      <c r="D207" s="15">
        <f t="shared" si="38"/>
        <v>4674</v>
      </c>
      <c r="E207" s="14">
        <f t="shared" si="38"/>
        <v>23949.575999999997</v>
      </c>
      <c r="F207" s="14">
        <f t="shared" si="38"/>
        <v>526.53107817583384</v>
      </c>
      <c r="G207" s="13">
        <f t="shared" si="38"/>
        <v>5064.0566666663408</v>
      </c>
      <c r="H207" s="16">
        <f t="shared" si="38"/>
        <v>19446</v>
      </c>
      <c r="I207" s="15">
        <f t="shared" si="38"/>
        <v>9728</v>
      </c>
      <c r="J207" s="14">
        <f t="shared" si="38"/>
        <v>13195.833333333332</v>
      </c>
      <c r="K207" s="13">
        <f t="shared" si="38"/>
        <v>15782.666666666666</v>
      </c>
      <c r="L207" s="74"/>
    </row>
    <row r="208" spans="1:12" outlineLevel="1" x14ac:dyDescent="0.2">
      <c r="A208" s="20">
        <f t="shared" si="37"/>
        <v>3541</v>
      </c>
      <c r="B208" s="19" t="str">
        <f t="shared" si="37"/>
        <v>Angelo</v>
      </c>
      <c r="C208" s="54">
        <f t="shared" si="35"/>
        <v>18103.084406595503</v>
      </c>
      <c r="D208" s="15">
        <f t="shared" si="38"/>
        <v>991.33333333333337</v>
      </c>
      <c r="E208" s="14">
        <f t="shared" si="38"/>
        <v>2981.6002222222223</v>
      </c>
      <c r="F208" s="14">
        <f t="shared" si="38"/>
        <v>507.64251770660741</v>
      </c>
      <c r="G208" s="13">
        <f t="shared" si="38"/>
        <v>988.67500000000257</v>
      </c>
      <c r="H208" s="16">
        <f t="shared" si="38"/>
        <v>5061</v>
      </c>
      <c r="I208" s="15">
        <f t="shared" si="38"/>
        <v>2158</v>
      </c>
      <c r="J208" s="14">
        <f t="shared" si="38"/>
        <v>2584.166666666667</v>
      </c>
      <c r="K208" s="13">
        <f t="shared" si="38"/>
        <v>2830.6666666666665</v>
      </c>
      <c r="L208" s="74"/>
    </row>
    <row r="209" spans="1:12" outlineLevel="1" x14ac:dyDescent="0.2">
      <c r="A209" s="20">
        <f t="shared" ref="A209:B214" si="39">A37</f>
        <v>3646</v>
      </c>
      <c r="B209" s="19" t="str">
        <f t="shared" si="39"/>
        <v>TWU</v>
      </c>
      <c r="C209" s="54">
        <f t="shared" si="35"/>
        <v>28733.422440709332</v>
      </c>
      <c r="D209" s="15">
        <f t="shared" ref="D209:K214" si="40">D251*D$176</f>
        <v>1806</v>
      </c>
      <c r="E209" s="14">
        <f t="shared" si="40"/>
        <v>6620.1940000000004</v>
      </c>
      <c r="F209" s="14">
        <f t="shared" si="40"/>
        <v>688.64010737599904</v>
      </c>
      <c r="G209" s="13">
        <f t="shared" si="40"/>
        <v>1726.0883333333329</v>
      </c>
      <c r="H209" s="16">
        <f t="shared" si="40"/>
        <v>8729</v>
      </c>
      <c r="I209" s="15">
        <f t="shared" si="40"/>
        <v>3294</v>
      </c>
      <c r="J209" s="14">
        <f t="shared" si="40"/>
        <v>3230.833333333333</v>
      </c>
      <c r="K209" s="13">
        <f t="shared" si="40"/>
        <v>2638.6666666666665</v>
      </c>
      <c r="L209" s="74"/>
    </row>
    <row r="210" spans="1:12" outlineLevel="1" x14ac:dyDescent="0.2">
      <c r="A210" s="20">
        <f t="shared" si="39"/>
        <v>3581</v>
      </c>
      <c r="B210" s="19" t="str">
        <f t="shared" si="39"/>
        <v>Lamar</v>
      </c>
      <c r="C210" s="54">
        <f t="shared" si="35"/>
        <v>24035.505673555755</v>
      </c>
      <c r="D210" s="15">
        <f t="shared" si="40"/>
        <v>1335.3333333333333</v>
      </c>
      <c r="E210" s="14">
        <f t="shared" si="40"/>
        <v>3274.6824444444442</v>
      </c>
      <c r="F210" s="14">
        <f t="shared" si="40"/>
        <v>458.87322911130246</v>
      </c>
      <c r="G210" s="13">
        <f t="shared" si="40"/>
        <v>1342.4500000000082</v>
      </c>
      <c r="H210" s="16">
        <f t="shared" si="40"/>
        <v>6640.6666666666661</v>
      </c>
      <c r="I210" s="15">
        <f t="shared" si="40"/>
        <v>3217</v>
      </c>
      <c r="J210" s="14">
        <f t="shared" si="40"/>
        <v>3722.5</v>
      </c>
      <c r="K210" s="13">
        <f t="shared" si="40"/>
        <v>4044</v>
      </c>
      <c r="L210" s="74"/>
    </row>
    <row r="211" spans="1:12" outlineLevel="1" x14ac:dyDescent="0.2">
      <c r="A211" s="20">
        <f t="shared" si="39"/>
        <v>3606</v>
      </c>
      <c r="B211" s="19" t="str">
        <f t="shared" si="39"/>
        <v>SHSU</v>
      </c>
      <c r="C211" s="54">
        <f t="shared" si="35"/>
        <v>55050.880800427032</v>
      </c>
      <c r="D211" s="15">
        <f t="shared" si="40"/>
        <v>3077.6666666666665</v>
      </c>
      <c r="E211" s="14">
        <f t="shared" si="40"/>
        <v>12638.951111111111</v>
      </c>
      <c r="F211" s="14">
        <f t="shared" si="40"/>
        <v>611.8913559825254</v>
      </c>
      <c r="G211" s="13">
        <f t="shared" si="40"/>
        <v>2918.5383333333943</v>
      </c>
      <c r="H211" s="16">
        <f t="shared" si="40"/>
        <v>15495.666666666666</v>
      </c>
      <c r="I211" s="15">
        <f t="shared" si="40"/>
        <v>5841.5</v>
      </c>
      <c r="J211" s="14">
        <f t="shared" si="40"/>
        <v>7413.3333333333339</v>
      </c>
      <c r="K211" s="13">
        <f t="shared" si="40"/>
        <v>7053.333333333333</v>
      </c>
      <c r="L211" s="74"/>
    </row>
    <row r="212" spans="1:12" outlineLevel="1" x14ac:dyDescent="0.2">
      <c r="A212" s="20">
        <f t="shared" si="39"/>
        <v>3615</v>
      </c>
      <c r="B212" s="19" t="str">
        <f t="shared" si="39"/>
        <v>TXST</v>
      </c>
      <c r="C212" s="54">
        <f t="shared" si="35"/>
        <v>99069.084954661012</v>
      </c>
      <c r="D212" s="15">
        <f t="shared" si="40"/>
        <v>5361</v>
      </c>
      <c r="E212" s="14">
        <f t="shared" si="40"/>
        <v>23754.591</v>
      </c>
      <c r="F212" s="14">
        <f t="shared" si="40"/>
        <v>585.17228799465988</v>
      </c>
      <c r="G212" s="13">
        <f t="shared" si="40"/>
        <v>5218.6549999996787</v>
      </c>
      <c r="H212" s="16">
        <f t="shared" si="40"/>
        <v>25727.333333333336</v>
      </c>
      <c r="I212" s="15">
        <f t="shared" si="40"/>
        <v>11205.5</v>
      </c>
      <c r="J212" s="14">
        <f t="shared" si="40"/>
        <v>13947.5</v>
      </c>
      <c r="K212" s="13">
        <f t="shared" si="40"/>
        <v>13269.333333333334</v>
      </c>
      <c r="L212" s="74"/>
    </row>
    <row r="213" spans="1:12" outlineLevel="1" x14ac:dyDescent="0.2">
      <c r="A213" s="20">
        <f t="shared" si="39"/>
        <v>3625</v>
      </c>
      <c r="B213" s="19" t="str">
        <f t="shared" si="39"/>
        <v>SRSU</v>
      </c>
      <c r="C213" s="54">
        <f t="shared" si="35"/>
        <v>3775.2280752081015</v>
      </c>
      <c r="D213" s="15">
        <f t="shared" si="40"/>
        <v>189.33333333333334</v>
      </c>
      <c r="E213" s="14">
        <f t="shared" si="40"/>
        <v>398.92533333333336</v>
      </c>
      <c r="F213" s="14">
        <f t="shared" si="40"/>
        <v>387.97107520810192</v>
      </c>
      <c r="G213" s="13">
        <f t="shared" si="40"/>
        <v>197.16499999999982</v>
      </c>
      <c r="H213" s="16">
        <f t="shared" si="40"/>
        <v>1141</v>
      </c>
      <c r="I213" s="15">
        <f t="shared" si="40"/>
        <v>450</v>
      </c>
      <c r="J213" s="14">
        <f t="shared" si="40"/>
        <v>484.16666666666663</v>
      </c>
      <c r="K213" s="13">
        <f t="shared" si="40"/>
        <v>526.66666666666663</v>
      </c>
      <c r="L213" s="74"/>
    </row>
    <row r="214" spans="1:12" outlineLevel="1" x14ac:dyDescent="0.2">
      <c r="A214" s="20">
        <f t="shared" si="39"/>
        <v>20</v>
      </c>
      <c r="B214" s="19" t="str">
        <f t="shared" si="39"/>
        <v>SRRG</v>
      </c>
      <c r="C214" s="54">
        <f t="shared" si="35"/>
        <v>3177.7237097458737</v>
      </c>
      <c r="D214" s="15">
        <f t="shared" si="40"/>
        <v>161.66666666666666</v>
      </c>
      <c r="E214" s="14">
        <f t="shared" si="40"/>
        <v>359.56183632836428</v>
      </c>
      <c r="F214" s="14">
        <f t="shared" si="40"/>
        <v>914.91020675084269</v>
      </c>
      <c r="G214" s="13">
        <f t="shared" si="40"/>
        <v>139.58499999999989</v>
      </c>
      <c r="H214" s="16">
        <f t="shared" si="40"/>
        <v>1008</v>
      </c>
      <c r="I214" s="15">
        <f t="shared" si="40"/>
        <v>345</v>
      </c>
      <c r="J214" s="14">
        <f t="shared" si="40"/>
        <v>231.66666666666669</v>
      </c>
      <c r="K214" s="13">
        <f t="shared" si="40"/>
        <v>17.333333333333332</v>
      </c>
      <c r="L214" s="74"/>
    </row>
    <row r="215" spans="1:12" ht="13.5" outlineLevel="1" thickBot="1" x14ac:dyDescent="0.25">
      <c r="A215" s="12"/>
      <c r="B215" s="11" t="s">
        <v>11</v>
      </c>
      <c r="C215" s="53">
        <f t="shared" ref="C215:K215" si="41">SUM(C177:C214)</f>
        <v>1500719.5456374921</v>
      </c>
      <c r="D215" s="9">
        <f t="shared" si="41"/>
        <v>84315.833333333314</v>
      </c>
      <c r="E215" s="7">
        <f t="shared" si="41"/>
        <v>343222.64122446562</v>
      </c>
      <c r="F215" s="7">
        <f t="shared" si="41"/>
        <v>25436.751079693917</v>
      </c>
      <c r="G215" s="3">
        <f t="shared" si="41"/>
        <v>86230.569999999221</v>
      </c>
      <c r="H215" s="6">
        <f t="shared" si="41"/>
        <v>381125.5</v>
      </c>
      <c r="I215" s="5">
        <f t="shared" si="41"/>
        <v>171319</v>
      </c>
      <c r="J215" s="4">
        <f t="shared" si="41"/>
        <v>205861.25000000003</v>
      </c>
      <c r="K215" s="3">
        <f t="shared" si="41"/>
        <v>203207.99999999997</v>
      </c>
      <c r="L215" s="127"/>
    </row>
    <row r="216" spans="1:12" ht="13.5" thickBot="1" x14ac:dyDescent="0.25">
      <c r="A216" s="42" t="s">
        <v>27</v>
      </c>
      <c r="B216" s="42"/>
      <c r="C216" s="105"/>
      <c r="D216" s="51"/>
      <c r="E216" s="51"/>
      <c r="F216" s="52"/>
      <c r="L216" s="127"/>
    </row>
    <row r="217" spans="1:12" ht="12.75" customHeight="1" outlineLevel="1" x14ac:dyDescent="0.2">
      <c r="A217" s="184" t="s">
        <v>22</v>
      </c>
      <c r="B217" s="186" t="s">
        <v>21</v>
      </c>
      <c r="C217" s="188"/>
      <c r="D217" s="196" t="s">
        <v>26</v>
      </c>
      <c r="E217" s="194" t="s">
        <v>19</v>
      </c>
      <c r="F217" s="186" t="s">
        <v>18</v>
      </c>
      <c r="G217" s="192" t="s">
        <v>17</v>
      </c>
      <c r="H217" s="176" t="s">
        <v>16</v>
      </c>
      <c r="I217" s="178" t="s">
        <v>15</v>
      </c>
      <c r="J217" s="179"/>
      <c r="K217" s="180"/>
      <c r="L217" s="127"/>
    </row>
    <row r="218" spans="1:12" s="41" customFormat="1" ht="41.25" customHeight="1" outlineLevel="1" thickBot="1" x14ac:dyDescent="0.25">
      <c r="A218" s="185"/>
      <c r="B218" s="187"/>
      <c r="C218" s="189"/>
      <c r="D218" s="197"/>
      <c r="E218" s="195"/>
      <c r="F218" s="187"/>
      <c r="G218" s="193"/>
      <c r="H218" s="190"/>
      <c r="I218" s="103" t="s">
        <v>14</v>
      </c>
      <c r="J218" s="104" t="s">
        <v>13</v>
      </c>
      <c r="K218" s="110" t="s">
        <v>12</v>
      </c>
      <c r="L218" s="127"/>
    </row>
    <row r="219" spans="1:12" outlineLevel="1" x14ac:dyDescent="0.2">
      <c r="A219" s="20">
        <f t="shared" ref="A219:B234" si="42">A177</f>
        <v>3656</v>
      </c>
      <c r="B219" s="19" t="str">
        <f t="shared" si="42"/>
        <v>UTA</v>
      </c>
      <c r="C219" s="38"/>
      <c r="D219" s="33">
        <f t="shared" ref="D219:D256" si="43">AVERAGE(D261,D303,D345)</f>
        <v>5018</v>
      </c>
      <c r="E219" s="96">
        <f t="shared" ref="E219:E256" si="44">AVERAGE(E261,E303,E345)*D219</f>
        <v>2600.9966666666669</v>
      </c>
      <c r="F219" s="32">
        <f t="shared" ref="F219:F256" si="45">D219/AVERAGE(F261,F303,F345)*100</f>
        <v>29.603788278048281</v>
      </c>
      <c r="G219" s="31">
        <f t="shared" ref="G219:K234" si="46">AVERAGE(G261,G303,G345)</f>
        <v>10418.553333333379</v>
      </c>
      <c r="H219" s="34">
        <f t="shared" si="46"/>
        <v>3116</v>
      </c>
      <c r="I219" s="33">
        <f t="shared" si="46"/>
        <v>6836.333333333333</v>
      </c>
      <c r="J219" s="32">
        <f t="shared" si="46"/>
        <v>3833.6666666666665</v>
      </c>
      <c r="K219" s="31">
        <f t="shared" si="46"/>
        <v>1783.6666666666667</v>
      </c>
      <c r="L219" s="127"/>
    </row>
    <row r="220" spans="1:12" outlineLevel="1" x14ac:dyDescent="0.2">
      <c r="A220" s="20">
        <f t="shared" si="42"/>
        <v>3658</v>
      </c>
      <c r="B220" s="19" t="str">
        <f t="shared" si="42"/>
        <v>UT</v>
      </c>
      <c r="C220" s="18"/>
      <c r="D220" s="15">
        <f t="shared" si="43"/>
        <v>8946.3333333333339</v>
      </c>
      <c r="E220" s="94">
        <f t="shared" si="44"/>
        <v>7416.5103333333345</v>
      </c>
      <c r="F220" s="14">
        <f t="shared" si="45"/>
        <v>26.497692061124674</v>
      </c>
      <c r="G220" s="13">
        <f t="shared" si="46"/>
        <v>19398.350000000519</v>
      </c>
      <c r="H220" s="16">
        <f t="shared" si="46"/>
        <v>3470.3333333333335</v>
      </c>
      <c r="I220" s="15">
        <f t="shared" si="46"/>
        <v>9598.3333333333339</v>
      </c>
      <c r="J220" s="14">
        <f t="shared" si="46"/>
        <v>9005.6666666666661</v>
      </c>
      <c r="K220" s="13">
        <f t="shared" si="46"/>
        <v>7040.333333333333</v>
      </c>
      <c r="L220" s="127"/>
    </row>
    <row r="221" spans="1:12" outlineLevel="1" x14ac:dyDescent="0.2">
      <c r="A221" s="20">
        <f t="shared" si="42"/>
        <v>9741</v>
      </c>
      <c r="B221" s="19" t="str">
        <f t="shared" si="42"/>
        <v>UTD</v>
      </c>
      <c r="C221" s="18"/>
      <c r="D221" s="15">
        <f t="shared" si="43"/>
        <v>2393</v>
      </c>
      <c r="E221" s="94">
        <f t="shared" si="44"/>
        <v>1682.279</v>
      </c>
      <c r="F221" s="14">
        <f t="shared" si="45"/>
        <v>26.829760516638267</v>
      </c>
      <c r="G221" s="13">
        <f t="shared" si="46"/>
        <v>5101.2033333334393</v>
      </c>
      <c r="H221" s="16">
        <f t="shared" si="46"/>
        <v>1319.6666666666667</v>
      </c>
      <c r="I221" s="15">
        <f t="shared" si="46"/>
        <v>3315</v>
      </c>
      <c r="J221" s="14">
        <f t="shared" si="46"/>
        <v>2134.3333333333335</v>
      </c>
      <c r="K221" s="13">
        <f t="shared" si="46"/>
        <v>1021.3333333333334</v>
      </c>
      <c r="L221" s="127"/>
    </row>
    <row r="222" spans="1:12" outlineLevel="1" x14ac:dyDescent="0.2">
      <c r="A222" s="20">
        <f t="shared" si="42"/>
        <v>3661</v>
      </c>
      <c r="B222" s="19" t="str">
        <f t="shared" si="42"/>
        <v>UTEP</v>
      </c>
      <c r="C222" s="18"/>
      <c r="D222" s="15">
        <f t="shared" si="43"/>
        <v>3057</v>
      </c>
      <c r="E222" s="94">
        <f t="shared" si="44"/>
        <v>1192.2299999999998</v>
      </c>
      <c r="F222" s="14">
        <f t="shared" si="45"/>
        <v>22.870894536023343</v>
      </c>
      <c r="G222" s="13">
        <f t="shared" si="46"/>
        <v>6298.0766666668133</v>
      </c>
      <c r="H222" s="16">
        <f t="shared" si="46"/>
        <v>2464.3333333333335</v>
      </c>
      <c r="I222" s="15">
        <f t="shared" si="46"/>
        <v>4362.666666666667</v>
      </c>
      <c r="J222" s="14">
        <f t="shared" si="46"/>
        <v>3358</v>
      </c>
      <c r="K222" s="13">
        <f t="shared" si="46"/>
        <v>1956</v>
      </c>
      <c r="L222" s="127"/>
    </row>
    <row r="223" spans="1:12" outlineLevel="1" x14ac:dyDescent="0.2">
      <c r="A223" s="20">
        <f t="shared" si="42"/>
        <v>3599</v>
      </c>
      <c r="B223" s="19" t="str">
        <f t="shared" si="42"/>
        <v>UTPA</v>
      </c>
      <c r="C223" s="18"/>
      <c r="D223" s="15">
        <f t="shared" si="43"/>
        <v>2580</v>
      </c>
      <c r="E223" s="94">
        <f t="shared" si="44"/>
        <v>1111.98</v>
      </c>
      <c r="F223" s="14">
        <f t="shared" si="45"/>
        <v>20.492490499497837</v>
      </c>
      <c r="G223" s="13">
        <f t="shared" si="46"/>
        <v>5134.1666666667797</v>
      </c>
      <c r="H223" s="16">
        <f t="shared" si="46"/>
        <v>2338.3333333333335</v>
      </c>
      <c r="I223" s="15">
        <f t="shared" si="46"/>
        <v>4075.3333333333335</v>
      </c>
      <c r="J223" s="14">
        <f t="shared" si="46"/>
        <v>3096</v>
      </c>
      <c r="K223" s="13">
        <f t="shared" si="46"/>
        <v>1939.3333333333333</v>
      </c>
      <c r="L223" s="127"/>
    </row>
    <row r="224" spans="1:12" outlineLevel="1" x14ac:dyDescent="0.2">
      <c r="A224" s="20">
        <f t="shared" si="42"/>
        <v>30646</v>
      </c>
      <c r="B224" s="19" t="str">
        <f t="shared" si="42"/>
        <v>UTB</v>
      </c>
      <c r="C224" s="18"/>
      <c r="D224" s="15">
        <f t="shared" si="43"/>
        <v>1092</v>
      </c>
      <c r="E224" s="94">
        <f t="shared" si="44"/>
        <v>628.17092451302005</v>
      </c>
      <c r="F224" s="14">
        <f t="shared" si="45"/>
        <v>34.461236368736628</v>
      </c>
      <c r="G224" s="13">
        <f t="shared" si="46"/>
        <v>2097.7933333333553</v>
      </c>
      <c r="H224" s="16">
        <f t="shared" si="46"/>
        <v>936.66666666666663</v>
      </c>
      <c r="I224" s="15">
        <f t="shared" si="46"/>
        <v>1326.3333333333333</v>
      </c>
      <c r="J224" s="14">
        <f t="shared" si="46"/>
        <v>556.33333333333337</v>
      </c>
      <c r="K224" s="13">
        <f t="shared" si="46"/>
        <v>100.66666666666667</v>
      </c>
      <c r="L224" s="127"/>
    </row>
    <row r="225" spans="1:12" outlineLevel="1" x14ac:dyDescent="0.2">
      <c r="A225" s="20">
        <f t="shared" si="42"/>
        <v>9930</v>
      </c>
      <c r="B225" s="19" t="str">
        <f t="shared" si="42"/>
        <v>UTPB</v>
      </c>
      <c r="C225" s="18"/>
      <c r="D225" s="15">
        <f t="shared" si="43"/>
        <v>533.33333333333337</v>
      </c>
      <c r="E225" s="94">
        <f t="shared" si="44"/>
        <v>236.8</v>
      </c>
      <c r="F225" s="14">
        <f t="shared" si="45"/>
        <v>23.125174643246009</v>
      </c>
      <c r="G225" s="13">
        <f t="shared" si="46"/>
        <v>1001.5166666666704</v>
      </c>
      <c r="H225" s="16">
        <f t="shared" si="46"/>
        <v>399</v>
      </c>
      <c r="I225" s="15">
        <f t="shared" si="46"/>
        <v>785.66666666666663</v>
      </c>
      <c r="J225" s="14">
        <f t="shared" si="46"/>
        <v>491.66666666666669</v>
      </c>
      <c r="K225" s="13">
        <f t="shared" si="46"/>
        <v>194.33333333333334</v>
      </c>
      <c r="L225" s="127"/>
    </row>
    <row r="226" spans="1:12" outlineLevel="1" x14ac:dyDescent="0.2">
      <c r="A226" s="20">
        <f t="shared" si="42"/>
        <v>10115</v>
      </c>
      <c r="B226" s="19" t="str">
        <f t="shared" si="42"/>
        <v>UTSA</v>
      </c>
      <c r="C226" s="18"/>
      <c r="D226" s="15">
        <f t="shared" si="43"/>
        <v>4119.666666666667</v>
      </c>
      <c r="E226" s="94">
        <f t="shared" si="44"/>
        <v>1737.1261111111112</v>
      </c>
      <c r="F226" s="14">
        <f t="shared" si="45"/>
        <v>20.241034101368403</v>
      </c>
      <c r="G226" s="13">
        <f t="shared" si="46"/>
        <v>8414.213333333224</v>
      </c>
      <c r="H226" s="16">
        <f t="shared" si="46"/>
        <v>3123.6666666666665</v>
      </c>
      <c r="I226" s="15">
        <f t="shared" si="46"/>
        <v>6809.666666666667</v>
      </c>
      <c r="J226" s="14">
        <f t="shared" si="46"/>
        <v>4458.666666666667</v>
      </c>
      <c r="K226" s="13">
        <f t="shared" si="46"/>
        <v>2615.6666666666665</v>
      </c>
      <c r="L226" s="127"/>
    </row>
    <row r="227" spans="1:12" outlineLevel="1" x14ac:dyDescent="0.2">
      <c r="A227" s="20">
        <f t="shared" si="42"/>
        <v>11163</v>
      </c>
      <c r="B227" s="19" t="str">
        <f t="shared" si="42"/>
        <v>UTT</v>
      </c>
      <c r="C227" s="18"/>
      <c r="D227" s="15">
        <f t="shared" si="43"/>
        <v>1190</v>
      </c>
      <c r="E227" s="94">
        <f t="shared" si="44"/>
        <v>613.64333333333343</v>
      </c>
      <c r="F227" s="14">
        <f t="shared" si="45"/>
        <v>29.255740517151896</v>
      </c>
      <c r="G227" s="13">
        <f t="shared" si="46"/>
        <v>2362.6600000000103</v>
      </c>
      <c r="H227" s="16">
        <f t="shared" si="46"/>
        <v>942.33333333333337</v>
      </c>
      <c r="I227" s="15">
        <f t="shared" si="46"/>
        <v>1436.3333333333333</v>
      </c>
      <c r="J227" s="14">
        <f t="shared" si="46"/>
        <v>890</v>
      </c>
      <c r="K227" s="13">
        <f t="shared" si="46"/>
        <v>387.33333333333331</v>
      </c>
      <c r="L227" s="127"/>
    </row>
    <row r="228" spans="1:12" outlineLevel="1" x14ac:dyDescent="0.2">
      <c r="A228" s="20">
        <f t="shared" si="42"/>
        <v>3632</v>
      </c>
      <c r="B228" s="19" t="str">
        <f t="shared" si="42"/>
        <v>TAMU</v>
      </c>
      <c r="C228" s="18"/>
      <c r="D228" s="15">
        <f t="shared" si="43"/>
        <v>8739.6666666666661</v>
      </c>
      <c r="E228" s="94">
        <f t="shared" si="44"/>
        <v>7347.1464444444427</v>
      </c>
      <c r="F228" s="14">
        <f t="shared" si="45"/>
        <v>25.241886570842681</v>
      </c>
      <c r="G228" s="13">
        <f t="shared" si="46"/>
        <v>20104.8166666668</v>
      </c>
      <c r="H228" s="16">
        <f t="shared" si="46"/>
        <v>3724</v>
      </c>
      <c r="I228" s="15">
        <f t="shared" si="46"/>
        <v>10060.666666666666</v>
      </c>
      <c r="J228" s="14">
        <f t="shared" si="46"/>
        <v>8907.3333333333339</v>
      </c>
      <c r="K228" s="13">
        <f t="shared" si="46"/>
        <v>6897.666666666667</v>
      </c>
      <c r="L228" s="127"/>
    </row>
    <row r="229" spans="1:12" outlineLevel="1" x14ac:dyDescent="0.2">
      <c r="A229" s="20">
        <f t="shared" si="42"/>
        <v>10298</v>
      </c>
      <c r="B229" s="19" t="str">
        <f t="shared" si="42"/>
        <v>TAMUG</v>
      </c>
      <c r="C229" s="18"/>
      <c r="D229" s="15">
        <f t="shared" si="43"/>
        <v>275.33333333333331</v>
      </c>
      <c r="E229" s="94">
        <f t="shared" si="44"/>
        <v>172.72577777777778</v>
      </c>
      <c r="F229" s="14">
        <f t="shared" si="45"/>
        <v>16.399301143583227</v>
      </c>
      <c r="G229" s="13">
        <f t="shared" si="46"/>
        <v>704.02666666666448</v>
      </c>
      <c r="H229" s="16">
        <f t="shared" si="46"/>
        <v>158</v>
      </c>
      <c r="I229" s="15">
        <f t="shared" si="46"/>
        <v>592.33333333333337</v>
      </c>
      <c r="J229" s="14">
        <f t="shared" si="46"/>
        <v>318</v>
      </c>
      <c r="K229" s="13">
        <f t="shared" si="46"/>
        <v>246</v>
      </c>
      <c r="L229" s="127"/>
    </row>
    <row r="230" spans="1:12" outlineLevel="1" x14ac:dyDescent="0.2">
      <c r="A230" s="20">
        <f t="shared" si="42"/>
        <v>3630</v>
      </c>
      <c r="B230" s="19" t="str">
        <f t="shared" si="42"/>
        <v>Prairie View</v>
      </c>
      <c r="C230" s="18"/>
      <c r="D230" s="15">
        <f t="shared" si="43"/>
        <v>936.33333333333337</v>
      </c>
      <c r="E230" s="94">
        <f t="shared" si="44"/>
        <v>348.00388888888887</v>
      </c>
      <c r="F230" s="14">
        <f t="shared" si="45"/>
        <v>15.823688025296873</v>
      </c>
      <c r="G230" s="13">
        <f t="shared" si="46"/>
        <v>2072.9000000000092</v>
      </c>
      <c r="H230" s="16">
        <f t="shared" si="46"/>
        <v>802.66666666666663</v>
      </c>
      <c r="I230" s="15">
        <f t="shared" si="46"/>
        <v>1668</v>
      </c>
      <c r="J230" s="14">
        <f t="shared" si="46"/>
        <v>1181</v>
      </c>
      <c r="K230" s="13">
        <f t="shared" si="46"/>
        <v>905.33333333333337</v>
      </c>
      <c r="L230" s="127"/>
    </row>
    <row r="231" spans="1:12" outlineLevel="1" x14ac:dyDescent="0.2">
      <c r="A231" s="20">
        <f t="shared" si="42"/>
        <v>3631</v>
      </c>
      <c r="B231" s="19" t="str">
        <f t="shared" si="42"/>
        <v>Tarleton</v>
      </c>
      <c r="C231" s="18"/>
      <c r="D231" s="15">
        <f t="shared" si="43"/>
        <v>1545.3333333333333</v>
      </c>
      <c r="E231" s="94">
        <f t="shared" si="44"/>
        <v>738.66933333333338</v>
      </c>
      <c r="F231" s="14">
        <f t="shared" si="45"/>
        <v>24.559767752325659</v>
      </c>
      <c r="G231" s="13">
        <f t="shared" si="46"/>
        <v>3122.5433333333599</v>
      </c>
      <c r="H231" s="16">
        <f t="shared" si="46"/>
        <v>1195</v>
      </c>
      <c r="I231" s="15">
        <f t="shared" si="46"/>
        <v>2154.3333333333335</v>
      </c>
      <c r="J231" s="14">
        <f t="shared" si="46"/>
        <v>1328.6666666666667</v>
      </c>
      <c r="K231" s="13">
        <f t="shared" si="46"/>
        <v>862.66666666666663</v>
      </c>
      <c r="L231" s="127"/>
    </row>
    <row r="232" spans="1:12" outlineLevel="1" x14ac:dyDescent="0.2">
      <c r="A232" s="27">
        <f t="shared" si="42"/>
        <v>103631</v>
      </c>
      <c r="B232" s="19" t="str">
        <f t="shared" si="42"/>
        <v>TAMUCT</v>
      </c>
      <c r="C232" s="18"/>
      <c r="D232" s="15">
        <f t="shared" si="43"/>
        <v>460.33333333333331</v>
      </c>
      <c r="E232" s="94">
        <f t="shared" si="44"/>
        <v>220.03933333333333</v>
      </c>
      <c r="F232" s="14">
        <f t="shared" si="45"/>
        <v>67.587849522007247</v>
      </c>
      <c r="G232" s="13">
        <f t="shared" si="46"/>
        <v>853.61666666666588</v>
      </c>
      <c r="H232" s="16">
        <f t="shared" si="46"/>
        <v>327</v>
      </c>
      <c r="I232" s="15">
        <f t="shared" si="46"/>
        <v>495</v>
      </c>
      <c r="J232" s="14">
        <f t="shared" si="46"/>
        <v>133</v>
      </c>
      <c r="K232" s="13">
        <f t="shared" si="46"/>
        <v>34</v>
      </c>
      <c r="L232" s="127"/>
    </row>
    <row r="233" spans="1:12" outlineLevel="1" x14ac:dyDescent="0.2">
      <c r="A233" s="20">
        <f t="shared" si="42"/>
        <v>11161</v>
      </c>
      <c r="B233" s="19" t="str">
        <f t="shared" si="42"/>
        <v>TAMUCC</v>
      </c>
      <c r="C233" s="18"/>
      <c r="D233" s="15">
        <f t="shared" si="43"/>
        <v>1388.3333333333333</v>
      </c>
      <c r="E233" s="94">
        <f t="shared" si="44"/>
        <v>705.27333333333331</v>
      </c>
      <c r="F233" s="14">
        <f t="shared" si="45"/>
        <v>21.376514062820775</v>
      </c>
      <c r="G233" s="13">
        <f t="shared" si="46"/>
        <v>2804.2000000000139</v>
      </c>
      <c r="H233" s="16">
        <f t="shared" si="46"/>
        <v>1080</v>
      </c>
      <c r="I233" s="15">
        <f t="shared" si="46"/>
        <v>2054</v>
      </c>
      <c r="J233" s="14">
        <f t="shared" si="46"/>
        <v>1468</v>
      </c>
      <c r="K233" s="13">
        <f t="shared" si="46"/>
        <v>878.33333333333337</v>
      </c>
      <c r="L233" s="127"/>
    </row>
    <row r="234" spans="1:12" outlineLevel="1" x14ac:dyDescent="0.2">
      <c r="A234" s="20">
        <f t="shared" si="42"/>
        <v>3639</v>
      </c>
      <c r="B234" s="19" t="str">
        <f t="shared" si="42"/>
        <v>TAMUK</v>
      </c>
      <c r="C234" s="18"/>
      <c r="D234" s="15">
        <f t="shared" si="43"/>
        <v>761.66666666666663</v>
      </c>
      <c r="E234" s="94">
        <f t="shared" si="44"/>
        <v>306.44388888888892</v>
      </c>
      <c r="F234" s="14">
        <f t="shared" si="45"/>
        <v>17.879499217527385</v>
      </c>
      <c r="G234" s="13">
        <f t="shared" si="46"/>
        <v>1763.4533333333395</v>
      </c>
      <c r="H234" s="16">
        <f t="shared" si="46"/>
        <v>648.33333333333337</v>
      </c>
      <c r="I234" s="15">
        <f t="shared" si="46"/>
        <v>1227.3333333333333</v>
      </c>
      <c r="J234" s="14">
        <f t="shared" si="46"/>
        <v>859.66666666666663</v>
      </c>
      <c r="K234" s="13">
        <f t="shared" si="46"/>
        <v>558.66666666666663</v>
      </c>
      <c r="L234" s="127"/>
    </row>
    <row r="235" spans="1:12" outlineLevel="1" x14ac:dyDescent="0.2">
      <c r="A235" s="27">
        <f t="shared" ref="A235:B250" si="47">A193</f>
        <v>103639</v>
      </c>
      <c r="B235" s="19" t="str">
        <f t="shared" si="47"/>
        <v>TAMUSA</v>
      </c>
      <c r="C235" s="18"/>
      <c r="D235" s="15">
        <f t="shared" si="43"/>
        <v>587.66666666666663</v>
      </c>
      <c r="E235" s="94">
        <f t="shared" si="44"/>
        <v>236.43788888888889</v>
      </c>
      <c r="F235" s="14">
        <f t="shared" si="45"/>
        <v>41.598502485370922</v>
      </c>
      <c r="G235" s="13">
        <f t="shared" ref="G235:K250" si="48">AVERAGE(G277,G319,G361)</f>
        <v>1026.0133333333379</v>
      </c>
      <c r="H235" s="16">
        <f t="shared" si="48"/>
        <v>490.33333333333331</v>
      </c>
      <c r="I235" s="15">
        <f t="shared" si="48"/>
        <v>729.66666666666663</v>
      </c>
      <c r="J235" s="14">
        <f t="shared" si="48"/>
        <v>77.333333333333329</v>
      </c>
      <c r="K235" s="13">
        <f t="shared" si="48"/>
        <v>2.6666666666666665</v>
      </c>
      <c r="L235" s="127"/>
    </row>
    <row r="236" spans="1:12" outlineLevel="1" x14ac:dyDescent="0.2">
      <c r="A236" s="20">
        <f t="shared" si="47"/>
        <v>9651</v>
      </c>
      <c r="B236" s="19" t="str">
        <f t="shared" si="47"/>
        <v>TAMI</v>
      </c>
      <c r="C236" s="18"/>
      <c r="D236" s="15">
        <f t="shared" si="43"/>
        <v>789.66666666666663</v>
      </c>
      <c r="E236" s="94">
        <f t="shared" si="44"/>
        <v>373.77555555555551</v>
      </c>
      <c r="F236" s="14">
        <f t="shared" si="45"/>
        <v>19.326154348180779</v>
      </c>
      <c r="G236" s="13">
        <f t="shared" si="48"/>
        <v>1458.4966666666717</v>
      </c>
      <c r="H236" s="16">
        <f t="shared" si="48"/>
        <v>712.66666666666663</v>
      </c>
      <c r="I236" s="15">
        <f t="shared" si="48"/>
        <v>1406.6666666666667</v>
      </c>
      <c r="J236" s="14">
        <f t="shared" si="48"/>
        <v>1015.6666666666666</v>
      </c>
      <c r="K236" s="13">
        <f t="shared" si="48"/>
        <v>473.66666666666669</v>
      </c>
      <c r="L236" s="127"/>
    </row>
    <row r="237" spans="1:12" outlineLevel="1" x14ac:dyDescent="0.2">
      <c r="A237" s="20">
        <f t="shared" si="47"/>
        <v>3665</v>
      </c>
      <c r="B237" s="19" t="str">
        <f t="shared" si="47"/>
        <v>WTAMU</v>
      </c>
      <c r="C237" s="18"/>
      <c r="D237" s="15">
        <f t="shared" si="43"/>
        <v>1255.6666666666667</v>
      </c>
      <c r="E237" s="94">
        <f t="shared" si="44"/>
        <v>591.00044444444438</v>
      </c>
      <c r="F237" s="14">
        <f t="shared" si="45"/>
        <v>23.187721854032869</v>
      </c>
      <c r="G237" s="13">
        <f t="shared" si="48"/>
        <v>2503.5766666666836</v>
      </c>
      <c r="H237" s="16">
        <f t="shared" si="48"/>
        <v>889.33333333333337</v>
      </c>
      <c r="I237" s="15">
        <f t="shared" si="48"/>
        <v>1791.6666666666667</v>
      </c>
      <c r="J237" s="14">
        <f t="shared" si="48"/>
        <v>1212.6666666666667</v>
      </c>
      <c r="K237" s="13">
        <f t="shared" si="48"/>
        <v>661.33333333333337</v>
      </c>
      <c r="L237" s="127"/>
    </row>
    <row r="238" spans="1:12" outlineLevel="1" x14ac:dyDescent="0.2">
      <c r="A238" s="20">
        <f t="shared" si="47"/>
        <v>3565</v>
      </c>
      <c r="B238" s="19" t="str">
        <f t="shared" si="47"/>
        <v>TAMUC</v>
      </c>
      <c r="C238" s="18"/>
      <c r="D238" s="15">
        <f t="shared" si="43"/>
        <v>1324.3333333333333</v>
      </c>
      <c r="E238" s="94">
        <f t="shared" si="44"/>
        <v>582.70666666666659</v>
      </c>
      <c r="F238" s="14">
        <f t="shared" si="45"/>
        <v>28.19543536269185</v>
      </c>
      <c r="G238" s="13">
        <f t="shared" si="48"/>
        <v>2501.8266666666914</v>
      </c>
      <c r="H238" s="16">
        <f t="shared" si="48"/>
        <v>1019.3333333333334</v>
      </c>
      <c r="I238" s="15">
        <f t="shared" si="48"/>
        <v>1893</v>
      </c>
      <c r="J238" s="14">
        <f t="shared" si="48"/>
        <v>1137.3333333333333</v>
      </c>
      <c r="K238" s="13">
        <f t="shared" si="48"/>
        <v>452.33333333333331</v>
      </c>
      <c r="L238" s="127"/>
    </row>
    <row r="239" spans="1:12" outlineLevel="1" x14ac:dyDescent="0.2">
      <c r="A239" s="20">
        <f t="shared" si="47"/>
        <v>29269</v>
      </c>
      <c r="B239" s="19" t="str">
        <f t="shared" si="47"/>
        <v>TAMUT</v>
      </c>
      <c r="C239" s="18"/>
      <c r="D239" s="15">
        <f t="shared" si="43"/>
        <v>345.66666666666669</v>
      </c>
      <c r="E239" s="94">
        <f t="shared" si="44"/>
        <v>187.3602625468375</v>
      </c>
      <c r="F239" s="14">
        <f t="shared" si="45"/>
        <v>38.766355140186917</v>
      </c>
      <c r="G239" s="13">
        <f t="shared" si="48"/>
        <v>619.90999999999826</v>
      </c>
      <c r="H239" s="16">
        <f t="shared" si="48"/>
        <v>239</v>
      </c>
      <c r="I239" s="15">
        <f t="shared" si="48"/>
        <v>432.66666666666669</v>
      </c>
      <c r="J239" s="14">
        <f t="shared" si="48"/>
        <v>181</v>
      </c>
      <c r="K239" s="13">
        <f t="shared" si="48"/>
        <v>0.66666666666666663</v>
      </c>
      <c r="L239" s="127"/>
    </row>
    <row r="240" spans="1:12" outlineLevel="1" x14ac:dyDescent="0.2">
      <c r="A240" s="20">
        <f t="shared" si="47"/>
        <v>3652</v>
      </c>
      <c r="B240" s="19" t="str">
        <f t="shared" si="47"/>
        <v>UH</v>
      </c>
      <c r="C240" s="18"/>
      <c r="D240" s="15">
        <f t="shared" si="43"/>
        <v>5098.666666666667</v>
      </c>
      <c r="E240" s="94">
        <f t="shared" si="44"/>
        <v>2734.5848888888891</v>
      </c>
      <c r="F240" s="14">
        <f t="shared" si="45"/>
        <v>21.425049678026625</v>
      </c>
      <c r="G240" s="13">
        <f t="shared" si="48"/>
        <v>10580.246666665944</v>
      </c>
      <c r="H240" s="16">
        <f t="shared" si="48"/>
        <v>3373</v>
      </c>
      <c r="I240" s="15">
        <f t="shared" si="48"/>
        <v>7602.333333333333</v>
      </c>
      <c r="J240" s="14">
        <f t="shared" si="48"/>
        <v>5690.333333333333</v>
      </c>
      <c r="K240" s="13">
        <f t="shared" si="48"/>
        <v>3307.3333333333335</v>
      </c>
      <c r="L240" s="127"/>
    </row>
    <row r="241" spans="1:12" outlineLevel="1" x14ac:dyDescent="0.2">
      <c r="A241" s="20">
        <f t="shared" si="47"/>
        <v>11711</v>
      </c>
      <c r="B241" s="19" t="str">
        <f t="shared" si="47"/>
        <v>UHCL</v>
      </c>
      <c r="C241" s="18"/>
      <c r="D241" s="15">
        <f t="shared" si="43"/>
        <v>1190.6666666666667</v>
      </c>
      <c r="E241" s="94">
        <f t="shared" si="44"/>
        <v>619.34267935898833</v>
      </c>
      <c r="F241" s="14">
        <f t="shared" si="45"/>
        <v>39.693593314763234</v>
      </c>
      <c r="G241" s="13">
        <f t="shared" si="48"/>
        <v>2282.9533333333529</v>
      </c>
      <c r="H241" s="16">
        <f t="shared" si="48"/>
        <v>774.33333333333337</v>
      </c>
      <c r="I241" s="15">
        <f t="shared" si="48"/>
        <v>1391.3333333333333</v>
      </c>
      <c r="J241" s="14">
        <f t="shared" si="48"/>
        <v>953.66666666666663</v>
      </c>
      <c r="K241" s="13">
        <f t="shared" si="48"/>
        <v>57</v>
      </c>
      <c r="L241" s="127"/>
    </row>
    <row r="242" spans="1:12" outlineLevel="1" x14ac:dyDescent="0.2">
      <c r="A242" s="20">
        <f t="shared" si="47"/>
        <v>12826</v>
      </c>
      <c r="B242" s="19" t="str">
        <f t="shared" si="47"/>
        <v>UHD</v>
      </c>
      <c r="C242" s="18"/>
      <c r="D242" s="15">
        <f t="shared" si="43"/>
        <v>2382.3333333333335</v>
      </c>
      <c r="E242" s="94">
        <f t="shared" si="44"/>
        <v>452.64333333333343</v>
      </c>
      <c r="F242" s="14">
        <f t="shared" si="45"/>
        <v>29.833031863086134</v>
      </c>
      <c r="G242" s="13">
        <f t="shared" si="48"/>
        <v>4271.3166666667212</v>
      </c>
      <c r="H242" s="16">
        <f t="shared" si="48"/>
        <v>1681</v>
      </c>
      <c r="I242" s="15">
        <f t="shared" si="48"/>
        <v>3105.3333333333335</v>
      </c>
      <c r="J242" s="14">
        <f t="shared" si="48"/>
        <v>1868.3333333333333</v>
      </c>
      <c r="K242" s="13">
        <f t="shared" si="48"/>
        <v>604.66666666666663</v>
      </c>
      <c r="L242" s="127"/>
    </row>
    <row r="243" spans="1:12" outlineLevel="1" x14ac:dyDescent="0.2">
      <c r="A243" s="20">
        <f t="shared" si="47"/>
        <v>13231</v>
      </c>
      <c r="B243" s="19" t="str">
        <f t="shared" si="47"/>
        <v>UHV</v>
      </c>
      <c r="C243" s="18"/>
      <c r="D243" s="15">
        <f t="shared" si="43"/>
        <v>576.66666666666663</v>
      </c>
      <c r="E243" s="94">
        <f t="shared" si="44"/>
        <v>300.19546283886069</v>
      </c>
      <c r="F243" s="14">
        <f t="shared" si="45"/>
        <v>40.08464889245883</v>
      </c>
      <c r="G243" s="13">
        <f t="shared" si="48"/>
        <v>1084.4800000000012</v>
      </c>
      <c r="H243" s="16">
        <f t="shared" si="48"/>
        <v>384</v>
      </c>
      <c r="I243" s="15">
        <f t="shared" si="48"/>
        <v>716</v>
      </c>
      <c r="J243" s="14">
        <f t="shared" si="48"/>
        <v>296.33333333333331</v>
      </c>
      <c r="K243" s="13">
        <f t="shared" si="48"/>
        <v>6.666666666666667</v>
      </c>
      <c r="L243" s="127"/>
    </row>
    <row r="244" spans="1:12" outlineLevel="1" x14ac:dyDescent="0.2">
      <c r="A244" s="20">
        <f t="shared" si="47"/>
        <v>3592</v>
      </c>
      <c r="B244" s="19" t="str">
        <f t="shared" si="47"/>
        <v>Midwestern</v>
      </c>
      <c r="C244" s="18"/>
      <c r="D244" s="15">
        <f t="shared" si="43"/>
        <v>1031.6666666666667</v>
      </c>
      <c r="E244" s="94">
        <f t="shared" si="44"/>
        <v>453.24555555555554</v>
      </c>
      <c r="F244" s="14">
        <f t="shared" si="45"/>
        <v>24.122522148034601</v>
      </c>
      <c r="G244" s="13">
        <f t="shared" si="48"/>
        <v>1962.0000000000034</v>
      </c>
      <c r="H244" s="16">
        <f t="shared" si="48"/>
        <v>690.33333333333337</v>
      </c>
      <c r="I244" s="15">
        <f t="shared" si="48"/>
        <v>1438</v>
      </c>
      <c r="J244" s="14">
        <f t="shared" si="48"/>
        <v>1046</v>
      </c>
      <c r="K244" s="13">
        <f t="shared" si="48"/>
        <v>679.66666666666663</v>
      </c>
      <c r="L244" s="127"/>
    </row>
    <row r="245" spans="1:12" outlineLevel="1" x14ac:dyDescent="0.2">
      <c r="A245" s="20">
        <f t="shared" si="47"/>
        <v>3594</v>
      </c>
      <c r="B245" s="19" t="str">
        <f t="shared" si="47"/>
        <v>UNT</v>
      </c>
      <c r="C245" s="18"/>
      <c r="D245" s="15">
        <f t="shared" si="43"/>
        <v>6016.666666666667</v>
      </c>
      <c r="E245" s="94">
        <f t="shared" si="44"/>
        <v>3467.6055555555558</v>
      </c>
      <c r="F245" s="14">
        <f t="shared" si="45"/>
        <v>25.886944566084125</v>
      </c>
      <c r="G245" s="13">
        <f t="shared" si="48"/>
        <v>11411.553333332529</v>
      </c>
      <c r="H245" s="16">
        <f t="shared" si="48"/>
        <v>3820</v>
      </c>
      <c r="I245" s="15">
        <f t="shared" si="48"/>
        <v>7864.666666666667</v>
      </c>
      <c r="J245" s="14">
        <f t="shared" si="48"/>
        <v>5642.333333333333</v>
      </c>
      <c r="K245" s="13">
        <f t="shared" si="48"/>
        <v>3337</v>
      </c>
      <c r="L245" s="127"/>
    </row>
    <row r="246" spans="1:12" outlineLevel="1" x14ac:dyDescent="0.2">
      <c r="A246" s="27">
        <f t="shared" si="47"/>
        <v>113594</v>
      </c>
      <c r="B246" s="19" t="str">
        <f t="shared" si="47"/>
        <v>UNTD</v>
      </c>
      <c r="C246" s="18"/>
      <c r="D246" s="15">
        <f t="shared" si="43"/>
        <v>403.5</v>
      </c>
      <c r="E246" s="94">
        <f t="shared" si="44"/>
        <v>233.02125000000001</v>
      </c>
      <c r="F246" s="14">
        <f t="shared" si="45"/>
        <v>42.647266065388948</v>
      </c>
      <c r="G246" s="13">
        <f t="shared" si="48"/>
        <v>705.85999999999717</v>
      </c>
      <c r="H246" s="16">
        <f t="shared" si="48"/>
        <v>308.5</v>
      </c>
      <c r="I246" s="15">
        <f t="shared" si="48"/>
        <v>478</v>
      </c>
      <c r="J246" s="14">
        <f t="shared" si="48"/>
        <v>71.5</v>
      </c>
      <c r="K246" s="13">
        <f t="shared" si="48"/>
        <v>11</v>
      </c>
      <c r="L246" s="127"/>
    </row>
    <row r="247" spans="1:12" outlineLevel="1" x14ac:dyDescent="0.2">
      <c r="A247" s="20">
        <f t="shared" si="47"/>
        <v>3624</v>
      </c>
      <c r="B247" s="19" t="str">
        <f t="shared" si="47"/>
        <v>SFA</v>
      </c>
      <c r="C247" s="18"/>
      <c r="D247" s="15">
        <f t="shared" si="43"/>
        <v>1921.6666666666667</v>
      </c>
      <c r="E247" s="94">
        <f t="shared" si="44"/>
        <v>1064.6033333333332</v>
      </c>
      <c r="F247" s="14">
        <f t="shared" si="45"/>
        <v>20.257544310083915</v>
      </c>
      <c r="G247" s="13">
        <f t="shared" si="48"/>
        <v>3721.736666666669</v>
      </c>
      <c r="H247" s="16">
        <f t="shared" si="48"/>
        <v>1460.3333333333333</v>
      </c>
      <c r="I247" s="15">
        <f t="shared" si="48"/>
        <v>2769.3333333333335</v>
      </c>
      <c r="J247" s="14">
        <f t="shared" si="48"/>
        <v>2075</v>
      </c>
      <c r="K247" s="13">
        <f t="shared" si="48"/>
        <v>1397.3333333333333</v>
      </c>
      <c r="L247" s="127"/>
    </row>
    <row r="248" spans="1:12" outlineLevel="1" x14ac:dyDescent="0.2">
      <c r="A248" s="20">
        <f t="shared" si="47"/>
        <v>3642</v>
      </c>
      <c r="B248" s="19" t="str">
        <f t="shared" si="47"/>
        <v>TSU</v>
      </c>
      <c r="C248" s="18"/>
      <c r="D248" s="15">
        <f t="shared" si="43"/>
        <v>758.33333333333337</v>
      </c>
      <c r="E248" s="94">
        <f t="shared" si="44"/>
        <v>108.94722222222221</v>
      </c>
      <c r="F248" s="14">
        <f t="shared" si="45"/>
        <v>12.933681010892716</v>
      </c>
      <c r="G248" s="13">
        <f t="shared" si="48"/>
        <v>1488.6533333333352</v>
      </c>
      <c r="H248" s="16">
        <f t="shared" si="48"/>
        <v>666.33333333333337</v>
      </c>
      <c r="I248" s="15">
        <f t="shared" si="48"/>
        <v>1637.3333333333333</v>
      </c>
      <c r="J248" s="14">
        <f t="shared" si="48"/>
        <v>1133</v>
      </c>
      <c r="K248" s="13">
        <f t="shared" si="48"/>
        <v>848.66666666666663</v>
      </c>
      <c r="L248" s="127"/>
    </row>
    <row r="249" spans="1:12" outlineLevel="1" x14ac:dyDescent="0.2">
      <c r="A249" s="20">
        <f t="shared" si="47"/>
        <v>3644</v>
      </c>
      <c r="B249" s="19" t="str">
        <f t="shared" si="47"/>
        <v>TTU</v>
      </c>
      <c r="C249" s="18"/>
      <c r="D249" s="15">
        <f t="shared" si="43"/>
        <v>4674</v>
      </c>
      <c r="E249" s="94">
        <f t="shared" si="44"/>
        <v>3421.3679999999995</v>
      </c>
      <c r="F249" s="14">
        <f t="shared" si="45"/>
        <v>21.061243127033354</v>
      </c>
      <c r="G249" s="13">
        <f t="shared" si="48"/>
        <v>10128.113333332682</v>
      </c>
      <c r="H249" s="16">
        <f t="shared" si="48"/>
        <v>2778</v>
      </c>
      <c r="I249" s="15">
        <f t="shared" si="48"/>
        <v>6485.333333333333</v>
      </c>
      <c r="J249" s="14">
        <f t="shared" si="48"/>
        <v>5278.333333333333</v>
      </c>
      <c r="K249" s="13">
        <f t="shared" si="48"/>
        <v>3945.6666666666665</v>
      </c>
      <c r="L249" s="127"/>
    </row>
    <row r="250" spans="1:12" outlineLevel="1" x14ac:dyDescent="0.2">
      <c r="A250" s="20">
        <f t="shared" si="47"/>
        <v>3541</v>
      </c>
      <c r="B250" s="19" t="str">
        <f t="shared" si="47"/>
        <v>Angelo</v>
      </c>
      <c r="C250" s="18"/>
      <c r="D250" s="15">
        <f t="shared" si="43"/>
        <v>991.33333333333337</v>
      </c>
      <c r="E250" s="94">
        <f t="shared" si="44"/>
        <v>425.94288888888889</v>
      </c>
      <c r="F250" s="14">
        <f t="shared" si="45"/>
        <v>20.305700708264297</v>
      </c>
      <c r="G250" s="13">
        <f t="shared" si="48"/>
        <v>1977.3500000000051</v>
      </c>
      <c r="H250" s="16">
        <f t="shared" si="48"/>
        <v>723</v>
      </c>
      <c r="I250" s="15">
        <f t="shared" si="48"/>
        <v>1438.6666666666667</v>
      </c>
      <c r="J250" s="14">
        <f t="shared" si="48"/>
        <v>1033.6666666666667</v>
      </c>
      <c r="K250" s="13">
        <f t="shared" si="48"/>
        <v>707.66666666666663</v>
      </c>
      <c r="L250" s="127"/>
    </row>
    <row r="251" spans="1:12" outlineLevel="1" x14ac:dyDescent="0.2">
      <c r="A251" s="20">
        <f t="shared" ref="A251:B256" si="49">A209</f>
        <v>3646</v>
      </c>
      <c r="B251" s="19" t="str">
        <f t="shared" si="49"/>
        <v>TWU</v>
      </c>
      <c r="C251" s="18"/>
      <c r="D251" s="15">
        <f t="shared" si="43"/>
        <v>1806</v>
      </c>
      <c r="E251" s="94">
        <f t="shared" si="44"/>
        <v>945.74200000000008</v>
      </c>
      <c r="F251" s="14">
        <f t="shared" si="45"/>
        <v>27.545604295039961</v>
      </c>
      <c r="G251" s="13">
        <f t="shared" ref="G251:K256" si="50">AVERAGE(G293,G335,G377)</f>
        <v>3452.1766666666658</v>
      </c>
      <c r="H251" s="16">
        <f t="shared" si="50"/>
        <v>1247</v>
      </c>
      <c r="I251" s="15">
        <f t="shared" si="50"/>
        <v>2196</v>
      </c>
      <c r="J251" s="14">
        <f t="shared" si="50"/>
        <v>1292.3333333333333</v>
      </c>
      <c r="K251" s="13">
        <f t="shared" si="50"/>
        <v>659.66666666666663</v>
      </c>
      <c r="L251" s="127"/>
    </row>
    <row r="252" spans="1:12" outlineLevel="1" x14ac:dyDescent="0.2">
      <c r="A252" s="20">
        <f t="shared" si="49"/>
        <v>3581</v>
      </c>
      <c r="B252" s="19" t="str">
        <f t="shared" si="49"/>
        <v>Lamar</v>
      </c>
      <c r="C252" s="18"/>
      <c r="D252" s="15">
        <f t="shared" si="43"/>
        <v>1335.3333333333333</v>
      </c>
      <c r="E252" s="94">
        <f t="shared" si="44"/>
        <v>467.81177777777776</v>
      </c>
      <c r="F252" s="14">
        <f t="shared" si="45"/>
        <v>18.354929164452098</v>
      </c>
      <c r="G252" s="13">
        <f t="shared" si="50"/>
        <v>2684.9000000000165</v>
      </c>
      <c r="H252" s="16">
        <f t="shared" si="50"/>
        <v>948.66666666666663</v>
      </c>
      <c r="I252" s="15">
        <f t="shared" si="50"/>
        <v>2144.6666666666665</v>
      </c>
      <c r="J252" s="14">
        <f t="shared" si="50"/>
        <v>1489</v>
      </c>
      <c r="K252" s="13">
        <f t="shared" si="50"/>
        <v>1011</v>
      </c>
      <c r="L252" s="127"/>
    </row>
    <row r="253" spans="1:12" outlineLevel="1" x14ac:dyDescent="0.2">
      <c r="A253" s="20">
        <f t="shared" si="49"/>
        <v>3606</v>
      </c>
      <c r="B253" s="19" t="str">
        <f t="shared" si="49"/>
        <v>SHSU</v>
      </c>
      <c r="C253" s="18"/>
      <c r="D253" s="15">
        <f t="shared" si="43"/>
        <v>3077.6666666666665</v>
      </c>
      <c r="E253" s="94">
        <f t="shared" si="44"/>
        <v>1805.5644444444445</v>
      </c>
      <c r="F253" s="14">
        <f t="shared" si="45"/>
        <v>24.475654239301015</v>
      </c>
      <c r="G253" s="13">
        <f t="shared" si="50"/>
        <v>5837.0766666667887</v>
      </c>
      <c r="H253" s="16">
        <f t="shared" si="50"/>
        <v>2213.6666666666665</v>
      </c>
      <c r="I253" s="15">
        <f t="shared" si="50"/>
        <v>3894.3333333333335</v>
      </c>
      <c r="J253" s="14">
        <f t="shared" si="50"/>
        <v>2965.3333333333335</v>
      </c>
      <c r="K253" s="13">
        <f t="shared" si="50"/>
        <v>1763.3333333333333</v>
      </c>
    </row>
    <row r="254" spans="1:12" outlineLevel="1" x14ac:dyDescent="0.2">
      <c r="A254" s="20">
        <f t="shared" si="49"/>
        <v>3615</v>
      </c>
      <c r="B254" s="19" t="str">
        <f t="shared" si="49"/>
        <v>TXST</v>
      </c>
      <c r="C254" s="18"/>
      <c r="D254" s="15">
        <f t="shared" si="43"/>
        <v>5361</v>
      </c>
      <c r="E254" s="94">
        <f t="shared" si="44"/>
        <v>3393.5129999999999</v>
      </c>
      <c r="F254" s="14">
        <f t="shared" si="45"/>
        <v>23.406891519786395</v>
      </c>
      <c r="G254" s="13">
        <f t="shared" si="50"/>
        <v>10437.309999999357</v>
      </c>
      <c r="H254" s="16">
        <f t="shared" si="50"/>
        <v>3675.3333333333335</v>
      </c>
      <c r="I254" s="15">
        <f t="shared" si="50"/>
        <v>7470.333333333333</v>
      </c>
      <c r="J254" s="14">
        <f t="shared" si="50"/>
        <v>5579</v>
      </c>
      <c r="K254" s="13">
        <f t="shared" si="50"/>
        <v>3317.3333333333335</v>
      </c>
    </row>
    <row r="255" spans="1:12" outlineLevel="1" x14ac:dyDescent="0.2">
      <c r="A255" s="20">
        <f t="shared" si="49"/>
        <v>3625</v>
      </c>
      <c r="B255" s="19" t="str">
        <f t="shared" si="49"/>
        <v>SRSU</v>
      </c>
      <c r="C255" s="18"/>
      <c r="D255" s="15">
        <f t="shared" si="43"/>
        <v>189.33333333333334</v>
      </c>
      <c r="E255" s="94">
        <f t="shared" si="44"/>
        <v>56.989333333333335</v>
      </c>
      <c r="F255" s="14">
        <f t="shared" si="45"/>
        <v>15.518843008324076</v>
      </c>
      <c r="G255" s="13">
        <f t="shared" si="50"/>
        <v>394.32999999999964</v>
      </c>
      <c r="H255" s="16">
        <f t="shared" si="50"/>
        <v>163</v>
      </c>
      <c r="I255" s="15">
        <f t="shared" si="50"/>
        <v>300</v>
      </c>
      <c r="J255" s="14">
        <f t="shared" si="50"/>
        <v>193.66666666666666</v>
      </c>
      <c r="K255" s="13">
        <f t="shared" si="50"/>
        <v>131.66666666666666</v>
      </c>
      <c r="L255" s="128"/>
    </row>
    <row r="256" spans="1:12" outlineLevel="1" x14ac:dyDescent="0.2">
      <c r="A256" s="20">
        <f t="shared" si="49"/>
        <v>20</v>
      </c>
      <c r="B256" s="19" t="str">
        <f t="shared" si="49"/>
        <v>SRRG</v>
      </c>
      <c r="C256" s="18"/>
      <c r="D256" s="15">
        <f t="shared" si="43"/>
        <v>161.66666666666666</v>
      </c>
      <c r="E256" s="94">
        <f t="shared" si="44"/>
        <v>51.365976618337754</v>
      </c>
      <c r="F256" s="14">
        <f t="shared" si="45"/>
        <v>36.596408270033706</v>
      </c>
      <c r="G256" s="13">
        <f t="shared" si="50"/>
        <v>279.16999999999979</v>
      </c>
      <c r="H256" s="16">
        <f t="shared" si="50"/>
        <v>144</v>
      </c>
      <c r="I256" s="15">
        <f t="shared" si="50"/>
        <v>230</v>
      </c>
      <c r="J256" s="14">
        <f t="shared" si="50"/>
        <v>92.666666666666671</v>
      </c>
      <c r="K256" s="13">
        <f t="shared" si="50"/>
        <v>4.333333333333333</v>
      </c>
    </row>
    <row r="257" spans="1:12" ht="13.5" outlineLevel="1" thickBot="1" x14ac:dyDescent="0.25">
      <c r="A257" s="12"/>
      <c r="B257" s="11" t="s">
        <v>11</v>
      </c>
      <c r="C257" s="10"/>
      <c r="D257" s="9">
        <f t="shared" ref="D257:K257" si="51">SUM(D219:D256)</f>
        <v>84315.833333333314</v>
      </c>
      <c r="E257" s="95">
        <f t="shared" si="51"/>
        <v>49031.80588920939</v>
      </c>
      <c r="F257" s="7">
        <f t="shared" si="51"/>
        <v>1017.4700431877567</v>
      </c>
      <c r="G257" s="3">
        <f t="shared" si="51"/>
        <v>172461.13999999844</v>
      </c>
      <c r="H257" s="6">
        <f t="shared" si="51"/>
        <v>54446.500000000007</v>
      </c>
      <c r="I257" s="5">
        <f t="shared" si="51"/>
        <v>114212.66666666664</v>
      </c>
      <c r="J257" s="4">
        <f t="shared" si="51"/>
        <v>82344.5</v>
      </c>
      <c r="K257" s="3">
        <f t="shared" si="51"/>
        <v>50801.999999999993</v>
      </c>
    </row>
    <row r="258" spans="1:12" ht="13.5" thickBot="1" x14ac:dyDescent="0.25">
      <c r="A258" s="42" t="s">
        <v>25</v>
      </c>
      <c r="B258" s="42"/>
      <c r="C258" s="42"/>
      <c r="D258" s="51"/>
      <c r="F258" s="51"/>
      <c r="H258" s="51"/>
    </row>
    <row r="259" spans="1:12" ht="12.75" customHeight="1" outlineLevel="1" x14ac:dyDescent="0.2">
      <c r="A259" s="184" t="s">
        <v>22</v>
      </c>
      <c r="B259" s="186" t="s">
        <v>21</v>
      </c>
      <c r="C259" s="188"/>
      <c r="D259" s="196" t="s">
        <v>20</v>
      </c>
      <c r="E259" s="194" t="s">
        <v>19</v>
      </c>
      <c r="F259" s="186" t="s">
        <v>18</v>
      </c>
      <c r="G259" s="192" t="s">
        <v>17</v>
      </c>
      <c r="H259" s="176" t="s">
        <v>16</v>
      </c>
      <c r="I259" s="178" t="s">
        <v>15</v>
      </c>
      <c r="J259" s="179"/>
      <c r="K259" s="180"/>
    </row>
    <row r="260" spans="1:12" s="41" customFormat="1" ht="36" customHeight="1" outlineLevel="1" thickBot="1" x14ac:dyDescent="0.25">
      <c r="A260" s="185"/>
      <c r="B260" s="187"/>
      <c r="C260" s="189"/>
      <c r="D260" s="197"/>
      <c r="E260" s="195"/>
      <c r="F260" s="187"/>
      <c r="G260" s="193"/>
      <c r="H260" s="190"/>
      <c r="I260" s="103" t="s">
        <v>14</v>
      </c>
      <c r="J260" s="104" t="s">
        <v>13</v>
      </c>
      <c r="K260" s="110" t="s">
        <v>12</v>
      </c>
      <c r="L260" s="126"/>
    </row>
    <row r="261" spans="1:12" outlineLevel="1" x14ac:dyDescent="0.2">
      <c r="A261" s="40">
        <f t="shared" ref="A261:B276" si="52">A219</f>
        <v>3656</v>
      </c>
      <c r="B261" s="39" t="str">
        <f t="shared" si="52"/>
        <v>UTA</v>
      </c>
      <c r="C261" s="38"/>
      <c r="D261" s="33">
        <v>5773</v>
      </c>
      <c r="E261" s="37">
        <v>0.55500000000000005</v>
      </c>
      <c r="F261" s="32">
        <v>17781.466666666667</v>
      </c>
      <c r="G261" s="48">
        <v>12087.560000000249</v>
      </c>
      <c r="H261" s="34">
        <v>3528</v>
      </c>
      <c r="I261" s="50">
        <v>6893</v>
      </c>
      <c r="J261" s="49">
        <v>3962</v>
      </c>
      <c r="K261" s="48">
        <v>1894</v>
      </c>
    </row>
    <row r="262" spans="1:12" outlineLevel="1" x14ac:dyDescent="0.2">
      <c r="A262" s="20">
        <f t="shared" si="52"/>
        <v>3658</v>
      </c>
      <c r="B262" s="19" t="str">
        <f t="shared" si="52"/>
        <v>UT</v>
      </c>
      <c r="C262" s="18"/>
      <c r="D262" s="15">
        <v>8860</v>
      </c>
      <c r="E262" s="21">
        <v>0.82499999999999996</v>
      </c>
      <c r="F262" s="14">
        <v>33841.466666666667</v>
      </c>
      <c r="G262" s="28">
        <v>19542.67999999996</v>
      </c>
      <c r="H262" s="16">
        <v>3501</v>
      </c>
      <c r="I262" s="30">
        <v>9260</v>
      </c>
      <c r="J262" s="29">
        <v>8373</v>
      </c>
      <c r="K262" s="28">
        <v>6348</v>
      </c>
    </row>
    <row r="263" spans="1:12" outlineLevel="1" x14ac:dyDescent="0.2">
      <c r="A263" s="20">
        <f t="shared" si="52"/>
        <v>9741</v>
      </c>
      <c r="B263" s="19" t="str">
        <f t="shared" si="52"/>
        <v>UTD</v>
      </c>
      <c r="C263" s="18"/>
      <c r="D263" s="15">
        <v>2510</v>
      </c>
      <c r="E263" s="21">
        <v>0.71900000000000008</v>
      </c>
      <c r="F263" s="14">
        <v>9826.5333333333328</v>
      </c>
      <c r="G263" s="28">
        <v>5443.8700000002518</v>
      </c>
      <c r="H263" s="16">
        <v>1410</v>
      </c>
      <c r="I263" s="30">
        <v>3522</v>
      </c>
      <c r="J263" s="29">
        <v>2348</v>
      </c>
      <c r="K263" s="28">
        <v>1065</v>
      </c>
    </row>
    <row r="264" spans="1:12" outlineLevel="1" x14ac:dyDescent="0.2">
      <c r="A264" s="20">
        <f t="shared" si="52"/>
        <v>3661</v>
      </c>
      <c r="B264" s="19" t="str">
        <f t="shared" si="52"/>
        <v>UTEP</v>
      </c>
      <c r="C264" s="18"/>
      <c r="D264" s="15">
        <v>3132</v>
      </c>
      <c r="E264" s="21">
        <v>0.41200000000000003</v>
      </c>
      <c r="F264" s="14">
        <v>13931.066666666668</v>
      </c>
      <c r="G264" s="28">
        <v>6456.0600000003096</v>
      </c>
      <c r="H264" s="16">
        <v>2590</v>
      </c>
      <c r="I264" s="30">
        <v>4400</v>
      </c>
      <c r="J264" s="29">
        <v>3304</v>
      </c>
      <c r="K264" s="28">
        <v>1986</v>
      </c>
    </row>
    <row r="265" spans="1:12" outlineLevel="1" x14ac:dyDescent="0.2">
      <c r="A265" s="20">
        <f t="shared" si="52"/>
        <v>3599</v>
      </c>
      <c r="B265" s="19" t="str">
        <f t="shared" si="52"/>
        <v>UTPA</v>
      </c>
      <c r="C265" s="18"/>
      <c r="D265" s="15">
        <v>2462</v>
      </c>
      <c r="E265" s="21">
        <v>0.44</v>
      </c>
      <c r="F265" s="14">
        <v>12698.333333333334</v>
      </c>
      <c r="G265" s="28">
        <v>5000.2800000001325</v>
      </c>
      <c r="H265" s="16">
        <v>2247</v>
      </c>
      <c r="I265" s="30">
        <v>3730</v>
      </c>
      <c r="J265" s="29">
        <v>2862</v>
      </c>
      <c r="K265" s="28">
        <v>1896</v>
      </c>
    </row>
    <row r="266" spans="1:12" outlineLevel="1" x14ac:dyDescent="0.2">
      <c r="A266" s="20">
        <f t="shared" si="52"/>
        <v>30646</v>
      </c>
      <c r="B266" s="19" t="str">
        <f t="shared" si="52"/>
        <v>UTB</v>
      </c>
      <c r="C266" s="18"/>
      <c r="D266" s="15">
        <v>1149</v>
      </c>
      <c r="E266" s="17">
        <v>0.52783109404990403</v>
      </c>
      <c r="F266" s="14">
        <v>3400.5333333333333</v>
      </c>
      <c r="G266" s="28">
        <v>2236.3100000000127</v>
      </c>
      <c r="H266" s="16">
        <v>978</v>
      </c>
      <c r="I266" s="30">
        <v>1243</v>
      </c>
      <c r="J266" s="29">
        <v>486</v>
      </c>
      <c r="K266" s="28">
        <v>99</v>
      </c>
    </row>
    <row r="267" spans="1:12" outlineLevel="1" x14ac:dyDescent="0.2">
      <c r="A267" s="20">
        <f t="shared" si="52"/>
        <v>9930</v>
      </c>
      <c r="B267" s="19" t="str">
        <f t="shared" si="52"/>
        <v>UTPB</v>
      </c>
      <c r="C267" s="18"/>
      <c r="D267" s="15">
        <v>546</v>
      </c>
      <c r="E267" s="21">
        <v>0.47899999999999998</v>
      </c>
      <c r="F267" s="14">
        <v>2343.2666666666669</v>
      </c>
      <c r="G267" s="28">
        <v>1054.6599999999951</v>
      </c>
      <c r="H267" s="16">
        <v>411</v>
      </c>
      <c r="I267" s="30">
        <v>742</v>
      </c>
      <c r="J267" s="29">
        <v>535</v>
      </c>
      <c r="K267" s="28">
        <v>210</v>
      </c>
    </row>
    <row r="268" spans="1:12" outlineLevel="1" x14ac:dyDescent="0.2">
      <c r="A268" s="20">
        <f t="shared" si="52"/>
        <v>10115</v>
      </c>
      <c r="B268" s="19" t="str">
        <f t="shared" si="52"/>
        <v>UTSA</v>
      </c>
      <c r="C268" s="18"/>
      <c r="D268" s="15">
        <v>4243</v>
      </c>
      <c r="E268" s="21">
        <v>0.43099999999999999</v>
      </c>
      <c r="F268" s="14">
        <v>21066.866666666665</v>
      </c>
      <c r="G268" s="28">
        <v>8736.7000000001954</v>
      </c>
      <c r="H268" s="16">
        <v>3204</v>
      </c>
      <c r="I268" s="30">
        <v>6815</v>
      </c>
      <c r="J268" s="29">
        <v>4371</v>
      </c>
      <c r="K268" s="28">
        <v>2560</v>
      </c>
    </row>
    <row r="269" spans="1:12" outlineLevel="1" x14ac:dyDescent="0.2">
      <c r="A269" s="20">
        <f t="shared" si="52"/>
        <v>11163</v>
      </c>
      <c r="B269" s="19" t="str">
        <f t="shared" si="52"/>
        <v>UTT</v>
      </c>
      <c r="C269" s="18"/>
      <c r="D269" s="15">
        <v>1144</v>
      </c>
      <c r="E269" s="21">
        <v>0.51800000000000002</v>
      </c>
      <c r="F269" s="14">
        <v>4086.7333333333331</v>
      </c>
      <c r="G269" s="28">
        <v>2263.8699999999944</v>
      </c>
      <c r="H269" s="16">
        <v>886</v>
      </c>
      <c r="I269" s="30">
        <v>1409</v>
      </c>
      <c r="J269" s="29">
        <v>844</v>
      </c>
      <c r="K269" s="28">
        <v>383</v>
      </c>
    </row>
    <row r="270" spans="1:12" outlineLevel="1" x14ac:dyDescent="0.2">
      <c r="A270" s="20">
        <f t="shared" si="52"/>
        <v>3632</v>
      </c>
      <c r="B270" s="19" t="str">
        <f t="shared" si="52"/>
        <v>TAMU</v>
      </c>
      <c r="C270" s="18"/>
      <c r="D270" s="15">
        <v>9020</v>
      </c>
      <c r="E270" s="21">
        <v>0.84200000000000008</v>
      </c>
      <c r="F270" s="14">
        <v>35116.666666666664</v>
      </c>
      <c r="G270" s="28">
        <v>21108.189999999984</v>
      </c>
      <c r="H270" s="16">
        <v>3915</v>
      </c>
      <c r="I270" s="30">
        <v>10547</v>
      </c>
      <c r="J270" s="29">
        <v>8924</v>
      </c>
      <c r="K270" s="28">
        <v>6938</v>
      </c>
    </row>
    <row r="271" spans="1:12" outlineLevel="1" x14ac:dyDescent="0.2">
      <c r="A271" s="20">
        <f t="shared" si="52"/>
        <v>10298</v>
      </c>
      <c r="B271" s="19" t="str">
        <f t="shared" si="52"/>
        <v>TAMUG</v>
      </c>
      <c r="C271" s="18"/>
      <c r="D271" s="15">
        <v>314</v>
      </c>
      <c r="E271" s="21">
        <v>0.626</v>
      </c>
      <c r="F271" s="14">
        <v>1769.4666666666667</v>
      </c>
      <c r="G271" s="28">
        <v>826.3399999999923</v>
      </c>
      <c r="H271" s="16">
        <v>186</v>
      </c>
      <c r="I271" s="30">
        <v>607</v>
      </c>
      <c r="J271" s="29">
        <v>296</v>
      </c>
      <c r="K271" s="28">
        <v>263</v>
      </c>
    </row>
    <row r="272" spans="1:12" outlineLevel="1" x14ac:dyDescent="0.2">
      <c r="A272" s="20">
        <f t="shared" si="52"/>
        <v>3630</v>
      </c>
      <c r="B272" s="19" t="str">
        <f t="shared" si="52"/>
        <v>Prairie View</v>
      </c>
      <c r="C272" s="18"/>
      <c r="D272" s="15">
        <v>1026</v>
      </c>
      <c r="E272" s="21">
        <v>0.40299999999999997</v>
      </c>
      <c r="F272" s="14">
        <v>5822.8</v>
      </c>
      <c r="G272" s="28">
        <v>2288.9700000000062</v>
      </c>
      <c r="H272" s="16">
        <v>877</v>
      </c>
      <c r="I272" s="30">
        <v>1701</v>
      </c>
      <c r="J272" s="29">
        <v>1132</v>
      </c>
      <c r="K272" s="28">
        <v>871</v>
      </c>
    </row>
    <row r="273" spans="1:11" outlineLevel="1" x14ac:dyDescent="0.2">
      <c r="A273" s="20">
        <f t="shared" si="52"/>
        <v>3631</v>
      </c>
      <c r="B273" s="19" t="str">
        <f t="shared" si="52"/>
        <v>Tarleton</v>
      </c>
      <c r="C273" s="18"/>
      <c r="D273" s="15">
        <v>1662</v>
      </c>
      <c r="E273" s="21">
        <v>0.47600000000000003</v>
      </c>
      <c r="F273" s="14">
        <v>6766.4</v>
      </c>
      <c r="G273" s="28">
        <v>3337.2399999999966</v>
      </c>
      <c r="H273" s="16">
        <v>1296</v>
      </c>
      <c r="I273" s="30">
        <v>2227</v>
      </c>
      <c r="J273" s="29">
        <v>1216</v>
      </c>
      <c r="K273" s="28">
        <v>845</v>
      </c>
    </row>
    <row r="274" spans="1:11" outlineLevel="1" x14ac:dyDescent="0.2">
      <c r="A274" s="27">
        <f t="shared" si="52"/>
        <v>103631</v>
      </c>
      <c r="B274" s="19" t="str">
        <f t="shared" si="52"/>
        <v>TAMUCT</v>
      </c>
      <c r="C274" s="18"/>
      <c r="D274" s="15">
        <v>469</v>
      </c>
      <c r="E274" s="21">
        <f>E273</f>
        <v>0.47600000000000003</v>
      </c>
      <c r="F274" s="14">
        <v>684.13333333333333</v>
      </c>
      <c r="G274" s="28">
        <v>882.20999999999208</v>
      </c>
      <c r="H274" s="16">
        <v>329</v>
      </c>
      <c r="I274" s="30">
        <v>550</v>
      </c>
      <c r="J274" s="29">
        <v>119</v>
      </c>
      <c r="K274" s="28">
        <v>5</v>
      </c>
    </row>
    <row r="275" spans="1:11" outlineLevel="1" x14ac:dyDescent="0.2">
      <c r="A275" s="20">
        <f t="shared" si="52"/>
        <v>11161</v>
      </c>
      <c r="B275" s="19" t="str">
        <f t="shared" si="52"/>
        <v>TAMUCC</v>
      </c>
      <c r="C275" s="18"/>
      <c r="D275" s="15">
        <v>1515</v>
      </c>
      <c r="E275" s="21">
        <v>0.51</v>
      </c>
      <c r="F275" s="14">
        <v>6742.2</v>
      </c>
      <c r="G275" s="28">
        <v>3028.8999999999978</v>
      </c>
      <c r="H275" s="16">
        <v>1182</v>
      </c>
      <c r="I275" s="30">
        <v>1957</v>
      </c>
      <c r="J275" s="29">
        <v>1470</v>
      </c>
      <c r="K275" s="28">
        <v>959</v>
      </c>
    </row>
    <row r="276" spans="1:11" outlineLevel="1" x14ac:dyDescent="0.2">
      <c r="A276" s="20">
        <f t="shared" si="52"/>
        <v>3639</v>
      </c>
      <c r="B276" s="19" t="str">
        <f t="shared" si="52"/>
        <v>TAMUK</v>
      </c>
      <c r="C276" s="18"/>
      <c r="D276" s="15">
        <v>855</v>
      </c>
      <c r="E276" s="21">
        <v>0.39200000000000002</v>
      </c>
      <c r="F276" s="14">
        <v>4577.5333333333338</v>
      </c>
      <c r="G276" s="28">
        <v>1952.6200000000099</v>
      </c>
      <c r="H276" s="16">
        <v>742</v>
      </c>
      <c r="I276" s="30">
        <v>1343</v>
      </c>
      <c r="J276" s="29">
        <v>910</v>
      </c>
      <c r="K276" s="28">
        <v>571</v>
      </c>
    </row>
    <row r="277" spans="1:11" outlineLevel="1" x14ac:dyDescent="0.2">
      <c r="A277" s="27">
        <f t="shared" ref="A277:B292" si="53">A235</f>
        <v>103639</v>
      </c>
      <c r="B277" s="19" t="str">
        <f t="shared" si="53"/>
        <v>TAMUSA</v>
      </c>
      <c r="C277" s="18"/>
      <c r="D277" s="15">
        <v>647</v>
      </c>
      <c r="E277" s="21">
        <f>E276</f>
        <v>0.39200000000000002</v>
      </c>
      <c r="F277" s="14">
        <v>1673.0666666666666</v>
      </c>
      <c r="G277" s="28">
        <v>1155.5399999999984</v>
      </c>
      <c r="H277" s="16">
        <v>549</v>
      </c>
      <c r="I277" s="30">
        <v>887</v>
      </c>
      <c r="J277" s="29">
        <v>190</v>
      </c>
      <c r="K277" s="28">
        <v>1</v>
      </c>
    </row>
    <row r="278" spans="1:11" outlineLevel="1" x14ac:dyDescent="0.2">
      <c r="A278" s="20">
        <f t="shared" si="53"/>
        <v>9651</v>
      </c>
      <c r="B278" s="19" t="str">
        <f t="shared" si="53"/>
        <v>TAMI</v>
      </c>
      <c r="C278" s="18"/>
      <c r="D278" s="15">
        <v>805</v>
      </c>
      <c r="E278" s="21">
        <v>0.45700000000000002</v>
      </c>
      <c r="F278" s="14">
        <v>4312.1333333333332</v>
      </c>
      <c r="G278" s="28">
        <v>1498.7699999999936</v>
      </c>
      <c r="H278" s="16">
        <v>737</v>
      </c>
      <c r="I278" s="30">
        <v>1292</v>
      </c>
      <c r="J278" s="29">
        <v>1039</v>
      </c>
      <c r="K278" s="28">
        <v>488</v>
      </c>
    </row>
    <row r="279" spans="1:11" outlineLevel="1" x14ac:dyDescent="0.2">
      <c r="A279" s="20">
        <f t="shared" si="53"/>
        <v>3665</v>
      </c>
      <c r="B279" s="19" t="str">
        <f t="shared" si="53"/>
        <v>WTAMU</v>
      </c>
      <c r="C279" s="18"/>
      <c r="D279" s="15">
        <v>1253</v>
      </c>
      <c r="E279" s="21">
        <v>0.48200000000000004</v>
      </c>
      <c r="F279" s="14">
        <v>5523.2</v>
      </c>
      <c r="G279" s="28">
        <v>2523.9800000000132</v>
      </c>
      <c r="H279" s="16">
        <v>902</v>
      </c>
      <c r="I279" s="30">
        <v>1631</v>
      </c>
      <c r="J279" s="29">
        <v>1213</v>
      </c>
      <c r="K279" s="28">
        <v>689</v>
      </c>
    </row>
    <row r="280" spans="1:11" outlineLevel="1" x14ac:dyDescent="0.2">
      <c r="A280" s="20">
        <f t="shared" si="53"/>
        <v>3565</v>
      </c>
      <c r="B280" s="19" t="str">
        <f t="shared" si="53"/>
        <v>TAMUC</v>
      </c>
      <c r="C280" s="18"/>
      <c r="D280" s="15">
        <v>1507</v>
      </c>
      <c r="E280" s="21">
        <v>0.44600000000000001</v>
      </c>
      <c r="F280" s="14">
        <v>5135.2666666666664</v>
      </c>
      <c r="G280" s="28">
        <v>2861.9500000000121</v>
      </c>
      <c r="H280" s="16">
        <v>1172</v>
      </c>
      <c r="I280" s="30">
        <v>2056</v>
      </c>
      <c r="J280" s="29">
        <v>1174</v>
      </c>
      <c r="K280" s="28">
        <v>457</v>
      </c>
    </row>
    <row r="281" spans="1:11" outlineLevel="1" x14ac:dyDescent="0.2">
      <c r="A281" s="20">
        <f t="shared" si="53"/>
        <v>29269</v>
      </c>
      <c r="B281" s="19" t="str">
        <f t="shared" si="53"/>
        <v>TAMUT</v>
      </c>
      <c r="C281" s="18"/>
      <c r="D281" s="15">
        <v>376</v>
      </c>
      <c r="E281" s="17">
        <v>0.49242424242424243</v>
      </c>
      <c r="F281" s="14">
        <v>1101.2666666666667</v>
      </c>
      <c r="G281" s="28">
        <v>680.4399999999946</v>
      </c>
      <c r="H281" s="16">
        <v>277</v>
      </c>
      <c r="I281" s="30">
        <v>484</v>
      </c>
      <c r="J281" s="29">
        <v>219</v>
      </c>
      <c r="K281" s="28">
        <v>1</v>
      </c>
    </row>
    <row r="282" spans="1:11" outlineLevel="1" x14ac:dyDescent="0.2">
      <c r="A282" s="20">
        <f t="shared" si="53"/>
        <v>3652</v>
      </c>
      <c r="B282" s="19" t="str">
        <f t="shared" si="53"/>
        <v>UH</v>
      </c>
      <c r="C282" s="18"/>
      <c r="D282" s="15">
        <v>5426</v>
      </c>
      <c r="E282" s="21">
        <v>0.53600000000000003</v>
      </c>
      <c r="F282" s="14">
        <v>24760.400000000001</v>
      </c>
      <c r="G282" s="28">
        <v>11378.949999999324</v>
      </c>
      <c r="H282" s="16">
        <v>3688</v>
      </c>
      <c r="I282" s="30">
        <v>7823</v>
      </c>
      <c r="J282" s="29">
        <v>5667</v>
      </c>
      <c r="K282" s="28">
        <v>3232</v>
      </c>
    </row>
    <row r="283" spans="1:11" outlineLevel="1" x14ac:dyDescent="0.2">
      <c r="A283" s="20">
        <f t="shared" si="53"/>
        <v>11711</v>
      </c>
      <c r="B283" s="19" t="str">
        <f t="shared" si="53"/>
        <v>UHCL</v>
      </c>
      <c r="C283" s="18"/>
      <c r="D283" s="15">
        <v>1251</v>
      </c>
      <c r="E283" s="17">
        <v>0.51671732522796354</v>
      </c>
      <c r="F283" s="14">
        <v>3079.2666666666669</v>
      </c>
      <c r="G283" s="28">
        <v>2423.7000000000025</v>
      </c>
      <c r="H283" s="16">
        <v>839</v>
      </c>
      <c r="I283" s="30">
        <v>1391</v>
      </c>
      <c r="J283" s="29">
        <v>1014</v>
      </c>
      <c r="K283" s="28">
        <v>37</v>
      </c>
    </row>
    <row r="284" spans="1:11" outlineLevel="1" x14ac:dyDescent="0.2">
      <c r="A284" s="20">
        <f t="shared" si="53"/>
        <v>12826</v>
      </c>
      <c r="B284" s="19" t="str">
        <f t="shared" si="53"/>
        <v>UHD</v>
      </c>
      <c r="C284" s="18"/>
      <c r="D284" s="15">
        <v>2351</v>
      </c>
      <c r="E284" s="21">
        <v>0.17399999999999999</v>
      </c>
      <c r="F284" s="14">
        <v>8043.8</v>
      </c>
      <c r="G284" s="28">
        <v>4292.430000000033</v>
      </c>
      <c r="H284" s="16">
        <v>1694</v>
      </c>
      <c r="I284" s="30">
        <v>3011</v>
      </c>
      <c r="J284" s="29">
        <v>1820</v>
      </c>
      <c r="K284" s="28">
        <v>590</v>
      </c>
    </row>
    <row r="285" spans="1:11" outlineLevel="1" x14ac:dyDescent="0.2">
      <c r="A285" s="20">
        <f t="shared" si="53"/>
        <v>13231</v>
      </c>
      <c r="B285" s="19" t="str">
        <f t="shared" si="53"/>
        <v>UHV</v>
      </c>
      <c r="C285" s="18"/>
      <c r="D285" s="15">
        <v>619</v>
      </c>
      <c r="E285" s="17">
        <v>0.47520661157024796</v>
      </c>
      <c r="F285" s="14">
        <v>1685.8666666666666</v>
      </c>
      <c r="G285" s="28">
        <v>1187.5899999999924</v>
      </c>
      <c r="H285" s="16">
        <v>418</v>
      </c>
      <c r="I285" s="30">
        <v>776</v>
      </c>
      <c r="J285" s="29">
        <v>334</v>
      </c>
      <c r="K285" s="28">
        <v>6</v>
      </c>
    </row>
    <row r="286" spans="1:11" outlineLevel="1" x14ac:dyDescent="0.2">
      <c r="A286" s="20">
        <f t="shared" si="53"/>
        <v>3592</v>
      </c>
      <c r="B286" s="19" t="str">
        <f t="shared" si="53"/>
        <v>Midwestern</v>
      </c>
      <c r="C286" s="18"/>
      <c r="D286" s="15">
        <v>1066</v>
      </c>
      <c r="E286" s="21">
        <v>0.46299999999999997</v>
      </c>
      <c r="F286" s="14">
        <v>4147.7333333333336</v>
      </c>
      <c r="G286" s="28">
        <v>2062.1399999999949</v>
      </c>
      <c r="H286" s="16">
        <v>723</v>
      </c>
      <c r="I286" s="30">
        <v>1310</v>
      </c>
      <c r="J286" s="29">
        <v>979</v>
      </c>
      <c r="K286" s="28">
        <v>683</v>
      </c>
    </row>
    <row r="287" spans="1:11" outlineLevel="1" x14ac:dyDescent="0.2">
      <c r="A287" s="20">
        <f t="shared" si="53"/>
        <v>3594</v>
      </c>
      <c r="B287" s="19" t="str">
        <f t="shared" si="53"/>
        <v>UNT</v>
      </c>
      <c r="C287" s="18"/>
      <c r="D287" s="15">
        <v>5843</v>
      </c>
      <c r="E287" s="21">
        <v>0.56799999999999995</v>
      </c>
      <c r="F287" s="14">
        <v>23213.466666666667</v>
      </c>
      <c r="G287" s="28">
        <v>11338.869999999399</v>
      </c>
      <c r="H287" s="16">
        <v>3771</v>
      </c>
      <c r="I287" s="30">
        <v>7310</v>
      </c>
      <c r="J287" s="29">
        <v>5432</v>
      </c>
      <c r="K287" s="28">
        <v>3116</v>
      </c>
    </row>
    <row r="288" spans="1:11" outlineLevel="1" x14ac:dyDescent="0.2">
      <c r="A288" s="27">
        <f t="shared" si="53"/>
        <v>113594</v>
      </c>
      <c r="B288" s="19" t="str">
        <f t="shared" si="53"/>
        <v>UNTD</v>
      </c>
      <c r="C288" s="18"/>
      <c r="D288" s="15">
        <v>419</v>
      </c>
      <c r="E288" s="21">
        <f>E287</f>
        <v>0.56799999999999995</v>
      </c>
      <c r="F288" s="14">
        <v>983.4666666666667</v>
      </c>
      <c r="G288" s="28">
        <v>742.11999999999398</v>
      </c>
      <c r="H288" s="16">
        <v>313</v>
      </c>
      <c r="I288" s="30">
        <v>469</v>
      </c>
      <c r="J288" s="29">
        <v>80</v>
      </c>
      <c r="K288" s="28">
        <v>4</v>
      </c>
    </row>
    <row r="289" spans="1:12" outlineLevel="1" x14ac:dyDescent="0.2">
      <c r="A289" s="20">
        <f t="shared" si="53"/>
        <v>3624</v>
      </c>
      <c r="B289" s="19" t="str">
        <f t="shared" si="53"/>
        <v>SFA</v>
      </c>
      <c r="C289" s="18"/>
      <c r="D289" s="15">
        <v>2011</v>
      </c>
      <c r="E289" s="21">
        <v>0.55299999999999994</v>
      </c>
      <c r="F289" s="14">
        <v>9507.3333333333339</v>
      </c>
      <c r="G289" s="28">
        <v>3932.9399999999569</v>
      </c>
      <c r="H289" s="16">
        <v>1513</v>
      </c>
      <c r="I289" s="30">
        <v>2605</v>
      </c>
      <c r="J289" s="29">
        <v>2125</v>
      </c>
      <c r="K289" s="28">
        <v>1473</v>
      </c>
    </row>
    <row r="290" spans="1:12" outlineLevel="1" x14ac:dyDescent="0.2">
      <c r="A290" s="20">
        <f t="shared" si="53"/>
        <v>3642</v>
      </c>
      <c r="B290" s="19" t="str">
        <f t="shared" si="53"/>
        <v>TSU</v>
      </c>
      <c r="C290" s="18"/>
      <c r="D290" s="15">
        <v>737</v>
      </c>
      <c r="E290" s="21">
        <v>0.14099999999999999</v>
      </c>
      <c r="F290" s="14">
        <v>5767.1333333333332</v>
      </c>
      <c r="G290" s="28">
        <v>1478.8299999999929</v>
      </c>
      <c r="H290" s="16">
        <v>641</v>
      </c>
      <c r="I290" s="30">
        <v>1349</v>
      </c>
      <c r="J290" s="29">
        <v>988</v>
      </c>
      <c r="K290" s="28">
        <v>760</v>
      </c>
    </row>
    <row r="291" spans="1:12" outlineLevel="1" x14ac:dyDescent="0.2">
      <c r="A291" s="20">
        <f t="shared" si="53"/>
        <v>3644</v>
      </c>
      <c r="B291" s="19" t="str">
        <f t="shared" si="53"/>
        <v>TTU</v>
      </c>
      <c r="C291" s="18"/>
      <c r="D291" s="15">
        <v>4941</v>
      </c>
      <c r="E291" s="21">
        <v>0.73599999999999999</v>
      </c>
      <c r="F291" s="14">
        <v>22627.599999999999</v>
      </c>
      <c r="G291" s="28">
        <v>10741.019999999262</v>
      </c>
      <c r="H291" s="16">
        <v>3071</v>
      </c>
      <c r="I291" s="30">
        <v>6449</v>
      </c>
      <c r="J291" s="29">
        <v>5332</v>
      </c>
      <c r="K291" s="28">
        <v>4048</v>
      </c>
    </row>
    <row r="292" spans="1:12" outlineLevel="1" x14ac:dyDescent="0.2">
      <c r="A292" s="20">
        <f t="shared" si="53"/>
        <v>3541</v>
      </c>
      <c r="B292" s="19" t="str">
        <f t="shared" si="53"/>
        <v>Angelo</v>
      </c>
      <c r="C292" s="18"/>
      <c r="D292" s="15">
        <v>1073</v>
      </c>
      <c r="E292" s="21">
        <v>0.40799999999999997</v>
      </c>
      <c r="F292" s="14">
        <v>4921.333333333333</v>
      </c>
      <c r="G292" s="28">
        <v>2141.5100000000025</v>
      </c>
      <c r="H292" s="16">
        <v>773</v>
      </c>
      <c r="I292" s="30">
        <v>1398</v>
      </c>
      <c r="J292" s="29">
        <v>1022</v>
      </c>
      <c r="K292" s="28">
        <v>707</v>
      </c>
    </row>
    <row r="293" spans="1:12" outlineLevel="1" x14ac:dyDescent="0.2">
      <c r="A293" s="20">
        <f t="shared" ref="A293:B298" si="54">A251</f>
        <v>3646</v>
      </c>
      <c r="B293" s="19" t="str">
        <f t="shared" si="54"/>
        <v>TWU</v>
      </c>
      <c r="C293" s="18"/>
      <c r="D293" s="15">
        <v>1919</v>
      </c>
      <c r="E293" s="21">
        <v>0.54200000000000004</v>
      </c>
      <c r="F293" s="14">
        <v>6999.5333333333338</v>
      </c>
      <c r="G293" s="28">
        <v>3704.3199999999606</v>
      </c>
      <c r="H293" s="16">
        <v>1326</v>
      </c>
      <c r="I293" s="30">
        <v>2425</v>
      </c>
      <c r="J293" s="29">
        <v>1247</v>
      </c>
      <c r="K293" s="28">
        <v>703</v>
      </c>
    </row>
    <row r="294" spans="1:12" outlineLevel="1" x14ac:dyDescent="0.2">
      <c r="A294" s="20">
        <f t="shared" si="54"/>
        <v>3581</v>
      </c>
      <c r="B294" s="19" t="str">
        <f t="shared" si="54"/>
        <v>Lamar</v>
      </c>
      <c r="C294" s="18"/>
      <c r="D294" s="15">
        <v>1380</v>
      </c>
      <c r="E294" s="21">
        <v>0.35899999999999999</v>
      </c>
      <c r="F294" s="14">
        <v>7404.4666666666662</v>
      </c>
      <c r="G294" s="28">
        <v>2721.5300000000057</v>
      </c>
      <c r="H294" s="16">
        <v>995</v>
      </c>
      <c r="I294" s="30">
        <v>2074</v>
      </c>
      <c r="J294" s="29">
        <v>1486</v>
      </c>
      <c r="K294" s="28">
        <v>1002</v>
      </c>
    </row>
    <row r="295" spans="1:12" outlineLevel="1" x14ac:dyDescent="0.2">
      <c r="A295" s="20">
        <f t="shared" si="54"/>
        <v>3606</v>
      </c>
      <c r="B295" s="19" t="str">
        <f t="shared" si="54"/>
        <v>SHSU</v>
      </c>
      <c r="C295" s="18"/>
      <c r="D295" s="15">
        <v>2978</v>
      </c>
      <c r="E295" s="21">
        <v>0.57799999999999996</v>
      </c>
      <c r="F295" s="14">
        <v>12574.466666666667</v>
      </c>
      <c r="G295" s="28">
        <v>5694.020000000286</v>
      </c>
      <c r="H295" s="16">
        <v>2163</v>
      </c>
      <c r="I295" s="30">
        <v>3894</v>
      </c>
      <c r="J295" s="29">
        <v>2915</v>
      </c>
      <c r="K295" s="28">
        <v>1704</v>
      </c>
    </row>
    <row r="296" spans="1:12" outlineLevel="1" x14ac:dyDescent="0.2">
      <c r="A296" s="20">
        <f t="shared" si="54"/>
        <v>3615</v>
      </c>
      <c r="B296" s="19" t="str">
        <f t="shared" si="54"/>
        <v>TXST</v>
      </c>
      <c r="C296" s="18"/>
      <c r="D296" s="15">
        <v>5435</v>
      </c>
      <c r="E296" s="21">
        <v>0.61399999999999999</v>
      </c>
      <c r="F296" s="14">
        <v>24028</v>
      </c>
      <c r="G296" s="28">
        <v>10677.06999999951</v>
      </c>
      <c r="H296" s="16">
        <v>3816</v>
      </c>
      <c r="I296" s="30">
        <v>7425</v>
      </c>
      <c r="J296" s="29">
        <v>5561</v>
      </c>
      <c r="K296" s="28">
        <v>3333</v>
      </c>
    </row>
    <row r="297" spans="1:12" outlineLevel="1" x14ac:dyDescent="0.2">
      <c r="A297" s="20">
        <f t="shared" si="54"/>
        <v>3625</v>
      </c>
      <c r="B297" s="19" t="str">
        <f t="shared" si="54"/>
        <v>SRSU</v>
      </c>
      <c r="C297" s="18"/>
      <c r="D297" s="15">
        <v>191</v>
      </c>
      <c r="E297" s="21">
        <v>0.32600000000000001</v>
      </c>
      <c r="F297" s="14">
        <v>1229</v>
      </c>
      <c r="G297" s="28">
        <v>409.0499999999999</v>
      </c>
      <c r="H297" s="16">
        <v>167</v>
      </c>
      <c r="I297" s="30">
        <v>284</v>
      </c>
      <c r="J297" s="29">
        <v>188</v>
      </c>
      <c r="K297" s="28">
        <v>144</v>
      </c>
      <c r="L297" s="128"/>
    </row>
    <row r="298" spans="1:12" outlineLevel="1" x14ac:dyDescent="0.2">
      <c r="A298" s="20">
        <f t="shared" si="54"/>
        <v>20</v>
      </c>
      <c r="B298" s="19" t="str">
        <f t="shared" si="54"/>
        <v>SRRG</v>
      </c>
      <c r="C298" s="18"/>
      <c r="D298" s="15">
        <v>154</v>
      </c>
      <c r="E298" s="17">
        <v>0.25423728813559321</v>
      </c>
      <c r="F298" s="14">
        <v>436.8</v>
      </c>
      <c r="G298" s="28">
        <v>268.06000000000023</v>
      </c>
      <c r="H298" s="16">
        <v>138</v>
      </c>
      <c r="I298" s="30">
        <v>215</v>
      </c>
      <c r="J298" s="29">
        <v>91</v>
      </c>
      <c r="K298" s="28">
        <v>6</v>
      </c>
    </row>
    <row r="299" spans="1:12" ht="13.5" outlineLevel="1" thickBot="1" x14ac:dyDescent="0.25">
      <c r="A299" s="12"/>
      <c r="B299" s="11" t="s">
        <v>11</v>
      </c>
      <c r="C299" s="10"/>
      <c r="D299" s="9">
        <f>SUM(D261:D298)</f>
        <v>87062</v>
      </c>
      <c r="E299" s="8">
        <v>0.58700000000000008</v>
      </c>
      <c r="F299" s="7">
        <f t="shared" ref="F299:K299" si="55">SUM(F261:F298)</f>
        <v>359610.06666666665</v>
      </c>
      <c r="G299" s="3">
        <f t="shared" si="55"/>
        <v>180161.28999999876</v>
      </c>
      <c r="H299" s="6">
        <f t="shared" si="55"/>
        <v>56968</v>
      </c>
      <c r="I299" s="5">
        <f t="shared" si="55"/>
        <v>113504</v>
      </c>
      <c r="J299" s="4">
        <f t="shared" si="55"/>
        <v>81268</v>
      </c>
      <c r="K299" s="3">
        <f t="shared" si="55"/>
        <v>50077</v>
      </c>
    </row>
    <row r="300" spans="1:12" ht="13.5" thickBot="1" x14ac:dyDescent="0.25">
      <c r="A300" s="42" t="s">
        <v>24</v>
      </c>
      <c r="B300" s="42"/>
      <c r="C300" s="42"/>
      <c r="D300" s="42"/>
      <c r="F300" s="42"/>
      <c r="H300" s="42"/>
    </row>
    <row r="301" spans="1:12" ht="12.75" customHeight="1" outlineLevel="1" x14ac:dyDescent="0.2">
      <c r="A301" s="184" t="s">
        <v>22</v>
      </c>
      <c r="B301" s="186" t="s">
        <v>21</v>
      </c>
      <c r="C301" s="188"/>
      <c r="D301" s="196" t="s">
        <v>20</v>
      </c>
      <c r="E301" s="194" t="s">
        <v>19</v>
      </c>
      <c r="F301" s="186" t="s">
        <v>18</v>
      </c>
      <c r="G301" s="192" t="s">
        <v>17</v>
      </c>
      <c r="H301" s="176" t="s">
        <v>16</v>
      </c>
      <c r="I301" s="178" t="s">
        <v>15</v>
      </c>
      <c r="J301" s="179"/>
      <c r="K301" s="180"/>
    </row>
    <row r="302" spans="1:12" s="41" customFormat="1" ht="40.5" customHeight="1" outlineLevel="1" thickBot="1" x14ac:dyDescent="0.25">
      <c r="A302" s="185"/>
      <c r="B302" s="187"/>
      <c r="C302" s="189"/>
      <c r="D302" s="197"/>
      <c r="E302" s="195"/>
      <c r="F302" s="187"/>
      <c r="G302" s="193"/>
      <c r="H302" s="190"/>
      <c r="I302" s="103" t="s">
        <v>14</v>
      </c>
      <c r="J302" s="104" t="s">
        <v>13</v>
      </c>
      <c r="K302" s="110" t="s">
        <v>12</v>
      </c>
      <c r="L302" s="126"/>
    </row>
    <row r="303" spans="1:12" outlineLevel="1" x14ac:dyDescent="0.2">
      <c r="A303" s="40">
        <f t="shared" ref="A303:B318" si="56">A261</f>
        <v>3656</v>
      </c>
      <c r="B303" s="39" t="str">
        <f t="shared" si="56"/>
        <v>UTA</v>
      </c>
      <c r="C303" s="38"/>
      <c r="D303" s="33">
        <v>5103</v>
      </c>
      <c r="E303" s="37">
        <v>0.49299999999999999</v>
      </c>
      <c r="F303" s="32">
        <v>17372</v>
      </c>
      <c r="G303" s="31">
        <v>10527.860000000002</v>
      </c>
      <c r="H303" s="34">
        <v>3158</v>
      </c>
      <c r="I303" s="33">
        <v>6986</v>
      </c>
      <c r="J303" s="32">
        <v>3903</v>
      </c>
      <c r="K303" s="31">
        <v>1733</v>
      </c>
    </row>
    <row r="304" spans="1:12" outlineLevel="1" x14ac:dyDescent="0.2">
      <c r="A304" s="20">
        <f t="shared" si="56"/>
        <v>3658</v>
      </c>
      <c r="B304" s="19" t="str">
        <f t="shared" si="56"/>
        <v>UT</v>
      </c>
      <c r="C304" s="18"/>
      <c r="D304" s="15">
        <v>9027</v>
      </c>
      <c r="E304" s="21">
        <v>0.83299999999999996</v>
      </c>
      <c r="F304" s="14">
        <v>33709.866666666669</v>
      </c>
      <c r="G304" s="13">
        <v>19422.050000001858</v>
      </c>
      <c r="H304" s="16">
        <v>3475</v>
      </c>
      <c r="I304" s="15">
        <v>9939</v>
      </c>
      <c r="J304" s="14">
        <v>8895</v>
      </c>
      <c r="K304" s="13">
        <v>7485</v>
      </c>
    </row>
    <row r="305" spans="1:11" outlineLevel="1" x14ac:dyDescent="0.2">
      <c r="A305" s="20">
        <f t="shared" si="56"/>
        <v>9741</v>
      </c>
      <c r="B305" s="19" t="str">
        <f t="shared" si="56"/>
        <v>UTD</v>
      </c>
      <c r="C305" s="18"/>
      <c r="D305" s="15">
        <v>2314</v>
      </c>
      <c r="E305" s="21">
        <v>0.68299999999999994</v>
      </c>
      <c r="F305" s="14">
        <v>8822.2000000000007</v>
      </c>
      <c r="G305" s="13">
        <v>4904.1700000000228</v>
      </c>
      <c r="H305" s="16">
        <v>1294</v>
      </c>
      <c r="I305" s="15">
        <v>3345</v>
      </c>
      <c r="J305" s="14">
        <v>2105</v>
      </c>
      <c r="K305" s="13">
        <v>1076</v>
      </c>
    </row>
    <row r="306" spans="1:11" outlineLevel="1" x14ac:dyDescent="0.2">
      <c r="A306" s="20">
        <f t="shared" si="56"/>
        <v>3661</v>
      </c>
      <c r="B306" s="19" t="str">
        <f t="shared" si="56"/>
        <v>UTEP</v>
      </c>
      <c r="C306" s="18"/>
      <c r="D306" s="15">
        <v>3008</v>
      </c>
      <c r="E306" s="21">
        <v>0.38400000000000001</v>
      </c>
      <c r="F306" s="14">
        <v>13376</v>
      </c>
      <c r="G306" s="13">
        <v>6142.7200000000885</v>
      </c>
      <c r="H306" s="16">
        <v>2409</v>
      </c>
      <c r="I306" s="15">
        <v>4488</v>
      </c>
      <c r="J306" s="14">
        <v>3404</v>
      </c>
      <c r="K306" s="13">
        <v>1910</v>
      </c>
    </row>
    <row r="307" spans="1:11" outlineLevel="1" x14ac:dyDescent="0.2">
      <c r="A307" s="20">
        <f t="shared" si="56"/>
        <v>3599</v>
      </c>
      <c r="B307" s="19" t="str">
        <f t="shared" si="56"/>
        <v>UTPA</v>
      </c>
      <c r="C307" s="18"/>
      <c r="D307" s="15">
        <v>2658</v>
      </c>
      <c r="E307" s="21">
        <v>0.46399999999999997</v>
      </c>
      <c r="F307" s="14">
        <v>12499.266666666666</v>
      </c>
      <c r="G307" s="13">
        <v>5231.3300000001427</v>
      </c>
      <c r="H307" s="16">
        <v>2427</v>
      </c>
      <c r="I307" s="15">
        <v>4142</v>
      </c>
      <c r="J307" s="14">
        <v>3290</v>
      </c>
      <c r="K307" s="13">
        <v>1998</v>
      </c>
    </row>
    <row r="308" spans="1:11" outlineLevel="1" x14ac:dyDescent="0.2">
      <c r="A308" s="20">
        <f t="shared" si="56"/>
        <v>30646</v>
      </c>
      <c r="B308" s="19" t="str">
        <f t="shared" si="56"/>
        <v>UTB</v>
      </c>
      <c r="C308" s="18"/>
      <c r="D308" s="15">
        <v>1075</v>
      </c>
      <c r="E308" s="17">
        <v>0.55124653739612184</v>
      </c>
      <c r="F308" s="14">
        <v>3116.2</v>
      </c>
      <c r="G308" s="13">
        <v>2052.0600000000218</v>
      </c>
      <c r="H308" s="16">
        <v>916</v>
      </c>
      <c r="I308" s="15">
        <v>1359</v>
      </c>
      <c r="J308" s="14">
        <v>600</v>
      </c>
      <c r="K308" s="13">
        <v>131</v>
      </c>
    </row>
    <row r="309" spans="1:11" outlineLevel="1" x14ac:dyDescent="0.2">
      <c r="A309" s="20">
        <f t="shared" si="56"/>
        <v>9930</v>
      </c>
      <c r="B309" s="19" t="str">
        <f t="shared" si="56"/>
        <v>UTPB</v>
      </c>
      <c r="C309" s="18"/>
      <c r="D309" s="15">
        <v>541</v>
      </c>
      <c r="E309" s="21">
        <v>0.40700000000000003</v>
      </c>
      <c r="F309" s="14">
        <v>2416</v>
      </c>
      <c r="G309" s="13">
        <v>1005.1500000000051</v>
      </c>
      <c r="H309" s="16">
        <v>407</v>
      </c>
      <c r="I309" s="15">
        <v>908</v>
      </c>
      <c r="J309" s="14">
        <v>490</v>
      </c>
      <c r="K309" s="13">
        <v>191</v>
      </c>
    </row>
    <row r="310" spans="1:11" outlineLevel="1" x14ac:dyDescent="0.2">
      <c r="A310" s="20">
        <f t="shared" si="56"/>
        <v>10115</v>
      </c>
      <c r="B310" s="19" t="str">
        <f t="shared" si="56"/>
        <v>UTSA</v>
      </c>
      <c r="C310" s="18"/>
      <c r="D310" s="15">
        <v>4148</v>
      </c>
      <c r="E310" s="21">
        <v>0.39400000000000002</v>
      </c>
      <c r="F310" s="14">
        <v>20284.733333333334</v>
      </c>
      <c r="G310" s="13">
        <v>8398.8499999997166</v>
      </c>
      <c r="H310" s="16">
        <v>3211</v>
      </c>
      <c r="I310" s="15">
        <v>6802</v>
      </c>
      <c r="J310" s="14">
        <v>4390</v>
      </c>
      <c r="K310" s="13">
        <v>2699</v>
      </c>
    </row>
    <row r="311" spans="1:11" outlineLevel="1" x14ac:dyDescent="0.2">
      <c r="A311" s="20">
        <f t="shared" si="56"/>
        <v>11163</v>
      </c>
      <c r="B311" s="19" t="str">
        <f t="shared" si="56"/>
        <v>UTT</v>
      </c>
      <c r="C311" s="18"/>
      <c r="D311" s="15">
        <v>1188</v>
      </c>
      <c r="E311" s="21">
        <v>0.53300000000000003</v>
      </c>
      <c r="F311" s="14">
        <v>4030.7333333333331</v>
      </c>
      <c r="G311" s="13">
        <v>2364.9800000000037</v>
      </c>
      <c r="H311" s="16">
        <v>939</v>
      </c>
      <c r="I311" s="15">
        <v>1496</v>
      </c>
      <c r="J311" s="14">
        <v>905</v>
      </c>
      <c r="K311" s="13">
        <v>401</v>
      </c>
    </row>
    <row r="312" spans="1:11" outlineLevel="1" x14ac:dyDescent="0.2">
      <c r="A312" s="20">
        <f t="shared" si="56"/>
        <v>3632</v>
      </c>
      <c r="B312" s="19" t="str">
        <f t="shared" si="56"/>
        <v>TAMU</v>
      </c>
      <c r="C312" s="18"/>
      <c r="D312" s="15">
        <v>8748</v>
      </c>
      <c r="E312" s="21">
        <v>0.84399999999999997</v>
      </c>
      <c r="F312" s="14">
        <v>34425.133333333331</v>
      </c>
      <c r="G312" s="13">
        <v>20060.050000001262</v>
      </c>
      <c r="H312" s="16">
        <v>3727</v>
      </c>
      <c r="I312" s="15">
        <v>9623</v>
      </c>
      <c r="J312" s="14">
        <v>8962</v>
      </c>
      <c r="K312" s="13">
        <v>6823</v>
      </c>
    </row>
    <row r="313" spans="1:11" outlineLevel="1" x14ac:dyDescent="0.2">
      <c r="A313" s="20">
        <f t="shared" si="56"/>
        <v>10298</v>
      </c>
      <c r="B313" s="19" t="str">
        <f t="shared" si="56"/>
        <v>TAMUG</v>
      </c>
      <c r="C313" s="18"/>
      <c r="D313" s="15">
        <v>250</v>
      </c>
      <c r="E313" s="21">
        <v>0.66400000000000003</v>
      </c>
      <c r="F313" s="14">
        <v>1668.1333333333334</v>
      </c>
      <c r="G313" s="13">
        <v>648.89999999999895</v>
      </c>
      <c r="H313" s="16">
        <v>151</v>
      </c>
      <c r="I313" s="15">
        <v>600</v>
      </c>
      <c r="J313" s="14">
        <v>336</v>
      </c>
      <c r="K313" s="13">
        <v>234</v>
      </c>
    </row>
    <row r="314" spans="1:11" outlineLevel="1" x14ac:dyDescent="0.2">
      <c r="A314" s="20">
        <f t="shared" si="56"/>
        <v>3630</v>
      </c>
      <c r="B314" s="19" t="str">
        <f t="shared" si="56"/>
        <v>Prairie View</v>
      </c>
      <c r="C314" s="18"/>
      <c r="D314" s="15">
        <v>904</v>
      </c>
      <c r="E314" s="21">
        <v>0.37</v>
      </c>
      <c r="F314" s="46">
        <v>6088.2666666666664</v>
      </c>
      <c r="G314" s="13">
        <v>1934.240000000003</v>
      </c>
      <c r="H314" s="16">
        <v>775</v>
      </c>
      <c r="I314" s="15">
        <v>1660</v>
      </c>
      <c r="J314" s="14">
        <v>1237</v>
      </c>
      <c r="K314" s="13">
        <v>905</v>
      </c>
    </row>
    <row r="315" spans="1:11" outlineLevel="1" x14ac:dyDescent="0.2">
      <c r="A315" s="20">
        <f t="shared" si="56"/>
        <v>3631</v>
      </c>
      <c r="B315" s="19" t="str">
        <f t="shared" si="56"/>
        <v>Tarleton</v>
      </c>
      <c r="C315" s="18"/>
      <c r="D315" s="15">
        <v>1552</v>
      </c>
      <c r="E315" s="21">
        <v>0.48299999999999998</v>
      </c>
      <c r="F315" s="46">
        <v>6264.4666666666662</v>
      </c>
      <c r="G315" s="13">
        <v>3063.9600000000341</v>
      </c>
      <c r="H315" s="16">
        <v>1196</v>
      </c>
      <c r="I315" s="47">
        <v>2096</v>
      </c>
      <c r="J315" s="46">
        <v>1464</v>
      </c>
      <c r="K315" s="45">
        <v>840</v>
      </c>
    </row>
    <row r="316" spans="1:11" outlineLevel="1" x14ac:dyDescent="0.2">
      <c r="A316" s="27">
        <f t="shared" si="56"/>
        <v>103631</v>
      </c>
      <c r="B316" s="19" t="str">
        <f t="shared" si="56"/>
        <v>TAMUCT</v>
      </c>
      <c r="C316" s="18"/>
      <c r="D316" s="15">
        <v>462</v>
      </c>
      <c r="E316" s="21">
        <v>0.48299999999999998</v>
      </c>
      <c r="F316" s="46">
        <v>700.66666666666663</v>
      </c>
      <c r="G316" s="13">
        <v>846.68000000000006</v>
      </c>
      <c r="H316" s="16">
        <v>330</v>
      </c>
      <c r="I316" s="47">
        <v>555</v>
      </c>
      <c r="J316" s="46">
        <v>143</v>
      </c>
      <c r="K316" s="45">
        <v>66</v>
      </c>
    </row>
    <row r="317" spans="1:11" outlineLevel="1" x14ac:dyDescent="0.2">
      <c r="A317" s="20">
        <f t="shared" si="56"/>
        <v>11161</v>
      </c>
      <c r="B317" s="19" t="str">
        <f t="shared" si="56"/>
        <v>TAMUCC</v>
      </c>
      <c r="C317" s="18"/>
      <c r="D317" s="15">
        <v>1315</v>
      </c>
      <c r="E317" s="21">
        <v>0.51100000000000001</v>
      </c>
      <c r="F317" s="46">
        <v>6609.8666666666668</v>
      </c>
      <c r="G317" s="13">
        <v>2639.1300000000101</v>
      </c>
      <c r="H317" s="16">
        <v>1034</v>
      </c>
      <c r="I317" s="15">
        <v>2126</v>
      </c>
      <c r="J317" s="14">
        <v>1577</v>
      </c>
      <c r="K317" s="13">
        <v>864</v>
      </c>
    </row>
    <row r="318" spans="1:11" outlineLevel="1" x14ac:dyDescent="0.2">
      <c r="A318" s="20">
        <f t="shared" si="56"/>
        <v>3639</v>
      </c>
      <c r="B318" s="19" t="str">
        <f t="shared" si="56"/>
        <v>TAMUK</v>
      </c>
      <c r="C318" s="18"/>
      <c r="D318" s="15">
        <v>738</v>
      </c>
      <c r="E318" s="21">
        <v>0.39799999999999996</v>
      </c>
      <c r="F318" s="46">
        <v>4394.2</v>
      </c>
      <c r="G318" s="13">
        <v>1735.8600000000065</v>
      </c>
      <c r="H318" s="16">
        <v>613</v>
      </c>
      <c r="I318" s="47">
        <v>1180</v>
      </c>
      <c r="J318" s="46">
        <v>879</v>
      </c>
      <c r="K318" s="45">
        <v>555</v>
      </c>
    </row>
    <row r="319" spans="1:11" outlineLevel="1" x14ac:dyDescent="0.2">
      <c r="A319" s="27">
        <f t="shared" ref="A319:B334" si="57">A277</f>
        <v>103639</v>
      </c>
      <c r="B319" s="19" t="str">
        <f t="shared" si="57"/>
        <v>TAMUSA</v>
      </c>
      <c r="C319" s="18"/>
      <c r="D319" s="15">
        <v>620</v>
      </c>
      <c r="E319" s="21">
        <v>0.39799999999999996</v>
      </c>
      <c r="F319" s="46">
        <v>1492.4</v>
      </c>
      <c r="G319" s="13">
        <v>1078.0000000000073</v>
      </c>
      <c r="H319" s="16">
        <v>520</v>
      </c>
      <c r="I319" s="47">
        <v>995</v>
      </c>
      <c r="J319" s="46">
        <v>37</v>
      </c>
      <c r="K319" s="45">
        <v>2</v>
      </c>
    </row>
    <row r="320" spans="1:11" outlineLevel="1" x14ac:dyDescent="0.2">
      <c r="A320" s="20">
        <f t="shared" si="57"/>
        <v>9651</v>
      </c>
      <c r="B320" s="19" t="str">
        <f t="shared" si="57"/>
        <v>TAMI</v>
      </c>
      <c r="C320" s="18"/>
      <c r="D320" s="15">
        <v>766</v>
      </c>
      <c r="E320" s="21">
        <v>0.503</v>
      </c>
      <c r="F320" s="14">
        <v>4126.8</v>
      </c>
      <c r="G320" s="13">
        <v>1400.4200000000046</v>
      </c>
      <c r="H320" s="16">
        <v>688</v>
      </c>
      <c r="I320" s="15">
        <v>1515</v>
      </c>
      <c r="J320" s="14">
        <v>1027</v>
      </c>
      <c r="K320" s="13">
        <v>486</v>
      </c>
    </row>
    <row r="321" spans="1:11" outlineLevel="1" x14ac:dyDescent="0.2">
      <c r="A321" s="20">
        <f t="shared" si="57"/>
        <v>3665</v>
      </c>
      <c r="B321" s="19" t="str">
        <f t="shared" si="57"/>
        <v>WTAMU</v>
      </c>
      <c r="C321" s="18"/>
      <c r="D321" s="15">
        <v>1294</v>
      </c>
      <c r="E321" s="21">
        <v>0.47399999999999998</v>
      </c>
      <c r="F321" s="14">
        <v>5457.666666666667</v>
      </c>
      <c r="G321" s="13">
        <v>2570.7800000000157</v>
      </c>
      <c r="H321" s="16">
        <v>913</v>
      </c>
      <c r="I321" s="15">
        <v>1871</v>
      </c>
      <c r="J321" s="14">
        <v>1264</v>
      </c>
      <c r="K321" s="13">
        <v>664</v>
      </c>
    </row>
    <row r="322" spans="1:11" outlineLevel="1" x14ac:dyDescent="0.2">
      <c r="A322" s="20">
        <f t="shared" si="57"/>
        <v>3565</v>
      </c>
      <c r="B322" s="19" t="str">
        <f t="shared" si="57"/>
        <v>TAMUC</v>
      </c>
      <c r="C322" s="18"/>
      <c r="D322" s="15">
        <v>1313</v>
      </c>
      <c r="E322" s="21">
        <v>0.42600000000000005</v>
      </c>
      <c r="F322" s="14">
        <v>4783.5333333333338</v>
      </c>
      <c r="G322" s="13">
        <v>2463.6900000000296</v>
      </c>
      <c r="H322" s="16">
        <v>1002</v>
      </c>
      <c r="I322" s="15">
        <v>1911</v>
      </c>
      <c r="J322" s="14">
        <v>1200</v>
      </c>
      <c r="K322" s="13">
        <v>477</v>
      </c>
    </row>
    <row r="323" spans="1:11" outlineLevel="1" x14ac:dyDescent="0.2">
      <c r="A323" s="20">
        <f t="shared" si="57"/>
        <v>29269</v>
      </c>
      <c r="B323" s="19" t="str">
        <f t="shared" si="57"/>
        <v>TAMUT</v>
      </c>
      <c r="C323" s="18"/>
      <c r="D323" s="15">
        <v>335</v>
      </c>
      <c r="E323" s="17">
        <v>0.56028368794326244</v>
      </c>
      <c r="F323" s="14">
        <v>879.13333333333333</v>
      </c>
      <c r="G323" s="13">
        <v>609.83000000000015</v>
      </c>
      <c r="H323" s="16">
        <v>230</v>
      </c>
      <c r="I323" s="15">
        <v>411</v>
      </c>
      <c r="J323" s="14">
        <v>186</v>
      </c>
      <c r="K323" s="13">
        <v>1</v>
      </c>
    </row>
    <row r="324" spans="1:11" outlineLevel="1" x14ac:dyDescent="0.2">
      <c r="A324" s="20">
        <f t="shared" si="57"/>
        <v>3652</v>
      </c>
      <c r="B324" s="19" t="str">
        <f t="shared" si="57"/>
        <v>UH</v>
      </c>
      <c r="C324" s="18"/>
      <c r="D324" s="15">
        <v>5092</v>
      </c>
      <c r="E324" s="21">
        <v>0.54200000000000004</v>
      </c>
      <c r="F324" s="14">
        <v>23853.933333333334</v>
      </c>
      <c r="G324" s="13">
        <v>10569.339999999527</v>
      </c>
      <c r="H324" s="16">
        <v>3340</v>
      </c>
      <c r="I324" s="15">
        <v>7467</v>
      </c>
      <c r="J324" s="14">
        <v>5804</v>
      </c>
      <c r="K324" s="13">
        <v>3314</v>
      </c>
    </row>
    <row r="325" spans="1:11" outlineLevel="1" x14ac:dyDescent="0.2">
      <c r="A325" s="20">
        <f t="shared" si="57"/>
        <v>11711</v>
      </c>
      <c r="B325" s="19" t="str">
        <f t="shared" si="57"/>
        <v>UHCL</v>
      </c>
      <c r="C325" s="18"/>
      <c r="D325" s="15">
        <v>1197</v>
      </c>
      <c r="E325" s="17">
        <v>0.53820033955857383</v>
      </c>
      <c r="F325" s="14">
        <v>3046.8</v>
      </c>
      <c r="G325" s="13">
        <v>2293.9500000000248</v>
      </c>
      <c r="H325" s="16">
        <v>777</v>
      </c>
      <c r="I325" s="15">
        <v>1434</v>
      </c>
      <c r="J325" s="14">
        <v>959</v>
      </c>
      <c r="K325" s="13">
        <v>53</v>
      </c>
    </row>
    <row r="326" spans="1:11" outlineLevel="1" x14ac:dyDescent="0.2">
      <c r="A326" s="20">
        <f t="shared" si="57"/>
        <v>12826</v>
      </c>
      <c r="B326" s="19" t="str">
        <f t="shared" si="57"/>
        <v>UHD</v>
      </c>
      <c r="C326" s="18"/>
      <c r="D326" s="15">
        <v>2437</v>
      </c>
      <c r="E326" s="21">
        <v>0.215</v>
      </c>
      <c r="F326" s="14">
        <v>7949.2666666666664</v>
      </c>
      <c r="G326" s="13">
        <v>4368.2100000000464</v>
      </c>
      <c r="H326" s="16">
        <v>1730</v>
      </c>
      <c r="I326" s="15">
        <v>3223</v>
      </c>
      <c r="J326" s="14">
        <v>1896</v>
      </c>
      <c r="K326" s="13">
        <v>618</v>
      </c>
    </row>
    <row r="327" spans="1:11" outlineLevel="1" x14ac:dyDescent="0.2">
      <c r="A327" s="20">
        <f t="shared" si="57"/>
        <v>13231</v>
      </c>
      <c r="B327" s="19" t="str">
        <f t="shared" si="57"/>
        <v>UHV</v>
      </c>
      <c r="C327" s="18"/>
      <c r="D327" s="15">
        <v>596</v>
      </c>
      <c r="E327" s="17">
        <v>0.5339366515837104</v>
      </c>
      <c r="F327" s="14">
        <v>1494.2</v>
      </c>
      <c r="G327" s="13">
        <v>1103.6999999999998</v>
      </c>
      <c r="H327" s="16">
        <v>397</v>
      </c>
      <c r="I327" s="15">
        <v>718</v>
      </c>
      <c r="J327" s="14">
        <v>286</v>
      </c>
      <c r="K327" s="13">
        <v>6</v>
      </c>
    </row>
    <row r="328" spans="1:11" outlineLevel="1" x14ac:dyDescent="0.2">
      <c r="A328" s="20">
        <f t="shared" si="57"/>
        <v>3592</v>
      </c>
      <c r="B328" s="19" t="str">
        <f t="shared" si="57"/>
        <v>Midwestern</v>
      </c>
      <c r="C328" s="18"/>
      <c r="D328" s="15">
        <v>1027</v>
      </c>
      <c r="E328" s="21">
        <v>0.443</v>
      </c>
      <c r="F328" s="14">
        <v>4387.7333333333336</v>
      </c>
      <c r="G328" s="13">
        <v>1924.84</v>
      </c>
      <c r="H328" s="16">
        <v>675</v>
      </c>
      <c r="I328" s="15">
        <v>1507</v>
      </c>
      <c r="J328" s="14">
        <v>1079</v>
      </c>
      <c r="K328" s="13">
        <v>734</v>
      </c>
    </row>
    <row r="329" spans="1:11" outlineLevel="1" x14ac:dyDescent="0.2">
      <c r="A329" s="20">
        <f t="shared" si="57"/>
        <v>3594</v>
      </c>
      <c r="B329" s="19" t="str">
        <f t="shared" si="57"/>
        <v>UNT</v>
      </c>
      <c r="C329" s="18"/>
      <c r="D329" s="15">
        <v>6183</v>
      </c>
      <c r="E329" s="21">
        <v>0.58700000000000008</v>
      </c>
      <c r="F329" s="14">
        <v>23168.733333333334</v>
      </c>
      <c r="G329" s="13">
        <v>11731.089999999795</v>
      </c>
      <c r="H329" s="16">
        <v>3942</v>
      </c>
      <c r="I329" s="15">
        <v>7957</v>
      </c>
      <c r="J329" s="14">
        <v>5891</v>
      </c>
      <c r="K329" s="13">
        <v>3310</v>
      </c>
    </row>
    <row r="330" spans="1:11" outlineLevel="1" x14ac:dyDescent="0.2">
      <c r="A330" s="27">
        <f t="shared" si="57"/>
        <v>113594</v>
      </c>
      <c r="B330" s="19" t="str">
        <f t="shared" si="57"/>
        <v>UNTD</v>
      </c>
      <c r="C330" s="18"/>
      <c r="D330" s="30">
        <v>388</v>
      </c>
      <c r="E330" s="44">
        <v>0.58700000000000008</v>
      </c>
      <c r="F330" s="29">
        <v>908.8</v>
      </c>
      <c r="G330" s="28">
        <v>669.60000000000036</v>
      </c>
      <c r="H330" s="43">
        <v>304</v>
      </c>
      <c r="I330" s="30">
        <v>487</v>
      </c>
      <c r="J330" s="29">
        <v>63</v>
      </c>
      <c r="K330" s="28">
        <v>18</v>
      </c>
    </row>
    <row r="331" spans="1:11" outlineLevel="1" x14ac:dyDescent="0.2">
      <c r="A331" s="20">
        <f t="shared" si="57"/>
        <v>3624</v>
      </c>
      <c r="B331" s="19" t="str">
        <f t="shared" si="57"/>
        <v>SFA</v>
      </c>
      <c r="C331" s="18"/>
      <c r="D331" s="15">
        <v>1880</v>
      </c>
      <c r="E331" s="21">
        <v>0.53900000000000003</v>
      </c>
      <c r="F331" s="14">
        <v>9440.9333333333325</v>
      </c>
      <c r="G331" s="13">
        <v>3606.8600000000297</v>
      </c>
      <c r="H331" s="16">
        <v>1446</v>
      </c>
      <c r="I331" s="15">
        <v>3040</v>
      </c>
      <c r="J331" s="14">
        <v>2166</v>
      </c>
      <c r="K331" s="13">
        <v>1402</v>
      </c>
    </row>
    <row r="332" spans="1:11" outlineLevel="1" x14ac:dyDescent="0.2">
      <c r="A332" s="20">
        <f t="shared" si="57"/>
        <v>3642</v>
      </c>
      <c r="B332" s="19" t="str">
        <f t="shared" si="57"/>
        <v>TSU</v>
      </c>
      <c r="C332" s="18"/>
      <c r="D332" s="15">
        <v>721</v>
      </c>
      <c r="E332" s="21">
        <v>0.14099999999999999</v>
      </c>
      <c r="F332" s="14">
        <v>5912.8</v>
      </c>
      <c r="G332" s="13">
        <v>1385.6100000000063</v>
      </c>
      <c r="H332" s="16">
        <v>635</v>
      </c>
      <c r="I332" s="15">
        <v>1692</v>
      </c>
      <c r="J332" s="14">
        <v>1274</v>
      </c>
      <c r="K332" s="13">
        <v>870</v>
      </c>
    </row>
    <row r="333" spans="1:11" outlineLevel="1" x14ac:dyDescent="0.2">
      <c r="A333" s="20">
        <f t="shared" si="57"/>
        <v>3644</v>
      </c>
      <c r="B333" s="19" t="str">
        <f t="shared" si="57"/>
        <v>TTU</v>
      </c>
      <c r="C333" s="18"/>
      <c r="D333" s="15">
        <v>4605</v>
      </c>
      <c r="E333" s="21">
        <v>0.7320000000000001</v>
      </c>
      <c r="F333" s="14">
        <v>22527.466666666667</v>
      </c>
      <c r="G333" s="13">
        <v>9815.7899999997753</v>
      </c>
      <c r="H333" s="16">
        <v>2724</v>
      </c>
      <c r="I333" s="15">
        <v>6577</v>
      </c>
      <c r="J333" s="14">
        <v>5355</v>
      </c>
      <c r="K333" s="13">
        <v>3957</v>
      </c>
    </row>
    <row r="334" spans="1:11" outlineLevel="1" x14ac:dyDescent="0.2">
      <c r="A334" s="20">
        <f t="shared" si="57"/>
        <v>3541</v>
      </c>
      <c r="B334" s="19" t="str">
        <f t="shared" si="57"/>
        <v>Angelo</v>
      </c>
      <c r="C334" s="18"/>
      <c r="D334" s="15">
        <v>960</v>
      </c>
      <c r="E334" s="21">
        <v>0.441</v>
      </c>
      <c r="F334" s="14">
        <v>4895.666666666667</v>
      </c>
      <c r="G334" s="13">
        <v>1856.9499999999953</v>
      </c>
      <c r="H334" s="16">
        <v>720</v>
      </c>
      <c r="I334" s="15">
        <v>1444</v>
      </c>
      <c r="J334" s="14">
        <v>1071</v>
      </c>
      <c r="K334" s="13">
        <v>708</v>
      </c>
    </row>
    <row r="335" spans="1:11" outlineLevel="1" x14ac:dyDescent="0.2">
      <c r="A335" s="20">
        <f t="shared" ref="A335:B340" si="58">A293</f>
        <v>3646</v>
      </c>
      <c r="B335" s="19" t="str">
        <f t="shared" si="58"/>
        <v>TWU</v>
      </c>
      <c r="C335" s="18"/>
      <c r="D335" s="15">
        <v>1725</v>
      </c>
      <c r="E335" s="21">
        <v>0.48399999999999999</v>
      </c>
      <c r="F335" s="14">
        <v>6598.2</v>
      </c>
      <c r="G335" s="13">
        <v>3227.0100000000139</v>
      </c>
      <c r="H335" s="16">
        <v>1201</v>
      </c>
      <c r="I335" s="15">
        <v>2121</v>
      </c>
      <c r="J335" s="14">
        <v>1259</v>
      </c>
      <c r="K335" s="13">
        <v>608</v>
      </c>
    </row>
    <row r="336" spans="1:11" outlineLevel="1" x14ac:dyDescent="0.2">
      <c r="A336" s="20">
        <f t="shared" si="58"/>
        <v>3581</v>
      </c>
      <c r="B336" s="19" t="str">
        <f t="shared" si="58"/>
        <v>Lamar</v>
      </c>
      <c r="C336" s="18"/>
      <c r="D336" s="15">
        <v>1340</v>
      </c>
      <c r="E336" s="21">
        <v>0.35399999999999998</v>
      </c>
      <c r="F336" s="14">
        <v>7247.8</v>
      </c>
      <c r="G336" s="13">
        <v>2695.0800000000122</v>
      </c>
      <c r="H336" s="16">
        <v>943</v>
      </c>
      <c r="I336" s="15">
        <v>2317</v>
      </c>
      <c r="J336" s="14">
        <v>1577</v>
      </c>
      <c r="K336" s="13">
        <v>1000</v>
      </c>
    </row>
    <row r="337" spans="1:13" outlineLevel="1" x14ac:dyDescent="0.2">
      <c r="A337" s="20">
        <f t="shared" si="58"/>
        <v>3606</v>
      </c>
      <c r="B337" s="19" t="str">
        <f t="shared" si="58"/>
        <v>SHSU</v>
      </c>
      <c r="C337" s="18"/>
      <c r="D337" s="15">
        <v>3013</v>
      </c>
      <c r="E337" s="21">
        <v>0.60299999999999998</v>
      </c>
      <c r="F337" s="14">
        <v>12631.666666666666</v>
      </c>
      <c r="G337" s="13">
        <v>5628.5800000000427</v>
      </c>
      <c r="H337" s="16">
        <v>2160</v>
      </c>
      <c r="I337" s="15">
        <v>3940</v>
      </c>
      <c r="J337" s="14">
        <v>2970</v>
      </c>
      <c r="K337" s="13">
        <v>1716</v>
      </c>
    </row>
    <row r="338" spans="1:13" outlineLevel="1" x14ac:dyDescent="0.2">
      <c r="A338" s="20">
        <f t="shared" si="58"/>
        <v>3615</v>
      </c>
      <c r="B338" s="19" t="str">
        <f t="shared" si="58"/>
        <v>TXST</v>
      </c>
      <c r="C338" s="18"/>
      <c r="D338" s="15">
        <v>5349</v>
      </c>
      <c r="E338" s="21">
        <v>0.6409999999999999</v>
      </c>
      <c r="F338" s="14">
        <v>22917.933333333334</v>
      </c>
      <c r="G338" s="13">
        <v>10250.389999999717</v>
      </c>
      <c r="H338" s="16">
        <v>3665</v>
      </c>
      <c r="I338" s="15">
        <v>7685</v>
      </c>
      <c r="J338" s="14">
        <v>5748</v>
      </c>
      <c r="K338" s="13">
        <v>3317</v>
      </c>
    </row>
    <row r="339" spans="1:13" outlineLevel="1" x14ac:dyDescent="0.2">
      <c r="A339" s="20">
        <f t="shared" si="58"/>
        <v>3625</v>
      </c>
      <c r="B339" s="19" t="str">
        <f t="shared" si="58"/>
        <v>SRSU</v>
      </c>
      <c r="C339" s="18"/>
      <c r="D339" s="15">
        <v>196</v>
      </c>
      <c r="E339" s="21">
        <v>0.29199999999999998</v>
      </c>
      <c r="F339" s="14">
        <v>1200.1333333333334</v>
      </c>
      <c r="G339" s="13">
        <v>405.49999999999949</v>
      </c>
      <c r="H339" s="16">
        <v>166</v>
      </c>
      <c r="I339" s="15">
        <v>298</v>
      </c>
      <c r="J339" s="14">
        <v>217</v>
      </c>
      <c r="K339" s="13">
        <v>136</v>
      </c>
      <c r="L339" s="128"/>
    </row>
    <row r="340" spans="1:13" outlineLevel="1" x14ac:dyDescent="0.2">
      <c r="A340" s="20">
        <f t="shared" si="58"/>
        <v>20</v>
      </c>
      <c r="B340" s="19" t="str">
        <f t="shared" si="58"/>
        <v>SRRG</v>
      </c>
      <c r="C340" s="18"/>
      <c r="D340" s="15">
        <v>163</v>
      </c>
      <c r="E340" s="17">
        <v>0.33750000000000002</v>
      </c>
      <c r="F340" s="14">
        <v>472.13333333333333</v>
      </c>
      <c r="G340" s="13">
        <v>281.52999999999975</v>
      </c>
      <c r="H340" s="16">
        <v>145</v>
      </c>
      <c r="I340" s="15">
        <v>224</v>
      </c>
      <c r="J340" s="14">
        <v>97</v>
      </c>
      <c r="K340" s="13">
        <v>2</v>
      </c>
    </row>
    <row r="341" spans="1:13" ht="13.5" outlineLevel="1" thickBot="1" x14ac:dyDescent="0.25">
      <c r="A341" s="12"/>
      <c r="B341" s="11" t="s">
        <v>11</v>
      </c>
      <c r="C341" s="10"/>
      <c r="D341" s="9">
        <f>SUM(D303:D340)</f>
        <v>84231</v>
      </c>
      <c r="E341" s="8">
        <v>0.58399999999999996</v>
      </c>
      <c r="F341" s="7">
        <f t="shared" ref="F341:K341" si="59">SUM(F303:F340)</f>
        <v>351171.46666666673</v>
      </c>
      <c r="G341" s="3">
        <f t="shared" si="59"/>
        <v>170914.74000000223</v>
      </c>
      <c r="H341" s="6">
        <f t="shared" si="59"/>
        <v>54385</v>
      </c>
      <c r="I341" s="5">
        <f t="shared" si="59"/>
        <v>116139</v>
      </c>
      <c r="J341" s="4">
        <f t="shared" si="59"/>
        <v>84006</v>
      </c>
      <c r="K341" s="3">
        <f t="shared" si="59"/>
        <v>51310</v>
      </c>
    </row>
    <row r="342" spans="1:13" ht="13.5" thickBot="1" x14ac:dyDescent="0.25">
      <c r="A342" s="42" t="s">
        <v>23</v>
      </c>
      <c r="B342" s="42"/>
      <c r="C342" s="42"/>
      <c r="D342" s="42"/>
      <c r="F342" s="42"/>
      <c r="H342" s="42"/>
    </row>
    <row r="343" spans="1:13" ht="12.75" customHeight="1" outlineLevel="1" x14ac:dyDescent="0.2">
      <c r="A343" s="184" t="s">
        <v>22</v>
      </c>
      <c r="B343" s="186" t="s">
        <v>21</v>
      </c>
      <c r="C343" s="188"/>
      <c r="D343" s="196" t="s">
        <v>20</v>
      </c>
      <c r="E343" s="194" t="s">
        <v>19</v>
      </c>
      <c r="F343" s="186" t="s">
        <v>18</v>
      </c>
      <c r="G343" s="192" t="s">
        <v>17</v>
      </c>
      <c r="H343" s="176" t="s">
        <v>16</v>
      </c>
      <c r="I343" s="178" t="s">
        <v>15</v>
      </c>
      <c r="J343" s="179"/>
      <c r="K343" s="180"/>
    </row>
    <row r="344" spans="1:13" s="41" customFormat="1" ht="39.75" customHeight="1" outlineLevel="1" thickBot="1" x14ac:dyDescent="0.25">
      <c r="A344" s="185"/>
      <c r="B344" s="187"/>
      <c r="C344" s="189"/>
      <c r="D344" s="197"/>
      <c r="E344" s="195"/>
      <c r="F344" s="187"/>
      <c r="G344" s="193"/>
      <c r="H344" s="190"/>
      <c r="I344" s="103" t="s">
        <v>14</v>
      </c>
      <c r="J344" s="104" t="s">
        <v>13</v>
      </c>
      <c r="K344" s="110" t="s">
        <v>12</v>
      </c>
      <c r="L344" s="126"/>
    </row>
    <row r="345" spans="1:13" outlineLevel="1" x14ac:dyDescent="0.2">
      <c r="A345" s="40">
        <f t="shared" ref="A345:B360" si="60">A303</f>
        <v>3656</v>
      </c>
      <c r="B345" s="39" t="str">
        <f t="shared" si="60"/>
        <v>UTA</v>
      </c>
      <c r="C345" s="38"/>
      <c r="D345" s="33">
        <v>4178</v>
      </c>
      <c r="E345" s="37">
        <v>0.50700000000000001</v>
      </c>
      <c r="F345" s="32">
        <v>15698.133333333333</v>
      </c>
      <c r="G345" s="31">
        <v>8640.2399999998797</v>
      </c>
      <c r="H345" s="34">
        <v>2662</v>
      </c>
      <c r="I345" s="33">
        <v>6630</v>
      </c>
      <c r="J345" s="32">
        <v>3636</v>
      </c>
      <c r="K345" s="31">
        <v>1724</v>
      </c>
    </row>
    <row r="346" spans="1:13" outlineLevel="1" x14ac:dyDescent="0.2">
      <c r="A346" s="20">
        <f t="shared" si="60"/>
        <v>3658</v>
      </c>
      <c r="B346" s="19" t="str">
        <f t="shared" si="60"/>
        <v>UT</v>
      </c>
      <c r="C346" s="18"/>
      <c r="D346" s="15">
        <v>8952</v>
      </c>
      <c r="E346" s="21">
        <v>0.82899999999999996</v>
      </c>
      <c r="F346" s="14">
        <v>33736.73333333333</v>
      </c>
      <c r="G346" s="13">
        <v>19230.319999999745</v>
      </c>
      <c r="H346" s="16">
        <v>3435</v>
      </c>
      <c r="I346" s="15">
        <v>9596</v>
      </c>
      <c r="J346" s="14">
        <v>9749</v>
      </c>
      <c r="K346" s="13">
        <v>7288</v>
      </c>
      <c r="M346" s="2"/>
    </row>
    <row r="347" spans="1:13" outlineLevel="1" x14ac:dyDescent="0.2">
      <c r="A347" s="20">
        <f t="shared" si="60"/>
        <v>9741</v>
      </c>
      <c r="B347" s="19" t="str">
        <f t="shared" si="60"/>
        <v>UTD</v>
      </c>
      <c r="C347" s="18"/>
      <c r="D347" s="15">
        <v>2355</v>
      </c>
      <c r="E347" s="21">
        <v>0.70699999999999996</v>
      </c>
      <c r="F347" s="14">
        <v>8108.8666666666668</v>
      </c>
      <c r="G347" s="13">
        <v>4955.5700000000443</v>
      </c>
      <c r="H347" s="16">
        <v>1255</v>
      </c>
      <c r="I347" s="15">
        <v>3078</v>
      </c>
      <c r="J347" s="14">
        <v>1950</v>
      </c>
      <c r="K347" s="13">
        <v>923</v>
      </c>
      <c r="M347" s="2"/>
    </row>
    <row r="348" spans="1:13" outlineLevel="1" x14ac:dyDescent="0.2">
      <c r="A348" s="20">
        <f t="shared" si="60"/>
        <v>3661</v>
      </c>
      <c r="B348" s="19" t="str">
        <f t="shared" si="60"/>
        <v>UTEP</v>
      </c>
      <c r="C348" s="18"/>
      <c r="D348" s="15">
        <v>3031</v>
      </c>
      <c r="E348" s="21">
        <v>0.374</v>
      </c>
      <c r="F348" s="14">
        <v>12791.933333333332</v>
      </c>
      <c r="G348" s="13">
        <v>6295.4500000000389</v>
      </c>
      <c r="H348" s="16">
        <v>2394</v>
      </c>
      <c r="I348" s="15">
        <v>4200</v>
      </c>
      <c r="J348" s="14">
        <v>3366</v>
      </c>
      <c r="K348" s="13">
        <v>1972</v>
      </c>
      <c r="M348" s="2"/>
    </row>
    <row r="349" spans="1:13" outlineLevel="1" x14ac:dyDescent="0.2">
      <c r="A349" s="20">
        <f t="shared" si="60"/>
        <v>3599</v>
      </c>
      <c r="B349" s="19" t="str">
        <f t="shared" si="60"/>
        <v>UTPA</v>
      </c>
      <c r="C349" s="18"/>
      <c r="D349" s="15">
        <v>2620</v>
      </c>
      <c r="E349" s="21">
        <v>0.38900000000000001</v>
      </c>
      <c r="F349" s="14">
        <v>12572.333333333334</v>
      </c>
      <c r="G349" s="13">
        <v>5170.8900000000631</v>
      </c>
      <c r="H349" s="16">
        <v>2341</v>
      </c>
      <c r="I349" s="15">
        <v>4354</v>
      </c>
      <c r="J349" s="14">
        <v>3136</v>
      </c>
      <c r="K349" s="13">
        <v>1924</v>
      </c>
      <c r="M349" s="2"/>
    </row>
    <row r="350" spans="1:13" outlineLevel="1" x14ac:dyDescent="0.2">
      <c r="A350" s="20">
        <f t="shared" si="60"/>
        <v>30646</v>
      </c>
      <c r="B350" s="19" t="str">
        <f t="shared" si="60"/>
        <v>UTB</v>
      </c>
      <c r="C350" s="18"/>
      <c r="D350" s="15">
        <v>1052</v>
      </c>
      <c r="E350" s="17">
        <v>0.64666666666666661</v>
      </c>
      <c r="F350" s="14">
        <v>2989.6</v>
      </c>
      <c r="G350" s="13">
        <v>2005.0100000000309</v>
      </c>
      <c r="H350" s="16">
        <v>916</v>
      </c>
      <c r="I350" s="15">
        <v>1377</v>
      </c>
      <c r="J350" s="14">
        <v>583</v>
      </c>
      <c r="K350" s="13">
        <v>72</v>
      </c>
      <c r="M350" s="2"/>
    </row>
    <row r="351" spans="1:13" outlineLevel="1" x14ac:dyDescent="0.2">
      <c r="A351" s="20">
        <f t="shared" si="60"/>
        <v>9930</v>
      </c>
      <c r="B351" s="19" t="str">
        <f t="shared" si="60"/>
        <v>UTPB</v>
      </c>
      <c r="C351" s="18"/>
      <c r="D351" s="15">
        <v>513</v>
      </c>
      <c r="E351" s="21">
        <v>0.44600000000000001</v>
      </c>
      <c r="F351" s="14">
        <v>2159.6</v>
      </c>
      <c r="G351" s="13">
        <v>944.74000000001092</v>
      </c>
      <c r="H351" s="16">
        <v>379</v>
      </c>
      <c r="I351" s="15">
        <v>707</v>
      </c>
      <c r="J351" s="14">
        <v>450</v>
      </c>
      <c r="K351" s="13">
        <v>182</v>
      </c>
      <c r="M351" s="2"/>
    </row>
    <row r="352" spans="1:13" outlineLevel="1" x14ac:dyDescent="0.2">
      <c r="A352" s="20">
        <f t="shared" si="60"/>
        <v>10115</v>
      </c>
      <c r="B352" s="19" t="str">
        <f t="shared" si="60"/>
        <v>UTSA</v>
      </c>
      <c r="C352" s="18"/>
      <c r="D352" s="15">
        <v>3968</v>
      </c>
      <c r="E352" s="21">
        <v>0.44</v>
      </c>
      <c r="F352" s="14">
        <v>19707.533333333333</v>
      </c>
      <c r="G352" s="13">
        <v>8107.0899999997582</v>
      </c>
      <c r="H352" s="16">
        <v>2956</v>
      </c>
      <c r="I352" s="15">
        <v>6812</v>
      </c>
      <c r="J352" s="14">
        <v>4615</v>
      </c>
      <c r="K352" s="13">
        <v>2588</v>
      </c>
      <c r="M352" s="2"/>
    </row>
    <row r="353" spans="1:13" outlineLevel="1" x14ac:dyDescent="0.2">
      <c r="A353" s="20">
        <f t="shared" si="60"/>
        <v>11163</v>
      </c>
      <c r="B353" s="19" t="str">
        <f t="shared" si="60"/>
        <v>UTT</v>
      </c>
      <c r="C353" s="18"/>
      <c r="D353" s="15">
        <v>1238</v>
      </c>
      <c r="E353" s="21">
        <v>0.496</v>
      </c>
      <c r="F353" s="14">
        <v>4085.2666666666669</v>
      </c>
      <c r="G353" s="13">
        <v>2459.1300000000315</v>
      </c>
      <c r="H353" s="16">
        <v>1002</v>
      </c>
      <c r="I353" s="15">
        <v>1404</v>
      </c>
      <c r="J353" s="14">
        <v>921</v>
      </c>
      <c r="K353" s="13">
        <v>378</v>
      </c>
      <c r="M353" s="2"/>
    </row>
    <row r="354" spans="1:13" outlineLevel="1" x14ac:dyDescent="0.2">
      <c r="A354" s="20">
        <f t="shared" si="60"/>
        <v>3632</v>
      </c>
      <c r="B354" s="19" t="str">
        <f t="shared" si="60"/>
        <v>TAMU</v>
      </c>
      <c r="C354" s="18"/>
      <c r="D354" s="15">
        <v>8451</v>
      </c>
      <c r="E354" s="21">
        <v>0.83599999999999997</v>
      </c>
      <c r="F354" s="14">
        <v>34329.199999999997</v>
      </c>
      <c r="G354" s="13">
        <v>19146.209999999159</v>
      </c>
      <c r="H354" s="16">
        <v>3530</v>
      </c>
      <c r="I354" s="15">
        <v>10012</v>
      </c>
      <c r="J354" s="14">
        <v>8836</v>
      </c>
      <c r="K354" s="13">
        <v>6932</v>
      </c>
      <c r="M354" s="2"/>
    </row>
    <row r="355" spans="1:13" outlineLevel="1" x14ac:dyDescent="0.2">
      <c r="A355" s="20">
        <f t="shared" si="60"/>
        <v>10298</v>
      </c>
      <c r="B355" s="19" t="str">
        <f t="shared" si="60"/>
        <v>TAMUG</v>
      </c>
      <c r="C355" s="18"/>
      <c r="D355" s="15">
        <v>262</v>
      </c>
      <c r="E355" s="21">
        <v>0.59199999999999997</v>
      </c>
      <c r="F355" s="14">
        <v>1599.2</v>
      </c>
      <c r="G355" s="13">
        <v>636.84000000000231</v>
      </c>
      <c r="H355" s="16">
        <v>137</v>
      </c>
      <c r="I355" s="15">
        <v>570</v>
      </c>
      <c r="J355" s="14">
        <v>322</v>
      </c>
      <c r="K355" s="13">
        <v>241</v>
      </c>
      <c r="M355" s="2"/>
    </row>
    <row r="356" spans="1:13" outlineLevel="1" x14ac:dyDescent="0.2">
      <c r="A356" s="20">
        <f t="shared" si="60"/>
        <v>3630</v>
      </c>
      <c r="B356" s="19" t="str">
        <f t="shared" si="60"/>
        <v>Prairie View</v>
      </c>
      <c r="C356" s="18"/>
      <c r="D356" s="15">
        <v>879</v>
      </c>
      <c r="E356" s="21">
        <v>0.34200000000000003</v>
      </c>
      <c r="F356" s="14">
        <v>5840.8</v>
      </c>
      <c r="G356" s="13">
        <v>1995.4900000000189</v>
      </c>
      <c r="H356" s="16">
        <v>756</v>
      </c>
      <c r="I356" s="15">
        <v>1643</v>
      </c>
      <c r="J356" s="14">
        <v>1174</v>
      </c>
      <c r="K356" s="13">
        <v>940</v>
      </c>
      <c r="M356" s="2"/>
    </row>
    <row r="357" spans="1:13" outlineLevel="1" x14ac:dyDescent="0.2">
      <c r="A357" s="20">
        <f t="shared" si="60"/>
        <v>3631</v>
      </c>
      <c r="B357" s="19" t="str">
        <f t="shared" si="60"/>
        <v>Tarleton</v>
      </c>
      <c r="C357" s="18"/>
      <c r="D357" s="15">
        <v>1422</v>
      </c>
      <c r="E357" s="21">
        <v>0.47499999999999998</v>
      </c>
      <c r="F357" s="14">
        <v>5845.5333333333338</v>
      </c>
      <c r="G357" s="13">
        <v>2966.430000000048</v>
      </c>
      <c r="H357" s="16">
        <v>1093</v>
      </c>
      <c r="I357" s="15">
        <v>2140</v>
      </c>
      <c r="J357" s="14">
        <v>1306</v>
      </c>
      <c r="K357" s="13">
        <v>903</v>
      </c>
      <c r="M357" s="2"/>
    </row>
    <row r="358" spans="1:13" outlineLevel="1" x14ac:dyDescent="0.2">
      <c r="A358" s="27">
        <f t="shared" si="60"/>
        <v>103631</v>
      </c>
      <c r="B358" s="19" t="str">
        <f t="shared" si="60"/>
        <v>TAMUCT</v>
      </c>
      <c r="C358" s="18"/>
      <c r="D358" s="15">
        <v>450</v>
      </c>
      <c r="E358" s="21">
        <v>0.47499999999999998</v>
      </c>
      <c r="F358" s="14">
        <v>658.4666666666667</v>
      </c>
      <c r="G358" s="13">
        <v>831.96000000000549</v>
      </c>
      <c r="H358" s="16">
        <v>322</v>
      </c>
      <c r="I358" s="15">
        <v>380</v>
      </c>
      <c r="J358" s="14">
        <v>137</v>
      </c>
      <c r="K358" s="13">
        <v>31</v>
      </c>
      <c r="M358" s="2"/>
    </row>
    <row r="359" spans="1:13" outlineLevel="1" x14ac:dyDescent="0.2">
      <c r="A359" s="20">
        <f t="shared" si="60"/>
        <v>11161</v>
      </c>
      <c r="B359" s="19" t="str">
        <f t="shared" si="60"/>
        <v>TAMUCC</v>
      </c>
      <c r="C359" s="18"/>
      <c r="D359" s="15">
        <v>1335</v>
      </c>
      <c r="E359" s="21">
        <v>0.503</v>
      </c>
      <c r="F359" s="14">
        <v>6131.9333333333334</v>
      </c>
      <c r="G359" s="13">
        <v>2744.5700000000347</v>
      </c>
      <c r="H359" s="16">
        <v>1024</v>
      </c>
      <c r="I359" s="15">
        <v>2079</v>
      </c>
      <c r="J359" s="14">
        <v>1357</v>
      </c>
      <c r="K359" s="13">
        <v>812</v>
      </c>
      <c r="M359" s="2"/>
    </row>
    <row r="360" spans="1:13" outlineLevel="1" x14ac:dyDescent="0.2">
      <c r="A360" s="20">
        <f t="shared" si="60"/>
        <v>3639</v>
      </c>
      <c r="B360" s="19" t="str">
        <f t="shared" si="60"/>
        <v>TAMUK</v>
      </c>
      <c r="C360" s="18"/>
      <c r="D360" s="15">
        <v>692</v>
      </c>
      <c r="E360" s="21">
        <v>0.41699999999999998</v>
      </c>
      <c r="F360" s="14">
        <v>3808.2666666666669</v>
      </c>
      <c r="G360" s="13">
        <v>1601.8800000000022</v>
      </c>
      <c r="H360" s="16">
        <v>590</v>
      </c>
      <c r="I360" s="15">
        <v>1159</v>
      </c>
      <c r="J360" s="14">
        <v>790</v>
      </c>
      <c r="K360" s="13">
        <v>550</v>
      </c>
      <c r="M360" s="2"/>
    </row>
    <row r="361" spans="1:13" outlineLevel="1" x14ac:dyDescent="0.2">
      <c r="A361" s="27">
        <f t="shared" ref="A361:B376" si="61">A319</f>
        <v>103639</v>
      </c>
      <c r="B361" s="19" t="str">
        <f t="shared" si="61"/>
        <v>TAMUSA</v>
      </c>
      <c r="C361" s="18"/>
      <c r="D361" s="15">
        <v>496</v>
      </c>
      <c r="E361" s="21">
        <v>0.41699999999999998</v>
      </c>
      <c r="F361" s="14">
        <v>1072.6666666666667</v>
      </c>
      <c r="G361" s="13">
        <v>844.50000000000807</v>
      </c>
      <c r="H361" s="16">
        <v>402</v>
      </c>
      <c r="I361" s="15">
        <v>307</v>
      </c>
      <c r="J361" s="14">
        <v>5</v>
      </c>
      <c r="K361" s="13">
        <v>5</v>
      </c>
      <c r="M361" s="2"/>
    </row>
    <row r="362" spans="1:13" outlineLevel="1" x14ac:dyDescent="0.2">
      <c r="A362" s="20">
        <f t="shared" si="61"/>
        <v>9651</v>
      </c>
      <c r="B362" s="19" t="str">
        <f t="shared" si="61"/>
        <v>TAMI</v>
      </c>
      <c r="C362" s="18"/>
      <c r="D362" s="15">
        <v>798</v>
      </c>
      <c r="E362" s="21">
        <v>0.46</v>
      </c>
      <c r="F362" s="14">
        <v>3819.0666666666666</v>
      </c>
      <c r="G362" s="13">
        <v>1476.3000000000168</v>
      </c>
      <c r="H362" s="16">
        <v>713</v>
      </c>
      <c r="I362" s="15">
        <v>1413</v>
      </c>
      <c r="J362" s="14">
        <v>981</v>
      </c>
      <c r="K362" s="13">
        <v>447</v>
      </c>
      <c r="M362" s="2"/>
    </row>
    <row r="363" spans="1:13" outlineLevel="1" x14ac:dyDescent="0.2">
      <c r="A363" s="20">
        <f t="shared" si="61"/>
        <v>3665</v>
      </c>
      <c r="B363" s="19" t="str">
        <f t="shared" si="61"/>
        <v>WTAMU</v>
      </c>
      <c r="C363" s="18"/>
      <c r="D363" s="15">
        <v>1220</v>
      </c>
      <c r="E363" s="21">
        <v>0.45600000000000002</v>
      </c>
      <c r="F363" s="14">
        <v>5264.8</v>
      </c>
      <c r="G363" s="13">
        <v>2415.9700000000216</v>
      </c>
      <c r="H363" s="16">
        <v>853</v>
      </c>
      <c r="I363" s="15">
        <v>1873</v>
      </c>
      <c r="J363" s="14">
        <v>1161</v>
      </c>
      <c r="K363" s="13">
        <v>631</v>
      </c>
      <c r="M363" s="2"/>
    </row>
    <row r="364" spans="1:13" outlineLevel="1" x14ac:dyDescent="0.2">
      <c r="A364" s="20">
        <f t="shared" si="61"/>
        <v>3565</v>
      </c>
      <c r="B364" s="19" t="str">
        <f t="shared" si="61"/>
        <v>TAMUC</v>
      </c>
      <c r="C364" s="18"/>
      <c r="D364" s="15">
        <v>1153</v>
      </c>
      <c r="E364" s="21">
        <v>0.44800000000000001</v>
      </c>
      <c r="F364" s="14">
        <v>4172.1333333333332</v>
      </c>
      <c r="G364" s="13">
        <v>2179.8400000000324</v>
      </c>
      <c r="H364" s="16">
        <v>884</v>
      </c>
      <c r="I364" s="15">
        <v>1712</v>
      </c>
      <c r="J364" s="14">
        <v>1038</v>
      </c>
      <c r="K364" s="13">
        <v>423</v>
      </c>
      <c r="M364" s="2"/>
    </row>
    <row r="365" spans="1:13" outlineLevel="1" x14ac:dyDescent="0.2">
      <c r="A365" s="20">
        <f t="shared" si="61"/>
        <v>29269</v>
      </c>
      <c r="B365" s="19" t="str">
        <f t="shared" si="61"/>
        <v>TAMUT</v>
      </c>
      <c r="C365" s="18"/>
      <c r="D365" s="15">
        <v>326</v>
      </c>
      <c r="E365" s="17">
        <v>0.57336956521739135</v>
      </c>
      <c r="F365" s="14">
        <v>694.6</v>
      </c>
      <c r="G365" s="13">
        <v>569.46</v>
      </c>
      <c r="H365" s="16">
        <v>210</v>
      </c>
      <c r="I365" s="15">
        <v>403</v>
      </c>
      <c r="J365" s="14">
        <v>138</v>
      </c>
      <c r="K365" s="13">
        <v>0</v>
      </c>
      <c r="M365" s="2"/>
    </row>
    <row r="366" spans="1:13" outlineLevel="1" x14ac:dyDescent="0.2">
      <c r="A366" s="20">
        <f t="shared" si="61"/>
        <v>3652</v>
      </c>
      <c r="B366" s="19" t="str">
        <f t="shared" si="61"/>
        <v>UH</v>
      </c>
      <c r="C366" s="18"/>
      <c r="D366" s="15">
        <v>4778</v>
      </c>
      <c r="E366" s="21">
        <v>0.53100000000000003</v>
      </c>
      <c r="F366" s="14">
        <v>22778.733333333334</v>
      </c>
      <c r="G366" s="13">
        <v>9792.4499999989821</v>
      </c>
      <c r="H366" s="16">
        <v>3091</v>
      </c>
      <c r="I366" s="15">
        <v>7517</v>
      </c>
      <c r="J366" s="14">
        <v>5600</v>
      </c>
      <c r="K366" s="13">
        <v>3376</v>
      </c>
      <c r="M366" s="2"/>
    </row>
    <row r="367" spans="1:13" outlineLevel="1" x14ac:dyDescent="0.2">
      <c r="A367" s="20">
        <f t="shared" si="61"/>
        <v>11711</v>
      </c>
      <c r="B367" s="19" t="str">
        <f t="shared" si="61"/>
        <v>UHCL</v>
      </c>
      <c r="C367" s="18"/>
      <c r="D367" s="15">
        <v>1124</v>
      </c>
      <c r="E367" s="17">
        <v>0.50557620817843862</v>
      </c>
      <c r="F367" s="14">
        <v>2872.8666666666668</v>
      </c>
      <c r="G367" s="13">
        <v>2131.2100000000323</v>
      </c>
      <c r="H367" s="16">
        <v>707</v>
      </c>
      <c r="I367" s="15">
        <v>1349</v>
      </c>
      <c r="J367" s="14">
        <v>888</v>
      </c>
      <c r="K367" s="13">
        <v>81</v>
      </c>
      <c r="M367" s="2"/>
    </row>
    <row r="368" spans="1:13" outlineLevel="1" x14ac:dyDescent="0.2">
      <c r="A368" s="20">
        <f t="shared" si="61"/>
        <v>12826</v>
      </c>
      <c r="B368" s="19" t="str">
        <f t="shared" si="61"/>
        <v>UHD</v>
      </c>
      <c r="C368" s="18"/>
      <c r="D368" s="15">
        <v>2359</v>
      </c>
      <c r="E368" s="21">
        <v>0.18099999999999999</v>
      </c>
      <c r="F368" s="14">
        <v>7963.6</v>
      </c>
      <c r="G368" s="13">
        <v>4153.3100000000841</v>
      </c>
      <c r="H368" s="16">
        <v>1619</v>
      </c>
      <c r="I368" s="15">
        <v>3082</v>
      </c>
      <c r="J368" s="14">
        <v>1889</v>
      </c>
      <c r="K368" s="13">
        <v>606</v>
      </c>
      <c r="M368" s="2"/>
    </row>
    <row r="369" spans="1:13" outlineLevel="1" x14ac:dyDescent="0.2">
      <c r="A369" s="20">
        <f t="shared" si="61"/>
        <v>13231</v>
      </c>
      <c r="B369" s="19" t="str">
        <f t="shared" si="61"/>
        <v>UHV</v>
      </c>
      <c r="C369" s="18"/>
      <c r="D369" s="15">
        <v>515</v>
      </c>
      <c r="E369" s="17">
        <v>0.55256723716381417</v>
      </c>
      <c r="F369" s="14">
        <v>1135.8</v>
      </c>
      <c r="G369" s="13">
        <v>962.15000000001089</v>
      </c>
      <c r="H369" s="16">
        <v>337</v>
      </c>
      <c r="I369" s="15">
        <v>654</v>
      </c>
      <c r="J369" s="14">
        <v>269</v>
      </c>
      <c r="K369" s="13">
        <v>8</v>
      </c>
      <c r="M369" s="2"/>
    </row>
    <row r="370" spans="1:13" outlineLevel="1" x14ac:dyDescent="0.2">
      <c r="A370" s="20">
        <f t="shared" si="61"/>
        <v>3592</v>
      </c>
      <c r="B370" s="19" t="str">
        <f t="shared" si="61"/>
        <v>Midwestern</v>
      </c>
      <c r="C370" s="18"/>
      <c r="D370" s="15">
        <v>1002</v>
      </c>
      <c r="E370" s="21">
        <v>0.41199999999999998</v>
      </c>
      <c r="F370" s="14">
        <v>4294.8666666666668</v>
      </c>
      <c r="G370" s="13">
        <v>1899.0200000000148</v>
      </c>
      <c r="H370" s="16">
        <v>673</v>
      </c>
      <c r="I370" s="15">
        <v>1497</v>
      </c>
      <c r="J370" s="14">
        <v>1080</v>
      </c>
      <c r="K370" s="13">
        <v>622</v>
      </c>
      <c r="M370" s="2"/>
    </row>
    <row r="371" spans="1:13" outlineLevel="1" x14ac:dyDescent="0.2">
      <c r="A371" s="20">
        <f t="shared" si="61"/>
        <v>3594</v>
      </c>
      <c r="B371" s="19" t="str">
        <f t="shared" si="61"/>
        <v>UNT</v>
      </c>
      <c r="C371" s="18"/>
      <c r="D371" s="15">
        <v>6024</v>
      </c>
      <c r="E371" s="21">
        <v>0.57399999999999995</v>
      </c>
      <c r="F371" s="14">
        <f>22506.0666666667+838</f>
        <v>23344.066666666698</v>
      </c>
      <c r="G371" s="13">
        <v>11164.699999998398</v>
      </c>
      <c r="H371" s="16">
        <v>3747</v>
      </c>
      <c r="I371" s="30">
        <v>8327</v>
      </c>
      <c r="J371" s="29">
        <v>5604</v>
      </c>
      <c r="K371" s="28">
        <v>3585</v>
      </c>
      <c r="M371" s="2"/>
    </row>
    <row r="372" spans="1:13" outlineLevel="1" x14ac:dyDescent="0.2">
      <c r="A372" s="27">
        <f t="shared" si="61"/>
        <v>113594</v>
      </c>
      <c r="B372" s="19" t="str">
        <f t="shared" si="61"/>
        <v>UNTD</v>
      </c>
      <c r="C372" s="18"/>
      <c r="D372" s="24"/>
      <c r="E372" s="26"/>
      <c r="F372" s="23"/>
      <c r="G372" s="22"/>
      <c r="H372" s="25"/>
      <c r="I372" s="24"/>
      <c r="J372" s="23"/>
      <c r="K372" s="22"/>
      <c r="M372" s="2"/>
    </row>
    <row r="373" spans="1:13" outlineLevel="1" x14ac:dyDescent="0.2">
      <c r="A373" s="20">
        <f t="shared" si="61"/>
        <v>3624</v>
      </c>
      <c r="B373" s="19" t="str">
        <f t="shared" si="61"/>
        <v>SFA</v>
      </c>
      <c r="C373" s="18"/>
      <c r="D373" s="15">
        <v>1874</v>
      </c>
      <c r="E373" s="21">
        <v>0.56999999999999995</v>
      </c>
      <c r="F373" s="14">
        <v>9510.2666666666664</v>
      </c>
      <c r="G373" s="13">
        <v>3625.4100000000203</v>
      </c>
      <c r="H373" s="16">
        <v>1422</v>
      </c>
      <c r="I373" s="15">
        <v>2663</v>
      </c>
      <c r="J373" s="14">
        <v>1934</v>
      </c>
      <c r="K373" s="13">
        <v>1317</v>
      </c>
      <c r="M373" s="2"/>
    </row>
    <row r="374" spans="1:13" outlineLevel="1" x14ac:dyDescent="0.2">
      <c r="A374" s="20">
        <f t="shared" si="61"/>
        <v>3642</v>
      </c>
      <c r="B374" s="19" t="str">
        <f t="shared" si="61"/>
        <v>TSU</v>
      </c>
      <c r="C374" s="18"/>
      <c r="D374" s="15">
        <v>817</v>
      </c>
      <c r="E374" s="21">
        <v>0.14899999999999999</v>
      </c>
      <c r="F374" s="14">
        <v>5909.8</v>
      </c>
      <c r="G374" s="13">
        <v>1601.5200000000066</v>
      </c>
      <c r="H374" s="16">
        <v>723</v>
      </c>
      <c r="I374" s="15">
        <v>1871</v>
      </c>
      <c r="J374" s="14">
        <v>1137</v>
      </c>
      <c r="K374" s="13">
        <v>916</v>
      </c>
      <c r="M374" s="2"/>
    </row>
    <row r="375" spans="1:13" outlineLevel="1" x14ac:dyDescent="0.2">
      <c r="A375" s="20">
        <f t="shared" si="61"/>
        <v>3644</v>
      </c>
      <c r="B375" s="19" t="str">
        <f t="shared" si="61"/>
        <v>TTU</v>
      </c>
      <c r="C375" s="18"/>
      <c r="D375" s="15">
        <v>4476</v>
      </c>
      <c r="E375" s="21">
        <v>0.72799999999999998</v>
      </c>
      <c r="F375" s="14">
        <v>21422.2</v>
      </c>
      <c r="G375" s="13">
        <v>9827.5299999990111</v>
      </c>
      <c r="H375" s="16">
        <v>2539</v>
      </c>
      <c r="I375" s="15">
        <v>6430</v>
      </c>
      <c r="J375" s="14">
        <v>5148</v>
      </c>
      <c r="K375" s="13">
        <v>3832</v>
      </c>
      <c r="M375" s="2"/>
    </row>
    <row r="376" spans="1:13" outlineLevel="1" x14ac:dyDescent="0.2">
      <c r="A376" s="20">
        <f t="shared" si="61"/>
        <v>3541</v>
      </c>
      <c r="B376" s="19" t="str">
        <f t="shared" si="61"/>
        <v>Angelo</v>
      </c>
      <c r="C376" s="18"/>
      <c r="D376" s="15">
        <v>941</v>
      </c>
      <c r="E376" s="21">
        <v>0.44</v>
      </c>
      <c r="F376" s="14">
        <v>4829.1333333333332</v>
      </c>
      <c r="G376" s="13">
        <v>1933.5900000000179</v>
      </c>
      <c r="H376" s="16">
        <v>676</v>
      </c>
      <c r="I376" s="15">
        <v>1474</v>
      </c>
      <c r="J376" s="14">
        <v>1008</v>
      </c>
      <c r="K376" s="13">
        <v>708</v>
      </c>
      <c r="M376" s="2"/>
    </row>
    <row r="377" spans="1:13" outlineLevel="1" x14ac:dyDescent="0.2">
      <c r="A377" s="20">
        <f t="shared" ref="A377:B382" si="62">A335</f>
        <v>3646</v>
      </c>
      <c r="B377" s="19" t="str">
        <f t="shared" si="62"/>
        <v>TWU</v>
      </c>
      <c r="C377" s="18"/>
      <c r="D377" s="15">
        <v>1774</v>
      </c>
      <c r="E377" s="21">
        <v>0.54500000000000004</v>
      </c>
      <c r="F377" s="14">
        <v>6071.4666666666662</v>
      </c>
      <c r="G377" s="13">
        <v>3425.2000000000221</v>
      </c>
      <c r="H377" s="16">
        <v>1214</v>
      </c>
      <c r="I377" s="15">
        <v>2042</v>
      </c>
      <c r="J377" s="14">
        <v>1371</v>
      </c>
      <c r="K377" s="13">
        <v>668</v>
      </c>
      <c r="M377" s="2"/>
    </row>
    <row r="378" spans="1:13" outlineLevel="1" x14ac:dyDescent="0.2">
      <c r="A378" s="20">
        <f t="shared" si="62"/>
        <v>3581</v>
      </c>
      <c r="B378" s="19" t="str">
        <f t="shared" si="62"/>
        <v>Lamar</v>
      </c>
      <c r="C378" s="18"/>
      <c r="D378" s="15">
        <v>1286</v>
      </c>
      <c r="E378" s="21">
        <v>0.33800000000000002</v>
      </c>
      <c r="F378" s="14">
        <v>7172.9333333333334</v>
      </c>
      <c r="G378" s="13">
        <v>2638.0900000000311</v>
      </c>
      <c r="H378" s="16">
        <v>908</v>
      </c>
      <c r="I378" s="15">
        <v>2043</v>
      </c>
      <c r="J378" s="14">
        <v>1404</v>
      </c>
      <c r="K378" s="13">
        <v>1031</v>
      </c>
      <c r="M378" s="2"/>
    </row>
    <row r="379" spans="1:13" outlineLevel="1" x14ac:dyDescent="0.2">
      <c r="A379" s="20">
        <f t="shared" si="62"/>
        <v>3606</v>
      </c>
      <c r="B379" s="19" t="str">
        <f t="shared" si="62"/>
        <v>SHSU</v>
      </c>
      <c r="C379" s="18"/>
      <c r="D379" s="15">
        <v>3242</v>
      </c>
      <c r="E379" s="21">
        <v>0.57899999999999996</v>
      </c>
      <c r="F379" s="14">
        <v>12517.066666666668</v>
      </c>
      <c r="G379" s="13">
        <v>6188.6300000000374</v>
      </c>
      <c r="H379" s="16">
        <v>2318</v>
      </c>
      <c r="I379" s="15">
        <v>3849</v>
      </c>
      <c r="J379" s="14">
        <v>3011</v>
      </c>
      <c r="K379" s="13">
        <v>1870</v>
      </c>
      <c r="M379" s="2"/>
    </row>
    <row r="380" spans="1:13" outlineLevel="1" x14ac:dyDescent="0.2">
      <c r="A380" s="20">
        <f t="shared" si="62"/>
        <v>3615</v>
      </c>
      <c r="B380" s="19" t="str">
        <f t="shared" si="62"/>
        <v>TXST</v>
      </c>
      <c r="C380" s="18"/>
      <c r="D380" s="15">
        <v>5299</v>
      </c>
      <c r="E380" s="21">
        <v>0.64400000000000002</v>
      </c>
      <c r="F380" s="14">
        <v>21764.6</v>
      </c>
      <c r="G380" s="13">
        <v>10384.469999998846</v>
      </c>
      <c r="H380" s="16">
        <v>3545</v>
      </c>
      <c r="I380" s="15">
        <v>7301</v>
      </c>
      <c r="J380" s="14">
        <v>5428</v>
      </c>
      <c r="K380" s="13">
        <v>3302</v>
      </c>
      <c r="M380" s="2"/>
    </row>
    <row r="381" spans="1:13" outlineLevel="1" x14ac:dyDescent="0.2">
      <c r="A381" s="20">
        <f t="shared" si="62"/>
        <v>3625</v>
      </c>
      <c r="B381" s="19" t="str">
        <f t="shared" si="62"/>
        <v>SRSU</v>
      </c>
      <c r="C381" s="18"/>
      <c r="D381" s="15">
        <v>181</v>
      </c>
      <c r="E381" s="21">
        <v>0.28499999999999998</v>
      </c>
      <c r="F381" s="14">
        <v>1230.9333333333334</v>
      </c>
      <c r="G381" s="13">
        <v>368.43999999999954</v>
      </c>
      <c r="H381" s="16">
        <v>156</v>
      </c>
      <c r="I381" s="15">
        <v>318</v>
      </c>
      <c r="J381" s="14">
        <v>176</v>
      </c>
      <c r="K381" s="13">
        <v>115</v>
      </c>
      <c r="M381" s="2"/>
    </row>
    <row r="382" spans="1:13" outlineLevel="1" x14ac:dyDescent="0.2">
      <c r="A382" s="20">
        <f t="shared" si="62"/>
        <v>20</v>
      </c>
      <c r="B382" s="19" t="str">
        <f t="shared" si="62"/>
        <v>SRRG</v>
      </c>
      <c r="C382" s="18"/>
      <c r="D382" s="15">
        <v>168</v>
      </c>
      <c r="E382" s="17">
        <v>0.36144578313253012</v>
      </c>
      <c r="F382" s="14">
        <v>416.33333333333331</v>
      </c>
      <c r="G382" s="13">
        <v>287.9199999999995</v>
      </c>
      <c r="H382" s="16">
        <v>149</v>
      </c>
      <c r="I382" s="15">
        <v>251</v>
      </c>
      <c r="J382" s="14">
        <v>90</v>
      </c>
      <c r="K382" s="13">
        <v>5</v>
      </c>
      <c r="M382" s="2"/>
    </row>
    <row r="383" spans="1:13" ht="13.5" outlineLevel="1" thickBot="1" x14ac:dyDescent="0.25">
      <c r="A383" s="12"/>
      <c r="B383" s="11" t="s">
        <v>11</v>
      </c>
      <c r="C383" s="10"/>
      <c r="D383" s="9">
        <f>SUM(D345:D382)</f>
        <v>81251</v>
      </c>
      <c r="E383" s="8">
        <v>0.56799999999999995</v>
      </c>
      <c r="F383" s="7">
        <f t="shared" ref="F383:K383" si="63">SUM(F345:F382)</f>
        <v>338321.33333333337</v>
      </c>
      <c r="G383" s="3">
        <f t="shared" si="63"/>
        <v>165601.52999999447</v>
      </c>
      <c r="H383" s="6">
        <f t="shared" si="63"/>
        <v>51678</v>
      </c>
      <c r="I383" s="5">
        <f t="shared" si="63"/>
        <v>112517</v>
      </c>
      <c r="J383" s="4">
        <f t="shared" si="63"/>
        <v>81688</v>
      </c>
      <c r="K383" s="3">
        <f t="shared" si="63"/>
        <v>51008</v>
      </c>
      <c r="M383" s="2"/>
    </row>
    <row r="384" spans="1:13" x14ac:dyDescent="0.2">
      <c r="M384" s="2"/>
    </row>
    <row r="386" spans="1:1" x14ac:dyDescent="0.2">
      <c r="A386" s="1" t="s">
        <v>10</v>
      </c>
    </row>
    <row r="387" spans="1:1" x14ac:dyDescent="0.2">
      <c r="A387" s="1" t="s">
        <v>9</v>
      </c>
    </row>
    <row r="388" spans="1:1" x14ac:dyDescent="0.2">
      <c r="A388" s="1" t="s">
        <v>8</v>
      </c>
    </row>
    <row r="389" spans="1:1" x14ac:dyDescent="0.2">
      <c r="A389" s="1" t="s">
        <v>7</v>
      </c>
    </row>
    <row r="390" spans="1:1" x14ac:dyDescent="0.2">
      <c r="A390" s="1" t="s">
        <v>6</v>
      </c>
    </row>
    <row r="391" spans="1:1" x14ac:dyDescent="0.2">
      <c r="A391" s="1" t="s">
        <v>5</v>
      </c>
    </row>
    <row r="392" spans="1:1" x14ac:dyDescent="0.2">
      <c r="A392" s="1" t="s">
        <v>4</v>
      </c>
    </row>
    <row r="393" spans="1:1" x14ac:dyDescent="0.2">
      <c r="A393" s="1" t="s">
        <v>3</v>
      </c>
    </row>
    <row r="394" spans="1:1" x14ac:dyDescent="0.2">
      <c r="A394" s="1" t="s">
        <v>2</v>
      </c>
    </row>
    <row r="395" spans="1:1" x14ac:dyDescent="0.2">
      <c r="A395" s="1" t="s">
        <v>1</v>
      </c>
    </row>
    <row r="396" spans="1:1" x14ac:dyDescent="0.2">
      <c r="A396" s="1" t="s">
        <v>0</v>
      </c>
    </row>
  </sheetData>
  <mergeCells count="72">
    <mergeCell ref="I343:K343"/>
    <mergeCell ref="G301:G302"/>
    <mergeCell ref="H301:H302"/>
    <mergeCell ref="I301:K301"/>
    <mergeCell ref="F343:F344"/>
    <mergeCell ref="G343:G344"/>
    <mergeCell ref="H343:H344"/>
    <mergeCell ref="F301:F302"/>
    <mergeCell ref="A343:A344"/>
    <mergeCell ref="B343:B344"/>
    <mergeCell ref="C343:C344"/>
    <mergeCell ref="D343:D344"/>
    <mergeCell ref="E343:E344"/>
    <mergeCell ref="A301:A302"/>
    <mergeCell ref="B301:B302"/>
    <mergeCell ref="C301:C302"/>
    <mergeCell ref="D301:D302"/>
    <mergeCell ref="E301:E302"/>
    <mergeCell ref="L174:L175"/>
    <mergeCell ref="A176:C176"/>
    <mergeCell ref="A217:A218"/>
    <mergeCell ref="B217:B218"/>
    <mergeCell ref="C217:C218"/>
    <mergeCell ref="D217:D218"/>
    <mergeCell ref="E217:E218"/>
    <mergeCell ref="F217:F218"/>
    <mergeCell ref="G217:G218"/>
    <mergeCell ref="H217:H218"/>
    <mergeCell ref="I217:K217"/>
    <mergeCell ref="I259:K259"/>
    <mergeCell ref="H259:H260"/>
    <mergeCell ref="I129:K129"/>
    <mergeCell ref="A174:A175"/>
    <mergeCell ref="B174:B175"/>
    <mergeCell ref="C174:C175"/>
    <mergeCell ref="D174:G174"/>
    <mergeCell ref="H174:H175"/>
    <mergeCell ref="I174:K174"/>
    <mergeCell ref="F259:F260"/>
    <mergeCell ref="G259:G260"/>
    <mergeCell ref="E259:E260"/>
    <mergeCell ref="A259:A260"/>
    <mergeCell ref="B259:B260"/>
    <mergeCell ref="C259:C260"/>
    <mergeCell ref="D259:D260"/>
    <mergeCell ref="H88:H89"/>
    <mergeCell ref="I88:K88"/>
    <mergeCell ref="L88:L89"/>
    <mergeCell ref="A129:A130"/>
    <mergeCell ref="B129:B130"/>
    <mergeCell ref="C129:C130"/>
    <mergeCell ref="D129:G129"/>
    <mergeCell ref="H129:H130"/>
    <mergeCell ref="A88:A89"/>
    <mergeCell ref="B88:B89"/>
    <mergeCell ref="C88:C89"/>
    <mergeCell ref="D88:G88"/>
    <mergeCell ref="M3:O3"/>
    <mergeCell ref="A46:A47"/>
    <mergeCell ref="B46:B47"/>
    <mergeCell ref="C46:C47"/>
    <mergeCell ref="D46:G46"/>
    <mergeCell ref="H46:H47"/>
    <mergeCell ref="I46:K46"/>
    <mergeCell ref="L46:L47"/>
    <mergeCell ref="A1:K1"/>
    <mergeCell ref="A3:A4"/>
    <mergeCell ref="B3:B4"/>
    <mergeCell ref="C3:C4"/>
    <mergeCell ref="D3:G3"/>
    <mergeCell ref="H3:H4"/>
    <mergeCell ref="I3:K3"/>
  </mergeCells>
  <conditionalFormatting sqref="R5:R42">
    <cfRule type="top10" dxfId="25" priority="3" bottom="1" rank="5"/>
    <cfRule type="top10" dxfId="24" priority="4" rank="5"/>
  </conditionalFormatting>
  <conditionalFormatting sqref="S5:S42">
    <cfRule type="top10" dxfId="23" priority="1" bottom="1" rank="5"/>
    <cfRule type="top10" dxfId="22" priority="2" rank="5"/>
  </conditionalFormatting>
  <conditionalFormatting sqref="D128:K128">
    <cfRule type="colorScale" priority="26">
      <colorScale>
        <cfvo type="min"/>
        <cfvo type="max"/>
        <color theme="6" tint="0.79998168889431442"/>
        <color theme="6" tint="-0.499984740745262"/>
      </colorScale>
    </cfRule>
  </conditionalFormatting>
  <conditionalFormatting sqref="D90:K127">
    <cfRule type="cellIs" dxfId="21" priority="37" operator="equal">
      <formula>$D$171</formula>
    </cfRule>
    <cfRule type="cellIs" dxfId="20" priority="38" operator="equal">
      <formula>$E$171</formula>
    </cfRule>
    <cfRule type="cellIs" dxfId="19" priority="39" operator="equal">
      <formula>$F$171</formula>
    </cfRule>
    <cfRule type="cellIs" dxfId="18" priority="40" operator="equal">
      <formula>$G$171</formula>
    </cfRule>
    <cfRule type="cellIs" dxfId="17" priority="41" operator="equal">
      <formula>$H$171</formula>
    </cfRule>
    <cfRule type="cellIs" dxfId="16" priority="42" operator="equal">
      <formula>$I$171</formula>
    </cfRule>
    <cfRule type="cellIs" dxfId="15" priority="43" operator="equal">
      <formula>$J$171</formula>
    </cfRule>
    <cfRule type="cellIs" dxfId="14" priority="44" operator="equal">
      <formula>$K$171</formula>
    </cfRule>
    <cfRule type="cellIs" dxfId="13" priority="45" operator="equal">
      <formula>#REF!</formula>
    </cfRule>
  </conditionalFormatting>
  <pageMargins left="0.25" right="0.25" top="0.5" bottom="0.25" header="0.3" footer="0.3"/>
  <pageSetup scale="65" orientation="landscape" r:id="rId1"/>
  <rowBreaks count="9" manualBreakCount="9">
    <brk id="44" max="16383" man="1"/>
    <brk id="86" max="16383" man="1"/>
    <brk id="127" max="16383" man="1"/>
    <brk id="172" max="16383" man="1"/>
    <brk id="215" max="16383" man="1"/>
    <brk id="257" max="16383" man="1"/>
    <brk id="299" max="16383" man="1"/>
    <brk id="341" max="16383" man="1"/>
    <brk id="383"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Option 22</vt:lpstr>
      <vt:lpstr>Option 21</vt:lpstr>
    </vt:vector>
  </TitlesOfParts>
  <Company>THECB</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Turcotte</dc:creator>
  <cp:lastModifiedBy>Paul Turcotte</cp:lastModifiedBy>
  <cp:lastPrinted>2014-02-14T22:17:00Z</cp:lastPrinted>
  <dcterms:created xsi:type="dcterms:W3CDTF">2013-07-25T15:22:00Z</dcterms:created>
  <dcterms:modified xsi:type="dcterms:W3CDTF">2014-03-04T14:18:15Z</dcterms:modified>
</cp:coreProperties>
</file>