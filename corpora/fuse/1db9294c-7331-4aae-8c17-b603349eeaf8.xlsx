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00" windowWidth="7545" windowHeight="4365" activeTab="1"/>
  </bookViews>
  <sheets>
    <sheet name="Loans Originated" sheetId="1" r:id="rId1"/>
    <sheet name="Loan Distribution" sheetId="2" r:id="rId2"/>
  </sheets>
  <calcPr calcId="125725"/>
</workbook>
</file>

<file path=xl/calcChain.xml><?xml version="1.0" encoding="utf-8"?>
<calcChain xmlns="http://schemas.openxmlformats.org/spreadsheetml/2006/main">
  <c r="F47" i="2"/>
  <c r="E47"/>
  <c r="D47"/>
  <c r="C47"/>
  <c r="B47"/>
  <c r="F38"/>
  <c r="E38"/>
  <c r="D38"/>
  <c r="C38"/>
  <c r="B38"/>
  <c r="F29"/>
  <c r="E29"/>
  <c r="D29"/>
  <c r="C29"/>
  <c r="B29"/>
  <c r="F20"/>
  <c r="E20"/>
  <c r="D20"/>
  <c r="C20"/>
  <c r="B20"/>
  <c r="F11"/>
  <c r="E11"/>
  <c r="D11"/>
  <c r="C11"/>
  <c r="B11"/>
  <c r="B65"/>
  <c r="F56"/>
  <c r="E56"/>
  <c r="D56"/>
  <c r="C56"/>
  <c r="B56"/>
  <c r="C65"/>
  <c r="D65"/>
  <c r="E65"/>
  <c r="F65"/>
  <c r="C59" l="1"/>
  <c r="D59"/>
  <c r="E59"/>
  <c r="F59"/>
  <c r="C60"/>
  <c r="D60"/>
  <c r="E60"/>
  <c r="F60"/>
  <c r="C61"/>
  <c r="D61"/>
  <c r="E61"/>
  <c r="F61"/>
  <c r="C62"/>
  <c r="D62"/>
  <c r="E62"/>
  <c r="F62"/>
  <c r="C63"/>
  <c r="D63"/>
  <c r="E63"/>
  <c r="F63"/>
  <c r="C64"/>
  <c r="D64"/>
  <c r="E64"/>
  <c r="F64"/>
  <c r="C50"/>
  <c r="D50"/>
  <c r="E50"/>
  <c r="F50"/>
  <c r="C51"/>
  <c r="D51"/>
  <c r="E51"/>
  <c r="F51"/>
  <c r="C52"/>
  <c r="D52"/>
  <c r="E52"/>
  <c r="F52"/>
  <c r="C53"/>
  <c r="D53"/>
  <c r="E53"/>
  <c r="F53"/>
  <c r="C54"/>
  <c r="D54"/>
  <c r="E54"/>
  <c r="F54"/>
  <c r="C55"/>
  <c r="D55"/>
  <c r="E55"/>
  <c r="F55"/>
  <c r="C42"/>
  <c r="D42"/>
  <c r="E42"/>
  <c r="F42"/>
  <c r="C43"/>
  <c r="D43"/>
  <c r="E43"/>
  <c r="F43"/>
  <c r="C44"/>
  <c r="D44"/>
  <c r="E44"/>
  <c r="F44"/>
  <c r="C45"/>
  <c r="D45"/>
  <c r="E45"/>
  <c r="F45"/>
  <c r="C46"/>
  <c r="D46"/>
  <c r="E46"/>
  <c r="F46"/>
  <c r="C32"/>
  <c r="D32"/>
  <c r="E32"/>
  <c r="F32"/>
  <c r="C33"/>
  <c r="D33"/>
  <c r="E33"/>
  <c r="F33"/>
  <c r="C34"/>
  <c r="D34"/>
  <c r="E34"/>
  <c r="F34"/>
  <c r="C35"/>
  <c r="D35"/>
  <c r="E35"/>
  <c r="F35"/>
  <c r="C36"/>
  <c r="D36"/>
  <c r="E36"/>
  <c r="F36"/>
  <c r="C37"/>
  <c r="D37"/>
  <c r="E37"/>
  <c r="F37"/>
  <c r="B64"/>
  <c r="B63"/>
  <c r="B62"/>
  <c r="B61"/>
  <c r="B60"/>
  <c r="B59"/>
  <c r="B55"/>
  <c r="B54"/>
  <c r="B53"/>
  <c r="B52"/>
  <c r="B51"/>
  <c r="B50"/>
  <c r="B46"/>
  <c r="B45"/>
  <c r="B44"/>
  <c r="B43"/>
  <c r="B42"/>
  <c r="B37"/>
  <c r="B36"/>
  <c r="B35"/>
  <c r="B34"/>
  <c r="B33"/>
  <c r="B32"/>
  <c r="C23"/>
  <c r="D23"/>
  <c r="E23"/>
  <c r="F23"/>
  <c r="C24"/>
  <c r="D24"/>
  <c r="E24"/>
  <c r="F24"/>
  <c r="C25"/>
  <c r="D25"/>
  <c r="E25"/>
  <c r="F25"/>
  <c r="C26"/>
  <c r="D26"/>
  <c r="E26"/>
  <c r="F26"/>
  <c r="C27"/>
  <c r="D27"/>
  <c r="E27"/>
  <c r="F27"/>
  <c r="C28"/>
  <c r="D28"/>
  <c r="E28"/>
  <c r="F28"/>
  <c r="B28"/>
  <c r="B27"/>
  <c r="B26"/>
  <c r="B25"/>
  <c r="B24"/>
  <c r="B23"/>
  <c r="C14"/>
  <c r="D14"/>
  <c r="E14"/>
  <c r="F14"/>
  <c r="C15"/>
  <c r="D15"/>
  <c r="E15"/>
  <c r="F15"/>
  <c r="C16"/>
  <c r="D16"/>
  <c r="E16"/>
  <c r="F16"/>
  <c r="C17"/>
  <c r="D17"/>
  <c r="E17"/>
  <c r="F17"/>
  <c r="C18"/>
  <c r="D18"/>
  <c r="E18"/>
  <c r="F18"/>
  <c r="C19"/>
  <c r="D19"/>
  <c r="E19"/>
  <c r="F19"/>
  <c r="B19"/>
  <c r="B18"/>
  <c r="B17"/>
  <c r="B16"/>
  <c r="B15"/>
  <c r="B14"/>
  <c r="C6"/>
  <c r="D6"/>
  <c r="E6"/>
  <c r="F6"/>
  <c r="C7"/>
  <c r="D7"/>
  <c r="E7"/>
  <c r="F7"/>
  <c r="C8"/>
  <c r="D8"/>
  <c r="E8"/>
  <c r="F8"/>
  <c r="C9"/>
  <c r="D9"/>
  <c r="E9"/>
  <c r="F9"/>
  <c r="C10"/>
  <c r="D10"/>
  <c r="E10"/>
  <c r="F10"/>
  <c r="B10"/>
  <c r="B9"/>
  <c r="B8"/>
  <c r="B7"/>
  <c r="B6"/>
  <c r="C5"/>
  <c r="D5"/>
  <c r="E5"/>
  <c r="F5"/>
  <c r="B5"/>
</calcChain>
</file>

<file path=xl/sharedStrings.xml><?xml version="1.0" encoding="utf-8"?>
<sst xmlns="http://schemas.openxmlformats.org/spreadsheetml/2006/main" count="99" uniqueCount="34">
  <si>
    <t>0-30% MFI</t>
  </si>
  <si>
    <t xml:space="preserve">31-50% MFI </t>
  </si>
  <si>
    <t>51-80% MFI</t>
  </si>
  <si>
    <t>80-95% MFI</t>
  </si>
  <si>
    <t>&gt;95% MFI</t>
  </si>
  <si>
    <t>Total (All)</t>
  </si>
  <si>
    <t>Total (White)</t>
  </si>
  <si>
    <t>81-95% MFI</t>
  </si>
  <si>
    <t>Total (Blacks)</t>
  </si>
  <si>
    <t>Total (Hispanics)</t>
  </si>
  <si>
    <t>Loan Origination for All Households</t>
  </si>
  <si>
    <t>Loan Origination for White Households</t>
  </si>
  <si>
    <t>Loan Origination for Hispanic Households</t>
  </si>
  <si>
    <t>Total (Native Americans)</t>
  </si>
  <si>
    <t>(By HUD MFI Groups)</t>
  </si>
  <si>
    <t>All households</t>
  </si>
  <si>
    <t>Whites Households</t>
  </si>
  <si>
    <t>Black Households</t>
  </si>
  <si>
    <t>Asian Households</t>
  </si>
  <si>
    <t>Hispanic Households</t>
  </si>
  <si>
    <t>Loan Origination for Asian Households</t>
  </si>
  <si>
    <t>Total (Asians)</t>
  </si>
  <si>
    <t>Native American HH</t>
  </si>
  <si>
    <t>Loan Origination for Black or African American Households</t>
  </si>
  <si>
    <t>Distribution of FHA Loan Originations in Multnomah County</t>
  </si>
  <si>
    <t>Source: HMDA (LAR)</t>
  </si>
  <si>
    <t>Loan Origination for American Indian/Alaskan Native Households</t>
  </si>
  <si>
    <t>Loan Origination for Native Hawaiian or Pacific Islander Households</t>
  </si>
  <si>
    <t>Total (NHPI)</t>
  </si>
  <si>
    <t>Native Hawaiian or Pacific Islander Households</t>
  </si>
  <si>
    <t>Note: Data reported here is for Multnomah County. These are Federal Housing Administration loans for the purpose of purchasing a home. The loans are for homes that are meant for a primary occupancy of the owner. These are all represented for FHA loans. For ethnic and racial breakout, these are loans originated by households where either the applicant or co-applicant are representative of that group.</t>
  </si>
  <si>
    <t>Note: Data reported here is for Multnomah County. These are Federal Housing Administration loans for the purpose of purchasing a home. The loans are for homes that are meant for a primary occupancy of the owner. These are all represented for FH loans. For ethnic and racial breakout, these are loans originated by households where either the applicant or co-applicant are representative of that group.</t>
  </si>
  <si>
    <t>FHA Loans Originated for Home Purchase &amp; Occupation for Multnomah County: 2006-2012</t>
  </si>
  <si>
    <t>By Income and Race/Ethnicity: 2006-2012</t>
  </si>
</sst>
</file>

<file path=xl/styles.xml><?xml version="1.0" encoding="utf-8"?>
<styleSheet xmlns="http://schemas.openxmlformats.org/spreadsheetml/2006/main">
  <numFmts count="1">
    <numFmt numFmtId="164" formatCode="0.0%"/>
  </numFmts>
  <fonts count="10">
    <font>
      <sz val="10"/>
      <name val="Arial"/>
    </font>
    <font>
      <sz val="8"/>
      <name val="Arial"/>
      <family val="2"/>
    </font>
    <font>
      <sz val="10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8"/>
      <name val="Verdana"/>
      <family val="2"/>
    </font>
    <font>
      <b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u/>
      <sz val="1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2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8" fillId="0" borderId="0" xfId="0" applyFont="1" applyBorder="1" applyAlignment="1"/>
    <xf numFmtId="0" fontId="2" fillId="2" borderId="5" xfId="0" applyFont="1" applyFill="1" applyBorder="1"/>
    <xf numFmtId="0" fontId="4" fillId="0" borderId="4" xfId="0" applyFont="1" applyFill="1" applyBorder="1" applyAlignment="1">
      <alignment horizontal="center"/>
    </xf>
    <xf numFmtId="0" fontId="2" fillId="0" borderId="5" xfId="0" applyFont="1" applyFill="1" applyBorder="1"/>
    <xf numFmtId="0" fontId="9" fillId="0" borderId="0" xfId="0" applyFont="1" applyBorder="1" applyAlignment="1"/>
    <xf numFmtId="0" fontId="5" fillId="0" borderId="0" xfId="0" applyFont="1" applyBorder="1"/>
    <xf numFmtId="0" fontId="6" fillId="2" borderId="4" xfId="0" applyFont="1" applyFill="1" applyBorder="1"/>
    <xf numFmtId="0" fontId="6" fillId="2" borderId="0" xfId="0" applyFont="1" applyFill="1" applyBorder="1"/>
    <xf numFmtId="164" fontId="2" fillId="0" borderId="0" xfId="0" applyNumberFormat="1" applyFont="1" applyBorder="1"/>
    <xf numFmtId="1" fontId="2" fillId="0" borderId="4" xfId="0" applyNumberFormat="1" applyFont="1" applyBorder="1"/>
    <xf numFmtId="10" fontId="2" fillId="0" borderId="0" xfId="0" applyNumberFormat="1" applyFont="1" applyBorder="1"/>
    <xf numFmtId="0" fontId="6" fillId="2" borderId="5" xfId="0" applyFont="1" applyFill="1" applyBorder="1"/>
    <xf numFmtId="164" fontId="2" fillId="0" borderId="5" xfId="0" applyNumberFormat="1" applyFont="1" applyBorder="1"/>
    <xf numFmtId="10" fontId="2" fillId="0" borderId="5" xfId="0" applyNumberFormat="1" applyFont="1" applyBorder="1"/>
    <xf numFmtId="0" fontId="2" fillId="0" borderId="0" xfId="0" applyFont="1" applyBorder="1" applyAlignment="1">
      <alignment wrapText="1"/>
    </xf>
    <xf numFmtId="164" fontId="2" fillId="0" borderId="7" xfId="0" applyNumberFormat="1" applyFont="1" applyBorder="1"/>
    <xf numFmtId="164" fontId="2" fillId="0" borderId="8" xfId="0" applyNumberFormat="1" applyFont="1" applyBorder="1"/>
    <xf numFmtId="164" fontId="2" fillId="0" borderId="0" xfId="0" applyNumberFormat="1" applyFont="1"/>
    <xf numFmtId="0" fontId="6" fillId="0" borderId="0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3" fillId="0" borderId="0" xfId="0" applyFont="1" applyBorder="1"/>
    <xf numFmtId="0" fontId="7" fillId="0" borderId="0" xfId="0" applyFont="1" applyBorder="1" applyAlignment="1">
      <alignment horizontal="right" wrapText="1"/>
    </xf>
    <xf numFmtId="0" fontId="2" fillId="2" borderId="2" xfId="0" applyFont="1" applyFill="1" applyBorder="1"/>
    <xf numFmtId="0" fontId="2" fillId="2" borderId="3" xfId="0" applyFont="1" applyFill="1" applyBorder="1"/>
    <xf numFmtId="0" fontId="7" fillId="0" borderId="4" xfId="0" applyFont="1" applyBorder="1"/>
    <xf numFmtId="0" fontId="7" fillId="0" borderId="5" xfId="0" applyFont="1" applyBorder="1"/>
    <xf numFmtId="0" fontId="2" fillId="0" borderId="0" xfId="0" applyFont="1" applyBorder="1" applyAlignment="1">
      <alignment wrapText="1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8"/>
  <sheetViews>
    <sheetView workbookViewId="0">
      <selection activeCell="M18" sqref="M18"/>
    </sheetView>
  </sheetViews>
  <sheetFormatPr defaultRowHeight="12.75"/>
  <cols>
    <col min="1" max="1" width="7" style="1" customWidth="1"/>
    <col min="2" max="2" width="9.42578125" style="1" customWidth="1"/>
    <col min="3" max="3" width="10.140625" style="1" customWidth="1"/>
    <col min="4" max="4" width="10.5703125" style="1" customWidth="1"/>
    <col min="5" max="5" width="10.85546875" style="1" customWidth="1"/>
    <col min="6" max="6" width="12.140625" style="1" customWidth="1"/>
    <col min="7" max="7" width="15.28515625" style="1" customWidth="1"/>
    <col min="8" max="8" width="9.140625" style="1"/>
    <col min="9" max="9" width="2.85546875" style="1" customWidth="1"/>
    <col min="10" max="16384" width="9.140625" style="1"/>
  </cols>
  <sheetData>
    <row r="1" spans="1:10" ht="21.75" customHeight="1">
      <c r="A1" s="16" t="s">
        <v>32</v>
      </c>
      <c r="B1" s="12"/>
      <c r="C1" s="12"/>
      <c r="D1" s="12"/>
      <c r="E1" s="12"/>
      <c r="F1" s="12"/>
      <c r="G1" s="12"/>
      <c r="H1" s="12"/>
      <c r="I1" s="12"/>
    </row>
    <row r="2" spans="1:10">
      <c r="A2" s="44" t="s">
        <v>14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13.5" thickBot="1">
      <c r="A3" s="3"/>
      <c r="B3" s="3"/>
      <c r="C3" s="3"/>
      <c r="D3" s="3"/>
      <c r="E3" s="3"/>
      <c r="F3" s="3"/>
      <c r="G3" s="3"/>
      <c r="H3" s="3"/>
      <c r="I3" s="3"/>
    </row>
    <row r="4" spans="1:10">
      <c r="A4" s="45" t="s">
        <v>10</v>
      </c>
      <c r="B4" s="46"/>
      <c r="C4" s="46"/>
      <c r="D4" s="46"/>
      <c r="E4" s="46"/>
      <c r="F4" s="46"/>
      <c r="G4" s="46"/>
      <c r="H4" s="37"/>
      <c r="I4" s="38"/>
      <c r="J4" s="9"/>
    </row>
    <row r="5" spans="1:10">
      <c r="A5" s="14"/>
      <c r="B5" s="10"/>
      <c r="C5" s="10"/>
      <c r="D5" s="10"/>
      <c r="E5" s="10"/>
      <c r="F5" s="10"/>
      <c r="G5" s="10"/>
      <c r="H5" s="11"/>
      <c r="I5" s="15"/>
      <c r="J5" s="9"/>
    </row>
    <row r="6" spans="1:10">
      <c r="A6" s="39"/>
      <c r="B6" s="33" t="s">
        <v>0</v>
      </c>
      <c r="C6" s="33" t="s">
        <v>1</v>
      </c>
      <c r="D6" s="33" t="s">
        <v>2</v>
      </c>
      <c r="E6" s="33" t="s">
        <v>7</v>
      </c>
      <c r="F6" s="33" t="s">
        <v>4</v>
      </c>
      <c r="G6" s="34" t="s">
        <v>5</v>
      </c>
      <c r="H6" s="35"/>
      <c r="I6" s="4"/>
    </row>
    <row r="7" spans="1:10">
      <c r="A7" s="2">
        <v>2006</v>
      </c>
      <c r="B7" s="3">
        <v>1</v>
      </c>
      <c r="C7" s="3">
        <v>6</v>
      </c>
      <c r="D7" s="3">
        <v>79</v>
      </c>
      <c r="E7" s="3">
        <v>48</v>
      </c>
      <c r="F7" s="3">
        <v>88</v>
      </c>
      <c r="G7" s="3">
        <v>225</v>
      </c>
      <c r="H7" s="3"/>
      <c r="I7" s="4"/>
    </row>
    <row r="8" spans="1:10">
      <c r="A8" s="2">
        <v>2007</v>
      </c>
      <c r="B8" s="3">
        <v>2</v>
      </c>
      <c r="C8" s="3">
        <v>2</v>
      </c>
      <c r="D8" s="3">
        <v>62</v>
      </c>
      <c r="E8" s="3">
        <v>52</v>
      </c>
      <c r="F8" s="3">
        <v>129</v>
      </c>
      <c r="G8" s="3">
        <v>248</v>
      </c>
      <c r="H8" s="3"/>
      <c r="I8" s="4"/>
    </row>
    <row r="9" spans="1:10">
      <c r="A9" s="2">
        <v>2008</v>
      </c>
      <c r="B9" s="3">
        <v>1</v>
      </c>
      <c r="C9" s="3">
        <v>23</v>
      </c>
      <c r="D9" s="3">
        <v>384</v>
      </c>
      <c r="E9" s="3">
        <v>282</v>
      </c>
      <c r="F9" s="3">
        <v>770</v>
      </c>
      <c r="G9" s="3">
        <v>1472</v>
      </c>
      <c r="H9" s="3"/>
      <c r="I9" s="4"/>
    </row>
    <row r="10" spans="1:10">
      <c r="A10" s="2">
        <v>2009</v>
      </c>
      <c r="B10" s="3">
        <v>8</v>
      </c>
      <c r="C10" s="3">
        <v>225</v>
      </c>
      <c r="D10" s="3">
        <v>1036</v>
      </c>
      <c r="E10" s="3">
        <v>423</v>
      </c>
      <c r="F10" s="3">
        <v>1141</v>
      </c>
      <c r="G10" s="3">
        <v>2860</v>
      </c>
      <c r="H10" s="3"/>
      <c r="I10" s="4"/>
    </row>
    <row r="11" spans="1:10">
      <c r="A11" s="2">
        <v>2010</v>
      </c>
      <c r="B11" s="3">
        <v>14</v>
      </c>
      <c r="C11" s="3">
        <v>267</v>
      </c>
      <c r="D11" s="3">
        <v>904</v>
      </c>
      <c r="E11" s="3">
        <v>411</v>
      </c>
      <c r="F11" s="3">
        <v>1003</v>
      </c>
      <c r="G11" s="3">
        <v>2632</v>
      </c>
      <c r="H11" s="3"/>
      <c r="I11" s="4"/>
    </row>
    <row r="12" spans="1:10">
      <c r="A12" s="2">
        <v>2011</v>
      </c>
      <c r="B12" s="3">
        <v>16</v>
      </c>
      <c r="C12" s="3">
        <v>278</v>
      </c>
      <c r="D12" s="3">
        <v>623</v>
      </c>
      <c r="E12" s="3">
        <v>254</v>
      </c>
      <c r="F12" s="3">
        <v>628</v>
      </c>
      <c r="G12" s="3">
        <v>1823</v>
      </c>
      <c r="H12" s="3"/>
      <c r="I12" s="4"/>
    </row>
    <row r="13" spans="1:10">
      <c r="A13" s="2">
        <v>2012</v>
      </c>
      <c r="B13" s="3">
        <v>12</v>
      </c>
      <c r="C13" s="3">
        <v>277</v>
      </c>
      <c r="D13" s="3">
        <v>663</v>
      </c>
      <c r="E13" s="3">
        <v>235</v>
      </c>
      <c r="F13" s="3">
        <v>602</v>
      </c>
      <c r="G13" s="3">
        <v>1805</v>
      </c>
      <c r="H13" s="3"/>
      <c r="I13" s="4"/>
    </row>
    <row r="14" spans="1:10">
      <c r="A14" s="2"/>
      <c r="B14" s="3"/>
      <c r="C14" s="3"/>
      <c r="D14" s="3"/>
      <c r="E14" s="3"/>
      <c r="F14" s="3"/>
      <c r="G14" s="3"/>
      <c r="H14" s="3"/>
      <c r="I14" s="4"/>
    </row>
    <row r="15" spans="1:10">
      <c r="A15" s="42" t="s">
        <v>26</v>
      </c>
      <c r="B15" s="43"/>
      <c r="C15" s="43"/>
      <c r="D15" s="43"/>
      <c r="E15" s="43"/>
      <c r="F15" s="43"/>
      <c r="G15" s="43"/>
      <c r="H15" s="8"/>
      <c r="I15" s="13"/>
    </row>
    <row r="16" spans="1:10">
      <c r="A16" s="2"/>
      <c r="B16" s="3"/>
      <c r="C16" s="3"/>
      <c r="D16" s="3"/>
      <c r="E16" s="3"/>
      <c r="F16" s="3"/>
      <c r="G16" s="3"/>
      <c r="H16" s="3"/>
      <c r="I16" s="4"/>
    </row>
    <row r="17" spans="1:9" ht="21.75">
      <c r="A17" s="39"/>
      <c r="B17" s="33" t="s">
        <v>0</v>
      </c>
      <c r="C17" s="33" t="s">
        <v>1</v>
      </c>
      <c r="D17" s="33" t="s">
        <v>2</v>
      </c>
      <c r="E17" s="33" t="s">
        <v>7</v>
      </c>
      <c r="F17" s="33" t="s">
        <v>4</v>
      </c>
      <c r="G17" s="36" t="s">
        <v>13</v>
      </c>
      <c r="H17" s="33"/>
      <c r="I17" s="40"/>
    </row>
    <row r="18" spans="1:9">
      <c r="A18" s="2">
        <v>2006</v>
      </c>
      <c r="B18" s="3">
        <v>0</v>
      </c>
      <c r="C18" s="3">
        <v>0</v>
      </c>
      <c r="D18" s="3">
        <v>4</v>
      </c>
      <c r="E18" s="3">
        <v>2</v>
      </c>
      <c r="F18" s="3">
        <v>5</v>
      </c>
      <c r="G18" s="3">
        <v>11</v>
      </c>
      <c r="H18" s="3"/>
      <c r="I18" s="4"/>
    </row>
    <row r="19" spans="1:9">
      <c r="A19" s="2">
        <v>2007</v>
      </c>
      <c r="B19" s="3">
        <v>0</v>
      </c>
      <c r="C19" s="3">
        <v>0</v>
      </c>
      <c r="D19" s="3">
        <v>0</v>
      </c>
      <c r="E19" s="3">
        <v>1</v>
      </c>
      <c r="F19" s="3">
        <v>3</v>
      </c>
      <c r="G19" s="3">
        <v>4</v>
      </c>
      <c r="H19" s="3"/>
      <c r="I19" s="4"/>
    </row>
    <row r="20" spans="1:9">
      <c r="A20" s="2">
        <v>2008</v>
      </c>
      <c r="B20" s="3">
        <v>0</v>
      </c>
      <c r="C20" s="3">
        <v>0</v>
      </c>
      <c r="D20" s="3">
        <v>4</v>
      </c>
      <c r="E20" s="3">
        <v>3</v>
      </c>
      <c r="F20" s="3">
        <v>9</v>
      </c>
      <c r="G20" s="3">
        <v>16</v>
      </c>
      <c r="H20" s="3"/>
      <c r="I20" s="4"/>
    </row>
    <row r="21" spans="1:9">
      <c r="A21" s="2">
        <v>2009</v>
      </c>
      <c r="B21" s="3">
        <v>0</v>
      </c>
      <c r="C21" s="3">
        <v>4</v>
      </c>
      <c r="D21" s="3">
        <v>16</v>
      </c>
      <c r="E21" s="3">
        <v>3</v>
      </c>
      <c r="F21" s="3">
        <v>13</v>
      </c>
      <c r="G21" s="3">
        <v>36</v>
      </c>
      <c r="H21" s="3"/>
      <c r="I21" s="4"/>
    </row>
    <row r="22" spans="1:9">
      <c r="A22" s="2">
        <v>2010</v>
      </c>
      <c r="B22" s="3">
        <v>1</v>
      </c>
      <c r="C22" s="3">
        <v>3</v>
      </c>
      <c r="D22" s="3">
        <v>12</v>
      </c>
      <c r="E22" s="3">
        <v>3</v>
      </c>
      <c r="F22" s="3">
        <v>9</v>
      </c>
      <c r="G22" s="3">
        <v>28</v>
      </c>
      <c r="H22" s="3"/>
      <c r="I22" s="4"/>
    </row>
    <row r="23" spans="1:9">
      <c r="A23" s="2">
        <v>2011</v>
      </c>
      <c r="B23" s="3">
        <v>0</v>
      </c>
      <c r="C23" s="3">
        <v>4</v>
      </c>
      <c r="D23" s="3">
        <v>6</v>
      </c>
      <c r="E23" s="3">
        <v>0</v>
      </c>
      <c r="F23" s="3">
        <v>9</v>
      </c>
      <c r="G23" s="3">
        <v>19</v>
      </c>
      <c r="H23" s="3"/>
      <c r="I23" s="4"/>
    </row>
    <row r="24" spans="1:9">
      <c r="A24" s="2">
        <v>2012</v>
      </c>
      <c r="B24" s="3">
        <v>2</v>
      </c>
      <c r="C24" s="3">
        <v>1</v>
      </c>
      <c r="D24" s="3">
        <v>14</v>
      </c>
      <c r="E24" s="3">
        <v>5</v>
      </c>
      <c r="F24" s="3">
        <v>6</v>
      </c>
      <c r="G24" s="3">
        <v>28</v>
      </c>
      <c r="H24" s="3"/>
      <c r="I24" s="4"/>
    </row>
    <row r="25" spans="1:9">
      <c r="A25" s="2"/>
      <c r="B25" s="3"/>
      <c r="C25" s="3"/>
      <c r="D25" s="3"/>
      <c r="E25" s="3"/>
      <c r="F25" s="3"/>
      <c r="G25" s="3"/>
      <c r="H25" s="3"/>
      <c r="I25" s="4"/>
    </row>
    <row r="26" spans="1:9">
      <c r="A26" s="42" t="s">
        <v>20</v>
      </c>
      <c r="B26" s="43"/>
      <c r="C26" s="43"/>
      <c r="D26" s="43"/>
      <c r="E26" s="43"/>
      <c r="F26" s="43"/>
      <c r="G26" s="43"/>
      <c r="H26" s="8"/>
      <c r="I26" s="13"/>
    </row>
    <row r="27" spans="1:9">
      <c r="A27" s="2"/>
      <c r="B27" s="3"/>
      <c r="C27" s="3"/>
      <c r="D27" s="3"/>
      <c r="E27" s="3"/>
      <c r="F27" s="3"/>
      <c r="G27" s="3"/>
      <c r="H27" s="3"/>
      <c r="I27" s="4"/>
    </row>
    <row r="28" spans="1:9">
      <c r="A28" s="39"/>
      <c r="B28" s="33" t="s">
        <v>0</v>
      </c>
      <c r="C28" s="33" t="s">
        <v>1</v>
      </c>
      <c r="D28" s="33" t="s">
        <v>2</v>
      </c>
      <c r="E28" s="33" t="s">
        <v>7</v>
      </c>
      <c r="F28" s="33" t="s">
        <v>4</v>
      </c>
      <c r="G28" s="34" t="s">
        <v>21</v>
      </c>
      <c r="H28" s="33"/>
      <c r="I28" s="40"/>
    </row>
    <row r="29" spans="1:9">
      <c r="A29" s="2">
        <v>2006</v>
      </c>
      <c r="B29" s="3">
        <v>1</v>
      </c>
      <c r="C29" s="3">
        <v>1</v>
      </c>
      <c r="D29" s="3">
        <v>4</v>
      </c>
      <c r="E29" s="3">
        <v>5</v>
      </c>
      <c r="F29" s="3">
        <v>4</v>
      </c>
      <c r="G29" s="3">
        <v>15</v>
      </c>
      <c r="H29" s="3"/>
      <c r="I29" s="4"/>
    </row>
    <row r="30" spans="1:9">
      <c r="A30" s="2">
        <v>2007</v>
      </c>
      <c r="B30" s="3">
        <v>0</v>
      </c>
      <c r="C30" s="3">
        <v>0</v>
      </c>
      <c r="D30" s="3">
        <v>2</v>
      </c>
      <c r="E30" s="3">
        <v>4</v>
      </c>
      <c r="F30" s="3">
        <v>6</v>
      </c>
      <c r="G30" s="3">
        <v>12</v>
      </c>
      <c r="H30" s="3"/>
      <c r="I30" s="4"/>
    </row>
    <row r="31" spans="1:9">
      <c r="A31" s="2">
        <v>2008</v>
      </c>
      <c r="B31" s="3">
        <v>0</v>
      </c>
      <c r="C31" s="3">
        <v>1</v>
      </c>
      <c r="D31" s="3">
        <v>15</v>
      </c>
      <c r="E31" s="3">
        <v>14</v>
      </c>
      <c r="F31" s="3">
        <v>45</v>
      </c>
      <c r="G31" s="3">
        <v>76</v>
      </c>
      <c r="H31" s="3"/>
      <c r="I31" s="4"/>
    </row>
    <row r="32" spans="1:9">
      <c r="A32" s="2">
        <v>2009</v>
      </c>
      <c r="B32" s="3">
        <v>1</v>
      </c>
      <c r="C32" s="3">
        <v>10</v>
      </c>
      <c r="D32" s="3">
        <v>53</v>
      </c>
      <c r="E32" s="3">
        <v>19</v>
      </c>
      <c r="F32" s="3">
        <v>50</v>
      </c>
      <c r="G32" s="3">
        <v>134</v>
      </c>
      <c r="H32" s="3"/>
      <c r="I32" s="4"/>
    </row>
    <row r="33" spans="1:9">
      <c r="A33" s="2">
        <v>2010</v>
      </c>
      <c r="B33" s="3">
        <v>2</v>
      </c>
      <c r="C33" s="3">
        <v>24</v>
      </c>
      <c r="D33" s="3">
        <v>44</v>
      </c>
      <c r="E33" s="3">
        <v>20</v>
      </c>
      <c r="F33" s="3">
        <v>29</v>
      </c>
      <c r="G33" s="3">
        <v>121</v>
      </c>
      <c r="H33" s="3"/>
      <c r="I33" s="4"/>
    </row>
    <row r="34" spans="1:9">
      <c r="A34" s="2">
        <v>2011</v>
      </c>
      <c r="B34" s="3">
        <v>2</v>
      </c>
      <c r="C34" s="3">
        <v>23</v>
      </c>
      <c r="D34" s="3">
        <v>37</v>
      </c>
      <c r="E34" s="3">
        <v>18</v>
      </c>
      <c r="F34" s="3">
        <v>33</v>
      </c>
      <c r="G34" s="3">
        <v>113</v>
      </c>
      <c r="H34" s="3"/>
      <c r="I34" s="4"/>
    </row>
    <row r="35" spans="1:9">
      <c r="A35" s="2">
        <v>2012</v>
      </c>
      <c r="B35" s="3">
        <v>0</v>
      </c>
      <c r="C35" s="3">
        <v>16</v>
      </c>
      <c r="D35" s="3">
        <v>51</v>
      </c>
      <c r="E35" s="3">
        <v>12</v>
      </c>
      <c r="F35" s="3">
        <v>33</v>
      </c>
      <c r="G35" s="3">
        <v>113</v>
      </c>
      <c r="H35" s="3"/>
      <c r="I35" s="4"/>
    </row>
    <row r="36" spans="1:9">
      <c r="A36" s="2"/>
      <c r="B36" s="3"/>
      <c r="C36" s="3"/>
      <c r="D36" s="3"/>
      <c r="E36" s="3"/>
      <c r="F36" s="3"/>
      <c r="G36" s="3"/>
      <c r="H36" s="3"/>
      <c r="I36" s="4"/>
    </row>
    <row r="37" spans="1:9">
      <c r="A37" s="42" t="s">
        <v>23</v>
      </c>
      <c r="B37" s="43"/>
      <c r="C37" s="43"/>
      <c r="D37" s="43"/>
      <c r="E37" s="43"/>
      <c r="F37" s="43"/>
      <c r="G37" s="43"/>
      <c r="H37" s="8"/>
      <c r="I37" s="13"/>
    </row>
    <row r="38" spans="1:9">
      <c r="A38" s="2"/>
      <c r="B38" s="3"/>
      <c r="C38" s="3"/>
      <c r="D38" s="3"/>
      <c r="E38" s="3"/>
      <c r="F38" s="3"/>
      <c r="G38" s="3"/>
      <c r="H38" s="3"/>
      <c r="I38" s="4"/>
    </row>
    <row r="39" spans="1:9">
      <c r="A39" s="39"/>
      <c r="B39" s="33" t="s">
        <v>0</v>
      </c>
      <c r="C39" s="33" t="s">
        <v>1</v>
      </c>
      <c r="D39" s="33" t="s">
        <v>2</v>
      </c>
      <c r="E39" s="33" t="s">
        <v>7</v>
      </c>
      <c r="F39" s="33" t="s">
        <v>4</v>
      </c>
      <c r="G39" s="34" t="s">
        <v>8</v>
      </c>
      <c r="H39" s="33"/>
      <c r="I39" s="40"/>
    </row>
    <row r="40" spans="1:9">
      <c r="A40" s="2">
        <v>2006</v>
      </c>
      <c r="B40" s="3">
        <v>0</v>
      </c>
      <c r="C40" s="3">
        <v>0</v>
      </c>
      <c r="D40" s="3">
        <v>3</v>
      </c>
      <c r="E40" s="3">
        <v>1</v>
      </c>
      <c r="F40" s="3">
        <v>3</v>
      </c>
      <c r="G40" s="3">
        <v>7</v>
      </c>
      <c r="H40" s="3"/>
      <c r="I40" s="4"/>
    </row>
    <row r="41" spans="1:9">
      <c r="A41" s="2">
        <v>2007</v>
      </c>
      <c r="B41" s="3">
        <v>0</v>
      </c>
      <c r="C41" s="3">
        <v>0</v>
      </c>
      <c r="D41" s="3">
        <v>3</v>
      </c>
      <c r="E41" s="3">
        <v>3</v>
      </c>
      <c r="F41" s="3">
        <v>5</v>
      </c>
      <c r="G41" s="3">
        <v>11</v>
      </c>
      <c r="H41" s="3"/>
      <c r="I41" s="4"/>
    </row>
    <row r="42" spans="1:9">
      <c r="A42" s="2">
        <v>2008</v>
      </c>
      <c r="B42" s="3">
        <v>0</v>
      </c>
      <c r="C42" s="3">
        <v>0</v>
      </c>
      <c r="D42" s="3">
        <v>10</v>
      </c>
      <c r="E42" s="3">
        <v>12</v>
      </c>
      <c r="F42" s="3">
        <v>29</v>
      </c>
      <c r="G42" s="3">
        <v>51</v>
      </c>
      <c r="H42" s="3"/>
      <c r="I42" s="4"/>
    </row>
    <row r="43" spans="1:9">
      <c r="A43" s="2">
        <v>2009</v>
      </c>
      <c r="B43" s="3">
        <v>0</v>
      </c>
      <c r="C43" s="3">
        <v>4</v>
      </c>
      <c r="D43" s="3">
        <v>28</v>
      </c>
      <c r="E43" s="3">
        <v>12</v>
      </c>
      <c r="F43" s="3">
        <v>24</v>
      </c>
      <c r="G43" s="3">
        <v>68</v>
      </c>
      <c r="H43" s="3"/>
      <c r="I43" s="4"/>
    </row>
    <row r="44" spans="1:9">
      <c r="A44" s="2">
        <v>2010</v>
      </c>
      <c r="B44" s="3">
        <v>0</v>
      </c>
      <c r="C44" s="3">
        <v>8</v>
      </c>
      <c r="D44" s="3">
        <v>32</v>
      </c>
      <c r="E44" s="3">
        <v>10</v>
      </c>
      <c r="F44" s="3">
        <v>19</v>
      </c>
      <c r="G44" s="3">
        <v>71</v>
      </c>
      <c r="H44" s="3"/>
      <c r="I44" s="4"/>
    </row>
    <row r="45" spans="1:9">
      <c r="A45" s="2">
        <v>2011</v>
      </c>
      <c r="B45" s="3">
        <v>0</v>
      </c>
      <c r="C45" s="3">
        <v>13</v>
      </c>
      <c r="D45" s="3">
        <v>16</v>
      </c>
      <c r="E45" s="3">
        <v>5</v>
      </c>
      <c r="F45" s="3">
        <v>14</v>
      </c>
      <c r="G45" s="3">
        <v>48</v>
      </c>
      <c r="H45" s="3"/>
      <c r="I45" s="4"/>
    </row>
    <row r="46" spans="1:9">
      <c r="A46" s="2">
        <v>2012</v>
      </c>
      <c r="B46" s="3">
        <v>0</v>
      </c>
      <c r="C46" s="3">
        <v>7</v>
      </c>
      <c r="D46" s="3">
        <v>19</v>
      </c>
      <c r="E46" s="3">
        <v>9</v>
      </c>
      <c r="F46" s="3">
        <v>16</v>
      </c>
      <c r="G46" s="3">
        <v>52</v>
      </c>
      <c r="H46" s="3"/>
      <c r="I46" s="4"/>
    </row>
    <row r="47" spans="1:9">
      <c r="A47" s="2"/>
      <c r="B47" s="3"/>
      <c r="C47" s="3"/>
      <c r="D47" s="3"/>
      <c r="E47" s="3"/>
      <c r="F47" s="3"/>
      <c r="G47" s="3"/>
      <c r="H47" s="3"/>
      <c r="I47" s="4"/>
    </row>
    <row r="48" spans="1:9">
      <c r="A48" s="42" t="s">
        <v>27</v>
      </c>
      <c r="B48" s="43"/>
      <c r="C48" s="43"/>
      <c r="D48" s="43"/>
      <c r="E48" s="43"/>
      <c r="F48" s="43"/>
      <c r="G48" s="43"/>
      <c r="H48" s="8"/>
      <c r="I48" s="13"/>
    </row>
    <row r="49" spans="1:9">
      <c r="A49" s="2"/>
      <c r="B49" s="3"/>
      <c r="C49" s="3"/>
      <c r="D49" s="3"/>
      <c r="E49" s="3"/>
      <c r="F49" s="3"/>
      <c r="G49" s="3"/>
      <c r="H49" s="3"/>
      <c r="I49" s="4"/>
    </row>
    <row r="50" spans="1:9">
      <c r="A50" s="39"/>
      <c r="B50" s="33" t="s">
        <v>0</v>
      </c>
      <c r="C50" s="33" t="s">
        <v>1</v>
      </c>
      <c r="D50" s="33" t="s">
        <v>2</v>
      </c>
      <c r="E50" s="33" t="s">
        <v>7</v>
      </c>
      <c r="F50" s="33" t="s">
        <v>4</v>
      </c>
      <c r="G50" s="34" t="s">
        <v>28</v>
      </c>
      <c r="H50" s="33"/>
      <c r="I50" s="40"/>
    </row>
    <row r="51" spans="1:9">
      <c r="A51" s="2">
        <v>2006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/>
      <c r="I51" s="4"/>
    </row>
    <row r="52" spans="1:9">
      <c r="A52" s="2">
        <v>2007</v>
      </c>
      <c r="B52" s="3">
        <v>0</v>
      </c>
      <c r="C52" s="3">
        <v>0</v>
      </c>
      <c r="D52" s="3">
        <v>0</v>
      </c>
      <c r="E52" s="3">
        <v>1</v>
      </c>
      <c r="F52" s="3">
        <v>0</v>
      </c>
      <c r="G52" s="3">
        <v>1</v>
      </c>
      <c r="H52" s="3"/>
      <c r="I52" s="4"/>
    </row>
    <row r="53" spans="1:9">
      <c r="A53" s="2">
        <v>2008</v>
      </c>
      <c r="B53" s="3">
        <v>0</v>
      </c>
      <c r="C53" s="3">
        <v>0</v>
      </c>
      <c r="D53" s="3">
        <v>7</v>
      </c>
      <c r="E53" s="3">
        <v>3</v>
      </c>
      <c r="F53" s="3">
        <v>9</v>
      </c>
      <c r="G53" s="3">
        <v>19</v>
      </c>
      <c r="H53" s="3"/>
      <c r="I53" s="4"/>
    </row>
    <row r="54" spans="1:9">
      <c r="A54" s="2">
        <v>2009</v>
      </c>
      <c r="B54" s="3">
        <v>0</v>
      </c>
      <c r="C54" s="3">
        <v>2</v>
      </c>
      <c r="D54" s="3">
        <v>14</v>
      </c>
      <c r="E54" s="3">
        <v>4</v>
      </c>
      <c r="F54" s="3">
        <v>10</v>
      </c>
      <c r="G54" s="3">
        <v>31</v>
      </c>
      <c r="H54" s="3"/>
      <c r="I54" s="4"/>
    </row>
    <row r="55" spans="1:9">
      <c r="A55" s="2">
        <v>2010</v>
      </c>
      <c r="B55" s="3">
        <v>0</v>
      </c>
      <c r="C55" s="3">
        <v>1</v>
      </c>
      <c r="D55" s="3">
        <v>3</v>
      </c>
      <c r="E55" s="3">
        <v>0</v>
      </c>
      <c r="F55" s="3">
        <v>4</v>
      </c>
      <c r="G55" s="3">
        <v>8</v>
      </c>
      <c r="H55" s="3"/>
      <c r="I55" s="4"/>
    </row>
    <row r="56" spans="1:9">
      <c r="A56" s="2">
        <v>2011</v>
      </c>
      <c r="B56" s="3">
        <v>0</v>
      </c>
      <c r="C56" s="3">
        <v>2</v>
      </c>
      <c r="D56" s="3">
        <v>6</v>
      </c>
      <c r="E56" s="3">
        <v>1</v>
      </c>
      <c r="F56" s="3">
        <v>8</v>
      </c>
      <c r="G56" s="3">
        <v>17</v>
      </c>
      <c r="H56" s="3"/>
      <c r="I56" s="4"/>
    </row>
    <row r="57" spans="1:9">
      <c r="A57" s="2">
        <v>2012</v>
      </c>
      <c r="B57" s="3">
        <v>0</v>
      </c>
      <c r="C57" s="3">
        <v>2</v>
      </c>
      <c r="D57" s="3">
        <v>7</v>
      </c>
      <c r="E57" s="3">
        <v>4</v>
      </c>
      <c r="F57" s="3">
        <v>4</v>
      </c>
      <c r="G57" s="3">
        <v>17</v>
      </c>
      <c r="H57" s="3"/>
      <c r="I57" s="4"/>
    </row>
    <row r="58" spans="1:9">
      <c r="A58" s="2"/>
      <c r="B58" s="3"/>
      <c r="C58" s="3"/>
      <c r="D58" s="3"/>
      <c r="E58" s="3"/>
      <c r="F58" s="3"/>
      <c r="G58" s="3"/>
      <c r="H58" s="3"/>
      <c r="I58" s="4"/>
    </row>
    <row r="59" spans="1:9">
      <c r="A59" s="42" t="s">
        <v>11</v>
      </c>
      <c r="B59" s="43"/>
      <c r="C59" s="43"/>
      <c r="D59" s="43"/>
      <c r="E59" s="43"/>
      <c r="F59" s="43"/>
      <c r="G59" s="43"/>
      <c r="H59" s="8"/>
      <c r="I59" s="13"/>
    </row>
    <row r="60" spans="1:9">
      <c r="A60" s="2"/>
      <c r="B60" s="3"/>
      <c r="C60" s="3"/>
      <c r="D60" s="3"/>
      <c r="E60" s="3"/>
      <c r="F60" s="3"/>
      <c r="G60" s="3"/>
      <c r="H60" s="3"/>
      <c r="I60" s="4"/>
    </row>
    <row r="61" spans="1:9">
      <c r="A61" s="39"/>
      <c r="B61" s="33" t="s">
        <v>0</v>
      </c>
      <c r="C61" s="33" t="s">
        <v>1</v>
      </c>
      <c r="D61" s="33" t="s">
        <v>2</v>
      </c>
      <c r="E61" s="33" t="s">
        <v>7</v>
      </c>
      <c r="F61" s="33" t="s">
        <v>4</v>
      </c>
      <c r="G61" s="34" t="s">
        <v>6</v>
      </c>
      <c r="H61" s="33"/>
      <c r="I61" s="40"/>
    </row>
    <row r="62" spans="1:9">
      <c r="A62" s="2">
        <v>2006</v>
      </c>
      <c r="B62" s="11">
        <v>0</v>
      </c>
      <c r="C62" s="11">
        <v>5</v>
      </c>
      <c r="D62" s="11">
        <v>68</v>
      </c>
      <c r="E62" s="11">
        <v>45</v>
      </c>
      <c r="F62" s="11">
        <v>77</v>
      </c>
      <c r="G62" s="11">
        <v>198</v>
      </c>
      <c r="H62" s="11"/>
      <c r="I62" s="4"/>
    </row>
    <row r="63" spans="1:9">
      <c r="A63" s="2">
        <v>2007</v>
      </c>
      <c r="B63" s="3">
        <v>2</v>
      </c>
      <c r="C63" s="3">
        <v>2</v>
      </c>
      <c r="D63" s="3">
        <v>56</v>
      </c>
      <c r="E63" s="3">
        <v>43</v>
      </c>
      <c r="F63" s="3">
        <v>113</v>
      </c>
      <c r="G63" s="3">
        <v>217</v>
      </c>
      <c r="H63" s="3"/>
      <c r="I63" s="4"/>
    </row>
    <row r="64" spans="1:9">
      <c r="A64" s="2">
        <v>2008</v>
      </c>
      <c r="B64" s="3">
        <v>1</v>
      </c>
      <c r="C64" s="3">
        <v>19</v>
      </c>
      <c r="D64" s="3">
        <v>337</v>
      </c>
      <c r="E64" s="3">
        <v>245</v>
      </c>
      <c r="F64" s="3">
        <v>664</v>
      </c>
      <c r="G64" s="3">
        <v>1277</v>
      </c>
      <c r="H64" s="3"/>
      <c r="I64" s="4"/>
    </row>
    <row r="65" spans="1:9">
      <c r="A65" s="2">
        <v>2009</v>
      </c>
      <c r="B65" s="3">
        <v>3</v>
      </c>
      <c r="C65" s="3">
        <v>178</v>
      </c>
      <c r="D65" s="3">
        <v>863</v>
      </c>
      <c r="E65" s="3">
        <v>359</v>
      </c>
      <c r="F65" s="3">
        <v>967</v>
      </c>
      <c r="G65" s="3">
        <v>2392</v>
      </c>
      <c r="H65" s="3"/>
      <c r="I65" s="4"/>
    </row>
    <row r="66" spans="1:9">
      <c r="A66" s="2">
        <v>2010</v>
      </c>
      <c r="B66" s="3">
        <v>9</v>
      </c>
      <c r="C66" s="3">
        <v>199</v>
      </c>
      <c r="D66" s="3">
        <v>763</v>
      </c>
      <c r="E66" s="3">
        <v>348</v>
      </c>
      <c r="F66" s="3">
        <v>858</v>
      </c>
      <c r="G66" s="3">
        <v>2202</v>
      </c>
      <c r="H66" s="3"/>
      <c r="I66" s="4"/>
    </row>
    <row r="67" spans="1:9">
      <c r="A67" s="2">
        <v>2011</v>
      </c>
      <c r="B67" s="3">
        <v>12</v>
      </c>
      <c r="C67" s="3">
        <v>209</v>
      </c>
      <c r="D67" s="3">
        <v>488</v>
      </c>
      <c r="E67" s="3">
        <v>199</v>
      </c>
      <c r="F67" s="3">
        <v>515</v>
      </c>
      <c r="G67" s="3">
        <v>1444</v>
      </c>
      <c r="H67" s="3"/>
      <c r="I67" s="4"/>
    </row>
    <row r="68" spans="1:9">
      <c r="A68" s="2">
        <v>2012</v>
      </c>
      <c r="B68" s="3">
        <v>10</v>
      </c>
      <c r="C68" s="3">
        <v>216</v>
      </c>
      <c r="D68" s="3">
        <v>515</v>
      </c>
      <c r="E68" s="3">
        <v>188</v>
      </c>
      <c r="F68" s="3">
        <v>510</v>
      </c>
      <c r="G68" s="3">
        <v>1453</v>
      </c>
      <c r="H68" s="3"/>
      <c r="I68" s="4"/>
    </row>
    <row r="69" spans="1:9">
      <c r="A69" s="2"/>
      <c r="B69" s="3"/>
      <c r="C69" s="3"/>
      <c r="D69" s="3"/>
      <c r="E69" s="3"/>
      <c r="F69" s="3"/>
      <c r="G69" s="3"/>
      <c r="H69" s="3"/>
      <c r="I69" s="4"/>
    </row>
    <row r="70" spans="1:9">
      <c r="A70" s="42" t="s">
        <v>12</v>
      </c>
      <c r="B70" s="43"/>
      <c r="C70" s="43"/>
      <c r="D70" s="43"/>
      <c r="E70" s="43"/>
      <c r="F70" s="43"/>
      <c r="G70" s="43"/>
      <c r="H70" s="8"/>
      <c r="I70" s="13"/>
    </row>
    <row r="71" spans="1:9">
      <c r="A71" s="2"/>
      <c r="B71" s="3"/>
      <c r="C71" s="3"/>
      <c r="D71" s="3"/>
      <c r="E71" s="3"/>
      <c r="F71" s="3"/>
      <c r="G71" s="3"/>
      <c r="H71" s="3"/>
      <c r="I71" s="4"/>
    </row>
    <row r="72" spans="1:9">
      <c r="A72" s="39"/>
      <c r="B72" s="33" t="s">
        <v>0</v>
      </c>
      <c r="C72" s="33" t="s">
        <v>1</v>
      </c>
      <c r="D72" s="33" t="s">
        <v>2</v>
      </c>
      <c r="E72" s="33" t="s">
        <v>7</v>
      </c>
      <c r="F72" s="33" t="s">
        <v>4</v>
      </c>
      <c r="G72" s="34" t="s">
        <v>9</v>
      </c>
      <c r="H72" s="33"/>
      <c r="I72" s="40"/>
    </row>
    <row r="73" spans="1:9">
      <c r="A73" s="2">
        <v>2006</v>
      </c>
      <c r="B73" s="3">
        <v>0</v>
      </c>
      <c r="C73" s="3">
        <v>2</v>
      </c>
      <c r="D73" s="3">
        <v>4</v>
      </c>
      <c r="E73" s="3">
        <v>3</v>
      </c>
      <c r="F73" s="3">
        <v>5</v>
      </c>
      <c r="G73" s="3">
        <v>14</v>
      </c>
      <c r="H73" s="3"/>
      <c r="I73" s="4"/>
    </row>
    <row r="74" spans="1:9">
      <c r="A74" s="2">
        <v>2007</v>
      </c>
      <c r="B74" s="3">
        <v>0</v>
      </c>
      <c r="C74" s="3">
        <v>1</v>
      </c>
      <c r="D74" s="3">
        <v>9</v>
      </c>
      <c r="E74" s="3">
        <v>6</v>
      </c>
      <c r="F74" s="3">
        <v>6</v>
      </c>
      <c r="G74" s="3">
        <v>22</v>
      </c>
      <c r="H74" s="3"/>
      <c r="I74" s="4"/>
    </row>
    <row r="75" spans="1:9">
      <c r="A75" s="2">
        <v>2008</v>
      </c>
      <c r="B75" s="3">
        <v>0</v>
      </c>
      <c r="C75" s="3">
        <v>3</v>
      </c>
      <c r="D75" s="3">
        <v>37</v>
      </c>
      <c r="E75" s="3">
        <v>27</v>
      </c>
      <c r="F75" s="3">
        <v>55</v>
      </c>
      <c r="G75" s="3">
        <v>122</v>
      </c>
      <c r="H75" s="3"/>
      <c r="I75" s="4"/>
    </row>
    <row r="76" spans="1:9">
      <c r="A76" s="2">
        <v>2009</v>
      </c>
      <c r="B76" s="3">
        <v>0</v>
      </c>
      <c r="C76" s="3">
        <v>19</v>
      </c>
      <c r="D76" s="3">
        <v>71</v>
      </c>
      <c r="E76" s="3">
        <v>20</v>
      </c>
      <c r="F76" s="3">
        <v>46</v>
      </c>
      <c r="G76" s="3">
        <v>158</v>
      </c>
      <c r="H76" s="3"/>
      <c r="I76" s="4"/>
    </row>
    <row r="77" spans="1:9">
      <c r="A77" s="2">
        <v>2010</v>
      </c>
      <c r="B77" s="3">
        <v>2</v>
      </c>
      <c r="C77" s="3">
        <v>26</v>
      </c>
      <c r="D77" s="3">
        <v>79</v>
      </c>
      <c r="E77" s="3">
        <v>20</v>
      </c>
      <c r="F77" s="3">
        <v>43</v>
      </c>
      <c r="G77" s="3">
        <v>171</v>
      </c>
      <c r="H77" s="3"/>
      <c r="I77" s="4"/>
    </row>
    <row r="78" spans="1:9">
      <c r="A78" s="2">
        <v>2011</v>
      </c>
      <c r="B78" s="3">
        <v>4</v>
      </c>
      <c r="C78" s="3">
        <v>37</v>
      </c>
      <c r="D78" s="3">
        <v>44</v>
      </c>
      <c r="E78" s="3">
        <v>13</v>
      </c>
      <c r="F78" s="3">
        <v>32</v>
      </c>
      <c r="G78" s="3">
        <v>132</v>
      </c>
      <c r="H78" s="3"/>
      <c r="I78" s="4"/>
    </row>
    <row r="79" spans="1:9">
      <c r="A79" s="2">
        <v>2012</v>
      </c>
      <c r="B79" s="3">
        <v>3</v>
      </c>
      <c r="C79" s="3">
        <v>39</v>
      </c>
      <c r="D79" s="3">
        <v>54</v>
      </c>
      <c r="E79" s="3">
        <v>15</v>
      </c>
      <c r="F79" s="3">
        <v>24</v>
      </c>
      <c r="G79" s="3">
        <v>137</v>
      </c>
      <c r="H79" s="3"/>
      <c r="I79" s="4"/>
    </row>
    <row r="80" spans="1:9" ht="13.5" thickBot="1">
      <c r="A80" s="5"/>
      <c r="B80" s="6"/>
      <c r="C80" s="6"/>
      <c r="D80" s="6"/>
      <c r="E80" s="6"/>
      <c r="F80" s="6"/>
      <c r="G80" s="6"/>
      <c r="H80" s="6"/>
      <c r="I80" s="7"/>
    </row>
    <row r="81" spans="1:9">
      <c r="A81" s="17" t="s">
        <v>25</v>
      </c>
      <c r="B81" s="3"/>
      <c r="C81" s="3"/>
      <c r="D81" s="3"/>
      <c r="E81" s="3"/>
      <c r="F81" s="3"/>
      <c r="G81" s="3"/>
      <c r="H81" s="3"/>
      <c r="I81" s="3"/>
    </row>
    <row r="82" spans="1:9" ht="69" customHeight="1">
      <c r="A82" s="41" t="s">
        <v>30</v>
      </c>
      <c r="B82" s="41"/>
      <c r="C82" s="41"/>
      <c r="D82" s="41"/>
      <c r="E82" s="41"/>
      <c r="F82" s="41"/>
      <c r="G82" s="41"/>
      <c r="H82" s="41"/>
      <c r="I82" s="41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</sheetData>
  <mergeCells count="9">
    <mergeCell ref="A82:I82"/>
    <mergeCell ref="A15:G15"/>
    <mergeCell ref="A26:G26"/>
    <mergeCell ref="A2:J2"/>
    <mergeCell ref="A4:G4"/>
    <mergeCell ref="A59:G59"/>
    <mergeCell ref="A37:G37"/>
    <mergeCell ref="A70:G70"/>
    <mergeCell ref="A48:G48"/>
  </mergeCells>
  <phoneticPr fontId="1" type="noConversion"/>
  <printOptions horizontalCentered="1" verticalCentered="1"/>
  <pageMargins left="0.86" right="0.25" top="0.43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8"/>
  <sheetViews>
    <sheetView tabSelected="1" workbookViewId="0">
      <selection activeCell="A3" sqref="A3"/>
    </sheetView>
  </sheetViews>
  <sheetFormatPr defaultRowHeight="12.75"/>
  <cols>
    <col min="1" max="1" width="21.28515625" style="1" customWidth="1"/>
    <col min="2" max="2" width="12.85546875" style="1" customWidth="1"/>
    <col min="3" max="3" width="13.42578125" style="1" bestFit="1" customWidth="1"/>
    <col min="4" max="4" width="12.85546875" style="1" customWidth="1"/>
    <col min="5" max="5" width="13.5703125" style="1" customWidth="1"/>
    <col min="6" max="6" width="13.28515625" style="1" customWidth="1"/>
    <col min="7" max="16384" width="9.140625" style="1"/>
  </cols>
  <sheetData>
    <row r="1" spans="1:7">
      <c r="A1" s="47" t="s">
        <v>24</v>
      </c>
      <c r="B1" s="48"/>
      <c r="C1" s="48"/>
      <c r="D1" s="48"/>
      <c r="E1" s="48"/>
      <c r="F1" s="49"/>
    </row>
    <row r="2" spans="1:7">
      <c r="A2" s="50" t="s">
        <v>33</v>
      </c>
      <c r="B2" s="44"/>
      <c r="C2" s="44"/>
      <c r="D2" s="44"/>
      <c r="E2" s="44"/>
      <c r="F2" s="51"/>
    </row>
    <row r="3" spans="1:7">
      <c r="A3" s="31"/>
      <c r="B3" s="30"/>
      <c r="C3" s="30"/>
      <c r="D3" s="30"/>
      <c r="E3" s="30"/>
      <c r="F3" s="32"/>
    </row>
    <row r="4" spans="1:7">
      <c r="A4" s="18" t="s">
        <v>15</v>
      </c>
      <c r="B4" s="19" t="s">
        <v>0</v>
      </c>
      <c r="C4" s="19" t="s">
        <v>1</v>
      </c>
      <c r="D4" s="19" t="s">
        <v>2</v>
      </c>
      <c r="E4" s="19" t="s">
        <v>3</v>
      </c>
      <c r="F4" s="23" t="s">
        <v>4</v>
      </c>
    </row>
    <row r="5" spans="1:7">
      <c r="A5" s="21">
        <v>2006</v>
      </c>
      <c r="B5" s="20">
        <f>'Loans Originated'!B7/'Loans Originated'!$G$7</f>
        <v>4.4444444444444444E-3</v>
      </c>
      <c r="C5" s="20">
        <f>'Loans Originated'!C7/'Loans Originated'!$G$7</f>
        <v>2.6666666666666668E-2</v>
      </c>
      <c r="D5" s="20">
        <f>'Loans Originated'!D7/'Loans Originated'!$G$7</f>
        <v>0.3511111111111111</v>
      </c>
      <c r="E5" s="20">
        <f>'Loans Originated'!E7/'Loans Originated'!$G$7</f>
        <v>0.21333333333333335</v>
      </c>
      <c r="F5" s="24">
        <f>'Loans Originated'!F7/'Loans Originated'!$G$7</f>
        <v>0.39111111111111113</v>
      </c>
      <c r="G5" s="29"/>
    </row>
    <row r="6" spans="1:7">
      <c r="A6" s="21">
        <v>2007</v>
      </c>
      <c r="B6" s="20">
        <f>'Loans Originated'!B8/'Loans Originated'!$G$8</f>
        <v>8.0645161290322578E-3</v>
      </c>
      <c r="C6" s="20">
        <f>'Loans Originated'!C8/'Loans Originated'!$G$8</f>
        <v>8.0645161290322578E-3</v>
      </c>
      <c r="D6" s="20">
        <f>'Loans Originated'!D8/'Loans Originated'!$G$8</f>
        <v>0.25</v>
      </c>
      <c r="E6" s="20">
        <f>'Loans Originated'!E8/'Loans Originated'!$G$8</f>
        <v>0.20967741935483872</v>
      </c>
      <c r="F6" s="24">
        <f>'Loans Originated'!F8/'Loans Originated'!$G$8</f>
        <v>0.52016129032258063</v>
      </c>
      <c r="G6" s="29"/>
    </row>
    <row r="7" spans="1:7">
      <c r="A7" s="21">
        <v>2008</v>
      </c>
      <c r="B7" s="20">
        <f>'Loans Originated'!B9/'Loans Originated'!$G$9</f>
        <v>6.793478260869565E-4</v>
      </c>
      <c r="C7" s="20">
        <f>'Loans Originated'!C9/'Loans Originated'!$G$9</f>
        <v>1.5625E-2</v>
      </c>
      <c r="D7" s="20">
        <f>'Loans Originated'!D9/'Loans Originated'!$G$9</f>
        <v>0.2608695652173913</v>
      </c>
      <c r="E7" s="20">
        <f>'Loans Originated'!E9/'Loans Originated'!$G$9</f>
        <v>0.19157608695652173</v>
      </c>
      <c r="F7" s="24">
        <f>'Loans Originated'!F9/'Loans Originated'!$G$9</f>
        <v>0.52309782608695654</v>
      </c>
      <c r="G7" s="29"/>
    </row>
    <row r="8" spans="1:7">
      <c r="A8" s="21">
        <v>2009</v>
      </c>
      <c r="B8" s="20">
        <f>'Loans Originated'!B10/'Loans Originated'!$G$10</f>
        <v>2.7972027972027972E-3</v>
      </c>
      <c r="C8" s="20">
        <f>'Loans Originated'!C10/'Loans Originated'!$G$10</f>
        <v>7.8671328671328672E-2</v>
      </c>
      <c r="D8" s="20">
        <f>'Loans Originated'!D10/'Loans Originated'!$G$10</f>
        <v>0.36223776223776222</v>
      </c>
      <c r="E8" s="20">
        <f>'Loans Originated'!E10/'Loans Originated'!$G$10</f>
        <v>0.14790209790209791</v>
      </c>
      <c r="F8" s="24">
        <f>'Loans Originated'!F10/'Loans Originated'!$G$10</f>
        <v>0.39895104895104894</v>
      </c>
      <c r="G8" s="29"/>
    </row>
    <row r="9" spans="1:7">
      <c r="A9" s="21">
        <v>2010</v>
      </c>
      <c r="B9" s="20">
        <f>'Loans Originated'!B11/'Loans Originated'!$G$11</f>
        <v>5.3191489361702126E-3</v>
      </c>
      <c r="C9" s="20">
        <f>'Loans Originated'!C11/'Loans Originated'!$G$11</f>
        <v>0.10144376899696049</v>
      </c>
      <c r="D9" s="20">
        <f>'Loans Originated'!D11/'Loans Originated'!$G$11</f>
        <v>0.34346504559270519</v>
      </c>
      <c r="E9" s="20">
        <f>'Loans Originated'!E11/'Loans Originated'!$G$11</f>
        <v>0.15615501519756839</v>
      </c>
      <c r="F9" s="24">
        <f>'Loans Originated'!F11/'Loans Originated'!$G$11</f>
        <v>0.3810790273556231</v>
      </c>
      <c r="G9" s="29"/>
    </row>
    <row r="10" spans="1:7">
      <c r="A10" s="21">
        <v>2011</v>
      </c>
      <c r="B10" s="20">
        <f>'Loans Originated'!B12/'Loans Originated'!$G$12</f>
        <v>8.7767416346681299E-3</v>
      </c>
      <c r="C10" s="20">
        <f>'Loans Originated'!C12/'Loans Originated'!$G$12</f>
        <v>0.15249588590235874</v>
      </c>
      <c r="D10" s="20">
        <f>'Loans Originated'!D12/'Loans Originated'!$G$12</f>
        <v>0.34174437739989028</v>
      </c>
      <c r="E10" s="20">
        <f>'Loans Originated'!E12/'Loans Originated'!$G$12</f>
        <v>0.13933077345035655</v>
      </c>
      <c r="F10" s="24">
        <f>'Loans Originated'!F12/'Loans Originated'!$G$12</f>
        <v>0.34448710916072406</v>
      </c>
      <c r="G10" s="29"/>
    </row>
    <row r="11" spans="1:7">
      <c r="A11" s="21">
        <v>2012</v>
      </c>
      <c r="B11" s="20">
        <f>'Loans Originated'!B13/'Loans Originated'!$G$13</f>
        <v>6.6481994459833792E-3</v>
      </c>
      <c r="C11" s="20">
        <f>'Loans Originated'!C13/'Loans Originated'!$G$13</f>
        <v>0.15346260387811633</v>
      </c>
      <c r="D11" s="20">
        <f>'Loans Originated'!D13/'Loans Originated'!$G$13</f>
        <v>0.3673130193905817</v>
      </c>
      <c r="E11" s="20">
        <f>'Loans Originated'!E13/'Loans Originated'!$G$13</f>
        <v>0.13019390581717452</v>
      </c>
      <c r="F11" s="24">
        <f>'Loans Originated'!F13/'Loans Originated'!$G$13</f>
        <v>0.3335180055401662</v>
      </c>
      <c r="G11" s="29"/>
    </row>
    <row r="12" spans="1:7">
      <c r="A12" s="21"/>
      <c r="B12" s="22"/>
      <c r="C12" s="22"/>
      <c r="D12" s="22"/>
      <c r="E12" s="22"/>
      <c r="F12" s="25"/>
    </row>
    <row r="13" spans="1:7">
      <c r="A13" s="18" t="s">
        <v>22</v>
      </c>
      <c r="B13" s="19" t="s">
        <v>0</v>
      </c>
      <c r="C13" s="19" t="s">
        <v>1</v>
      </c>
      <c r="D13" s="19" t="s">
        <v>2</v>
      </c>
      <c r="E13" s="19" t="s">
        <v>3</v>
      </c>
      <c r="F13" s="23" t="s">
        <v>4</v>
      </c>
    </row>
    <row r="14" spans="1:7">
      <c r="A14" s="21">
        <v>2006</v>
      </c>
      <c r="B14" s="20">
        <f>'Loans Originated'!B18/'Loans Originated'!$G$18</f>
        <v>0</v>
      </c>
      <c r="C14" s="20">
        <f>'Loans Originated'!C18/'Loans Originated'!$G$18</f>
        <v>0</v>
      </c>
      <c r="D14" s="20">
        <f>'Loans Originated'!D18/'Loans Originated'!$G$18</f>
        <v>0.36363636363636365</v>
      </c>
      <c r="E14" s="20">
        <f>'Loans Originated'!E18/'Loans Originated'!$G$18</f>
        <v>0.18181818181818182</v>
      </c>
      <c r="F14" s="24">
        <f>'Loans Originated'!F18/'Loans Originated'!$G$18</f>
        <v>0.45454545454545453</v>
      </c>
    </row>
    <row r="15" spans="1:7">
      <c r="A15" s="21">
        <v>2007</v>
      </c>
      <c r="B15" s="20">
        <f>'Loans Originated'!B19/'Loans Originated'!$G$19</f>
        <v>0</v>
      </c>
      <c r="C15" s="20">
        <f>'Loans Originated'!C19/'Loans Originated'!$G$19</f>
        <v>0</v>
      </c>
      <c r="D15" s="20">
        <f>'Loans Originated'!D19/'Loans Originated'!$G$19</f>
        <v>0</v>
      </c>
      <c r="E15" s="20">
        <f>'Loans Originated'!E19/'Loans Originated'!$G$19</f>
        <v>0.25</v>
      </c>
      <c r="F15" s="24">
        <f>'Loans Originated'!F19/'Loans Originated'!$G$19</f>
        <v>0.75</v>
      </c>
    </row>
    <row r="16" spans="1:7">
      <c r="A16" s="21">
        <v>2008</v>
      </c>
      <c r="B16" s="20">
        <f>'Loans Originated'!B20/'Loans Originated'!$G$20</f>
        <v>0</v>
      </c>
      <c r="C16" s="20">
        <f>'Loans Originated'!C20/'Loans Originated'!$G$20</f>
        <v>0</v>
      </c>
      <c r="D16" s="20">
        <f>'Loans Originated'!D20/'Loans Originated'!$G$20</f>
        <v>0.25</v>
      </c>
      <c r="E16" s="20">
        <f>'Loans Originated'!E20/'Loans Originated'!$G$20</f>
        <v>0.1875</v>
      </c>
      <c r="F16" s="24">
        <f>'Loans Originated'!F20/'Loans Originated'!$G$20</f>
        <v>0.5625</v>
      </c>
    </row>
    <row r="17" spans="1:6">
      <c r="A17" s="21">
        <v>2009</v>
      </c>
      <c r="B17" s="20">
        <f>'Loans Originated'!B21/'Loans Originated'!$G$21</f>
        <v>0</v>
      </c>
      <c r="C17" s="20">
        <f>'Loans Originated'!C21/'Loans Originated'!$G$21</f>
        <v>0.1111111111111111</v>
      </c>
      <c r="D17" s="20">
        <f>'Loans Originated'!D21/'Loans Originated'!$G$21</f>
        <v>0.44444444444444442</v>
      </c>
      <c r="E17" s="20">
        <f>'Loans Originated'!E21/'Loans Originated'!$G$21</f>
        <v>8.3333333333333329E-2</v>
      </c>
      <c r="F17" s="24">
        <f>'Loans Originated'!F21/'Loans Originated'!$G$21</f>
        <v>0.3611111111111111</v>
      </c>
    </row>
    <row r="18" spans="1:6">
      <c r="A18" s="21">
        <v>2010</v>
      </c>
      <c r="B18" s="20">
        <f>'Loans Originated'!B22/'Loans Originated'!$G$22</f>
        <v>3.5714285714285712E-2</v>
      </c>
      <c r="C18" s="20">
        <f>'Loans Originated'!C22/'Loans Originated'!$G$22</f>
        <v>0.10714285714285714</v>
      </c>
      <c r="D18" s="20">
        <f>'Loans Originated'!D22/'Loans Originated'!$G$22</f>
        <v>0.42857142857142855</v>
      </c>
      <c r="E18" s="20">
        <f>'Loans Originated'!E22/'Loans Originated'!$G$22</f>
        <v>0.10714285714285714</v>
      </c>
      <c r="F18" s="24">
        <f>'Loans Originated'!F22/'Loans Originated'!$G$22</f>
        <v>0.32142857142857145</v>
      </c>
    </row>
    <row r="19" spans="1:6">
      <c r="A19" s="21">
        <v>2011</v>
      </c>
      <c r="B19" s="20">
        <f>'Loans Originated'!B23/'Loans Originated'!$G$23</f>
        <v>0</v>
      </c>
      <c r="C19" s="20">
        <f>'Loans Originated'!C23/'Loans Originated'!$G$23</f>
        <v>0.21052631578947367</v>
      </c>
      <c r="D19" s="20">
        <f>'Loans Originated'!D23/'Loans Originated'!$G$23</f>
        <v>0.31578947368421051</v>
      </c>
      <c r="E19" s="20">
        <f>'Loans Originated'!E23/'Loans Originated'!$G$23</f>
        <v>0</v>
      </c>
      <c r="F19" s="24">
        <f>'Loans Originated'!F23/'Loans Originated'!$G$23</f>
        <v>0.47368421052631576</v>
      </c>
    </row>
    <row r="20" spans="1:6">
      <c r="A20" s="21">
        <v>2012</v>
      </c>
      <c r="B20" s="20">
        <f>'Loans Originated'!B24/'Loans Originated'!$G$24</f>
        <v>7.1428571428571425E-2</v>
      </c>
      <c r="C20" s="20">
        <f>'Loans Originated'!C24/'Loans Originated'!$G$24</f>
        <v>3.5714285714285712E-2</v>
      </c>
      <c r="D20" s="20">
        <f>'Loans Originated'!D24/'Loans Originated'!$G$24</f>
        <v>0.5</v>
      </c>
      <c r="E20" s="20">
        <f>'Loans Originated'!E24/'Loans Originated'!$G$24</f>
        <v>0.17857142857142858</v>
      </c>
      <c r="F20" s="24">
        <f>'Loans Originated'!F24/'Loans Originated'!$G$24</f>
        <v>0.21428571428571427</v>
      </c>
    </row>
    <row r="21" spans="1:6">
      <c r="A21" s="21"/>
      <c r="B21" s="22"/>
      <c r="C21" s="22"/>
      <c r="D21" s="22"/>
      <c r="E21" s="22"/>
      <c r="F21" s="25"/>
    </row>
    <row r="22" spans="1:6">
      <c r="A22" s="18" t="s">
        <v>18</v>
      </c>
      <c r="B22" s="19" t="s">
        <v>0</v>
      </c>
      <c r="C22" s="19" t="s">
        <v>1</v>
      </c>
      <c r="D22" s="19" t="s">
        <v>2</v>
      </c>
      <c r="E22" s="19" t="s">
        <v>3</v>
      </c>
      <c r="F22" s="23" t="s">
        <v>4</v>
      </c>
    </row>
    <row r="23" spans="1:6">
      <c r="A23" s="21">
        <v>2006</v>
      </c>
      <c r="B23" s="20">
        <f>'Loans Originated'!B29/'Loans Originated'!$G$29</f>
        <v>6.6666666666666666E-2</v>
      </c>
      <c r="C23" s="20">
        <f>'Loans Originated'!C29/'Loans Originated'!$G$29</f>
        <v>6.6666666666666666E-2</v>
      </c>
      <c r="D23" s="20">
        <f>'Loans Originated'!D29/'Loans Originated'!$G$29</f>
        <v>0.26666666666666666</v>
      </c>
      <c r="E23" s="20">
        <f>'Loans Originated'!E29/'Loans Originated'!$G$29</f>
        <v>0.33333333333333331</v>
      </c>
      <c r="F23" s="24">
        <f>'Loans Originated'!F29/'Loans Originated'!$G$29</f>
        <v>0.26666666666666666</v>
      </c>
    </row>
    <row r="24" spans="1:6">
      <c r="A24" s="21">
        <v>2007</v>
      </c>
      <c r="B24" s="20">
        <f>'Loans Originated'!B30/'Loans Originated'!$G$30</f>
        <v>0</v>
      </c>
      <c r="C24" s="20">
        <f>'Loans Originated'!C30/'Loans Originated'!$G$30</f>
        <v>0</v>
      </c>
      <c r="D24" s="20">
        <f>'Loans Originated'!D30/'Loans Originated'!$G$30</f>
        <v>0.16666666666666666</v>
      </c>
      <c r="E24" s="20">
        <f>'Loans Originated'!E30/'Loans Originated'!$G$30</f>
        <v>0.33333333333333331</v>
      </c>
      <c r="F24" s="24">
        <f>'Loans Originated'!F30/'Loans Originated'!$G$30</f>
        <v>0.5</v>
      </c>
    </row>
    <row r="25" spans="1:6">
      <c r="A25" s="21">
        <v>2008</v>
      </c>
      <c r="B25" s="20">
        <f>'Loans Originated'!B31/'Loans Originated'!$G$31</f>
        <v>0</v>
      </c>
      <c r="C25" s="20">
        <f>'Loans Originated'!C31/'Loans Originated'!$G$31</f>
        <v>1.3157894736842105E-2</v>
      </c>
      <c r="D25" s="20">
        <f>'Loans Originated'!D31/'Loans Originated'!$G$31</f>
        <v>0.19736842105263158</v>
      </c>
      <c r="E25" s="20">
        <f>'Loans Originated'!E31/'Loans Originated'!$G$31</f>
        <v>0.18421052631578946</v>
      </c>
      <c r="F25" s="24">
        <f>'Loans Originated'!F31/'Loans Originated'!$G$31</f>
        <v>0.59210526315789469</v>
      </c>
    </row>
    <row r="26" spans="1:6">
      <c r="A26" s="21">
        <v>2009</v>
      </c>
      <c r="B26" s="20">
        <f>'Loans Originated'!B32/'Loans Originated'!$G$32</f>
        <v>7.462686567164179E-3</v>
      </c>
      <c r="C26" s="20">
        <f>'Loans Originated'!C32/'Loans Originated'!$G$32</f>
        <v>7.4626865671641784E-2</v>
      </c>
      <c r="D26" s="20">
        <f>'Loans Originated'!D32/'Loans Originated'!$G$32</f>
        <v>0.39552238805970147</v>
      </c>
      <c r="E26" s="20">
        <f>'Loans Originated'!E32/'Loans Originated'!$G$32</f>
        <v>0.1417910447761194</v>
      </c>
      <c r="F26" s="24">
        <f>'Loans Originated'!F32/'Loans Originated'!$G$32</f>
        <v>0.37313432835820898</v>
      </c>
    </row>
    <row r="27" spans="1:6">
      <c r="A27" s="21">
        <v>2010</v>
      </c>
      <c r="B27" s="20">
        <f>'Loans Originated'!B33/'Loans Originated'!$G$33</f>
        <v>1.6528925619834711E-2</v>
      </c>
      <c r="C27" s="20">
        <f>'Loans Originated'!C33/'Loans Originated'!$G$33</f>
        <v>0.19834710743801653</v>
      </c>
      <c r="D27" s="20">
        <f>'Loans Originated'!D33/'Loans Originated'!$G$33</f>
        <v>0.36363636363636365</v>
      </c>
      <c r="E27" s="20">
        <f>'Loans Originated'!E33/'Loans Originated'!$G$33</f>
        <v>0.16528925619834711</v>
      </c>
      <c r="F27" s="24">
        <f>'Loans Originated'!F33/'Loans Originated'!$G$33</f>
        <v>0.23966942148760331</v>
      </c>
    </row>
    <row r="28" spans="1:6">
      <c r="A28" s="21">
        <v>2011</v>
      </c>
      <c r="B28" s="20">
        <f>'Loans Originated'!B34/'Loans Originated'!$G$34</f>
        <v>1.7699115044247787E-2</v>
      </c>
      <c r="C28" s="20">
        <f>'Loans Originated'!C34/'Loans Originated'!$G$34</f>
        <v>0.20353982300884957</v>
      </c>
      <c r="D28" s="20">
        <f>'Loans Originated'!D34/'Loans Originated'!$G$34</f>
        <v>0.32743362831858408</v>
      </c>
      <c r="E28" s="20">
        <f>'Loans Originated'!E34/'Loans Originated'!$G$34</f>
        <v>0.15929203539823009</v>
      </c>
      <c r="F28" s="24">
        <f>'Loans Originated'!F34/'Loans Originated'!$G$34</f>
        <v>0.29203539823008851</v>
      </c>
    </row>
    <row r="29" spans="1:6">
      <c r="A29" s="21">
        <v>2012</v>
      </c>
      <c r="B29" s="20">
        <f>'Loans Originated'!B35/'Loans Originated'!$G$35</f>
        <v>0</v>
      </c>
      <c r="C29" s="20">
        <f>'Loans Originated'!C35/'Loans Originated'!$G$35</f>
        <v>0.1415929203539823</v>
      </c>
      <c r="D29" s="20">
        <f>'Loans Originated'!D35/'Loans Originated'!$G$35</f>
        <v>0.45132743362831856</v>
      </c>
      <c r="E29" s="20">
        <f>'Loans Originated'!E35/'Loans Originated'!$G$35</f>
        <v>0.10619469026548672</v>
      </c>
      <c r="F29" s="24">
        <f>'Loans Originated'!F35/'Loans Originated'!$G$35</f>
        <v>0.29203539823008851</v>
      </c>
    </row>
    <row r="30" spans="1:6">
      <c r="A30" s="21"/>
      <c r="B30" s="22"/>
      <c r="C30" s="22"/>
      <c r="D30" s="22"/>
      <c r="E30" s="22"/>
      <c r="F30" s="25"/>
    </row>
    <row r="31" spans="1:6">
      <c r="A31" s="18" t="s">
        <v>17</v>
      </c>
      <c r="B31" s="19" t="s">
        <v>0</v>
      </c>
      <c r="C31" s="19" t="s">
        <v>1</v>
      </c>
      <c r="D31" s="19" t="s">
        <v>2</v>
      </c>
      <c r="E31" s="19" t="s">
        <v>3</v>
      </c>
      <c r="F31" s="23" t="s">
        <v>4</v>
      </c>
    </row>
    <row r="32" spans="1:6">
      <c r="A32" s="21">
        <v>2006</v>
      </c>
      <c r="B32" s="20">
        <f>'Loans Originated'!B40/'Loans Originated'!$G$40</f>
        <v>0</v>
      </c>
      <c r="C32" s="20">
        <f>'Loans Originated'!C40/'Loans Originated'!$G$40</f>
        <v>0</v>
      </c>
      <c r="D32" s="20">
        <f>'Loans Originated'!D40/'Loans Originated'!$G$40</f>
        <v>0.42857142857142855</v>
      </c>
      <c r="E32" s="20">
        <f>'Loans Originated'!E40/'Loans Originated'!$G$40</f>
        <v>0.14285714285714285</v>
      </c>
      <c r="F32" s="24">
        <f>'Loans Originated'!F40/'Loans Originated'!$G$40</f>
        <v>0.42857142857142855</v>
      </c>
    </row>
    <row r="33" spans="1:6">
      <c r="A33" s="21">
        <v>2007</v>
      </c>
      <c r="B33" s="20">
        <f>'Loans Originated'!B41/'Loans Originated'!$G$41</f>
        <v>0</v>
      </c>
      <c r="C33" s="20">
        <f>'Loans Originated'!C41/'Loans Originated'!$G$41</f>
        <v>0</v>
      </c>
      <c r="D33" s="20">
        <f>'Loans Originated'!D41/'Loans Originated'!$G$41</f>
        <v>0.27272727272727271</v>
      </c>
      <c r="E33" s="20">
        <f>'Loans Originated'!E41/'Loans Originated'!$G$41</f>
        <v>0.27272727272727271</v>
      </c>
      <c r="F33" s="24">
        <f>'Loans Originated'!F41/'Loans Originated'!$G$41</f>
        <v>0.45454545454545453</v>
      </c>
    </row>
    <row r="34" spans="1:6">
      <c r="A34" s="21">
        <v>2008</v>
      </c>
      <c r="B34" s="20">
        <f>'Loans Originated'!B42/'Loans Originated'!$G$42</f>
        <v>0</v>
      </c>
      <c r="C34" s="20">
        <f>'Loans Originated'!C42/'Loans Originated'!$G$42</f>
        <v>0</v>
      </c>
      <c r="D34" s="20">
        <f>'Loans Originated'!D42/'Loans Originated'!$G$42</f>
        <v>0.19607843137254902</v>
      </c>
      <c r="E34" s="20">
        <f>'Loans Originated'!E42/'Loans Originated'!$G$42</f>
        <v>0.23529411764705882</v>
      </c>
      <c r="F34" s="24">
        <f>'Loans Originated'!F42/'Loans Originated'!$G$42</f>
        <v>0.56862745098039214</v>
      </c>
    </row>
    <row r="35" spans="1:6">
      <c r="A35" s="21">
        <v>2009</v>
      </c>
      <c r="B35" s="20">
        <f>'Loans Originated'!B43/'Loans Originated'!$G$43</f>
        <v>0</v>
      </c>
      <c r="C35" s="20">
        <f>'Loans Originated'!C43/'Loans Originated'!$G$43</f>
        <v>5.8823529411764705E-2</v>
      </c>
      <c r="D35" s="20">
        <f>'Loans Originated'!D43/'Loans Originated'!$G$43</f>
        <v>0.41176470588235292</v>
      </c>
      <c r="E35" s="20">
        <f>'Loans Originated'!E43/'Loans Originated'!$G$43</f>
        <v>0.17647058823529413</v>
      </c>
      <c r="F35" s="24">
        <f>'Loans Originated'!F43/'Loans Originated'!$G$43</f>
        <v>0.35294117647058826</v>
      </c>
    </row>
    <row r="36" spans="1:6">
      <c r="A36" s="21">
        <v>2010</v>
      </c>
      <c r="B36" s="20">
        <f>'Loans Originated'!B44/'Loans Originated'!$G$44</f>
        <v>0</v>
      </c>
      <c r="C36" s="20">
        <f>'Loans Originated'!C44/'Loans Originated'!$G$44</f>
        <v>0.11267605633802817</v>
      </c>
      <c r="D36" s="20">
        <f>'Loans Originated'!D44/'Loans Originated'!$G$44</f>
        <v>0.45070422535211269</v>
      </c>
      <c r="E36" s="20">
        <f>'Loans Originated'!E44/'Loans Originated'!$G$44</f>
        <v>0.14084507042253522</v>
      </c>
      <c r="F36" s="24">
        <f>'Loans Originated'!F44/'Loans Originated'!$G$44</f>
        <v>0.26760563380281688</v>
      </c>
    </row>
    <row r="37" spans="1:6">
      <c r="A37" s="21">
        <v>2011</v>
      </c>
      <c r="B37" s="20">
        <f>'Loans Originated'!B45/'Loans Originated'!$G$45</f>
        <v>0</v>
      </c>
      <c r="C37" s="20">
        <f>'Loans Originated'!C45/'Loans Originated'!$G$45</f>
        <v>0.27083333333333331</v>
      </c>
      <c r="D37" s="20">
        <f>'Loans Originated'!D45/'Loans Originated'!$G$45</f>
        <v>0.33333333333333331</v>
      </c>
      <c r="E37" s="20">
        <f>'Loans Originated'!E45/'Loans Originated'!$G$45</f>
        <v>0.10416666666666667</v>
      </c>
      <c r="F37" s="24">
        <f>'Loans Originated'!F45/'Loans Originated'!$G$45</f>
        <v>0.29166666666666669</v>
      </c>
    </row>
    <row r="38" spans="1:6">
      <c r="A38" s="21">
        <v>2012</v>
      </c>
      <c r="B38" s="20">
        <f>'Loans Originated'!B46/'Loans Originated'!$G$46</f>
        <v>0</v>
      </c>
      <c r="C38" s="20">
        <f>'Loans Originated'!C46/'Loans Originated'!$G$46</f>
        <v>0.13461538461538461</v>
      </c>
      <c r="D38" s="20">
        <f>'Loans Originated'!D46/'Loans Originated'!$G$46</f>
        <v>0.36538461538461536</v>
      </c>
      <c r="E38" s="20">
        <f>'Loans Originated'!E46/'Loans Originated'!$G$46</f>
        <v>0.17307692307692307</v>
      </c>
      <c r="F38" s="24">
        <f>'Loans Originated'!F46/'Loans Originated'!$G$46</f>
        <v>0.30769230769230771</v>
      </c>
    </row>
    <row r="39" spans="1:6">
      <c r="A39" s="21"/>
      <c r="B39" s="20"/>
      <c r="C39" s="20"/>
      <c r="D39" s="20"/>
      <c r="E39" s="20"/>
      <c r="F39" s="24"/>
    </row>
    <row r="40" spans="1:6">
      <c r="A40" s="18" t="s">
        <v>29</v>
      </c>
      <c r="B40" s="19" t="s">
        <v>0</v>
      </c>
      <c r="C40" s="19" t="s">
        <v>1</v>
      </c>
      <c r="D40" s="19" t="s">
        <v>2</v>
      </c>
      <c r="E40" s="19" t="s">
        <v>3</v>
      </c>
      <c r="F40" s="23" t="s">
        <v>4</v>
      </c>
    </row>
    <row r="41" spans="1:6">
      <c r="A41" s="21">
        <v>2006</v>
      </c>
      <c r="B41" s="20">
        <v>0</v>
      </c>
      <c r="C41" s="20">
        <v>0</v>
      </c>
      <c r="D41" s="20">
        <v>0</v>
      </c>
      <c r="E41" s="20">
        <v>0</v>
      </c>
      <c r="F41" s="24">
        <v>0</v>
      </c>
    </row>
    <row r="42" spans="1:6">
      <c r="A42" s="21">
        <v>2007</v>
      </c>
      <c r="B42" s="20">
        <f>'Loans Originated'!B52/'Loans Originated'!$G$52</f>
        <v>0</v>
      </c>
      <c r="C42" s="20">
        <f>'Loans Originated'!C52/'Loans Originated'!$G$52</f>
        <v>0</v>
      </c>
      <c r="D42" s="20">
        <f>'Loans Originated'!D52/'Loans Originated'!$G$52</f>
        <v>0</v>
      </c>
      <c r="E42" s="20">
        <f>'Loans Originated'!E52/'Loans Originated'!$G$52</f>
        <v>1</v>
      </c>
      <c r="F42" s="24">
        <f>'Loans Originated'!F52/'Loans Originated'!$G$52</f>
        <v>0</v>
      </c>
    </row>
    <row r="43" spans="1:6">
      <c r="A43" s="21">
        <v>2008</v>
      </c>
      <c r="B43" s="20">
        <f>'Loans Originated'!B53/'Loans Originated'!$G$53</f>
        <v>0</v>
      </c>
      <c r="C43" s="20">
        <f>'Loans Originated'!C53/'Loans Originated'!$G$53</f>
        <v>0</v>
      </c>
      <c r="D43" s="20">
        <f>'Loans Originated'!D53/'Loans Originated'!$G$53</f>
        <v>0.36842105263157893</v>
      </c>
      <c r="E43" s="20">
        <f>'Loans Originated'!E53/'Loans Originated'!$G$53</f>
        <v>0.15789473684210525</v>
      </c>
      <c r="F43" s="24">
        <f>'Loans Originated'!F53/'Loans Originated'!$G$53</f>
        <v>0.47368421052631576</v>
      </c>
    </row>
    <row r="44" spans="1:6">
      <c r="A44" s="21">
        <v>2009</v>
      </c>
      <c r="B44" s="20">
        <f>'Loans Originated'!B54/'Loans Originated'!$G$54</f>
        <v>0</v>
      </c>
      <c r="C44" s="20">
        <f>'Loans Originated'!C54/'Loans Originated'!$G$54</f>
        <v>6.4516129032258063E-2</v>
      </c>
      <c r="D44" s="20">
        <f>'Loans Originated'!D54/'Loans Originated'!$G$54</f>
        <v>0.45161290322580644</v>
      </c>
      <c r="E44" s="20">
        <f>'Loans Originated'!E54/'Loans Originated'!$G$54</f>
        <v>0.12903225806451613</v>
      </c>
      <c r="F44" s="24">
        <f>'Loans Originated'!F54/'Loans Originated'!$G$54</f>
        <v>0.32258064516129031</v>
      </c>
    </row>
    <row r="45" spans="1:6">
      <c r="A45" s="21">
        <v>2010</v>
      </c>
      <c r="B45" s="20">
        <f>'Loans Originated'!B55/'Loans Originated'!$G$55</f>
        <v>0</v>
      </c>
      <c r="C45" s="20">
        <f>'Loans Originated'!C55/'Loans Originated'!$G$55</f>
        <v>0.125</v>
      </c>
      <c r="D45" s="20">
        <f>'Loans Originated'!D55/'Loans Originated'!$G$55</f>
        <v>0.375</v>
      </c>
      <c r="E45" s="20">
        <f>'Loans Originated'!E55/'Loans Originated'!$G$55</f>
        <v>0</v>
      </c>
      <c r="F45" s="24">
        <f>'Loans Originated'!F55/'Loans Originated'!$G$55</f>
        <v>0.5</v>
      </c>
    </row>
    <row r="46" spans="1:6">
      <c r="A46" s="21">
        <v>2011</v>
      </c>
      <c r="B46" s="20">
        <f>'Loans Originated'!B56/'Loans Originated'!$G$56</f>
        <v>0</v>
      </c>
      <c r="C46" s="20">
        <f>'Loans Originated'!C56/'Loans Originated'!$G$56</f>
        <v>0.11764705882352941</v>
      </c>
      <c r="D46" s="20">
        <f>'Loans Originated'!D56/'Loans Originated'!$G$56</f>
        <v>0.35294117647058826</v>
      </c>
      <c r="E46" s="20">
        <f>'Loans Originated'!E56/'Loans Originated'!$G$56</f>
        <v>5.8823529411764705E-2</v>
      </c>
      <c r="F46" s="24">
        <f>'Loans Originated'!F56/'Loans Originated'!$G$56</f>
        <v>0.47058823529411764</v>
      </c>
    </row>
    <row r="47" spans="1:6">
      <c r="A47" s="21">
        <v>2012</v>
      </c>
      <c r="B47" s="20">
        <f>'Loans Originated'!B57/'Loans Originated'!$G$57</f>
        <v>0</v>
      </c>
      <c r="C47" s="20">
        <f>'Loans Originated'!C57/'Loans Originated'!$G$57</f>
        <v>0.11764705882352941</v>
      </c>
      <c r="D47" s="20">
        <f>'Loans Originated'!D57/'Loans Originated'!$G$57</f>
        <v>0.41176470588235292</v>
      </c>
      <c r="E47" s="20">
        <f>'Loans Originated'!E57/'Loans Originated'!$G$57</f>
        <v>0.23529411764705882</v>
      </c>
      <c r="F47" s="24">
        <f>'Loans Originated'!F57/'Loans Originated'!$G$57</f>
        <v>0.23529411764705882</v>
      </c>
    </row>
    <row r="48" spans="1:6">
      <c r="A48" s="21"/>
      <c r="B48" s="22"/>
      <c r="C48" s="22"/>
      <c r="D48" s="22"/>
      <c r="E48" s="22"/>
      <c r="F48" s="25"/>
    </row>
    <row r="49" spans="1:6">
      <c r="A49" s="18" t="s">
        <v>16</v>
      </c>
      <c r="B49" s="19" t="s">
        <v>0</v>
      </c>
      <c r="C49" s="19" t="s">
        <v>1</v>
      </c>
      <c r="D49" s="19" t="s">
        <v>2</v>
      </c>
      <c r="E49" s="19" t="s">
        <v>3</v>
      </c>
      <c r="F49" s="23" t="s">
        <v>4</v>
      </c>
    </row>
    <row r="50" spans="1:6">
      <c r="A50" s="21">
        <v>2006</v>
      </c>
      <c r="B50" s="20">
        <f>'Loans Originated'!B62/'Loans Originated'!$G$62</f>
        <v>0</v>
      </c>
      <c r="C50" s="20">
        <f>'Loans Originated'!C62/'Loans Originated'!$G$62</f>
        <v>2.5252525252525252E-2</v>
      </c>
      <c r="D50" s="20">
        <f>'Loans Originated'!D62/'Loans Originated'!$G$62</f>
        <v>0.34343434343434343</v>
      </c>
      <c r="E50" s="20">
        <f>'Loans Originated'!E62/'Loans Originated'!$G$62</f>
        <v>0.22727272727272727</v>
      </c>
      <c r="F50" s="24">
        <f>'Loans Originated'!F62/'Loans Originated'!$G$62</f>
        <v>0.3888888888888889</v>
      </c>
    </row>
    <row r="51" spans="1:6">
      <c r="A51" s="21">
        <v>2007</v>
      </c>
      <c r="B51" s="20">
        <f>'Loans Originated'!B63/'Loans Originated'!$G$63</f>
        <v>9.2165898617511521E-3</v>
      </c>
      <c r="C51" s="20">
        <f>'Loans Originated'!C63/'Loans Originated'!$G$63</f>
        <v>9.2165898617511521E-3</v>
      </c>
      <c r="D51" s="20">
        <f>'Loans Originated'!D63/'Loans Originated'!$G$63</f>
        <v>0.25806451612903225</v>
      </c>
      <c r="E51" s="20">
        <f>'Loans Originated'!E63/'Loans Originated'!$G$63</f>
        <v>0.19815668202764977</v>
      </c>
      <c r="F51" s="24">
        <f>'Loans Originated'!F63/'Loans Originated'!$G$63</f>
        <v>0.52073732718894006</v>
      </c>
    </row>
    <row r="52" spans="1:6">
      <c r="A52" s="21">
        <v>2008</v>
      </c>
      <c r="B52" s="20">
        <f>'Loans Originated'!B64/'Loans Originated'!$G$64</f>
        <v>7.8308535630383712E-4</v>
      </c>
      <c r="C52" s="20">
        <f>'Loans Originated'!C64/'Loans Originated'!$G$64</f>
        <v>1.4878621769772905E-2</v>
      </c>
      <c r="D52" s="20">
        <f>'Loans Originated'!D64/'Loans Originated'!$G$64</f>
        <v>0.26389976507439311</v>
      </c>
      <c r="E52" s="20">
        <f>'Loans Originated'!E64/'Loans Originated'!$G$64</f>
        <v>0.1918559122944401</v>
      </c>
      <c r="F52" s="24">
        <f>'Loans Originated'!F64/'Loans Originated'!$G$64</f>
        <v>0.51996867658574786</v>
      </c>
    </row>
    <row r="53" spans="1:6">
      <c r="A53" s="21">
        <v>2009</v>
      </c>
      <c r="B53" s="20">
        <f>'Loans Originated'!B65/'Loans Originated'!$G$65</f>
        <v>1.254180602006689E-3</v>
      </c>
      <c r="C53" s="20">
        <f>'Loans Originated'!C65/'Loans Originated'!$G$65</f>
        <v>7.4414715719063551E-2</v>
      </c>
      <c r="D53" s="20">
        <f>'Loans Originated'!D65/'Loans Originated'!$G$65</f>
        <v>0.36078595317725753</v>
      </c>
      <c r="E53" s="20">
        <f>'Loans Originated'!E65/'Loans Originated'!$G$65</f>
        <v>0.15008361204013379</v>
      </c>
      <c r="F53" s="24">
        <f>'Loans Originated'!F65/'Loans Originated'!$G$65</f>
        <v>0.40426421404682272</v>
      </c>
    </row>
    <row r="54" spans="1:6">
      <c r="A54" s="21">
        <v>2010</v>
      </c>
      <c r="B54" s="20">
        <f>'Loans Originated'!B66/'Loans Originated'!$G$66</f>
        <v>4.0871934604904629E-3</v>
      </c>
      <c r="C54" s="20">
        <f>'Loans Originated'!C66/'Loans Originated'!$G$66</f>
        <v>9.0372388737511355E-2</v>
      </c>
      <c r="D54" s="20">
        <f>'Loans Originated'!D66/'Loans Originated'!$G$66</f>
        <v>0.34650317892824706</v>
      </c>
      <c r="E54" s="20">
        <f>'Loans Originated'!E66/'Loans Originated'!$G$66</f>
        <v>0.15803814713896458</v>
      </c>
      <c r="F54" s="24">
        <f>'Loans Originated'!F66/'Loans Originated'!$G$66</f>
        <v>0.38964577656675747</v>
      </c>
    </row>
    <row r="55" spans="1:6">
      <c r="A55" s="21">
        <v>2011</v>
      </c>
      <c r="B55" s="20">
        <f>'Loans Originated'!B67/'Loans Originated'!$G$67</f>
        <v>8.3102493074792248E-3</v>
      </c>
      <c r="C55" s="20">
        <f>'Loans Originated'!C67/'Loans Originated'!$G$67</f>
        <v>0.14473684210526316</v>
      </c>
      <c r="D55" s="20">
        <f>'Loans Originated'!D67/'Loans Originated'!$G$67</f>
        <v>0.33795013850415512</v>
      </c>
      <c r="E55" s="20">
        <f>'Loans Originated'!E67/'Loans Originated'!$G$67</f>
        <v>0.13781163434903046</v>
      </c>
      <c r="F55" s="24">
        <f>'Loans Originated'!F67/'Loans Originated'!$G$67</f>
        <v>0.35664819944598336</v>
      </c>
    </row>
    <row r="56" spans="1:6">
      <c r="A56" s="21">
        <v>2012</v>
      </c>
      <c r="B56" s="20">
        <f>'Loans Originated'!B67/'Loans Originated'!$G$67</f>
        <v>8.3102493074792248E-3</v>
      </c>
      <c r="C56" s="20">
        <f>'Loans Originated'!C67/'Loans Originated'!$G$67</f>
        <v>0.14473684210526316</v>
      </c>
      <c r="D56" s="20">
        <f>'Loans Originated'!D67/'Loans Originated'!$G$67</f>
        <v>0.33795013850415512</v>
      </c>
      <c r="E56" s="20">
        <f>'Loans Originated'!E67/'Loans Originated'!$G$67</f>
        <v>0.13781163434903046</v>
      </c>
      <c r="F56" s="24">
        <f>'Loans Originated'!F67/'Loans Originated'!$G$67</f>
        <v>0.35664819944598336</v>
      </c>
    </row>
    <row r="57" spans="1:6">
      <c r="A57" s="2"/>
      <c r="B57" s="20"/>
      <c r="C57" s="20"/>
      <c r="D57" s="20"/>
      <c r="E57" s="3"/>
      <c r="F57" s="4"/>
    </row>
    <row r="58" spans="1:6">
      <c r="A58" s="18" t="s">
        <v>19</v>
      </c>
      <c r="B58" s="19" t="s">
        <v>0</v>
      </c>
      <c r="C58" s="19" t="s">
        <v>1</v>
      </c>
      <c r="D58" s="19" t="s">
        <v>2</v>
      </c>
      <c r="E58" s="19" t="s">
        <v>3</v>
      </c>
      <c r="F58" s="23" t="s">
        <v>4</v>
      </c>
    </row>
    <row r="59" spans="1:6">
      <c r="A59" s="21">
        <v>2006</v>
      </c>
      <c r="B59" s="20">
        <f>'Loans Originated'!B73/'Loans Originated'!$G$73</f>
        <v>0</v>
      </c>
      <c r="C59" s="20">
        <f>'Loans Originated'!C73/'Loans Originated'!$G$73</f>
        <v>0.14285714285714285</v>
      </c>
      <c r="D59" s="20">
        <f>'Loans Originated'!D73/'Loans Originated'!$G$73</f>
        <v>0.2857142857142857</v>
      </c>
      <c r="E59" s="20">
        <f>'Loans Originated'!E73/'Loans Originated'!$G$73</f>
        <v>0.21428571428571427</v>
      </c>
      <c r="F59" s="24">
        <f>'Loans Originated'!F73/'Loans Originated'!$G$73</f>
        <v>0.35714285714285715</v>
      </c>
    </row>
    <row r="60" spans="1:6">
      <c r="A60" s="21">
        <v>2007</v>
      </c>
      <c r="B60" s="20">
        <f>'Loans Originated'!B74/'Loans Originated'!$G$74</f>
        <v>0</v>
      </c>
      <c r="C60" s="20">
        <f>'Loans Originated'!C74/'Loans Originated'!$G$74</f>
        <v>4.5454545454545456E-2</v>
      </c>
      <c r="D60" s="20">
        <f>'Loans Originated'!D74/'Loans Originated'!$G$74</f>
        <v>0.40909090909090912</v>
      </c>
      <c r="E60" s="20">
        <f>'Loans Originated'!E74/'Loans Originated'!$G$74</f>
        <v>0.27272727272727271</v>
      </c>
      <c r="F60" s="24">
        <f>'Loans Originated'!F74/'Loans Originated'!$G$74</f>
        <v>0.27272727272727271</v>
      </c>
    </row>
    <row r="61" spans="1:6">
      <c r="A61" s="21">
        <v>2008</v>
      </c>
      <c r="B61" s="20">
        <f>'Loans Originated'!B75/'Loans Originated'!$G$75</f>
        <v>0</v>
      </c>
      <c r="C61" s="20">
        <f>'Loans Originated'!C75/'Loans Originated'!$G$75</f>
        <v>2.4590163934426229E-2</v>
      </c>
      <c r="D61" s="20">
        <f>'Loans Originated'!D75/'Loans Originated'!$G$75</f>
        <v>0.30327868852459017</v>
      </c>
      <c r="E61" s="20">
        <f>'Loans Originated'!E75/'Loans Originated'!$G$75</f>
        <v>0.22131147540983606</v>
      </c>
      <c r="F61" s="24">
        <f>'Loans Originated'!F75/'Loans Originated'!$G$75</f>
        <v>0.45081967213114754</v>
      </c>
    </row>
    <row r="62" spans="1:6">
      <c r="A62" s="21">
        <v>2009</v>
      </c>
      <c r="B62" s="20">
        <f>'Loans Originated'!B76/'Loans Originated'!$G$76</f>
        <v>0</v>
      </c>
      <c r="C62" s="20">
        <f>'Loans Originated'!C76/'Loans Originated'!$G$76</f>
        <v>0.12025316455696203</v>
      </c>
      <c r="D62" s="20">
        <f>'Loans Originated'!D76/'Loans Originated'!$G$76</f>
        <v>0.44936708860759494</v>
      </c>
      <c r="E62" s="20">
        <f>'Loans Originated'!E76/'Loans Originated'!$G$76</f>
        <v>0.12658227848101267</v>
      </c>
      <c r="F62" s="24">
        <f>'Loans Originated'!F76/'Loans Originated'!$G$76</f>
        <v>0.29113924050632911</v>
      </c>
    </row>
    <row r="63" spans="1:6">
      <c r="A63" s="2">
        <v>2010</v>
      </c>
      <c r="B63" s="20">
        <f>'Loans Originated'!B77/'Loans Originated'!$G$77</f>
        <v>1.1695906432748537E-2</v>
      </c>
      <c r="C63" s="20">
        <f>'Loans Originated'!C77/'Loans Originated'!$G$77</f>
        <v>0.15204678362573099</v>
      </c>
      <c r="D63" s="20">
        <f>'Loans Originated'!D77/'Loans Originated'!$G$77</f>
        <v>0.46198830409356723</v>
      </c>
      <c r="E63" s="20">
        <f>'Loans Originated'!E77/'Loans Originated'!$G$77</f>
        <v>0.11695906432748537</v>
      </c>
      <c r="F63" s="24">
        <f>'Loans Originated'!F77/'Loans Originated'!$G$77</f>
        <v>0.25146198830409355</v>
      </c>
    </row>
    <row r="64" spans="1:6">
      <c r="A64" s="2">
        <v>2011</v>
      </c>
      <c r="B64" s="20">
        <f>'Loans Originated'!B78/'Loans Originated'!$G$78</f>
        <v>3.0303030303030304E-2</v>
      </c>
      <c r="C64" s="20">
        <f>'Loans Originated'!C78/'Loans Originated'!$G$78</f>
        <v>0.28030303030303028</v>
      </c>
      <c r="D64" s="20">
        <f>'Loans Originated'!D78/'Loans Originated'!$G$78</f>
        <v>0.33333333333333331</v>
      </c>
      <c r="E64" s="20">
        <f>'Loans Originated'!E78/'Loans Originated'!$G$78</f>
        <v>9.8484848484848481E-2</v>
      </c>
      <c r="F64" s="24">
        <f>'Loans Originated'!F78/'Loans Originated'!$G$78</f>
        <v>0.24242424242424243</v>
      </c>
    </row>
    <row r="65" spans="1:8">
      <c r="A65" s="2">
        <v>2012</v>
      </c>
      <c r="B65" s="20">
        <f>'Loans Originated'!B78/'Loans Originated'!$G$78</f>
        <v>3.0303030303030304E-2</v>
      </c>
      <c r="C65" s="20">
        <f>'Loans Originated'!C79/'Loans Originated'!$G$78</f>
        <v>0.29545454545454547</v>
      </c>
      <c r="D65" s="20">
        <f>'Loans Originated'!D79/'Loans Originated'!$G$78</f>
        <v>0.40909090909090912</v>
      </c>
      <c r="E65" s="20">
        <f>'Loans Originated'!E79/'Loans Originated'!$G$78</f>
        <v>0.11363636363636363</v>
      </c>
      <c r="F65" s="24">
        <f>'Loans Originated'!F79/'Loans Originated'!$G$78</f>
        <v>0.18181818181818182</v>
      </c>
    </row>
    <row r="66" spans="1:8" ht="13.5" thickBot="1">
      <c r="A66" s="5"/>
      <c r="B66" s="27"/>
      <c r="C66" s="27"/>
      <c r="D66" s="27"/>
      <c r="E66" s="27"/>
      <c r="F66" s="28"/>
    </row>
    <row r="67" spans="1:8">
      <c r="A67" s="17" t="s">
        <v>25</v>
      </c>
    </row>
    <row r="68" spans="1:8" ht="66.75" customHeight="1">
      <c r="A68" s="41" t="s">
        <v>31</v>
      </c>
      <c r="B68" s="41"/>
      <c r="C68" s="41"/>
      <c r="D68" s="41"/>
      <c r="E68" s="41"/>
      <c r="F68" s="41"/>
      <c r="G68" s="26"/>
      <c r="H68" s="26"/>
    </row>
  </sheetData>
  <mergeCells count="3">
    <mergeCell ref="A1:F1"/>
    <mergeCell ref="A2:F2"/>
    <mergeCell ref="A68:F68"/>
  </mergeCells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Loans Originated</vt:lpstr>
      <vt:lpstr>Loan Distribution</vt:lpstr>
    </vt:vector>
  </TitlesOfParts>
  <Company>City of Portland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ukrishnan</dc:creator>
  <cp:lastModifiedBy>Yeager, Benjamin</cp:lastModifiedBy>
  <cp:lastPrinted>2009-11-18T22:48:27Z</cp:lastPrinted>
  <dcterms:created xsi:type="dcterms:W3CDTF">2007-01-05T19:49:50Z</dcterms:created>
  <dcterms:modified xsi:type="dcterms:W3CDTF">2013-10-22T22:35:25Z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1772217289</vt:i4>
  </property>
  <property fmtid="{D5CDD505-2E9C-101B-9397-08002B2CF9AE}" pid="3" name="_EmailSubject">
    <vt:lpwstr>The Progress</vt:lpwstr>
  </property>
  <property fmtid="{D5CDD505-2E9C-101B-9397-08002B2CF9AE}" pid="4" name="_AuthorEmail">
    <vt:lpwstr>Uma.Krishnan@ci.portland.or.us</vt:lpwstr>
  </property>
  <property fmtid="{D5CDD505-2E9C-101B-9397-08002B2CF9AE}" pid="5" name="_AuthorEmailDisplayName">
    <vt:lpwstr>Krishnan, Uma</vt:lpwstr>
  </property>
  <property fmtid="{D5CDD505-2E9C-101B-9397-08002B2CF9AE}" pid="6" name="_ReviewingToolsShownOnce">
    <vt:lpwstr/>
  </property>
</Properties>
</file>