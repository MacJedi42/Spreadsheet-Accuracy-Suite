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ndinelsh\Desktop\"/>
    </mc:Choice>
  </mc:AlternateContent>
  <bookViews>
    <workbookView xWindow="0" yWindow="0" windowWidth="19200" windowHeight="10995"/>
  </bookViews>
  <sheets>
    <sheet name="4-year" sheetId="1" r:id="rId1"/>
    <sheet name="2-year" sheetId="2" r:id="rId2"/>
    <sheet name="Grad Rate 13-yr Change" sheetId="3" r:id="rId3"/>
  </sheets>
  <externalReferences>
    <externalReference r:id="rId4"/>
    <externalReference r:id="rId5"/>
    <externalReference r:id="rId6"/>
  </externalReferences>
  <definedNames>
    <definedName name="_Order1" hidden="1">255</definedName>
    <definedName name="_Order2" hidden="1">255</definedName>
    <definedName name="_Sort" localSheetId="1" hidden="1">#REF!</definedName>
    <definedName name="_Sort" localSheetId="0" hidden="1">#REF!</definedName>
    <definedName name="_Sort" localSheetId="2" hidden="1">#REF!</definedName>
    <definedName name="_Sort" hidden="1">#REF!</definedName>
    <definedName name="AMTLU">[1]Names!$B$11:$I$69</definedName>
    <definedName name="FTSELU">[1]FTSE!$C$8:$S$46</definedName>
    <definedName name="_xlnm.Print_Area">[2]FY92!$A$1</definedName>
    <definedName name="Z_1FFC368C_FAAC_4C27_917C_33EB7F20D079_.wvu.PrintTitles" hidden="1">[3]Midwestern!$A$1:$B$65536,[3]Midwestern!$A$1:$IV$7</definedName>
    <definedName name="Z_390E69FE_30BF_46A8_BB03_D0C9901EA0FB_.wvu.PrintTitles" hidden="1">[3]Midwestern!$A$1:$B$65536,[3]Midwestern!$A$1:$IV$7</definedName>
    <definedName name="Z_4AC09102_7151_4BC1_97EC_C57915589D6D_.wvu.PrintTitles" hidden="1">[3]Midwestern!$A$1:$B$65536,[3]Midwestern!$A$1:$IV$7</definedName>
    <definedName name="Z_59C042EE_7BE0_46D7_83D3_48C0860AA9B7_.wvu.PrintTitles" hidden="1">[3]Midwestern!$A$1:$B$65536,[3]Midwestern!$A$1:$IV$7</definedName>
    <definedName name="Z_5DB122DC_76B1_4E56_B2C5_DC5B34D3FE31_.wvu.PrintTitles" hidden="1">[3]Midwestern!$A$1:$B$65536,[3]Midwestern!$A$1:$IV$7</definedName>
    <definedName name="Z_7E968537_F35A_46C0_AAAE_B8F2523DE409_.wvu.PrintTitles" hidden="1">[3]Midwestern!$A$1:$B$65536,[3]Midwestern!$A$1:$IV$7</definedName>
    <definedName name="Z_999D944D_85B2_4CAE_97DA_DC2EB4BF0AB0_.wvu.PrintTitles" hidden="1">[3]Midwestern!$A$1:$B$65536,[3]Midwestern!$A$1:$IV$7</definedName>
    <definedName name="Z_9A9AF875_8B7A_4EA5_9837_BF2AFF98C487_.wvu.PrintTitles" hidden="1">[3]Midwestern!$A$1:$B$65536,[3]Midwestern!$A$1:$IV$7</definedName>
    <definedName name="Z_C63CB8F7_18C4_4A70_94EC_26C8D6B5C80F_.wvu.PrintTitles" hidden="1">[3]Midwestern!$A$1:$B$65536,[3]Midwestern!$A$1:$IV$7</definedName>
    <definedName name="Z_D8EE2E15_379C_4027_9083_08D90932B4E1_.wvu.PrintTitles" hidden="1">[3]Midwestern!$A$1:$B$65536,[3]Midwestern!$A$1:$IV$7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3" l="1"/>
  <c r="S3" i="3"/>
  <c r="J4" i="3"/>
  <c r="S4" i="3"/>
  <c r="J5" i="3"/>
  <c r="S5" i="3"/>
  <c r="J6" i="3"/>
  <c r="S6" i="3"/>
  <c r="J7" i="3"/>
  <c r="S7" i="3"/>
  <c r="J8" i="3"/>
  <c r="S8" i="3"/>
  <c r="J9" i="3"/>
  <c r="S9" i="3"/>
  <c r="S10" i="3"/>
  <c r="J11" i="3"/>
  <c r="S11" i="3"/>
  <c r="S12" i="3"/>
  <c r="J13" i="3"/>
  <c r="S13" i="3"/>
  <c r="J15" i="3"/>
  <c r="S15" i="3"/>
  <c r="J16" i="3"/>
  <c r="S16" i="3"/>
  <c r="J17" i="3"/>
  <c r="S17" i="3"/>
  <c r="J18" i="3"/>
  <c r="S18" i="3"/>
  <c r="S20" i="3"/>
  <c r="J21" i="3"/>
  <c r="S21" i="3"/>
  <c r="J22" i="3"/>
  <c r="S22" i="3"/>
  <c r="J23" i="3"/>
  <c r="S23" i="3"/>
  <c r="J24" i="3"/>
  <c r="S24" i="3"/>
  <c r="J25" i="3"/>
  <c r="S25" i="3"/>
  <c r="J26" i="3"/>
  <c r="S26" i="3"/>
  <c r="S27" i="3"/>
  <c r="J28" i="3"/>
  <c r="S28" i="3"/>
  <c r="J29" i="3"/>
  <c r="S29" i="3"/>
  <c r="J30" i="3"/>
  <c r="S30" i="3"/>
  <c r="J31" i="3"/>
  <c r="S31" i="3"/>
  <c r="J32" i="3"/>
  <c r="S32" i="3"/>
  <c r="S33" i="3"/>
  <c r="J34" i="3"/>
  <c r="S34" i="3"/>
  <c r="S35" i="3"/>
  <c r="J36" i="3"/>
  <c r="S36" i="3"/>
  <c r="S37" i="3"/>
  <c r="J38" i="3"/>
  <c r="S38" i="3"/>
  <c r="J40" i="3"/>
  <c r="S40" i="3"/>
</calcChain>
</file>

<file path=xl/sharedStrings.xml><?xml version="1.0" encoding="utf-8"?>
<sst xmlns="http://schemas.openxmlformats.org/spreadsheetml/2006/main" count="1538" uniqueCount="751">
  <si>
    <t>Undergraduate accepted by race/ethnicity, fall 2013</t>
  </si>
  <si>
    <t>Undergraduate enrollment by race/ethnicity, fall 2013</t>
  </si>
  <si>
    <t>Undergraduate degrees awarded by race/ethnicity, FY 2013</t>
  </si>
  <si>
    <t>Test score ranges</t>
  </si>
  <si>
    <t>Student characteristics</t>
    <phoneticPr fontId="0" type="noConversion"/>
  </si>
  <si>
    <t>Enrollment by race/ethnicity, fall 2013</t>
  </si>
  <si>
    <t>Degrees awarded by level</t>
    <phoneticPr fontId="0" type="noConversion"/>
  </si>
  <si>
    <t>Degrees awarded by race/ethnicity, FY 2013</t>
  </si>
  <si>
    <t>Undergraduate graduation rates</t>
    <phoneticPr fontId="0" type="noConversion"/>
  </si>
  <si>
    <t>Completion measures</t>
    <phoneticPr fontId="0" type="noConversion"/>
  </si>
  <si>
    <t>Transfer students</t>
    <phoneticPr fontId="0" type="noConversion"/>
  </si>
  <si>
    <t>Faculty</t>
    <phoneticPr fontId="0" type="noConversion"/>
  </si>
  <si>
    <t>Revenue per state-funded FTSE</t>
  </si>
  <si>
    <t>Uses of funds per state-funded  FTSE</t>
  </si>
  <si>
    <t>Total expenditures</t>
    <phoneticPr fontId="0" type="noConversion"/>
  </si>
  <si>
    <t>FICE</t>
  </si>
  <si>
    <t>4-year public institution</t>
  </si>
  <si>
    <t>City</t>
    <phoneticPr fontId="0" type="noConversion"/>
  </si>
  <si>
    <t>Year founded</t>
    <phoneticPr fontId="0" type="noConversion"/>
  </si>
  <si>
    <t>Website</t>
    <phoneticPr fontId="0" type="noConversion"/>
  </si>
  <si>
    <t>Accountability group</t>
  </si>
  <si>
    <t>HSI/HBCU status</t>
    <phoneticPr fontId="0" type="noConversion"/>
  </si>
  <si>
    <t>Average tuition &amp; fees</t>
  </si>
  <si>
    <t>Majors 1</t>
    <phoneticPr fontId="0" type="noConversion"/>
  </si>
  <si>
    <t>Majors 2</t>
    <phoneticPr fontId="0" type="noConversion"/>
  </si>
  <si>
    <t>Majors 3</t>
    <phoneticPr fontId="0" type="noConversion"/>
  </si>
  <si>
    <t>Majors 4</t>
    <phoneticPr fontId="0" type="noConversion"/>
  </si>
  <si>
    <t>Majors 5</t>
    <phoneticPr fontId="0" type="noConversion"/>
  </si>
  <si>
    <t>Total</t>
  </si>
  <si>
    <t>African American</t>
  </si>
  <si>
    <t>Hispanic</t>
  </si>
  <si>
    <t>White</t>
  </si>
  <si>
    <t>Other</t>
  </si>
  <si>
    <t>International</t>
  </si>
  <si>
    <t>SAT Math</t>
  </si>
  <si>
    <t>SAT Reading</t>
  </si>
  <si>
    <t>ACT Math</t>
  </si>
  <si>
    <t>ACT English</t>
  </si>
  <si>
    <t>Total applicants</t>
  </si>
  <si>
    <t>% of applicants accepted</t>
  </si>
  <si>
    <t>First-time students in top 10%</t>
  </si>
  <si>
    <t>Total enrollment</t>
  </si>
  <si>
    <r>
      <t xml:space="preserve">% enrollment change </t>
    </r>
    <r>
      <rPr>
        <b/>
        <sz val="10"/>
        <color rgb="FFFF0000"/>
        <rFont val="Verdana"/>
        <family val="2"/>
      </rPr>
      <t>2008–13</t>
    </r>
  </si>
  <si>
    <t>% part-time</t>
  </si>
  <si>
    <t>% full-time</t>
  </si>
  <si>
    <t>% receiving Pell Grants</t>
  </si>
  <si>
    <t>Associate</t>
  </si>
  <si>
    <t>Bachelor’s</t>
  </si>
  <si>
    <t>Master’s</t>
  </si>
  <si>
    <t>Doctoral — Research</t>
  </si>
  <si>
    <t>Doctoral — Professional</t>
    <phoneticPr fontId="0" type="noConversion"/>
  </si>
  <si>
    <t>Full-time 4-year</t>
  </si>
  <si>
    <t>Part-time 4-year</t>
  </si>
  <si>
    <t>Full-time 6-year</t>
  </si>
  <si>
    <t>Part-time 6-year</t>
  </si>
  <si>
    <t xml:space="preserve">Full-time 10-year </t>
  </si>
  <si>
    <t xml:space="preserve">Part-time 10-year </t>
  </si>
  <si>
    <t>Average time to bachelor’s degree (yrs)</t>
  </si>
  <si>
    <t>Average SCH to degree</t>
  </si>
  <si>
    <t>% bachelor's degrees awarded to at-risk students</t>
    <phoneticPr fontId="0" type="noConversion"/>
  </si>
  <si>
    <t>Bacc. grad. employed and/or enrolled in grad. or professional school in TX</t>
  </si>
  <si>
    <t>Ratio of UG FTSE to UG degrees</t>
    <phoneticPr fontId="0" type="noConversion"/>
  </si>
  <si>
    <t>Graduation rate for 2-year transfers, FY 2013</t>
  </si>
  <si>
    <t>% of graduates completing 30 SCH or more at 2-yr colleges</t>
  </si>
  <si>
    <t>Total faculty</t>
  </si>
  <si>
    <t>Tenured/tenure track</t>
  </si>
  <si>
    <t>% tenured/ tenure track</t>
    <phoneticPr fontId="0" type="noConversion"/>
  </si>
  <si>
    <t>Student-faculty ratio</t>
    <phoneticPr fontId="0" type="noConversion"/>
  </si>
  <si>
    <t>State-funded FTSE</t>
  </si>
  <si>
    <t xml:space="preserve">Total revenue </t>
  </si>
  <si>
    <t xml:space="preserve">Tuition/fees </t>
  </si>
  <si>
    <t xml:space="preserve">State revenue </t>
  </si>
  <si>
    <t xml:space="preserve">Federal revenue </t>
  </si>
  <si>
    <t xml:space="preserve">Institution revenue </t>
  </si>
  <si>
    <t>Total uses</t>
  </si>
  <si>
    <t xml:space="preserve">Instruction, research, and academic support </t>
  </si>
  <si>
    <t xml:space="preserve">Students services and scholarships </t>
  </si>
  <si>
    <t xml:space="preserve">Institutional support and OM </t>
  </si>
  <si>
    <t>Total research expenditures</t>
    <phoneticPr fontId="0" type="noConversion"/>
  </si>
  <si>
    <t>Total research expenditures per T/TT FTE</t>
    <phoneticPr fontId="0" type="noConversion"/>
  </si>
  <si>
    <t>Angelo State University</t>
  </si>
  <si>
    <t>San Angelo</t>
  </si>
  <si>
    <t>www.angelo.edu</t>
  </si>
  <si>
    <t>Master's</t>
  </si>
  <si>
    <t>HSI</t>
  </si>
  <si>
    <t>HEALTH PROFESSIONS AND RELATED PROGRAMS (277)</t>
  </si>
  <si>
    <t>BUSINESS, MANAGEMENT, MARKETING, AND RELATED SUPPORT  SERVICES (129)</t>
  </si>
  <si>
    <t>MULTI/INTERDISCIPLINARY STUDIES (128)</t>
  </si>
  <si>
    <t>AGRICULTURE, AGRICULTURE OPERATIONS, AND RELATED SCIENCES (62)</t>
  </si>
  <si>
    <t>PSYCHOLOGY (58)</t>
  </si>
  <si>
    <t>430 - 530</t>
  </si>
  <si>
    <t>410 - 500</t>
  </si>
  <si>
    <t>18 - 24</t>
  </si>
  <si>
    <t>16 - 22</t>
  </si>
  <si>
    <t>Lamar University</t>
  </si>
  <si>
    <t>Beaumont</t>
  </si>
  <si>
    <t>www.lamar.edu</t>
  </si>
  <si>
    <t>Comprehensive</t>
  </si>
  <si>
    <t>MULTI/INTERDISCIPLINARY STUDIES (254)</t>
  </si>
  <si>
    <t>HEALTH PROFESSIONS AND RELATED PROGRAMS (195)</t>
  </si>
  <si>
    <t>BUSINESS, MANAGEMENT, MARKETING, AND RELATED SUPPORT  SERVICES (193)</t>
  </si>
  <si>
    <t>ENGINEERING (116)</t>
  </si>
  <si>
    <t>LIBERAL ARTS AND SCIENCES, GENERAL STUDIES AND  HUMANITIES (90)</t>
  </si>
  <si>
    <t>410 - 520</t>
  </si>
  <si>
    <t>400 - 500</t>
  </si>
  <si>
    <t>15 - 21</t>
  </si>
  <si>
    <t>Midwestern State University</t>
  </si>
  <si>
    <t>Wichita Falls</t>
  </si>
  <si>
    <t>www.mwsu.edu</t>
  </si>
  <si>
    <t>HEALTH PROFESSIONS AND RELATED PROGRAMS (402)</t>
  </si>
  <si>
    <t>BUSINESS, MANAGEMENT, MARKETING, AND RELATED SUPPORT  SERVICES (180)</t>
  </si>
  <si>
    <t>MULTI/INTERDISCIPLINARY STUDIES (178)</t>
  </si>
  <si>
    <t>BIOLOGICAL AND BIOMEDICAL SCIENCES (53)</t>
  </si>
  <si>
    <t>PSYCHOLOGY (45)</t>
  </si>
  <si>
    <t>470 - 570</t>
  </si>
  <si>
    <t>440 - 540</t>
  </si>
  <si>
    <t>19 - 24</t>
  </si>
  <si>
    <t>18 - 23</t>
  </si>
  <si>
    <t>Prairie View A&amp;M University</t>
  </si>
  <si>
    <t>Prairie View</t>
  </si>
  <si>
    <t xml:space="preserve">www.pvamu.edu </t>
  </si>
  <si>
    <t>HBCU</t>
  </si>
  <si>
    <t>HEALTH PROFESSIONS AND RELATED PROGRAMS (202)</t>
  </si>
  <si>
    <t>ENGINEERING (120)</t>
  </si>
  <si>
    <t>BUSINESS, MANAGEMENT, MARKETING, AND RELATED SUPPORT  SERVICES (105)</t>
  </si>
  <si>
    <t>PSYCHOLOGY (80)</t>
  </si>
  <si>
    <t>HOMELAND SECURITY, LAW ENFORCEMENT, FIREFIGHTING AND RELATED PROTECTIVE SERVICES (76)</t>
  </si>
  <si>
    <t>390 - 480</t>
  </si>
  <si>
    <t>370 - 460</t>
  </si>
  <si>
    <t>16 - 19</t>
  </si>
  <si>
    <t>13 - 19</t>
  </si>
  <si>
    <t>Sam Houston State University</t>
  </si>
  <si>
    <t>Huntsville</t>
  </si>
  <si>
    <t>www.shsu.edu</t>
  </si>
  <si>
    <t>Doctoral</t>
  </si>
  <si>
    <t>BUSINESS, MANAGEMENT, MARKETING, AND RELATED SUPPORT  SERVICES (667)</t>
  </si>
  <si>
    <t>HOMELAND SECURITY, LAW ENFORCEMENT, FIREFIGHTING AND RELATED PROTECTIVE SERVICES (583)</t>
  </si>
  <si>
    <t>MULTI/INTERDISCIPLINARY STUDIES (405)</t>
  </si>
  <si>
    <t>PARKS, RECREATION, LEISURE AND FITNESS STUDIES (201)</t>
  </si>
  <si>
    <t>AGRICULTURE, AGRICULTURE OPERATIONS, AND RELATED SCIENCES (179)</t>
  </si>
  <si>
    <t>470 - 550</t>
  </si>
  <si>
    <t>450 - 540</t>
  </si>
  <si>
    <t>17 - 22</t>
  </si>
  <si>
    <t>Stephen F. Austin State University</t>
  </si>
  <si>
    <t>Nacogdoches</t>
  </si>
  <si>
    <t>www.sfasu.edu</t>
  </si>
  <si>
    <t>BUSINESS, MANAGEMENT, MARKETING, AND RELATED SUPPORT  SERVICES (396)</t>
  </si>
  <si>
    <t>MULTI/INTERDISCIPLINARY STUDIES (321)</t>
  </si>
  <si>
    <t>HEALTH PROFESSIONS AND RELATED PROGRAMS (253)</t>
  </si>
  <si>
    <t>PARKS, RECREATION, LEISURE AND FITNESS STUDIES (176)</t>
  </si>
  <si>
    <t>VISUAL AND PERFORMING ARTS (145)</t>
  </si>
  <si>
    <t>470 - 530</t>
  </si>
  <si>
    <t>450 - 520</t>
  </si>
  <si>
    <t>17 - 23</t>
  </si>
  <si>
    <t>Sul Ross State University</t>
  </si>
  <si>
    <t>Alpine</t>
  </si>
  <si>
    <t>www.sulross.edu</t>
  </si>
  <si>
    <t>LIBERAL ARTS AND SCIENCES, GENERAL STUDIES AND  HUMANITIES (24)</t>
  </si>
  <si>
    <t>BIOLOGICAL AND BIOMEDICAL SCIENCES (24)</t>
  </si>
  <si>
    <t>NATURAL RESOURCES AND CONSERVATION (20)</t>
  </si>
  <si>
    <t>PARKS, RECREATION, LEISURE AND FITNESS STUDIES (18)</t>
  </si>
  <si>
    <t>BUSINESS, MANAGEMENT, MARKETING, AND RELATED SUPPORT  SERVICES (18)</t>
  </si>
  <si>
    <t>400 - 510</t>
  </si>
  <si>
    <t>360 - 490</t>
  </si>
  <si>
    <t>15 - 22</t>
  </si>
  <si>
    <t>13 - 20</t>
  </si>
  <si>
    <t>Sul Ross State University Rio Grande College</t>
  </si>
  <si>
    <t>Eagle Pass</t>
  </si>
  <si>
    <t>www.sulross.edu/rgc/</t>
  </si>
  <si>
    <t>MULTI/INTERDISCIPLINARY STUDIES (59)</t>
  </si>
  <si>
    <t>HOMELAND SECURITY, LAW ENFORCEMENT, FIREFIGHTING AND RELATED PROTECTIVE SERVICES (24)</t>
  </si>
  <si>
    <t>PSYCHOLOGY (18)</t>
  </si>
  <si>
    <t>HISTORY (9)</t>
  </si>
  <si>
    <t>N/A</t>
  </si>
  <si>
    <t>Included in Sul Ross State Alpine</t>
  </si>
  <si>
    <t>In SR - Alpine</t>
  </si>
  <si>
    <t>Tarleton State University</t>
  </si>
  <si>
    <t>Stephenville</t>
  </si>
  <si>
    <t>www.tarleton.edu</t>
  </si>
  <si>
    <t>BUSINESS, MANAGEMENT, MARKETING, AND RELATED SUPPORT  SERVICES (308)</t>
  </si>
  <si>
    <t>MULTI/INTERDISCIPLINARY STUDIES (292)</t>
  </si>
  <si>
    <t>AGRICULTURE, AGRICULTURE OPERATIONS, AND RELATED SCIENCES (208)</t>
  </si>
  <si>
    <t>PARKS, RECREATION, LEISURE AND FITNESS STUDIES (154)</t>
  </si>
  <si>
    <t>HEALTH PROFESSIONS AND RELATED PROGRAMS (144)</t>
  </si>
  <si>
    <t>450 - 550</t>
  </si>
  <si>
    <t>420 - 530</t>
  </si>
  <si>
    <t>16 - 23</t>
  </si>
  <si>
    <t>Texas A&amp;M International University</t>
  </si>
  <si>
    <t>Laredo</t>
  </si>
  <si>
    <t>www.tamiu.edu</t>
  </si>
  <si>
    <t>BUSINESS, MANAGEMENT, MARKETING, AND RELATED SUPPORT  SERVICES (174)</t>
  </si>
  <si>
    <t>HOMELAND SECURITY, LAW ENFORCEMENT, FIREFIGHTING AND RELATED PROTECTIVE SERVICES (121)</t>
  </si>
  <si>
    <t>PSYCHOLOGY (77)</t>
  </si>
  <si>
    <t>MULTI/INTERDISCIPLINARY STUDIES (61)</t>
  </si>
  <si>
    <t>430 - 510</t>
  </si>
  <si>
    <t>390 - 490</t>
  </si>
  <si>
    <t>14 - 20</t>
  </si>
  <si>
    <t>Texas A&amp;M University</t>
  </si>
  <si>
    <t>College Station</t>
  </si>
  <si>
    <t>www.tamu.edu</t>
  </si>
  <si>
    <t>Research</t>
  </si>
  <si>
    <t>BUSINESS, MANAGEMENT, MARKETING, AND RELATED SUPPORT  SERVICES (1,507)</t>
  </si>
  <si>
    <t>ENGINEERING (1,324)</t>
  </si>
  <si>
    <t>AGRICULTURE, AGRICULTURE OPERATIONS, AND RELATED SCIENCES (1,047)</t>
  </si>
  <si>
    <t>MULTI/INTERDISCIPLINARY STUDIES (816)</t>
  </si>
  <si>
    <t>BIOLOGICAL AND BIOMEDICAL SCIENCES (692)</t>
  </si>
  <si>
    <t>560 - 670</t>
  </si>
  <si>
    <t>520 - 640</t>
  </si>
  <si>
    <t>24 - 30</t>
  </si>
  <si>
    <t>23 - 30</t>
  </si>
  <si>
    <t>Texas A&amp;M University–Central Texas</t>
  </si>
  <si>
    <t>Killeen</t>
  </si>
  <si>
    <t>www.ct.tamus.edu</t>
  </si>
  <si>
    <t>BUSINESS, MANAGEMENT, MARKETING, AND RELATED SUPPORT  SERVICES (146)</t>
  </si>
  <si>
    <t>MULTI/INTERDISCIPLINARY STUDIES (97)</t>
  </si>
  <si>
    <t>PSYCHOLOGY (47)</t>
  </si>
  <si>
    <t>HOMELAND SECURITY, LAW ENFORCEMENT, FIREFIGHTING AND RELATED PROTECTIVE SERVICES (41)</t>
  </si>
  <si>
    <t>LIBERAL ARTS AND SCIENCES, GENERAL STUDIES AND  HUMANITIES (33)</t>
  </si>
  <si>
    <t>Texas A&amp;M University–Commerce</t>
  </si>
  <si>
    <t>Commerce</t>
  </si>
  <si>
    <t>www.tamu-commerce.edu</t>
  </si>
  <si>
    <t>MULTI/INTERDISCIPLINARY STUDIES (553)</t>
  </si>
  <si>
    <t>BUSINESS, MANAGEMENT, MARKETING, AND RELATED SUPPORT  SERVICES (226)</t>
  </si>
  <si>
    <t>LIBERAL ARTS AND SCIENCES, GENERAL STUDIES AND  HUMANITIES (89)</t>
  </si>
  <si>
    <t>PSYCHOLOGY (82)</t>
  </si>
  <si>
    <t>PARKS, RECREATION, LEISURE AND FITNESS STUDIES (76)</t>
  </si>
  <si>
    <t>440 - 550</t>
  </si>
  <si>
    <t>Texas A&amp;M University–Corpus Christi</t>
  </si>
  <si>
    <t>Corpus Christi</t>
  </si>
  <si>
    <t>www.tamucc.edu</t>
  </si>
  <si>
    <t>HEALTH PROFESSIONS AND RELATED PROGRAMS (251)</t>
  </si>
  <si>
    <t>BUSINESS, MANAGEMENT, MARKETING, AND RELATED SUPPORT  SERVICES (245)</t>
  </si>
  <si>
    <t>MULTI/INTERDISCIPLINARY STUDIES (185)</t>
  </si>
  <si>
    <t>BIOLOGICAL AND BIOMEDICAL SCIENCES (130)</t>
  </si>
  <si>
    <t>PSYCHOLOGY (113)</t>
  </si>
  <si>
    <t>17 - 24</t>
  </si>
  <si>
    <t>Texas A&amp;M University at Galveston</t>
  </si>
  <si>
    <t>Galveston</t>
  </si>
  <si>
    <t>www.tamug.edu</t>
  </si>
  <si>
    <t xml:space="preserve"> </t>
  </si>
  <si>
    <t>BUSINESS, MANAGEMENT, MARKETING, AND RELATED SUPPORT  SERVICES (86)</t>
  </si>
  <si>
    <t>BIOLOGICAL AND BIOMEDICAL SCIENCES (83)</t>
  </si>
  <si>
    <t>TRANSPORTATION AND MATERIALS MOVING (46)</t>
  </si>
  <si>
    <t>ENGINEERING (45)</t>
  </si>
  <si>
    <t>MULTI/INTERDISCIPLINARY STUDIES (26)</t>
  </si>
  <si>
    <t>520 - 610</t>
  </si>
  <si>
    <t>500 - 590</t>
  </si>
  <si>
    <t>22 - 27</t>
  </si>
  <si>
    <t>21 - 25</t>
  </si>
  <si>
    <t>Texas A&amp;M University–Kingsville</t>
  </si>
  <si>
    <t>Kingsville</t>
  </si>
  <si>
    <t>www.tamuk.edu</t>
  </si>
  <si>
    <t>HEALTH PROFESSIONS AND RELATED PROGRAMS (160)</t>
  </si>
  <si>
    <t>ENGINEERING (134)</t>
  </si>
  <si>
    <t>MULTI/INTERDISCIPLINARY STUDIES (122)</t>
  </si>
  <si>
    <t>BUSINESS, MANAGEMENT, MARKETING, AND RELATED SUPPORT  SERVICES (78)</t>
  </si>
  <si>
    <t>BIOLOGICAL AND BIOMEDICAL SCIENCES (64)</t>
  </si>
  <si>
    <t>420 - 528</t>
  </si>
  <si>
    <t>380 - 480</t>
  </si>
  <si>
    <t>Texas A&amp;M University–San Antonio</t>
  </si>
  <si>
    <t>San Antonio</t>
  </si>
  <si>
    <t>www.tamusa.tamus.edu</t>
  </si>
  <si>
    <t>MULTI/INTERDISCIPLINARY STUDIES (363)</t>
  </si>
  <si>
    <t>BUSINESS, MANAGEMENT, MARKETING, AND RELATED SUPPORT  SERVICES (159)</t>
  </si>
  <si>
    <t>SOCIAL SCIENCES (80)</t>
  </si>
  <si>
    <t>PSYCHOLOGY (68)</t>
  </si>
  <si>
    <t>BIOLOGICAL AND BIOMEDICAL SCIENCES (33)</t>
  </si>
  <si>
    <t>Texas A&amp;M University–Texarkana</t>
  </si>
  <si>
    <t>Texarkana</t>
  </si>
  <si>
    <t>www.tamut.edu</t>
  </si>
  <si>
    <t>MULTI/INTERDISCIPLINARY STUDIES (137)</t>
  </si>
  <si>
    <t>BUSINESS, MANAGEMENT, MARKETING, AND RELATED SUPPORT  SERVICES (63)</t>
  </si>
  <si>
    <t>PSYCHOLOGY (28)</t>
  </si>
  <si>
    <t>HEALTH PROFESSIONS AND RELATED PROGRAMS (23)</t>
  </si>
  <si>
    <t>HOMELAND SECURITY, LAW ENFORCEMENT, FIREFIGHTING AND RELATED PROTECTIVE SERVICES (16)</t>
  </si>
  <si>
    <t>430 - 520</t>
  </si>
  <si>
    <t>400 - 540</t>
  </si>
  <si>
    <t>Texas Southern University</t>
  </si>
  <si>
    <t>Houston</t>
  </si>
  <si>
    <t>www.tsu.edu</t>
  </si>
  <si>
    <t>BUSINESS, MANAGEMENT, MARKETING, AND RELATED SUPPORT  SERVICES (187)</t>
  </si>
  <si>
    <t>LIBERAL ARTS AND SCIENCES, GENERAL STUDIES AND  HUMANITIES (87)</t>
  </si>
  <si>
    <t>HEALTH PROFESSIONS AND RELATED PROGRAMS (85)</t>
  </si>
  <si>
    <t>COMMUNICATION, JOURNALISM AND RELATED PROGRAMS (47)</t>
  </si>
  <si>
    <t>380 - 460</t>
  </si>
  <si>
    <t>360 - 450</t>
  </si>
  <si>
    <t>15 - 18</t>
  </si>
  <si>
    <t>Texas State University</t>
  </si>
  <si>
    <t>San Marcos</t>
  </si>
  <si>
    <t>www.txstate.edu</t>
  </si>
  <si>
    <t>Emerging Research</t>
  </si>
  <si>
    <t>BUSINESS, MANAGEMENT, MARKETING, AND RELATED SUPPORT  SERVICES (1,045)</t>
  </si>
  <si>
    <t>MULTI/INTERDISCIPLINARY STUDIES (615)</t>
  </si>
  <si>
    <t>VISUAL AND PERFORMING ARTS (427)</t>
  </si>
  <si>
    <t>SOCIAL SCIENCES (418)</t>
  </si>
  <si>
    <t>PARKS, RECREATION, LEISURE AND FITNESS STUDIES (405)</t>
  </si>
  <si>
    <t>490 - 580</t>
  </si>
  <si>
    <t>460 - 560</t>
  </si>
  <si>
    <t>20 - 25</t>
  </si>
  <si>
    <t>Texas Tech University</t>
  </si>
  <si>
    <t>Lubbock</t>
  </si>
  <si>
    <t>www.ttu.edu</t>
  </si>
  <si>
    <t>BUSINESS, MANAGEMENT, MARKETING, AND RELATED SUPPORT  SERVICES (977)</t>
  </si>
  <si>
    <t>ENGINEERING (618)</t>
  </si>
  <si>
    <t>MULTI/INTERDISCIPLINARY STUDIES (554)</t>
  </si>
  <si>
    <t>FAMILY AND CONSUMER SCIENCES/HUMAN SCIENCES (434)</t>
  </si>
  <si>
    <t>PARKS, RECREATION, LEISURE AND FITNESS STUDIES (305)</t>
  </si>
  <si>
    <t>520 - 620</t>
  </si>
  <si>
    <t>23 - 27</t>
  </si>
  <si>
    <t>21 - 27</t>
  </si>
  <si>
    <t>Texas Woman's University</t>
  </si>
  <si>
    <t>Denton</t>
  </si>
  <si>
    <t>www.twu.edu</t>
  </si>
  <si>
    <t>HEALTH PROFESSIONS AND RELATED PROGRAMS (560)</t>
  </si>
  <si>
    <t>MULTI/INTERDISCIPLINARY STUDIES (269)</t>
  </si>
  <si>
    <t>LIBERAL ARTS AND SCIENCES, GENERAL STUDIES AND  HUMANITIES (253)</t>
  </si>
  <si>
    <t>BUSINESS, MANAGEMENT, MARKETING, AND RELATED SUPPORT  SERVICES (147)</t>
  </si>
  <si>
    <t>FAMILY AND CONSUMER SCIENCES/HUMAN SCIENCES (108)</t>
  </si>
  <si>
    <t>390 - 510</t>
  </si>
  <si>
    <t>The University of Texas at Arlington</t>
  </si>
  <si>
    <t>Arlington</t>
  </si>
  <si>
    <t>www.uta.edu</t>
  </si>
  <si>
    <t>HEALTH PROFESSIONS AND RELATED PROGRAMS (2,166)</t>
  </si>
  <si>
    <t>BUSINESS, MANAGEMENT, MARKETING, AND RELATED SUPPORT  SERVICES (839)</t>
  </si>
  <si>
    <t>MULTI/INTERDISCIPLINARY STUDIES (409)</t>
  </si>
  <si>
    <t>BIOLOGICAL AND BIOMEDICAL SCIENCES (378)</t>
  </si>
  <si>
    <t>LIBERAL ARTS AND SCIENCES, GENERAL STUDIES AND  HUMANITIES (364)</t>
  </si>
  <si>
    <t>490 - 610</t>
  </si>
  <si>
    <t>460 - 580</t>
  </si>
  <si>
    <t>19 - 25</t>
  </si>
  <si>
    <t>20 - 26</t>
  </si>
  <si>
    <t>The University of Texas at Austin</t>
  </si>
  <si>
    <t>Austin</t>
  </si>
  <si>
    <t>www.utexas.edu</t>
  </si>
  <si>
    <t>BUSINESS, MANAGEMENT, MARKETING, AND RELATED SUPPORT  SERVICES (1,116)</t>
  </si>
  <si>
    <t>COMMUNICATION, JOURNALISM AND RELATED PROGRAMS (1,107)</t>
  </si>
  <si>
    <t>SOCIAL SCIENCES (1,101)</t>
  </si>
  <si>
    <t>ENGINEERING (1,088)</t>
  </si>
  <si>
    <t>BIOLOGICAL AND BIOMEDICAL SCIENCES (792)</t>
  </si>
  <si>
    <t>580 - 710</t>
  </si>
  <si>
    <t>550 - 670</t>
  </si>
  <si>
    <t>26 - 32</t>
  </si>
  <si>
    <t>24 - 32</t>
  </si>
  <si>
    <t>The University of Texas at Brownsville</t>
  </si>
  <si>
    <t>Brownsville</t>
  </si>
  <si>
    <t>www.utb.edu</t>
  </si>
  <si>
    <t>MULTI/INTERDISCIPLINARY STUDIES (213)</t>
  </si>
  <si>
    <t>BUSINESS, MANAGEMENT, MARKETING, AND RELATED SUPPORT  SERVICES (131)</t>
  </si>
  <si>
    <t>HEALTH PROFESSIONS AND RELATED PROGRAMS (104)</t>
  </si>
  <si>
    <t>PSYCHOLOGY (91)</t>
  </si>
  <si>
    <t>BIOLOGICAL AND BIOMEDICAL SCIENCES (76)</t>
  </si>
  <si>
    <t>The University of Texas at Dallas</t>
  </si>
  <si>
    <t>Dallas</t>
  </si>
  <si>
    <t>www.utdallas.edu</t>
  </si>
  <si>
    <t>BUSINESS, MANAGEMENT, MARKETING, AND RELATED SUPPORT  SERVICES (905)</t>
  </si>
  <si>
    <t>BIOLOGICAL AND BIOMEDICAL SCIENCES (388)</t>
  </si>
  <si>
    <t>ENGINEERING (249)</t>
  </si>
  <si>
    <t>PSYCHOLOGY (232)</t>
  </si>
  <si>
    <t>SOCIAL SCIENCES (197)</t>
  </si>
  <si>
    <t>600 - 710</t>
  </si>
  <si>
    <t>560 - 680</t>
  </si>
  <si>
    <t>24 - 31</t>
  </si>
  <si>
    <t>The University of Texas at El Paso</t>
  </si>
  <si>
    <t>El Paso</t>
  </si>
  <si>
    <t>www.utep.edu</t>
  </si>
  <si>
    <t>MULTI/INTERDISCIPLINARY STUDIES (603)</t>
  </si>
  <si>
    <t>BUSINESS, MANAGEMENT, MARKETING, AND RELATED SUPPORT  SERVICES (488)</t>
  </si>
  <si>
    <t>HEALTH PROFESSIONS AND RELATED PROGRAMS (352)</t>
  </si>
  <si>
    <t>ENGINEERING (260)</t>
  </si>
  <si>
    <t>BIOLOGICAL AND BIOMEDICAL SCIENCES (253)</t>
  </si>
  <si>
    <t>14 - 21</t>
  </si>
  <si>
    <t>The University of Texas–Pan American</t>
  </si>
  <si>
    <t>Edinburg</t>
  </si>
  <si>
    <t>www.utpa.edu</t>
  </si>
  <si>
    <t>HEALTH PROFESSIONS AND RELATED PROGRAMS (446)</t>
  </si>
  <si>
    <t>BUSINESS, MANAGEMENT, MARKETING, AND RELATED SUPPORT  SERVICES (393)</t>
  </si>
  <si>
    <t>BIOLOGICAL AND BIOMEDICAL SCIENCES (243)</t>
  </si>
  <si>
    <t>MULTI/INTERDISCIPLINARY STUDIES (233)</t>
  </si>
  <si>
    <t>HOMELAND SECURITY, LAW ENFORCEMENT, FIREFIGHTING AND RELATED PROTECTIVE SERVICES (215)</t>
  </si>
  <si>
    <t>420 - 520</t>
  </si>
  <si>
    <t>16 - 21</t>
  </si>
  <si>
    <t>The University of Texas of the Permian Basin</t>
  </si>
  <si>
    <t>Odessa</t>
  </si>
  <si>
    <t>www.utpb.edu</t>
  </si>
  <si>
    <t>BUSINESS, MANAGEMENT, MARKETING, AND RELATED SUPPORT  SERVICES (155)</t>
  </si>
  <si>
    <t>MULTI/INTERDISCIPLINARY STUDIES (44)</t>
  </si>
  <si>
    <t>PSYCHOLOGY (41)</t>
  </si>
  <si>
    <t>PARKS, RECREATION, LEISURE AND FITNESS STUDIES (40)</t>
  </si>
  <si>
    <t>SOCIAL SCIENCES (39)</t>
  </si>
  <si>
    <t>460 - 558</t>
  </si>
  <si>
    <t>433 - 530</t>
  </si>
  <si>
    <t>18 - 22</t>
  </si>
  <si>
    <t>The University of Texas at San Antonio</t>
  </si>
  <si>
    <t>www.utsa.edu</t>
  </si>
  <si>
    <t>BUSINESS, MANAGEMENT, MARKETING, AND RELATED SUPPORT  SERVICES (1,051)</t>
  </si>
  <si>
    <t>PSYCHOLOGY (320)</t>
  </si>
  <si>
    <t>BIOLOGICAL AND BIOMEDICAL SCIENCES (292)</t>
  </si>
  <si>
    <t>HOMELAND SECURITY, LAW ENFORCEMENT, FIREFIGHTING AND RELATED PROTECTIVE SERVICES (262)</t>
  </si>
  <si>
    <t>480 - 580</t>
  </si>
  <si>
    <t>450 - 560</t>
  </si>
  <si>
    <t>The University of Texas at Tyler</t>
  </si>
  <si>
    <t>Tyler</t>
  </si>
  <si>
    <t>www.uttyler.edu</t>
  </si>
  <si>
    <t>HEALTH PROFESSIONS AND RELATED PROGRAMS (347)</t>
  </si>
  <si>
    <t>BUSINESS, MANAGEMENT, MARKETING, AND RELATED SUPPORT  SERVICES (234)</t>
  </si>
  <si>
    <t>MULTI/INTERDISCIPLINARY STUDIES (141)</t>
  </si>
  <si>
    <t>PARKS, RECREATION, LEISURE AND FITNESS STUDIES (89)</t>
  </si>
  <si>
    <t>PSYCHOLOGY (65)</t>
  </si>
  <si>
    <t>490 - 600</t>
  </si>
  <si>
    <t>21 - 26</t>
  </si>
  <si>
    <t>University of Houston</t>
  </si>
  <si>
    <t>www.uh.edu</t>
  </si>
  <si>
    <t>BUSINESS, MANAGEMENT, MARKETING, AND RELATED SUPPORT  SERVICES (1,658)</t>
  </si>
  <si>
    <t>PSYCHOLOGY (434)</t>
  </si>
  <si>
    <t>SOCIAL SCIENCES (406)</t>
  </si>
  <si>
    <t>BIOLOGICAL AND BIOMEDICAL SCIENCES (366)</t>
  </si>
  <si>
    <t>COMMUNICATION, JOURNALISM AND RELATED PROGRAMS (345)</t>
  </si>
  <si>
    <t>530 - 640</t>
  </si>
  <si>
    <t>23 - 28</t>
  </si>
  <si>
    <t>University of Houston–Clear Lake</t>
  </si>
  <si>
    <t>www.uhcl.edu</t>
  </si>
  <si>
    <t>MULTI/INTERDISCIPLINARY STUDIES (309)</t>
  </si>
  <si>
    <t>BUSINESS, MANAGEMENT, MARKETING, AND RELATED SUPPORT  SERVICES (300)</t>
  </si>
  <si>
    <t>PSYCHOLOGY (96)</t>
  </si>
  <si>
    <t>SOCIAL SCIENCES (71)</t>
  </si>
  <si>
    <t>PARKS, RECREATION, LEISURE AND FITNESS STUDIES (62)</t>
  </si>
  <si>
    <t>University of Houston–Downtown</t>
  </si>
  <si>
    <t>www.uhd.edu</t>
  </si>
  <si>
    <t>BUSINESS, MANAGEMENT, MARKETING, AND RELATED SUPPORT  SERVICES (874)</t>
  </si>
  <si>
    <t>MULTI/INTERDISCIPLINARY STUDIES (620)</t>
  </si>
  <si>
    <t>HOMELAND SECURITY, LAW ENFORCEMENT, FIREFIGHTING AND RELATED PROTECTIVE SERVICES (221)</t>
  </si>
  <si>
    <t>PSYCHOLOGY (175)</t>
  </si>
  <si>
    <t>SOCIAL SCIENCES (94)</t>
  </si>
  <si>
    <t>University of Houston–Victoria</t>
  </si>
  <si>
    <t>Victoria</t>
  </si>
  <si>
    <t>www.uhv.edu</t>
  </si>
  <si>
    <t>BUSINESS, MANAGEMENT, MARKETING, AND RELATED SUPPORT  SERVICES (205)</t>
  </si>
  <si>
    <t>MULTI/INTERDISCIPLINARY STUDIES (179)</t>
  </si>
  <si>
    <t>HEALTH PROFESSIONS AND RELATED PROGRAMS (103)</t>
  </si>
  <si>
    <t>PSYCHOLOGY (72)</t>
  </si>
  <si>
    <t>COMPUTER AND INFORMATION SCIENCES AND SUPPORT SERVICES (33)</t>
  </si>
  <si>
    <t>420 - 510</t>
  </si>
  <si>
    <t>390 - 475</t>
  </si>
  <si>
    <t>University of North Texas</t>
  </si>
  <si>
    <t>www.unt.edu</t>
  </si>
  <si>
    <t>BUSINESS, MANAGEMENT, MARKETING, AND RELATED SUPPORT  SERVICES (1,246)</t>
  </si>
  <si>
    <t>MULTI/INTERDISCIPLINARY STUDIES (957)</t>
  </si>
  <si>
    <t>SOCIAL SCIENCES (564)</t>
  </si>
  <si>
    <t>VISUAL AND PERFORMING ARTS (500)</t>
  </si>
  <si>
    <t>COMMUNICATION, JOURNALISM AND RELATED PROGRAMS (361)</t>
  </si>
  <si>
    <t>500 - 610</t>
  </si>
  <si>
    <t>480 - 600</t>
  </si>
  <si>
    <t>19 - 26</t>
  </si>
  <si>
    <t>University of North Texas–Dallas</t>
  </si>
  <si>
    <t xml:space="preserve">www.untdallas.edu </t>
  </si>
  <si>
    <t>West Texas A&amp;M University</t>
  </si>
  <si>
    <t>Canyon</t>
  </si>
  <si>
    <t>www.wtamu.edu</t>
  </si>
  <si>
    <t>MULTI/INTERDISCIPLINARY STUDIES (206)</t>
  </si>
  <si>
    <t>BUSINESS, MANAGEMENT, MARKETING, AND RELATED SUPPORT  SERVICES (197)</t>
  </si>
  <si>
    <t>HEALTH PROFESSIONS AND RELATED PROGRAMS (164)</t>
  </si>
  <si>
    <t>LIBERAL ARTS AND SCIENCES, GENERAL STUDIES AND  HUMANITIES (159)</t>
  </si>
  <si>
    <t>AGRICULTURE, AGRICULTURE OPERATIONS, AND RELATED SCIENCES (93)</t>
  </si>
  <si>
    <t>410 - 530</t>
  </si>
  <si>
    <t>Statewide</t>
  </si>
  <si>
    <t>BUSINESS, MANAGEMENT, MARKETING, AND RELATED SUPPORT  SERVICES (16,846)</t>
  </si>
  <si>
    <t>MULTI/INTERDISCIPLINARY STUDIES (10,769)</t>
  </si>
  <si>
    <t>HEALTH PROFESSIONS AND RELATED PROGRAMS (8,115)</t>
  </si>
  <si>
    <t>ENGINEERING (5,371)</t>
  </si>
  <si>
    <t>BIOLOGICAL AND BIOMEDICAL SCIENCES (5,295)</t>
  </si>
  <si>
    <t/>
  </si>
  <si>
    <t>Statewide</t>
    <phoneticPr fontId="0" type="noConversion"/>
  </si>
  <si>
    <t>Associate Degrees &amp; Certificates</t>
  </si>
  <si>
    <t>Medium Colleges</t>
  </si>
  <si>
    <t>www.wcjc.edu</t>
  </si>
  <si>
    <t>Wharton</t>
  </si>
  <si>
    <t>Wharton County Junior College</t>
  </si>
  <si>
    <t>Small Colleges</t>
  </si>
  <si>
    <t>www.wtc.edu</t>
  </si>
  <si>
    <t>Snyder</t>
  </si>
  <si>
    <t>Western Texas College</t>
  </si>
  <si>
    <t>www.wc.edu</t>
  </si>
  <si>
    <t>Weatherford</t>
  </si>
  <si>
    <t>Weatherford College</t>
  </si>
  <si>
    <t>www.victoriacollege.edu</t>
  </si>
  <si>
    <t>Victoria College</t>
  </si>
  <si>
    <t>www.vernoncollege.edu</t>
  </si>
  <si>
    <t>Vernon</t>
  </si>
  <si>
    <t>Vernon College</t>
  </si>
  <si>
    <t>Large Colleges</t>
  </si>
  <si>
    <t>www.tjc.edu</t>
  </si>
  <si>
    <t>Tyler Junior College</t>
  </si>
  <si>
    <t>www.tvcc.edu</t>
  </si>
  <si>
    <t>Athens</t>
  </si>
  <si>
    <t>Trinity Valley Community College</t>
  </si>
  <si>
    <t>LSC/TSTC</t>
  </si>
  <si>
    <t>www.westtexas.tstc.edu</t>
  </si>
  <si>
    <t>Sweetwater</t>
  </si>
  <si>
    <t>Texas State Technical College-West Texas</t>
  </si>
  <si>
    <t>www.waco.tstc.edu</t>
  </si>
  <si>
    <t>Waco</t>
  </si>
  <si>
    <t>Texas State Technical College-Waco</t>
  </si>
  <si>
    <t>www.marshall.tstc.edu</t>
  </si>
  <si>
    <t>Marshall</t>
  </si>
  <si>
    <t>Texas State Technical College-Marshall</t>
  </si>
  <si>
    <t>www.harlingen.tstc.edu</t>
  </si>
  <si>
    <t>Harlingen</t>
  </si>
  <si>
    <t>Texas State Technical College-Harlingen</t>
  </si>
  <si>
    <t>www.tsc.edu</t>
  </si>
  <si>
    <t>Texas Southmost College</t>
  </si>
  <si>
    <t>www.texarkanacollege.edu</t>
  </si>
  <si>
    <t>Texarkana College</t>
  </si>
  <si>
    <t>www.templejc.edu</t>
  </si>
  <si>
    <t>Temple</t>
  </si>
  <si>
    <t>Temple College</t>
  </si>
  <si>
    <t>See District</t>
  </si>
  <si>
    <t>Very Large Colleges</t>
  </si>
  <si>
    <t>www.tccd.edu</t>
  </si>
  <si>
    <t>Tarrant County College District</t>
  </si>
  <si>
    <t>Fort Worth</t>
  </si>
  <si>
    <t>Tarrant CCD—Trinity River Campus</t>
  </si>
  <si>
    <t>Tarrant CCD—Southeast Campus</t>
  </si>
  <si>
    <t>Tarrant CCD—South Campus</t>
  </si>
  <si>
    <t>Tarrant CCD—Northwest Campus</t>
  </si>
  <si>
    <t>Hurst</t>
  </si>
  <si>
    <t>Tarrant CCD—Northeast Campus</t>
  </si>
  <si>
    <t>See Campus</t>
  </si>
  <si>
    <t>www.swtjc.net</t>
  </si>
  <si>
    <t>Uvalde</t>
  </si>
  <si>
    <t>Southwest Texas Junior College</t>
  </si>
  <si>
    <t>Bachelor’s &amp; Associate Degrees &amp; Certificates</t>
  </si>
  <si>
    <t>www.southtexascollege.edu</t>
  </si>
  <si>
    <t>McAllen</t>
  </si>
  <si>
    <t>South Texas College</t>
  </si>
  <si>
    <t>www.southplainscollege.edu</t>
  </si>
  <si>
    <t>Levelland</t>
  </si>
  <si>
    <t>South Plains College</t>
  </si>
  <si>
    <t>www.sjcd.edu</t>
  </si>
  <si>
    <t>San Jacinto Community College District</t>
  </si>
  <si>
    <t>San Jacinto CCD—South Campus</t>
  </si>
  <si>
    <t>San Jacinto CCD—North Campus</t>
  </si>
  <si>
    <t>Pasadena</t>
  </si>
  <si>
    <t>San Jacinto CCD—Central Campus</t>
  </si>
  <si>
    <t>www.rangercollege.edu</t>
  </si>
  <si>
    <t>Ranger</t>
  </si>
  <si>
    <t>Ranger College</t>
  </si>
  <si>
    <t>www.parisjc.edu</t>
  </si>
  <si>
    <t>Paris</t>
  </si>
  <si>
    <t>Paris Junior College</t>
  </si>
  <si>
    <t>www.panola.edu</t>
  </si>
  <si>
    <t>Carthage</t>
  </si>
  <si>
    <t>Panola College</t>
  </si>
  <si>
    <t>www.odessa.edu</t>
  </si>
  <si>
    <t>Odessa College</t>
  </si>
  <si>
    <t>www.ntcc.edu</t>
  </si>
  <si>
    <t>Mount Pleasant</t>
  </si>
  <si>
    <t>Northeast Texas Community College</t>
  </si>
  <si>
    <t>www.nctc.edu</t>
  </si>
  <si>
    <t>Gainesville</t>
  </si>
  <si>
    <t>North Central Texas College</t>
  </si>
  <si>
    <t>www.navarrocollege.edu</t>
  </si>
  <si>
    <t>Corsicana</t>
  </si>
  <si>
    <t>Navarro College</t>
  </si>
  <si>
    <t>www.midland.edu</t>
  </si>
  <si>
    <t>Midland</t>
  </si>
  <si>
    <t>Midland College</t>
  </si>
  <si>
    <t>www.mclennan.edu</t>
  </si>
  <si>
    <t>McLennan Community College</t>
  </si>
  <si>
    <t>www.lonestar.edu/universitypark</t>
  </si>
  <si>
    <t>Lone Star College System</t>
  </si>
  <si>
    <t>Lone Star CS—University Park</t>
  </si>
  <si>
    <t>www.lonestar.edu/tomball</t>
  </si>
  <si>
    <t>Tomball</t>
  </si>
  <si>
    <t>Lone Star CS—Tomball College</t>
  </si>
  <si>
    <t>www.lonestar.edu/northharris</t>
  </si>
  <si>
    <t>Lone Star CS—North Harris College</t>
  </si>
  <si>
    <t>www.lonestar.edu/montgomery</t>
  </si>
  <si>
    <t>Conroe</t>
  </si>
  <si>
    <t>Lone Star CS—Montgomery College</t>
  </si>
  <si>
    <t>www.lonestar.edu/kingwood</t>
  </si>
  <si>
    <t>Kingwood</t>
  </si>
  <si>
    <t>Lone Star CS—Kingwood College</t>
  </si>
  <si>
    <t>www.lonestar.edu/cyfair</t>
  </si>
  <si>
    <t>Cypress</t>
  </si>
  <si>
    <t>Lone Star CS—Cy Fair College</t>
  </si>
  <si>
    <t>www.lee.edu</t>
  </si>
  <si>
    <t>Baytown</t>
  </si>
  <si>
    <t>Lee College</t>
  </si>
  <si>
    <t>www.laredo.edu</t>
  </si>
  <si>
    <t>Laredo Community College</t>
  </si>
  <si>
    <t>www.lamarpa.edu</t>
  </si>
  <si>
    <t>Port Arthur</t>
  </si>
  <si>
    <t>Lamar State College-Port Arthur</t>
  </si>
  <si>
    <t>www.lsco.edu</t>
  </si>
  <si>
    <t>Orange</t>
  </si>
  <si>
    <t>Lamar State College-Orange</t>
  </si>
  <si>
    <t>www.lit.edu</t>
  </si>
  <si>
    <t>Lamar Institute of Technology</t>
  </si>
  <si>
    <t>www.kilgore.edu</t>
  </si>
  <si>
    <t>Kilgore</t>
  </si>
  <si>
    <t>Kilgore College</t>
  </si>
  <si>
    <t>www.howardcollege.edu/swcid</t>
  </si>
  <si>
    <t>Howard County Junior College District</t>
  </si>
  <si>
    <t>Big Spring</t>
  </si>
  <si>
    <t>Howard CJCD—Southwest Collegiate Institute for the Deaf</t>
    <phoneticPr fontId="0" type="noConversion"/>
  </si>
  <si>
    <t>www.howardcollege.edu</t>
  </si>
  <si>
    <t>Howard CJCD—Howard College</t>
  </si>
  <si>
    <t>www.hccs.edu</t>
  </si>
  <si>
    <t>Houston Community College System</t>
  </si>
  <si>
    <t>Houston Community College</t>
  </si>
  <si>
    <t>www.hillcollege.edu</t>
  </si>
  <si>
    <t>Hillsboro</t>
  </si>
  <si>
    <t>Hill College</t>
  </si>
  <si>
    <t>www.grayson.edu</t>
  </si>
  <si>
    <t>Denison</t>
  </si>
  <si>
    <t>Grayson College</t>
  </si>
  <si>
    <t>www.gc.edu</t>
  </si>
  <si>
    <t>Galveston College</t>
  </si>
  <si>
    <t>www.fpctx.edu</t>
  </si>
  <si>
    <t>Borger</t>
  </si>
  <si>
    <t>Frank Phillips College</t>
  </si>
  <si>
    <t>www.epcc.edu</t>
  </si>
  <si>
    <t>El Paso Community College District</t>
  </si>
  <si>
    <t>www.delmar.edu</t>
  </si>
  <si>
    <t>Del Mar College</t>
  </si>
  <si>
    <t>www.richlandcollege.edu</t>
  </si>
  <si>
    <t>Dallas County Community College District</t>
  </si>
  <si>
    <t xml:space="preserve">Dallas CCCD—Richland College </t>
  </si>
  <si>
    <t>www.northlakecollege.edu</t>
  </si>
  <si>
    <t>Irving</t>
  </si>
  <si>
    <t>Dallas CCCD—North Lake College</t>
  </si>
  <si>
    <t>www.mountainviewcollege.edu</t>
  </si>
  <si>
    <t>Dallas CCCD—Mountain View College</t>
  </si>
  <si>
    <t>www.elcentrocollege.edu</t>
  </si>
  <si>
    <t>Dallas CCCD—El Centro College</t>
  </si>
  <si>
    <t>www.eastfieldcollege.edu</t>
  </si>
  <si>
    <t>Mesquite</t>
  </si>
  <si>
    <t xml:space="preserve">Dallas CCCD—Eastfield College </t>
  </si>
  <si>
    <t>www.cedarvalleycollege.edu</t>
  </si>
  <si>
    <t>Lancaster</t>
  </si>
  <si>
    <t xml:space="preserve">Dallas CCCD—Cedar Valley College </t>
  </si>
  <si>
    <t>www.brookhavencollege.edu</t>
    <phoneticPr fontId="0" type="noConversion"/>
  </si>
  <si>
    <t>Dallas CCCD—Brookhaven College</t>
  </si>
  <si>
    <t>www.collin.edu</t>
  </si>
  <si>
    <t>Collin County Community College District</t>
  </si>
  <si>
    <t>McKinney</t>
  </si>
  <si>
    <t>www.com.edu</t>
  </si>
  <si>
    <t>College of the Mainland Community College District</t>
  </si>
  <si>
    <t>Texas City</t>
  </si>
  <si>
    <t>College of the Mainland Community College District</t>
    <phoneticPr fontId="0" type="noConversion"/>
  </si>
  <si>
    <t>www.coastalbend.edu</t>
  </si>
  <si>
    <t>Beeville</t>
  </si>
  <si>
    <t>Coastal Bend College</t>
  </si>
  <si>
    <t>www.clarendoncollege.edu</t>
  </si>
  <si>
    <t>Clarendon</t>
  </si>
  <si>
    <t>Clarendon College</t>
  </si>
  <si>
    <t>www.cisco.edu</t>
  </si>
  <si>
    <t>Cisco</t>
  </si>
  <si>
    <t>Cisco College</t>
  </si>
  <si>
    <t>www.ctcd.edu</t>
  </si>
  <si>
    <t>Central Texas College</t>
  </si>
  <si>
    <t>www.brazosport.edu</t>
  </si>
  <si>
    <t>Lake Jackson</t>
  </si>
  <si>
    <t>Brazosport College</t>
  </si>
  <si>
    <t>www.blinn.edu</t>
  </si>
  <si>
    <t>Brenham</t>
  </si>
  <si>
    <t>Blinn College</t>
  </si>
  <si>
    <t>www.austincc.edu</t>
  </si>
  <si>
    <t>Austin Community College</t>
  </si>
  <si>
    <t>www.angelina.edu</t>
  </si>
  <si>
    <t>Lufkin</t>
  </si>
  <si>
    <t>Angelina College</t>
  </si>
  <si>
    <t>www.actx.edu</t>
  </si>
  <si>
    <t>Amarillo</t>
  </si>
  <si>
    <t>Amarillo College</t>
  </si>
  <si>
    <t>www.alvincollege.edu</t>
  </si>
  <si>
    <t>Alvin</t>
  </si>
  <si>
    <t>Alvin Community College</t>
  </si>
  <si>
    <t>HSI/HBCU</t>
  </si>
  <si>
    <t>www.alamo.edu/spc</t>
  </si>
  <si>
    <t>Alamo Community College District</t>
  </si>
  <si>
    <t>Alamo CCD—St. Philip’s College</t>
  </si>
  <si>
    <t>www.alamo.edu/sac</t>
  </si>
  <si>
    <t>Alamo CCD—San Antonio College</t>
  </si>
  <si>
    <t>www.alamo.edu/pac</t>
  </si>
  <si>
    <t>Alamo CCD—Palo Alto College</t>
  </si>
  <si>
    <t>www.alamo.edu/nvc</t>
  </si>
  <si>
    <t xml:space="preserve">Alamo CCD—Northwest Vista College </t>
  </si>
  <si>
    <t>www.alamo.edu/nlc</t>
  </si>
  <si>
    <t xml:space="preserve">Alamo CCD—Northeast Lakeview College </t>
  </si>
  <si>
    <t xml:space="preserve">Non-Deved grad rate </t>
  </si>
  <si>
    <t xml:space="preserve">Deved grad rate </t>
  </si>
  <si>
    <t>Student-Faculty Ratio</t>
  </si>
  <si>
    <t>% full-time faculty</t>
  </si>
  <si>
    <t>Full-time faculty</t>
  </si>
  <si>
    <t>Transfer rate</t>
  </si>
  <si>
    <t>Transfer cohort</t>
  </si>
  <si>
    <t>All transfers</t>
  </si>
  <si>
    <t>Completed college course (% of total)</t>
  </si>
  <si>
    <t>TSI obligation met (% of total)</t>
  </si>
  <si>
    <t>Below writing standard</t>
    <phoneticPr fontId="0" type="noConversion"/>
  </si>
  <si>
    <t>Below reading standard</t>
    <phoneticPr fontId="0" type="noConversion"/>
  </si>
  <si>
    <t>Below math standard</t>
  </si>
  <si>
    <t>Average SCH to associate degree</t>
    <phoneticPr fontId="0" type="noConversion"/>
  </si>
  <si>
    <t>Average time to associate degree (yrs)</t>
    <phoneticPr fontId="0" type="noConversion"/>
  </si>
  <si>
    <t>% employed and enrolled</t>
  </si>
  <si>
    <t>% enrolled in 4-yr or 2-yr</t>
  </si>
  <si>
    <t>% employed</t>
  </si>
  <si>
    <t>% total technical employed and/or enrolled</t>
  </si>
  <si>
    <t>% total academic employed and/or enrolled</t>
  </si>
  <si>
    <t>Part-time 3-year</t>
  </si>
  <si>
    <t>Full-time 3-year</t>
  </si>
  <si>
    <t>% earned bacc. or assoc. in 4 years or fewer</t>
  </si>
  <si>
    <t>% earned bacc. in 4 years or fewer</t>
  </si>
  <si>
    <t>% persist 1 year</t>
  </si>
  <si>
    <t xml:space="preserve">Dual credit as % of total fall 2013 enrollment </t>
  </si>
  <si>
    <t>% credit students receiving Pell Grants</t>
  </si>
  <si>
    <t>% technical program</t>
  </si>
  <si>
    <t>% academic program</t>
  </si>
  <si>
    <t>% enrollment change 2008–13</t>
  </si>
  <si>
    <t>Average tuition &amp; fees</t>
    <phoneticPr fontId="0" type="noConversion"/>
  </si>
  <si>
    <t>Degrees offered</t>
  </si>
  <si>
    <t>Peer group</t>
    <phoneticPr fontId="0" type="noConversion"/>
  </si>
  <si>
    <t>Website</t>
  </si>
  <si>
    <t>Year founded</t>
  </si>
  <si>
    <t>District</t>
  </si>
  <si>
    <t>City</t>
  </si>
  <si>
    <t>2-year public institution</t>
    <phoneticPr fontId="0" type="noConversion"/>
  </si>
  <si>
    <t>Graduation rates</t>
    <phoneticPr fontId="0" type="noConversion"/>
  </si>
  <si>
    <t>Dev. Writing Fall 2009 Cohort</t>
  </si>
  <si>
    <t>Dev. Reading Fall 2009 Cohort</t>
  </si>
  <si>
    <t>Dev. Math Fall 2009 Cohort</t>
  </si>
  <si>
    <t>Technical programs</t>
    <phoneticPr fontId="0" type="noConversion"/>
  </si>
  <si>
    <t>Academic programs</t>
    <phoneticPr fontId="0" type="noConversion"/>
  </si>
  <si>
    <r>
      <t xml:space="preserve">Fall 2008 FTIC </t>
    </r>
    <r>
      <rPr>
        <b/>
        <sz val="10"/>
        <color rgb="FFC00000"/>
        <rFont val="Verdana"/>
        <family val="2"/>
      </rPr>
      <t>dual credit</t>
    </r>
    <r>
      <rPr>
        <b/>
        <sz val="10"/>
        <rFont val="Verdana"/>
        <family val="2"/>
      </rPr>
      <t xml:space="preserve"> cohort</t>
    </r>
  </si>
  <si>
    <t>Degrees and certificates by race/ethnicity, FY 2013</t>
  </si>
  <si>
    <t>Graduate success</t>
    <phoneticPr fontId="0" type="noConversion"/>
  </si>
  <si>
    <t>Dual credit measures</t>
    <phoneticPr fontId="0" type="noConversion"/>
  </si>
  <si>
    <t xml:space="preserve">N/A </t>
  </si>
  <si>
    <t>Difference FY 2000 to FY 2013</t>
  </si>
  <si>
    <t>FY2013</t>
  </si>
  <si>
    <t>FY 2012</t>
  </si>
  <si>
    <t>FY 2010</t>
  </si>
  <si>
    <t>FY 2008</t>
  </si>
  <si>
    <t>FY 2006</t>
  </si>
  <si>
    <t>FY 2004</t>
  </si>
  <si>
    <t>FY 2002</t>
    <phoneticPr fontId="0" type="noConversion"/>
  </si>
  <si>
    <t>FY 2000</t>
    <phoneticPr fontId="0" type="noConversion"/>
  </si>
  <si>
    <t>Percentage point change FY 2000 to FY 2013</t>
  </si>
  <si>
    <t>Number bachelor’s degrees awarded — totals</t>
  </si>
  <si>
    <t>Six-year graduation rates — all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</si>
</sst>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</numFmts>
  <fonts count="10" x14ac:knownFonts="1">
    <font>
      <sz val="10"/>
      <name val="Verdana"/>
    </font>
    <font>
      <b/>
      <sz val="11"/>
      <color theme="1"/>
      <name val="Calibri"/>
      <family val="2"/>
      <scheme val="minor"/>
    </font>
    <font>
      <b/>
      <sz val="10"/>
      <name val="Verdana"/>
      <family val="2"/>
    </font>
    <font>
      <b/>
      <sz val="10"/>
      <color rgb="FFFF0000"/>
      <name val="Verdana"/>
      <family val="2"/>
    </font>
    <font>
      <sz val="10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Tahoma"/>
      <family val="2"/>
    </font>
    <font>
      <b/>
      <sz val="10"/>
      <color rgb="FFC00000"/>
      <name val="Verdana"/>
      <family val="2"/>
    </font>
    <font>
      <sz val="10"/>
      <color theme="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</cellStyleXfs>
  <cellXfs count="148">
    <xf numFmtId="0" fontId="0" fillId="0" borderId="0" xfId="0"/>
    <xf numFmtId="0" fontId="0" fillId="0" borderId="0" xfId="0" applyFill="1" applyBorder="1"/>
    <xf numFmtId="41" fontId="5" fillId="0" borderId="0" xfId="4" applyNumberFormat="1" applyFill="1" applyBorder="1"/>
    <xf numFmtId="41" fontId="0" fillId="0" borderId="0" xfId="4" applyNumberFormat="1" applyFont="1" applyFill="1" applyBorder="1" applyAlignment="1">
      <alignment horizontal="center"/>
    </xf>
    <xf numFmtId="0" fontId="4" fillId="0" borderId="0" xfId="5"/>
    <xf numFmtId="9" fontId="4" fillId="0" borderId="0" xfId="5" applyNumberFormat="1"/>
    <xf numFmtId="3" fontId="4" fillId="0" borderId="0" xfId="5" applyNumberFormat="1"/>
    <xf numFmtId="165" fontId="4" fillId="0" borderId="0" xfId="5" applyNumberFormat="1"/>
    <xf numFmtId="164" fontId="4" fillId="0" borderId="0" xfId="5" applyNumberFormat="1"/>
    <xf numFmtId="0" fontId="4" fillId="0" borderId="0" xfId="5" applyAlignment="1"/>
    <xf numFmtId="2" fontId="4" fillId="0" borderId="0" xfId="5" applyNumberFormat="1" applyFill="1"/>
    <xf numFmtId="0" fontId="4" fillId="0" borderId="0" xfId="5" applyFill="1"/>
    <xf numFmtId="0" fontId="4" fillId="0" borderId="0" xfId="5" applyFont="1"/>
    <xf numFmtId="1" fontId="4" fillId="0" borderId="0" xfId="5" applyNumberFormat="1"/>
    <xf numFmtId="6" fontId="4" fillId="0" borderId="0" xfId="5" applyNumberFormat="1"/>
    <xf numFmtId="0" fontId="4" fillId="0" borderId="0" xfId="5" applyNumberFormat="1"/>
    <xf numFmtId="1" fontId="4" fillId="0" borderId="0" xfId="5" applyNumberFormat="1" applyFill="1"/>
    <xf numFmtId="10" fontId="4" fillId="0" borderId="0" xfId="5" applyNumberFormat="1"/>
    <xf numFmtId="164" fontId="4" fillId="0" borderId="0" xfId="5" applyNumberFormat="1" applyFill="1"/>
    <xf numFmtId="0" fontId="4" fillId="0" borderId="0" xfId="5" applyFont="1" applyFill="1"/>
    <xf numFmtId="164" fontId="4" fillId="0" borderId="0" xfId="5" applyNumberFormat="1" applyFill="1" applyAlignment="1">
      <alignment horizontal="right"/>
    </xf>
    <xf numFmtId="0" fontId="4" fillId="0" borderId="0" xfId="5" applyFill="1" applyAlignment="1">
      <alignment wrapText="1"/>
    </xf>
    <xf numFmtId="0" fontId="2" fillId="0" borderId="0" xfId="5" applyFont="1" applyFill="1"/>
    <xf numFmtId="0" fontId="4" fillId="0" borderId="0" xfId="5" applyAlignment="1">
      <alignment wrapText="1"/>
    </xf>
    <xf numFmtId="3" fontId="4" fillId="0" borderId="0" xfId="5" applyNumberFormat="1" applyFill="1" applyAlignment="1">
      <alignment horizontal="right"/>
    </xf>
    <xf numFmtId="3" fontId="4" fillId="0" borderId="0" xfId="5" applyNumberFormat="1" applyFill="1" applyAlignment="1">
      <alignment horizontal="right" vertical="top" wrapText="1"/>
    </xf>
    <xf numFmtId="0" fontId="4" fillId="0" borderId="0" xfId="5" applyFill="1" applyAlignment="1">
      <alignment horizontal="right"/>
    </xf>
    <xf numFmtId="0" fontId="2" fillId="0" borderId="0" xfId="0" applyFont="1" applyFill="1" applyBorder="1" applyAlignment="1">
      <alignment wrapText="1"/>
    </xf>
    <xf numFmtId="42" fontId="5" fillId="0" borderId="0" xfId="4" applyNumberFormat="1" applyFill="1" applyBorder="1"/>
    <xf numFmtId="42" fontId="6" fillId="0" borderId="0" xfId="1" applyNumberFormat="1" applyFont="1" applyFill="1" applyBorder="1"/>
    <xf numFmtId="164" fontId="2" fillId="0" borderId="0" xfId="0" applyNumberFormat="1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164" fontId="0" fillId="0" borderId="0" xfId="0" applyNumberFormat="1" applyFill="1" applyBorder="1"/>
    <xf numFmtId="165" fontId="0" fillId="0" borderId="0" xfId="0" applyNumberFormat="1" applyFill="1" applyBorder="1"/>
    <xf numFmtId="1" fontId="0" fillId="0" borderId="0" xfId="0" applyNumberFormat="1" applyFill="1" applyBorder="1"/>
    <xf numFmtId="0" fontId="0" fillId="0" borderId="0" xfId="0" applyBorder="1"/>
    <xf numFmtId="0" fontId="7" fillId="0" borderId="0" xfId="0" applyFont="1" applyFill="1" applyBorder="1"/>
    <xf numFmtId="1" fontId="7" fillId="0" borderId="0" xfId="0" applyNumberFormat="1" applyFont="1" applyFill="1" applyBorder="1"/>
    <xf numFmtId="0" fontId="7" fillId="0" borderId="0" xfId="0" applyFont="1" applyBorder="1"/>
    <xf numFmtId="1" fontId="7" fillId="0" borderId="0" xfId="0" applyNumberFormat="1" applyFont="1" applyBorder="1"/>
    <xf numFmtId="1" fontId="0" fillId="0" borderId="0" xfId="0" applyNumberFormat="1" applyBorder="1"/>
    <xf numFmtId="164" fontId="0" fillId="0" borderId="0" xfId="0" applyNumberFormat="1" applyBorder="1"/>
    <xf numFmtId="165" fontId="0" fillId="0" borderId="0" xfId="0" applyNumberFormat="1" applyBorder="1"/>
    <xf numFmtId="0" fontId="2" fillId="0" borderId="1" xfId="0" applyFont="1" applyFill="1" applyBorder="1" applyAlignment="1">
      <alignment wrapText="1"/>
    </xf>
    <xf numFmtId="1" fontId="2" fillId="0" borderId="1" xfId="0" applyNumberFormat="1" applyFont="1" applyFill="1" applyBorder="1" applyAlignment="1">
      <alignment wrapText="1"/>
    </xf>
    <xf numFmtId="164" fontId="2" fillId="0" borderId="1" xfId="0" applyNumberFormat="1" applyFont="1" applyFill="1" applyBorder="1" applyAlignment="1">
      <alignment wrapText="1"/>
    </xf>
    <xf numFmtId="164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165" fontId="2" fillId="0" borderId="1" xfId="0" applyNumberFormat="1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6" fontId="0" fillId="0" borderId="1" xfId="0" applyNumberFormat="1" applyFill="1" applyBorder="1"/>
    <xf numFmtId="38" fontId="0" fillId="0" borderId="1" xfId="0" applyNumberFormat="1" applyFill="1" applyBorder="1"/>
    <xf numFmtId="164" fontId="0" fillId="0" borderId="1" xfId="3" applyNumberFormat="1" applyFont="1" applyFill="1" applyBorder="1"/>
    <xf numFmtId="164" fontId="0" fillId="0" borderId="1" xfId="0" applyNumberFormat="1" applyFill="1" applyBorder="1"/>
    <xf numFmtId="3" fontId="0" fillId="0" borderId="1" xfId="0" applyNumberFormat="1" applyFill="1" applyBorder="1"/>
    <xf numFmtId="164" fontId="4" fillId="0" borderId="1" xfId="3" applyNumberFormat="1" applyFont="1" applyFill="1" applyBorder="1"/>
    <xf numFmtId="164" fontId="4" fillId="0" borderId="1" xfId="0" applyNumberFormat="1" applyFont="1" applyFill="1" applyBorder="1"/>
    <xf numFmtId="165" fontId="0" fillId="0" borderId="1" xfId="0" applyNumberFormat="1" applyFill="1" applyBorder="1"/>
    <xf numFmtId="1" fontId="0" fillId="0" borderId="1" xfId="0" applyNumberFormat="1" applyFill="1" applyBorder="1"/>
    <xf numFmtId="2" fontId="0" fillId="0" borderId="1" xfId="0" applyNumberFormat="1" applyFill="1" applyBorder="1"/>
    <xf numFmtId="166" fontId="0" fillId="0" borderId="1" xfId="1" applyNumberFormat="1" applyFont="1" applyFill="1" applyBorder="1"/>
    <xf numFmtId="37" fontId="4" fillId="0" borderId="1" xfId="1" applyNumberFormat="1" applyFill="1" applyBorder="1"/>
    <xf numFmtId="5" fontId="4" fillId="0" borderId="1" xfId="2" applyNumberFormat="1" applyFont="1" applyFill="1" applyBorder="1"/>
    <xf numFmtId="5" fontId="4" fillId="0" borderId="1" xfId="1" applyNumberFormat="1" applyFill="1" applyBorder="1"/>
    <xf numFmtId="38" fontId="4" fillId="0" borderId="1" xfId="0" applyNumberFormat="1" applyFont="1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38" fontId="0" fillId="0" borderId="1" xfId="0" applyNumberFormat="1" applyFill="1" applyBorder="1" applyAlignment="1">
      <alignment horizontal="right"/>
    </xf>
    <xf numFmtId="164" fontId="4" fillId="0" borderId="1" xfId="3" applyNumberFormat="1" applyFont="1" applyFill="1" applyBorder="1" applyAlignment="1">
      <alignment horizontal="right"/>
    </xf>
    <xf numFmtId="0" fontId="4" fillId="0" borderId="1" xfId="0" applyFont="1" applyFill="1" applyBorder="1"/>
    <xf numFmtId="6" fontId="4" fillId="0" borderId="1" xfId="0" applyNumberFormat="1" applyFont="1" applyFill="1" applyBorder="1"/>
    <xf numFmtId="3" fontId="4" fillId="0" borderId="1" xfId="0" applyNumberFormat="1" applyFont="1" applyFill="1" applyBorder="1" applyAlignment="1">
      <alignment horizontal="right"/>
    </xf>
    <xf numFmtId="164" fontId="4" fillId="0" borderId="1" xfId="0" applyNumberFormat="1" applyFont="1" applyFill="1" applyBorder="1" applyAlignment="1">
      <alignment horizontal="right"/>
    </xf>
    <xf numFmtId="165" fontId="4" fillId="0" borderId="1" xfId="0" applyNumberFormat="1" applyFont="1" applyFill="1" applyBorder="1" applyAlignment="1">
      <alignment horizontal="right"/>
    </xf>
    <xf numFmtId="0" fontId="0" fillId="0" borderId="1" xfId="0" applyFill="1" applyBorder="1" applyAlignment="1">
      <alignment vertical="top" wrapText="1"/>
    </xf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/>
    <xf numFmtId="6" fontId="9" fillId="2" borderId="1" xfId="0" applyNumberFormat="1" applyFont="1" applyFill="1" applyBorder="1"/>
    <xf numFmtId="38" fontId="9" fillId="2" borderId="1" xfId="0" applyNumberFormat="1" applyFont="1" applyFill="1" applyBorder="1"/>
    <xf numFmtId="164" fontId="9" fillId="2" borderId="1" xfId="3" applyNumberFormat="1" applyFont="1" applyFill="1" applyBorder="1"/>
    <xf numFmtId="164" fontId="9" fillId="2" borderId="1" xfId="0" applyNumberFormat="1" applyFont="1" applyFill="1" applyBorder="1"/>
    <xf numFmtId="0" fontId="9" fillId="2" borderId="1" xfId="0" applyFont="1" applyFill="1" applyBorder="1" applyAlignment="1">
      <alignment horizontal="right"/>
    </xf>
    <xf numFmtId="3" fontId="9" fillId="2" borderId="1" xfId="0" applyNumberFormat="1" applyFont="1" applyFill="1" applyBorder="1"/>
    <xf numFmtId="165" fontId="9" fillId="2" borderId="1" xfId="0" applyNumberFormat="1" applyFont="1" applyFill="1" applyBorder="1"/>
    <xf numFmtId="1" fontId="9" fillId="2" borderId="1" xfId="0" applyNumberFormat="1" applyFont="1" applyFill="1" applyBorder="1"/>
    <xf numFmtId="2" fontId="9" fillId="2" borderId="1" xfId="0" applyNumberFormat="1" applyFont="1" applyFill="1" applyBorder="1"/>
    <xf numFmtId="166" fontId="9" fillId="2" borderId="1" xfId="1" applyNumberFormat="1" applyFont="1" applyFill="1" applyBorder="1"/>
    <xf numFmtId="37" fontId="9" fillId="2" borderId="1" xfId="1" applyNumberFormat="1" applyFont="1" applyFill="1" applyBorder="1"/>
    <xf numFmtId="5" fontId="9" fillId="2" borderId="1" xfId="2" applyNumberFormat="1" applyFont="1" applyFill="1" applyBorder="1"/>
    <xf numFmtId="5" fontId="9" fillId="2" borderId="1" xfId="1" applyNumberFormat="1" applyFont="1" applyFill="1" applyBorder="1"/>
    <xf numFmtId="0" fontId="4" fillId="0" borderId="0" xfId="5" applyFill="1" applyBorder="1" applyAlignment="1"/>
    <xf numFmtId="0" fontId="4" fillId="0" borderId="0" xfId="5" applyFill="1" applyBorder="1"/>
    <xf numFmtId="3" fontId="4" fillId="0" borderId="0" xfId="5" applyNumberFormat="1" applyFill="1" applyBorder="1"/>
    <xf numFmtId="165" fontId="4" fillId="0" borderId="0" xfId="5" applyNumberFormat="1" applyFill="1" applyBorder="1"/>
    <xf numFmtId="9" fontId="4" fillId="0" borderId="0" xfId="5" applyNumberFormat="1" applyFill="1" applyBorder="1"/>
    <xf numFmtId="0" fontId="2" fillId="0" borderId="0" xfId="5" applyFont="1" applyFill="1" applyBorder="1" applyAlignment="1">
      <alignment horizontal="center"/>
    </xf>
    <xf numFmtId="0" fontId="1" fillId="0" borderId="1" xfId="5" applyFont="1" applyFill="1" applyBorder="1" applyAlignment="1">
      <alignment vertical="center"/>
    </xf>
    <xf numFmtId="0" fontId="2" fillId="0" borderId="1" xfId="5" applyFont="1" applyFill="1" applyBorder="1" applyAlignment="1">
      <alignment wrapText="1"/>
    </xf>
    <xf numFmtId="0" fontId="2" fillId="0" borderId="1" xfId="5" applyFont="1" applyFill="1" applyBorder="1" applyAlignment="1"/>
    <xf numFmtId="3" fontId="2" fillId="0" borderId="1" xfId="5" applyNumberFormat="1" applyFont="1" applyFill="1" applyBorder="1" applyAlignment="1">
      <alignment wrapText="1"/>
    </xf>
    <xf numFmtId="164" fontId="2" fillId="0" borderId="1" xfId="5" applyNumberFormat="1" applyFont="1" applyFill="1" applyBorder="1" applyAlignment="1">
      <alignment wrapText="1"/>
    </xf>
    <xf numFmtId="165" fontId="2" fillId="0" borderId="1" xfId="5" applyNumberFormat="1" applyFont="1" applyFill="1" applyBorder="1" applyAlignment="1">
      <alignment wrapText="1"/>
    </xf>
    <xf numFmtId="9" fontId="2" fillId="0" borderId="1" xfId="5" applyNumberFormat="1" applyFont="1" applyFill="1" applyBorder="1" applyAlignment="1">
      <alignment wrapText="1"/>
    </xf>
    <xf numFmtId="0" fontId="4" fillId="0" borderId="1" xfId="5" applyFill="1" applyBorder="1" applyAlignment="1"/>
    <xf numFmtId="0" fontId="4" fillId="0" borderId="1" xfId="5" applyFill="1" applyBorder="1"/>
    <xf numFmtId="0" fontId="2" fillId="0" borderId="1" xfId="5" applyFont="1" applyFill="1" applyBorder="1"/>
    <xf numFmtId="0" fontId="4" fillId="0" borderId="1" xfId="5" applyFont="1" applyFill="1" applyBorder="1" applyAlignment="1">
      <alignment horizontal="right"/>
    </xf>
    <xf numFmtId="6" fontId="4" fillId="0" borderId="1" xfId="5" applyNumberFormat="1" applyFill="1" applyBorder="1"/>
    <xf numFmtId="38" fontId="4" fillId="0" borderId="1" xfId="5" applyNumberFormat="1" applyFill="1" applyBorder="1"/>
    <xf numFmtId="164" fontId="4" fillId="0" borderId="1" xfId="3" applyNumberFormat="1" applyFill="1" applyBorder="1"/>
    <xf numFmtId="164" fontId="4" fillId="0" borderId="1" xfId="3" applyNumberFormat="1" applyFill="1" applyBorder="1" applyAlignment="1">
      <alignment horizontal="right"/>
    </xf>
    <xf numFmtId="9" fontId="4" fillId="0" borderId="1" xfId="3" applyFont="1" applyFill="1" applyBorder="1"/>
    <xf numFmtId="164" fontId="4" fillId="0" borderId="1" xfId="5" applyNumberFormat="1" applyFill="1" applyBorder="1"/>
    <xf numFmtId="165" fontId="4" fillId="0" borderId="1" xfId="5" applyNumberFormat="1" applyFill="1" applyBorder="1"/>
    <xf numFmtId="38" fontId="4" fillId="0" borderId="1" xfId="5" applyNumberFormat="1" applyFill="1" applyBorder="1" applyAlignment="1">
      <alignment horizontal="right"/>
    </xf>
    <xf numFmtId="0" fontId="4" fillId="0" borderId="1" xfId="5" applyFont="1" applyFill="1" applyBorder="1"/>
    <xf numFmtId="0" fontId="4" fillId="0" borderId="1" xfId="5" applyFill="1" applyBorder="1" applyAlignment="1">
      <alignment wrapText="1"/>
    </xf>
    <xf numFmtId="0" fontId="0" fillId="0" borderId="1" xfId="0" applyBorder="1"/>
    <xf numFmtId="164" fontId="4" fillId="0" borderId="1" xfId="5" applyNumberFormat="1" applyFill="1" applyBorder="1" applyAlignment="1">
      <alignment horizontal="right"/>
    </xf>
    <xf numFmtId="0" fontId="9" fillId="2" borderId="1" xfId="5" applyFont="1" applyFill="1" applyBorder="1" applyAlignment="1"/>
    <xf numFmtId="0" fontId="9" fillId="2" borderId="1" xfId="5" applyFont="1" applyFill="1" applyBorder="1"/>
    <xf numFmtId="6" fontId="9" fillId="2" borderId="1" xfId="5" applyNumberFormat="1" applyFont="1" applyFill="1" applyBorder="1"/>
    <xf numFmtId="38" fontId="9" fillId="2" borderId="1" xfId="5" applyNumberFormat="1" applyFont="1" applyFill="1" applyBorder="1"/>
    <xf numFmtId="164" fontId="9" fillId="2" borderId="1" xfId="3" applyNumberFormat="1" applyFont="1" applyFill="1" applyBorder="1" applyAlignment="1">
      <alignment horizontal="right"/>
    </xf>
    <xf numFmtId="164" fontId="9" fillId="2" borderId="1" xfId="5" applyNumberFormat="1" applyFont="1" applyFill="1" applyBorder="1"/>
    <xf numFmtId="165" fontId="9" fillId="2" borderId="1" xfId="5" applyNumberFormat="1" applyFont="1" applyFill="1" applyBorder="1"/>
    <xf numFmtId="38" fontId="9" fillId="2" borderId="1" xfId="5" applyNumberFormat="1" applyFont="1" applyFill="1" applyBorder="1" applyAlignment="1">
      <alignment horizontal="right"/>
    </xf>
    <xf numFmtId="164" fontId="2" fillId="0" borderId="0" xfId="5" applyNumberFormat="1" applyFont="1" applyFill="1" applyBorder="1" applyAlignment="1">
      <alignment horizontal="center"/>
    </xf>
    <xf numFmtId="164" fontId="2" fillId="0" borderId="1" xfId="5" applyNumberFormat="1" applyFont="1" applyFill="1" applyBorder="1"/>
    <xf numFmtId="164" fontId="4" fillId="0" borderId="1" xfId="5" applyNumberFormat="1" applyFont="1" applyFill="1" applyBorder="1" applyAlignment="1">
      <alignment horizontal="right"/>
    </xf>
    <xf numFmtId="0" fontId="4" fillId="0" borderId="1" xfId="5" applyFill="1" applyBorder="1" applyAlignment="1">
      <alignment horizontal="right"/>
    </xf>
    <xf numFmtId="0" fontId="4" fillId="0" borderId="1" xfId="5" applyFill="1" applyBorder="1" applyAlignment="1">
      <alignment horizontal="right" vertical="top" wrapText="1"/>
    </xf>
    <xf numFmtId="3" fontId="4" fillId="0" borderId="1" xfId="5" applyNumberFormat="1" applyFill="1" applyBorder="1" applyAlignment="1">
      <alignment horizontal="right"/>
    </xf>
    <xf numFmtId="3" fontId="4" fillId="0" borderId="1" xfId="5" applyNumberFormat="1" applyFill="1" applyBorder="1" applyAlignment="1">
      <alignment horizontal="right" vertical="top" wrapText="1"/>
    </xf>
    <xf numFmtId="164" fontId="4" fillId="0" borderId="1" xfId="5" applyNumberFormat="1" applyFont="1" applyFill="1" applyBorder="1" applyAlignment="1">
      <alignment horizontal="right" vertical="top" wrapText="1"/>
    </xf>
    <xf numFmtId="0" fontId="2" fillId="3" borderId="1" xfId="5" applyFont="1" applyFill="1" applyBorder="1" applyAlignment="1">
      <alignment wrapText="1"/>
    </xf>
    <xf numFmtId="164" fontId="4" fillId="3" borderId="1" xfId="5" applyNumberFormat="1" applyFill="1" applyBorder="1" applyAlignment="1">
      <alignment horizontal="right"/>
    </xf>
    <xf numFmtId="164" fontId="4" fillId="3" borderId="1" xfId="5" applyNumberFormat="1" applyFont="1" applyFill="1" applyBorder="1" applyAlignment="1">
      <alignment horizontal="right" vertical="top" wrapText="1"/>
    </xf>
    <xf numFmtId="3" fontId="4" fillId="3" borderId="1" xfId="5" applyNumberFormat="1" applyFill="1" applyBorder="1" applyAlignment="1">
      <alignment horizontal="right"/>
    </xf>
    <xf numFmtId="0" fontId="2" fillId="0" borderId="0" xfId="0" applyFont="1" applyFill="1" applyBorder="1" applyAlignment="1">
      <alignment horizontal="center" wrapText="1"/>
    </xf>
    <xf numFmtId="37" fontId="4" fillId="0" borderId="1" xfId="1" applyNumberFormat="1" applyFill="1" applyBorder="1" applyAlignment="1">
      <alignment horizontal="center"/>
    </xf>
    <xf numFmtId="5" fontId="4" fillId="0" borderId="1" xfId="1" applyNumberFormat="1" applyFill="1" applyBorder="1" applyAlignment="1">
      <alignment horizontal="center"/>
    </xf>
    <xf numFmtId="5" fontId="4" fillId="0" borderId="1" xfId="2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 wrapText="1"/>
    </xf>
    <xf numFmtId="0" fontId="2" fillId="0" borderId="0" xfId="5" applyFont="1" applyFill="1" applyBorder="1" applyAlignment="1">
      <alignment horizontal="center"/>
    </xf>
    <xf numFmtId="9" fontId="4" fillId="0" borderId="1" xfId="3" applyFont="1" applyFill="1" applyBorder="1" applyAlignment="1">
      <alignment horizontal="center"/>
    </xf>
    <xf numFmtId="0" fontId="2" fillId="0" borderId="0" xfId="5" applyFont="1" applyFill="1" applyBorder="1" applyAlignment="1">
      <alignment horizontal="center" wrapText="1"/>
    </xf>
    <xf numFmtId="164" fontId="2" fillId="0" borderId="0" xfId="5" applyNumberFormat="1" applyFont="1" applyFill="1" applyBorder="1" applyAlignment="1">
      <alignment horizontal="center"/>
    </xf>
  </cellXfs>
  <cellStyles count="6">
    <cellStyle name="Comma" xfId="1" builtinId="3"/>
    <cellStyle name="Currency" xfId="2" builtinId="4"/>
    <cellStyle name="Normal" xfId="0" builtinId="0"/>
    <cellStyle name="Normal 4 2" xfId="4"/>
    <cellStyle name="Normal 5" xfId="5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PP\PA\PAForum\Almanac\Almanac%20FY%202014\Data\Details\Universities\0%20-%20Univ%20-%20S%20&amp;%20U%20-%20FY%202012%20-%205%20-%20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civerje\My%20Documents\MyFiles\SCH-Univ\SRSCHLevFYTot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oc$/Documents%20and%20Settings/cernosekj/Local%20Settings/Temporary%20Internet%20Files/OLK2E/FY2006C2swrk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ademic Space Model Smmy"/>
      <sheetName val="Index"/>
      <sheetName val="Acad Space Model"/>
      <sheetName val="Acad Cost Study"/>
      <sheetName val="CS &amp; SP Smmy"/>
      <sheetName val="Acad CTG Costs"/>
      <sheetName val="ICUT Survey"/>
      <sheetName val="IFRS Smmy"/>
      <sheetName val="Almanac 1"/>
      <sheetName val="Almanac 2"/>
      <sheetName val="Univ_IE_Context"/>
      <sheetName val="Univ_IE_Keys"/>
      <sheetName val="Academic Accountability Smmy"/>
      <sheetName val="Smmy Acad SbS"/>
      <sheetName val="Smmy Chrts"/>
      <sheetName val="Smmy Sum"/>
      <sheetName val="Smmy FGD"/>
      <sheetName val="Smmy Fnts"/>
      <sheetName val="ARL Chrts"/>
      <sheetName val="ARL Sum"/>
      <sheetName val="ARL FGD"/>
      <sheetName val="ARL Fnts"/>
      <sheetName val="AUS Chrts"/>
      <sheetName val="AUS Sum"/>
      <sheetName val="AUS FGD"/>
      <sheetName val="AUS Fnts"/>
      <sheetName val="DAL Chrts"/>
      <sheetName val="DAL Sum"/>
      <sheetName val="DAL FGD"/>
      <sheetName val="DAL Fnts"/>
      <sheetName val="E-P Chrts"/>
      <sheetName val="E-P Sum"/>
      <sheetName val="E-P FGD"/>
      <sheetName val="E-P Fnts"/>
      <sheetName val="P-A Chrts"/>
      <sheetName val="P-A Sum"/>
      <sheetName val="P-A FGD"/>
      <sheetName val="P-A Fnts"/>
      <sheetName val="BRW Chrts"/>
      <sheetName val="BRW Sum"/>
      <sheetName val="BRW FGD"/>
      <sheetName val="BRW Fnts"/>
      <sheetName val="P-B Chrts"/>
      <sheetName val="P-B Sum"/>
      <sheetName val="P-B FGD"/>
      <sheetName val="P-B Fnts"/>
      <sheetName val="S-A Chrts"/>
      <sheetName val="S-A Sum"/>
      <sheetName val="S-A FGD"/>
      <sheetName val="S-A Fnts"/>
      <sheetName val="TYL Chrts"/>
      <sheetName val="TYL Sum"/>
      <sheetName val="TYL FGD"/>
      <sheetName val="TYL Fnts"/>
      <sheetName val="TAMU Chrts"/>
      <sheetName val="TAMU Sum"/>
      <sheetName val="TAMU FGD"/>
      <sheetName val="TAMU Fnts"/>
      <sheetName val="TAMUG Chrts"/>
      <sheetName val="TAMUG Sum"/>
      <sheetName val="TAMUG FGD"/>
      <sheetName val="TAMUG Fnts"/>
      <sheetName val="PVAMU Chrts"/>
      <sheetName val="PVAMU Sum"/>
      <sheetName val="PVAMU FGD"/>
      <sheetName val="PVAMU Fnts"/>
      <sheetName val="TARLST Chrts"/>
      <sheetName val="TARLST Sum"/>
      <sheetName val="TARLST FGD"/>
      <sheetName val="TARLST Fnts"/>
      <sheetName val="TAMUCC Chrts"/>
      <sheetName val="TAMUCC Sum"/>
      <sheetName val="TAMUCC FGD"/>
      <sheetName val="TAMUCC Fnts"/>
      <sheetName val="TAMUK Chrts"/>
      <sheetName val="TAMUK Sum"/>
      <sheetName val="TAMUK FGD"/>
      <sheetName val="TAMUK Fnts"/>
      <sheetName val="TAMIU Chrts"/>
      <sheetName val="TAMIU Sum"/>
      <sheetName val="TAMIU FGD"/>
      <sheetName val="TAMIU Fnts"/>
      <sheetName val="WTAMU Chrts"/>
      <sheetName val="WTAMU Sum"/>
      <sheetName val="WTAMU FGD"/>
      <sheetName val="WTAMU Fnts"/>
      <sheetName val="TAMUC Chrts"/>
      <sheetName val="TAMUC Sum"/>
      <sheetName val="TAMUC FGD"/>
      <sheetName val="TAMUC Fnts"/>
      <sheetName val="TAMUT Chrts"/>
      <sheetName val="TAMUT Sum"/>
      <sheetName val="TAMUT FGD"/>
      <sheetName val="TAMUT Fnts"/>
      <sheetName val="TAMUCT Chrts"/>
      <sheetName val="TAMUCT Sum"/>
      <sheetName val="TAMUCT FGD"/>
      <sheetName val="TAMUCT Fnts"/>
      <sheetName val="TAMUSA Chrts"/>
      <sheetName val="TAMUSA Sum"/>
      <sheetName val="TAMUSA FGD"/>
      <sheetName val="TAMUSA Fnts"/>
      <sheetName val="UH Chrts"/>
      <sheetName val="UH Sum"/>
      <sheetName val="UH FGD"/>
      <sheetName val="UH Fnts"/>
      <sheetName val="UHCL Chrts"/>
      <sheetName val="UHCL Sum"/>
      <sheetName val="UHCL FGD"/>
      <sheetName val="UHCL Fnts"/>
      <sheetName val="UHD Chrts"/>
      <sheetName val="UHD Sum"/>
      <sheetName val="UHD FGD"/>
      <sheetName val="UHD Fnts"/>
      <sheetName val="UHV Chrts"/>
      <sheetName val="UHV Sum"/>
      <sheetName val="UHV FGD"/>
      <sheetName val="UHV Fnts"/>
      <sheetName val="LU Chrts"/>
      <sheetName val="LU Sum"/>
      <sheetName val="LU FGD"/>
      <sheetName val="LU Fnts"/>
      <sheetName val="shsu Chrts"/>
      <sheetName val="shsu Sum"/>
      <sheetName val="shsu FGD"/>
      <sheetName val="shsu Fnts"/>
      <sheetName val="TXST Chrts"/>
      <sheetName val="TXST Sum"/>
      <sheetName val="TXST FGD"/>
      <sheetName val="TXST Fnts"/>
      <sheetName val="SRSU Chrts"/>
      <sheetName val="SRSU Sum"/>
      <sheetName val="SRSU FGD"/>
      <sheetName val="SRSU Fnts"/>
      <sheetName val="TTU Chrts"/>
      <sheetName val="TTU Sum"/>
      <sheetName val="TTU FGD"/>
      <sheetName val="TTU Fnts"/>
      <sheetName val="ASU Chrts"/>
      <sheetName val="ASU Sum"/>
      <sheetName val="ASU FGD"/>
      <sheetName val="ASU Fnts"/>
      <sheetName val="UNT Chrts"/>
      <sheetName val="UNT Sum"/>
      <sheetName val="UNT FGD"/>
      <sheetName val="UNT Fnts"/>
      <sheetName val="UNTD Chrts"/>
      <sheetName val="UNTD Sum"/>
      <sheetName val="UNTD FGD"/>
      <sheetName val="UNTD Fnts"/>
      <sheetName val="MidWST Chrts"/>
      <sheetName val="MidWST Sum"/>
      <sheetName val="MidWST FGD"/>
      <sheetName val="MidWST Fnts"/>
      <sheetName val="SFA Chrts"/>
      <sheetName val="SFA Sum"/>
      <sheetName val="SFA FGD"/>
      <sheetName val="SFA Fnts"/>
      <sheetName val="TSU Chrts"/>
      <sheetName val="TSU Sum"/>
      <sheetName val="TSU FGD"/>
      <sheetName val="TSU Fnts"/>
      <sheetName val="TWU Chrts"/>
      <sheetName val="TWU Sum"/>
      <sheetName val="TWU FGD"/>
      <sheetName val="TWU Fnts"/>
      <sheetName val="Names"/>
      <sheetName val="Input"/>
      <sheetName val="FTSE"/>
      <sheetName val="Alman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>
        <row r="11">
          <cell r="B11" t="str">
            <v>The University of Texas System</v>
          </cell>
          <cell r="C11" t="str">
            <v>003655</v>
          </cell>
          <cell r="D11" t="str">
            <v>UTS</v>
          </cell>
          <cell r="E11" t="str">
            <v>S40</v>
          </cell>
          <cell r="F11" t="str">
            <v>S40 - S &amp; U - FY 2012 - UTS.xlsx</v>
          </cell>
        </row>
        <row r="12">
          <cell r="B12" t="str">
            <v>The University of Texas at Arlington</v>
          </cell>
          <cell r="C12" t="str">
            <v>003656</v>
          </cell>
          <cell r="D12" t="str">
            <v>ARL</v>
          </cell>
          <cell r="E12">
            <v>40</v>
          </cell>
          <cell r="F12" t="str">
            <v>40 - S &amp; U - FY 2012 - ARL.xlsx</v>
          </cell>
          <cell r="H12">
            <v>3016377</v>
          </cell>
        </row>
        <row r="13">
          <cell r="B13" t="str">
            <v>The University of Texas at Austin</v>
          </cell>
          <cell r="C13" t="str">
            <v>003658</v>
          </cell>
          <cell r="D13" t="str">
            <v>AUS</v>
          </cell>
          <cell r="E13">
            <v>50</v>
          </cell>
          <cell r="F13" t="str">
            <v>50 - S &amp; U - FY 2012 - AUS.xlsx</v>
          </cell>
          <cell r="G13">
            <v>18391782</v>
          </cell>
        </row>
        <row r="14">
          <cell r="B14" t="str">
            <v>The University of Texas at Dallas</v>
          </cell>
          <cell r="C14" t="str">
            <v>009741</v>
          </cell>
          <cell r="D14" t="str">
            <v>DAL</v>
          </cell>
          <cell r="E14">
            <v>60</v>
          </cell>
          <cell r="F14" t="str">
            <v>60 - S &amp; U - FY 2012 - DAL.xlsx</v>
          </cell>
          <cell r="G14">
            <v>2365121</v>
          </cell>
          <cell r="H14">
            <v>4212943</v>
          </cell>
        </row>
        <row r="15">
          <cell r="B15" t="str">
            <v>The University of Texas at El Paso</v>
          </cell>
          <cell r="C15" t="str">
            <v>003661</v>
          </cell>
          <cell r="D15" t="str">
            <v>E-P</v>
          </cell>
          <cell r="E15">
            <v>70</v>
          </cell>
          <cell r="F15" t="str">
            <v>70 - S &amp; U - FY 2012 - E-P.xlsx</v>
          </cell>
          <cell r="H15">
            <v>3462520</v>
          </cell>
        </row>
        <row r="16">
          <cell r="B16" t="str">
            <v>The University of Texas - Pan American</v>
          </cell>
          <cell r="C16" t="str">
            <v>003599</v>
          </cell>
          <cell r="D16" t="str">
            <v>P-A</v>
          </cell>
          <cell r="E16">
            <v>80</v>
          </cell>
          <cell r="F16" t="str">
            <v>80 - S &amp; U - FY 2012 - P-A.xlsx</v>
          </cell>
          <cell r="H16">
            <v>573919</v>
          </cell>
          <cell r="I16">
            <v>12311123</v>
          </cell>
        </row>
        <row r="17">
          <cell r="B17" t="str">
            <v>The University of Texas at Brownsville (Incl. Texas Southmost College)</v>
          </cell>
          <cell r="C17" t="str">
            <v>030646</v>
          </cell>
          <cell r="D17" t="str">
            <v>BRW</v>
          </cell>
          <cell r="E17">
            <v>90</v>
          </cell>
          <cell r="F17" t="str">
            <v>90 - S &amp; U - FY 2012 - BRW.xlsx</v>
          </cell>
          <cell r="H17">
            <v>451256</v>
          </cell>
          <cell r="I17">
            <v>5057420</v>
          </cell>
        </row>
        <row r="18">
          <cell r="B18" t="str">
            <v>The University of Texas of the Permian Basin</v>
          </cell>
          <cell r="C18" t="str">
            <v>009930</v>
          </cell>
          <cell r="D18" t="str">
            <v>P-B</v>
          </cell>
          <cell r="E18">
            <v>100</v>
          </cell>
          <cell r="F18" t="str">
            <v>100 - S &amp; U - FY 2012 - P-B.xlsx</v>
          </cell>
          <cell r="H18">
            <v>153204</v>
          </cell>
        </row>
        <row r="19">
          <cell r="B19" t="str">
            <v>The University of Texas at San Antonio</v>
          </cell>
          <cell r="C19" t="str">
            <v>010115</v>
          </cell>
          <cell r="D19" t="str">
            <v>S-A</v>
          </cell>
          <cell r="E19">
            <v>110</v>
          </cell>
          <cell r="F19" t="str">
            <v>110 - S &amp; U - FY 2012 - S-A.xlsx</v>
          </cell>
          <cell r="H19">
            <v>2745648</v>
          </cell>
        </row>
        <row r="20">
          <cell r="B20" t="str">
            <v>The University of Texas at Tyler</v>
          </cell>
          <cell r="C20" t="str">
            <v>011163</v>
          </cell>
          <cell r="D20" t="str">
            <v>TYL</v>
          </cell>
          <cell r="E20">
            <v>120</v>
          </cell>
          <cell r="F20" t="str">
            <v>120 - S &amp; U - FY 2012 - TYL.xlsx</v>
          </cell>
          <cell r="H20">
            <v>217036</v>
          </cell>
        </row>
        <row r="21">
          <cell r="B21" t="str">
            <v>Texas A&amp;M University System</v>
          </cell>
          <cell r="C21" t="str">
            <v>003629</v>
          </cell>
          <cell r="D21" t="str">
            <v>TAMUS</v>
          </cell>
          <cell r="E21" t="str">
            <v>S130</v>
          </cell>
          <cell r="F21" t="str">
            <v>S130 - S &amp; U - FY 2012 - TAMUS.xlsx</v>
          </cell>
        </row>
        <row r="22">
          <cell r="B22" t="str">
            <v>Texas A&amp;M University</v>
          </cell>
          <cell r="C22" t="str">
            <v>003632</v>
          </cell>
          <cell r="D22" t="str">
            <v>TAMU</v>
          </cell>
          <cell r="E22">
            <v>130</v>
          </cell>
          <cell r="F22" t="str">
            <v>130 - S &amp; U - FY 2012 - TAMU.xlsx</v>
          </cell>
          <cell r="G22">
            <v>19903235</v>
          </cell>
        </row>
        <row r="23">
          <cell r="B23" t="str">
            <v>Texas A&amp;M University at Galveston</v>
          </cell>
          <cell r="C23" t="str">
            <v>010298</v>
          </cell>
          <cell r="D23" t="str">
            <v>TAMUG</v>
          </cell>
          <cell r="E23">
            <v>140</v>
          </cell>
          <cell r="F23" t="str">
            <v>140 - S &amp; U - FY 2012 - TAMUG.xlsx</v>
          </cell>
          <cell r="H23">
            <v>300171</v>
          </cell>
        </row>
        <row r="24">
          <cell r="B24" t="str">
            <v>Prairie View A&amp;M University</v>
          </cell>
          <cell r="C24" t="str">
            <v>003630</v>
          </cell>
          <cell r="D24" t="str">
            <v>PVAMU</v>
          </cell>
          <cell r="E24">
            <v>150</v>
          </cell>
          <cell r="F24" t="str">
            <v>150 - S &amp; U - FY 2012 - PVAMU.xlsx</v>
          </cell>
        </row>
        <row r="25">
          <cell r="B25" t="str">
            <v>Tarleton State University</v>
          </cell>
          <cell r="C25" t="str">
            <v>003631</v>
          </cell>
          <cell r="D25" t="str">
            <v>TARLST</v>
          </cell>
          <cell r="E25">
            <v>160</v>
          </cell>
          <cell r="F25" t="str">
            <v>160 - S &amp; U - FY 2012 - TARL ST.xlsx</v>
          </cell>
          <cell r="H25">
            <v>793198</v>
          </cell>
        </row>
        <row r="26">
          <cell r="B26" t="str">
            <v>Texas A&amp;M University - Corpus Christi</v>
          </cell>
          <cell r="C26" t="str">
            <v>011161</v>
          </cell>
          <cell r="D26" t="str">
            <v>TAMUCC</v>
          </cell>
          <cell r="E26">
            <v>170</v>
          </cell>
          <cell r="F26" t="str">
            <v>170 - S &amp; U - FY 2012 - TAMUCC.xlsx</v>
          </cell>
          <cell r="H26">
            <v>1106178</v>
          </cell>
          <cell r="I26">
            <v>7139067</v>
          </cell>
        </row>
        <row r="27">
          <cell r="B27" t="str">
            <v>Texas A&amp;M University - Kingsville</v>
          </cell>
          <cell r="C27" t="str">
            <v>003639</v>
          </cell>
          <cell r="D27" t="str">
            <v>TAMUK</v>
          </cell>
          <cell r="E27">
            <v>180</v>
          </cell>
          <cell r="F27" t="str">
            <v>180 - S &amp; U - FY 2012 - TAMUK.xlsx</v>
          </cell>
          <cell r="H27">
            <v>923103</v>
          </cell>
          <cell r="I27">
            <v>5046885</v>
          </cell>
        </row>
        <row r="28">
          <cell r="B28" t="str">
            <v>Texas A&amp;M International University</v>
          </cell>
          <cell r="C28" t="str">
            <v>009651</v>
          </cell>
          <cell r="D28" t="str">
            <v>TAMIU</v>
          </cell>
          <cell r="E28">
            <v>190</v>
          </cell>
          <cell r="F28" t="str">
            <v>190 - S &amp; U - FY 2012 - TAMIU.xlsx</v>
          </cell>
          <cell r="H28">
            <v>126623</v>
          </cell>
          <cell r="I28">
            <v>3796436</v>
          </cell>
        </row>
        <row r="29">
          <cell r="B29" t="str">
            <v>West Texas A&amp;M University</v>
          </cell>
          <cell r="C29" t="str">
            <v>003665</v>
          </cell>
          <cell r="D29" t="str">
            <v>WTAMU</v>
          </cell>
          <cell r="E29">
            <v>200</v>
          </cell>
          <cell r="F29" t="str">
            <v>200 - S &amp; U - FY 2012 - WTAMU.xlsx</v>
          </cell>
          <cell r="H29">
            <v>340876</v>
          </cell>
          <cell r="I29">
            <v>4652995</v>
          </cell>
        </row>
        <row r="30">
          <cell r="B30" t="str">
            <v>Texas A&amp;M University - Commerce</v>
          </cell>
          <cell r="C30" t="str">
            <v>003565</v>
          </cell>
          <cell r="D30" t="str">
            <v>TAMUC</v>
          </cell>
          <cell r="E30">
            <v>210</v>
          </cell>
          <cell r="F30" t="str">
            <v>210 - S &amp; U - FY 2012 - TAMUC.xlsx</v>
          </cell>
          <cell r="H30">
            <v>218376</v>
          </cell>
          <cell r="I30">
            <v>5193232</v>
          </cell>
        </row>
        <row r="31">
          <cell r="B31" t="str">
            <v>Texas A&amp;M University - Texarkana</v>
          </cell>
          <cell r="C31" t="str">
            <v>029269</v>
          </cell>
          <cell r="D31" t="str">
            <v>TAMUT</v>
          </cell>
          <cell r="E31">
            <v>220</v>
          </cell>
          <cell r="F31" t="str">
            <v>220 - S &amp; U - FY 2012 - TAMUT.xlsx</v>
          </cell>
          <cell r="H31">
            <v>4504</v>
          </cell>
          <cell r="I31">
            <v>1307907</v>
          </cell>
        </row>
        <row r="32">
          <cell r="B32" t="str">
            <v>Texas A&amp;M University - Central Texas</v>
          </cell>
          <cell r="C32" t="str">
            <v>103631</v>
          </cell>
          <cell r="D32" t="str">
            <v>TAMUCT</v>
          </cell>
          <cell r="E32">
            <v>223</v>
          </cell>
          <cell r="F32" t="str">
            <v>223 - S &amp; U - FY 2012 - TAMUCT.xlsx</v>
          </cell>
        </row>
        <row r="33">
          <cell r="B33" t="str">
            <v>Texas A&amp;M University - San Antonio</v>
          </cell>
          <cell r="C33" t="str">
            <v>103639</v>
          </cell>
          <cell r="D33" t="str">
            <v>TAMUSA</v>
          </cell>
          <cell r="E33">
            <v>226</v>
          </cell>
          <cell r="F33" t="str">
            <v>226 - S &amp; U - FY 2012 - TAMUSA.xlsx</v>
          </cell>
        </row>
        <row r="34">
          <cell r="B34" t="str">
            <v>Texas AgriLife Research</v>
          </cell>
          <cell r="C34" t="str">
            <v>000556</v>
          </cell>
          <cell r="D34" t="str">
            <v>TAR</v>
          </cell>
          <cell r="E34">
            <v>600</v>
          </cell>
          <cell r="F34" t="str">
            <v>600 - S &amp; U - FY 2012 - TAR.xlsx</v>
          </cell>
        </row>
        <row r="35">
          <cell r="B35" t="str">
            <v>Texas AgriLife Extension Service</v>
          </cell>
          <cell r="C35" t="str">
            <v>000555</v>
          </cell>
          <cell r="D35" t="str">
            <v>TAES</v>
          </cell>
          <cell r="E35">
            <v>605</v>
          </cell>
          <cell r="F35" t="str">
            <v>605 - S &amp; U - FY 2012 - TAES.xlsx</v>
          </cell>
        </row>
        <row r="36">
          <cell r="B36" t="str">
            <v>Texas Engineering Experiment Station</v>
          </cell>
          <cell r="C36" t="str">
            <v>000712</v>
          </cell>
          <cell r="D36" t="str">
            <v>TEES1</v>
          </cell>
          <cell r="E36">
            <v>610</v>
          </cell>
          <cell r="F36" t="str">
            <v>610 - S &amp; U - FY 2012 - TEES1.xlsx</v>
          </cell>
        </row>
        <row r="37">
          <cell r="B37" t="str">
            <v>Texas Engineering Extension Service</v>
          </cell>
          <cell r="C37" t="str">
            <v>000716</v>
          </cell>
          <cell r="D37" t="str">
            <v>TEES2</v>
          </cell>
          <cell r="E37">
            <v>615</v>
          </cell>
          <cell r="F37" t="str">
            <v>615 - S &amp; U - FY 2012 - TEES2.xlsx</v>
          </cell>
        </row>
        <row r="38">
          <cell r="B38" t="str">
            <v>Texas Forest Service</v>
          </cell>
          <cell r="C38" t="str">
            <v>000576</v>
          </cell>
          <cell r="D38" t="str">
            <v>TFS</v>
          </cell>
          <cell r="E38">
            <v>620</v>
          </cell>
          <cell r="F38" t="str">
            <v>620 - S &amp; U - FY 2012 - TFS.xlsx</v>
          </cell>
        </row>
        <row r="39">
          <cell r="B39" t="str">
            <v>Texas Transportation Institute</v>
          </cell>
          <cell r="C39" t="str">
            <v>000727</v>
          </cell>
          <cell r="D39" t="str">
            <v>TTI</v>
          </cell>
          <cell r="E39">
            <v>625</v>
          </cell>
          <cell r="F39" t="str">
            <v>625 - S &amp; U - FY 2012 - TTI.xlsx</v>
          </cell>
        </row>
        <row r="40">
          <cell r="B40" t="str">
            <v>Texas Vet. Medical Diagnostic Laboratory</v>
          </cell>
          <cell r="C40" t="str">
            <v>000557</v>
          </cell>
          <cell r="D40" t="str">
            <v>TVMDL</v>
          </cell>
          <cell r="E40">
            <v>630</v>
          </cell>
          <cell r="F40" t="str">
            <v>630 - S &amp; U - FY 2012 - TVMDL.xlsx</v>
          </cell>
        </row>
        <row r="41">
          <cell r="B41" t="str">
            <v>Texas A&amp;M Research Foundation</v>
          </cell>
          <cell r="C41" t="str">
            <v>000518</v>
          </cell>
          <cell r="D41" t="str">
            <v>TAMRF</v>
          </cell>
          <cell r="E41">
            <v>635</v>
          </cell>
          <cell r="F41" t="str">
            <v>635 - S &amp; U - FY 2012 - TAMRF.xlsx</v>
          </cell>
        </row>
        <row r="42">
          <cell r="B42" t="str">
            <v>University of Houston System</v>
          </cell>
          <cell r="C42" t="str">
            <v>011721</v>
          </cell>
          <cell r="D42" t="str">
            <v>UTS</v>
          </cell>
          <cell r="E42" t="str">
            <v>S230</v>
          </cell>
          <cell r="F42" t="str">
            <v>S230 - S &amp; U - FY 2012 - UTS.xlsx</v>
          </cell>
        </row>
        <row r="43">
          <cell r="B43" t="str">
            <v>University of Houston</v>
          </cell>
          <cell r="C43" t="str">
            <v>003652</v>
          </cell>
          <cell r="D43" t="str">
            <v>UH</v>
          </cell>
          <cell r="E43">
            <v>230</v>
          </cell>
          <cell r="F43" t="str">
            <v>230 - S &amp; U - FY 2012 - UH.xlsx</v>
          </cell>
          <cell r="G43">
            <v>3061979</v>
          </cell>
          <cell r="H43">
            <v>5352736</v>
          </cell>
          <cell r="I43">
            <v>35885768</v>
          </cell>
        </row>
        <row r="44">
          <cell r="B44" t="str">
            <v>University of Houston - Clear Lake</v>
          </cell>
          <cell r="C44" t="str">
            <v>011711</v>
          </cell>
          <cell r="D44" t="str">
            <v>UHCL</v>
          </cell>
          <cell r="E44">
            <v>240</v>
          </cell>
          <cell r="F44" t="str">
            <v>240 - S &amp; U - FY 2012 - UHCL.xlsx</v>
          </cell>
          <cell r="H44">
            <v>54196</v>
          </cell>
          <cell r="I44">
            <v>5214167</v>
          </cell>
        </row>
        <row r="45">
          <cell r="B45" t="str">
            <v>University of Houston - Downtown</v>
          </cell>
          <cell r="C45" t="str">
            <v>012826</v>
          </cell>
          <cell r="D45" t="str">
            <v>UHD</v>
          </cell>
          <cell r="E45">
            <v>250</v>
          </cell>
          <cell r="F45" t="str">
            <v>250 - S &amp; U - FY 2012 - UHD.xlsx</v>
          </cell>
          <cell r="H45">
            <v>52124</v>
          </cell>
          <cell r="I45">
            <v>7435238</v>
          </cell>
        </row>
        <row r="46">
          <cell r="B46" t="str">
            <v>University of Houston - Victoria</v>
          </cell>
          <cell r="C46" t="str">
            <v>013231</v>
          </cell>
          <cell r="D46" t="str">
            <v>UHV</v>
          </cell>
          <cell r="E46">
            <v>260</v>
          </cell>
          <cell r="F46" t="str">
            <v>260 - S &amp; U - FY 2012 - UHV.xlsx</v>
          </cell>
          <cell r="H46">
            <v>1127</v>
          </cell>
          <cell r="I46">
            <v>2393921</v>
          </cell>
        </row>
        <row r="47">
          <cell r="B47" t="str">
            <v>Texas State System</v>
          </cell>
          <cell r="C47" t="str">
            <v>000110</v>
          </cell>
          <cell r="D47" t="str">
            <v>TXSTS</v>
          </cell>
          <cell r="E47" t="str">
            <v>S270</v>
          </cell>
          <cell r="F47" t="str">
            <v>S270 - S &amp; U - FY 2012 - TXSTS.xlsx</v>
          </cell>
        </row>
        <row r="48">
          <cell r="B48" t="str">
            <v xml:space="preserve">Lamar University </v>
          </cell>
          <cell r="C48" t="str">
            <v>003581</v>
          </cell>
          <cell r="D48" t="str">
            <v>LU</v>
          </cell>
          <cell r="E48">
            <v>270</v>
          </cell>
          <cell r="F48" t="str">
            <v>270 - S &amp; U - FY 2012 - LU.xlsx</v>
          </cell>
          <cell r="H48">
            <v>410005</v>
          </cell>
          <cell r="I48">
            <v>8330933</v>
          </cell>
        </row>
        <row r="49">
          <cell r="B49" t="str">
            <v>Sam Houston State University</v>
          </cell>
          <cell r="C49" t="str">
            <v>003606</v>
          </cell>
          <cell r="D49" t="str">
            <v>SHSU</v>
          </cell>
          <cell r="E49">
            <v>280</v>
          </cell>
          <cell r="F49" t="str">
            <v>280 - S &amp; U - FY 2012 - SHSU.xlsx</v>
          </cell>
          <cell r="H49">
            <v>181287</v>
          </cell>
          <cell r="I49">
            <v>11893110</v>
          </cell>
        </row>
        <row r="50">
          <cell r="B50" t="str">
            <v>Texas State University - San Marcos</v>
          </cell>
          <cell r="C50" t="str">
            <v>003615</v>
          </cell>
          <cell r="D50" t="str">
            <v>TXST</v>
          </cell>
          <cell r="E50">
            <v>290</v>
          </cell>
          <cell r="F50" t="str">
            <v>290 - S &amp; U - FY 2012 - TXST.xlsx</v>
          </cell>
          <cell r="H50">
            <v>1560582</v>
          </cell>
          <cell r="I50">
            <v>21863258</v>
          </cell>
        </row>
        <row r="51">
          <cell r="B51" t="str">
            <v>Sul Ross State University</v>
          </cell>
          <cell r="C51" t="str">
            <v>003625</v>
          </cell>
          <cell r="D51" t="str">
            <v>SRSU</v>
          </cell>
          <cell r="E51">
            <v>300</v>
          </cell>
          <cell r="F51" t="str">
            <v>300 - S &amp; U - FY 2012 - SRSU.xlsx</v>
          </cell>
          <cell r="H51">
            <v>152020</v>
          </cell>
          <cell r="I51">
            <v>2070441</v>
          </cell>
        </row>
        <row r="52">
          <cell r="B52" t="str">
            <v>Texas Tech University System</v>
          </cell>
          <cell r="C52" t="str">
            <v>439154</v>
          </cell>
          <cell r="D52" t="str">
            <v>TTUS</v>
          </cell>
          <cell r="E52" t="str">
            <v>S310</v>
          </cell>
          <cell r="F52" t="str">
            <v>S310 - S &amp; U - FY 2012 - TTUS.xlsx</v>
          </cell>
        </row>
        <row r="53">
          <cell r="B53" t="str">
            <v>Texas Tech University</v>
          </cell>
          <cell r="C53" t="str">
            <v>003644</v>
          </cell>
          <cell r="D53" t="str">
            <v>TTU</v>
          </cell>
          <cell r="E53">
            <v>310</v>
          </cell>
          <cell r="F53" t="str">
            <v>310 - S &amp; U - FY 2012 - TTU.xlsx</v>
          </cell>
          <cell r="G53">
            <v>3020595</v>
          </cell>
          <cell r="H53">
            <v>4163801</v>
          </cell>
          <cell r="I53">
            <v>23936088</v>
          </cell>
        </row>
        <row r="54">
          <cell r="B54" t="str">
            <v>Angelo State University</v>
          </cell>
          <cell r="C54" t="str">
            <v>003541</v>
          </cell>
          <cell r="D54" t="str">
            <v>ASU</v>
          </cell>
          <cell r="E54">
            <v>320</v>
          </cell>
          <cell r="F54" t="str">
            <v>320 - S &amp; U - FY 2012 - ASU.xlsx</v>
          </cell>
          <cell r="H54">
            <v>61588</v>
          </cell>
          <cell r="I54">
            <v>3743027</v>
          </cell>
        </row>
        <row r="55">
          <cell r="B55" t="str">
            <v>University of North Texas System</v>
          </cell>
          <cell r="C55" t="str">
            <v>103594</v>
          </cell>
          <cell r="D55" t="str">
            <v>UNTS</v>
          </cell>
          <cell r="E55" t="str">
            <v>S330</v>
          </cell>
          <cell r="F55" t="str">
            <v>S330 - S &amp; U - FY 2012 - UNTS.xlsx</v>
          </cell>
        </row>
        <row r="56">
          <cell r="B56" t="str">
            <v>University of North Texas</v>
          </cell>
          <cell r="C56" t="str">
            <v>003594</v>
          </cell>
          <cell r="D56" t="str">
            <v>UNT</v>
          </cell>
          <cell r="E56">
            <v>330</v>
          </cell>
          <cell r="F56" t="str">
            <v>330 - S &amp; U - FY 2012 - UNT.xlsx</v>
          </cell>
          <cell r="H56">
            <v>1247724</v>
          </cell>
          <cell r="I56">
            <v>27846476</v>
          </cell>
        </row>
        <row r="57">
          <cell r="B57" t="str">
            <v>University of North Texas at Dallas</v>
          </cell>
          <cell r="C57" t="str">
            <v>113594</v>
          </cell>
          <cell r="D57" t="str">
            <v>UNTD</v>
          </cell>
          <cell r="E57">
            <v>333</v>
          </cell>
          <cell r="F57" t="str">
            <v>333 - S &amp; U - FY 2012 - UNTD.xlsx</v>
          </cell>
        </row>
        <row r="58">
          <cell r="B58" t="str">
            <v>Midwestern State University</v>
          </cell>
          <cell r="C58" t="str">
            <v>003592</v>
          </cell>
          <cell r="D58" t="str">
            <v>MidWST</v>
          </cell>
          <cell r="E58">
            <v>340</v>
          </cell>
          <cell r="F58" t="str">
            <v>340 - S &amp; U - FY 2012 - MidWST.xlsx</v>
          </cell>
          <cell r="H58">
            <v>15033</v>
          </cell>
          <cell r="I58">
            <v>3559433</v>
          </cell>
        </row>
        <row r="59">
          <cell r="B59" t="str">
            <v>Stephen F. Austin State University</v>
          </cell>
          <cell r="C59" t="str">
            <v>003624</v>
          </cell>
          <cell r="D59" t="str">
            <v>SFA</v>
          </cell>
          <cell r="E59">
            <v>350</v>
          </cell>
          <cell r="F59" t="str">
            <v>350 - S &amp; U - FY 2012 - SFA.xlsx</v>
          </cell>
          <cell r="H59">
            <v>447848</v>
          </cell>
          <cell r="I59">
            <v>8425937</v>
          </cell>
        </row>
        <row r="60">
          <cell r="B60" t="str">
            <v>Texas Southern University</v>
          </cell>
          <cell r="C60" t="str">
            <v>003642</v>
          </cell>
          <cell r="D60" t="str">
            <v>TSU</v>
          </cell>
          <cell r="E60">
            <v>360</v>
          </cell>
          <cell r="F60" t="str">
            <v>360 - S &amp; U - FY 2012 - TSU.xlsx</v>
          </cell>
          <cell r="H60">
            <v>169290</v>
          </cell>
          <cell r="I60">
            <v>8894700</v>
          </cell>
        </row>
        <row r="61">
          <cell r="B61" t="str">
            <v>Texas Woman's University</v>
          </cell>
          <cell r="C61" t="str">
            <v>003646</v>
          </cell>
          <cell r="D61" t="str">
            <v>TWU</v>
          </cell>
          <cell r="E61">
            <v>370</v>
          </cell>
          <cell r="F61" t="str">
            <v>370 - S &amp; U - FY 2012 - TWU.xlsx</v>
          </cell>
          <cell r="H61">
            <v>133076</v>
          </cell>
          <cell r="I61">
            <v>10169695</v>
          </cell>
        </row>
        <row r="62">
          <cell r="B62" t="str">
            <v>Lamar Institute of Technology</v>
          </cell>
          <cell r="C62" t="str">
            <v>036273</v>
          </cell>
          <cell r="D62" t="str">
            <v>LIT</v>
          </cell>
          <cell r="E62">
            <v>490</v>
          </cell>
          <cell r="F62" t="str">
            <v>490 - S &amp; U - FY 2012 - LIT.xlsx</v>
          </cell>
          <cell r="I62">
            <v>2332463</v>
          </cell>
        </row>
        <row r="63">
          <cell r="B63" t="str">
            <v>Lamar State College - Orange</v>
          </cell>
          <cell r="C63" t="str">
            <v>023582</v>
          </cell>
          <cell r="D63" t="str">
            <v>LSCO</v>
          </cell>
          <cell r="E63">
            <v>500</v>
          </cell>
          <cell r="F63" t="str">
            <v>500 - S &amp; U - FY 2012 - LSCO.xlsx</v>
          </cell>
          <cell r="I63">
            <v>1235752</v>
          </cell>
        </row>
        <row r="64">
          <cell r="B64" t="str">
            <v>Lamar State College - Port Arthur</v>
          </cell>
          <cell r="C64" t="str">
            <v>023485</v>
          </cell>
          <cell r="D64" t="str">
            <v>LSCPA</v>
          </cell>
          <cell r="E64">
            <v>510</v>
          </cell>
          <cell r="F64" t="str">
            <v>510 - S &amp; U - FY 2012 - LSCPA.xlsx</v>
          </cell>
          <cell r="I64">
            <v>1244694</v>
          </cell>
        </row>
        <row r="65">
          <cell r="B65" t="str">
            <v>Texas State Technical College - Harlingen</v>
          </cell>
          <cell r="C65" t="str">
            <v>009225</v>
          </cell>
          <cell r="D65" t="str">
            <v>TSTCH</v>
          </cell>
          <cell r="E65">
            <v>520</v>
          </cell>
          <cell r="F65" t="str">
            <v>520 - S &amp; U - FY 2012 - TSTCH.xlsx</v>
          </cell>
          <cell r="I65">
            <v>5775000</v>
          </cell>
        </row>
        <row r="66">
          <cell r="B66" t="str">
            <v>Texas State Technical College - West Texas</v>
          </cell>
          <cell r="C66" t="str">
            <v>009932</v>
          </cell>
          <cell r="D66" t="str">
            <v>TSTCWTX</v>
          </cell>
          <cell r="E66">
            <v>530</v>
          </cell>
          <cell r="F66" t="str">
            <v>530 - S &amp; U - FY 2012 - TSTCWT.xlsx</v>
          </cell>
        </row>
        <row r="67">
          <cell r="B67" t="str">
            <v>Texas State Technical College - Marshall</v>
          </cell>
          <cell r="C67" t="str">
            <v>033965</v>
          </cell>
          <cell r="D67" t="str">
            <v>TSTCM</v>
          </cell>
          <cell r="E67">
            <v>540</v>
          </cell>
          <cell r="F67" t="str">
            <v>540 - S &amp; U - FY 2012 - TSTCM.xlsx</v>
          </cell>
        </row>
        <row r="68">
          <cell r="B68" t="str">
            <v>Texas State Technical College - Waco</v>
          </cell>
          <cell r="C68" t="str">
            <v>003634</v>
          </cell>
          <cell r="D68" t="str">
            <v>TSTCW</v>
          </cell>
          <cell r="E68">
            <v>550</v>
          </cell>
          <cell r="F68" t="str">
            <v>550 - S &amp; U - FY 2012 - TSTCW.xlsx</v>
          </cell>
        </row>
        <row r="69">
          <cell r="B69" t="str">
            <v>Texas State Technical College - System</v>
          </cell>
          <cell r="C69" t="str">
            <v>009642</v>
          </cell>
          <cell r="D69" t="str">
            <v>TSTCS</v>
          </cell>
          <cell r="E69">
            <v>555</v>
          </cell>
          <cell r="F69" t="str">
            <v>555 - S &amp; U - FY 2012 - TSTCS.xlsx</v>
          </cell>
        </row>
      </sheetData>
      <sheetData sheetId="167"/>
      <sheetData sheetId="168">
        <row r="8">
          <cell r="C8" t="str">
            <v>The University of Texas at Arlington</v>
          </cell>
          <cell r="D8">
            <v>335937</v>
          </cell>
          <cell r="E8">
            <v>292557</v>
          </cell>
          <cell r="F8">
            <v>628494</v>
          </cell>
          <cell r="G8">
            <v>121578</v>
          </cell>
          <cell r="H8">
            <v>15118</v>
          </cell>
          <cell r="I8">
            <v>0</v>
          </cell>
          <cell r="J8">
            <v>0</v>
          </cell>
          <cell r="K8">
            <v>765190</v>
          </cell>
          <cell r="L8">
            <v>26855.43888888889</v>
          </cell>
          <cell r="N8">
            <v>26855.439999999999</v>
          </cell>
          <cell r="P8">
            <v>2348.04</v>
          </cell>
        </row>
        <row r="9">
          <cell r="C9" t="str">
            <v>The University of Texas at Austin</v>
          </cell>
          <cell r="D9">
            <v>618753</v>
          </cell>
          <cell r="E9">
            <v>430761</v>
          </cell>
          <cell r="F9">
            <v>1049514</v>
          </cell>
          <cell r="G9">
            <v>124093</v>
          </cell>
          <cell r="H9">
            <v>90074</v>
          </cell>
          <cell r="I9">
            <v>51701</v>
          </cell>
          <cell r="J9">
            <v>0</v>
          </cell>
          <cell r="K9">
            <v>1315382</v>
          </cell>
          <cell r="L9">
            <v>47312.661111111112</v>
          </cell>
          <cell r="N9">
            <v>47312.66</v>
          </cell>
          <cell r="P9">
            <v>5190.45</v>
          </cell>
        </row>
        <row r="10">
          <cell r="C10" t="str">
            <v>The University of Texas at Dallas</v>
          </cell>
          <cell r="D10">
            <v>142085</v>
          </cell>
          <cell r="E10">
            <v>167370</v>
          </cell>
          <cell r="F10">
            <v>309455</v>
          </cell>
          <cell r="G10">
            <v>104277</v>
          </cell>
          <cell r="H10">
            <v>20484</v>
          </cell>
          <cell r="I10">
            <v>1027</v>
          </cell>
          <cell r="J10">
            <v>0</v>
          </cell>
          <cell r="K10">
            <v>435243</v>
          </cell>
          <cell r="L10">
            <v>15840.833333333332</v>
          </cell>
          <cell r="N10">
            <v>15840.83</v>
          </cell>
          <cell r="P10">
            <v>1430.06</v>
          </cell>
        </row>
        <row r="11">
          <cell r="C11" t="str">
            <v>The University of Texas at El Paso</v>
          </cell>
          <cell r="D11">
            <v>269975</v>
          </cell>
          <cell r="E11">
            <v>187140</v>
          </cell>
          <cell r="F11">
            <v>457115</v>
          </cell>
          <cell r="G11">
            <v>50999</v>
          </cell>
          <cell r="H11">
            <v>7637</v>
          </cell>
          <cell r="I11">
            <v>1814</v>
          </cell>
          <cell r="J11">
            <v>0</v>
          </cell>
          <cell r="K11">
            <v>517565</v>
          </cell>
          <cell r="L11">
            <v>17861.986111111109</v>
          </cell>
          <cell r="N11">
            <v>17861.990000000002</v>
          </cell>
          <cell r="P11">
            <v>1567.52</v>
          </cell>
        </row>
        <row r="12">
          <cell r="C12" t="str">
            <v>The University of Texas - Pan American</v>
          </cell>
          <cell r="D12">
            <v>255801</v>
          </cell>
          <cell r="E12">
            <v>170825</v>
          </cell>
          <cell r="F12">
            <v>426626</v>
          </cell>
          <cell r="G12">
            <v>40577</v>
          </cell>
          <cell r="H12">
            <v>1911</v>
          </cell>
          <cell r="I12">
            <v>0</v>
          </cell>
          <cell r="J12">
            <v>0</v>
          </cell>
          <cell r="K12">
            <v>469114</v>
          </cell>
          <cell r="L12">
            <v>16017.741666666667</v>
          </cell>
          <cell r="N12">
            <v>16017.74</v>
          </cell>
          <cell r="P12">
            <v>1082.44</v>
          </cell>
        </row>
        <row r="13">
          <cell r="C13" t="str">
            <v>The University of Texas at Brownsville</v>
          </cell>
          <cell r="D13">
            <v>50796</v>
          </cell>
          <cell r="E13">
            <v>51252</v>
          </cell>
          <cell r="F13">
            <v>102048</v>
          </cell>
          <cell r="G13">
            <v>13906</v>
          </cell>
          <cell r="H13">
            <v>618</v>
          </cell>
          <cell r="I13">
            <v>0</v>
          </cell>
          <cell r="J13">
            <v>0</v>
          </cell>
          <cell r="K13">
            <v>116572</v>
          </cell>
          <cell r="L13">
            <v>4015.35</v>
          </cell>
          <cell r="N13">
            <v>4015.35</v>
          </cell>
          <cell r="P13">
            <v>671.34</v>
          </cell>
        </row>
        <row r="14">
          <cell r="C14" t="str">
            <v>The University of Texas of the Permian Basin</v>
          </cell>
          <cell r="D14">
            <v>39450</v>
          </cell>
          <cell r="E14">
            <v>34798</v>
          </cell>
          <cell r="F14">
            <v>74248</v>
          </cell>
          <cell r="G14">
            <v>8332</v>
          </cell>
          <cell r="H14">
            <v>0</v>
          </cell>
          <cell r="I14">
            <v>0</v>
          </cell>
          <cell r="J14">
            <v>0</v>
          </cell>
          <cell r="K14">
            <v>82580</v>
          </cell>
          <cell r="L14">
            <v>2822.1</v>
          </cell>
          <cell r="N14">
            <v>2822.1</v>
          </cell>
          <cell r="P14">
            <v>262.73</v>
          </cell>
        </row>
        <row r="15">
          <cell r="C15" t="str">
            <v>The University of Texas at San Antonio</v>
          </cell>
          <cell r="D15">
            <v>422315</v>
          </cell>
          <cell r="E15">
            <v>231373</v>
          </cell>
          <cell r="F15">
            <v>653688</v>
          </cell>
          <cell r="G15">
            <v>61352</v>
          </cell>
          <cell r="H15">
            <v>11091</v>
          </cell>
          <cell r="I15">
            <v>0</v>
          </cell>
          <cell r="J15">
            <v>0</v>
          </cell>
          <cell r="K15">
            <v>726131</v>
          </cell>
          <cell r="L15">
            <v>24962.1</v>
          </cell>
          <cell r="N15">
            <v>24962.1</v>
          </cell>
          <cell r="P15">
            <v>2094.8000000000002</v>
          </cell>
        </row>
        <row r="16">
          <cell r="C16" t="str">
            <v>The University of Texas at Tyler</v>
          </cell>
          <cell r="D16">
            <v>56343</v>
          </cell>
          <cell r="E16">
            <v>72963</v>
          </cell>
          <cell r="F16">
            <v>129306</v>
          </cell>
          <cell r="G16">
            <v>24031</v>
          </cell>
          <cell r="H16">
            <v>1152</v>
          </cell>
          <cell r="I16">
            <v>0</v>
          </cell>
          <cell r="J16">
            <v>0</v>
          </cell>
          <cell r="K16">
            <v>154489</v>
          </cell>
          <cell r="L16">
            <v>5375.4916666666668</v>
          </cell>
          <cell r="N16">
            <v>5375.49</v>
          </cell>
          <cell r="P16">
            <v>580.08999999999992</v>
          </cell>
        </row>
        <row r="17">
          <cell r="C17" t="str">
            <v>Texas A&amp;M University</v>
          </cell>
          <cell r="D17">
            <v>606744</v>
          </cell>
          <cell r="E17">
            <v>475339</v>
          </cell>
          <cell r="F17">
            <v>1082083</v>
          </cell>
          <cell r="G17">
            <v>103503</v>
          </cell>
          <cell r="H17">
            <v>73836</v>
          </cell>
          <cell r="I17">
            <v>0</v>
          </cell>
          <cell r="J17">
            <v>0</v>
          </cell>
          <cell r="K17">
            <v>1259422</v>
          </cell>
          <cell r="L17">
            <v>44484.058333333334</v>
          </cell>
          <cell r="N17">
            <v>44484.06</v>
          </cell>
          <cell r="P17">
            <v>4451.79</v>
          </cell>
        </row>
        <row r="18">
          <cell r="C18" t="str">
            <v>Texas A&amp;M University at Galveston</v>
          </cell>
          <cell r="D18">
            <v>36558</v>
          </cell>
          <cell r="E18">
            <v>18132</v>
          </cell>
          <cell r="F18">
            <v>54690</v>
          </cell>
          <cell r="G18">
            <v>931</v>
          </cell>
          <cell r="H18">
            <v>379</v>
          </cell>
          <cell r="I18">
            <v>0</v>
          </cell>
          <cell r="J18">
            <v>0</v>
          </cell>
          <cell r="K18">
            <v>56000</v>
          </cell>
          <cell r="L18">
            <v>1882.8472222222224</v>
          </cell>
          <cell r="N18">
            <v>1882.85</v>
          </cell>
          <cell r="P18">
            <v>243.99</v>
          </cell>
        </row>
        <row r="19">
          <cell r="C19" t="str">
            <v>Prairie View A&amp;M University</v>
          </cell>
          <cell r="D19">
            <v>133293</v>
          </cell>
          <cell r="E19">
            <v>48519</v>
          </cell>
          <cell r="F19">
            <v>181812</v>
          </cell>
          <cell r="G19">
            <v>24569</v>
          </cell>
          <cell r="H19">
            <v>2315</v>
          </cell>
          <cell r="I19">
            <v>0</v>
          </cell>
          <cell r="J19">
            <v>0</v>
          </cell>
          <cell r="K19">
            <v>208696</v>
          </cell>
          <cell r="L19">
            <v>7212.719444444444</v>
          </cell>
          <cell r="N19">
            <v>7212.72</v>
          </cell>
          <cell r="P19">
            <v>728.77</v>
          </cell>
        </row>
        <row r="20">
          <cell r="C20" t="str">
            <v>Tarleton State University</v>
          </cell>
          <cell r="D20">
            <v>124043</v>
          </cell>
          <cell r="E20">
            <v>96878</v>
          </cell>
          <cell r="F20">
            <v>220921</v>
          </cell>
          <cell r="G20">
            <v>21561</v>
          </cell>
          <cell r="H20">
            <v>814</v>
          </cell>
          <cell r="I20">
            <v>0</v>
          </cell>
          <cell r="J20">
            <v>0</v>
          </cell>
          <cell r="K20">
            <v>243296</v>
          </cell>
          <cell r="L20">
            <v>8307.6305555555555</v>
          </cell>
          <cell r="N20">
            <v>8307.6299999999992</v>
          </cell>
          <cell r="P20">
            <v>782.7</v>
          </cell>
        </row>
        <row r="21">
          <cell r="C21" t="str">
            <v>Texas A&amp;M University - Corpus Christi</v>
          </cell>
          <cell r="D21">
            <v>128525</v>
          </cell>
          <cell r="E21">
            <v>93314</v>
          </cell>
          <cell r="F21">
            <v>221839</v>
          </cell>
          <cell r="G21">
            <v>25791</v>
          </cell>
          <cell r="H21">
            <v>3165</v>
          </cell>
          <cell r="I21">
            <v>0</v>
          </cell>
          <cell r="J21">
            <v>0</v>
          </cell>
          <cell r="K21">
            <v>250795</v>
          </cell>
          <cell r="L21">
            <v>8645.0916666666672</v>
          </cell>
          <cell r="N21">
            <v>8645.09</v>
          </cell>
          <cell r="P21">
            <v>775.42000000000007</v>
          </cell>
        </row>
        <row r="22">
          <cell r="C22" t="str">
            <v>Texas A&amp;M University - Kingsville</v>
          </cell>
          <cell r="D22">
            <v>96229</v>
          </cell>
          <cell r="E22">
            <v>48219</v>
          </cell>
          <cell r="F22">
            <v>144448</v>
          </cell>
          <cell r="G22">
            <v>19390</v>
          </cell>
          <cell r="H22">
            <v>2361</v>
          </cell>
          <cell r="I22">
            <v>0</v>
          </cell>
          <cell r="J22">
            <v>0</v>
          </cell>
          <cell r="K22">
            <v>166199</v>
          </cell>
          <cell r="L22">
            <v>5754.0166666666673</v>
          </cell>
          <cell r="N22">
            <v>5754.02</v>
          </cell>
          <cell r="P22">
            <v>616.11</v>
          </cell>
        </row>
        <row r="23">
          <cell r="C23" t="str">
            <v>Texas A&amp;M International University</v>
          </cell>
          <cell r="D23">
            <v>80831</v>
          </cell>
          <cell r="E23">
            <v>57326</v>
          </cell>
          <cell r="F23">
            <v>138157</v>
          </cell>
          <cell r="G23">
            <v>11168</v>
          </cell>
          <cell r="H23">
            <v>405</v>
          </cell>
          <cell r="I23">
            <v>0</v>
          </cell>
          <cell r="J23">
            <v>0</v>
          </cell>
          <cell r="K23">
            <v>149730</v>
          </cell>
          <cell r="L23">
            <v>5093.0666666666666</v>
          </cell>
          <cell r="N23">
            <v>5093.07</v>
          </cell>
          <cell r="P23">
            <v>395.44</v>
          </cell>
        </row>
        <row r="24">
          <cell r="C24" t="str">
            <v>West Texas A&amp;M University</v>
          </cell>
          <cell r="D24">
            <v>102757</v>
          </cell>
          <cell r="E24">
            <v>69596</v>
          </cell>
          <cell r="F24">
            <v>172353</v>
          </cell>
          <cell r="G24">
            <v>20601</v>
          </cell>
          <cell r="H24">
            <v>172</v>
          </cell>
          <cell r="I24">
            <v>0</v>
          </cell>
          <cell r="J24">
            <v>0</v>
          </cell>
          <cell r="K24">
            <v>193126</v>
          </cell>
          <cell r="L24">
            <v>6613.030555555556</v>
          </cell>
          <cell r="N24">
            <v>6613.03</v>
          </cell>
          <cell r="P24">
            <v>606.69000000000005</v>
          </cell>
        </row>
        <row r="25">
          <cell r="C25" t="str">
            <v>Texas A&amp;M University - Commerce</v>
          </cell>
          <cell r="D25">
            <v>79058</v>
          </cell>
          <cell r="E25">
            <v>84193</v>
          </cell>
          <cell r="F25">
            <v>163251</v>
          </cell>
          <cell r="G25">
            <v>67584</v>
          </cell>
          <cell r="H25">
            <v>7319</v>
          </cell>
          <cell r="I25">
            <v>0</v>
          </cell>
          <cell r="J25">
            <v>0</v>
          </cell>
          <cell r="K25">
            <v>238154</v>
          </cell>
          <cell r="L25">
            <v>8664.311111111112</v>
          </cell>
          <cell r="N25">
            <v>8664.31</v>
          </cell>
          <cell r="P25">
            <v>726.69</v>
          </cell>
        </row>
        <row r="26">
          <cell r="C26" t="str">
            <v>Texas A&amp;M University - Texarkana</v>
          </cell>
          <cell r="D26">
            <v>14571</v>
          </cell>
          <cell r="E26">
            <v>20589</v>
          </cell>
          <cell r="F26">
            <v>35160</v>
          </cell>
          <cell r="G26">
            <v>7215</v>
          </cell>
          <cell r="H26">
            <v>0</v>
          </cell>
          <cell r="I26">
            <v>0</v>
          </cell>
          <cell r="J26">
            <v>0</v>
          </cell>
          <cell r="K26">
            <v>42375</v>
          </cell>
          <cell r="L26">
            <v>1472.625</v>
          </cell>
          <cell r="N26">
            <v>1472.63</v>
          </cell>
          <cell r="P26">
            <v>142.44</v>
          </cell>
        </row>
        <row r="27">
          <cell r="C27" t="str">
            <v>Texas A&amp;M University - Central Texas</v>
          </cell>
          <cell r="D27">
            <v>2326</v>
          </cell>
          <cell r="E27">
            <v>30130</v>
          </cell>
          <cell r="F27">
            <v>32456</v>
          </cell>
          <cell r="G27">
            <v>11720</v>
          </cell>
          <cell r="H27">
            <v>0</v>
          </cell>
          <cell r="I27">
            <v>0</v>
          </cell>
          <cell r="J27">
            <v>0</v>
          </cell>
          <cell r="K27">
            <v>44176</v>
          </cell>
          <cell r="L27">
            <v>1570.1999999999998</v>
          </cell>
          <cell r="N27">
            <v>1570.2</v>
          </cell>
          <cell r="P27">
            <v>164.35</v>
          </cell>
        </row>
        <row r="28">
          <cell r="C28" t="str">
            <v>Texas A&amp;M University - San Antonio</v>
          </cell>
          <cell r="D28">
            <v>4421</v>
          </cell>
          <cell r="E28">
            <v>52705</v>
          </cell>
          <cell r="F28">
            <v>57126</v>
          </cell>
          <cell r="G28">
            <v>15974</v>
          </cell>
          <cell r="H28">
            <v>0</v>
          </cell>
          <cell r="I28">
            <v>0</v>
          </cell>
          <cell r="J28">
            <v>0</v>
          </cell>
          <cell r="K28">
            <v>73100</v>
          </cell>
          <cell r="L28">
            <v>2569.7833333333333</v>
          </cell>
          <cell r="N28">
            <v>2569.7800000000002</v>
          </cell>
          <cell r="P28">
            <v>256.93</v>
          </cell>
        </row>
        <row r="29">
          <cell r="C29" t="str">
            <v>University of Houston</v>
          </cell>
          <cell r="D29">
            <v>445597</v>
          </cell>
          <cell r="E29">
            <v>336636</v>
          </cell>
          <cell r="F29">
            <v>782233</v>
          </cell>
          <cell r="G29">
            <v>94369</v>
          </cell>
          <cell r="H29">
            <v>27504</v>
          </cell>
          <cell r="I29">
            <v>40092</v>
          </cell>
          <cell r="J29">
            <v>16119</v>
          </cell>
          <cell r="K29">
            <v>960317</v>
          </cell>
          <cell r="L29">
            <v>33679.063235294125</v>
          </cell>
          <cell r="N29">
            <v>33679.06</v>
          </cell>
          <cell r="P29">
            <v>2906.5600000000004</v>
          </cell>
        </row>
        <row r="30">
          <cell r="C30" t="str">
            <v>University of Houston - Clear Lake</v>
          </cell>
          <cell r="D30">
            <v>0</v>
          </cell>
          <cell r="E30">
            <v>105066</v>
          </cell>
          <cell r="F30">
            <v>105066</v>
          </cell>
          <cell r="G30">
            <v>52882</v>
          </cell>
          <cell r="H30">
            <v>1336</v>
          </cell>
          <cell r="I30">
            <v>0</v>
          </cell>
          <cell r="J30">
            <v>0</v>
          </cell>
          <cell r="K30">
            <v>159284</v>
          </cell>
          <cell r="L30">
            <v>5779.8388888888894</v>
          </cell>
          <cell r="N30">
            <v>5779.84</v>
          </cell>
          <cell r="P30">
            <v>635.81999999999994</v>
          </cell>
        </row>
        <row r="31">
          <cell r="C31" t="str">
            <v>University of Houston - Downtown</v>
          </cell>
          <cell r="D31">
            <v>130739</v>
          </cell>
          <cell r="E31">
            <v>137601</v>
          </cell>
          <cell r="F31">
            <v>268340</v>
          </cell>
          <cell r="G31">
            <v>2741</v>
          </cell>
          <cell r="H31">
            <v>0</v>
          </cell>
          <cell r="I31">
            <v>0</v>
          </cell>
          <cell r="J31">
            <v>0</v>
          </cell>
          <cell r="K31">
            <v>271081</v>
          </cell>
          <cell r="L31">
            <v>9058.875</v>
          </cell>
          <cell r="N31">
            <v>9058.8799999999992</v>
          </cell>
          <cell r="P31">
            <v>852.37</v>
          </cell>
        </row>
        <row r="32">
          <cell r="C32" t="str">
            <v>University of Houston - Victoria</v>
          </cell>
          <cell r="D32">
            <v>12919</v>
          </cell>
          <cell r="E32">
            <v>45886</v>
          </cell>
          <cell r="F32">
            <v>58805</v>
          </cell>
          <cell r="G32">
            <v>26230</v>
          </cell>
          <cell r="H32">
            <v>0</v>
          </cell>
          <cell r="I32">
            <v>0</v>
          </cell>
          <cell r="J32">
            <v>0</v>
          </cell>
          <cell r="K32">
            <v>85035</v>
          </cell>
          <cell r="L32">
            <v>3053.0833333333335</v>
          </cell>
          <cell r="N32">
            <v>3053.08</v>
          </cell>
          <cell r="P32">
            <v>263.94</v>
          </cell>
        </row>
        <row r="33">
          <cell r="C33" t="str">
            <v xml:space="preserve">Lamar University </v>
          </cell>
          <cell r="D33">
            <v>168038</v>
          </cell>
          <cell r="E33">
            <v>69916</v>
          </cell>
          <cell r="F33">
            <v>237954</v>
          </cell>
          <cell r="G33">
            <v>76165</v>
          </cell>
          <cell r="H33">
            <v>5239</v>
          </cell>
          <cell r="I33">
            <v>0</v>
          </cell>
          <cell r="J33">
            <v>0</v>
          </cell>
          <cell r="K33">
            <v>319358</v>
          </cell>
          <cell r="L33">
            <v>11396.397222222222</v>
          </cell>
          <cell r="N33">
            <v>11396.4</v>
          </cell>
          <cell r="P33">
            <v>889.31</v>
          </cell>
        </row>
        <row r="34">
          <cell r="C34" t="str">
            <v>Sam Houston State University</v>
          </cell>
          <cell r="D34">
            <v>241086</v>
          </cell>
          <cell r="E34">
            <v>158838</v>
          </cell>
          <cell r="F34">
            <v>399924</v>
          </cell>
          <cell r="G34">
            <v>39424</v>
          </cell>
          <cell r="H34">
            <v>4188</v>
          </cell>
          <cell r="I34">
            <v>0</v>
          </cell>
          <cell r="J34">
            <v>0</v>
          </cell>
          <cell r="K34">
            <v>443536</v>
          </cell>
          <cell r="L34">
            <v>15206.133333333331</v>
          </cell>
          <cell r="N34">
            <v>15206.13</v>
          </cell>
          <cell r="P34">
            <v>1203.7</v>
          </cell>
        </row>
        <row r="35">
          <cell r="C35" t="str">
            <v>Texas State University - San Marcos</v>
          </cell>
          <cell r="D35">
            <v>469474</v>
          </cell>
          <cell r="E35">
            <v>290417</v>
          </cell>
          <cell r="F35">
            <v>759891</v>
          </cell>
          <cell r="G35">
            <v>71757</v>
          </cell>
          <cell r="H35">
            <v>4152</v>
          </cell>
          <cell r="I35">
            <v>3490</v>
          </cell>
          <cell r="J35">
            <v>0</v>
          </cell>
          <cell r="K35">
            <v>839290</v>
          </cell>
          <cell r="L35">
            <v>28695.658333333336</v>
          </cell>
          <cell r="N35">
            <v>28695.66</v>
          </cell>
          <cell r="P35">
            <v>2023.54</v>
          </cell>
        </row>
        <row r="36">
          <cell r="C36" t="str">
            <v>SUL ROSS RIO GRANDE COLLEGE</v>
          </cell>
          <cell r="D36">
            <v>586</v>
          </cell>
          <cell r="E36">
            <v>15221</v>
          </cell>
          <cell r="F36">
            <v>15807</v>
          </cell>
          <cell r="G36">
            <v>2781</v>
          </cell>
          <cell r="H36">
            <v>0</v>
          </cell>
          <cell r="I36">
            <v>0</v>
          </cell>
          <cell r="J36">
            <v>0</v>
          </cell>
          <cell r="K36">
            <v>18588</v>
          </cell>
          <cell r="L36">
            <v>642.77499999999998</v>
          </cell>
          <cell r="N36">
            <v>642.78</v>
          </cell>
          <cell r="P36">
            <v>62.1</v>
          </cell>
        </row>
        <row r="37">
          <cell r="C37" t="str">
            <v>Sul Ross State University</v>
          </cell>
          <cell r="D37">
            <v>28275</v>
          </cell>
          <cell r="E37">
            <v>8949</v>
          </cell>
          <cell r="F37">
            <v>37224</v>
          </cell>
          <cell r="G37">
            <v>8796</v>
          </cell>
          <cell r="H37">
            <v>0</v>
          </cell>
          <cell r="I37">
            <v>0</v>
          </cell>
          <cell r="J37">
            <v>0</v>
          </cell>
          <cell r="K37">
            <v>46020</v>
          </cell>
          <cell r="L37">
            <v>1607.3</v>
          </cell>
          <cell r="N37">
            <v>1607.3</v>
          </cell>
          <cell r="O37">
            <v>2250.08</v>
          </cell>
          <cell r="P37">
            <v>232.19</v>
          </cell>
          <cell r="Q37">
            <v>294.29000000000002</v>
          </cell>
          <cell r="S37">
            <v>0</v>
          </cell>
        </row>
        <row r="38">
          <cell r="C38" t="str">
            <v>Texas Tech University</v>
          </cell>
          <cell r="D38">
            <v>443657</v>
          </cell>
          <cell r="E38">
            <v>268678</v>
          </cell>
          <cell r="F38">
            <v>712335</v>
          </cell>
          <cell r="G38">
            <v>64730</v>
          </cell>
          <cell r="H38">
            <v>36517</v>
          </cell>
          <cell r="I38">
            <v>19903</v>
          </cell>
          <cell r="J38">
            <v>0</v>
          </cell>
          <cell r="K38">
            <v>833485</v>
          </cell>
          <cell r="L38">
            <v>29299.597222222223</v>
          </cell>
          <cell r="N38">
            <v>29299.599999999999</v>
          </cell>
          <cell r="P38">
            <v>3100.55</v>
          </cell>
        </row>
        <row r="39">
          <cell r="C39" t="str">
            <v>Angelo State University</v>
          </cell>
          <cell r="D39">
            <v>106803</v>
          </cell>
          <cell r="E39">
            <v>42753</v>
          </cell>
          <cell r="F39">
            <v>149556</v>
          </cell>
          <cell r="G39">
            <v>13647</v>
          </cell>
          <cell r="H39">
            <v>0</v>
          </cell>
          <cell r="I39">
            <v>2032</v>
          </cell>
          <cell r="J39">
            <v>0</v>
          </cell>
          <cell r="K39">
            <v>165235</v>
          </cell>
          <cell r="L39">
            <v>5638.4916666666668</v>
          </cell>
          <cell r="N39">
            <v>5638.49</v>
          </cell>
          <cell r="P39">
            <v>585.18000000000006</v>
          </cell>
        </row>
        <row r="40">
          <cell r="C40" t="str">
            <v>University of North Texas</v>
          </cell>
          <cell r="D40">
            <v>433614</v>
          </cell>
          <cell r="E40">
            <v>306333</v>
          </cell>
          <cell r="F40">
            <v>739947</v>
          </cell>
          <cell r="G40">
            <v>80284</v>
          </cell>
          <cell r="H40">
            <v>24854</v>
          </cell>
          <cell r="I40">
            <v>1278</v>
          </cell>
          <cell r="J40">
            <v>0</v>
          </cell>
          <cell r="K40">
            <v>846363</v>
          </cell>
          <cell r="L40">
            <v>29444.094444444447</v>
          </cell>
          <cell r="N40">
            <v>29444.09</v>
          </cell>
          <cell r="P40">
            <v>2817.1099999999997</v>
          </cell>
        </row>
        <row r="41">
          <cell r="C41" t="str">
            <v>University of North Texas at Dallas</v>
          </cell>
          <cell r="D41">
            <v>10037</v>
          </cell>
          <cell r="E41">
            <v>21921</v>
          </cell>
          <cell r="F41">
            <v>31958</v>
          </cell>
          <cell r="G41">
            <v>3903</v>
          </cell>
          <cell r="H41">
            <v>0</v>
          </cell>
          <cell r="I41">
            <v>0</v>
          </cell>
          <cell r="J41">
            <v>0</v>
          </cell>
          <cell r="K41">
            <v>35861</v>
          </cell>
          <cell r="L41">
            <v>1227.8916666666667</v>
          </cell>
          <cell r="N41">
            <v>1227.8900000000001</v>
          </cell>
          <cell r="P41">
            <v>107.25</v>
          </cell>
        </row>
        <row r="42">
          <cell r="C42" t="str">
            <v>Midwestern State University</v>
          </cell>
          <cell r="D42">
            <v>79960</v>
          </cell>
          <cell r="E42">
            <v>52944</v>
          </cell>
          <cell r="F42">
            <v>132904</v>
          </cell>
          <cell r="G42">
            <v>8072</v>
          </cell>
          <cell r="H42">
            <v>0</v>
          </cell>
          <cell r="I42">
            <v>0</v>
          </cell>
          <cell r="J42">
            <v>0</v>
          </cell>
          <cell r="K42">
            <v>140976</v>
          </cell>
          <cell r="L42">
            <v>4766.4666666666662</v>
          </cell>
          <cell r="N42">
            <v>4766.47</v>
          </cell>
          <cell r="P42">
            <v>500.63</v>
          </cell>
        </row>
        <row r="43">
          <cell r="C43" t="str">
            <v>Stephen F. Austin State University</v>
          </cell>
          <cell r="D43">
            <v>199360</v>
          </cell>
          <cell r="E43">
            <v>104276</v>
          </cell>
          <cell r="F43">
            <v>303636</v>
          </cell>
          <cell r="G43">
            <v>24901</v>
          </cell>
          <cell r="H43">
            <v>1322</v>
          </cell>
          <cell r="I43">
            <v>0</v>
          </cell>
          <cell r="J43">
            <v>0</v>
          </cell>
          <cell r="K43">
            <v>329859</v>
          </cell>
          <cell r="L43">
            <v>11232.186111111112</v>
          </cell>
          <cell r="N43">
            <v>11232.19</v>
          </cell>
          <cell r="P43">
            <v>1106.5999999999999</v>
          </cell>
        </row>
        <row r="44">
          <cell r="C44" t="str">
            <v>Texas Southern University</v>
          </cell>
          <cell r="D44">
            <v>131858</v>
          </cell>
          <cell r="E44">
            <v>44713</v>
          </cell>
          <cell r="F44">
            <v>176571</v>
          </cell>
          <cell r="G44">
            <v>24565</v>
          </cell>
          <cell r="H44">
            <v>3509</v>
          </cell>
          <cell r="I44">
            <v>31824</v>
          </cell>
          <cell r="J44">
            <v>0</v>
          </cell>
          <cell r="K44">
            <v>236469</v>
          </cell>
          <cell r="L44">
            <v>8430.1861111111102</v>
          </cell>
          <cell r="N44">
            <v>8430.19</v>
          </cell>
          <cell r="P44">
            <v>897.9</v>
          </cell>
        </row>
        <row r="45">
          <cell r="C45" t="str">
            <v>Texas Woman's University</v>
          </cell>
          <cell r="D45">
            <v>114524</v>
          </cell>
          <cell r="E45">
            <v>110381</v>
          </cell>
          <cell r="F45">
            <v>224905</v>
          </cell>
          <cell r="G45">
            <v>81981</v>
          </cell>
          <cell r="H45">
            <v>10943</v>
          </cell>
          <cell r="I45">
            <v>8357</v>
          </cell>
          <cell r="J45">
            <v>0</v>
          </cell>
          <cell r="K45">
            <v>326186</v>
          </cell>
          <cell r="L45">
            <v>11868.861111111111</v>
          </cell>
          <cell r="N45">
            <v>11868.86</v>
          </cell>
          <cell r="P45">
            <v>1166.0500000000002</v>
          </cell>
        </row>
        <row r="46">
          <cell r="C46" t="str">
            <v>TOTAL</v>
          </cell>
          <cell r="D46">
            <v>6617338</v>
          </cell>
          <cell r="E46">
            <v>4854508</v>
          </cell>
          <cell r="F46">
            <v>11471846</v>
          </cell>
          <cell r="G46">
            <v>1556380</v>
          </cell>
          <cell r="H46">
            <v>358415</v>
          </cell>
          <cell r="I46">
            <v>161518</v>
          </cell>
          <cell r="J46">
            <v>16119</v>
          </cell>
          <cell r="K46">
            <v>13564278</v>
          </cell>
          <cell r="L46">
            <v>474359.98267973866</v>
          </cell>
          <cell r="N46">
            <v>474360.00000000006</v>
          </cell>
          <cell r="P46">
            <v>44469.590000000004</v>
          </cell>
        </row>
      </sheetData>
      <sheetData sheetId="16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84"/>
      <sheetName val="FY85"/>
      <sheetName val="FY86"/>
      <sheetName val="FY87"/>
      <sheetName val="FY88"/>
      <sheetName val="FY89"/>
      <sheetName val="FY90"/>
      <sheetName val="FY91"/>
      <sheetName val="FY92"/>
      <sheetName val="FY93"/>
      <sheetName val="FY94"/>
      <sheetName val="FY95"/>
      <sheetName val="FY96"/>
      <sheetName val="FY97"/>
      <sheetName val="FY98"/>
      <sheetName val="FY99"/>
      <sheetName val="FY00"/>
      <sheetName val="FY01"/>
      <sheetName val="FY02"/>
      <sheetName val="FY03"/>
      <sheetName val="FY04"/>
      <sheetName val="FY05"/>
      <sheetName val="FY06"/>
      <sheetName val="FY07"/>
      <sheetName val="FY08"/>
      <sheetName val="FY09"/>
      <sheetName val="Sheet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STATE-FUNDED SEMESTER CREDIT HOURS BY LEVEL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Arl"/>
      <sheetName val="UTAustin"/>
      <sheetName val="UTDallas"/>
      <sheetName val="UTEP"/>
      <sheetName val="UTPanAm"/>
      <sheetName val="UTBrwnsville"/>
      <sheetName val="UTPB"/>
      <sheetName val="UTSA"/>
      <sheetName val="UTTyler"/>
      <sheetName val="TAMU"/>
      <sheetName val="TAMUG"/>
      <sheetName val="PVAMU"/>
      <sheetName val="Tarleton"/>
      <sheetName val="TAMUCommerce"/>
      <sheetName val="TAMUCorpusChristi"/>
      <sheetName val="TAMUKingsville"/>
      <sheetName val="TAMUInternational"/>
      <sheetName val="TAMUTexarkana"/>
      <sheetName val="WTAMU"/>
      <sheetName val="UH"/>
      <sheetName val="UHClearLake"/>
      <sheetName val="UHDowntown"/>
      <sheetName val="UHVictoria"/>
      <sheetName val="Midwestern"/>
      <sheetName val="UNorthTexas"/>
      <sheetName val="SFASU"/>
      <sheetName val="TSU"/>
      <sheetName val="Tech"/>
      <sheetName val="TWU"/>
      <sheetName val="AngeloState"/>
      <sheetName val="Lamar"/>
      <sheetName val="SamHouston"/>
      <sheetName val="TxStateSanMarcos"/>
      <sheetName val="SulR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1">
          <cell r="A1" t="str">
            <v>Midwestern State University</v>
          </cell>
        </row>
        <row r="2">
          <cell r="A2" t="str">
            <v>SCHEDULE C-2:  EXPENSES BY OBJECT AND FUND GROUP</v>
          </cell>
          <cell r="AE2" t="str">
            <v>Schcol &amp; Fell</v>
          </cell>
          <cell r="AF2" t="str">
            <v>Schcol &amp; Fell</v>
          </cell>
        </row>
        <row r="3">
          <cell r="A3" t="str">
            <v>For the year ended August 31, 2006</v>
          </cell>
          <cell r="AF3" t="str">
            <v>Allowances</v>
          </cell>
        </row>
        <row r="4">
          <cell r="A4" t="str">
            <v>UNAUDITED</v>
          </cell>
        </row>
        <row r="5">
          <cell r="A5">
            <v>24</v>
          </cell>
        </row>
        <row r="6">
          <cell r="C6" t="str">
            <v>Salaries</v>
          </cell>
          <cell r="E6" t="str">
            <v>Payroll</v>
          </cell>
          <cell r="G6" t="str">
            <v>Costs of</v>
          </cell>
          <cell r="I6" t="str">
            <v>Professional</v>
          </cell>
          <cell r="M6" t="str">
            <v>Materials</v>
          </cell>
          <cell r="S6" t="str">
            <v>Repairs and</v>
          </cell>
          <cell r="U6" t="str">
            <v>Rentals and</v>
          </cell>
          <cell r="W6" t="str">
            <v>Printing and</v>
          </cell>
          <cell r="Y6" t="str">
            <v>Bad Debt</v>
          </cell>
          <cell r="AA6" t="str">
            <v xml:space="preserve">Claims and </v>
          </cell>
          <cell r="AC6" t="str">
            <v>Scholarships</v>
          </cell>
          <cell r="AG6" t="str">
            <v>Depreciation</v>
          </cell>
          <cell r="AI6" t="str">
            <v>Federal Sponsored</v>
          </cell>
          <cell r="AK6" t="str">
            <v>State Sponsored</v>
          </cell>
          <cell r="AM6" t="str">
            <v>Other</v>
          </cell>
          <cell r="AO6" t="str">
            <v>Subtotal</v>
          </cell>
          <cell r="AQ6" t="str">
            <v>Capital</v>
          </cell>
        </row>
        <row r="7">
          <cell r="C7" t="str">
            <v>and Wages</v>
          </cell>
          <cell r="E7" t="str">
            <v>Related Costs</v>
          </cell>
          <cell r="G7" t="str">
            <v>Goods Sold</v>
          </cell>
          <cell r="I7" t="str">
            <v>Fees and Services</v>
          </cell>
          <cell r="K7" t="str">
            <v>Travel</v>
          </cell>
          <cell r="M7" t="str">
            <v>and Supplies</v>
          </cell>
          <cell r="O7" t="str">
            <v>Utilities</v>
          </cell>
          <cell r="Q7" t="str">
            <v>Telecomm</v>
          </cell>
          <cell r="S7" t="str">
            <v>Maintenance</v>
          </cell>
          <cell r="U7" t="str">
            <v>Leases</v>
          </cell>
          <cell r="W7" t="str">
            <v>Reproduction</v>
          </cell>
          <cell r="Y7" t="str">
            <v>Expense</v>
          </cell>
          <cell r="AA7" t="str">
            <v>Losses</v>
          </cell>
          <cell r="AC7" t="str">
            <v>and Fellowships</v>
          </cell>
          <cell r="AG7" t="str">
            <v>and Amortization</v>
          </cell>
          <cell r="AI7" t="str">
            <v>Pass-Throughs</v>
          </cell>
          <cell r="AK7" t="str">
            <v>Pass-Throughs</v>
          </cell>
          <cell r="AM7" t="str">
            <v>Expenses</v>
          </cell>
          <cell r="AO7" t="str">
            <v>Operating Expenses</v>
          </cell>
          <cell r="AQ7" t="str">
            <v>Outlay</v>
          </cell>
          <cell r="AS7" t="str">
            <v>Total</v>
          </cell>
        </row>
        <row r="9">
          <cell r="A9" t="str">
            <v>EDUCATIONAL AND GENERAL</v>
          </cell>
        </row>
        <row r="10">
          <cell r="A10" t="str">
            <v xml:space="preserve">     Instruction</v>
          </cell>
          <cell r="B10" t="str">
            <v>$</v>
          </cell>
        </row>
        <row r="11">
          <cell r="A11" t="str">
            <v xml:space="preserve">     Research</v>
          </cell>
        </row>
        <row r="12">
          <cell r="A12" t="str">
            <v xml:space="preserve">     Public Service</v>
          </cell>
        </row>
        <row r="13">
          <cell r="A13" t="str">
            <v xml:space="preserve">     Hospitals/Clinics</v>
          </cell>
        </row>
        <row r="14">
          <cell r="A14" t="str">
            <v xml:space="preserve">     Academic Support</v>
          </cell>
        </row>
        <row r="15">
          <cell r="A15" t="str">
            <v xml:space="preserve">     Student Services</v>
          </cell>
        </row>
        <row r="16">
          <cell r="A16" t="str">
            <v xml:space="preserve">     Institutional Support</v>
          </cell>
        </row>
        <row r="17">
          <cell r="A17" t="str">
            <v xml:space="preserve">     Operation and Maintenance of Plant</v>
          </cell>
        </row>
        <row r="18">
          <cell r="A18" t="str">
            <v xml:space="preserve">     Scholarships and Fellowships</v>
          </cell>
        </row>
        <row r="19">
          <cell r="A19" t="str">
            <v xml:space="preserve">           Scholarship allowances</v>
          </cell>
        </row>
        <row r="20">
          <cell r="A20" t="str">
            <v xml:space="preserve">     Auxiliary Enterprises</v>
          </cell>
        </row>
        <row r="21">
          <cell r="A21" t="str">
            <v xml:space="preserve">     Amortization</v>
          </cell>
        </row>
        <row r="22">
          <cell r="A22" t="str">
            <v xml:space="preserve">   Total Educational and General</v>
          </cell>
        </row>
        <row r="25">
          <cell r="A25" t="str">
            <v>DESIGNATED</v>
          </cell>
        </row>
        <row r="26">
          <cell r="A26" t="str">
            <v xml:space="preserve">     Instruction</v>
          </cell>
        </row>
        <row r="27">
          <cell r="A27" t="str">
            <v xml:space="preserve">     Research</v>
          </cell>
        </row>
        <row r="28">
          <cell r="A28" t="str">
            <v xml:space="preserve">     Public Service</v>
          </cell>
        </row>
        <row r="29">
          <cell r="A29" t="str">
            <v xml:space="preserve">     Hospitals/Clinics</v>
          </cell>
        </row>
        <row r="30">
          <cell r="A30" t="str">
            <v xml:space="preserve">     Academic Support</v>
          </cell>
        </row>
        <row r="31">
          <cell r="A31" t="str">
            <v xml:space="preserve">     Student Services</v>
          </cell>
        </row>
        <row r="32">
          <cell r="A32" t="str">
            <v xml:space="preserve">     Institutional Support</v>
          </cell>
        </row>
        <row r="33">
          <cell r="A33" t="str">
            <v xml:space="preserve">     Operation and Maintenance of Plant</v>
          </cell>
        </row>
        <row r="34">
          <cell r="A34" t="str">
            <v xml:space="preserve">     Scholarships and Fellowships</v>
          </cell>
        </row>
        <row r="35">
          <cell r="A35" t="str">
            <v xml:space="preserve">          Scholarship Allowances</v>
          </cell>
        </row>
        <row r="36">
          <cell r="A36" t="str">
            <v xml:space="preserve">     Auxiliary Enterprises</v>
          </cell>
        </row>
        <row r="37">
          <cell r="A37" t="str">
            <v xml:space="preserve">     Amortization</v>
          </cell>
        </row>
        <row r="38">
          <cell r="A38" t="str">
            <v xml:space="preserve">   Total Designated</v>
          </cell>
        </row>
        <row r="41">
          <cell r="A41" t="str">
            <v>AUXILIARY ENTERPRISES</v>
          </cell>
        </row>
        <row r="42">
          <cell r="A42" t="str">
            <v xml:space="preserve">     Auxiliary Enterprises</v>
          </cell>
        </row>
        <row r="43">
          <cell r="A43" t="str">
            <v xml:space="preserve">          Scholarship Allowances</v>
          </cell>
        </row>
        <row r="44">
          <cell r="A44" t="str">
            <v xml:space="preserve">   Total Auxiliary Enterprises</v>
          </cell>
        </row>
        <row r="48">
          <cell r="A48" t="str">
            <v>RESTRICTED EXPENDABLE</v>
          </cell>
        </row>
        <row r="49">
          <cell r="A49" t="str">
            <v xml:space="preserve">     Instruction</v>
          </cell>
        </row>
        <row r="50">
          <cell r="A50" t="str">
            <v xml:space="preserve">     Research</v>
          </cell>
        </row>
        <row r="51">
          <cell r="A51" t="str">
            <v xml:space="preserve">     Public Service</v>
          </cell>
        </row>
        <row r="52">
          <cell r="A52" t="str">
            <v xml:space="preserve">     Hospitals/Clinics</v>
          </cell>
        </row>
        <row r="53">
          <cell r="A53" t="str">
            <v xml:space="preserve">     Academic Support</v>
          </cell>
        </row>
        <row r="54">
          <cell r="A54" t="str">
            <v xml:space="preserve">     Student Services</v>
          </cell>
        </row>
        <row r="55">
          <cell r="A55" t="str">
            <v xml:space="preserve">     Institutional Support</v>
          </cell>
        </row>
        <row r="56">
          <cell r="A56" t="str">
            <v xml:space="preserve">     Operation and Maintenance of Plant</v>
          </cell>
        </row>
        <row r="57">
          <cell r="A57" t="str">
            <v xml:space="preserve">     Scholarships and Fellowships</v>
          </cell>
        </row>
        <row r="58">
          <cell r="A58" t="str">
            <v xml:space="preserve">          Scholarship Allowances</v>
          </cell>
        </row>
        <row r="59">
          <cell r="A59" t="str">
            <v xml:space="preserve">     Auxiliary Enterprises</v>
          </cell>
        </row>
        <row r="60">
          <cell r="A60" t="str">
            <v xml:space="preserve">     Amortization</v>
          </cell>
        </row>
        <row r="61">
          <cell r="A61" t="str">
            <v xml:space="preserve">   Total Restricted Expendable</v>
          </cell>
        </row>
        <row r="64">
          <cell r="A64" t="str">
            <v>LOAN FUNDS</v>
          </cell>
        </row>
        <row r="65">
          <cell r="A65" t="str">
            <v xml:space="preserve">     Student Services</v>
          </cell>
        </row>
        <row r="68">
          <cell r="A68" t="str">
            <v>PLANT FUNDS</v>
          </cell>
        </row>
        <row r="69">
          <cell r="A69" t="str">
            <v xml:space="preserve">     Instruction</v>
          </cell>
        </row>
        <row r="70">
          <cell r="A70" t="str">
            <v xml:space="preserve">     Research</v>
          </cell>
        </row>
        <row r="71">
          <cell r="A71" t="str">
            <v xml:space="preserve">     Public Service</v>
          </cell>
        </row>
        <row r="72">
          <cell r="A72" t="str">
            <v xml:space="preserve">     Hospitals/Clinics</v>
          </cell>
        </row>
        <row r="73">
          <cell r="A73" t="str">
            <v xml:space="preserve">     Academic Support</v>
          </cell>
        </row>
        <row r="74">
          <cell r="A74" t="str">
            <v xml:space="preserve">     Student Services</v>
          </cell>
        </row>
        <row r="75">
          <cell r="A75" t="str">
            <v xml:space="preserve">     Institutional Support</v>
          </cell>
        </row>
        <row r="76">
          <cell r="A76" t="str">
            <v xml:space="preserve">     Operation and Maintenance of Plant</v>
          </cell>
        </row>
        <row r="77">
          <cell r="A77" t="str">
            <v xml:space="preserve">     Auxiliary Enterprises</v>
          </cell>
        </row>
        <row r="78">
          <cell r="A78" t="str">
            <v xml:space="preserve">     Depreciation (Investment in Plant)</v>
          </cell>
        </row>
        <row r="79">
          <cell r="A79" t="str">
            <v xml:space="preserve">   Total Plant Funds</v>
          </cell>
        </row>
        <row r="81">
          <cell r="A81" t="str">
            <v>AVAILABLE UNIVERSITY FUND</v>
          </cell>
        </row>
        <row r="82">
          <cell r="A82" t="str">
            <v>TOTAL OPERATING EXPENSES (Exh. B)</v>
          </cell>
          <cell r="B82" t="str">
            <v>$</v>
          </cell>
        </row>
        <row r="84">
          <cell r="A84" t="str">
            <v>Relevant Data Collection Totals</v>
          </cell>
        </row>
        <row r="85">
          <cell r="A85" t="str">
            <v xml:space="preserve">     Instruction</v>
          </cell>
          <cell r="B85" t="str">
            <v>$</v>
          </cell>
        </row>
        <row r="86">
          <cell r="A86" t="str">
            <v xml:space="preserve">     Research</v>
          </cell>
        </row>
        <row r="87">
          <cell r="A87" t="str">
            <v xml:space="preserve">     Public Service</v>
          </cell>
        </row>
        <row r="88">
          <cell r="A88" t="str">
            <v xml:space="preserve">     Hospitals/Clinics</v>
          </cell>
        </row>
        <row r="89">
          <cell r="A89" t="str">
            <v xml:space="preserve">     Academic Support</v>
          </cell>
        </row>
        <row r="90">
          <cell r="A90" t="str">
            <v xml:space="preserve">     Student Services</v>
          </cell>
        </row>
        <row r="91">
          <cell r="A91" t="str">
            <v xml:space="preserve">     Institutional Support</v>
          </cell>
        </row>
        <row r="92">
          <cell r="A92" t="str">
            <v xml:space="preserve">     Operation and Maintenance of Plant</v>
          </cell>
        </row>
        <row r="93">
          <cell r="A93" t="str">
            <v xml:space="preserve">     Scholarships and Fellowships</v>
          </cell>
        </row>
        <row r="94">
          <cell r="A94" t="str">
            <v xml:space="preserve">     Auxiliary Enterprises</v>
          </cell>
        </row>
        <row r="95">
          <cell r="A95" t="str">
            <v xml:space="preserve">     Depreciation (Investment in Plant)</v>
          </cell>
        </row>
        <row r="96">
          <cell r="A96" t="str">
            <v xml:space="preserve">   Totals</v>
          </cell>
          <cell r="B96" t="str">
            <v>$</v>
          </cell>
        </row>
        <row r="98">
          <cell r="A98" t="str">
            <v>Difference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5"/>
  <sheetViews>
    <sheetView tabSelected="1" zoomScaleNormal="100" workbookViewId="0">
      <pane xSplit="2" ySplit="2" topLeftCell="C3" activePane="bottomRight" state="frozen"/>
      <selection pane="topRight"/>
      <selection pane="bottomLeft"/>
      <selection pane="bottomRight" activeCell="D28" sqref="D28"/>
    </sheetView>
  </sheetViews>
  <sheetFormatPr defaultColWidth="11" defaultRowHeight="12.75" x14ac:dyDescent="0.2"/>
  <cols>
    <col min="1" max="1" width="11" style="35"/>
    <col min="2" max="2" width="31.375" style="35" customWidth="1"/>
    <col min="3" max="3" width="13.875" style="35" customWidth="1"/>
    <col min="4" max="4" width="9" style="35" customWidth="1"/>
    <col min="5" max="5" width="17.125" style="35" customWidth="1"/>
    <col min="6" max="6" width="15.875" style="35" customWidth="1"/>
    <col min="7" max="7" width="10.75" style="35" customWidth="1"/>
    <col min="8" max="8" width="11" style="35"/>
    <col min="9" max="9" width="17.5" style="35" customWidth="1"/>
    <col min="10" max="13" width="11" style="35"/>
    <col min="14" max="14" width="11" style="40"/>
    <col min="15" max="17" width="11" style="41"/>
    <col min="18" max="18" width="11.875" style="41" bestFit="1" customWidth="1"/>
    <col min="19" max="19" width="11" style="41"/>
    <col min="20" max="24" width="11" style="35"/>
    <col min="25" max="25" width="11.875" style="35" bestFit="1" customWidth="1"/>
    <col min="26" max="26" width="11" style="35"/>
    <col min="27" max="27" width="11" style="40"/>
    <col min="28" max="31" width="11" style="35"/>
    <col min="32" max="32" width="11.875" style="35" bestFit="1" customWidth="1"/>
    <col min="33" max="37" width="11" style="35"/>
    <col min="38" max="39" width="11" style="42"/>
    <col min="40" max="43" width="11" style="35"/>
    <col min="44" max="44" width="11" style="40"/>
    <col min="45" max="50" width="11" style="35"/>
    <col min="51" max="51" width="11.875" style="35" bestFit="1" customWidth="1"/>
    <col min="52" max="52" width="11" style="35"/>
    <col min="53" max="53" width="12" style="35" customWidth="1"/>
    <col min="54" max="60" width="11" style="35"/>
    <col min="61" max="61" width="12.25" style="42" customWidth="1"/>
    <col min="62" max="62" width="12.875" style="42" customWidth="1"/>
    <col min="63" max="63" width="11.875" style="35" bestFit="1" customWidth="1"/>
    <col min="64" max="64" width="11.875" style="35" customWidth="1"/>
    <col min="65" max="65" width="11.875" style="42" customWidth="1"/>
    <col min="66" max="67" width="11" style="42"/>
    <col min="68" max="69" width="11" style="35"/>
    <col min="70" max="70" width="13" style="41" customWidth="1"/>
    <col min="71" max="71" width="12.375" style="42" customWidth="1"/>
    <col min="72" max="72" width="12.375" style="35" customWidth="1"/>
    <col min="73" max="73" width="18.25" style="42" customWidth="1"/>
    <col min="74" max="74" width="11" style="42"/>
    <col min="75" max="75" width="16.25" style="35" customWidth="1"/>
    <col min="76" max="76" width="17" style="35" customWidth="1"/>
    <col min="77" max="78" width="11" style="35"/>
    <col min="79" max="80" width="11.125" style="35" customWidth="1"/>
    <col min="81" max="82" width="11.375" style="35" bestFit="1" customWidth="1"/>
    <col min="83" max="83" width="11.25" style="35" customWidth="1"/>
    <col min="84" max="84" width="14.125" style="35" customWidth="1"/>
    <col min="85" max="87" width="11" style="35"/>
    <col min="88" max="89" width="15.125" style="35" customWidth="1"/>
    <col min="90" max="90" width="14.625" style="35" customWidth="1"/>
    <col min="91" max="91" width="14" style="1" customWidth="1"/>
    <col min="92" max="92" width="15" style="1" customWidth="1"/>
    <col min="93" max="93" width="13.625" style="35" customWidth="1"/>
    <col min="94" max="16384" width="11" style="35"/>
  </cols>
  <sheetData>
    <row r="1" spans="1:92" s="27" customFormat="1" ht="12.95" customHeight="1" x14ac:dyDescent="0.2">
      <c r="A1" s="1"/>
      <c r="N1" s="139" t="s">
        <v>0</v>
      </c>
      <c r="O1" s="139"/>
      <c r="P1" s="139"/>
      <c r="Q1" s="139"/>
      <c r="R1" s="139"/>
      <c r="S1" s="139"/>
      <c r="T1" s="139" t="s">
        <v>1</v>
      </c>
      <c r="U1" s="139"/>
      <c r="V1" s="139"/>
      <c r="W1" s="139"/>
      <c r="X1" s="139"/>
      <c r="Y1" s="139"/>
      <c r="Z1" s="139" t="s">
        <v>2</v>
      </c>
      <c r="AA1" s="139"/>
      <c r="AB1" s="139"/>
      <c r="AC1" s="139"/>
      <c r="AD1" s="139"/>
      <c r="AE1" s="139"/>
      <c r="AF1" s="139" t="s">
        <v>3</v>
      </c>
      <c r="AG1" s="139"/>
      <c r="AH1" s="139"/>
      <c r="AI1" s="139"/>
      <c r="AJ1" s="139" t="s">
        <v>4</v>
      </c>
      <c r="AK1" s="139"/>
      <c r="AL1" s="139"/>
      <c r="AM1" s="139"/>
      <c r="AN1" s="139"/>
      <c r="AO1" s="139"/>
      <c r="AP1" s="139"/>
      <c r="AQ1" s="139"/>
      <c r="AR1" s="139" t="s">
        <v>5</v>
      </c>
      <c r="AS1" s="139"/>
      <c r="AT1" s="139"/>
      <c r="AU1" s="139"/>
      <c r="AV1" s="139"/>
      <c r="AW1" s="139"/>
      <c r="AX1" s="139" t="s">
        <v>6</v>
      </c>
      <c r="AY1" s="139"/>
      <c r="AZ1" s="139"/>
      <c r="BA1" s="139"/>
      <c r="BB1" s="139"/>
      <c r="BC1" s="139"/>
      <c r="BD1" s="139" t="s">
        <v>7</v>
      </c>
      <c r="BE1" s="139"/>
      <c r="BF1" s="139"/>
      <c r="BG1" s="139"/>
      <c r="BH1" s="139"/>
      <c r="BI1" s="139" t="s">
        <v>8</v>
      </c>
      <c r="BJ1" s="139"/>
      <c r="BK1" s="139"/>
      <c r="BL1" s="139"/>
      <c r="BM1" s="139"/>
      <c r="BN1" s="139"/>
      <c r="BO1" s="139" t="s">
        <v>9</v>
      </c>
      <c r="BP1" s="139"/>
      <c r="BQ1" s="139"/>
      <c r="BR1" s="30"/>
      <c r="BT1" s="143" t="s">
        <v>10</v>
      </c>
      <c r="BU1" s="143"/>
      <c r="BV1" s="139" t="s">
        <v>11</v>
      </c>
      <c r="BW1" s="139"/>
      <c r="BX1" s="139"/>
      <c r="BY1" s="139"/>
      <c r="BZ1" s="139" t="s">
        <v>12</v>
      </c>
      <c r="CA1" s="139"/>
      <c r="CB1" s="139"/>
      <c r="CC1" s="139"/>
      <c r="CD1" s="139"/>
      <c r="CE1" s="139"/>
      <c r="CF1" s="139" t="s">
        <v>13</v>
      </c>
      <c r="CG1" s="139"/>
      <c r="CH1" s="139"/>
      <c r="CI1" s="139"/>
      <c r="CJ1" s="139"/>
      <c r="CK1" s="139" t="s">
        <v>14</v>
      </c>
      <c r="CL1" s="139"/>
    </row>
    <row r="2" spans="1:92" s="31" customFormat="1" ht="89.25" x14ac:dyDescent="0.2">
      <c r="A2" s="43" t="s">
        <v>15</v>
      </c>
      <c r="B2" s="43" t="s">
        <v>16</v>
      </c>
      <c r="C2" s="43" t="s">
        <v>17</v>
      </c>
      <c r="D2" s="43" t="s">
        <v>18</v>
      </c>
      <c r="E2" s="43" t="s">
        <v>19</v>
      </c>
      <c r="F2" s="43" t="s">
        <v>20</v>
      </c>
      <c r="G2" s="43" t="s">
        <v>21</v>
      </c>
      <c r="H2" s="43" t="s">
        <v>22</v>
      </c>
      <c r="I2" s="43" t="s">
        <v>23</v>
      </c>
      <c r="J2" s="43" t="s">
        <v>24</v>
      </c>
      <c r="K2" s="43" t="s">
        <v>25</v>
      </c>
      <c r="L2" s="43" t="s">
        <v>26</v>
      </c>
      <c r="M2" s="43" t="s">
        <v>27</v>
      </c>
      <c r="N2" s="44" t="s">
        <v>28</v>
      </c>
      <c r="O2" s="45" t="s">
        <v>29</v>
      </c>
      <c r="P2" s="45" t="s">
        <v>30</v>
      </c>
      <c r="Q2" s="45" t="s">
        <v>31</v>
      </c>
      <c r="R2" s="45" t="s">
        <v>32</v>
      </c>
      <c r="S2" s="46" t="s">
        <v>33</v>
      </c>
      <c r="T2" s="43" t="s">
        <v>28</v>
      </c>
      <c r="U2" s="43" t="s">
        <v>29</v>
      </c>
      <c r="V2" s="43" t="s">
        <v>30</v>
      </c>
      <c r="W2" s="43" t="s">
        <v>31</v>
      </c>
      <c r="X2" s="43" t="s">
        <v>32</v>
      </c>
      <c r="Y2" s="47" t="s">
        <v>33</v>
      </c>
      <c r="Z2" s="44" t="s">
        <v>28</v>
      </c>
      <c r="AA2" s="43" t="s">
        <v>29</v>
      </c>
      <c r="AB2" s="43" t="s">
        <v>30</v>
      </c>
      <c r="AC2" s="43" t="s">
        <v>31</v>
      </c>
      <c r="AD2" s="43" t="s">
        <v>32</v>
      </c>
      <c r="AE2" s="47" t="s">
        <v>33</v>
      </c>
      <c r="AF2" s="43" t="s">
        <v>34</v>
      </c>
      <c r="AG2" s="43" t="s">
        <v>35</v>
      </c>
      <c r="AH2" s="43" t="s">
        <v>36</v>
      </c>
      <c r="AI2" s="43" t="s">
        <v>37</v>
      </c>
      <c r="AJ2" s="43" t="s">
        <v>38</v>
      </c>
      <c r="AK2" s="48" t="s">
        <v>39</v>
      </c>
      <c r="AL2" s="48" t="s">
        <v>40</v>
      </c>
      <c r="AM2" s="43" t="s">
        <v>41</v>
      </c>
      <c r="AN2" s="43" t="s">
        <v>42</v>
      </c>
      <c r="AO2" s="43" t="s">
        <v>43</v>
      </c>
      <c r="AP2" s="43" t="s">
        <v>44</v>
      </c>
      <c r="AQ2" s="48" t="s">
        <v>45</v>
      </c>
      <c r="AR2" s="44" t="s">
        <v>28</v>
      </c>
      <c r="AS2" s="43" t="s">
        <v>29</v>
      </c>
      <c r="AT2" s="43" t="s">
        <v>30</v>
      </c>
      <c r="AU2" s="43" t="s">
        <v>31</v>
      </c>
      <c r="AV2" s="43" t="s">
        <v>32</v>
      </c>
      <c r="AW2" s="47" t="s">
        <v>33</v>
      </c>
      <c r="AX2" s="43" t="s">
        <v>28</v>
      </c>
      <c r="AY2" s="43" t="s">
        <v>46</v>
      </c>
      <c r="AZ2" s="43" t="s">
        <v>47</v>
      </c>
      <c r="BA2" s="43" t="s">
        <v>48</v>
      </c>
      <c r="BB2" s="43" t="s">
        <v>49</v>
      </c>
      <c r="BC2" s="43" t="s">
        <v>50</v>
      </c>
      <c r="BD2" s="43" t="s">
        <v>29</v>
      </c>
      <c r="BE2" s="43" t="s">
        <v>30</v>
      </c>
      <c r="BF2" s="43" t="s">
        <v>31</v>
      </c>
      <c r="BG2" s="43" t="s">
        <v>32</v>
      </c>
      <c r="BH2" s="47" t="s">
        <v>33</v>
      </c>
      <c r="BI2" s="48" t="s">
        <v>51</v>
      </c>
      <c r="BJ2" s="48" t="s">
        <v>52</v>
      </c>
      <c r="BK2" s="43" t="s">
        <v>53</v>
      </c>
      <c r="BL2" s="43" t="s">
        <v>54</v>
      </c>
      <c r="BM2" s="48" t="s">
        <v>55</v>
      </c>
      <c r="BN2" s="48" t="s">
        <v>56</v>
      </c>
      <c r="BO2" s="48" t="s">
        <v>57</v>
      </c>
      <c r="BP2" s="43" t="s">
        <v>58</v>
      </c>
      <c r="BQ2" s="43" t="s">
        <v>59</v>
      </c>
      <c r="BR2" s="45" t="s">
        <v>60</v>
      </c>
      <c r="BS2" s="43" t="s">
        <v>61</v>
      </c>
      <c r="BT2" s="48" t="s">
        <v>62</v>
      </c>
      <c r="BU2" s="48" t="s">
        <v>63</v>
      </c>
      <c r="BV2" s="43" t="s">
        <v>64</v>
      </c>
      <c r="BW2" s="43" t="s">
        <v>65</v>
      </c>
      <c r="BX2" s="43" t="s">
        <v>66</v>
      </c>
      <c r="BY2" s="43" t="s">
        <v>67</v>
      </c>
      <c r="BZ2" s="43" t="s">
        <v>68</v>
      </c>
      <c r="CA2" s="43" t="s">
        <v>69</v>
      </c>
      <c r="CB2" s="43" t="s">
        <v>70</v>
      </c>
      <c r="CC2" s="43" t="s">
        <v>71</v>
      </c>
      <c r="CD2" s="43" t="s">
        <v>72</v>
      </c>
      <c r="CE2" s="43" t="s">
        <v>73</v>
      </c>
      <c r="CF2" s="43" t="s">
        <v>74</v>
      </c>
      <c r="CG2" s="43" t="s">
        <v>75</v>
      </c>
      <c r="CH2" s="43" t="s">
        <v>76</v>
      </c>
      <c r="CI2" s="43" t="s">
        <v>77</v>
      </c>
      <c r="CJ2" s="43" t="s">
        <v>32</v>
      </c>
      <c r="CK2" s="43" t="s">
        <v>78</v>
      </c>
      <c r="CL2" s="43" t="s">
        <v>79</v>
      </c>
      <c r="CM2" s="27"/>
      <c r="CN2" s="27"/>
    </row>
    <row r="3" spans="1:92" x14ac:dyDescent="0.2">
      <c r="A3" s="49">
        <v>3541</v>
      </c>
      <c r="B3" s="50" t="s">
        <v>80</v>
      </c>
      <c r="C3" s="50" t="s">
        <v>81</v>
      </c>
      <c r="D3" s="50">
        <v>1928</v>
      </c>
      <c r="E3" s="50" t="s">
        <v>82</v>
      </c>
      <c r="F3" s="50" t="s">
        <v>83</v>
      </c>
      <c r="G3" s="50" t="s">
        <v>84</v>
      </c>
      <c r="H3" s="51">
        <v>7575</v>
      </c>
      <c r="I3" s="51" t="s">
        <v>85</v>
      </c>
      <c r="J3" s="51" t="s">
        <v>86</v>
      </c>
      <c r="K3" s="51" t="s">
        <v>87</v>
      </c>
      <c r="L3" s="51" t="s">
        <v>88</v>
      </c>
      <c r="M3" s="51" t="s">
        <v>89</v>
      </c>
      <c r="N3" s="52">
        <v>2090</v>
      </c>
      <c r="O3" s="53">
        <v>0.12631578947368421</v>
      </c>
      <c r="P3" s="53">
        <v>0.41913875598086126</v>
      </c>
      <c r="Q3" s="53">
        <v>0.40574162679425835</v>
      </c>
      <c r="R3" s="53">
        <v>2.583732057416268E-2</v>
      </c>
      <c r="S3" s="53">
        <v>2.2966507177033493E-2</v>
      </c>
      <c r="T3" s="52">
        <v>5433</v>
      </c>
      <c r="U3" s="54">
        <v>9.2399999999999996E-2</v>
      </c>
      <c r="V3" s="54">
        <v>0.30498999999999998</v>
      </c>
      <c r="W3" s="54">
        <v>0.54315999999999998</v>
      </c>
      <c r="X3" s="54">
        <v>4.086E-2</v>
      </c>
      <c r="Y3" s="54">
        <v>1.8589999999999999E-2</v>
      </c>
      <c r="Z3" s="52">
        <v>1098</v>
      </c>
      <c r="AA3" s="54">
        <v>4.9180000000000001E-2</v>
      </c>
      <c r="AB3" s="54">
        <v>0.22222</v>
      </c>
      <c r="AC3" s="54">
        <v>0.69216999999999995</v>
      </c>
      <c r="AD3" s="54">
        <v>3.3700000000000001E-2</v>
      </c>
      <c r="AE3" s="54">
        <v>2.7320000000000001E-3</v>
      </c>
      <c r="AF3" s="50" t="s">
        <v>90</v>
      </c>
      <c r="AG3" s="50" t="s">
        <v>91</v>
      </c>
      <c r="AH3" s="50" t="s">
        <v>92</v>
      </c>
      <c r="AI3" s="50" t="s">
        <v>93</v>
      </c>
      <c r="AJ3" s="52">
        <v>3687</v>
      </c>
      <c r="AK3" s="54">
        <v>0.56700000000000006</v>
      </c>
      <c r="AL3" s="53">
        <v>0.11</v>
      </c>
      <c r="AM3" s="55">
        <v>6430</v>
      </c>
      <c r="AN3" s="54">
        <v>5.1860000000000003E-2</v>
      </c>
      <c r="AO3" s="54">
        <v>0.15479000000000001</v>
      </c>
      <c r="AP3" s="54">
        <v>0.84521000000000002</v>
      </c>
      <c r="AQ3" s="54">
        <v>0.46200000000000002</v>
      </c>
      <c r="AR3" s="55">
        <v>6430</v>
      </c>
      <c r="AS3" s="54">
        <v>8.9419999999999999E-2</v>
      </c>
      <c r="AT3" s="54">
        <v>0.28117999999999999</v>
      </c>
      <c r="AU3" s="54">
        <v>0.55925000000000002</v>
      </c>
      <c r="AV3" s="54">
        <v>5.4280000000000002E-2</v>
      </c>
      <c r="AW3" s="54">
        <v>1.5859999999999999E-2</v>
      </c>
      <c r="AX3" s="55">
        <v>1399</v>
      </c>
      <c r="AY3" s="55">
        <v>160</v>
      </c>
      <c r="AZ3" s="55">
        <v>938</v>
      </c>
      <c r="BA3" s="55">
        <v>283</v>
      </c>
      <c r="BB3" s="55">
        <v>0</v>
      </c>
      <c r="BC3" s="55">
        <v>18</v>
      </c>
      <c r="BD3" s="54">
        <v>5.0750000000000003E-2</v>
      </c>
      <c r="BE3" s="54">
        <v>0.21157999999999999</v>
      </c>
      <c r="BF3" s="54">
        <v>0.69191999999999998</v>
      </c>
      <c r="BG3" s="54">
        <v>4.2169999999999999E-2</v>
      </c>
      <c r="BH3" s="54">
        <v>3.5699999999999998E-3</v>
      </c>
      <c r="BI3" s="56">
        <v>0.22600000000000001</v>
      </c>
      <c r="BJ3" s="56">
        <v>0.02</v>
      </c>
      <c r="BK3" s="57">
        <v>0.39200000000000002</v>
      </c>
      <c r="BL3" s="57">
        <v>0.13300000000000001</v>
      </c>
      <c r="BM3" s="57">
        <v>0.47499999999999998</v>
      </c>
      <c r="BN3" s="57">
        <v>0.28600000000000003</v>
      </c>
      <c r="BO3" s="58">
        <v>4.8</v>
      </c>
      <c r="BP3" s="59">
        <v>136</v>
      </c>
      <c r="BQ3" s="54">
        <v>0.85928000000000004</v>
      </c>
      <c r="BR3" s="54">
        <v>0.85400000000000009</v>
      </c>
      <c r="BS3" s="60">
        <v>4.7300000000000004</v>
      </c>
      <c r="BT3" s="54">
        <v>0.38600000000000001</v>
      </c>
      <c r="BU3" s="54">
        <v>0.24199999999999999</v>
      </c>
      <c r="BV3" s="61">
        <v>346</v>
      </c>
      <c r="BW3" s="61">
        <v>199</v>
      </c>
      <c r="BX3" s="53">
        <v>0.57514450867052025</v>
      </c>
      <c r="BY3" s="59">
        <v>19</v>
      </c>
      <c r="BZ3" s="62">
        <v>5862</v>
      </c>
      <c r="CA3" s="63">
        <v>19283</v>
      </c>
      <c r="CB3" s="63">
        <v>5786</v>
      </c>
      <c r="CC3" s="63">
        <v>6443</v>
      </c>
      <c r="CD3" s="63">
        <v>2392</v>
      </c>
      <c r="CE3" s="63">
        <v>4662</v>
      </c>
      <c r="CF3" s="64">
        <v>16147.22</v>
      </c>
      <c r="CG3" s="64">
        <v>6840.76</v>
      </c>
      <c r="CH3" s="64">
        <v>3701.57</v>
      </c>
      <c r="CI3" s="63">
        <v>3759.87</v>
      </c>
      <c r="CJ3" s="63">
        <v>1845.02</v>
      </c>
      <c r="CK3" s="63">
        <v>1105863</v>
      </c>
      <c r="CL3" s="63">
        <v>2194</v>
      </c>
      <c r="CM3" s="28"/>
      <c r="CN3" s="28"/>
    </row>
    <row r="4" spans="1:92" x14ac:dyDescent="0.2">
      <c r="A4" s="49">
        <v>3581</v>
      </c>
      <c r="B4" s="50" t="s">
        <v>94</v>
      </c>
      <c r="C4" s="50" t="s">
        <v>95</v>
      </c>
      <c r="D4" s="50">
        <v>1923</v>
      </c>
      <c r="E4" s="50" t="s">
        <v>96</v>
      </c>
      <c r="F4" s="50" t="s">
        <v>97</v>
      </c>
      <c r="G4" s="50"/>
      <c r="H4" s="51">
        <v>8990</v>
      </c>
      <c r="I4" s="51" t="s">
        <v>98</v>
      </c>
      <c r="J4" s="51" t="s">
        <v>99</v>
      </c>
      <c r="K4" s="51" t="s">
        <v>100</v>
      </c>
      <c r="L4" s="51" t="s">
        <v>101</v>
      </c>
      <c r="M4" s="51" t="s">
        <v>102</v>
      </c>
      <c r="N4" s="52">
        <v>3622</v>
      </c>
      <c r="O4" s="53">
        <v>0.36968525676421865</v>
      </c>
      <c r="P4" s="53">
        <v>0.22584207620099392</v>
      </c>
      <c r="Q4" s="53">
        <v>0.3277194919933738</v>
      </c>
      <c r="R4" s="53">
        <v>4.1137493097736059E-2</v>
      </c>
      <c r="S4" s="53">
        <v>3.5615681943677528E-2</v>
      </c>
      <c r="T4" s="52">
        <v>9194</v>
      </c>
      <c r="U4" s="54">
        <v>0.30649999999999999</v>
      </c>
      <c r="V4" s="54">
        <v>0.11344</v>
      </c>
      <c r="W4" s="54">
        <v>0.49630000000000002</v>
      </c>
      <c r="X4" s="54">
        <v>6.7330000000000001E-2</v>
      </c>
      <c r="Y4" s="54">
        <v>1.6424000000000001E-2</v>
      </c>
      <c r="Z4" s="52">
        <v>1396</v>
      </c>
      <c r="AA4" s="54">
        <v>0.24712999999999999</v>
      </c>
      <c r="AB4" s="54">
        <v>9.3840000000000007E-2</v>
      </c>
      <c r="AC4" s="54">
        <v>0.57162999999999997</v>
      </c>
      <c r="AD4" s="54">
        <v>7.0919999999999997E-2</v>
      </c>
      <c r="AE4" s="54">
        <v>1.6476000000000001E-2</v>
      </c>
      <c r="AF4" s="50" t="s">
        <v>103</v>
      </c>
      <c r="AG4" s="50" t="s">
        <v>104</v>
      </c>
      <c r="AH4" s="50" t="s">
        <v>93</v>
      </c>
      <c r="AI4" s="50" t="s">
        <v>105</v>
      </c>
      <c r="AJ4" s="52">
        <v>4725</v>
      </c>
      <c r="AK4" s="54">
        <v>0.76700000000000002</v>
      </c>
      <c r="AL4" s="53">
        <v>0.13800000000000001</v>
      </c>
      <c r="AM4" s="55">
        <v>13762</v>
      </c>
      <c r="AN4" s="54">
        <v>3.6299999999999999E-2</v>
      </c>
      <c r="AO4" s="54">
        <v>0.28769</v>
      </c>
      <c r="AP4" s="54">
        <v>0.71231</v>
      </c>
      <c r="AQ4" s="54">
        <v>0.44700000000000001</v>
      </c>
      <c r="AR4" s="55">
        <v>13762</v>
      </c>
      <c r="AS4" s="54">
        <v>0.26798</v>
      </c>
      <c r="AT4" s="54">
        <v>0.1196</v>
      </c>
      <c r="AU4" s="54">
        <v>0.50617999999999996</v>
      </c>
      <c r="AV4" s="54">
        <v>5.7259999999999998E-2</v>
      </c>
      <c r="AW4" s="54">
        <v>4.8980000000000003E-2</v>
      </c>
      <c r="AX4" s="55">
        <v>3501</v>
      </c>
      <c r="AY4" s="55">
        <v>30</v>
      </c>
      <c r="AZ4" s="55">
        <v>1366</v>
      </c>
      <c r="BA4" s="55">
        <v>2050</v>
      </c>
      <c r="BB4" s="55">
        <v>49</v>
      </c>
      <c r="BC4" s="55">
        <v>6</v>
      </c>
      <c r="BD4" s="54">
        <v>0.18423</v>
      </c>
      <c r="BE4" s="54">
        <v>0.10453999999999999</v>
      </c>
      <c r="BF4" s="54">
        <v>0.59782999999999997</v>
      </c>
      <c r="BG4" s="54">
        <v>5.57E-2</v>
      </c>
      <c r="BH4" s="54">
        <v>5.7700000000000001E-2</v>
      </c>
      <c r="BI4" s="56">
        <v>0.113</v>
      </c>
      <c r="BJ4" s="56">
        <v>3.3000000000000002E-2</v>
      </c>
      <c r="BK4" s="57">
        <v>0.39100000000000001</v>
      </c>
      <c r="BL4" s="57">
        <v>0.12300000000000001</v>
      </c>
      <c r="BM4" s="57">
        <v>0.439</v>
      </c>
      <c r="BN4" s="57">
        <v>0.20600000000000002</v>
      </c>
      <c r="BO4" s="58">
        <v>5.4</v>
      </c>
      <c r="BP4" s="59">
        <v>149</v>
      </c>
      <c r="BQ4" s="54">
        <v>0.75036999999999998</v>
      </c>
      <c r="BR4" s="54">
        <v>0.82700000000000007</v>
      </c>
      <c r="BS4" s="60">
        <v>5.39</v>
      </c>
      <c r="BT4" s="54">
        <v>0.373</v>
      </c>
      <c r="BU4" s="54">
        <v>0.17899999999999999</v>
      </c>
      <c r="BV4" s="61">
        <v>534</v>
      </c>
      <c r="BW4" s="61">
        <v>275</v>
      </c>
      <c r="BX4" s="53">
        <v>0.51498127340823974</v>
      </c>
      <c r="BY4" s="59">
        <v>22</v>
      </c>
      <c r="BZ4" s="62">
        <v>12062</v>
      </c>
      <c r="CA4" s="63">
        <v>15200</v>
      </c>
      <c r="CB4" s="63">
        <v>6915</v>
      </c>
      <c r="CC4" s="63">
        <v>4923</v>
      </c>
      <c r="CD4" s="63">
        <v>1781</v>
      </c>
      <c r="CE4" s="63">
        <v>1581</v>
      </c>
      <c r="CF4" s="64">
        <v>12261.35</v>
      </c>
      <c r="CG4" s="64">
        <v>6830.35</v>
      </c>
      <c r="CH4" s="64">
        <v>2546</v>
      </c>
      <c r="CI4" s="63">
        <v>2771.76</v>
      </c>
      <c r="CJ4" s="63">
        <v>113.23</v>
      </c>
      <c r="CK4" s="63">
        <v>2604643</v>
      </c>
      <c r="CL4" s="63">
        <v>8135</v>
      </c>
      <c r="CM4" s="2"/>
      <c r="CN4" s="2"/>
    </row>
    <row r="5" spans="1:92" x14ac:dyDescent="0.2">
      <c r="A5" s="49">
        <v>3592</v>
      </c>
      <c r="B5" s="50" t="s">
        <v>106</v>
      </c>
      <c r="C5" s="50" t="s">
        <v>107</v>
      </c>
      <c r="D5" s="50">
        <v>1922</v>
      </c>
      <c r="E5" s="50" t="s">
        <v>108</v>
      </c>
      <c r="F5" s="50" t="s">
        <v>83</v>
      </c>
      <c r="G5" s="50"/>
      <c r="H5" s="51">
        <v>7764</v>
      </c>
      <c r="I5" s="51" t="s">
        <v>109</v>
      </c>
      <c r="J5" s="51" t="s">
        <v>110</v>
      </c>
      <c r="K5" s="51" t="s">
        <v>111</v>
      </c>
      <c r="L5" s="51" t="s">
        <v>112</v>
      </c>
      <c r="M5" s="51" t="s">
        <v>113</v>
      </c>
      <c r="N5" s="52">
        <v>2196</v>
      </c>
      <c r="O5" s="53">
        <v>0.18806921675774135</v>
      </c>
      <c r="P5" s="53">
        <v>0.27504553734061932</v>
      </c>
      <c r="Q5" s="53">
        <v>0.46311475409836067</v>
      </c>
      <c r="R5" s="53">
        <v>4.9180327868852458E-2</v>
      </c>
      <c r="S5" s="53">
        <v>2.4590163934426229E-2</v>
      </c>
      <c r="T5" s="52">
        <v>4950</v>
      </c>
      <c r="U5" s="54">
        <v>0.14545</v>
      </c>
      <c r="V5" s="54">
        <v>0.1497</v>
      </c>
      <c r="W5" s="54">
        <v>0.58928999999999998</v>
      </c>
      <c r="X5" s="54">
        <v>7.4550000000000005E-2</v>
      </c>
      <c r="Y5" s="54">
        <v>4.1009999999999998E-2</v>
      </c>
      <c r="Z5" s="52">
        <v>1129</v>
      </c>
      <c r="AA5" s="54">
        <v>0.10895000000000001</v>
      </c>
      <c r="AB5" s="54">
        <v>0.10806</v>
      </c>
      <c r="AC5" s="54">
        <v>0.63329999999999997</v>
      </c>
      <c r="AD5" s="54">
        <v>7.3520000000000002E-2</v>
      </c>
      <c r="AE5" s="54">
        <v>7.6174000000000006E-2</v>
      </c>
      <c r="AF5" s="50" t="s">
        <v>114</v>
      </c>
      <c r="AG5" s="50" t="s">
        <v>115</v>
      </c>
      <c r="AH5" s="50" t="s">
        <v>116</v>
      </c>
      <c r="AI5" s="50" t="s">
        <v>117</v>
      </c>
      <c r="AJ5" s="52">
        <v>3071</v>
      </c>
      <c r="AK5" s="54">
        <v>0.71499999999999997</v>
      </c>
      <c r="AL5" s="53">
        <v>9.8000000000000004E-2</v>
      </c>
      <c r="AM5" s="55">
        <v>5548</v>
      </c>
      <c r="AN5" s="54">
        <v>-5.049E-2</v>
      </c>
      <c r="AO5" s="54">
        <v>0.23879</v>
      </c>
      <c r="AP5" s="54">
        <v>0.76121000000000005</v>
      </c>
      <c r="AQ5" s="54">
        <v>0.40299999999999997</v>
      </c>
      <c r="AR5" s="55">
        <v>5548</v>
      </c>
      <c r="AS5" s="54">
        <v>0.14005000000000001</v>
      </c>
      <c r="AT5" s="54">
        <v>0.14384</v>
      </c>
      <c r="AU5" s="54">
        <v>0.59462999999999999</v>
      </c>
      <c r="AV5" s="54">
        <v>7.3899999999999993E-2</v>
      </c>
      <c r="AW5" s="54">
        <v>4.7579999999999997E-2</v>
      </c>
      <c r="AX5" s="55">
        <v>1303</v>
      </c>
      <c r="AY5" s="55">
        <v>48</v>
      </c>
      <c r="AZ5" s="55">
        <v>1081</v>
      </c>
      <c r="BA5" s="55">
        <v>174</v>
      </c>
      <c r="BB5" s="55">
        <v>0</v>
      </c>
      <c r="BC5" s="55">
        <v>0</v>
      </c>
      <c r="BD5" s="54">
        <v>0.1013</v>
      </c>
      <c r="BE5" s="54">
        <v>0.10743999999999999</v>
      </c>
      <c r="BF5" s="54">
        <v>0.63007999999999997</v>
      </c>
      <c r="BG5" s="54">
        <v>7.5209999999999999E-2</v>
      </c>
      <c r="BH5" s="54">
        <v>8.5959999999999995E-2</v>
      </c>
      <c r="BI5" s="56">
        <v>0.24299999999999999</v>
      </c>
      <c r="BJ5" s="56">
        <v>0</v>
      </c>
      <c r="BK5" s="57">
        <v>0.49399999999999999</v>
      </c>
      <c r="BL5" s="57">
        <v>0.17899999999999999</v>
      </c>
      <c r="BM5" s="57">
        <v>0.51900000000000002</v>
      </c>
      <c r="BN5" s="57">
        <v>0.31900000000000001</v>
      </c>
      <c r="BO5" s="58">
        <v>5.4</v>
      </c>
      <c r="BP5" s="59">
        <v>145</v>
      </c>
      <c r="BQ5" s="54">
        <v>0.67252999999999996</v>
      </c>
      <c r="BR5" s="54">
        <v>0.78099999999999992</v>
      </c>
      <c r="BS5" s="60">
        <v>3.61</v>
      </c>
      <c r="BT5" s="54">
        <v>0.54400000000000004</v>
      </c>
      <c r="BU5" s="54">
        <v>0.20899999999999999</v>
      </c>
      <c r="BV5" s="61">
        <v>339</v>
      </c>
      <c r="BW5" s="61">
        <v>166</v>
      </c>
      <c r="BX5" s="53">
        <v>0.48967551622418881</v>
      </c>
      <c r="BY5" s="59">
        <v>18</v>
      </c>
      <c r="BZ5" s="62">
        <v>4497</v>
      </c>
      <c r="CA5" s="63">
        <v>18171</v>
      </c>
      <c r="CB5" s="63">
        <v>6923</v>
      </c>
      <c r="CC5" s="63">
        <v>6202</v>
      </c>
      <c r="CD5" s="63">
        <v>1971</v>
      </c>
      <c r="CE5" s="63">
        <v>3075</v>
      </c>
      <c r="CF5" s="64">
        <v>15787.77</v>
      </c>
      <c r="CG5" s="64">
        <v>7499.01</v>
      </c>
      <c r="CH5" s="64">
        <v>4647.2</v>
      </c>
      <c r="CI5" s="63">
        <v>3181.14</v>
      </c>
      <c r="CJ5" s="63">
        <v>460.42</v>
      </c>
      <c r="CK5" s="63">
        <v>286037</v>
      </c>
      <c r="CL5" s="63">
        <v>1494</v>
      </c>
      <c r="CM5" s="2"/>
      <c r="CN5" s="2"/>
    </row>
    <row r="6" spans="1:92" x14ac:dyDescent="0.2">
      <c r="A6" s="49">
        <v>3630</v>
      </c>
      <c r="B6" s="50" t="s">
        <v>118</v>
      </c>
      <c r="C6" s="50" t="s">
        <v>119</v>
      </c>
      <c r="D6" s="50">
        <v>1876</v>
      </c>
      <c r="E6" s="50" t="s">
        <v>120</v>
      </c>
      <c r="F6" s="50" t="s">
        <v>97</v>
      </c>
      <c r="G6" s="50" t="s">
        <v>121</v>
      </c>
      <c r="H6" s="51">
        <v>6900</v>
      </c>
      <c r="I6" s="51" t="s">
        <v>122</v>
      </c>
      <c r="J6" s="51" t="s">
        <v>123</v>
      </c>
      <c r="K6" s="51" t="s">
        <v>124</v>
      </c>
      <c r="L6" s="51" t="s">
        <v>125</v>
      </c>
      <c r="M6" s="51" t="s">
        <v>126</v>
      </c>
      <c r="N6" s="52">
        <v>3744</v>
      </c>
      <c r="O6" s="53">
        <v>0.79326923076923073</v>
      </c>
      <c r="P6" s="53">
        <v>0.12366452991452992</v>
      </c>
      <c r="Q6" s="53">
        <v>1.3354700854700854E-2</v>
      </c>
      <c r="R6" s="53">
        <v>6.4102564102564097E-2</v>
      </c>
      <c r="S6" s="53">
        <v>5.608974358974359E-3</v>
      </c>
      <c r="T6" s="52">
        <v>6731</v>
      </c>
      <c r="U6" s="54">
        <v>0.86673999999999995</v>
      </c>
      <c r="V6" s="54">
        <v>5.883E-2</v>
      </c>
      <c r="W6" s="54">
        <v>2.8080000000000001E-2</v>
      </c>
      <c r="X6" s="54">
        <v>3.372E-2</v>
      </c>
      <c r="Y6" s="54">
        <v>1.2628E-2</v>
      </c>
      <c r="Z6" s="52">
        <v>1008</v>
      </c>
      <c r="AA6" s="54">
        <v>0.82043999999999995</v>
      </c>
      <c r="AB6" s="54">
        <v>5.357E-2</v>
      </c>
      <c r="AC6" s="54">
        <v>4.1669999999999999E-2</v>
      </c>
      <c r="AD6" s="54">
        <v>6.8449999999999997E-2</v>
      </c>
      <c r="AE6" s="54">
        <v>1.5873000000000002E-2</v>
      </c>
      <c r="AF6" s="50" t="s">
        <v>127</v>
      </c>
      <c r="AG6" s="50" t="s">
        <v>128</v>
      </c>
      <c r="AH6" s="50" t="s">
        <v>129</v>
      </c>
      <c r="AI6" s="50" t="s">
        <v>130</v>
      </c>
      <c r="AJ6" s="52">
        <v>4468</v>
      </c>
      <c r="AK6" s="54">
        <v>0.83799999999999997</v>
      </c>
      <c r="AL6" s="53">
        <v>3.5000000000000003E-2</v>
      </c>
      <c r="AM6" s="55">
        <v>8250</v>
      </c>
      <c r="AN6" s="54">
        <v>5.7299999999999999E-3</v>
      </c>
      <c r="AO6" s="54">
        <v>7.3840000000000003E-2</v>
      </c>
      <c r="AP6" s="54">
        <v>0.92615999999999998</v>
      </c>
      <c r="AQ6" s="54">
        <v>0.67099999999999993</v>
      </c>
      <c r="AR6" s="55">
        <v>8250</v>
      </c>
      <c r="AS6" s="54">
        <v>0.84945000000000004</v>
      </c>
      <c r="AT6" s="54">
        <v>5.552E-2</v>
      </c>
      <c r="AU6" s="54">
        <v>3.2849999999999997E-2</v>
      </c>
      <c r="AV6" s="54">
        <v>3.9879999999999999E-2</v>
      </c>
      <c r="AW6" s="54">
        <v>2.23E-2</v>
      </c>
      <c r="AX6" s="55">
        <v>1449</v>
      </c>
      <c r="AY6" s="55">
        <v>0</v>
      </c>
      <c r="AZ6" s="55">
        <v>1008</v>
      </c>
      <c r="BA6" s="55">
        <v>418</v>
      </c>
      <c r="BB6" s="55">
        <v>23</v>
      </c>
      <c r="BC6" s="55">
        <v>0</v>
      </c>
      <c r="BD6" s="54">
        <v>0.79157999999999995</v>
      </c>
      <c r="BE6" s="54">
        <v>5.1069999999999997E-2</v>
      </c>
      <c r="BF6" s="54">
        <v>5.4519999999999999E-2</v>
      </c>
      <c r="BG6" s="54">
        <v>6.694E-2</v>
      </c>
      <c r="BH6" s="54">
        <v>3.5889999999999998E-2</v>
      </c>
      <c r="BI6" s="56">
        <v>0.109</v>
      </c>
      <c r="BJ6" s="56">
        <v>0</v>
      </c>
      <c r="BK6" s="57">
        <v>0.40399999999999997</v>
      </c>
      <c r="BL6" s="57">
        <v>0</v>
      </c>
      <c r="BM6" s="57">
        <v>0.43200000000000005</v>
      </c>
      <c r="BN6" s="57">
        <v>0.16699999999999998</v>
      </c>
      <c r="BO6" s="58">
        <v>5.2</v>
      </c>
      <c r="BP6" s="59">
        <v>153</v>
      </c>
      <c r="BQ6" s="54">
        <v>0.87302000000000002</v>
      </c>
      <c r="BR6" s="54">
        <v>0.78400000000000003</v>
      </c>
      <c r="BS6" s="60">
        <v>6.12</v>
      </c>
      <c r="BT6" s="54">
        <v>0.56499999999999995</v>
      </c>
      <c r="BU6" s="54">
        <v>0.20100000000000001</v>
      </c>
      <c r="BV6" s="61">
        <v>425</v>
      </c>
      <c r="BW6" s="61">
        <v>198</v>
      </c>
      <c r="BX6" s="53">
        <v>0.46588235294117647</v>
      </c>
      <c r="BY6" s="59">
        <v>19</v>
      </c>
      <c r="BZ6" s="62">
        <v>7309</v>
      </c>
      <c r="CA6" s="63">
        <v>24773</v>
      </c>
      <c r="CB6" s="63">
        <v>4512</v>
      </c>
      <c r="CC6" s="63">
        <v>9831</v>
      </c>
      <c r="CD6" s="63">
        <v>6137</v>
      </c>
      <c r="CE6" s="63">
        <v>4293</v>
      </c>
      <c r="CF6" s="64">
        <v>17479.18</v>
      </c>
      <c r="CG6" s="64">
        <v>9292.59</v>
      </c>
      <c r="CH6" s="64">
        <v>3061.42</v>
      </c>
      <c r="CI6" s="63">
        <v>4592.83</v>
      </c>
      <c r="CJ6" s="63">
        <v>532.34</v>
      </c>
      <c r="CK6" s="63">
        <v>12161310</v>
      </c>
      <c r="CL6" s="63">
        <v>48814</v>
      </c>
      <c r="CM6" s="2"/>
      <c r="CN6" s="2"/>
    </row>
    <row r="7" spans="1:92" x14ac:dyDescent="0.2">
      <c r="A7" s="49">
        <v>3606</v>
      </c>
      <c r="B7" s="50" t="s">
        <v>131</v>
      </c>
      <c r="C7" s="50" t="s">
        <v>132</v>
      </c>
      <c r="D7" s="50">
        <v>1879</v>
      </c>
      <c r="E7" s="50" t="s">
        <v>133</v>
      </c>
      <c r="F7" s="50" t="s">
        <v>134</v>
      </c>
      <c r="G7" s="50"/>
      <c r="H7" s="51">
        <v>8594</v>
      </c>
      <c r="I7" s="51" t="s">
        <v>135</v>
      </c>
      <c r="J7" s="51" t="s">
        <v>136</v>
      </c>
      <c r="K7" s="51" t="s">
        <v>137</v>
      </c>
      <c r="L7" s="51" t="s">
        <v>138</v>
      </c>
      <c r="M7" s="51" t="s">
        <v>139</v>
      </c>
      <c r="N7" s="52">
        <v>6098</v>
      </c>
      <c r="O7" s="53">
        <v>0.19940964250573959</v>
      </c>
      <c r="P7" s="53">
        <v>0.33486388979993442</v>
      </c>
      <c r="Q7" s="53">
        <v>0.38750409970482125</v>
      </c>
      <c r="R7" s="53">
        <v>3.8537225319776977E-2</v>
      </c>
      <c r="S7" s="53">
        <v>3.968514266972778E-2</v>
      </c>
      <c r="T7" s="52">
        <v>16255</v>
      </c>
      <c r="U7" s="54">
        <v>0.18953999999999999</v>
      </c>
      <c r="V7" s="54">
        <v>0.1885</v>
      </c>
      <c r="W7" s="54">
        <v>0.55786000000000002</v>
      </c>
      <c r="X7" s="54">
        <v>5.1679999999999997E-2</v>
      </c>
      <c r="Y7" s="54">
        <v>1.2427000000000001E-2</v>
      </c>
      <c r="Z7" s="52">
        <v>3252</v>
      </c>
      <c r="AA7" s="54">
        <v>0.11562</v>
      </c>
      <c r="AB7" s="54">
        <v>0.16020999999999999</v>
      </c>
      <c r="AC7" s="54">
        <v>0.66666999999999998</v>
      </c>
      <c r="AD7" s="54">
        <v>4.2130000000000001E-2</v>
      </c>
      <c r="AE7" s="54">
        <v>1.5375E-2</v>
      </c>
      <c r="AF7" s="50" t="s">
        <v>140</v>
      </c>
      <c r="AG7" s="50" t="s">
        <v>141</v>
      </c>
      <c r="AH7" s="50" t="s">
        <v>116</v>
      </c>
      <c r="AI7" s="50" t="s">
        <v>142</v>
      </c>
      <c r="AJ7" s="52">
        <v>8238</v>
      </c>
      <c r="AK7" s="54">
        <v>0.74</v>
      </c>
      <c r="AL7" s="53">
        <v>0.11599999999999999</v>
      </c>
      <c r="AM7" s="55">
        <v>19210</v>
      </c>
      <c r="AN7" s="54">
        <v>0.15639</v>
      </c>
      <c r="AO7" s="54">
        <v>0.17816000000000001</v>
      </c>
      <c r="AP7" s="54">
        <v>0.82184000000000001</v>
      </c>
      <c r="AQ7" s="54">
        <v>0.39299999999999996</v>
      </c>
      <c r="AR7" s="55">
        <v>19210</v>
      </c>
      <c r="AS7" s="54">
        <v>0.18157000000000001</v>
      </c>
      <c r="AT7" s="54">
        <v>0.18329000000000001</v>
      </c>
      <c r="AU7" s="54">
        <v>0.56476000000000004</v>
      </c>
      <c r="AV7" s="54">
        <v>5.2060000000000002E-2</v>
      </c>
      <c r="AW7" s="54">
        <v>1.8319999999999999E-2</v>
      </c>
      <c r="AX7" s="55">
        <v>4171</v>
      </c>
      <c r="AY7" s="55">
        <v>0</v>
      </c>
      <c r="AZ7" s="55">
        <v>3252</v>
      </c>
      <c r="BA7" s="55">
        <v>864</v>
      </c>
      <c r="BB7" s="55">
        <v>55</v>
      </c>
      <c r="BC7" s="55">
        <v>0</v>
      </c>
      <c r="BD7" s="54">
        <v>0.11316</v>
      </c>
      <c r="BE7" s="54">
        <v>0.15679999999999999</v>
      </c>
      <c r="BF7" s="54">
        <v>0.65644000000000002</v>
      </c>
      <c r="BG7" s="54">
        <v>5.1790000000000003E-2</v>
      </c>
      <c r="BH7" s="54">
        <v>2.1819999999999999E-2</v>
      </c>
      <c r="BI7" s="56">
        <v>0.28199999999999997</v>
      </c>
      <c r="BJ7" s="56">
        <v>0.128</v>
      </c>
      <c r="BK7" s="57">
        <v>0.59499999999999997</v>
      </c>
      <c r="BL7" s="57">
        <v>0.48</v>
      </c>
      <c r="BM7" s="57">
        <v>0.628</v>
      </c>
      <c r="BN7" s="57">
        <v>0.47399999999999998</v>
      </c>
      <c r="BO7" s="58">
        <v>5.0999999999999996</v>
      </c>
      <c r="BP7" s="59">
        <v>143</v>
      </c>
      <c r="BQ7" s="54">
        <v>0.73246999999999995</v>
      </c>
      <c r="BR7" s="54">
        <v>0.80599999999999994</v>
      </c>
      <c r="BS7" s="60">
        <v>4.17</v>
      </c>
      <c r="BT7" s="54">
        <v>0.60299999999999998</v>
      </c>
      <c r="BU7" s="54">
        <v>0.43700000000000006</v>
      </c>
      <c r="BV7" s="61">
        <v>861</v>
      </c>
      <c r="BW7" s="61">
        <v>472</v>
      </c>
      <c r="BX7" s="53">
        <v>0.54819976771196288</v>
      </c>
      <c r="BY7" s="59">
        <v>24</v>
      </c>
      <c r="BZ7" s="62">
        <v>15819</v>
      </c>
      <c r="CA7" s="63">
        <v>14334</v>
      </c>
      <c r="CB7" s="63">
        <v>6036</v>
      </c>
      <c r="CC7" s="63">
        <v>4494</v>
      </c>
      <c r="CD7" s="63">
        <v>2125</v>
      </c>
      <c r="CE7" s="63">
        <v>1679</v>
      </c>
      <c r="CF7" s="64">
        <v>11921.47</v>
      </c>
      <c r="CG7" s="64">
        <v>7004.48</v>
      </c>
      <c r="CH7" s="64">
        <v>2079.61</v>
      </c>
      <c r="CI7" s="63">
        <v>2541.75</v>
      </c>
      <c r="CJ7" s="63">
        <v>295.63</v>
      </c>
      <c r="CK7" s="63">
        <v>5105124</v>
      </c>
      <c r="CL7" s="63">
        <v>6829</v>
      </c>
      <c r="CM7" s="2"/>
      <c r="CN7" s="2"/>
    </row>
    <row r="8" spans="1:92" x14ac:dyDescent="0.2">
      <c r="A8" s="49">
        <v>3624</v>
      </c>
      <c r="B8" s="50" t="s">
        <v>143</v>
      </c>
      <c r="C8" s="50" t="s">
        <v>144</v>
      </c>
      <c r="D8" s="50">
        <v>1923</v>
      </c>
      <c r="E8" s="50" t="s">
        <v>145</v>
      </c>
      <c r="F8" s="50" t="s">
        <v>97</v>
      </c>
      <c r="G8" s="50"/>
      <c r="H8" s="51">
        <v>8458</v>
      </c>
      <c r="I8" s="51" t="s">
        <v>146</v>
      </c>
      <c r="J8" s="51" t="s">
        <v>147</v>
      </c>
      <c r="K8" s="51" t="s">
        <v>148</v>
      </c>
      <c r="L8" s="51" t="s">
        <v>149</v>
      </c>
      <c r="M8" s="51" t="s">
        <v>150</v>
      </c>
      <c r="N8" s="52">
        <v>6804</v>
      </c>
      <c r="O8" s="53">
        <v>0.20267489711934156</v>
      </c>
      <c r="P8" s="53">
        <v>0.2707231040564374</v>
      </c>
      <c r="Q8" s="53">
        <v>0.44488536155202824</v>
      </c>
      <c r="R8" s="53">
        <v>4.3062904174015287E-2</v>
      </c>
      <c r="S8" s="53">
        <v>3.8653733098177545E-2</v>
      </c>
      <c r="T8" s="52">
        <v>10925</v>
      </c>
      <c r="U8" s="54">
        <v>0.22938</v>
      </c>
      <c r="V8" s="54">
        <v>0.13703000000000001</v>
      </c>
      <c r="W8" s="54">
        <v>0.57345999999999997</v>
      </c>
      <c r="X8" s="54">
        <v>5.3269999999999998E-2</v>
      </c>
      <c r="Y8" s="54">
        <v>6.8649999999999996E-3</v>
      </c>
      <c r="Z8" s="52">
        <v>2059</v>
      </c>
      <c r="AA8" s="54">
        <v>0.19378000000000001</v>
      </c>
      <c r="AB8" s="54">
        <v>8.8880000000000001E-2</v>
      </c>
      <c r="AC8" s="54">
        <v>0.66974</v>
      </c>
      <c r="AD8" s="54">
        <v>3.7400000000000003E-2</v>
      </c>
      <c r="AE8" s="54">
        <v>1.0199E-2</v>
      </c>
      <c r="AF8" s="50" t="s">
        <v>151</v>
      </c>
      <c r="AG8" s="50" t="s">
        <v>152</v>
      </c>
      <c r="AH8" s="50" t="s">
        <v>116</v>
      </c>
      <c r="AI8" s="50" t="s">
        <v>153</v>
      </c>
      <c r="AJ8" s="52">
        <v>9568</v>
      </c>
      <c r="AK8" s="54">
        <v>0.71099999999999997</v>
      </c>
      <c r="AL8" s="53">
        <v>0.13800000000000001</v>
      </c>
      <c r="AM8" s="55">
        <v>12584</v>
      </c>
      <c r="AN8" s="54">
        <v>6.0240000000000002E-2</v>
      </c>
      <c r="AO8" s="54">
        <v>0.16100999999999999</v>
      </c>
      <c r="AP8" s="54">
        <v>0.83899000000000001</v>
      </c>
      <c r="AQ8" s="54">
        <v>0.45799999999999996</v>
      </c>
      <c r="AR8" s="55">
        <v>12584</v>
      </c>
      <c r="AS8" s="54">
        <v>0.22131000000000001</v>
      </c>
      <c r="AT8" s="54">
        <v>0.13072</v>
      </c>
      <c r="AU8" s="54">
        <v>0.5867</v>
      </c>
      <c r="AV8" s="54">
        <v>5.1650000000000001E-2</v>
      </c>
      <c r="AW8" s="54">
        <v>9.6200000000000001E-3</v>
      </c>
      <c r="AX8" s="55">
        <v>2602</v>
      </c>
      <c r="AY8" s="55">
        <v>0</v>
      </c>
      <c r="AZ8" s="55">
        <v>2059</v>
      </c>
      <c r="BA8" s="55">
        <v>527</v>
      </c>
      <c r="BB8" s="55">
        <v>16</v>
      </c>
      <c r="BC8" s="55">
        <v>0</v>
      </c>
      <c r="BD8" s="54">
        <v>0.18332000000000001</v>
      </c>
      <c r="BE8" s="54">
        <v>8.6470000000000005E-2</v>
      </c>
      <c r="BF8" s="54">
        <v>0.67832000000000003</v>
      </c>
      <c r="BG8" s="54">
        <v>3.8429999999999999E-2</v>
      </c>
      <c r="BH8" s="54">
        <v>1.345E-2</v>
      </c>
      <c r="BI8" s="56">
        <v>0.247</v>
      </c>
      <c r="BJ8" s="56">
        <v>0</v>
      </c>
      <c r="BK8" s="57">
        <v>0.51500000000000001</v>
      </c>
      <c r="BL8" s="57">
        <v>8.3000000000000004E-2</v>
      </c>
      <c r="BM8" s="57">
        <v>0.64800000000000002</v>
      </c>
      <c r="BN8" s="57">
        <v>0.19</v>
      </c>
      <c r="BO8" s="58">
        <v>4.7</v>
      </c>
      <c r="BP8" s="59">
        <v>139</v>
      </c>
      <c r="BQ8" s="54">
        <v>0.76105</v>
      </c>
      <c r="BR8" s="54">
        <v>0.82099999999999995</v>
      </c>
      <c r="BS8" s="60">
        <v>4.72</v>
      </c>
      <c r="BT8" s="54">
        <v>0.55500000000000005</v>
      </c>
      <c r="BU8" s="54">
        <v>0.29399999999999998</v>
      </c>
      <c r="BV8" s="61">
        <v>662</v>
      </c>
      <c r="BW8" s="61">
        <v>370</v>
      </c>
      <c r="BX8" s="53">
        <v>0.55891238670694865</v>
      </c>
      <c r="BY8" s="59">
        <v>19</v>
      </c>
      <c r="BZ8" s="62">
        <v>11124</v>
      </c>
      <c r="CA8" s="63">
        <v>15650</v>
      </c>
      <c r="CB8" s="63">
        <v>6130</v>
      </c>
      <c r="CC8" s="63">
        <v>6003</v>
      </c>
      <c r="CD8" s="63">
        <v>2457</v>
      </c>
      <c r="CE8" s="63">
        <v>1060</v>
      </c>
      <c r="CF8" s="64">
        <v>12517.47</v>
      </c>
      <c r="CG8" s="64">
        <v>6966.56</v>
      </c>
      <c r="CH8" s="64">
        <v>2462.17</v>
      </c>
      <c r="CI8" s="63">
        <v>2861.45</v>
      </c>
      <c r="CJ8" s="63">
        <v>227.29</v>
      </c>
      <c r="CK8" s="63">
        <v>4391116</v>
      </c>
      <c r="CL8" s="63">
        <v>5049</v>
      </c>
      <c r="CM8" s="2"/>
      <c r="CN8" s="2"/>
    </row>
    <row r="9" spans="1:92" x14ac:dyDescent="0.2">
      <c r="A9" s="49">
        <v>3625</v>
      </c>
      <c r="B9" s="50" t="s">
        <v>154</v>
      </c>
      <c r="C9" s="50" t="s">
        <v>155</v>
      </c>
      <c r="D9" s="50">
        <v>1917</v>
      </c>
      <c r="E9" s="50" t="s">
        <v>156</v>
      </c>
      <c r="F9" s="50" t="s">
        <v>83</v>
      </c>
      <c r="G9" s="50" t="s">
        <v>84</v>
      </c>
      <c r="H9" s="51">
        <v>6600</v>
      </c>
      <c r="I9" s="51" t="s">
        <v>157</v>
      </c>
      <c r="J9" s="51" t="s">
        <v>158</v>
      </c>
      <c r="K9" s="51" t="s">
        <v>159</v>
      </c>
      <c r="L9" s="51" t="s">
        <v>160</v>
      </c>
      <c r="M9" s="51" t="s">
        <v>161</v>
      </c>
      <c r="N9" s="52">
        <v>878</v>
      </c>
      <c r="O9" s="53">
        <v>9.9088838268792709E-2</v>
      </c>
      <c r="P9" s="53">
        <v>0.61731207289293855</v>
      </c>
      <c r="Q9" s="53">
        <v>0.23006833712984054</v>
      </c>
      <c r="R9" s="53">
        <v>2.2779043280182234E-2</v>
      </c>
      <c r="S9" s="53">
        <v>3.0751708428246014E-2</v>
      </c>
      <c r="T9" s="52">
        <v>1312</v>
      </c>
      <c r="U9" s="54">
        <v>0.11357</v>
      </c>
      <c r="V9" s="54">
        <v>0.47560999999999998</v>
      </c>
      <c r="W9" s="54">
        <v>0.36814000000000002</v>
      </c>
      <c r="X9" s="54">
        <v>3.5819999999999998E-2</v>
      </c>
      <c r="Y9" s="54">
        <v>6.8599999999999998E-3</v>
      </c>
      <c r="Z9" s="52">
        <v>203</v>
      </c>
      <c r="AA9" s="54">
        <v>6.404E-2</v>
      </c>
      <c r="AB9" s="54">
        <v>0.41871999999999998</v>
      </c>
      <c r="AC9" s="54">
        <v>0.45319999999999999</v>
      </c>
      <c r="AD9" s="54">
        <v>6.404E-2</v>
      </c>
      <c r="AE9" s="54">
        <v>0</v>
      </c>
      <c r="AF9" s="50" t="s">
        <v>162</v>
      </c>
      <c r="AG9" s="50" t="s">
        <v>163</v>
      </c>
      <c r="AH9" s="50" t="s">
        <v>164</v>
      </c>
      <c r="AI9" s="50" t="s">
        <v>165</v>
      </c>
      <c r="AJ9" s="52">
        <v>932</v>
      </c>
      <c r="AK9" s="54">
        <v>0.94200000000000006</v>
      </c>
      <c r="AL9" s="53">
        <v>3.9E-2</v>
      </c>
      <c r="AM9" s="55">
        <v>1889</v>
      </c>
      <c r="AN9" s="54">
        <v>2.6069999999999999E-2</v>
      </c>
      <c r="AO9" s="54">
        <v>0.20579</v>
      </c>
      <c r="AP9" s="54">
        <v>0.79420999999999997</v>
      </c>
      <c r="AQ9" s="54">
        <v>0.58899999999999997</v>
      </c>
      <c r="AR9" s="55">
        <v>1889</v>
      </c>
      <c r="AS9" s="54">
        <v>8.7349999999999997E-2</v>
      </c>
      <c r="AT9" s="54">
        <v>0.47855999999999999</v>
      </c>
      <c r="AU9" s="54">
        <v>0.39545000000000002</v>
      </c>
      <c r="AV9" s="54">
        <v>3.0700000000000002E-2</v>
      </c>
      <c r="AW9" s="54">
        <v>7.9399999999999991E-3</v>
      </c>
      <c r="AX9" s="55">
        <v>354</v>
      </c>
      <c r="AY9" s="55">
        <v>1</v>
      </c>
      <c r="AZ9" s="55">
        <v>202</v>
      </c>
      <c r="BA9" s="55">
        <v>151</v>
      </c>
      <c r="BB9" s="55">
        <v>0</v>
      </c>
      <c r="BC9" s="55">
        <v>0</v>
      </c>
      <c r="BD9" s="54">
        <v>6.7799999999999999E-2</v>
      </c>
      <c r="BE9" s="54">
        <v>0.42654999999999998</v>
      </c>
      <c r="BF9" s="54">
        <v>0.45479999999999998</v>
      </c>
      <c r="BG9" s="54">
        <v>5.0849999999999999E-2</v>
      </c>
      <c r="BH9" s="54">
        <v>0</v>
      </c>
      <c r="BI9" s="56">
        <v>0.11800000000000001</v>
      </c>
      <c r="BJ9" s="56">
        <v>0</v>
      </c>
      <c r="BK9" s="57">
        <v>0.312</v>
      </c>
      <c r="BL9" s="57">
        <v>8.3000000000000004E-2</v>
      </c>
      <c r="BM9" s="57">
        <v>0.35200000000000004</v>
      </c>
      <c r="BN9" s="57">
        <v>0</v>
      </c>
      <c r="BO9" s="58">
        <v>5.0999999999999996</v>
      </c>
      <c r="BP9" s="59">
        <v>144</v>
      </c>
      <c r="BQ9" s="54">
        <v>0.86634</v>
      </c>
      <c r="BR9" s="54">
        <v>0.79400000000000004</v>
      </c>
      <c r="BS9" s="60">
        <v>5.26</v>
      </c>
      <c r="BT9" s="54">
        <v>0.59699999999999998</v>
      </c>
      <c r="BU9" s="54">
        <v>0.22399999999999998</v>
      </c>
      <c r="BV9" s="61">
        <v>134</v>
      </c>
      <c r="BW9" s="61">
        <v>73</v>
      </c>
      <c r="BX9" s="53">
        <v>0.54477611940298509</v>
      </c>
      <c r="BY9" s="59">
        <v>13</v>
      </c>
      <c r="BZ9" s="62">
        <v>2048</v>
      </c>
      <c r="CA9" s="63">
        <v>24920</v>
      </c>
      <c r="CB9" s="63">
        <v>5229</v>
      </c>
      <c r="CC9" s="63">
        <v>11846</v>
      </c>
      <c r="CD9" s="63">
        <v>5661</v>
      </c>
      <c r="CE9" s="63">
        <v>2184</v>
      </c>
      <c r="CF9" s="64">
        <v>21658.99</v>
      </c>
      <c r="CG9" s="64">
        <v>9538.08</v>
      </c>
      <c r="CH9" s="64">
        <v>5277.57</v>
      </c>
      <c r="CI9" s="63">
        <v>5923.86</v>
      </c>
      <c r="CJ9" s="63">
        <v>919.48</v>
      </c>
      <c r="CK9" s="63">
        <v>1198510</v>
      </c>
      <c r="CL9" s="63">
        <v>9658</v>
      </c>
      <c r="CM9" s="2"/>
      <c r="CN9" s="2"/>
    </row>
    <row r="10" spans="1:92" ht="12.75" customHeight="1" x14ac:dyDescent="0.2">
      <c r="A10" s="49">
        <v>20</v>
      </c>
      <c r="B10" s="50" t="s">
        <v>166</v>
      </c>
      <c r="C10" s="50" t="s">
        <v>167</v>
      </c>
      <c r="D10" s="50">
        <v>1974</v>
      </c>
      <c r="E10" s="50" t="s">
        <v>168</v>
      </c>
      <c r="F10" s="50" t="s">
        <v>83</v>
      </c>
      <c r="G10" s="50" t="s">
        <v>84</v>
      </c>
      <c r="H10" s="51">
        <v>4446</v>
      </c>
      <c r="I10" s="51" t="s">
        <v>169</v>
      </c>
      <c r="J10" s="51" t="s">
        <v>170</v>
      </c>
      <c r="K10" s="51" t="s">
        <v>171</v>
      </c>
      <c r="L10" s="51" t="s">
        <v>161</v>
      </c>
      <c r="M10" s="51" t="s">
        <v>172</v>
      </c>
      <c r="N10" s="65" t="s">
        <v>173</v>
      </c>
      <c r="O10" s="65" t="s">
        <v>173</v>
      </c>
      <c r="P10" s="65" t="s">
        <v>173</v>
      </c>
      <c r="Q10" s="65" t="s">
        <v>173</v>
      </c>
      <c r="R10" s="65" t="s">
        <v>173</v>
      </c>
      <c r="S10" s="65" t="s">
        <v>173</v>
      </c>
      <c r="T10" s="52">
        <v>702</v>
      </c>
      <c r="U10" s="54">
        <v>2.8500000000000001E-3</v>
      </c>
      <c r="V10" s="54">
        <v>0.90027999999999997</v>
      </c>
      <c r="W10" s="54">
        <v>6.268E-2</v>
      </c>
      <c r="X10" s="54">
        <v>3.4189999999999998E-2</v>
      </c>
      <c r="Y10" s="54">
        <v>0</v>
      </c>
      <c r="Z10" s="52">
        <v>151</v>
      </c>
      <c r="AA10" s="54">
        <v>0</v>
      </c>
      <c r="AB10" s="54">
        <v>0.88078999999999996</v>
      </c>
      <c r="AC10" s="54">
        <v>9.2719999999999997E-2</v>
      </c>
      <c r="AD10" s="54">
        <v>2.649E-2</v>
      </c>
      <c r="AE10" s="54">
        <v>0</v>
      </c>
      <c r="AF10" s="66" t="s">
        <v>173</v>
      </c>
      <c r="AG10" s="66" t="s">
        <v>173</v>
      </c>
      <c r="AH10" s="66" t="s">
        <v>173</v>
      </c>
      <c r="AI10" s="66" t="s">
        <v>173</v>
      </c>
      <c r="AJ10" s="67" t="s">
        <v>173</v>
      </c>
      <c r="AK10" s="67" t="s">
        <v>173</v>
      </c>
      <c r="AL10" s="67" t="s">
        <v>173</v>
      </c>
      <c r="AM10" s="55">
        <v>976</v>
      </c>
      <c r="AN10" s="54">
        <v>3.9399999999999998E-2</v>
      </c>
      <c r="AO10" s="54">
        <v>0.75783</v>
      </c>
      <c r="AP10" s="54">
        <v>0.24217</v>
      </c>
      <c r="AQ10" s="54">
        <v>0.76800000000000002</v>
      </c>
      <c r="AR10" s="55">
        <v>976</v>
      </c>
      <c r="AS10" s="54">
        <v>3.0699999999999998E-3</v>
      </c>
      <c r="AT10" s="54">
        <v>0.86680000000000001</v>
      </c>
      <c r="AU10" s="54">
        <v>8.0939999999999998E-2</v>
      </c>
      <c r="AV10" s="54">
        <v>4.9180000000000001E-2</v>
      </c>
      <c r="AW10" s="54">
        <v>0</v>
      </c>
      <c r="AX10" s="55">
        <v>194</v>
      </c>
      <c r="AY10" s="55">
        <v>0</v>
      </c>
      <c r="AZ10" s="55">
        <v>151</v>
      </c>
      <c r="BA10" s="55">
        <v>43</v>
      </c>
      <c r="BB10" s="55">
        <v>0</v>
      </c>
      <c r="BC10" s="55">
        <v>0</v>
      </c>
      <c r="BD10" s="54">
        <v>5.1500000000000001E-3</v>
      </c>
      <c r="BE10" s="54">
        <v>0.88660000000000005</v>
      </c>
      <c r="BF10" s="54">
        <v>8.763E-2</v>
      </c>
      <c r="BG10" s="54">
        <v>2.0619999999999999E-2</v>
      </c>
      <c r="BH10" s="54">
        <v>0</v>
      </c>
      <c r="BI10" s="56" t="s">
        <v>173</v>
      </c>
      <c r="BJ10" s="56" t="s">
        <v>173</v>
      </c>
      <c r="BK10" s="56" t="s">
        <v>173</v>
      </c>
      <c r="BL10" s="56" t="s">
        <v>173</v>
      </c>
      <c r="BM10" s="56" t="s">
        <v>173</v>
      </c>
      <c r="BN10" s="56" t="s">
        <v>173</v>
      </c>
      <c r="BO10" s="58">
        <v>6.3</v>
      </c>
      <c r="BP10" s="59">
        <v>150</v>
      </c>
      <c r="BQ10" s="54">
        <v>0.88078999999999996</v>
      </c>
      <c r="BR10" s="54">
        <v>0.877</v>
      </c>
      <c r="BS10" s="60">
        <v>2.69</v>
      </c>
      <c r="BT10" s="54">
        <v>0.34299999999999997</v>
      </c>
      <c r="BU10" s="54">
        <v>0.70900000000000007</v>
      </c>
      <c r="BV10" s="61">
        <v>35</v>
      </c>
      <c r="BW10" s="61">
        <v>27</v>
      </c>
      <c r="BX10" s="53">
        <v>0.77142857142857146</v>
      </c>
      <c r="BY10" s="59">
        <v>16</v>
      </c>
      <c r="BZ10" s="140" t="s">
        <v>174</v>
      </c>
      <c r="CA10" s="140"/>
      <c r="CB10" s="140"/>
      <c r="CC10" s="140"/>
      <c r="CD10" s="140"/>
      <c r="CE10" s="140"/>
      <c r="CF10" s="141" t="s">
        <v>174</v>
      </c>
      <c r="CG10" s="141"/>
      <c r="CH10" s="141"/>
      <c r="CI10" s="141"/>
      <c r="CJ10" s="141"/>
      <c r="CK10" s="142" t="s">
        <v>175</v>
      </c>
      <c r="CL10" s="142"/>
      <c r="CM10" s="3"/>
      <c r="CN10" s="3"/>
    </row>
    <row r="11" spans="1:92" x14ac:dyDescent="0.2">
      <c r="A11" s="49">
        <v>3631</v>
      </c>
      <c r="B11" s="50" t="s">
        <v>176</v>
      </c>
      <c r="C11" s="50" t="s">
        <v>177</v>
      </c>
      <c r="D11" s="50">
        <v>1899</v>
      </c>
      <c r="E11" s="50" t="s">
        <v>178</v>
      </c>
      <c r="F11" s="50" t="s">
        <v>97</v>
      </c>
      <c r="G11" s="50"/>
      <c r="H11" s="51">
        <v>6659</v>
      </c>
      <c r="I11" s="51" t="s">
        <v>179</v>
      </c>
      <c r="J11" s="51" t="s">
        <v>180</v>
      </c>
      <c r="K11" s="51" t="s">
        <v>181</v>
      </c>
      <c r="L11" s="51" t="s">
        <v>182</v>
      </c>
      <c r="M11" s="51" t="s">
        <v>183</v>
      </c>
      <c r="N11" s="52">
        <v>4000</v>
      </c>
      <c r="O11" s="53">
        <v>9.9250000000000005E-2</v>
      </c>
      <c r="P11" s="53">
        <v>0.22325</v>
      </c>
      <c r="Q11" s="53">
        <v>0.63649999999999995</v>
      </c>
      <c r="R11" s="53">
        <v>3.875E-2</v>
      </c>
      <c r="S11" s="53">
        <v>2.2499999999999998E-3</v>
      </c>
      <c r="T11" s="52">
        <v>9448</v>
      </c>
      <c r="U11" s="54">
        <v>7.6420000000000002E-2</v>
      </c>
      <c r="V11" s="54">
        <v>0.14510999999999999</v>
      </c>
      <c r="W11" s="54">
        <v>0.73231999999999997</v>
      </c>
      <c r="X11" s="54">
        <v>4.1070000000000002E-2</v>
      </c>
      <c r="Y11" s="54">
        <v>5.0800000000000003E-3</v>
      </c>
      <c r="Z11" s="52">
        <v>1866</v>
      </c>
      <c r="AA11" s="54">
        <v>5.3589999999999999E-2</v>
      </c>
      <c r="AB11" s="54">
        <v>0.10289</v>
      </c>
      <c r="AC11" s="54">
        <v>0.78939000000000004</v>
      </c>
      <c r="AD11" s="54">
        <v>5.0380000000000001E-2</v>
      </c>
      <c r="AE11" s="54">
        <v>3.751E-3</v>
      </c>
      <c r="AF11" s="50" t="s">
        <v>184</v>
      </c>
      <c r="AG11" s="50" t="s">
        <v>185</v>
      </c>
      <c r="AH11" s="50" t="s">
        <v>92</v>
      </c>
      <c r="AI11" s="50" t="s">
        <v>186</v>
      </c>
      <c r="AJ11" s="52">
        <v>5026</v>
      </c>
      <c r="AK11" s="54">
        <v>0.79599999999999993</v>
      </c>
      <c r="AL11" s="53">
        <v>7.9000000000000001E-2</v>
      </c>
      <c r="AM11" s="55">
        <v>10937</v>
      </c>
      <c r="AN11" s="54">
        <v>0.13525000000000001</v>
      </c>
      <c r="AO11" s="54">
        <v>0.22120999999999999</v>
      </c>
      <c r="AP11" s="54">
        <v>0.77878999999999998</v>
      </c>
      <c r="AQ11" s="54">
        <v>0.41899999999999998</v>
      </c>
      <c r="AR11" s="55">
        <v>10937</v>
      </c>
      <c r="AS11" s="54">
        <v>7.9820000000000002E-2</v>
      </c>
      <c r="AT11" s="54">
        <v>0.13952999999999999</v>
      </c>
      <c r="AU11" s="54">
        <v>0.72945000000000004</v>
      </c>
      <c r="AV11" s="54">
        <v>4.3979999999999998E-2</v>
      </c>
      <c r="AW11" s="54">
        <v>7.2199999999999999E-3</v>
      </c>
      <c r="AX11" s="55">
        <v>2311</v>
      </c>
      <c r="AY11" s="55">
        <v>35</v>
      </c>
      <c r="AZ11" s="55">
        <v>1831</v>
      </c>
      <c r="BA11" s="55">
        <v>434</v>
      </c>
      <c r="BB11" s="55">
        <v>11</v>
      </c>
      <c r="BC11" s="55">
        <v>0</v>
      </c>
      <c r="BD11" s="54">
        <v>5.5390000000000002E-2</v>
      </c>
      <c r="BE11" s="54">
        <v>0.10038999999999999</v>
      </c>
      <c r="BF11" s="54">
        <v>0.77498999999999996</v>
      </c>
      <c r="BG11" s="54">
        <v>5.5820000000000002E-2</v>
      </c>
      <c r="BH11" s="54">
        <v>1.341E-2</v>
      </c>
      <c r="BI11" s="56">
        <v>0.26800000000000002</v>
      </c>
      <c r="BJ11" s="56">
        <v>0.04</v>
      </c>
      <c r="BK11" s="57">
        <v>0.52600000000000002</v>
      </c>
      <c r="BL11" s="57">
        <v>0.23100000000000001</v>
      </c>
      <c r="BM11" s="57">
        <v>0.53200000000000003</v>
      </c>
      <c r="BN11" s="57">
        <v>0.33299999999999996</v>
      </c>
      <c r="BO11" s="58">
        <v>5.2</v>
      </c>
      <c r="BP11" s="59">
        <v>141</v>
      </c>
      <c r="BQ11" s="54">
        <v>0.77717000000000003</v>
      </c>
      <c r="BR11" s="54">
        <v>0.83799999999999997</v>
      </c>
      <c r="BS11" s="60">
        <v>3.92</v>
      </c>
      <c r="BT11" s="54">
        <v>0.622</v>
      </c>
      <c r="BU11" s="54">
        <v>0.435</v>
      </c>
      <c r="BV11" s="61">
        <v>591</v>
      </c>
      <c r="BW11" s="61">
        <v>216</v>
      </c>
      <c r="BX11" s="53">
        <v>0.36548223350253806</v>
      </c>
      <c r="BY11" s="59">
        <v>20</v>
      </c>
      <c r="BZ11" s="62">
        <v>8756</v>
      </c>
      <c r="CA11" s="63">
        <v>14712</v>
      </c>
      <c r="CB11" s="63">
        <v>5126</v>
      </c>
      <c r="CC11" s="63">
        <v>4909</v>
      </c>
      <c r="CD11" s="63">
        <v>3239</v>
      </c>
      <c r="CE11" s="63">
        <v>1438</v>
      </c>
      <c r="CF11" s="64">
        <v>12293.66</v>
      </c>
      <c r="CG11" s="64">
        <v>6547.99</v>
      </c>
      <c r="CH11" s="64">
        <v>2604.71</v>
      </c>
      <c r="CI11" s="63">
        <v>2617.36</v>
      </c>
      <c r="CJ11" s="63">
        <v>523.61</v>
      </c>
      <c r="CK11" s="63">
        <v>8298543</v>
      </c>
      <c r="CL11" s="63">
        <v>24035</v>
      </c>
      <c r="CM11" s="2"/>
      <c r="CN11" s="2"/>
    </row>
    <row r="12" spans="1:92" x14ac:dyDescent="0.2">
      <c r="A12" s="49">
        <v>9651</v>
      </c>
      <c r="B12" s="50" t="s">
        <v>187</v>
      </c>
      <c r="C12" s="50" t="s">
        <v>188</v>
      </c>
      <c r="D12" s="50">
        <v>1969</v>
      </c>
      <c r="E12" s="50" t="s">
        <v>189</v>
      </c>
      <c r="F12" s="50" t="s">
        <v>97</v>
      </c>
      <c r="G12" s="50" t="s">
        <v>84</v>
      </c>
      <c r="H12" s="51">
        <v>7142</v>
      </c>
      <c r="I12" s="51" t="s">
        <v>190</v>
      </c>
      <c r="J12" s="51" t="s">
        <v>183</v>
      </c>
      <c r="K12" s="51" t="s">
        <v>191</v>
      </c>
      <c r="L12" s="51" t="s">
        <v>192</v>
      </c>
      <c r="M12" s="51" t="s">
        <v>193</v>
      </c>
      <c r="N12" s="52">
        <v>2128</v>
      </c>
      <c r="O12" s="53">
        <v>2.0206766917293232E-2</v>
      </c>
      <c r="P12" s="53">
        <v>0.5</v>
      </c>
      <c r="Q12" s="53">
        <v>0.30827067669172931</v>
      </c>
      <c r="R12" s="53">
        <v>0.15883458646616541</v>
      </c>
      <c r="S12" s="53">
        <v>1.2687969924812029E-2</v>
      </c>
      <c r="T12" s="52">
        <v>6585</v>
      </c>
      <c r="U12" s="54">
        <v>6.8300000000000001E-3</v>
      </c>
      <c r="V12" s="54">
        <v>0.94411999999999996</v>
      </c>
      <c r="W12" s="54">
        <v>1.7919999999999998E-2</v>
      </c>
      <c r="X12" s="54">
        <v>1.093E-2</v>
      </c>
      <c r="Y12" s="54">
        <v>2.0197E-2</v>
      </c>
      <c r="Z12" s="52">
        <v>836</v>
      </c>
      <c r="AA12" s="54">
        <v>1.316E-2</v>
      </c>
      <c r="AB12" s="54">
        <v>0.93540999999999996</v>
      </c>
      <c r="AC12" s="54">
        <v>2.1530000000000001E-2</v>
      </c>
      <c r="AD12" s="54">
        <v>1.196E-2</v>
      </c>
      <c r="AE12" s="54">
        <v>1.7943000000000001E-2</v>
      </c>
      <c r="AF12" s="50" t="s">
        <v>194</v>
      </c>
      <c r="AG12" s="50" t="s">
        <v>195</v>
      </c>
      <c r="AH12" s="50" t="s">
        <v>93</v>
      </c>
      <c r="AI12" s="50" t="s">
        <v>196</v>
      </c>
      <c r="AJ12" s="52">
        <v>2309</v>
      </c>
      <c r="AK12" s="54">
        <v>0.92200000000000004</v>
      </c>
      <c r="AL12" s="53">
        <v>0.19699999999999998</v>
      </c>
      <c r="AM12" s="55">
        <v>7431</v>
      </c>
      <c r="AN12" s="54">
        <v>0.26895000000000002</v>
      </c>
      <c r="AO12" s="54">
        <v>0.38207999999999998</v>
      </c>
      <c r="AP12" s="54">
        <v>0.61792000000000002</v>
      </c>
      <c r="AQ12" s="54">
        <v>0.6</v>
      </c>
      <c r="AR12" s="55">
        <v>7431</v>
      </c>
      <c r="AS12" s="54">
        <v>8.4799999999999997E-3</v>
      </c>
      <c r="AT12" s="54">
        <v>0.93069999999999997</v>
      </c>
      <c r="AU12" s="54">
        <v>1.9779999999999999E-2</v>
      </c>
      <c r="AV12" s="54">
        <v>1.103E-2</v>
      </c>
      <c r="AW12" s="54">
        <v>3.0009999999999998E-2</v>
      </c>
      <c r="AX12" s="55">
        <v>1110</v>
      </c>
      <c r="AY12" s="55">
        <v>0</v>
      </c>
      <c r="AZ12" s="55">
        <v>836</v>
      </c>
      <c r="BA12" s="55">
        <v>271</v>
      </c>
      <c r="BB12" s="55">
        <v>3</v>
      </c>
      <c r="BC12" s="55">
        <v>0</v>
      </c>
      <c r="BD12" s="54">
        <v>1.171E-2</v>
      </c>
      <c r="BE12" s="54">
        <v>0.89368999999999998</v>
      </c>
      <c r="BF12" s="54">
        <v>2.4320000000000001E-2</v>
      </c>
      <c r="BG12" s="54">
        <v>1.171E-2</v>
      </c>
      <c r="BH12" s="54">
        <v>5.8560000000000001E-2</v>
      </c>
      <c r="BI12" s="56">
        <v>0.20600000000000002</v>
      </c>
      <c r="BJ12" s="56">
        <v>0</v>
      </c>
      <c r="BK12" s="57">
        <v>0.51300000000000001</v>
      </c>
      <c r="BL12" s="57">
        <v>0.25</v>
      </c>
      <c r="BM12" s="57">
        <v>0.54100000000000004</v>
      </c>
      <c r="BN12" s="57">
        <v>0.36599999999999999</v>
      </c>
      <c r="BO12" s="58">
        <v>5.0999999999999996</v>
      </c>
      <c r="BP12" s="59">
        <v>145</v>
      </c>
      <c r="BQ12" s="54">
        <v>0.91268000000000005</v>
      </c>
      <c r="BR12" s="54">
        <v>0.79500000000000004</v>
      </c>
      <c r="BS12" s="60">
        <v>5.35</v>
      </c>
      <c r="BT12" s="54">
        <v>0.49700000000000005</v>
      </c>
      <c r="BU12" s="54">
        <v>0.40899999999999997</v>
      </c>
      <c r="BV12" s="61">
        <v>286</v>
      </c>
      <c r="BW12" s="61">
        <v>137</v>
      </c>
      <c r="BX12" s="53">
        <v>0.47902097902097901</v>
      </c>
      <c r="BY12" s="59">
        <v>23</v>
      </c>
      <c r="BZ12" s="62">
        <v>5101</v>
      </c>
      <c r="CA12" s="63">
        <v>20028</v>
      </c>
      <c r="CB12" s="63">
        <v>3304</v>
      </c>
      <c r="CC12" s="63">
        <v>7274</v>
      </c>
      <c r="CD12" s="63">
        <v>5778</v>
      </c>
      <c r="CE12" s="63">
        <v>3672</v>
      </c>
      <c r="CF12" s="64">
        <v>15874.48</v>
      </c>
      <c r="CG12" s="64">
        <v>8695.68</v>
      </c>
      <c r="CH12" s="64">
        <v>3595.13</v>
      </c>
      <c r="CI12" s="63">
        <v>2796.78</v>
      </c>
      <c r="CJ12" s="63">
        <v>786.88</v>
      </c>
      <c r="CK12" s="63">
        <v>3686713</v>
      </c>
      <c r="CL12" s="63">
        <v>19710</v>
      </c>
      <c r="CM12" s="2"/>
      <c r="CN12" s="2"/>
    </row>
    <row r="13" spans="1:92" x14ac:dyDescent="0.2">
      <c r="A13" s="49">
        <v>3632</v>
      </c>
      <c r="B13" s="50" t="s">
        <v>197</v>
      </c>
      <c r="C13" s="50" t="s">
        <v>198</v>
      </c>
      <c r="D13" s="50">
        <v>1876</v>
      </c>
      <c r="E13" s="50" t="s">
        <v>199</v>
      </c>
      <c r="F13" s="50" t="s">
        <v>200</v>
      </c>
      <c r="G13" s="50"/>
      <c r="H13" s="51">
        <v>9036</v>
      </c>
      <c r="I13" s="51" t="s">
        <v>201</v>
      </c>
      <c r="J13" s="51" t="s">
        <v>202</v>
      </c>
      <c r="K13" s="51" t="s">
        <v>203</v>
      </c>
      <c r="L13" s="51" t="s">
        <v>204</v>
      </c>
      <c r="M13" s="51" t="s">
        <v>205</v>
      </c>
      <c r="N13" s="52">
        <v>20745</v>
      </c>
      <c r="O13" s="53">
        <v>4.3817787418655101E-2</v>
      </c>
      <c r="P13" s="53">
        <v>0.24381778741865509</v>
      </c>
      <c r="Q13" s="53">
        <v>0.54446854663774402</v>
      </c>
      <c r="R13" s="53">
        <v>0.14909616775126536</v>
      </c>
      <c r="S13" s="53">
        <v>1.8799710773680405E-2</v>
      </c>
      <c r="T13" s="52">
        <v>41933</v>
      </c>
      <c r="U13" s="54">
        <v>3.2620000000000003E-2</v>
      </c>
      <c r="V13" s="54">
        <v>0.19822000000000001</v>
      </c>
      <c r="W13" s="54">
        <v>0.67269000000000001</v>
      </c>
      <c r="X13" s="54">
        <v>8.0750000000000002E-2</v>
      </c>
      <c r="Y13" s="54">
        <v>1.5716000000000001E-2</v>
      </c>
      <c r="Z13" s="52">
        <v>9261</v>
      </c>
      <c r="AA13" s="54">
        <v>3.3689999999999998E-2</v>
      </c>
      <c r="AB13" s="54">
        <v>0.15495</v>
      </c>
      <c r="AC13" s="54">
        <v>0.72789000000000004</v>
      </c>
      <c r="AD13" s="54">
        <v>6.9209999999999994E-2</v>
      </c>
      <c r="AE13" s="54">
        <v>1.4253E-2</v>
      </c>
      <c r="AF13" s="50" t="s">
        <v>206</v>
      </c>
      <c r="AG13" s="50" t="s">
        <v>207</v>
      </c>
      <c r="AH13" s="50" t="s">
        <v>208</v>
      </c>
      <c r="AI13" s="50" t="s">
        <v>209</v>
      </c>
      <c r="AJ13" s="52">
        <v>30065</v>
      </c>
      <c r="AK13" s="54">
        <v>0.69</v>
      </c>
      <c r="AL13" s="53">
        <v>0.54200000000000004</v>
      </c>
      <c r="AM13" s="55">
        <v>53219</v>
      </c>
      <c r="AN13" s="54">
        <v>0.10783</v>
      </c>
      <c r="AO13" s="54">
        <v>0.1014</v>
      </c>
      <c r="AP13" s="54">
        <v>0.89859999999999995</v>
      </c>
      <c r="AQ13" s="54">
        <v>0.217</v>
      </c>
      <c r="AR13" s="55">
        <v>53219</v>
      </c>
      <c r="AS13" s="54">
        <v>3.3820000000000003E-2</v>
      </c>
      <c r="AT13" s="54">
        <v>0.17560999999999999</v>
      </c>
      <c r="AU13" s="54">
        <v>0.62604000000000004</v>
      </c>
      <c r="AV13" s="54">
        <v>7.7939999999999995E-2</v>
      </c>
      <c r="AW13" s="54">
        <v>8.659E-2</v>
      </c>
      <c r="AX13" s="55">
        <v>12337</v>
      </c>
      <c r="AY13" s="55">
        <v>0</v>
      </c>
      <c r="AZ13" s="55">
        <v>9261</v>
      </c>
      <c r="BA13" s="55">
        <v>2221</v>
      </c>
      <c r="BB13" s="55">
        <v>726</v>
      </c>
      <c r="BC13" s="55">
        <v>129</v>
      </c>
      <c r="BD13" s="54">
        <v>3.4610000000000002E-2</v>
      </c>
      <c r="BE13" s="54">
        <v>0.13414999999999999</v>
      </c>
      <c r="BF13" s="54">
        <v>0.66944999999999999</v>
      </c>
      <c r="BG13" s="54">
        <v>6.6059999999999994E-2</v>
      </c>
      <c r="BH13" s="54">
        <v>9.5729999999999996E-2</v>
      </c>
      <c r="BI13" s="56">
        <v>0.53799999999999992</v>
      </c>
      <c r="BJ13" s="56">
        <v>0.40200000000000002</v>
      </c>
      <c r="BK13" s="57">
        <v>0.84799999999999998</v>
      </c>
      <c r="BL13" s="57">
        <v>0.71799999999999997</v>
      </c>
      <c r="BM13" s="57">
        <v>0.88400000000000001</v>
      </c>
      <c r="BN13" s="57">
        <v>0.88400000000000001</v>
      </c>
      <c r="BO13" s="58">
        <v>4.2</v>
      </c>
      <c r="BP13" s="59">
        <v>133</v>
      </c>
      <c r="BQ13" s="54">
        <v>0.44908999999999999</v>
      </c>
      <c r="BR13" s="54">
        <v>0.76900000000000002</v>
      </c>
      <c r="BS13" s="60">
        <v>3.87</v>
      </c>
      <c r="BT13" s="54">
        <v>0.82700000000000007</v>
      </c>
      <c r="BU13" s="54">
        <v>0.30399999999999999</v>
      </c>
      <c r="BV13" s="61">
        <v>2469</v>
      </c>
      <c r="BW13" s="61">
        <v>1691</v>
      </c>
      <c r="BX13" s="53">
        <v>0.68489266909680035</v>
      </c>
      <c r="BY13" s="59">
        <v>22</v>
      </c>
      <c r="BZ13" s="62">
        <v>44656</v>
      </c>
      <c r="CA13" s="63">
        <v>28873</v>
      </c>
      <c r="CB13" s="63">
        <v>7873</v>
      </c>
      <c r="CC13" s="63">
        <v>9064</v>
      </c>
      <c r="CD13" s="63">
        <v>2867</v>
      </c>
      <c r="CE13" s="63">
        <v>9069</v>
      </c>
      <c r="CF13" s="64">
        <v>24856.400000000001</v>
      </c>
      <c r="CG13" s="64">
        <v>17314.97</v>
      </c>
      <c r="CH13" s="64">
        <v>2698.38</v>
      </c>
      <c r="CI13" s="63">
        <v>3556.31</v>
      </c>
      <c r="CJ13" s="63">
        <v>1286.74</v>
      </c>
      <c r="CK13" s="63">
        <v>667093164</v>
      </c>
      <c r="CL13" s="63">
        <v>280418</v>
      </c>
      <c r="CM13" s="2"/>
      <c r="CN13" s="2"/>
    </row>
    <row r="14" spans="1:92" x14ac:dyDescent="0.2">
      <c r="A14" s="49">
        <v>103631</v>
      </c>
      <c r="B14" s="50" t="s">
        <v>210</v>
      </c>
      <c r="C14" s="50" t="s">
        <v>211</v>
      </c>
      <c r="D14" s="50">
        <v>2009</v>
      </c>
      <c r="E14" s="50" t="s">
        <v>212</v>
      </c>
      <c r="F14" s="50" t="s">
        <v>83</v>
      </c>
      <c r="G14" s="50"/>
      <c r="H14" s="51">
        <v>6659</v>
      </c>
      <c r="I14" s="51" t="s">
        <v>213</v>
      </c>
      <c r="J14" s="51" t="s">
        <v>214</v>
      </c>
      <c r="K14" s="51" t="s">
        <v>215</v>
      </c>
      <c r="L14" s="51" t="s">
        <v>216</v>
      </c>
      <c r="M14" s="51" t="s">
        <v>217</v>
      </c>
      <c r="N14" s="65" t="s">
        <v>173</v>
      </c>
      <c r="O14" s="65" t="s">
        <v>173</v>
      </c>
      <c r="P14" s="65" t="s">
        <v>173</v>
      </c>
      <c r="Q14" s="65" t="s">
        <v>173</v>
      </c>
      <c r="R14" s="65" t="s">
        <v>173</v>
      </c>
      <c r="S14" s="65" t="s">
        <v>173</v>
      </c>
      <c r="T14" s="52">
        <v>1751</v>
      </c>
      <c r="U14" s="54">
        <v>0.26899000000000001</v>
      </c>
      <c r="V14" s="54">
        <v>0.20959</v>
      </c>
      <c r="W14" s="54">
        <v>0.43461</v>
      </c>
      <c r="X14" s="54">
        <v>8.4519999999999998E-2</v>
      </c>
      <c r="Y14" s="54">
        <v>2.284E-3</v>
      </c>
      <c r="Z14" s="52">
        <v>480</v>
      </c>
      <c r="AA14" s="54">
        <v>0.28749999999999998</v>
      </c>
      <c r="AB14" s="54">
        <v>0.18542</v>
      </c>
      <c r="AC14" s="54">
        <v>0.40207999999999999</v>
      </c>
      <c r="AD14" s="54">
        <v>0.12292</v>
      </c>
      <c r="AE14" s="54">
        <v>2.0830000000000002E-3</v>
      </c>
      <c r="AF14" s="66" t="s">
        <v>173</v>
      </c>
      <c r="AG14" s="66" t="s">
        <v>173</v>
      </c>
      <c r="AH14" s="66" t="s">
        <v>173</v>
      </c>
      <c r="AI14" s="66" t="s">
        <v>173</v>
      </c>
      <c r="AJ14" s="65" t="s">
        <v>173</v>
      </c>
      <c r="AK14" s="65" t="s">
        <v>173</v>
      </c>
      <c r="AL14" s="65" t="s">
        <v>173</v>
      </c>
      <c r="AM14" s="55">
        <v>2404</v>
      </c>
      <c r="AN14" s="54">
        <v>0</v>
      </c>
      <c r="AO14" s="54">
        <v>0.76071</v>
      </c>
      <c r="AP14" s="54">
        <v>0.23929</v>
      </c>
      <c r="AQ14" s="54">
        <v>0.51800000000000002</v>
      </c>
      <c r="AR14" s="55">
        <v>2404</v>
      </c>
      <c r="AS14" s="54">
        <v>0.26539000000000001</v>
      </c>
      <c r="AT14" s="54">
        <v>0.18967999999999999</v>
      </c>
      <c r="AU14" s="54">
        <v>0.45216000000000001</v>
      </c>
      <c r="AV14" s="54">
        <v>9.11E-2</v>
      </c>
      <c r="AW14" s="54">
        <v>1.66E-3</v>
      </c>
      <c r="AX14" s="55">
        <v>695</v>
      </c>
      <c r="AY14" s="55">
        <v>0</v>
      </c>
      <c r="AZ14" s="55">
        <v>480</v>
      </c>
      <c r="BA14" s="55">
        <v>215</v>
      </c>
      <c r="BB14" s="55">
        <v>0</v>
      </c>
      <c r="BC14" s="55">
        <v>0</v>
      </c>
      <c r="BD14" s="54">
        <v>0.26618999999999998</v>
      </c>
      <c r="BE14" s="54">
        <v>0.16547000000000001</v>
      </c>
      <c r="BF14" s="54">
        <v>0.44891999999999999</v>
      </c>
      <c r="BG14" s="54">
        <v>0.11655</v>
      </c>
      <c r="BH14" s="54">
        <v>2.8800000000000002E-3</v>
      </c>
      <c r="BI14" s="68" t="s">
        <v>173</v>
      </c>
      <c r="BJ14" s="68" t="s">
        <v>173</v>
      </c>
      <c r="BK14" s="68" t="s">
        <v>173</v>
      </c>
      <c r="BL14" s="68" t="s">
        <v>173</v>
      </c>
      <c r="BM14" s="68" t="s">
        <v>173</v>
      </c>
      <c r="BN14" s="68" t="s">
        <v>173</v>
      </c>
      <c r="BO14" s="58">
        <v>6.7</v>
      </c>
      <c r="BP14" s="59">
        <v>145</v>
      </c>
      <c r="BQ14" s="54">
        <v>0.70833000000000002</v>
      </c>
      <c r="BR14" s="54">
        <v>0.70299999999999996</v>
      </c>
      <c r="BS14" s="60">
        <v>1.62</v>
      </c>
      <c r="BT14" s="54">
        <v>0.47899999999999998</v>
      </c>
      <c r="BU14" s="54">
        <v>0.69900000000000007</v>
      </c>
      <c r="BV14" s="61">
        <v>140</v>
      </c>
      <c r="BW14" s="61">
        <v>62</v>
      </c>
      <c r="BX14" s="53">
        <v>0.44285714285714284</v>
      </c>
      <c r="BY14" s="59">
        <v>13</v>
      </c>
      <c r="BZ14" s="62">
        <v>1678</v>
      </c>
      <c r="CA14" s="63">
        <v>17622</v>
      </c>
      <c r="CB14" s="63">
        <v>6027</v>
      </c>
      <c r="CC14" s="63">
        <v>8519</v>
      </c>
      <c r="CD14" s="63">
        <v>2359</v>
      </c>
      <c r="CE14" s="63">
        <v>717</v>
      </c>
      <c r="CF14" s="64">
        <v>16585.32</v>
      </c>
      <c r="CG14" s="64">
        <v>7244.67</v>
      </c>
      <c r="CH14" s="64">
        <v>4570.17</v>
      </c>
      <c r="CI14" s="63">
        <v>3961.24</v>
      </c>
      <c r="CJ14" s="63">
        <v>809.24</v>
      </c>
      <c r="CK14" s="63">
        <v>72788</v>
      </c>
      <c r="CL14" s="63">
        <v>198</v>
      </c>
      <c r="CM14" s="2"/>
      <c r="CN14" s="2"/>
    </row>
    <row r="15" spans="1:92" x14ac:dyDescent="0.2">
      <c r="A15" s="49">
        <v>3565</v>
      </c>
      <c r="B15" s="50" t="s">
        <v>218</v>
      </c>
      <c r="C15" s="50" t="s">
        <v>219</v>
      </c>
      <c r="D15" s="50">
        <v>1889</v>
      </c>
      <c r="E15" s="50" t="s">
        <v>220</v>
      </c>
      <c r="F15" s="50" t="s">
        <v>134</v>
      </c>
      <c r="G15" s="50"/>
      <c r="H15" s="51">
        <v>6664</v>
      </c>
      <c r="I15" s="51" t="s">
        <v>221</v>
      </c>
      <c r="J15" s="51" t="s">
        <v>222</v>
      </c>
      <c r="K15" s="51" t="s">
        <v>223</v>
      </c>
      <c r="L15" s="51" t="s">
        <v>224</v>
      </c>
      <c r="M15" s="51" t="s">
        <v>225</v>
      </c>
      <c r="N15" s="52">
        <v>2816</v>
      </c>
      <c r="O15" s="53">
        <v>0.25213068181818182</v>
      </c>
      <c r="P15" s="53">
        <v>0.24680397727272727</v>
      </c>
      <c r="Q15" s="53">
        <v>0.32954545454545453</v>
      </c>
      <c r="R15" s="53">
        <v>9.9786931818181823E-2</v>
      </c>
      <c r="S15" s="53">
        <v>7.1732954545454544E-2</v>
      </c>
      <c r="T15" s="52">
        <v>6890</v>
      </c>
      <c r="U15" s="54">
        <v>0.21103</v>
      </c>
      <c r="V15" s="54">
        <v>0.1434</v>
      </c>
      <c r="W15" s="54">
        <v>0.54905999999999999</v>
      </c>
      <c r="X15" s="54">
        <v>5.6750000000000002E-2</v>
      </c>
      <c r="Y15" s="54">
        <v>3.9767999999999998E-2</v>
      </c>
      <c r="Z15" s="52">
        <v>1518</v>
      </c>
      <c r="AA15" s="54">
        <v>0.13109000000000001</v>
      </c>
      <c r="AB15" s="54">
        <v>0.12451</v>
      </c>
      <c r="AC15" s="54">
        <v>0.68313999999999997</v>
      </c>
      <c r="AD15" s="54">
        <v>3.2939999999999997E-2</v>
      </c>
      <c r="AE15" s="54">
        <v>2.8327000000000001E-2</v>
      </c>
      <c r="AF15" s="50" t="s">
        <v>226</v>
      </c>
      <c r="AG15" s="50" t="s">
        <v>185</v>
      </c>
      <c r="AH15" s="50" t="s">
        <v>92</v>
      </c>
      <c r="AI15" s="50" t="s">
        <v>186</v>
      </c>
      <c r="AJ15" s="52">
        <v>4010</v>
      </c>
      <c r="AK15" s="54">
        <v>0.70200000000000007</v>
      </c>
      <c r="AL15" s="53">
        <v>0.13400000000000001</v>
      </c>
      <c r="AM15" s="55">
        <v>11068</v>
      </c>
      <c r="AN15" s="54">
        <v>0.25958999999999999</v>
      </c>
      <c r="AO15" s="54">
        <v>0.26183000000000001</v>
      </c>
      <c r="AP15" s="54">
        <v>0.73816999999999999</v>
      </c>
      <c r="AQ15" s="54">
        <v>0.52800000000000002</v>
      </c>
      <c r="AR15" s="55">
        <v>11068</v>
      </c>
      <c r="AS15" s="54">
        <v>0.20121</v>
      </c>
      <c r="AT15" s="54">
        <v>0.13227</v>
      </c>
      <c r="AU15" s="54">
        <v>0.53741000000000005</v>
      </c>
      <c r="AV15" s="54">
        <v>6.6860000000000003E-2</v>
      </c>
      <c r="AW15" s="54">
        <v>6.225E-2</v>
      </c>
      <c r="AX15" s="55">
        <v>3259</v>
      </c>
      <c r="AY15" s="55">
        <v>0</v>
      </c>
      <c r="AZ15" s="55">
        <v>1518</v>
      </c>
      <c r="BA15" s="55">
        <v>1647</v>
      </c>
      <c r="BB15" s="55">
        <v>94</v>
      </c>
      <c r="BC15" s="55">
        <v>0</v>
      </c>
      <c r="BD15" s="54">
        <v>0.14207</v>
      </c>
      <c r="BE15" s="54">
        <v>0.10617</v>
      </c>
      <c r="BF15" s="54">
        <v>0.57962999999999998</v>
      </c>
      <c r="BG15" s="54">
        <v>5.3999999999999999E-2</v>
      </c>
      <c r="BH15" s="54">
        <v>0.11813</v>
      </c>
      <c r="BI15" s="56">
        <v>0.245</v>
      </c>
      <c r="BJ15" s="56">
        <v>7.0999999999999994E-2</v>
      </c>
      <c r="BK15" s="57">
        <v>0.51300000000000001</v>
      </c>
      <c r="BL15" s="57">
        <v>0.28600000000000003</v>
      </c>
      <c r="BM15" s="57">
        <v>0.56700000000000006</v>
      </c>
      <c r="BN15" s="57">
        <v>0.32799999999999996</v>
      </c>
      <c r="BO15" s="58">
        <v>5.4</v>
      </c>
      <c r="BP15" s="59">
        <v>141</v>
      </c>
      <c r="BQ15" s="54">
        <v>0.76021000000000005</v>
      </c>
      <c r="BR15" s="54">
        <v>0.82799999999999996</v>
      </c>
      <c r="BS15" s="60">
        <v>3.63</v>
      </c>
      <c r="BT15" s="54">
        <v>0.624</v>
      </c>
      <c r="BU15" s="54">
        <v>0.54500000000000004</v>
      </c>
      <c r="BV15" s="61">
        <v>556</v>
      </c>
      <c r="BW15" s="61">
        <v>233</v>
      </c>
      <c r="BX15" s="53">
        <v>0.41906474820143885</v>
      </c>
      <c r="BY15" s="59">
        <v>21</v>
      </c>
      <c r="BZ15" s="62">
        <v>9022</v>
      </c>
      <c r="CA15" s="63">
        <v>15673</v>
      </c>
      <c r="CB15" s="63">
        <v>6590</v>
      </c>
      <c r="CC15" s="63">
        <v>5611</v>
      </c>
      <c r="CD15" s="63">
        <v>2180</v>
      </c>
      <c r="CE15" s="63">
        <v>1292</v>
      </c>
      <c r="CF15" s="64">
        <v>13229.99</v>
      </c>
      <c r="CG15" s="64">
        <v>7105.58</v>
      </c>
      <c r="CH15" s="64">
        <v>2841.91</v>
      </c>
      <c r="CI15" s="63">
        <v>2730.45</v>
      </c>
      <c r="CJ15" s="63">
        <v>552.04999999999995</v>
      </c>
      <c r="CK15" s="63">
        <v>2568033</v>
      </c>
      <c r="CL15" s="63">
        <v>6935</v>
      </c>
      <c r="CM15" s="2"/>
      <c r="CN15" s="2"/>
    </row>
    <row r="16" spans="1:92" x14ac:dyDescent="0.2">
      <c r="A16" s="49">
        <v>11161</v>
      </c>
      <c r="B16" s="50" t="s">
        <v>227</v>
      </c>
      <c r="C16" s="50" t="s">
        <v>228</v>
      </c>
      <c r="D16" s="50">
        <v>1971</v>
      </c>
      <c r="E16" s="50" t="s">
        <v>229</v>
      </c>
      <c r="F16" s="50" t="s">
        <v>134</v>
      </c>
      <c r="G16" s="50" t="s">
        <v>84</v>
      </c>
      <c r="H16" s="51">
        <v>7778</v>
      </c>
      <c r="I16" s="51" t="s">
        <v>230</v>
      </c>
      <c r="J16" s="51" t="s">
        <v>231</v>
      </c>
      <c r="K16" s="51" t="s">
        <v>232</v>
      </c>
      <c r="L16" s="51" t="s">
        <v>233</v>
      </c>
      <c r="M16" s="51" t="s">
        <v>234</v>
      </c>
      <c r="N16" s="52">
        <v>6440</v>
      </c>
      <c r="O16" s="53">
        <v>7.515527950310559E-2</v>
      </c>
      <c r="P16" s="53">
        <v>0.57950310559006213</v>
      </c>
      <c r="Q16" s="53">
        <v>0.27593167701863353</v>
      </c>
      <c r="R16" s="53">
        <v>4.1614906832298133E-2</v>
      </c>
      <c r="S16" s="53">
        <v>2.7795031055900622E-2</v>
      </c>
      <c r="T16" s="52">
        <v>8826</v>
      </c>
      <c r="U16" s="54">
        <v>5.9139999999999998E-2</v>
      </c>
      <c r="V16" s="54">
        <v>0.46306000000000003</v>
      </c>
      <c r="W16" s="54">
        <v>0.39768999999999999</v>
      </c>
      <c r="X16" s="54">
        <v>4.7129999999999998E-2</v>
      </c>
      <c r="Y16" s="54">
        <v>3.2971E-2</v>
      </c>
      <c r="Z16" s="52">
        <v>1464</v>
      </c>
      <c r="AA16" s="54">
        <v>4.2349999999999999E-2</v>
      </c>
      <c r="AB16" s="54">
        <v>0.40437000000000001</v>
      </c>
      <c r="AC16" s="54">
        <v>0.44808999999999999</v>
      </c>
      <c r="AD16" s="54">
        <v>5.1909999999999998E-2</v>
      </c>
      <c r="AE16" s="54">
        <v>5.3279E-2</v>
      </c>
      <c r="AF16" s="50" t="s">
        <v>226</v>
      </c>
      <c r="AG16" s="50" t="s">
        <v>185</v>
      </c>
      <c r="AH16" s="50" t="s">
        <v>235</v>
      </c>
      <c r="AI16" s="50" t="s">
        <v>93</v>
      </c>
      <c r="AJ16" s="52">
        <v>7164</v>
      </c>
      <c r="AK16" s="54">
        <v>0.89900000000000002</v>
      </c>
      <c r="AL16" s="53">
        <v>8.4000000000000005E-2</v>
      </c>
      <c r="AM16" s="55">
        <v>10913</v>
      </c>
      <c r="AN16" s="54">
        <v>0.21160999999999999</v>
      </c>
      <c r="AO16" s="54">
        <v>0.19567000000000001</v>
      </c>
      <c r="AP16" s="54">
        <v>0.80432999999999999</v>
      </c>
      <c r="AQ16" s="54">
        <v>0.45200000000000001</v>
      </c>
      <c r="AR16" s="55">
        <v>10913</v>
      </c>
      <c r="AS16" s="54">
        <v>5.7639999999999997E-2</v>
      </c>
      <c r="AT16" s="54">
        <v>0.43379000000000001</v>
      </c>
      <c r="AU16" s="54">
        <v>0.41098000000000001</v>
      </c>
      <c r="AV16" s="54">
        <v>5.04E-2</v>
      </c>
      <c r="AW16" s="54">
        <v>4.7190000000000003E-2</v>
      </c>
      <c r="AX16" s="55">
        <v>1939</v>
      </c>
      <c r="AY16" s="55">
        <v>0</v>
      </c>
      <c r="AZ16" s="55">
        <v>1464</v>
      </c>
      <c r="BA16" s="55">
        <v>449</v>
      </c>
      <c r="BB16" s="55">
        <v>26</v>
      </c>
      <c r="BC16" s="55">
        <v>0</v>
      </c>
      <c r="BD16" s="54">
        <v>4.3839999999999997E-2</v>
      </c>
      <c r="BE16" s="54">
        <v>0.38473000000000002</v>
      </c>
      <c r="BF16" s="54">
        <v>0.44817000000000001</v>
      </c>
      <c r="BG16" s="54">
        <v>5.0029999999999998E-2</v>
      </c>
      <c r="BH16" s="54">
        <v>7.3230000000000003E-2</v>
      </c>
      <c r="BI16" s="56">
        <v>0.21600000000000003</v>
      </c>
      <c r="BJ16" s="56">
        <v>2.5000000000000001E-2</v>
      </c>
      <c r="BK16" s="57">
        <v>0.501</v>
      </c>
      <c r="BL16" s="57">
        <v>0.32899999999999996</v>
      </c>
      <c r="BM16" s="57">
        <v>0.63</v>
      </c>
      <c r="BN16" s="57">
        <v>0.56499999999999995</v>
      </c>
      <c r="BO16" s="58">
        <v>5.0999999999999996</v>
      </c>
      <c r="BP16" s="59">
        <v>145</v>
      </c>
      <c r="BQ16" s="54">
        <v>0.77527000000000001</v>
      </c>
      <c r="BR16" s="54">
        <v>0.79500000000000004</v>
      </c>
      <c r="BS16" s="60">
        <v>4.97</v>
      </c>
      <c r="BT16" s="54">
        <v>0.49099999999999999</v>
      </c>
      <c r="BU16" s="54">
        <v>0.34499999999999997</v>
      </c>
      <c r="BV16" s="61">
        <v>546</v>
      </c>
      <c r="BW16" s="61">
        <v>254</v>
      </c>
      <c r="BX16" s="53">
        <v>0.46520146520146521</v>
      </c>
      <c r="BY16" s="59">
        <v>23</v>
      </c>
      <c r="BZ16" s="62">
        <v>8890</v>
      </c>
      <c r="CA16" s="63">
        <v>17464</v>
      </c>
      <c r="CB16" s="63">
        <v>5434</v>
      </c>
      <c r="CC16" s="63">
        <v>6766</v>
      </c>
      <c r="CD16" s="63">
        <v>3129</v>
      </c>
      <c r="CE16" s="63">
        <v>2135</v>
      </c>
      <c r="CF16" s="64">
        <v>14551.82</v>
      </c>
      <c r="CG16" s="64">
        <v>8582.2999999999993</v>
      </c>
      <c r="CH16" s="64">
        <v>2822.45</v>
      </c>
      <c r="CI16" s="63">
        <v>2490.81</v>
      </c>
      <c r="CJ16" s="63">
        <v>656.26</v>
      </c>
      <c r="CK16" s="63">
        <v>16562544</v>
      </c>
      <c r="CL16" s="63">
        <v>54260</v>
      </c>
      <c r="CM16" s="2"/>
      <c r="CN16" s="2"/>
    </row>
    <row r="17" spans="1:92" x14ac:dyDescent="0.2">
      <c r="A17" s="49">
        <v>10298</v>
      </c>
      <c r="B17" s="50" t="s">
        <v>236</v>
      </c>
      <c r="C17" s="50" t="s">
        <v>237</v>
      </c>
      <c r="D17" s="50">
        <v>1962</v>
      </c>
      <c r="E17" s="50" t="s">
        <v>238</v>
      </c>
      <c r="F17" s="50" t="s">
        <v>83</v>
      </c>
      <c r="G17" s="50" t="s">
        <v>239</v>
      </c>
      <c r="H17" s="51">
        <v>7805</v>
      </c>
      <c r="I17" s="51" t="s">
        <v>240</v>
      </c>
      <c r="J17" s="51" t="s">
        <v>241</v>
      </c>
      <c r="K17" s="51" t="s">
        <v>242</v>
      </c>
      <c r="L17" s="51" t="s">
        <v>243</v>
      </c>
      <c r="M17" s="51" t="s">
        <v>244</v>
      </c>
      <c r="N17" s="52">
        <v>980</v>
      </c>
      <c r="O17" s="53">
        <v>1.9387755102040816E-2</v>
      </c>
      <c r="P17" s="53">
        <v>0.18367346938775511</v>
      </c>
      <c r="Q17" s="53">
        <v>0.72857142857142854</v>
      </c>
      <c r="R17" s="53">
        <v>6.1224489795918366E-2</v>
      </c>
      <c r="S17" s="53">
        <v>7.1428571428571426E-3</v>
      </c>
      <c r="T17" s="52">
        <v>2027</v>
      </c>
      <c r="U17" s="54">
        <v>2.615E-2</v>
      </c>
      <c r="V17" s="54">
        <v>0.14899000000000001</v>
      </c>
      <c r="W17" s="54">
        <v>0.77256999999999998</v>
      </c>
      <c r="X17" s="54">
        <v>4.7849999999999997E-2</v>
      </c>
      <c r="Y17" s="54">
        <v>4.4400000000000004E-3</v>
      </c>
      <c r="Z17" s="52">
        <v>309</v>
      </c>
      <c r="AA17" s="54">
        <v>4.2070000000000003E-2</v>
      </c>
      <c r="AB17" s="54">
        <v>0.11974</v>
      </c>
      <c r="AC17" s="54">
        <v>0.76375000000000004</v>
      </c>
      <c r="AD17" s="54">
        <v>5.5019999999999999E-2</v>
      </c>
      <c r="AE17" s="54">
        <v>1.9417E-2</v>
      </c>
      <c r="AF17" s="50" t="s">
        <v>245</v>
      </c>
      <c r="AG17" s="50" t="s">
        <v>246</v>
      </c>
      <c r="AH17" s="50" t="s">
        <v>247</v>
      </c>
      <c r="AI17" s="50" t="s">
        <v>248</v>
      </c>
      <c r="AJ17" s="52">
        <v>1323</v>
      </c>
      <c r="AK17" s="54">
        <v>0.74099999999999999</v>
      </c>
      <c r="AL17" s="53">
        <v>7.2999999999999995E-2</v>
      </c>
      <c r="AM17" s="55">
        <v>2174</v>
      </c>
      <c r="AN17" s="54">
        <v>0.34864000000000001</v>
      </c>
      <c r="AO17" s="54">
        <v>7.6960000000000001E-2</v>
      </c>
      <c r="AP17" s="54">
        <v>0.92303999999999997</v>
      </c>
      <c r="AQ17" s="54">
        <v>0.247</v>
      </c>
      <c r="AR17" s="55">
        <v>2174</v>
      </c>
      <c r="AS17" s="54">
        <v>2.622E-2</v>
      </c>
      <c r="AT17" s="54">
        <v>0.14213000000000001</v>
      </c>
      <c r="AU17" s="54">
        <v>0.77507000000000004</v>
      </c>
      <c r="AV17" s="54">
        <v>4.6460000000000001E-2</v>
      </c>
      <c r="AW17" s="54">
        <v>1.0120000000000001E-2</v>
      </c>
      <c r="AX17" s="55">
        <v>328</v>
      </c>
      <c r="AY17" s="55">
        <v>0</v>
      </c>
      <c r="AZ17" s="55">
        <v>309</v>
      </c>
      <c r="BA17" s="55">
        <v>19</v>
      </c>
      <c r="BB17" s="55">
        <v>0</v>
      </c>
      <c r="BC17" s="55">
        <v>0</v>
      </c>
      <c r="BD17" s="54">
        <v>3.9629999999999999E-2</v>
      </c>
      <c r="BE17" s="54">
        <v>0.1128</v>
      </c>
      <c r="BF17" s="54">
        <v>0.77134000000000003</v>
      </c>
      <c r="BG17" s="54">
        <v>5.7930000000000002E-2</v>
      </c>
      <c r="BH17" s="54">
        <v>1.8290000000000001E-2</v>
      </c>
      <c r="BI17" s="56">
        <v>0.28000000000000003</v>
      </c>
      <c r="BJ17" s="56">
        <v>0</v>
      </c>
      <c r="BK17" s="57">
        <v>0.58399999999999996</v>
      </c>
      <c r="BL17" s="57">
        <v>0.16699999999999998</v>
      </c>
      <c r="BM17" s="57">
        <v>0.66500000000000004</v>
      </c>
      <c r="BN17" s="57">
        <v>0.5</v>
      </c>
      <c r="BO17" s="58">
        <v>4.8</v>
      </c>
      <c r="BP17" s="59">
        <v>150</v>
      </c>
      <c r="BQ17" s="54">
        <v>0.58575999999999995</v>
      </c>
      <c r="BR17" s="54">
        <v>0.65799999999999992</v>
      </c>
      <c r="BS17" s="60">
        <v>5.74</v>
      </c>
      <c r="BT17" s="54">
        <v>0.56100000000000005</v>
      </c>
      <c r="BU17" s="54">
        <v>0.20899999999999999</v>
      </c>
      <c r="BV17" s="61">
        <v>138</v>
      </c>
      <c r="BW17" s="61">
        <v>56</v>
      </c>
      <c r="BX17" s="53">
        <v>0.40579710144927539</v>
      </c>
      <c r="BY17" s="59">
        <v>17</v>
      </c>
      <c r="BZ17" s="62">
        <v>1869</v>
      </c>
      <c r="CA17" s="63">
        <v>24601</v>
      </c>
      <c r="CB17" s="63">
        <v>8563</v>
      </c>
      <c r="CC17" s="63">
        <v>10167</v>
      </c>
      <c r="CD17" s="63">
        <v>2576</v>
      </c>
      <c r="CE17" s="63">
        <v>3295</v>
      </c>
      <c r="CF17" s="64">
        <v>21207.18</v>
      </c>
      <c r="CG17" s="64">
        <v>9990.08</v>
      </c>
      <c r="CH17" s="64">
        <v>2999.92</v>
      </c>
      <c r="CI17" s="63">
        <v>6933.82</v>
      </c>
      <c r="CJ17" s="63">
        <v>1283.3599999999999</v>
      </c>
      <c r="CK17" s="63">
        <v>5279202</v>
      </c>
      <c r="CL17" s="63">
        <v>65613</v>
      </c>
      <c r="CM17" s="2"/>
      <c r="CN17" s="2"/>
    </row>
    <row r="18" spans="1:92" x14ac:dyDescent="0.2">
      <c r="A18" s="49">
        <v>3639</v>
      </c>
      <c r="B18" s="50" t="s">
        <v>249</v>
      </c>
      <c r="C18" s="50" t="s">
        <v>250</v>
      </c>
      <c r="D18" s="50">
        <v>1923</v>
      </c>
      <c r="E18" s="50" t="s">
        <v>251</v>
      </c>
      <c r="F18" s="50" t="s">
        <v>134</v>
      </c>
      <c r="G18" s="50" t="s">
        <v>84</v>
      </c>
      <c r="H18" s="51">
        <v>6940</v>
      </c>
      <c r="I18" s="51" t="s">
        <v>252</v>
      </c>
      <c r="J18" s="51" t="s">
        <v>253</v>
      </c>
      <c r="K18" s="51" t="s">
        <v>254</v>
      </c>
      <c r="L18" s="51" t="s">
        <v>255</v>
      </c>
      <c r="M18" s="51" t="s">
        <v>256</v>
      </c>
      <c r="N18" s="52">
        <v>5351</v>
      </c>
      <c r="O18" s="53">
        <v>7.5313025602691083E-2</v>
      </c>
      <c r="P18" s="53">
        <v>0.7497663988039619</v>
      </c>
      <c r="Q18" s="53">
        <v>0.12577088394692582</v>
      </c>
      <c r="R18" s="53">
        <v>2.1491310035507381E-2</v>
      </c>
      <c r="S18" s="53">
        <v>2.7658381610913847E-2</v>
      </c>
      <c r="T18" s="52">
        <v>6060</v>
      </c>
      <c r="U18" s="54">
        <v>7.0129999999999998E-2</v>
      </c>
      <c r="V18" s="54">
        <v>0.67062999999999995</v>
      </c>
      <c r="W18" s="54">
        <v>0.20280999999999999</v>
      </c>
      <c r="X18" s="54">
        <v>4.0759999999999998E-2</v>
      </c>
      <c r="Y18" s="54">
        <v>1.5677E-2</v>
      </c>
      <c r="Z18" s="52">
        <v>998</v>
      </c>
      <c r="AA18" s="54">
        <v>3.6069999999999998E-2</v>
      </c>
      <c r="AB18" s="54">
        <v>0.69438999999999995</v>
      </c>
      <c r="AC18" s="54">
        <v>0.23246</v>
      </c>
      <c r="AD18" s="54">
        <v>1.804E-2</v>
      </c>
      <c r="AE18" s="54">
        <v>1.9037999999999999E-2</v>
      </c>
      <c r="AF18" s="50" t="s">
        <v>257</v>
      </c>
      <c r="AG18" s="50" t="s">
        <v>258</v>
      </c>
      <c r="AH18" s="50" t="s">
        <v>186</v>
      </c>
      <c r="AI18" s="50" t="s">
        <v>196</v>
      </c>
      <c r="AJ18" s="52">
        <v>6661</v>
      </c>
      <c r="AK18" s="54">
        <v>0.80299999999999994</v>
      </c>
      <c r="AL18" s="53">
        <v>0.105</v>
      </c>
      <c r="AM18" s="55">
        <v>7730</v>
      </c>
      <c r="AN18" s="54">
        <v>8.3540000000000003E-2</v>
      </c>
      <c r="AO18" s="54">
        <v>0.19109000000000001</v>
      </c>
      <c r="AP18" s="54">
        <v>0.80891000000000002</v>
      </c>
      <c r="AQ18" s="54">
        <v>0.54899999999999993</v>
      </c>
      <c r="AR18" s="55">
        <v>7730</v>
      </c>
      <c r="AS18" s="54">
        <v>6.08E-2</v>
      </c>
      <c r="AT18" s="54">
        <v>0.60246</v>
      </c>
      <c r="AU18" s="54">
        <v>0.19495000000000001</v>
      </c>
      <c r="AV18" s="54">
        <v>3.7130000000000003E-2</v>
      </c>
      <c r="AW18" s="54">
        <v>0.10466</v>
      </c>
      <c r="AX18" s="55">
        <v>1459</v>
      </c>
      <c r="AY18" s="55">
        <v>0</v>
      </c>
      <c r="AZ18" s="55">
        <v>998</v>
      </c>
      <c r="BA18" s="55">
        <v>427</v>
      </c>
      <c r="BB18" s="55">
        <v>34</v>
      </c>
      <c r="BC18" s="55">
        <v>0</v>
      </c>
      <c r="BD18" s="54">
        <v>3.2210000000000003E-2</v>
      </c>
      <c r="BE18" s="54">
        <v>0.59013000000000004</v>
      </c>
      <c r="BF18" s="54">
        <v>0.21110000000000001</v>
      </c>
      <c r="BG18" s="54">
        <v>2.2620000000000001E-2</v>
      </c>
      <c r="BH18" s="54">
        <v>0.14393</v>
      </c>
      <c r="BI18" s="56">
        <v>0.187</v>
      </c>
      <c r="BJ18" s="56">
        <v>6.8000000000000005E-2</v>
      </c>
      <c r="BK18" s="57">
        <v>0.41899999999999998</v>
      </c>
      <c r="BL18" s="57">
        <v>0.23800000000000002</v>
      </c>
      <c r="BM18" s="57">
        <v>0.41200000000000003</v>
      </c>
      <c r="BN18" s="57">
        <v>0.17100000000000001</v>
      </c>
      <c r="BO18" s="58">
        <v>5</v>
      </c>
      <c r="BP18" s="59">
        <v>144</v>
      </c>
      <c r="BQ18" s="54">
        <v>0.86873999999999996</v>
      </c>
      <c r="BR18" s="54">
        <v>0.78200000000000003</v>
      </c>
      <c r="BS18" s="60">
        <v>5.12</v>
      </c>
      <c r="BT18" s="54">
        <v>0.58200000000000007</v>
      </c>
      <c r="BU18" s="54">
        <v>0.38500000000000001</v>
      </c>
      <c r="BV18" s="61">
        <v>393</v>
      </c>
      <c r="BW18" s="61">
        <v>237</v>
      </c>
      <c r="BX18" s="53">
        <v>0.60305343511450382</v>
      </c>
      <c r="BY18" s="59">
        <v>19</v>
      </c>
      <c r="BZ18" s="62">
        <v>5931</v>
      </c>
      <c r="CA18" s="63">
        <v>20043</v>
      </c>
      <c r="CB18" s="63">
        <v>4872</v>
      </c>
      <c r="CC18" s="63">
        <v>7514</v>
      </c>
      <c r="CD18" s="63">
        <v>4931</v>
      </c>
      <c r="CE18" s="63">
        <v>2726</v>
      </c>
      <c r="CF18" s="64">
        <v>17847.28</v>
      </c>
      <c r="CG18" s="64">
        <v>9524.2199999999993</v>
      </c>
      <c r="CH18" s="64">
        <v>4411.9399999999996</v>
      </c>
      <c r="CI18" s="63">
        <v>3353.78</v>
      </c>
      <c r="CJ18" s="63">
        <v>557.35</v>
      </c>
      <c r="CK18" s="63">
        <v>16904058</v>
      </c>
      <c r="CL18" s="63">
        <v>55210</v>
      </c>
      <c r="CM18" s="2"/>
      <c r="CN18" s="2"/>
    </row>
    <row r="19" spans="1:92" x14ac:dyDescent="0.2">
      <c r="A19" s="49">
        <v>103639</v>
      </c>
      <c r="B19" s="50" t="s">
        <v>259</v>
      </c>
      <c r="C19" s="50" t="s">
        <v>260</v>
      </c>
      <c r="D19" s="50">
        <v>2009</v>
      </c>
      <c r="E19" s="50" t="s">
        <v>261</v>
      </c>
      <c r="F19" s="50" t="s">
        <v>83</v>
      </c>
      <c r="G19" s="50" t="s">
        <v>84</v>
      </c>
      <c r="H19" s="51">
        <v>6751</v>
      </c>
      <c r="I19" s="51" t="s">
        <v>262</v>
      </c>
      <c r="J19" s="51" t="s">
        <v>263</v>
      </c>
      <c r="K19" s="51" t="s">
        <v>264</v>
      </c>
      <c r="L19" s="51" t="s">
        <v>265</v>
      </c>
      <c r="M19" s="51" t="s">
        <v>266</v>
      </c>
      <c r="N19" s="67" t="s">
        <v>173</v>
      </c>
      <c r="O19" s="67" t="s">
        <v>173</v>
      </c>
      <c r="P19" s="67" t="s">
        <v>173</v>
      </c>
      <c r="Q19" s="67" t="s">
        <v>173</v>
      </c>
      <c r="R19" s="67" t="s">
        <v>173</v>
      </c>
      <c r="S19" s="67" t="s">
        <v>173</v>
      </c>
      <c r="T19" s="52">
        <v>3264</v>
      </c>
      <c r="U19" s="54">
        <v>5.5759999999999997E-2</v>
      </c>
      <c r="V19" s="54">
        <v>0.68872999999999995</v>
      </c>
      <c r="W19" s="54">
        <v>0.21385000000000001</v>
      </c>
      <c r="X19" s="54">
        <v>3.5229999999999997E-2</v>
      </c>
      <c r="Y19" s="54">
        <v>6.4339999999999996E-3</v>
      </c>
      <c r="Z19" s="52">
        <v>797</v>
      </c>
      <c r="AA19" s="54">
        <v>5.8970000000000002E-2</v>
      </c>
      <c r="AB19" s="54">
        <v>0.69635999999999998</v>
      </c>
      <c r="AC19" s="54">
        <v>0.19197</v>
      </c>
      <c r="AD19" s="54">
        <v>4.6420000000000003E-2</v>
      </c>
      <c r="AE19" s="54">
        <v>6.2740000000000001E-3</v>
      </c>
      <c r="AF19" s="66" t="s">
        <v>173</v>
      </c>
      <c r="AG19" s="66" t="s">
        <v>173</v>
      </c>
      <c r="AH19" s="66" t="s">
        <v>173</v>
      </c>
      <c r="AI19" s="66" t="s">
        <v>173</v>
      </c>
      <c r="AJ19" s="67" t="s">
        <v>173</v>
      </c>
      <c r="AK19" s="67" t="s">
        <v>173</v>
      </c>
      <c r="AL19" s="67" t="s">
        <v>173</v>
      </c>
      <c r="AM19" s="55">
        <v>4512</v>
      </c>
      <c r="AN19" s="54">
        <v>0</v>
      </c>
      <c r="AO19" s="54">
        <v>0.54135999999999995</v>
      </c>
      <c r="AP19" s="54">
        <v>0.45863999999999999</v>
      </c>
      <c r="AQ19" s="54">
        <v>0.60899999999999999</v>
      </c>
      <c r="AR19" s="55">
        <v>4512</v>
      </c>
      <c r="AS19" s="54">
        <v>5.9839999999999997E-2</v>
      </c>
      <c r="AT19" s="54">
        <v>0.67376000000000003</v>
      </c>
      <c r="AU19" s="54">
        <v>0.22384999999999999</v>
      </c>
      <c r="AV19" s="54">
        <v>3.5020000000000003E-2</v>
      </c>
      <c r="AW19" s="54">
        <v>7.5399999999999998E-3</v>
      </c>
      <c r="AX19" s="55">
        <v>1047</v>
      </c>
      <c r="AY19" s="55">
        <v>0</v>
      </c>
      <c r="AZ19" s="55">
        <v>797</v>
      </c>
      <c r="BA19" s="55">
        <v>250</v>
      </c>
      <c r="BB19" s="55">
        <v>0</v>
      </c>
      <c r="BC19" s="55">
        <v>0</v>
      </c>
      <c r="BD19" s="54">
        <v>6.3039999999999999E-2</v>
      </c>
      <c r="BE19" s="54">
        <v>0.67144000000000004</v>
      </c>
      <c r="BF19" s="54">
        <v>0.21203</v>
      </c>
      <c r="BG19" s="54">
        <v>4.6800000000000001E-2</v>
      </c>
      <c r="BH19" s="54">
        <v>6.6899999999999998E-3</v>
      </c>
      <c r="BI19" s="68" t="s">
        <v>173</v>
      </c>
      <c r="BJ19" s="68" t="s">
        <v>173</v>
      </c>
      <c r="BK19" s="68" t="s">
        <v>173</v>
      </c>
      <c r="BL19" s="68" t="s">
        <v>173</v>
      </c>
      <c r="BM19" s="68" t="s">
        <v>173</v>
      </c>
      <c r="BN19" s="68" t="s">
        <v>173</v>
      </c>
      <c r="BO19" s="58">
        <v>6.5</v>
      </c>
      <c r="BP19" s="59">
        <v>156</v>
      </c>
      <c r="BQ19" s="54">
        <v>0.84818000000000005</v>
      </c>
      <c r="BR19" s="54">
        <v>0.82499999999999996</v>
      </c>
      <c r="BS19" s="60">
        <v>2.4700000000000002</v>
      </c>
      <c r="BT19" s="54">
        <v>0.63</v>
      </c>
      <c r="BU19" s="54">
        <v>0.78599999999999992</v>
      </c>
      <c r="BV19" s="61">
        <v>189</v>
      </c>
      <c r="BW19" s="61">
        <v>67</v>
      </c>
      <c r="BX19" s="53">
        <v>0.35449735449735448</v>
      </c>
      <c r="BY19" s="59">
        <v>19</v>
      </c>
      <c r="BZ19" s="62">
        <v>2891</v>
      </c>
      <c r="CA19" s="63">
        <v>14773</v>
      </c>
      <c r="CB19" s="63">
        <v>6245</v>
      </c>
      <c r="CC19" s="63">
        <v>5856</v>
      </c>
      <c r="CD19" s="63">
        <v>2158</v>
      </c>
      <c r="CE19" s="63">
        <v>514</v>
      </c>
      <c r="CF19" s="64">
        <v>14111.28</v>
      </c>
      <c r="CG19" s="64">
        <v>5492.56</v>
      </c>
      <c r="CH19" s="64">
        <v>3516.01</v>
      </c>
      <c r="CI19" s="63">
        <v>3915.48</v>
      </c>
      <c r="CJ19" s="63">
        <v>1187.23</v>
      </c>
      <c r="CK19" s="63">
        <v>0</v>
      </c>
      <c r="CL19" s="63">
        <v>0</v>
      </c>
      <c r="CM19" s="2"/>
      <c r="CN19" s="2"/>
    </row>
    <row r="20" spans="1:92" x14ac:dyDescent="0.2">
      <c r="A20" s="49">
        <v>29269</v>
      </c>
      <c r="B20" s="50" t="s">
        <v>267</v>
      </c>
      <c r="C20" s="50" t="s">
        <v>268</v>
      </c>
      <c r="D20" s="50">
        <v>1971</v>
      </c>
      <c r="E20" s="50" t="s">
        <v>269</v>
      </c>
      <c r="F20" s="50" t="s">
        <v>83</v>
      </c>
      <c r="G20" s="50"/>
      <c r="H20" s="51">
        <v>5998</v>
      </c>
      <c r="I20" s="51" t="s">
        <v>270</v>
      </c>
      <c r="J20" s="51" t="s">
        <v>271</v>
      </c>
      <c r="K20" s="51" t="s">
        <v>272</v>
      </c>
      <c r="L20" s="51" t="s">
        <v>273</v>
      </c>
      <c r="M20" s="51" t="s">
        <v>274</v>
      </c>
      <c r="N20" s="52">
        <v>295</v>
      </c>
      <c r="O20" s="53">
        <v>0.17966101694915254</v>
      </c>
      <c r="P20" s="53">
        <v>0.16271186440677965</v>
      </c>
      <c r="Q20" s="53">
        <v>0.56610169491525419</v>
      </c>
      <c r="R20" s="53">
        <v>5.7627118644067797E-2</v>
      </c>
      <c r="S20" s="53">
        <v>3.3898305084745763E-2</v>
      </c>
      <c r="T20" s="52">
        <v>1356</v>
      </c>
      <c r="U20" s="54">
        <v>0.1615</v>
      </c>
      <c r="V20" s="54">
        <v>0.11062</v>
      </c>
      <c r="W20" s="54">
        <v>0.66961999999999999</v>
      </c>
      <c r="X20" s="54">
        <v>4.5719999999999997E-2</v>
      </c>
      <c r="Y20" s="54">
        <v>1.2537E-2</v>
      </c>
      <c r="Z20" s="52">
        <v>334</v>
      </c>
      <c r="AA20" s="54">
        <v>0.15268999999999999</v>
      </c>
      <c r="AB20" s="54">
        <v>8.9819999999999997E-2</v>
      </c>
      <c r="AC20" s="54">
        <v>0.72753999999999996</v>
      </c>
      <c r="AD20" s="54">
        <v>2.3949999999999999E-2</v>
      </c>
      <c r="AE20" s="54">
        <v>5.9880000000000003E-3</v>
      </c>
      <c r="AF20" s="50" t="s">
        <v>275</v>
      </c>
      <c r="AG20" s="50" t="s">
        <v>276</v>
      </c>
      <c r="AH20" s="50" t="s">
        <v>92</v>
      </c>
      <c r="AI20" s="50" t="s">
        <v>117</v>
      </c>
      <c r="AJ20" s="52">
        <v>407</v>
      </c>
      <c r="AK20" s="54">
        <v>0.72499999999999998</v>
      </c>
      <c r="AL20" s="53">
        <v>0</v>
      </c>
      <c r="AM20" s="55">
        <v>1805</v>
      </c>
      <c r="AN20" s="54">
        <v>0.11076999999999999</v>
      </c>
      <c r="AO20" s="54">
        <v>0.37389</v>
      </c>
      <c r="AP20" s="54">
        <v>0.62611000000000006</v>
      </c>
      <c r="AQ20" s="54">
        <v>0.51100000000000001</v>
      </c>
      <c r="AR20" s="55">
        <v>1805</v>
      </c>
      <c r="AS20" s="54">
        <v>0.16399</v>
      </c>
      <c r="AT20" s="54">
        <v>9.529E-2</v>
      </c>
      <c r="AU20" s="54">
        <v>0.68254999999999999</v>
      </c>
      <c r="AV20" s="54">
        <v>4.4319999999999998E-2</v>
      </c>
      <c r="AW20" s="54">
        <v>1.3849999999999999E-2</v>
      </c>
      <c r="AX20" s="55">
        <v>522</v>
      </c>
      <c r="AY20" s="55">
        <v>0</v>
      </c>
      <c r="AZ20" s="55">
        <v>334</v>
      </c>
      <c r="BA20" s="55">
        <v>188</v>
      </c>
      <c r="BB20" s="55">
        <v>0</v>
      </c>
      <c r="BC20" s="55">
        <v>0</v>
      </c>
      <c r="BD20" s="54">
        <v>0.17050000000000001</v>
      </c>
      <c r="BE20" s="54">
        <v>8.4290000000000004E-2</v>
      </c>
      <c r="BF20" s="54">
        <v>0.70881000000000005</v>
      </c>
      <c r="BG20" s="54">
        <v>2.8740000000000002E-2</v>
      </c>
      <c r="BH20" s="54">
        <v>7.6600000000000001E-3</v>
      </c>
      <c r="BI20" s="68" t="s">
        <v>173</v>
      </c>
      <c r="BJ20" s="68" t="s">
        <v>173</v>
      </c>
      <c r="BK20" s="68" t="s">
        <v>173</v>
      </c>
      <c r="BL20" s="68" t="s">
        <v>173</v>
      </c>
      <c r="BM20" s="68" t="s">
        <v>173</v>
      </c>
      <c r="BN20" s="68" t="s">
        <v>173</v>
      </c>
      <c r="BO20" s="58">
        <v>5.8</v>
      </c>
      <c r="BP20" s="59">
        <v>141</v>
      </c>
      <c r="BQ20" s="54">
        <v>0.73653000000000002</v>
      </c>
      <c r="BR20" s="54">
        <v>0.75</v>
      </c>
      <c r="BS20" s="60">
        <v>3.27</v>
      </c>
      <c r="BT20" s="54">
        <v>0.57499999999999996</v>
      </c>
      <c r="BU20" s="54">
        <v>0.58099999999999996</v>
      </c>
      <c r="BV20" s="61">
        <v>129</v>
      </c>
      <c r="BW20" s="61">
        <v>57</v>
      </c>
      <c r="BX20" s="53">
        <v>0.44186046511627908</v>
      </c>
      <c r="BY20" s="59">
        <v>17</v>
      </c>
      <c r="BZ20" s="62">
        <v>1395</v>
      </c>
      <c r="CA20" s="63">
        <v>22533</v>
      </c>
      <c r="CB20" s="63">
        <v>4575</v>
      </c>
      <c r="CC20" s="63">
        <v>13028</v>
      </c>
      <c r="CD20" s="63">
        <v>2347</v>
      </c>
      <c r="CE20" s="63">
        <v>2583</v>
      </c>
      <c r="CF20" s="64">
        <v>17415.95</v>
      </c>
      <c r="CG20" s="64">
        <v>8294.9699999999993</v>
      </c>
      <c r="CH20" s="64">
        <v>3388.41</v>
      </c>
      <c r="CI20" s="63">
        <v>4048.26</v>
      </c>
      <c r="CJ20" s="63">
        <v>1684.31</v>
      </c>
      <c r="CK20" s="63">
        <v>34640</v>
      </c>
      <c r="CL20" s="63">
        <v>644</v>
      </c>
      <c r="CM20" s="2"/>
      <c r="CN20" s="2"/>
    </row>
    <row r="21" spans="1:92" x14ac:dyDescent="0.2">
      <c r="A21" s="49">
        <v>3642</v>
      </c>
      <c r="B21" s="50" t="s">
        <v>277</v>
      </c>
      <c r="C21" s="50" t="s">
        <v>278</v>
      </c>
      <c r="D21" s="50">
        <v>1947</v>
      </c>
      <c r="E21" s="50" t="s">
        <v>279</v>
      </c>
      <c r="F21" s="50" t="s">
        <v>134</v>
      </c>
      <c r="G21" s="50" t="s">
        <v>121</v>
      </c>
      <c r="H21" s="51">
        <v>7875</v>
      </c>
      <c r="I21" s="51" t="s">
        <v>280</v>
      </c>
      <c r="J21" s="51" t="s">
        <v>281</v>
      </c>
      <c r="K21" s="51" t="s">
        <v>282</v>
      </c>
      <c r="L21" s="51" t="s">
        <v>256</v>
      </c>
      <c r="M21" s="51" t="s">
        <v>283</v>
      </c>
      <c r="N21" s="52">
        <v>4449</v>
      </c>
      <c r="O21" s="53">
        <v>0.75814789840413577</v>
      </c>
      <c r="P21" s="53">
        <v>0.12519667340975499</v>
      </c>
      <c r="Q21" s="53">
        <v>4.405484378512025E-2</v>
      </c>
      <c r="R21" s="53">
        <v>5.282085861991459E-2</v>
      </c>
      <c r="S21" s="53">
        <v>1.9779725781074398E-2</v>
      </c>
      <c r="T21" s="52">
        <v>6288</v>
      </c>
      <c r="U21" s="54">
        <v>0.83874000000000004</v>
      </c>
      <c r="V21" s="54">
        <v>6.123E-2</v>
      </c>
      <c r="W21" s="54">
        <v>1.797E-2</v>
      </c>
      <c r="X21" s="54">
        <v>3.0689999999999999E-2</v>
      </c>
      <c r="Y21" s="54">
        <v>5.1367999999999997E-2</v>
      </c>
      <c r="Z21" s="52">
        <v>768</v>
      </c>
      <c r="AA21" s="54">
        <v>0.84114999999999995</v>
      </c>
      <c r="AB21" s="54">
        <v>4.6879999999999998E-2</v>
      </c>
      <c r="AC21" s="54">
        <v>1.5630000000000002E-2</v>
      </c>
      <c r="AD21" s="54">
        <v>3.7760000000000002E-2</v>
      </c>
      <c r="AE21" s="54">
        <v>5.8594E-2</v>
      </c>
      <c r="AF21" s="50" t="s">
        <v>284</v>
      </c>
      <c r="AG21" s="50" t="s">
        <v>285</v>
      </c>
      <c r="AH21" s="50" t="s">
        <v>286</v>
      </c>
      <c r="AI21" s="50" t="s">
        <v>130</v>
      </c>
      <c r="AJ21" s="52">
        <v>10068</v>
      </c>
      <c r="AK21" s="54">
        <v>0.442</v>
      </c>
      <c r="AL21" s="53">
        <v>3.7999999999999999E-2</v>
      </c>
      <c r="AM21" s="55">
        <v>8703</v>
      </c>
      <c r="AN21" s="54">
        <v>-4.3839999999999997E-2</v>
      </c>
      <c r="AO21" s="54">
        <v>0.15378</v>
      </c>
      <c r="AP21" s="54">
        <v>0.84621999999999997</v>
      </c>
      <c r="AQ21" s="54">
        <v>0.74099999999999999</v>
      </c>
      <c r="AR21" s="55">
        <v>8703</v>
      </c>
      <c r="AS21" s="54">
        <v>0.79995000000000005</v>
      </c>
      <c r="AT21" s="54">
        <v>6.9519999999999998E-2</v>
      </c>
      <c r="AU21" s="54">
        <v>3.1140000000000001E-2</v>
      </c>
      <c r="AV21" s="54">
        <v>5.3539999999999997E-2</v>
      </c>
      <c r="AW21" s="54">
        <v>4.5850000000000002E-2</v>
      </c>
      <c r="AX21" s="55">
        <v>1411</v>
      </c>
      <c r="AY21" s="55">
        <v>0</v>
      </c>
      <c r="AZ21" s="55">
        <v>768</v>
      </c>
      <c r="BA21" s="55">
        <v>359</v>
      </c>
      <c r="BB21" s="55">
        <v>24</v>
      </c>
      <c r="BC21" s="55">
        <v>260</v>
      </c>
      <c r="BD21" s="54">
        <v>0.76966999999999997</v>
      </c>
      <c r="BE21" s="54">
        <v>7.2289999999999993E-2</v>
      </c>
      <c r="BF21" s="54">
        <v>4.2520000000000002E-2</v>
      </c>
      <c r="BG21" s="54">
        <v>7.5829999999999995E-2</v>
      </c>
      <c r="BH21" s="54">
        <v>3.9690000000000003E-2</v>
      </c>
      <c r="BI21" s="56">
        <v>5.0999999999999997E-2</v>
      </c>
      <c r="BJ21" s="56">
        <v>2.4E-2</v>
      </c>
      <c r="BK21" s="57">
        <v>0.16399999999999998</v>
      </c>
      <c r="BL21" s="57">
        <v>4.5999999999999999E-2</v>
      </c>
      <c r="BM21" s="57">
        <v>0.2</v>
      </c>
      <c r="BN21" s="57">
        <v>0.125</v>
      </c>
      <c r="BO21" s="58">
        <v>5.8</v>
      </c>
      <c r="BP21" s="59">
        <v>164</v>
      </c>
      <c r="BQ21" s="54">
        <v>0.88410999999999995</v>
      </c>
      <c r="BR21" s="54">
        <v>0.76200000000000001</v>
      </c>
      <c r="BS21" s="60">
        <v>8.19</v>
      </c>
      <c r="BT21" s="54">
        <v>0.23399999999999999</v>
      </c>
      <c r="BU21" s="54">
        <v>0.17600000000000002</v>
      </c>
      <c r="BV21" s="61">
        <v>568</v>
      </c>
      <c r="BW21" s="61">
        <v>293</v>
      </c>
      <c r="BX21" s="53">
        <v>0.51584507042253525</v>
      </c>
      <c r="BY21" s="59">
        <v>19</v>
      </c>
      <c r="BZ21" s="62">
        <v>8186</v>
      </c>
      <c r="CA21" s="63">
        <v>23169</v>
      </c>
      <c r="CB21" s="63">
        <v>7384</v>
      </c>
      <c r="CC21" s="63">
        <v>9500</v>
      </c>
      <c r="CD21" s="63">
        <v>5291</v>
      </c>
      <c r="CE21" s="63">
        <v>994</v>
      </c>
      <c r="CF21" s="64">
        <v>21818.94</v>
      </c>
      <c r="CG21" s="64">
        <v>11654.75</v>
      </c>
      <c r="CH21" s="64">
        <v>4080.51</v>
      </c>
      <c r="CI21" s="63">
        <v>5013.2299999999996</v>
      </c>
      <c r="CJ21" s="63">
        <v>1070.45</v>
      </c>
      <c r="CK21" s="63">
        <v>6548364</v>
      </c>
      <c r="CL21" s="63">
        <v>18373</v>
      </c>
      <c r="CM21" s="2"/>
      <c r="CN21" s="2"/>
    </row>
    <row r="22" spans="1:92" x14ac:dyDescent="0.2">
      <c r="A22" s="49">
        <v>3615</v>
      </c>
      <c r="B22" s="69" t="s">
        <v>287</v>
      </c>
      <c r="C22" s="50" t="s">
        <v>288</v>
      </c>
      <c r="D22" s="50">
        <v>1899</v>
      </c>
      <c r="E22" s="50" t="s">
        <v>289</v>
      </c>
      <c r="F22" s="50" t="s">
        <v>290</v>
      </c>
      <c r="G22" s="50" t="s">
        <v>84</v>
      </c>
      <c r="H22" s="51">
        <v>9150</v>
      </c>
      <c r="I22" s="51" t="s">
        <v>291</v>
      </c>
      <c r="J22" s="51" t="s">
        <v>292</v>
      </c>
      <c r="K22" s="51" t="s">
        <v>293</v>
      </c>
      <c r="L22" s="51" t="s">
        <v>294</v>
      </c>
      <c r="M22" s="51" t="s">
        <v>295</v>
      </c>
      <c r="N22" s="52">
        <v>14481</v>
      </c>
      <c r="O22" s="53">
        <v>9.5642566121124234E-2</v>
      </c>
      <c r="P22" s="53">
        <v>0.38091292037842689</v>
      </c>
      <c r="Q22" s="53">
        <v>0.4507975968510462</v>
      </c>
      <c r="R22" s="53">
        <v>4.6198466956701885E-2</v>
      </c>
      <c r="S22" s="53">
        <v>2.6448449692700781E-2</v>
      </c>
      <c r="T22" s="52">
        <v>31005</v>
      </c>
      <c r="U22" s="54">
        <v>8.1540000000000001E-2</v>
      </c>
      <c r="V22" s="54">
        <v>0.31440000000000001</v>
      </c>
      <c r="W22" s="54">
        <v>0.53749000000000002</v>
      </c>
      <c r="X22" s="54">
        <v>6.2280000000000002E-2</v>
      </c>
      <c r="Y22" s="54">
        <v>4.2900000000000004E-3</v>
      </c>
      <c r="Z22" s="52">
        <v>5770</v>
      </c>
      <c r="AA22" s="54">
        <v>4.9910000000000003E-2</v>
      </c>
      <c r="AB22" s="54">
        <v>0.24922</v>
      </c>
      <c r="AC22" s="54">
        <v>0.62409000000000003</v>
      </c>
      <c r="AD22" s="54">
        <v>7.1059999999999998E-2</v>
      </c>
      <c r="AE22" s="54">
        <v>5.7190000000000001E-3</v>
      </c>
      <c r="AF22" s="50" t="s">
        <v>296</v>
      </c>
      <c r="AG22" s="50" t="s">
        <v>297</v>
      </c>
      <c r="AH22" s="50" t="s">
        <v>248</v>
      </c>
      <c r="AI22" s="50" t="s">
        <v>298</v>
      </c>
      <c r="AJ22" s="52">
        <v>19250</v>
      </c>
      <c r="AK22" s="54">
        <v>0.752</v>
      </c>
      <c r="AL22" s="53">
        <v>0.13</v>
      </c>
      <c r="AM22" s="55">
        <v>35546</v>
      </c>
      <c r="AN22" s="54">
        <v>0.2213</v>
      </c>
      <c r="AO22" s="54">
        <v>0.17165</v>
      </c>
      <c r="AP22" s="54">
        <v>0.82835000000000003</v>
      </c>
      <c r="AQ22" s="54">
        <v>0.36899999999999999</v>
      </c>
      <c r="AR22" s="55">
        <v>35546</v>
      </c>
      <c r="AS22" s="54">
        <v>7.9280000000000003E-2</v>
      </c>
      <c r="AT22" s="54">
        <v>0.3004</v>
      </c>
      <c r="AU22" s="54">
        <v>0.54276000000000002</v>
      </c>
      <c r="AV22" s="54">
        <v>6.7040000000000002E-2</v>
      </c>
      <c r="AW22" s="54">
        <v>1.052E-2</v>
      </c>
      <c r="AX22" s="55">
        <v>7310</v>
      </c>
      <c r="AY22" s="55">
        <v>0</v>
      </c>
      <c r="AZ22" s="55">
        <v>5770</v>
      </c>
      <c r="BA22" s="55">
        <v>1447</v>
      </c>
      <c r="BB22" s="55">
        <v>53</v>
      </c>
      <c r="BC22" s="55">
        <v>40</v>
      </c>
      <c r="BD22" s="54">
        <v>5.3760000000000002E-2</v>
      </c>
      <c r="BE22" s="54">
        <v>0.23610999999999999</v>
      </c>
      <c r="BF22" s="54">
        <v>0.61902000000000001</v>
      </c>
      <c r="BG22" s="54">
        <v>7.6200000000000004E-2</v>
      </c>
      <c r="BH22" s="54">
        <v>1.491E-2</v>
      </c>
      <c r="BI22" s="56">
        <v>0.28899999999999998</v>
      </c>
      <c r="BJ22" s="56">
        <v>0.14499999999999999</v>
      </c>
      <c r="BK22" s="57">
        <v>0.6409999999999999</v>
      </c>
      <c r="BL22" s="57">
        <v>0.23300000000000001</v>
      </c>
      <c r="BM22" s="57">
        <v>0.746</v>
      </c>
      <c r="BN22" s="57">
        <v>0.57799999999999996</v>
      </c>
      <c r="BO22" s="58">
        <v>5.2</v>
      </c>
      <c r="BP22" s="59">
        <v>140</v>
      </c>
      <c r="BQ22" s="54">
        <v>0.70640999999999998</v>
      </c>
      <c r="BR22" s="54">
        <v>0.79299999999999993</v>
      </c>
      <c r="BS22" s="60">
        <v>4.3600000000000003</v>
      </c>
      <c r="BT22" s="54">
        <v>0.58599999999999997</v>
      </c>
      <c r="BU22" s="54">
        <v>0.38</v>
      </c>
      <c r="BV22" s="61">
        <v>1490</v>
      </c>
      <c r="BW22" s="61">
        <v>710</v>
      </c>
      <c r="BX22" s="53">
        <v>0.47651006711409394</v>
      </c>
      <c r="BY22" s="59">
        <v>28</v>
      </c>
      <c r="BZ22" s="62">
        <v>28966</v>
      </c>
      <c r="CA22" s="63">
        <v>14225</v>
      </c>
      <c r="CB22" s="63">
        <v>5837</v>
      </c>
      <c r="CC22" s="63">
        <v>5004</v>
      </c>
      <c r="CD22" s="63">
        <v>2295</v>
      </c>
      <c r="CE22" s="63">
        <v>1089</v>
      </c>
      <c r="CF22" s="64">
        <v>12075.45</v>
      </c>
      <c r="CG22" s="64">
        <v>8143.46</v>
      </c>
      <c r="CH22" s="64">
        <v>1286.8499999999999</v>
      </c>
      <c r="CI22" s="63">
        <v>2238.4499999999998</v>
      </c>
      <c r="CJ22" s="63">
        <v>406.69</v>
      </c>
      <c r="CK22" s="63">
        <v>37053191</v>
      </c>
      <c r="CL22" s="63">
        <v>40485</v>
      </c>
      <c r="CM22" s="2"/>
      <c r="CN22" s="2"/>
    </row>
    <row r="23" spans="1:92" x14ac:dyDescent="0.2">
      <c r="A23" s="49">
        <v>3644</v>
      </c>
      <c r="B23" s="50" t="s">
        <v>299</v>
      </c>
      <c r="C23" s="50" t="s">
        <v>300</v>
      </c>
      <c r="D23" s="50">
        <v>1923</v>
      </c>
      <c r="E23" s="50" t="s">
        <v>301</v>
      </c>
      <c r="F23" s="50" t="s">
        <v>290</v>
      </c>
      <c r="G23" s="50"/>
      <c r="H23" s="51">
        <v>9242</v>
      </c>
      <c r="I23" s="51" t="s">
        <v>302</v>
      </c>
      <c r="J23" s="51" t="s">
        <v>303</v>
      </c>
      <c r="K23" s="51" t="s">
        <v>304</v>
      </c>
      <c r="L23" s="51" t="s">
        <v>305</v>
      </c>
      <c r="M23" s="51" t="s">
        <v>306</v>
      </c>
      <c r="N23" s="52">
        <v>11918</v>
      </c>
      <c r="O23" s="53">
        <v>7.1152877999664368E-2</v>
      </c>
      <c r="P23" s="53">
        <v>0.2549085417016278</v>
      </c>
      <c r="Q23" s="53">
        <v>0.55856687363651625</v>
      </c>
      <c r="R23" s="53">
        <v>8.1725121664708841E-2</v>
      </c>
      <c r="S23" s="53">
        <v>3.3646584997482798E-2</v>
      </c>
      <c r="T23" s="52">
        <v>26903</v>
      </c>
      <c r="U23" s="54">
        <v>7.0360000000000006E-2</v>
      </c>
      <c r="V23" s="54">
        <v>0.20830000000000001</v>
      </c>
      <c r="W23" s="54">
        <v>0.61982000000000004</v>
      </c>
      <c r="X23" s="54">
        <v>8.4409999999999999E-2</v>
      </c>
      <c r="Y23" s="54">
        <v>1.7097999999999999E-2</v>
      </c>
      <c r="Z23" s="52">
        <v>5206</v>
      </c>
      <c r="AA23" s="54">
        <v>4.2450000000000002E-2</v>
      </c>
      <c r="AB23" s="54">
        <v>0.13791999999999999</v>
      </c>
      <c r="AC23" s="54">
        <v>0.66403999999999996</v>
      </c>
      <c r="AD23" s="54">
        <v>0.14099</v>
      </c>
      <c r="AE23" s="54">
        <v>1.4599000000000001E-2</v>
      </c>
      <c r="AF23" s="50" t="s">
        <v>307</v>
      </c>
      <c r="AG23" s="50" t="s">
        <v>246</v>
      </c>
      <c r="AH23" s="50" t="s">
        <v>308</v>
      </c>
      <c r="AI23" s="50" t="s">
        <v>309</v>
      </c>
      <c r="AJ23" s="52">
        <v>14882</v>
      </c>
      <c r="AK23" s="54">
        <v>0.80099999999999993</v>
      </c>
      <c r="AL23" s="53">
        <v>0.20300000000000001</v>
      </c>
      <c r="AM23" s="55">
        <v>32797</v>
      </c>
      <c r="AN23" s="54">
        <v>0.15393000000000001</v>
      </c>
      <c r="AO23" s="54">
        <v>0.10278</v>
      </c>
      <c r="AP23" s="54">
        <v>0.89722000000000002</v>
      </c>
      <c r="AQ23" s="54">
        <v>0.29399999999999998</v>
      </c>
      <c r="AR23" s="55">
        <v>32797</v>
      </c>
      <c r="AS23" s="54">
        <v>6.522E-2</v>
      </c>
      <c r="AT23" s="54">
        <v>0.19191</v>
      </c>
      <c r="AU23" s="54">
        <v>0.60548000000000002</v>
      </c>
      <c r="AV23" s="54">
        <v>8.7690000000000004E-2</v>
      </c>
      <c r="AW23" s="54">
        <v>4.9700000000000001E-2</v>
      </c>
      <c r="AX23" s="55">
        <v>7115</v>
      </c>
      <c r="AY23" s="55">
        <v>0</v>
      </c>
      <c r="AZ23" s="55">
        <v>5206</v>
      </c>
      <c r="BA23" s="55">
        <v>1365</v>
      </c>
      <c r="BB23" s="55">
        <v>306</v>
      </c>
      <c r="BC23" s="55">
        <v>238</v>
      </c>
      <c r="BD23" s="54">
        <v>3.9780000000000003E-2</v>
      </c>
      <c r="BE23" s="54">
        <v>0.12831999999999999</v>
      </c>
      <c r="BF23" s="54">
        <v>0.64258999999999999</v>
      </c>
      <c r="BG23" s="54">
        <v>0.1293</v>
      </c>
      <c r="BH23" s="54">
        <v>6.0010000000000001E-2</v>
      </c>
      <c r="BI23" s="56">
        <v>0.38799999999999996</v>
      </c>
      <c r="BJ23" s="56">
        <v>0.21899999999999997</v>
      </c>
      <c r="BK23" s="57">
        <v>0.7</v>
      </c>
      <c r="BL23" s="57">
        <v>0.38600000000000001</v>
      </c>
      <c r="BM23" s="57">
        <v>0.78599999999999992</v>
      </c>
      <c r="BN23" s="57">
        <v>0.504</v>
      </c>
      <c r="BO23" s="58">
        <v>4.5999999999999996</v>
      </c>
      <c r="BP23" s="59">
        <v>142</v>
      </c>
      <c r="BQ23" s="54">
        <v>0.59738999999999998</v>
      </c>
      <c r="BR23" s="54">
        <v>0.76500000000000001</v>
      </c>
      <c r="BS23" s="60">
        <v>4.57</v>
      </c>
      <c r="BT23" s="54">
        <v>0.55600000000000005</v>
      </c>
      <c r="BU23" s="54">
        <v>0.251</v>
      </c>
      <c r="BV23" s="61">
        <v>1409</v>
      </c>
      <c r="BW23" s="61">
        <v>948</v>
      </c>
      <c r="BX23" s="53">
        <v>0.67281760113555711</v>
      </c>
      <c r="BY23" s="59">
        <v>23</v>
      </c>
      <c r="BZ23" s="62">
        <v>29249</v>
      </c>
      <c r="CA23" s="63">
        <v>20826</v>
      </c>
      <c r="CB23" s="63">
        <v>8797</v>
      </c>
      <c r="CC23" s="63">
        <v>6937</v>
      </c>
      <c r="CD23" s="63">
        <v>2247</v>
      </c>
      <c r="CE23" s="63">
        <v>2845</v>
      </c>
      <c r="CF23" s="64">
        <v>17557.759999999998</v>
      </c>
      <c r="CG23" s="64">
        <v>11547.31</v>
      </c>
      <c r="CH23" s="64">
        <v>2481.13</v>
      </c>
      <c r="CI23" s="63">
        <v>2718.9</v>
      </c>
      <c r="CJ23" s="63">
        <v>810.41</v>
      </c>
      <c r="CK23" s="63">
        <v>137563727</v>
      </c>
      <c r="CL23" s="63">
        <v>47995</v>
      </c>
      <c r="CM23" s="2"/>
      <c r="CN23" s="2"/>
    </row>
    <row r="24" spans="1:92" x14ac:dyDescent="0.2">
      <c r="A24" s="49">
        <v>3646</v>
      </c>
      <c r="B24" s="50" t="s">
        <v>310</v>
      </c>
      <c r="C24" s="50" t="s">
        <v>311</v>
      </c>
      <c r="D24" s="50">
        <v>1901</v>
      </c>
      <c r="E24" s="50" t="s">
        <v>312</v>
      </c>
      <c r="F24" s="50" t="s">
        <v>134</v>
      </c>
      <c r="G24" s="50"/>
      <c r="H24" s="51">
        <v>7290</v>
      </c>
      <c r="I24" s="51" t="s">
        <v>313</v>
      </c>
      <c r="J24" s="51" t="s">
        <v>314</v>
      </c>
      <c r="K24" s="51" t="s">
        <v>315</v>
      </c>
      <c r="L24" s="51" t="s">
        <v>316</v>
      </c>
      <c r="M24" s="51" t="s">
        <v>317</v>
      </c>
      <c r="N24" s="52">
        <v>4124</v>
      </c>
      <c r="O24" s="53">
        <v>0.19592628516003879</v>
      </c>
      <c r="P24" s="53">
        <v>0.4495635305528613</v>
      </c>
      <c r="Q24" s="53">
        <v>0.23011639185257032</v>
      </c>
      <c r="R24" s="53">
        <v>0.11105722599418041</v>
      </c>
      <c r="S24" s="53">
        <v>1.3336566440349175E-2</v>
      </c>
      <c r="T24" s="52">
        <v>8849</v>
      </c>
      <c r="U24" s="54">
        <v>0.21798999999999999</v>
      </c>
      <c r="V24" s="54">
        <v>0.24353</v>
      </c>
      <c r="W24" s="54">
        <v>0.41553000000000001</v>
      </c>
      <c r="X24" s="54">
        <v>0.10939</v>
      </c>
      <c r="Y24" s="54">
        <v>1.3561E-2</v>
      </c>
      <c r="Z24" s="52">
        <v>1934</v>
      </c>
      <c r="AA24" s="54">
        <v>0.16494</v>
      </c>
      <c r="AB24" s="54">
        <v>0.17011000000000001</v>
      </c>
      <c r="AC24" s="54">
        <v>0.53671000000000002</v>
      </c>
      <c r="AD24" s="54">
        <v>0.11219999999999999</v>
      </c>
      <c r="AE24" s="54">
        <v>1.6029000000000002E-2</v>
      </c>
      <c r="AF24" s="50" t="s">
        <v>185</v>
      </c>
      <c r="AG24" s="50" t="s">
        <v>318</v>
      </c>
      <c r="AH24" s="50" t="s">
        <v>153</v>
      </c>
      <c r="AI24" s="50" t="s">
        <v>164</v>
      </c>
      <c r="AJ24" s="52">
        <v>4944</v>
      </c>
      <c r="AK24" s="54">
        <v>0.83400000000000007</v>
      </c>
      <c r="AL24" s="53">
        <v>0.13900000000000001</v>
      </c>
      <c r="AM24" s="55">
        <v>14899</v>
      </c>
      <c r="AN24" s="54">
        <v>0.22123000000000001</v>
      </c>
      <c r="AO24" s="54">
        <v>0.28183999999999998</v>
      </c>
      <c r="AP24" s="54">
        <v>0.71816000000000002</v>
      </c>
      <c r="AQ24" s="54">
        <v>0.49099999999999999</v>
      </c>
      <c r="AR24" s="55">
        <v>14899</v>
      </c>
      <c r="AS24" s="54">
        <v>0.20927999999999999</v>
      </c>
      <c r="AT24" s="54">
        <v>0.19699</v>
      </c>
      <c r="AU24" s="54">
        <v>0.45834999999999998</v>
      </c>
      <c r="AV24" s="54">
        <v>0.11444</v>
      </c>
      <c r="AW24" s="54">
        <v>2.094E-2</v>
      </c>
      <c r="AX24" s="55">
        <v>3844</v>
      </c>
      <c r="AY24" s="55">
        <v>0</v>
      </c>
      <c r="AZ24" s="55">
        <v>1934</v>
      </c>
      <c r="BA24" s="55">
        <v>1736</v>
      </c>
      <c r="BB24" s="55">
        <v>73</v>
      </c>
      <c r="BC24" s="55">
        <v>101</v>
      </c>
      <c r="BD24" s="54">
        <v>0.19744999999999999</v>
      </c>
      <c r="BE24" s="54">
        <v>0.14698</v>
      </c>
      <c r="BF24" s="54">
        <v>0.51873000000000002</v>
      </c>
      <c r="BG24" s="54">
        <v>0.11550000000000001</v>
      </c>
      <c r="BH24" s="54">
        <v>2.1329999999999998E-2</v>
      </c>
      <c r="BI24" s="56">
        <v>0.218</v>
      </c>
      <c r="BJ24" s="56">
        <v>7.0999999999999994E-2</v>
      </c>
      <c r="BK24" s="57">
        <v>0.50700000000000001</v>
      </c>
      <c r="BL24" s="57">
        <v>0.214</v>
      </c>
      <c r="BM24" s="57">
        <v>0.64300000000000002</v>
      </c>
      <c r="BN24" s="57">
        <v>0.45500000000000002</v>
      </c>
      <c r="BO24" s="58">
        <v>5.6</v>
      </c>
      <c r="BP24" s="59">
        <v>147</v>
      </c>
      <c r="BQ24" s="54">
        <v>0.68511</v>
      </c>
      <c r="BR24" s="54">
        <v>0.83499999999999996</v>
      </c>
      <c r="BS24" s="60">
        <v>3.79</v>
      </c>
      <c r="BT24" s="54">
        <v>0.60599999999999998</v>
      </c>
      <c r="BU24" s="54">
        <v>0.495</v>
      </c>
      <c r="BV24" s="61">
        <v>790</v>
      </c>
      <c r="BW24" s="61">
        <v>298</v>
      </c>
      <c r="BX24" s="53">
        <v>0.37721518987341773</v>
      </c>
      <c r="BY24" s="59">
        <v>19</v>
      </c>
      <c r="BZ24" s="62">
        <v>12236</v>
      </c>
      <c r="CA24" s="63">
        <v>13922</v>
      </c>
      <c r="CB24" s="63">
        <v>5381</v>
      </c>
      <c r="CC24" s="63">
        <v>5893</v>
      </c>
      <c r="CD24" s="63">
        <v>1987</v>
      </c>
      <c r="CE24" s="63">
        <v>661</v>
      </c>
      <c r="CF24" s="64">
        <v>11498.9</v>
      </c>
      <c r="CG24" s="64">
        <v>6875.91</v>
      </c>
      <c r="CH24" s="64">
        <v>1981.7</v>
      </c>
      <c r="CI24" s="63">
        <v>2563.7399999999998</v>
      </c>
      <c r="CJ24" s="63">
        <v>77.55</v>
      </c>
      <c r="CK24" s="63">
        <v>2562078</v>
      </c>
      <c r="CL24" s="63">
        <v>5914</v>
      </c>
      <c r="CM24" s="2"/>
      <c r="CN24" s="2"/>
    </row>
    <row r="25" spans="1:92" x14ac:dyDescent="0.2">
      <c r="A25" s="49">
        <v>3656</v>
      </c>
      <c r="B25" s="50" t="s">
        <v>319</v>
      </c>
      <c r="C25" s="50" t="s">
        <v>320</v>
      </c>
      <c r="D25" s="50">
        <v>1895</v>
      </c>
      <c r="E25" s="50" t="s">
        <v>321</v>
      </c>
      <c r="F25" s="50" t="s">
        <v>290</v>
      </c>
      <c r="G25" s="50" t="s">
        <v>84</v>
      </c>
      <c r="H25" s="51">
        <v>9152</v>
      </c>
      <c r="I25" s="51" t="s">
        <v>322</v>
      </c>
      <c r="J25" s="51" t="s">
        <v>323</v>
      </c>
      <c r="K25" s="51" t="s">
        <v>324</v>
      </c>
      <c r="L25" s="51" t="s">
        <v>325</v>
      </c>
      <c r="M25" s="51" t="s">
        <v>326</v>
      </c>
      <c r="N25" s="52">
        <v>6889</v>
      </c>
      <c r="O25" s="53">
        <v>0.14559442589635652</v>
      </c>
      <c r="P25" s="53">
        <v>0.34678472927856002</v>
      </c>
      <c r="Q25" s="53">
        <v>0.28436638118740021</v>
      </c>
      <c r="R25" s="53">
        <v>0.16417477137465525</v>
      </c>
      <c r="S25" s="53">
        <v>5.9079692263028019E-2</v>
      </c>
      <c r="T25" s="52">
        <v>24481</v>
      </c>
      <c r="U25" s="54">
        <v>0.15633</v>
      </c>
      <c r="V25" s="54">
        <v>0.25963000000000003</v>
      </c>
      <c r="W25" s="54">
        <v>0.39201999999999998</v>
      </c>
      <c r="X25" s="54">
        <v>0.15129999999999999</v>
      </c>
      <c r="Y25" s="54">
        <v>4.0724999999999997E-2</v>
      </c>
      <c r="Z25" s="52">
        <v>6343</v>
      </c>
      <c r="AA25" s="54">
        <v>0.14646000000000001</v>
      </c>
      <c r="AB25" s="54">
        <v>0.19187000000000001</v>
      </c>
      <c r="AC25" s="54">
        <v>0.48936000000000002</v>
      </c>
      <c r="AD25" s="54">
        <v>0.13038</v>
      </c>
      <c r="AE25" s="54">
        <v>4.1936000000000001E-2</v>
      </c>
      <c r="AF25" s="50" t="s">
        <v>327</v>
      </c>
      <c r="AG25" s="50" t="s">
        <v>328</v>
      </c>
      <c r="AH25" s="50" t="s">
        <v>329</v>
      </c>
      <c r="AI25" s="50" t="s">
        <v>330</v>
      </c>
      <c r="AJ25" s="52">
        <v>10679</v>
      </c>
      <c r="AK25" s="54">
        <v>0.64500000000000002</v>
      </c>
      <c r="AL25" s="53">
        <v>0.24399999999999999</v>
      </c>
      <c r="AM25" s="55">
        <v>33329</v>
      </c>
      <c r="AN25" s="54">
        <v>0.32869999999999999</v>
      </c>
      <c r="AO25" s="54">
        <v>0.36354999999999998</v>
      </c>
      <c r="AP25" s="54">
        <v>0.63644999999999996</v>
      </c>
      <c r="AQ25" s="54">
        <v>0.436</v>
      </c>
      <c r="AR25" s="55">
        <v>33329</v>
      </c>
      <c r="AS25" s="54">
        <v>0.15029000000000001</v>
      </c>
      <c r="AT25" s="54">
        <v>0.22151999999999999</v>
      </c>
      <c r="AU25" s="54">
        <v>0.39989000000000002</v>
      </c>
      <c r="AV25" s="54">
        <v>0.13568</v>
      </c>
      <c r="AW25" s="54">
        <v>9.2619999999999994E-2</v>
      </c>
      <c r="AX25" s="55">
        <v>9460</v>
      </c>
      <c r="AY25" s="55">
        <v>0</v>
      </c>
      <c r="AZ25" s="55">
        <v>6343</v>
      </c>
      <c r="BA25" s="55">
        <v>2967</v>
      </c>
      <c r="BB25" s="55">
        <v>150</v>
      </c>
      <c r="BC25" s="55">
        <v>0</v>
      </c>
      <c r="BD25" s="54">
        <v>0.13741999999999999</v>
      </c>
      <c r="BE25" s="54">
        <v>0.1593</v>
      </c>
      <c r="BF25" s="54">
        <v>0.48171000000000003</v>
      </c>
      <c r="BG25" s="54">
        <v>0.1111</v>
      </c>
      <c r="BH25" s="54">
        <v>0.11047</v>
      </c>
      <c r="BI25" s="56">
        <v>0.23899999999999999</v>
      </c>
      <c r="BJ25" s="56">
        <v>8.3000000000000004E-2</v>
      </c>
      <c r="BK25" s="57">
        <v>0.52200000000000002</v>
      </c>
      <c r="BL25" s="57">
        <v>0.32299999999999995</v>
      </c>
      <c r="BM25" s="57">
        <v>0.66200000000000003</v>
      </c>
      <c r="BN25" s="57">
        <v>0.48799999999999999</v>
      </c>
      <c r="BO25" s="58">
        <v>5.6</v>
      </c>
      <c r="BP25" s="59">
        <v>145</v>
      </c>
      <c r="BQ25" s="54">
        <v>0.59624999999999995</v>
      </c>
      <c r="BR25" s="54">
        <v>0.79400000000000004</v>
      </c>
      <c r="BS25" s="60">
        <v>2.95</v>
      </c>
      <c r="BT25" s="54">
        <v>0.51400000000000001</v>
      </c>
      <c r="BU25" s="54">
        <v>0.40100000000000002</v>
      </c>
      <c r="BV25" s="61">
        <v>1200</v>
      </c>
      <c r="BW25" s="61">
        <v>563</v>
      </c>
      <c r="BX25" s="53">
        <v>0.46916666666666668</v>
      </c>
      <c r="BY25" s="59">
        <v>24</v>
      </c>
      <c r="BZ25" s="62">
        <v>26581</v>
      </c>
      <c r="CA25" s="63">
        <v>18112</v>
      </c>
      <c r="CB25" s="63">
        <v>6857</v>
      </c>
      <c r="CC25" s="63">
        <v>5009</v>
      </c>
      <c r="CD25" s="63">
        <v>4283</v>
      </c>
      <c r="CE25" s="63">
        <v>1963</v>
      </c>
      <c r="CF25" s="64">
        <v>15395.4</v>
      </c>
      <c r="CG25" s="64">
        <v>9058.11</v>
      </c>
      <c r="CH25" s="64">
        <v>3179.21</v>
      </c>
      <c r="CI25" s="63">
        <v>2594.5700000000002</v>
      </c>
      <c r="CJ25" s="63">
        <v>563.5</v>
      </c>
      <c r="CK25" s="63">
        <v>77651828</v>
      </c>
      <c r="CL25" s="63">
        <v>71897</v>
      </c>
      <c r="CM25" s="2"/>
      <c r="CN25" s="2"/>
    </row>
    <row r="26" spans="1:92" x14ac:dyDescent="0.2">
      <c r="A26" s="49">
        <v>3658</v>
      </c>
      <c r="B26" s="50" t="s">
        <v>331</v>
      </c>
      <c r="C26" s="50" t="s">
        <v>332</v>
      </c>
      <c r="D26" s="50">
        <v>1881</v>
      </c>
      <c r="E26" s="50" t="s">
        <v>333</v>
      </c>
      <c r="F26" s="50" t="s">
        <v>200</v>
      </c>
      <c r="G26" s="50"/>
      <c r="H26" s="51">
        <v>9790</v>
      </c>
      <c r="I26" s="51" t="s">
        <v>334</v>
      </c>
      <c r="J26" s="51" t="s">
        <v>335</v>
      </c>
      <c r="K26" s="51" t="s">
        <v>336</v>
      </c>
      <c r="L26" s="51" t="s">
        <v>337</v>
      </c>
      <c r="M26" s="51" t="s">
        <v>338</v>
      </c>
      <c r="N26" s="52">
        <v>15308</v>
      </c>
      <c r="O26" s="53">
        <v>4.6576953227070811E-2</v>
      </c>
      <c r="P26" s="53">
        <v>0.24274888946955839</v>
      </c>
      <c r="Q26" s="53">
        <v>0.44800104520512152</v>
      </c>
      <c r="R26" s="53">
        <v>0.23020642801149727</v>
      </c>
      <c r="S26" s="53">
        <v>3.2466684086752025E-2</v>
      </c>
      <c r="T26" s="52">
        <v>39979</v>
      </c>
      <c r="U26" s="54">
        <v>4.8930000000000001E-2</v>
      </c>
      <c r="V26" s="54">
        <v>0.22556999999999999</v>
      </c>
      <c r="W26" s="54">
        <v>0.47738000000000003</v>
      </c>
      <c r="X26" s="54">
        <v>0.22054000000000001</v>
      </c>
      <c r="Y26" s="54">
        <v>2.7588999999999999E-2</v>
      </c>
      <c r="Z26" s="52">
        <v>9207</v>
      </c>
      <c r="AA26" s="54">
        <v>4.2139999999999997E-2</v>
      </c>
      <c r="AB26" s="54">
        <v>0.18106</v>
      </c>
      <c r="AC26" s="54">
        <v>0.53166000000000002</v>
      </c>
      <c r="AD26" s="54">
        <v>0.21842</v>
      </c>
      <c r="AE26" s="54">
        <v>2.6719E-2</v>
      </c>
      <c r="AF26" s="50" t="s">
        <v>339</v>
      </c>
      <c r="AG26" s="50" t="s">
        <v>340</v>
      </c>
      <c r="AH26" s="50" t="s">
        <v>341</v>
      </c>
      <c r="AI26" s="50" t="s">
        <v>342</v>
      </c>
      <c r="AJ26" s="52">
        <v>33536</v>
      </c>
      <c r="AK26" s="54">
        <v>0.45600000000000002</v>
      </c>
      <c r="AL26" s="53">
        <v>0.7</v>
      </c>
      <c r="AM26" s="55">
        <v>52059</v>
      </c>
      <c r="AN26" s="54">
        <v>4.1509999999999998E-2</v>
      </c>
      <c r="AO26" s="54">
        <v>7.7039999999999997E-2</v>
      </c>
      <c r="AP26" s="54">
        <v>0.92296</v>
      </c>
      <c r="AQ26" s="54">
        <v>0.27800000000000002</v>
      </c>
      <c r="AR26" s="55">
        <v>52059</v>
      </c>
      <c r="AS26" s="54">
        <v>4.5199999999999997E-2</v>
      </c>
      <c r="AT26" s="54">
        <v>0.19733000000000001</v>
      </c>
      <c r="AU26" s="54">
        <v>0.48494999999999999</v>
      </c>
      <c r="AV26" s="54">
        <v>0.19758000000000001</v>
      </c>
      <c r="AW26" s="54">
        <v>7.4929999999999997E-2</v>
      </c>
      <c r="AX26" s="55">
        <v>13616</v>
      </c>
      <c r="AY26" s="55">
        <v>0</v>
      </c>
      <c r="AZ26" s="55">
        <v>9207</v>
      </c>
      <c r="BA26" s="55">
        <v>3018</v>
      </c>
      <c r="BB26" s="55">
        <v>883</v>
      </c>
      <c r="BC26" s="55">
        <v>508</v>
      </c>
      <c r="BD26" s="54">
        <v>3.7819999999999999E-2</v>
      </c>
      <c r="BE26" s="54">
        <v>0.15540999999999999</v>
      </c>
      <c r="BF26" s="54">
        <v>0.53408</v>
      </c>
      <c r="BG26" s="54">
        <v>0.19073000000000001</v>
      </c>
      <c r="BH26" s="54">
        <v>8.1960000000000005E-2</v>
      </c>
      <c r="BI26" s="56">
        <v>0.51900000000000002</v>
      </c>
      <c r="BJ26" s="56">
        <v>0.14000000000000001</v>
      </c>
      <c r="BK26" s="57">
        <v>0.82799999999999996</v>
      </c>
      <c r="BL26" s="57">
        <v>0.59599999999999997</v>
      </c>
      <c r="BM26" s="57">
        <v>0.88700000000000001</v>
      </c>
      <c r="BN26" s="57">
        <v>0.71400000000000008</v>
      </c>
      <c r="BO26" s="58">
        <v>4.3</v>
      </c>
      <c r="BP26" s="59">
        <v>131</v>
      </c>
      <c r="BQ26" s="54">
        <v>0.40533999999999998</v>
      </c>
      <c r="BR26" s="54">
        <v>0.68599999999999994</v>
      </c>
      <c r="BS26" s="60">
        <v>3.89</v>
      </c>
      <c r="BT26" s="54">
        <v>0.69700000000000006</v>
      </c>
      <c r="BU26" s="54">
        <v>0.158</v>
      </c>
      <c r="BV26" s="61">
        <v>2808</v>
      </c>
      <c r="BW26" s="61">
        <v>1784</v>
      </c>
      <c r="BX26" s="53">
        <v>0.63532763532763536</v>
      </c>
      <c r="BY26" s="59">
        <v>19</v>
      </c>
      <c r="BZ26" s="62">
        <v>48387</v>
      </c>
      <c r="CA26" s="63">
        <v>46235</v>
      </c>
      <c r="CB26" s="63">
        <v>9480</v>
      </c>
      <c r="CC26" s="63">
        <v>11732</v>
      </c>
      <c r="CD26" s="63">
        <v>10009</v>
      </c>
      <c r="CE26" s="63">
        <v>15014</v>
      </c>
      <c r="CF26" s="64">
        <v>38908.71</v>
      </c>
      <c r="CG26" s="64">
        <v>25614.61</v>
      </c>
      <c r="CH26" s="64">
        <v>4410.95</v>
      </c>
      <c r="CI26" s="63">
        <v>6345.55</v>
      </c>
      <c r="CJ26" s="63">
        <v>2537.6</v>
      </c>
      <c r="CK26" s="63">
        <v>595122002</v>
      </c>
      <c r="CL26" s="63">
        <v>277894</v>
      </c>
      <c r="CM26" s="2"/>
      <c r="CN26" s="2"/>
    </row>
    <row r="27" spans="1:92" x14ac:dyDescent="0.2">
      <c r="A27" s="49">
        <v>30646</v>
      </c>
      <c r="B27" s="50" t="s">
        <v>343</v>
      </c>
      <c r="C27" s="50" t="s">
        <v>344</v>
      </c>
      <c r="D27" s="50">
        <v>1973</v>
      </c>
      <c r="E27" s="50" t="s">
        <v>345</v>
      </c>
      <c r="F27" s="50" t="s">
        <v>83</v>
      </c>
      <c r="G27" s="50" t="s">
        <v>84</v>
      </c>
      <c r="H27" s="51">
        <v>6153</v>
      </c>
      <c r="I27" s="51" t="s">
        <v>346</v>
      </c>
      <c r="J27" s="51" t="s">
        <v>347</v>
      </c>
      <c r="K27" s="51" t="s">
        <v>348</v>
      </c>
      <c r="L27" s="51" t="s">
        <v>349</v>
      </c>
      <c r="M27" s="51" t="s">
        <v>350</v>
      </c>
      <c r="N27" s="52">
        <v>1289</v>
      </c>
      <c r="O27" s="53">
        <v>5.4305663304887513E-3</v>
      </c>
      <c r="P27" s="53">
        <v>0.9053529868114818</v>
      </c>
      <c r="Q27" s="53">
        <v>2.0946470131885182E-2</v>
      </c>
      <c r="R27" s="53">
        <v>1.2412723041117145E-2</v>
      </c>
      <c r="S27" s="53">
        <v>5.5857253685027156E-2</v>
      </c>
      <c r="T27" s="52">
        <v>7378</v>
      </c>
      <c r="U27" s="54">
        <v>7.7299999999999999E-3</v>
      </c>
      <c r="V27" s="54">
        <v>0.88683000000000001</v>
      </c>
      <c r="W27" s="54">
        <v>4.2290000000000001E-2</v>
      </c>
      <c r="X27" s="54">
        <v>1.261E-2</v>
      </c>
      <c r="Y27" s="54">
        <v>5.0555999999999997E-2</v>
      </c>
      <c r="Z27" s="52">
        <v>1012</v>
      </c>
      <c r="AA27" s="54">
        <v>9.8999999999999999E-4</v>
      </c>
      <c r="AB27" s="54">
        <v>0.91107000000000005</v>
      </c>
      <c r="AC27" s="54">
        <v>6.225E-2</v>
      </c>
      <c r="AD27" s="54">
        <v>2.3720000000000001E-2</v>
      </c>
      <c r="AE27" s="54">
        <v>1.9759999999999999E-3</v>
      </c>
      <c r="AF27" s="66" t="s">
        <v>173</v>
      </c>
      <c r="AG27" s="66" t="s">
        <v>173</v>
      </c>
      <c r="AH27" s="66" t="s">
        <v>173</v>
      </c>
      <c r="AI27" s="66" t="s">
        <v>173</v>
      </c>
      <c r="AJ27" s="52">
        <v>1601</v>
      </c>
      <c r="AK27" s="54">
        <v>0.80500000000000005</v>
      </c>
      <c r="AL27" s="53">
        <v>0.128</v>
      </c>
      <c r="AM27" s="55">
        <v>8570</v>
      </c>
      <c r="AN27" s="54">
        <v>0.33239999999999997</v>
      </c>
      <c r="AO27" s="54">
        <v>0.39428000000000002</v>
      </c>
      <c r="AP27" s="54">
        <v>0.60572000000000004</v>
      </c>
      <c r="AQ27" s="54">
        <v>0.623</v>
      </c>
      <c r="AR27" s="55">
        <v>8570</v>
      </c>
      <c r="AS27" s="54">
        <v>8.5199999999999998E-3</v>
      </c>
      <c r="AT27" s="54">
        <v>0.87060000000000004</v>
      </c>
      <c r="AU27" s="54">
        <v>5.3679999999999999E-2</v>
      </c>
      <c r="AV27" s="54">
        <v>1.6449999999999999E-2</v>
      </c>
      <c r="AW27" s="54">
        <v>5.076E-2</v>
      </c>
      <c r="AX27" s="55">
        <v>1282</v>
      </c>
      <c r="AY27" s="55">
        <v>0</v>
      </c>
      <c r="AZ27" s="55">
        <v>1012</v>
      </c>
      <c r="BA27" s="55">
        <v>268</v>
      </c>
      <c r="BB27" s="55">
        <v>2</v>
      </c>
      <c r="BC27" s="55">
        <v>0</v>
      </c>
      <c r="BD27" s="54">
        <v>3.8999999999999998E-3</v>
      </c>
      <c r="BE27" s="54">
        <v>0.88612000000000002</v>
      </c>
      <c r="BF27" s="54">
        <v>8.0339999999999995E-2</v>
      </c>
      <c r="BG27" s="54">
        <v>2.8080000000000001E-2</v>
      </c>
      <c r="BH27" s="54">
        <v>1.56E-3</v>
      </c>
      <c r="BI27" s="56">
        <v>0.13300000000000001</v>
      </c>
      <c r="BJ27" s="56">
        <v>0.25</v>
      </c>
      <c r="BK27" s="57" t="s">
        <v>173</v>
      </c>
      <c r="BL27" s="57" t="s">
        <v>173</v>
      </c>
      <c r="BM27" s="57" t="s">
        <v>173</v>
      </c>
      <c r="BN27" s="57" t="s">
        <v>173</v>
      </c>
      <c r="BO27" s="58">
        <v>5.8</v>
      </c>
      <c r="BP27" s="59">
        <v>142</v>
      </c>
      <c r="BQ27" s="54">
        <v>0.84880999999999995</v>
      </c>
      <c r="BR27" s="54">
        <v>0.79799999999999993</v>
      </c>
      <c r="BS27" s="60">
        <v>5.0199999999999996</v>
      </c>
      <c r="BT27" s="54">
        <v>0.53799999999999992</v>
      </c>
      <c r="BU27" s="54">
        <v>0.76800000000000002</v>
      </c>
      <c r="BV27" s="61">
        <v>505</v>
      </c>
      <c r="BW27" s="61">
        <v>254</v>
      </c>
      <c r="BX27" s="53">
        <v>0.50297029702970297</v>
      </c>
      <c r="BY27" s="59">
        <v>16</v>
      </c>
      <c r="BZ27" s="62">
        <v>9120.5499999999993</v>
      </c>
      <c r="CA27" s="63">
        <v>17903</v>
      </c>
      <c r="CB27" s="63">
        <v>3028</v>
      </c>
      <c r="CC27" s="63">
        <v>4935</v>
      </c>
      <c r="CD27" s="63">
        <v>5812</v>
      </c>
      <c r="CE27" s="63">
        <v>4128</v>
      </c>
      <c r="CF27" s="64">
        <v>16331.72</v>
      </c>
      <c r="CG27" s="64">
        <v>7036.04</v>
      </c>
      <c r="CH27" s="64">
        <v>5904.18</v>
      </c>
      <c r="CI27" s="63">
        <v>2661.91</v>
      </c>
      <c r="CJ27" s="63">
        <v>729.58</v>
      </c>
      <c r="CK27" s="63">
        <v>10385227</v>
      </c>
      <c r="CL27" s="63">
        <v>38420</v>
      </c>
      <c r="CM27" s="2"/>
      <c r="CN27" s="2"/>
    </row>
    <row r="28" spans="1:92" x14ac:dyDescent="0.2">
      <c r="A28" s="49">
        <v>9741</v>
      </c>
      <c r="B28" s="50" t="s">
        <v>351</v>
      </c>
      <c r="C28" s="50" t="s">
        <v>352</v>
      </c>
      <c r="D28" s="50">
        <v>1969</v>
      </c>
      <c r="E28" s="50" t="s">
        <v>353</v>
      </c>
      <c r="F28" s="50" t="s">
        <v>290</v>
      </c>
      <c r="G28" s="50"/>
      <c r="H28" s="51">
        <v>11806</v>
      </c>
      <c r="I28" s="51" t="s">
        <v>354</v>
      </c>
      <c r="J28" s="51" t="s">
        <v>355</v>
      </c>
      <c r="K28" s="51" t="s">
        <v>356</v>
      </c>
      <c r="L28" s="51" t="s">
        <v>357</v>
      </c>
      <c r="M28" s="51" t="s">
        <v>358</v>
      </c>
      <c r="N28" s="52">
        <v>5017</v>
      </c>
      <c r="O28" s="53">
        <v>5.6607534383097471E-2</v>
      </c>
      <c r="P28" s="53">
        <v>0.18357584213673511</v>
      </c>
      <c r="Q28" s="53">
        <v>0.32589196731114212</v>
      </c>
      <c r="R28" s="53">
        <v>0.39226629459836554</v>
      </c>
      <c r="S28" s="53">
        <v>4.1658361570659753E-2</v>
      </c>
      <c r="T28" s="52">
        <v>12781</v>
      </c>
      <c r="U28" s="54">
        <v>7.0499999999999993E-2</v>
      </c>
      <c r="V28" s="54">
        <v>0.16830000000000001</v>
      </c>
      <c r="W28" s="54">
        <v>0.40200000000000002</v>
      </c>
      <c r="X28" s="54">
        <v>0.31546999999999997</v>
      </c>
      <c r="Y28" s="54">
        <v>4.3736999999999998E-2</v>
      </c>
      <c r="Z28" s="52">
        <v>2785</v>
      </c>
      <c r="AA28" s="54">
        <v>6.2480000000000001E-2</v>
      </c>
      <c r="AB28" s="54">
        <v>0.13572999999999999</v>
      </c>
      <c r="AC28" s="54">
        <v>0.49048000000000003</v>
      </c>
      <c r="AD28" s="54">
        <v>0.26606999999999997</v>
      </c>
      <c r="AE28" s="54">
        <v>4.5241999999999997E-2</v>
      </c>
      <c r="AF28" s="50" t="s">
        <v>359</v>
      </c>
      <c r="AG28" s="50" t="s">
        <v>360</v>
      </c>
      <c r="AH28" s="50" t="s">
        <v>341</v>
      </c>
      <c r="AI28" s="50" t="s">
        <v>361</v>
      </c>
      <c r="AJ28" s="52">
        <v>7195</v>
      </c>
      <c r="AK28" s="54">
        <v>0.69700000000000006</v>
      </c>
      <c r="AL28" s="53">
        <v>0.29899999999999999</v>
      </c>
      <c r="AM28" s="55">
        <v>21193</v>
      </c>
      <c r="AN28" s="54">
        <v>0.41826000000000002</v>
      </c>
      <c r="AO28" s="54">
        <v>0.17791999999999999</v>
      </c>
      <c r="AP28" s="54">
        <v>0.82208000000000003</v>
      </c>
      <c r="AQ28" s="54">
        <v>0.34200000000000003</v>
      </c>
      <c r="AR28" s="55">
        <v>21193</v>
      </c>
      <c r="AS28" s="54">
        <v>5.7189999999999998E-2</v>
      </c>
      <c r="AT28" s="54">
        <v>0.12221</v>
      </c>
      <c r="AU28" s="54">
        <v>0.35342000000000001</v>
      </c>
      <c r="AV28" s="54">
        <v>0.23866000000000001</v>
      </c>
      <c r="AW28" s="54">
        <v>0.22852</v>
      </c>
      <c r="AX28" s="55">
        <v>5597</v>
      </c>
      <c r="AY28" s="55">
        <v>0</v>
      </c>
      <c r="AZ28" s="55">
        <v>2785</v>
      </c>
      <c r="BA28" s="55">
        <v>2619</v>
      </c>
      <c r="BB28" s="55">
        <v>183</v>
      </c>
      <c r="BC28" s="55">
        <v>10</v>
      </c>
      <c r="BD28" s="54">
        <v>4.931E-2</v>
      </c>
      <c r="BE28" s="54">
        <v>8.8440000000000005E-2</v>
      </c>
      <c r="BF28" s="54">
        <v>0.38878000000000001</v>
      </c>
      <c r="BG28" s="54">
        <v>0.20671999999999999</v>
      </c>
      <c r="BH28" s="54">
        <v>0.26674999999999999</v>
      </c>
      <c r="BI28" s="56">
        <v>0.496</v>
      </c>
      <c r="BJ28" s="56">
        <v>0.45899999999999996</v>
      </c>
      <c r="BK28" s="57">
        <v>0.69499999999999995</v>
      </c>
      <c r="BL28" s="57">
        <v>0.70400000000000007</v>
      </c>
      <c r="BM28" s="57">
        <v>0.79299999999999993</v>
      </c>
      <c r="BN28" s="57">
        <v>0.55799999999999994</v>
      </c>
      <c r="BO28" s="58">
        <v>5</v>
      </c>
      <c r="BP28" s="59">
        <v>142</v>
      </c>
      <c r="BQ28" s="54">
        <v>0.56122000000000005</v>
      </c>
      <c r="BR28" s="54">
        <v>0.77</v>
      </c>
      <c r="BS28" s="60">
        <v>3.79</v>
      </c>
      <c r="BT28" s="54">
        <v>0.64500000000000002</v>
      </c>
      <c r="BU28" s="54">
        <v>0.45799999999999996</v>
      </c>
      <c r="BV28" s="61">
        <v>856</v>
      </c>
      <c r="BW28" s="61">
        <v>413</v>
      </c>
      <c r="BX28" s="53">
        <v>0.4824766355140187</v>
      </c>
      <c r="BY28" s="59">
        <v>22</v>
      </c>
      <c r="BZ28" s="62">
        <v>16558</v>
      </c>
      <c r="CA28" s="63">
        <v>25792</v>
      </c>
      <c r="CB28" s="63">
        <v>11101</v>
      </c>
      <c r="CC28" s="63">
        <v>7148</v>
      </c>
      <c r="CD28" s="63">
        <v>3194</v>
      </c>
      <c r="CE28" s="63">
        <v>4349</v>
      </c>
      <c r="CF28" s="64">
        <v>23041.84</v>
      </c>
      <c r="CG28" s="64">
        <v>15751.39</v>
      </c>
      <c r="CH28" s="64">
        <v>1958.75</v>
      </c>
      <c r="CI28" s="63">
        <v>4384.8500000000004</v>
      </c>
      <c r="CJ28" s="63">
        <v>946.85</v>
      </c>
      <c r="CK28" s="63">
        <v>98842525</v>
      </c>
      <c r="CL28" s="63">
        <v>129321</v>
      </c>
      <c r="CM28" s="2"/>
      <c r="CN28" s="2"/>
    </row>
    <row r="29" spans="1:92" x14ac:dyDescent="0.2">
      <c r="A29" s="49">
        <v>3661</v>
      </c>
      <c r="B29" s="50" t="s">
        <v>362</v>
      </c>
      <c r="C29" s="50" t="s">
        <v>363</v>
      </c>
      <c r="D29" s="50">
        <v>1914</v>
      </c>
      <c r="E29" s="50" t="s">
        <v>364</v>
      </c>
      <c r="F29" s="50" t="s">
        <v>290</v>
      </c>
      <c r="G29" s="50" t="s">
        <v>84</v>
      </c>
      <c r="H29" s="51">
        <v>7018</v>
      </c>
      <c r="I29" s="51" t="s">
        <v>365</v>
      </c>
      <c r="J29" s="51" t="s">
        <v>366</v>
      </c>
      <c r="K29" s="51" t="s">
        <v>367</v>
      </c>
      <c r="L29" s="51" t="s">
        <v>368</v>
      </c>
      <c r="M29" s="51" t="s">
        <v>369</v>
      </c>
      <c r="N29" s="52">
        <v>6884</v>
      </c>
      <c r="O29" s="53">
        <v>3.9221382916908777E-2</v>
      </c>
      <c r="P29" s="53">
        <v>0.8513945380592679</v>
      </c>
      <c r="Q29" s="53">
        <v>5.665310865775712E-2</v>
      </c>
      <c r="R29" s="53">
        <v>2.832655432887856E-2</v>
      </c>
      <c r="S29" s="53">
        <v>2.4404416037187682E-2</v>
      </c>
      <c r="T29" s="52">
        <v>19683</v>
      </c>
      <c r="U29" s="54">
        <v>3.0329999999999999E-2</v>
      </c>
      <c r="V29" s="54">
        <v>0.82518000000000002</v>
      </c>
      <c r="W29" s="54">
        <v>7.7630000000000005E-2</v>
      </c>
      <c r="X29" s="54">
        <v>1.7729999999999999E-2</v>
      </c>
      <c r="Y29" s="54">
        <v>4.9128999999999999E-2</v>
      </c>
      <c r="Z29" s="52">
        <v>3123</v>
      </c>
      <c r="AA29" s="54">
        <v>2.3699999999999999E-2</v>
      </c>
      <c r="AB29" s="54">
        <v>0.79762999999999995</v>
      </c>
      <c r="AC29" s="54">
        <v>0.10247000000000001</v>
      </c>
      <c r="AD29" s="54">
        <v>1.7930000000000001E-2</v>
      </c>
      <c r="AE29" s="54">
        <v>5.8277000000000002E-2</v>
      </c>
      <c r="AF29" s="50" t="s">
        <v>185</v>
      </c>
      <c r="AG29" s="50" t="s">
        <v>195</v>
      </c>
      <c r="AH29" s="50" t="s">
        <v>153</v>
      </c>
      <c r="AI29" s="50" t="s">
        <v>370</v>
      </c>
      <c r="AJ29" s="52">
        <v>6892</v>
      </c>
      <c r="AK29" s="54">
        <v>0.99900000000000011</v>
      </c>
      <c r="AL29" s="53">
        <v>0.14199999999999999</v>
      </c>
      <c r="AM29" s="55">
        <v>22926</v>
      </c>
      <c r="AN29" s="54">
        <v>0.12064</v>
      </c>
      <c r="AO29" s="54">
        <v>0.34089999999999998</v>
      </c>
      <c r="AP29" s="54">
        <v>0.65910000000000002</v>
      </c>
      <c r="AQ29" s="54">
        <v>0.625</v>
      </c>
      <c r="AR29" s="55">
        <v>22926</v>
      </c>
      <c r="AS29" s="54">
        <v>3.0269999999999998E-2</v>
      </c>
      <c r="AT29" s="54">
        <v>0.79415999999999998</v>
      </c>
      <c r="AU29" s="54">
        <v>9.1079999999999994E-2</v>
      </c>
      <c r="AV29" s="54">
        <v>2.1069999999999998E-2</v>
      </c>
      <c r="AW29" s="54">
        <v>6.3420000000000004E-2</v>
      </c>
      <c r="AX29" s="55">
        <v>4371</v>
      </c>
      <c r="AY29" s="55">
        <v>0</v>
      </c>
      <c r="AZ29" s="55">
        <v>3123</v>
      </c>
      <c r="BA29" s="55">
        <v>1120</v>
      </c>
      <c r="BB29" s="55">
        <v>107</v>
      </c>
      <c r="BC29" s="55">
        <v>21</v>
      </c>
      <c r="BD29" s="54">
        <v>2.8139999999999998E-2</v>
      </c>
      <c r="BE29" s="54">
        <v>0.72911999999999999</v>
      </c>
      <c r="BF29" s="54">
        <v>0.12629000000000001</v>
      </c>
      <c r="BG29" s="54">
        <v>2.334E-2</v>
      </c>
      <c r="BH29" s="54">
        <v>9.3109999999999998E-2</v>
      </c>
      <c r="BI29" s="56">
        <v>0.127</v>
      </c>
      <c r="BJ29" s="56">
        <v>3.6000000000000004E-2</v>
      </c>
      <c r="BK29" s="57">
        <v>0.433</v>
      </c>
      <c r="BL29" s="57">
        <v>0.18100000000000002</v>
      </c>
      <c r="BM29" s="57">
        <v>0.502</v>
      </c>
      <c r="BN29" s="57">
        <v>0.313</v>
      </c>
      <c r="BO29" s="58">
        <v>5.7</v>
      </c>
      <c r="BP29" s="59">
        <v>146</v>
      </c>
      <c r="BQ29" s="54">
        <v>0.81972</v>
      </c>
      <c r="BR29" s="54">
        <v>0.69400000000000006</v>
      </c>
      <c r="BS29" s="60">
        <v>4.59</v>
      </c>
      <c r="BT29" s="54">
        <v>0.53600000000000003</v>
      </c>
      <c r="BU29" s="54">
        <v>0.35799999999999998</v>
      </c>
      <c r="BV29" s="61">
        <v>974</v>
      </c>
      <c r="BW29" s="61">
        <v>485</v>
      </c>
      <c r="BX29" s="53">
        <v>0.49794661190965095</v>
      </c>
      <c r="BY29" s="59">
        <v>22</v>
      </c>
      <c r="BZ29" s="62">
        <v>17773</v>
      </c>
      <c r="CA29" s="63">
        <v>19677</v>
      </c>
      <c r="CB29" s="63">
        <v>4526</v>
      </c>
      <c r="CC29" s="63">
        <v>6461</v>
      </c>
      <c r="CD29" s="63">
        <v>6813</v>
      </c>
      <c r="CE29" s="63">
        <v>1877</v>
      </c>
      <c r="CF29" s="64">
        <v>17522.259999999998</v>
      </c>
      <c r="CG29" s="64">
        <v>10318.43</v>
      </c>
      <c r="CH29" s="64">
        <v>4017.74</v>
      </c>
      <c r="CI29" s="63">
        <v>2835.08</v>
      </c>
      <c r="CJ29" s="63">
        <v>351.01</v>
      </c>
      <c r="CK29" s="63">
        <v>76740368</v>
      </c>
      <c r="CL29" s="63">
        <v>106420</v>
      </c>
      <c r="CM29" s="2"/>
      <c r="CN29" s="2"/>
    </row>
    <row r="30" spans="1:92" x14ac:dyDescent="0.2">
      <c r="A30" s="49">
        <v>3599</v>
      </c>
      <c r="B30" s="50" t="s">
        <v>371</v>
      </c>
      <c r="C30" s="50" t="s">
        <v>372</v>
      </c>
      <c r="D30" s="50">
        <v>1927</v>
      </c>
      <c r="E30" s="50" t="s">
        <v>373</v>
      </c>
      <c r="F30" s="69" t="s">
        <v>134</v>
      </c>
      <c r="G30" s="50" t="s">
        <v>84</v>
      </c>
      <c r="H30" s="51">
        <v>6134</v>
      </c>
      <c r="I30" s="51" t="s">
        <v>374</v>
      </c>
      <c r="J30" s="51" t="s">
        <v>375</v>
      </c>
      <c r="K30" s="51" t="s">
        <v>376</v>
      </c>
      <c r="L30" s="51" t="s">
        <v>377</v>
      </c>
      <c r="M30" s="51" t="s">
        <v>378</v>
      </c>
      <c r="N30" s="52">
        <v>6825</v>
      </c>
      <c r="O30" s="53">
        <v>7.9120879120879121E-3</v>
      </c>
      <c r="P30" s="53">
        <v>0.92527472527472532</v>
      </c>
      <c r="Q30" s="53">
        <v>2.8131868131868132E-2</v>
      </c>
      <c r="R30" s="53">
        <v>3.0183150183150185E-2</v>
      </c>
      <c r="S30" s="53">
        <v>8.4981684981684982E-3</v>
      </c>
      <c r="T30" s="52">
        <v>17230</v>
      </c>
      <c r="U30" s="54">
        <v>6.62E-3</v>
      </c>
      <c r="V30" s="54">
        <v>0.89929999999999999</v>
      </c>
      <c r="W30" s="54">
        <v>3.1629999999999998E-2</v>
      </c>
      <c r="X30" s="54">
        <v>4.1730000000000003E-2</v>
      </c>
      <c r="Y30" s="54">
        <v>2.0719999999999999E-2</v>
      </c>
      <c r="Z30" s="52">
        <v>2817</v>
      </c>
      <c r="AA30" s="54">
        <v>3.8999999999999998E-3</v>
      </c>
      <c r="AB30" s="54">
        <v>0.88782000000000005</v>
      </c>
      <c r="AC30" s="54">
        <v>3.6920000000000001E-2</v>
      </c>
      <c r="AD30" s="54">
        <v>5.4309999999999997E-2</v>
      </c>
      <c r="AE30" s="54">
        <v>1.7038999999999999E-2</v>
      </c>
      <c r="AF30" s="50" t="s">
        <v>184</v>
      </c>
      <c r="AG30" s="50" t="s">
        <v>379</v>
      </c>
      <c r="AH30" s="50" t="s">
        <v>117</v>
      </c>
      <c r="AI30" s="50" t="s">
        <v>380</v>
      </c>
      <c r="AJ30" s="52">
        <v>9832</v>
      </c>
      <c r="AK30" s="54">
        <v>0.69400000000000006</v>
      </c>
      <c r="AL30" s="53">
        <v>0.20499999999999999</v>
      </c>
      <c r="AM30" s="55">
        <v>20053</v>
      </c>
      <c r="AN30" s="54">
        <v>0.14366000000000001</v>
      </c>
      <c r="AO30" s="54">
        <v>0.23860000000000001</v>
      </c>
      <c r="AP30" s="54">
        <v>0.76139999999999997</v>
      </c>
      <c r="AQ30" s="54">
        <v>0.66599999999999993</v>
      </c>
      <c r="AR30" s="55">
        <v>20053</v>
      </c>
      <c r="AS30" s="54">
        <v>7.0299999999999998E-3</v>
      </c>
      <c r="AT30" s="54">
        <v>0.88221000000000005</v>
      </c>
      <c r="AU30" s="54">
        <v>3.4959999999999998E-2</v>
      </c>
      <c r="AV30" s="54">
        <v>4.9669999999999999E-2</v>
      </c>
      <c r="AW30" s="54">
        <v>2.613E-2</v>
      </c>
      <c r="AX30" s="55">
        <v>3560</v>
      </c>
      <c r="AY30" s="55">
        <v>0</v>
      </c>
      <c r="AZ30" s="55">
        <v>2817</v>
      </c>
      <c r="BA30" s="55">
        <v>720</v>
      </c>
      <c r="BB30" s="55">
        <v>23</v>
      </c>
      <c r="BC30" s="55">
        <v>0</v>
      </c>
      <c r="BD30" s="54">
        <v>3.65E-3</v>
      </c>
      <c r="BE30" s="54">
        <v>0.86741999999999997</v>
      </c>
      <c r="BF30" s="54">
        <v>3.3709999999999997E-2</v>
      </c>
      <c r="BG30" s="54">
        <v>7.2190000000000004E-2</v>
      </c>
      <c r="BH30" s="54">
        <v>2.3029999999999998E-2</v>
      </c>
      <c r="BI30" s="56">
        <v>0.184</v>
      </c>
      <c r="BJ30" s="56">
        <v>5.7999999999999996E-2</v>
      </c>
      <c r="BK30" s="57">
        <v>0.441</v>
      </c>
      <c r="BL30" s="57">
        <v>0.13100000000000001</v>
      </c>
      <c r="BM30" s="57">
        <v>0.52700000000000002</v>
      </c>
      <c r="BN30" s="57">
        <v>0.28399999999999997</v>
      </c>
      <c r="BO30" s="58">
        <v>5.3</v>
      </c>
      <c r="BP30" s="59">
        <v>149</v>
      </c>
      <c r="BQ30" s="54">
        <v>0.90059999999999996</v>
      </c>
      <c r="BR30" s="54">
        <v>0.77400000000000002</v>
      </c>
      <c r="BS30" s="60">
        <v>4.7699999999999996</v>
      </c>
      <c r="BT30" s="54">
        <v>0.60799999999999998</v>
      </c>
      <c r="BU30" s="54">
        <v>0.34499999999999997</v>
      </c>
      <c r="BV30" s="61">
        <v>772</v>
      </c>
      <c r="BW30" s="61">
        <v>458</v>
      </c>
      <c r="BX30" s="53">
        <v>0.59326424870466321</v>
      </c>
      <c r="BY30" s="59">
        <v>27</v>
      </c>
      <c r="BZ30" s="62">
        <v>16173</v>
      </c>
      <c r="CA30" s="63">
        <v>15289</v>
      </c>
      <c r="CB30" s="63">
        <v>2295</v>
      </c>
      <c r="CC30" s="63">
        <v>6583</v>
      </c>
      <c r="CD30" s="63">
        <v>5289</v>
      </c>
      <c r="CE30" s="63">
        <v>1122</v>
      </c>
      <c r="CF30" s="64">
        <v>13318.91</v>
      </c>
      <c r="CG30" s="64">
        <v>6710.84</v>
      </c>
      <c r="CH30" s="64">
        <v>3739.98</v>
      </c>
      <c r="CI30" s="63">
        <v>2440</v>
      </c>
      <c r="CJ30" s="63">
        <v>428.1</v>
      </c>
      <c r="CK30" s="63">
        <v>8542838</v>
      </c>
      <c r="CL30" s="63">
        <v>19118</v>
      </c>
      <c r="CM30" s="2"/>
      <c r="CN30" s="2"/>
    </row>
    <row r="31" spans="1:92" ht="12.75" customHeight="1" x14ac:dyDescent="0.2">
      <c r="A31" s="49">
        <v>9930</v>
      </c>
      <c r="B31" s="50" t="s">
        <v>381</v>
      </c>
      <c r="C31" s="50" t="s">
        <v>382</v>
      </c>
      <c r="D31" s="50">
        <v>1969</v>
      </c>
      <c r="E31" s="50" t="s">
        <v>383</v>
      </c>
      <c r="F31" s="50" t="s">
        <v>83</v>
      </c>
      <c r="G31" s="50" t="s">
        <v>84</v>
      </c>
      <c r="H31" s="51">
        <v>6776</v>
      </c>
      <c r="I31" s="51" t="s">
        <v>384</v>
      </c>
      <c r="J31" s="51" t="s">
        <v>385</v>
      </c>
      <c r="K31" s="51" t="s">
        <v>386</v>
      </c>
      <c r="L31" s="51" t="s">
        <v>387</v>
      </c>
      <c r="M31" s="51" t="s">
        <v>388</v>
      </c>
      <c r="N31" s="52">
        <v>799</v>
      </c>
      <c r="O31" s="53">
        <v>5.0062578222778473E-2</v>
      </c>
      <c r="P31" s="53">
        <v>0.5143929912390488</v>
      </c>
      <c r="Q31" s="53">
        <v>0.33291614518147683</v>
      </c>
      <c r="R31" s="53">
        <v>7.634543178973717E-2</v>
      </c>
      <c r="S31" s="53">
        <v>2.6282853566958697E-2</v>
      </c>
      <c r="T31" s="52">
        <v>4246</v>
      </c>
      <c r="U31" s="54">
        <v>5.6050000000000003E-2</v>
      </c>
      <c r="V31" s="54">
        <v>0.42792999999999998</v>
      </c>
      <c r="W31" s="54">
        <v>0.44653999999999999</v>
      </c>
      <c r="X31" s="54">
        <v>6.0060000000000002E-2</v>
      </c>
      <c r="Y31" s="54">
        <v>9.4210000000000006E-3</v>
      </c>
      <c r="Z31" s="52">
        <v>569</v>
      </c>
      <c r="AA31" s="54">
        <v>5.2720000000000003E-2</v>
      </c>
      <c r="AB31" s="54">
        <v>0.42531000000000002</v>
      </c>
      <c r="AC31" s="54">
        <v>0.46572999999999998</v>
      </c>
      <c r="AD31" s="54">
        <v>4.5690000000000001E-2</v>
      </c>
      <c r="AE31" s="54">
        <v>1.0545000000000001E-2</v>
      </c>
      <c r="AF31" s="50" t="s">
        <v>389</v>
      </c>
      <c r="AG31" s="50" t="s">
        <v>390</v>
      </c>
      <c r="AH31" s="50" t="s">
        <v>92</v>
      </c>
      <c r="AI31" s="50" t="s">
        <v>391</v>
      </c>
      <c r="AJ31" s="52">
        <v>973</v>
      </c>
      <c r="AK31" s="54">
        <v>0.82099999999999995</v>
      </c>
      <c r="AL31" s="53">
        <v>0.21899999999999997</v>
      </c>
      <c r="AM31" s="55">
        <v>5131</v>
      </c>
      <c r="AN31" s="54">
        <v>0.46767999999999998</v>
      </c>
      <c r="AO31" s="54">
        <v>0.54686999999999997</v>
      </c>
      <c r="AP31" s="54">
        <v>0.45337</v>
      </c>
      <c r="AQ31" s="54">
        <v>0.43200000000000005</v>
      </c>
      <c r="AR31" s="55">
        <v>5131</v>
      </c>
      <c r="AS31" s="54">
        <v>5.8270000000000002E-2</v>
      </c>
      <c r="AT31" s="54">
        <v>0.41532000000000002</v>
      </c>
      <c r="AU31" s="54">
        <v>0.45663999999999999</v>
      </c>
      <c r="AV31" s="54">
        <v>5.8470000000000001E-2</v>
      </c>
      <c r="AW31" s="54">
        <v>1.1299999999999999E-2</v>
      </c>
      <c r="AX31" s="55">
        <v>737</v>
      </c>
      <c r="AY31" s="55">
        <v>0</v>
      </c>
      <c r="AZ31" s="55">
        <v>569</v>
      </c>
      <c r="BA31" s="55">
        <v>168</v>
      </c>
      <c r="BB31" s="55">
        <v>0</v>
      </c>
      <c r="BC31" s="55">
        <v>0</v>
      </c>
      <c r="BD31" s="54">
        <v>4.6129999999999997E-2</v>
      </c>
      <c r="BE31" s="54">
        <v>0.40027000000000001</v>
      </c>
      <c r="BF31" s="54">
        <v>0.48981999999999998</v>
      </c>
      <c r="BG31" s="54">
        <v>4.6129999999999997E-2</v>
      </c>
      <c r="BH31" s="54">
        <v>1.7639999999999999E-2</v>
      </c>
      <c r="BI31" s="56">
        <v>0.25800000000000001</v>
      </c>
      <c r="BJ31" s="56">
        <v>0</v>
      </c>
      <c r="BK31" s="57">
        <v>0.371</v>
      </c>
      <c r="BL31" s="57">
        <v>9.0999999999999998E-2</v>
      </c>
      <c r="BM31" s="57">
        <v>0.49200000000000005</v>
      </c>
      <c r="BN31" s="57">
        <v>0.55600000000000005</v>
      </c>
      <c r="BO31" s="58">
        <v>5.2</v>
      </c>
      <c r="BP31" s="59">
        <v>139</v>
      </c>
      <c r="BQ31" s="54">
        <v>0.73462000000000005</v>
      </c>
      <c r="BR31" s="54">
        <v>0.85299999999999998</v>
      </c>
      <c r="BS31" s="60">
        <v>4.3099999999999996</v>
      </c>
      <c r="BT31" s="54">
        <v>0.47399999999999998</v>
      </c>
      <c r="BU31" s="54">
        <v>0.41200000000000003</v>
      </c>
      <c r="BV31" s="61">
        <v>181</v>
      </c>
      <c r="BW31" s="61">
        <v>82</v>
      </c>
      <c r="BX31" s="53">
        <v>0.45303867403314918</v>
      </c>
      <c r="BY31" s="59">
        <v>21</v>
      </c>
      <c r="BZ31" s="62">
        <v>3056</v>
      </c>
      <c r="CA31" s="63">
        <v>19149</v>
      </c>
      <c r="CB31" s="63">
        <v>4464</v>
      </c>
      <c r="CC31" s="63">
        <v>9310</v>
      </c>
      <c r="CD31" s="63">
        <v>3084</v>
      </c>
      <c r="CE31" s="63">
        <v>2291</v>
      </c>
      <c r="CF31" s="64">
        <v>14833.92</v>
      </c>
      <c r="CG31" s="64">
        <v>7359.34</v>
      </c>
      <c r="CH31" s="64">
        <v>3379.67</v>
      </c>
      <c r="CI31" s="63">
        <v>3680.89</v>
      </c>
      <c r="CJ31" s="63">
        <v>414.03</v>
      </c>
      <c r="CK31" s="63">
        <v>1103046</v>
      </c>
      <c r="CL31" s="63">
        <v>6434</v>
      </c>
      <c r="CM31" s="2"/>
      <c r="CN31" s="2"/>
    </row>
    <row r="32" spans="1:92" ht="12.75" customHeight="1" x14ac:dyDescent="0.2">
      <c r="A32" s="49">
        <v>10115</v>
      </c>
      <c r="B32" s="50" t="s">
        <v>392</v>
      </c>
      <c r="C32" s="50" t="s">
        <v>260</v>
      </c>
      <c r="D32" s="50">
        <v>1969</v>
      </c>
      <c r="E32" s="50" t="s">
        <v>393</v>
      </c>
      <c r="F32" s="50" t="s">
        <v>290</v>
      </c>
      <c r="G32" s="50" t="s">
        <v>84</v>
      </c>
      <c r="H32" s="51">
        <v>9082</v>
      </c>
      <c r="I32" s="51" t="s">
        <v>394</v>
      </c>
      <c r="J32" s="51" t="s">
        <v>324</v>
      </c>
      <c r="K32" s="51" t="s">
        <v>395</v>
      </c>
      <c r="L32" s="51" t="s">
        <v>396</v>
      </c>
      <c r="M32" s="51" t="s">
        <v>397</v>
      </c>
      <c r="N32" s="52">
        <v>8671</v>
      </c>
      <c r="O32" s="53">
        <v>9.3991465805558755E-2</v>
      </c>
      <c r="P32" s="53">
        <v>0.52854342059739357</v>
      </c>
      <c r="Q32" s="53">
        <v>0.23422903932649061</v>
      </c>
      <c r="R32" s="53">
        <v>0.11082920078422327</v>
      </c>
      <c r="S32" s="53">
        <v>3.2406873486333754E-2</v>
      </c>
      <c r="T32" s="52">
        <v>24342</v>
      </c>
      <c r="U32" s="54">
        <v>0.10417999999999999</v>
      </c>
      <c r="V32" s="54">
        <v>0.48438999999999999</v>
      </c>
      <c r="W32" s="54">
        <v>0.28022000000000002</v>
      </c>
      <c r="X32" s="54">
        <v>8.4220000000000003E-2</v>
      </c>
      <c r="Y32" s="54">
        <v>4.6996999999999997E-2</v>
      </c>
      <c r="Z32" s="52">
        <v>4461</v>
      </c>
      <c r="AA32" s="54">
        <v>8.3169999999999994E-2</v>
      </c>
      <c r="AB32" s="54">
        <v>0.47366000000000003</v>
      </c>
      <c r="AC32" s="54">
        <v>0.32368999999999998</v>
      </c>
      <c r="AD32" s="54">
        <v>9.4369999999999996E-2</v>
      </c>
      <c r="AE32" s="54">
        <v>2.5106E-2</v>
      </c>
      <c r="AF32" s="50" t="s">
        <v>398</v>
      </c>
      <c r="AG32" s="50" t="s">
        <v>399</v>
      </c>
      <c r="AH32" s="50" t="s">
        <v>329</v>
      </c>
      <c r="AI32" s="50" t="s">
        <v>92</v>
      </c>
      <c r="AJ32" s="52">
        <v>13988</v>
      </c>
      <c r="AK32" s="54">
        <v>0.62</v>
      </c>
      <c r="AL32" s="53">
        <v>0.17100000000000001</v>
      </c>
      <c r="AM32" s="55">
        <v>28623</v>
      </c>
      <c r="AN32" s="54">
        <v>7.3899999999999999E-3</v>
      </c>
      <c r="AO32" s="54">
        <v>0.17702000000000001</v>
      </c>
      <c r="AP32" s="54">
        <v>0.82298000000000004</v>
      </c>
      <c r="AQ32" s="54">
        <v>0.45</v>
      </c>
      <c r="AR32" s="55">
        <v>28623</v>
      </c>
      <c r="AS32" s="54">
        <v>9.7930000000000003E-2</v>
      </c>
      <c r="AT32" s="54">
        <v>0.46566999999999997</v>
      </c>
      <c r="AU32" s="54">
        <v>0.29225000000000001</v>
      </c>
      <c r="AV32" s="54">
        <v>8.2030000000000006E-2</v>
      </c>
      <c r="AW32" s="54">
        <v>6.2120000000000002E-2</v>
      </c>
      <c r="AX32" s="55">
        <v>5856</v>
      </c>
      <c r="AY32" s="55">
        <v>0</v>
      </c>
      <c r="AZ32" s="55">
        <v>4461</v>
      </c>
      <c r="BA32" s="55">
        <v>1296</v>
      </c>
      <c r="BB32" s="55">
        <v>99</v>
      </c>
      <c r="BC32" s="55">
        <v>0</v>
      </c>
      <c r="BD32" s="54">
        <v>7.8039999999999998E-2</v>
      </c>
      <c r="BE32" s="54">
        <v>0.43955</v>
      </c>
      <c r="BF32" s="54">
        <v>0.33333000000000002</v>
      </c>
      <c r="BG32" s="54">
        <v>8.7940000000000004E-2</v>
      </c>
      <c r="BH32" s="54">
        <v>6.1129999999999997E-2</v>
      </c>
      <c r="BI32" s="56">
        <v>0.193</v>
      </c>
      <c r="BJ32" s="56">
        <v>7.6999999999999999E-2</v>
      </c>
      <c r="BK32" s="57">
        <v>0.49200000000000005</v>
      </c>
      <c r="BL32" s="57">
        <v>0.30299999999999999</v>
      </c>
      <c r="BM32" s="57">
        <v>0.58299999999999996</v>
      </c>
      <c r="BN32" s="57">
        <v>0.51400000000000001</v>
      </c>
      <c r="BO32" s="58">
        <v>5.4</v>
      </c>
      <c r="BP32" s="59">
        <v>146</v>
      </c>
      <c r="BQ32" s="54">
        <v>0.78346000000000005</v>
      </c>
      <c r="BR32" s="54">
        <v>0.77300000000000002</v>
      </c>
      <c r="BS32" s="60">
        <v>4.84</v>
      </c>
      <c r="BT32" s="54">
        <v>0.505</v>
      </c>
      <c r="BU32" s="54">
        <v>0.33200000000000002</v>
      </c>
      <c r="BV32" s="61">
        <v>1228</v>
      </c>
      <c r="BW32" s="61">
        <v>545</v>
      </c>
      <c r="BX32" s="53">
        <v>0.44381107491856675</v>
      </c>
      <c r="BY32" s="59">
        <v>25</v>
      </c>
      <c r="BZ32" s="62">
        <v>24187</v>
      </c>
      <c r="CA32" s="63">
        <v>18457</v>
      </c>
      <c r="CB32" s="63">
        <v>6549</v>
      </c>
      <c r="CC32" s="63">
        <v>5570</v>
      </c>
      <c r="CD32" s="63">
        <v>4644</v>
      </c>
      <c r="CE32" s="63">
        <v>1694</v>
      </c>
      <c r="CF32" s="64">
        <v>15569.07</v>
      </c>
      <c r="CG32" s="64">
        <v>9126.48</v>
      </c>
      <c r="CH32" s="64">
        <v>2883.82</v>
      </c>
      <c r="CI32" s="63">
        <v>3310.74</v>
      </c>
      <c r="CJ32" s="63">
        <v>248.03</v>
      </c>
      <c r="CK32" s="63">
        <v>51417892</v>
      </c>
      <c r="CL32" s="63">
        <v>62760</v>
      </c>
      <c r="CM32" s="2"/>
      <c r="CN32" s="2"/>
    </row>
    <row r="33" spans="1:92" x14ac:dyDescent="0.2">
      <c r="A33" s="49">
        <v>11163</v>
      </c>
      <c r="B33" s="50" t="s">
        <v>400</v>
      </c>
      <c r="C33" s="50" t="s">
        <v>401</v>
      </c>
      <c r="D33" s="50">
        <v>1971</v>
      </c>
      <c r="E33" s="50" t="s">
        <v>402</v>
      </c>
      <c r="F33" s="50" t="s">
        <v>83</v>
      </c>
      <c r="G33" s="50"/>
      <c r="H33" s="51">
        <v>7222</v>
      </c>
      <c r="I33" s="51" t="s">
        <v>403</v>
      </c>
      <c r="J33" s="51" t="s">
        <v>404</v>
      </c>
      <c r="K33" s="51" t="s">
        <v>405</v>
      </c>
      <c r="L33" s="51" t="s">
        <v>406</v>
      </c>
      <c r="M33" s="51" t="s">
        <v>407</v>
      </c>
      <c r="N33" s="52">
        <v>1739</v>
      </c>
      <c r="O33" s="53">
        <v>9.2581943645773435E-2</v>
      </c>
      <c r="P33" s="53">
        <v>0.26797009775733183</v>
      </c>
      <c r="Q33" s="53">
        <v>0.51236342725704431</v>
      </c>
      <c r="R33" s="53">
        <v>0.12133410005750431</v>
      </c>
      <c r="S33" s="53">
        <v>5.7504312823461762E-3</v>
      </c>
      <c r="T33" s="52">
        <v>5401</v>
      </c>
      <c r="U33" s="54">
        <v>0.10646</v>
      </c>
      <c r="V33" s="54">
        <v>0.14793999999999999</v>
      </c>
      <c r="W33" s="54">
        <v>0.62822</v>
      </c>
      <c r="X33" s="54">
        <v>0.10535</v>
      </c>
      <c r="Y33" s="54">
        <v>1.2035000000000001E-2</v>
      </c>
      <c r="Z33" s="52">
        <v>1271</v>
      </c>
      <c r="AA33" s="54">
        <v>9.2050000000000007E-2</v>
      </c>
      <c r="AB33" s="54">
        <v>0.10936</v>
      </c>
      <c r="AC33" s="54">
        <v>0.72541</v>
      </c>
      <c r="AD33" s="54">
        <v>6.0580000000000002E-2</v>
      </c>
      <c r="AE33" s="54">
        <v>1.2588999999999999E-2</v>
      </c>
      <c r="AF33" s="50" t="s">
        <v>408</v>
      </c>
      <c r="AG33" s="50" t="s">
        <v>114</v>
      </c>
      <c r="AH33" s="50" t="s">
        <v>409</v>
      </c>
      <c r="AI33" s="50" t="s">
        <v>330</v>
      </c>
      <c r="AJ33" s="52">
        <v>2119</v>
      </c>
      <c r="AK33" s="54">
        <v>0.82099999999999995</v>
      </c>
      <c r="AL33" s="53">
        <v>0.11900000000000001</v>
      </c>
      <c r="AM33" s="55">
        <v>7476</v>
      </c>
      <c r="AN33" s="54">
        <v>0.22217000000000001</v>
      </c>
      <c r="AO33" s="54">
        <v>0.26032</v>
      </c>
      <c r="AP33" s="54">
        <v>0.73968</v>
      </c>
      <c r="AQ33" s="54">
        <v>0.39500000000000002</v>
      </c>
      <c r="AR33" s="55">
        <v>7476</v>
      </c>
      <c r="AS33" s="54">
        <v>0.10995000000000001</v>
      </c>
      <c r="AT33" s="54">
        <v>0.13483000000000001</v>
      </c>
      <c r="AU33" s="54">
        <v>0.63216000000000006</v>
      </c>
      <c r="AV33" s="54">
        <v>9.7239999999999993E-2</v>
      </c>
      <c r="AW33" s="54">
        <v>2.5819999999999999E-2</v>
      </c>
      <c r="AX33" s="55">
        <v>1768</v>
      </c>
      <c r="AY33" s="55">
        <v>0</v>
      </c>
      <c r="AZ33" s="55">
        <v>1271</v>
      </c>
      <c r="BA33" s="55">
        <v>486</v>
      </c>
      <c r="BB33" s="55">
        <v>11</v>
      </c>
      <c r="BC33" s="55">
        <v>0</v>
      </c>
      <c r="BD33" s="54">
        <v>9.1060000000000002E-2</v>
      </c>
      <c r="BE33" s="54">
        <v>9.955E-2</v>
      </c>
      <c r="BF33" s="54">
        <v>0.70984000000000003</v>
      </c>
      <c r="BG33" s="54">
        <v>6.6739999999999994E-2</v>
      </c>
      <c r="BH33" s="54">
        <v>3.2809999999999999E-2</v>
      </c>
      <c r="BI33" s="56">
        <v>0.30099999999999999</v>
      </c>
      <c r="BJ33" s="56">
        <v>0.23800000000000002</v>
      </c>
      <c r="BK33" s="57">
        <v>0.58299999999999996</v>
      </c>
      <c r="BL33" s="57">
        <v>0.5</v>
      </c>
      <c r="BM33" s="57">
        <v>0.56700000000000006</v>
      </c>
      <c r="BN33" s="57">
        <v>0.41700000000000004</v>
      </c>
      <c r="BO33" s="58">
        <v>5.4</v>
      </c>
      <c r="BP33" s="59">
        <v>141</v>
      </c>
      <c r="BQ33" s="54">
        <v>0.75216000000000005</v>
      </c>
      <c r="BR33" s="54">
        <v>0.83799999999999997</v>
      </c>
      <c r="BS33" s="60">
        <v>3.42</v>
      </c>
      <c r="BT33" s="54">
        <v>0.53</v>
      </c>
      <c r="BU33" s="54">
        <v>0.52700000000000002</v>
      </c>
      <c r="BV33" s="61">
        <v>401</v>
      </c>
      <c r="BW33" s="61">
        <v>175</v>
      </c>
      <c r="BX33" s="53">
        <v>0.43640897755610975</v>
      </c>
      <c r="BY33" s="59">
        <v>17</v>
      </c>
      <c r="BZ33" s="62">
        <v>5661</v>
      </c>
      <c r="CA33" s="63">
        <v>16799</v>
      </c>
      <c r="CB33" s="63">
        <v>4833</v>
      </c>
      <c r="CC33" s="63">
        <v>6458</v>
      </c>
      <c r="CD33" s="63">
        <v>3312</v>
      </c>
      <c r="CE33" s="63">
        <v>2196</v>
      </c>
      <c r="CF33" s="64">
        <v>15333.81</v>
      </c>
      <c r="CG33" s="64">
        <v>8801.23</v>
      </c>
      <c r="CH33" s="64">
        <v>2884.69</v>
      </c>
      <c r="CI33" s="63">
        <v>3468.1</v>
      </c>
      <c r="CJ33" s="63">
        <v>179.79</v>
      </c>
      <c r="CK33" s="63">
        <v>3164020</v>
      </c>
      <c r="CL33" s="63">
        <v>9574</v>
      </c>
      <c r="CM33" s="2"/>
      <c r="CN33" s="2"/>
    </row>
    <row r="34" spans="1:92" x14ac:dyDescent="0.2">
      <c r="A34" s="49">
        <v>3652</v>
      </c>
      <c r="B34" s="50" t="s">
        <v>410</v>
      </c>
      <c r="C34" s="50" t="s">
        <v>278</v>
      </c>
      <c r="D34" s="50">
        <v>1927</v>
      </c>
      <c r="E34" s="50" t="s">
        <v>411</v>
      </c>
      <c r="F34" s="50" t="s">
        <v>290</v>
      </c>
      <c r="G34" s="50" t="s">
        <v>84</v>
      </c>
      <c r="H34" s="51">
        <v>9888</v>
      </c>
      <c r="I34" s="51" t="s">
        <v>412</v>
      </c>
      <c r="J34" s="51" t="s">
        <v>413</v>
      </c>
      <c r="K34" s="51" t="s">
        <v>414</v>
      </c>
      <c r="L34" s="51" t="s">
        <v>415</v>
      </c>
      <c r="M34" s="51" t="s">
        <v>416</v>
      </c>
      <c r="N34" s="52">
        <v>10163</v>
      </c>
      <c r="O34" s="53">
        <v>0.1246679130178097</v>
      </c>
      <c r="P34" s="53">
        <v>0.32923349404703334</v>
      </c>
      <c r="Q34" s="53">
        <v>0.25464921775066418</v>
      </c>
      <c r="R34" s="53">
        <v>0.23634753517662108</v>
      </c>
      <c r="S34" s="53">
        <v>5.5101840007871689E-2</v>
      </c>
      <c r="T34" s="52">
        <v>30428</v>
      </c>
      <c r="U34" s="54">
        <v>0.12540999999999999</v>
      </c>
      <c r="V34" s="54">
        <v>0.29930000000000001</v>
      </c>
      <c r="W34" s="54">
        <v>0.28423999999999999</v>
      </c>
      <c r="X34" s="54">
        <v>0.24349000000000001</v>
      </c>
      <c r="Y34" s="54">
        <v>4.7555E-2</v>
      </c>
      <c r="Z34" s="52">
        <v>5757</v>
      </c>
      <c r="AA34" s="54">
        <v>0.11151999999999999</v>
      </c>
      <c r="AB34" s="54">
        <v>0.26541999999999999</v>
      </c>
      <c r="AC34" s="54">
        <v>0.34150000000000003</v>
      </c>
      <c r="AD34" s="54">
        <v>0.23554</v>
      </c>
      <c r="AE34" s="54">
        <v>4.6031000000000002E-2</v>
      </c>
      <c r="AF34" s="50" t="s">
        <v>417</v>
      </c>
      <c r="AG34" s="50" t="s">
        <v>408</v>
      </c>
      <c r="AH34" s="50" t="s">
        <v>418</v>
      </c>
      <c r="AI34" s="50" t="s">
        <v>330</v>
      </c>
      <c r="AJ34" s="52">
        <v>17513</v>
      </c>
      <c r="AK34" s="54">
        <v>0.57999999999999996</v>
      </c>
      <c r="AL34" s="53">
        <v>0.30399999999999999</v>
      </c>
      <c r="AM34" s="55">
        <v>39540</v>
      </c>
      <c r="AN34" s="54">
        <v>9.5170000000000005E-2</v>
      </c>
      <c r="AO34" s="54">
        <v>0.26006000000000001</v>
      </c>
      <c r="AP34" s="54">
        <v>0.73994000000000004</v>
      </c>
      <c r="AQ34" s="54">
        <v>0.43</v>
      </c>
      <c r="AR34" s="55">
        <v>39540</v>
      </c>
      <c r="AS34" s="54">
        <v>0.11601</v>
      </c>
      <c r="AT34" s="54">
        <v>0.25766</v>
      </c>
      <c r="AU34" s="54">
        <v>0.30703000000000003</v>
      </c>
      <c r="AV34" s="54">
        <v>0.22489000000000001</v>
      </c>
      <c r="AW34" s="54">
        <v>9.4409999999999994E-2</v>
      </c>
      <c r="AX34" s="55">
        <v>8590</v>
      </c>
      <c r="AY34" s="55">
        <v>0</v>
      </c>
      <c r="AZ34" s="55">
        <v>5757</v>
      </c>
      <c r="BA34" s="55">
        <v>2050</v>
      </c>
      <c r="BB34" s="55">
        <v>314</v>
      </c>
      <c r="BC34" s="55">
        <v>469</v>
      </c>
      <c r="BD34" s="54">
        <v>0.10512000000000001</v>
      </c>
      <c r="BE34" s="54">
        <v>0.21432000000000001</v>
      </c>
      <c r="BF34" s="54">
        <v>0.35843999999999998</v>
      </c>
      <c r="BG34" s="54">
        <v>0.20558999999999999</v>
      </c>
      <c r="BH34" s="54">
        <v>0.11652999999999999</v>
      </c>
      <c r="BI34" s="56">
        <v>0.21600000000000003</v>
      </c>
      <c r="BJ34" s="56">
        <v>0.113</v>
      </c>
      <c r="BK34" s="57">
        <v>0.55000000000000004</v>
      </c>
      <c r="BL34" s="57">
        <v>0.38900000000000001</v>
      </c>
      <c r="BM34" s="57">
        <v>0.63800000000000001</v>
      </c>
      <c r="BN34" s="57">
        <v>0.47600000000000003</v>
      </c>
      <c r="BO34" s="58">
        <v>5.4</v>
      </c>
      <c r="BP34" s="59">
        <v>147</v>
      </c>
      <c r="BQ34" s="54">
        <v>0.70071000000000006</v>
      </c>
      <c r="BR34" s="54">
        <v>0.753</v>
      </c>
      <c r="BS34" s="60">
        <v>4.5</v>
      </c>
      <c r="BT34" s="54">
        <v>0.44400000000000001</v>
      </c>
      <c r="BU34" s="54">
        <v>0.36</v>
      </c>
      <c r="BV34" s="61">
        <v>1848</v>
      </c>
      <c r="BW34" s="61">
        <v>852</v>
      </c>
      <c r="BX34" s="53">
        <v>0.46103896103896103</v>
      </c>
      <c r="BY34" s="59">
        <v>23</v>
      </c>
      <c r="BZ34" s="62">
        <v>33843</v>
      </c>
      <c r="CA34" s="63">
        <v>24455</v>
      </c>
      <c r="CB34" s="63">
        <v>8370</v>
      </c>
      <c r="CC34" s="63">
        <v>7033</v>
      </c>
      <c r="CD34" s="63">
        <v>3672</v>
      </c>
      <c r="CE34" s="63">
        <v>5380</v>
      </c>
      <c r="CF34" s="64">
        <v>19989.54</v>
      </c>
      <c r="CG34" s="64">
        <v>13464.64</v>
      </c>
      <c r="CH34" s="64">
        <v>2442.58</v>
      </c>
      <c r="CI34" s="63">
        <v>3168.29</v>
      </c>
      <c r="CJ34" s="63">
        <v>914.03</v>
      </c>
      <c r="CK34" s="63">
        <v>107201997</v>
      </c>
      <c r="CL34" s="63">
        <v>88773</v>
      </c>
      <c r="CM34" s="2"/>
      <c r="CN34" s="2"/>
    </row>
    <row r="35" spans="1:92" x14ac:dyDescent="0.2">
      <c r="A35" s="49">
        <v>11711</v>
      </c>
      <c r="B35" s="50" t="s">
        <v>419</v>
      </c>
      <c r="C35" s="50" t="s">
        <v>278</v>
      </c>
      <c r="D35" s="50">
        <v>1971</v>
      </c>
      <c r="E35" s="50" t="s">
        <v>420</v>
      </c>
      <c r="F35" s="50" t="s">
        <v>83</v>
      </c>
      <c r="G35" s="50" t="s">
        <v>84</v>
      </c>
      <c r="H35" s="51">
        <v>6810</v>
      </c>
      <c r="I35" s="51" t="s">
        <v>421</v>
      </c>
      <c r="J35" s="51" t="s">
        <v>422</v>
      </c>
      <c r="K35" s="51" t="s">
        <v>423</v>
      </c>
      <c r="L35" s="51" t="s">
        <v>424</v>
      </c>
      <c r="M35" s="51" t="s">
        <v>425</v>
      </c>
      <c r="N35" s="65" t="s">
        <v>173</v>
      </c>
      <c r="O35" s="65" t="s">
        <v>173</v>
      </c>
      <c r="P35" s="65" t="s">
        <v>173</v>
      </c>
      <c r="Q35" s="65" t="s">
        <v>173</v>
      </c>
      <c r="R35" s="65" t="s">
        <v>173</v>
      </c>
      <c r="S35" s="65" t="s">
        <v>173</v>
      </c>
      <c r="T35" s="52">
        <v>4619</v>
      </c>
      <c r="U35" s="54">
        <v>9.0060000000000001E-2</v>
      </c>
      <c r="V35" s="54">
        <v>0.33665</v>
      </c>
      <c r="W35" s="54">
        <v>0.46287</v>
      </c>
      <c r="X35" s="54">
        <v>9.3960000000000002E-2</v>
      </c>
      <c r="Y35" s="54">
        <v>1.6454E-2</v>
      </c>
      <c r="Z35" s="52">
        <v>1203</v>
      </c>
      <c r="AA35" s="54">
        <v>8.1460000000000005E-2</v>
      </c>
      <c r="AB35" s="54">
        <v>0.29176999999999997</v>
      </c>
      <c r="AC35" s="54">
        <v>0.53864999999999996</v>
      </c>
      <c r="AD35" s="54">
        <v>6.7330000000000001E-2</v>
      </c>
      <c r="AE35" s="54">
        <v>2.0781000000000001E-2</v>
      </c>
      <c r="AF35" s="66" t="s">
        <v>173</v>
      </c>
      <c r="AG35" s="66" t="s">
        <v>173</v>
      </c>
      <c r="AH35" s="66" t="s">
        <v>173</v>
      </c>
      <c r="AI35" s="66" t="s">
        <v>173</v>
      </c>
      <c r="AJ35" s="65" t="s">
        <v>173</v>
      </c>
      <c r="AK35" s="65" t="s">
        <v>173</v>
      </c>
      <c r="AL35" s="65" t="s">
        <v>173</v>
      </c>
      <c r="AM35" s="55">
        <v>8164</v>
      </c>
      <c r="AN35" s="54">
        <v>6.6070000000000004E-2</v>
      </c>
      <c r="AO35" s="54">
        <v>0.54839000000000004</v>
      </c>
      <c r="AP35" s="54">
        <v>0.45161000000000001</v>
      </c>
      <c r="AQ35" s="54">
        <v>0.42100000000000004</v>
      </c>
      <c r="AR35" s="55">
        <v>8164</v>
      </c>
      <c r="AS35" s="54">
        <v>0.10289</v>
      </c>
      <c r="AT35" s="54">
        <v>0.2571</v>
      </c>
      <c r="AU35" s="54">
        <v>0.41707</v>
      </c>
      <c r="AV35" s="54">
        <v>9.9580000000000002E-2</v>
      </c>
      <c r="AW35" s="54">
        <v>0.12335</v>
      </c>
      <c r="AX35" s="55">
        <v>2332</v>
      </c>
      <c r="AY35" s="55">
        <v>0</v>
      </c>
      <c r="AZ35" s="55">
        <v>1203</v>
      </c>
      <c r="BA35" s="55">
        <v>1114</v>
      </c>
      <c r="BB35" s="55">
        <v>15</v>
      </c>
      <c r="BC35" s="55">
        <v>0</v>
      </c>
      <c r="BD35" s="54">
        <v>8.1049999999999997E-2</v>
      </c>
      <c r="BE35" s="54">
        <v>0.20882999999999999</v>
      </c>
      <c r="BF35" s="54">
        <v>0.46011999999999997</v>
      </c>
      <c r="BG35" s="54">
        <v>7.9759999999999998E-2</v>
      </c>
      <c r="BH35" s="54">
        <v>0.17024</v>
      </c>
      <c r="BI35" s="56">
        <v>1</v>
      </c>
      <c r="BJ35" s="56">
        <v>0.73299999999999998</v>
      </c>
      <c r="BK35" s="56" t="s">
        <v>173</v>
      </c>
      <c r="BL35" s="56" t="s">
        <v>173</v>
      </c>
      <c r="BM35" s="56" t="s">
        <v>173</v>
      </c>
      <c r="BN35" s="56" t="s">
        <v>173</v>
      </c>
      <c r="BO35" s="58">
        <v>6.3</v>
      </c>
      <c r="BP35" s="59">
        <v>156</v>
      </c>
      <c r="BQ35" s="54">
        <v>0.67081999999999997</v>
      </c>
      <c r="BR35" s="54">
        <v>0.82299999999999995</v>
      </c>
      <c r="BS35" s="60">
        <v>2.61</v>
      </c>
      <c r="BT35" s="54">
        <v>0.63400000000000001</v>
      </c>
      <c r="BU35" s="54">
        <v>0.68700000000000006</v>
      </c>
      <c r="BV35" s="61">
        <v>478</v>
      </c>
      <c r="BW35" s="61">
        <v>213</v>
      </c>
      <c r="BX35" s="53">
        <v>0.44560669456066948</v>
      </c>
      <c r="BY35" s="59">
        <v>16</v>
      </c>
      <c r="BZ35" s="62">
        <v>5662</v>
      </c>
      <c r="CA35" s="63">
        <v>16243</v>
      </c>
      <c r="CB35" s="63">
        <v>7107</v>
      </c>
      <c r="CC35" s="63">
        <v>6429</v>
      </c>
      <c r="CD35" s="63">
        <v>1962</v>
      </c>
      <c r="CE35" s="63">
        <v>745</v>
      </c>
      <c r="CF35" s="64">
        <v>15974.35</v>
      </c>
      <c r="CG35" s="64">
        <v>9041.74</v>
      </c>
      <c r="CH35" s="64">
        <v>2111.4</v>
      </c>
      <c r="CI35" s="63">
        <v>3845.99</v>
      </c>
      <c r="CJ35" s="63">
        <v>975.22</v>
      </c>
      <c r="CK35" s="63">
        <v>1542823</v>
      </c>
      <c r="CL35" s="63">
        <v>4738</v>
      </c>
      <c r="CM35" s="2"/>
      <c r="CN35" s="2"/>
    </row>
    <row r="36" spans="1:92" x14ac:dyDescent="0.2">
      <c r="A36" s="49">
        <v>12826</v>
      </c>
      <c r="B36" s="50" t="s">
        <v>426</v>
      </c>
      <c r="C36" s="50" t="s">
        <v>278</v>
      </c>
      <c r="D36" s="50">
        <v>1934</v>
      </c>
      <c r="E36" s="50" t="s">
        <v>427</v>
      </c>
      <c r="F36" s="50" t="s">
        <v>83</v>
      </c>
      <c r="G36" s="50" t="s">
        <v>84</v>
      </c>
      <c r="H36" s="51">
        <v>6267</v>
      </c>
      <c r="I36" s="51" t="s">
        <v>428</v>
      </c>
      <c r="J36" s="51" t="s">
        <v>429</v>
      </c>
      <c r="K36" s="51" t="s">
        <v>430</v>
      </c>
      <c r="L36" s="51" t="s">
        <v>431</v>
      </c>
      <c r="M36" s="51" t="s">
        <v>432</v>
      </c>
      <c r="N36" s="52">
        <v>3031</v>
      </c>
      <c r="O36" s="53">
        <v>0.16463213460903992</v>
      </c>
      <c r="P36" s="53">
        <v>0.63774331903662163</v>
      </c>
      <c r="Q36" s="53">
        <v>6.5984823490597158E-2</v>
      </c>
      <c r="R36" s="53">
        <v>0.12438139227977565</v>
      </c>
      <c r="S36" s="53">
        <v>7.2583305839656878E-3</v>
      </c>
      <c r="T36" s="52">
        <v>12983</v>
      </c>
      <c r="U36" s="54">
        <v>0.26002999999999998</v>
      </c>
      <c r="V36" s="54">
        <v>0.42224</v>
      </c>
      <c r="W36" s="54">
        <v>0.18015999999999999</v>
      </c>
      <c r="X36" s="54">
        <v>0.11708</v>
      </c>
      <c r="Y36" s="54">
        <v>2.0487999999999999E-2</v>
      </c>
      <c r="Z36" s="52">
        <v>2355</v>
      </c>
      <c r="AA36" s="54">
        <v>0.24586</v>
      </c>
      <c r="AB36" s="54">
        <v>0.37580000000000002</v>
      </c>
      <c r="AC36" s="54">
        <v>0.24798000000000001</v>
      </c>
      <c r="AD36" s="54">
        <v>0.10446</v>
      </c>
      <c r="AE36" s="54">
        <v>2.5902000000000001E-2</v>
      </c>
      <c r="AF36" s="66" t="s">
        <v>173</v>
      </c>
      <c r="AG36" s="66" t="s">
        <v>173</v>
      </c>
      <c r="AH36" s="66" t="s">
        <v>173</v>
      </c>
      <c r="AI36" s="66" t="s">
        <v>173</v>
      </c>
      <c r="AJ36" s="52">
        <v>3184</v>
      </c>
      <c r="AK36" s="54">
        <v>0.95200000000000007</v>
      </c>
      <c r="AL36" s="53">
        <v>5.2999999999999999E-2</v>
      </c>
      <c r="AM36" s="55">
        <v>13754</v>
      </c>
      <c r="AN36" s="54">
        <v>0.11976000000000001</v>
      </c>
      <c r="AO36" s="54">
        <v>0.47647</v>
      </c>
      <c r="AP36" s="54">
        <v>0.52353000000000005</v>
      </c>
      <c r="AQ36" s="54">
        <v>0.52600000000000002</v>
      </c>
      <c r="AR36" s="55">
        <v>13754</v>
      </c>
      <c r="AS36" s="54">
        <v>0.25985000000000003</v>
      </c>
      <c r="AT36" s="54">
        <v>0.41610000000000003</v>
      </c>
      <c r="AU36" s="54">
        <v>0.18526000000000001</v>
      </c>
      <c r="AV36" s="54">
        <v>0.11931</v>
      </c>
      <c r="AW36" s="54">
        <v>1.949E-2</v>
      </c>
      <c r="AX36" s="55">
        <v>2396</v>
      </c>
      <c r="AY36" s="55">
        <v>0</v>
      </c>
      <c r="AZ36" s="55">
        <v>2355</v>
      </c>
      <c r="BA36" s="55">
        <v>41</v>
      </c>
      <c r="BB36" s="55">
        <v>0</v>
      </c>
      <c r="BC36" s="55">
        <v>0</v>
      </c>
      <c r="BD36" s="54">
        <v>0.24582999999999999</v>
      </c>
      <c r="BE36" s="54">
        <v>0.37520999999999999</v>
      </c>
      <c r="BF36" s="54">
        <v>0.24917</v>
      </c>
      <c r="BG36" s="54">
        <v>0.10434</v>
      </c>
      <c r="BH36" s="54">
        <v>2.546E-2</v>
      </c>
      <c r="BI36" s="56">
        <v>1.9E-2</v>
      </c>
      <c r="BJ36" s="56">
        <v>3.0000000000000001E-3</v>
      </c>
      <c r="BK36" s="57">
        <v>0.22899999999999998</v>
      </c>
      <c r="BL36" s="57">
        <v>7.2000000000000008E-2</v>
      </c>
      <c r="BM36" s="57">
        <v>0.33100000000000002</v>
      </c>
      <c r="BN36" s="57">
        <v>0.18600000000000003</v>
      </c>
      <c r="BO36" s="58">
        <v>6.6</v>
      </c>
      <c r="BP36" s="59">
        <v>154</v>
      </c>
      <c r="BQ36" s="54">
        <v>0.74734999999999996</v>
      </c>
      <c r="BR36" s="54">
        <v>0.80500000000000005</v>
      </c>
      <c r="BS36" s="60">
        <v>3.89</v>
      </c>
      <c r="BT36" s="54">
        <v>0.47700000000000004</v>
      </c>
      <c r="BU36" s="54">
        <v>0.45299999999999996</v>
      </c>
      <c r="BV36" s="61">
        <v>665</v>
      </c>
      <c r="BW36" s="61">
        <v>254</v>
      </c>
      <c r="BX36" s="53">
        <v>0.3819548872180451</v>
      </c>
      <c r="BY36" s="59">
        <v>21</v>
      </c>
      <c r="BZ36" s="62">
        <v>9319</v>
      </c>
      <c r="CA36" s="63">
        <v>14355</v>
      </c>
      <c r="CB36" s="63">
        <v>6088</v>
      </c>
      <c r="CC36" s="63">
        <v>4149</v>
      </c>
      <c r="CD36" s="63">
        <v>3162</v>
      </c>
      <c r="CE36" s="63">
        <v>956</v>
      </c>
      <c r="CF36" s="64">
        <v>13384.11</v>
      </c>
      <c r="CG36" s="64">
        <v>6328.07</v>
      </c>
      <c r="CH36" s="64">
        <v>3544.29</v>
      </c>
      <c r="CI36" s="63">
        <v>2661.35</v>
      </c>
      <c r="CJ36" s="63">
        <v>850.4</v>
      </c>
      <c r="CK36" s="63">
        <v>1444331</v>
      </c>
      <c r="CL36" s="63">
        <v>4938</v>
      </c>
      <c r="CM36" s="2"/>
      <c r="CN36" s="2"/>
    </row>
    <row r="37" spans="1:92" x14ac:dyDescent="0.2">
      <c r="A37" s="49">
        <v>13231</v>
      </c>
      <c r="B37" s="50" t="s">
        <v>433</v>
      </c>
      <c r="C37" s="50" t="s">
        <v>434</v>
      </c>
      <c r="D37" s="50">
        <v>1971</v>
      </c>
      <c r="E37" s="50" t="s">
        <v>435</v>
      </c>
      <c r="F37" s="50" t="s">
        <v>83</v>
      </c>
      <c r="G37" s="50" t="s">
        <v>84</v>
      </c>
      <c r="H37" s="51">
        <v>6248</v>
      </c>
      <c r="I37" s="51" t="s">
        <v>436</v>
      </c>
      <c r="J37" s="51" t="s">
        <v>437</v>
      </c>
      <c r="K37" s="51" t="s">
        <v>438</v>
      </c>
      <c r="L37" s="51" t="s">
        <v>439</v>
      </c>
      <c r="M37" s="51" t="s">
        <v>440</v>
      </c>
      <c r="N37" s="52">
        <v>1515</v>
      </c>
      <c r="O37" s="53">
        <v>0.15577557755775578</v>
      </c>
      <c r="P37" s="53">
        <v>0.64686468646864681</v>
      </c>
      <c r="Q37" s="53">
        <v>0.12343234323432344</v>
      </c>
      <c r="R37" s="53">
        <v>5.0165016501650166E-2</v>
      </c>
      <c r="S37" s="53">
        <v>2.3762376237623763E-2</v>
      </c>
      <c r="T37" s="52">
        <v>2769</v>
      </c>
      <c r="U37" s="54">
        <v>0.17263000000000001</v>
      </c>
      <c r="V37" s="54">
        <v>0.31707999999999997</v>
      </c>
      <c r="W37" s="54">
        <v>0.40159</v>
      </c>
      <c r="X37" s="54">
        <v>9.4979999999999995E-2</v>
      </c>
      <c r="Y37" s="54">
        <v>1.3723000000000001E-2</v>
      </c>
      <c r="Z37" s="52">
        <v>696</v>
      </c>
      <c r="AA37" s="54">
        <v>0.15229999999999999</v>
      </c>
      <c r="AB37" s="54">
        <v>0.23419999999999999</v>
      </c>
      <c r="AC37" s="54">
        <v>0.48563000000000001</v>
      </c>
      <c r="AD37" s="54">
        <v>0.10057000000000001</v>
      </c>
      <c r="AE37" s="54">
        <v>2.7299E-2</v>
      </c>
      <c r="AF37" s="50" t="s">
        <v>441</v>
      </c>
      <c r="AG37" s="50" t="s">
        <v>442</v>
      </c>
      <c r="AH37" s="50" t="s">
        <v>142</v>
      </c>
      <c r="AI37" s="50" t="s">
        <v>370</v>
      </c>
      <c r="AJ37" s="52">
        <v>1880</v>
      </c>
      <c r="AK37" s="54">
        <v>0.80599999999999994</v>
      </c>
      <c r="AL37" s="53">
        <v>0.06</v>
      </c>
      <c r="AM37" s="55">
        <v>4491</v>
      </c>
      <c r="AN37" s="54">
        <v>0.41493000000000002</v>
      </c>
      <c r="AO37" s="54">
        <v>0.49007000000000001</v>
      </c>
      <c r="AP37" s="54">
        <v>0.50992999999999999</v>
      </c>
      <c r="AQ37" s="54">
        <v>0.46799999999999997</v>
      </c>
      <c r="AR37" s="55">
        <v>4491</v>
      </c>
      <c r="AS37" s="54">
        <v>0.19661999999999999</v>
      </c>
      <c r="AT37" s="54">
        <v>0.25340000000000001</v>
      </c>
      <c r="AU37" s="54">
        <v>0.38989000000000001</v>
      </c>
      <c r="AV37" s="54">
        <v>0.12069000000000001</v>
      </c>
      <c r="AW37" s="54">
        <v>3.9410000000000001E-2</v>
      </c>
      <c r="AX37" s="55">
        <v>1168</v>
      </c>
      <c r="AY37" s="55">
        <v>0</v>
      </c>
      <c r="AZ37" s="55">
        <v>696</v>
      </c>
      <c r="BA37" s="55">
        <v>472</v>
      </c>
      <c r="BB37" s="55">
        <v>0</v>
      </c>
      <c r="BC37" s="55">
        <v>0</v>
      </c>
      <c r="BD37" s="54">
        <v>0.18065000000000001</v>
      </c>
      <c r="BE37" s="54">
        <v>0.20462</v>
      </c>
      <c r="BF37" s="54">
        <v>0.44178000000000001</v>
      </c>
      <c r="BG37" s="54">
        <v>0.12243</v>
      </c>
      <c r="BH37" s="54">
        <v>5.0509999999999999E-2</v>
      </c>
      <c r="BI37" s="56">
        <v>0.16699999999999998</v>
      </c>
      <c r="BJ37" s="56">
        <v>1</v>
      </c>
      <c r="BK37" s="56" t="s">
        <v>173</v>
      </c>
      <c r="BL37" s="56" t="s">
        <v>173</v>
      </c>
      <c r="BM37" s="56" t="s">
        <v>173</v>
      </c>
      <c r="BN37" s="56" t="s">
        <v>173</v>
      </c>
      <c r="BO37" s="58">
        <v>6.2</v>
      </c>
      <c r="BP37" s="59">
        <v>151</v>
      </c>
      <c r="BQ37" s="54">
        <v>0.66522999999999999</v>
      </c>
      <c r="BR37" s="54">
        <v>0.83299999999999996</v>
      </c>
      <c r="BS37" s="60">
        <v>2.56</v>
      </c>
      <c r="BT37" s="54">
        <v>0.58200000000000007</v>
      </c>
      <c r="BU37" s="54">
        <v>0.68900000000000006</v>
      </c>
      <c r="BV37" s="61">
        <v>201</v>
      </c>
      <c r="BW37" s="61">
        <v>90</v>
      </c>
      <c r="BX37" s="53">
        <v>0.44776119402985076</v>
      </c>
      <c r="BY37" s="59">
        <v>19</v>
      </c>
      <c r="BZ37" s="62">
        <v>3014</v>
      </c>
      <c r="CA37" s="63">
        <v>14261</v>
      </c>
      <c r="CB37" s="63">
        <v>4944</v>
      </c>
      <c r="CC37" s="63">
        <v>6784</v>
      </c>
      <c r="CD37" s="63">
        <v>1847</v>
      </c>
      <c r="CE37" s="63">
        <v>686</v>
      </c>
      <c r="CF37" s="64">
        <v>14500.42</v>
      </c>
      <c r="CG37" s="64">
        <v>8717.02</v>
      </c>
      <c r="CH37" s="64">
        <v>2490.58</v>
      </c>
      <c r="CI37" s="63">
        <v>2507.79</v>
      </c>
      <c r="CJ37" s="63">
        <v>785.03</v>
      </c>
      <c r="CK37" s="63">
        <v>6603</v>
      </c>
      <c r="CL37" s="63">
        <v>75</v>
      </c>
      <c r="CM37" s="2"/>
      <c r="CN37" s="2"/>
    </row>
    <row r="38" spans="1:92" x14ac:dyDescent="0.2">
      <c r="A38" s="49">
        <v>3594</v>
      </c>
      <c r="B38" s="50" t="s">
        <v>443</v>
      </c>
      <c r="C38" s="50" t="s">
        <v>311</v>
      </c>
      <c r="D38" s="50">
        <v>1890</v>
      </c>
      <c r="E38" s="50" t="s">
        <v>444</v>
      </c>
      <c r="F38" s="50" t="s">
        <v>290</v>
      </c>
      <c r="G38" s="50"/>
      <c r="H38" s="51">
        <v>9426</v>
      </c>
      <c r="I38" s="51" t="s">
        <v>445</v>
      </c>
      <c r="J38" s="51" t="s">
        <v>446</v>
      </c>
      <c r="K38" s="51" t="s">
        <v>447</v>
      </c>
      <c r="L38" s="51" t="s">
        <v>448</v>
      </c>
      <c r="M38" s="51" t="s">
        <v>449</v>
      </c>
      <c r="N38" s="52">
        <v>10901</v>
      </c>
      <c r="O38" s="53">
        <v>0.1335657279148702</v>
      </c>
      <c r="P38" s="53">
        <v>0.27474543619851388</v>
      </c>
      <c r="Q38" s="53">
        <v>0.45371984221631045</v>
      </c>
      <c r="R38" s="53">
        <v>0.12081460416475552</v>
      </c>
      <c r="S38" s="53">
        <v>1.7154389505549948E-2</v>
      </c>
      <c r="T38" s="52">
        <v>29481</v>
      </c>
      <c r="U38" s="54">
        <v>0.14283999999999999</v>
      </c>
      <c r="V38" s="54">
        <v>0.20477999999999999</v>
      </c>
      <c r="W38" s="54">
        <v>0.53203999999999996</v>
      </c>
      <c r="X38" s="54">
        <v>9.2740000000000003E-2</v>
      </c>
      <c r="Y38" s="54">
        <v>2.7611E-2</v>
      </c>
      <c r="Z38" s="52">
        <v>6272</v>
      </c>
      <c r="AA38" s="54">
        <v>0.13025999999999999</v>
      </c>
      <c r="AB38" s="54">
        <v>0.16550000000000001</v>
      </c>
      <c r="AC38" s="54">
        <v>0.60299999999999998</v>
      </c>
      <c r="AD38" s="54">
        <v>7.4300000000000005E-2</v>
      </c>
      <c r="AE38" s="54">
        <v>2.6945E-2</v>
      </c>
      <c r="AF38" s="50" t="s">
        <v>450</v>
      </c>
      <c r="AG38" s="50" t="s">
        <v>451</v>
      </c>
      <c r="AH38" s="50" t="s">
        <v>330</v>
      </c>
      <c r="AI38" s="50" t="s">
        <v>452</v>
      </c>
      <c r="AJ38" s="52">
        <v>15320</v>
      </c>
      <c r="AK38" s="54">
        <v>0.71200000000000008</v>
      </c>
      <c r="AL38" s="53">
        <v>0.183</v>
      </c>
      <c r="AM38" s="55">
        <v>36168</v>
      </c>
      <c r="AN38" s="54">
        <v>4.2369999999999998E-2</v>
      </c>
      <c r="AO38" s="54">
        <v>0.21234</v>
      </c>
      <c r="AP38" s="54">
        <v>0.78766000000000003</v>
      </c>
      <c r="AQ38" s="54">
        <v>0.35</v>
      </c>
      <c r="AR38" s="55">
        <v>36168</v>
      </c>
      <c r="AS38" s="54">
        <v>0.13219</v>
      </c>
      <c r="AT38" s="54">
        <v>0.18768000000000001</v>
      </c>
      <c r="AU38" s="54">
        <v>0.53635999999999995</v>
      </c>
      <c r="AV38" s="54">
        <v>8.9550000000000005E-2</v>
      </c>
      <c r="AW38" s="54">
        <v>5.4219999999999997E-2</v>
      </c>
      <c r="AX38" s="55">
        <v>8298</v>
      </c>
      <c r="AY38" s="55">
        <v>0</v>
      </c>
      <c r="AZ38" s="55">
        <v>6272</v>
      </c>
      <c r="BA38" s="55">
        <v>1777</v>
      </c>
      <c r="BB38" s="55">
        <v>239</v>
      </c>
      <c r="BC38" s="55">
        <v>10</v>
      </c>
      <c r="BD38" s="54">
        <v>0.12027</v>
      </c>
      <c r="BE38" s="54">
        <v>0.14859</v>
      </c>
      <c r="BF38" s="54">
        <v>0.59797999999999996</v>
      </c>
      <c r="BG38" s="54">
        <v>7.5319999999999998E-2</v>
      </c>
      <c r="BH38" s="54">
        <v>5.7849999999999999E-2</v>
      </c>
      <c r="BI38" s="56">
        <v>0.309</v>
      </c>
      <c r="BJ38" s="56">
        <v>7.0999999999999994E-2</v>
      </c>
      <c r="BK38" s="57">
        <v>0.58099999999999996</v>
      </c>
      <c r="BL38" s="57">
        <v>0.32</v>
      </c>
      <c r="BM38" s="57">
        <v>0.64800000000000002</v>
      </c>
      <c r="BN38" s="57">
        <v>0.39399999999999996</v>
      </c>
      <c r="BO38" s="58">
        <v>5.3</v>
      </c>
      <c r="BP38" s="59">
        <v>142</v>
      </c>
      <c r="BQ38" s="54">
        <v>0.61272000000000004</v>
      </c>
      <c r="BR38" s="54">
        <v>0.77900000000000003</v>
      </c>
      <c r="BS38" s="60">
        <v>3.9</v>
      </c>
      <c r="BT38" s="54">
        <v>0.56200000000000006</v>
      </c>
      <c r="BU38" s="54">
        <v>0.38</v>
      </c>
      <c r="BV38" s="61">
        <v>1461</v>
      </c>
      <c r="BW38" s="61">
        <v>781</v>
      </c>
      <c r="BX38" s="53">
        <v>0.5345653661875428</v>
      </c>
      <c r="BY38" s="59">
        <v>24</v>
      </c>
      <c r="BZ38" s="62">
        <v>29452</v>
      </c>
      <c r="CA38" s="63">
        <v>17781</v>
      </c>
      <c r="CB38" s="63">
        <v>7616</v>
      </c>
      <c r="CC38" s="63">
        <v>5011</v>
      </c>
      <c r="CD38" s="63">
        <v>2527</v>
      </c>
      <c r="CE38" s="63">
        <v>2627</v>
      </c>
      <c r="CF38" s="64">
        <v>16648.259999999998</v>
      </c>
      <c r="CG38" s="64">
        <v>9729.3799999999992</v>
      </c>
      <c r="CH38" s="64">
        <v>4130.66</v>
      </c>
      <c r="CI38" s="63">
        <v>2058.91</v>
      </c>
      <c r="CJ38" s="63">
        <v>729.31</v>
      </c>
      <c r="CK38" s="63">
        <v>32463048</v>
      </c>
      <c r="CL38" s="63">
        <v>26913</v>
      </c>
      <c r="CM38" s="2"/>
      <c r="CN38" s="2"/>
    </row>
    <row r="39" spans="1:92" x14ac:dyDescent="0.2">
      <c r="A39" s="49">
        <v>113594</v>
      </c>
      <c r="B39" s="50" t="s">
        <v>453</v>
      </c>
      <c r="C39" s="50" t="s">
        <v>352</v>
      </c>
      <c r="D39" s="50">
        <v>2009</v>
      </c>
      <c r="E39" s="50" t="s">
        <v>454</v>
      </c>
      <c r="F39" s="50" t="s">
        <v>83</v>
      </c>
      <c r="G39" s="50" t="s">
        <v>84</v>
      </c>
      <c r="H39" s="51">
        <v>7650</v>
      </c>
      <c r="I39" s="70" t="s">
        <v>173</v>
      </c>
      <c r="J39" s="70" t="s">
        <v>173</v>
      </c>
      <c r="K39" s="70" t="s">
        <v>173</v>
      </c>
      <c r="L39" s="70" t="s">
        <v>173</v>
      </c>
      <c r="M39" s="70" t="s">
        <v>173</v>
      </c>
      <c r="N39" s="52">
        <v>638</v>
      </c>
      <c r="O39" s="53">
        <v>0.18808777429467086</v>
      </c>
      <c r="P39" s="53">
        <v>0.62539184952978055</v>
      </c>
      <c r="Q39" s="53">
        <v>0.109717868338558</v>
      </c>
      <c r="R39" s="53">
        <v>6.4263322884012541E-2</v>
      </c>
      <c r="S39" s="53">
        <v>1.2539184952978056E-2</v>
      </c>
      <c r="T39" s="52">
        <v>1845</v>
      </c>
      <c r="U39" s="54">
        <v>0.34309000000000001</v>
      </c>
      <c r="V39" s="54">
        <v>0.41788999999999998</v>
      </c>
      <c r="W39" s="54">
        <v>0.17182</v>
      </c>
      <c r="X39" s="54">
        <v>5.0950000000000002E-2</v>
      </c>
      <c r="Y39" s="54">
        <v>1.626E-2</v>
      </c>
      <c r="Z39" s="65" t="s">
        <v>173</v>
      </c>
      <c r="AA39" s="65" t="s">
        <v>173</v>
      </c>
      <c r="AB39" s="65" t="s">
        <v>173</v>
      </c>
      <c r="AC39" s="65" t="s">
        <v>173</v>
      </c>
      <c r="AD39" s="65" t="s">
        <v>173</v>
      </c>
      <c r="AE39" s="65" t="s">
        <v>173</v>
      </c>
      <c r="AF39" s="66" t="s">
        <v>173</v>
      </c>
      <c r="AG39" s="66" t="s">
        <v>173</v>
      </c>
      <c r="AH39" s="66" t="s">
        <v>173</v>
      </c>
      <c r="AI39" s="66" t="s">
        <v>173</v>
      </c>
      <c r="AJ39" s="52">
        <v>1032</v>
      </c>
      <c r="AK39" s="54">
        <v>0.61799999999999999</v>
      </c>
      <c r="AL39" s="53">
        <v>0.127</v>
      </c>
      <c r="AM39" s="55">
        <v>2140</v>
      </c>
      <c r="AN39" s="54" t="s">
        <v>173</v>
      </c>
      <c r="AO39" s="54">
        <v>0.58211000000000002</v>
      </c>
      <c r="AP39" s="54">
        <v>0.41788999999999998</v>
      </c>
      <c r="AQ39" s="54">
        <v>0.48799999999999999</v>
      </c>
      <c r="AR39" s="55">
        <v>2140</v>
      </c>
      <c r="AS39" s="54">
        <v>0.37008999999999997</v>
      </c>
      <c r="AT39" s="54">
        <v>0.38879000000000002</v>
      </c>
      <c r="AU39" s="54">
        <v>0.17616999999999999</v>
      </c>
      <c r="AV39" s="54">
        <v>4.8599999999999997E-2</v>
      </c>
      <c r="AW39" s="54">
        <v>1.636E-2</v>
      </c>
      <c r="AX39" s="71" t="s">
        <v>173</v>
      </c>
      <c r="AY39" s="71" t="s">
        <v>173</v>
      </c>
      <c r="AZ39" s="71" t="s">
        <v>173</v>
      </c>
      <c r="BA39" s="71" t="s">
        <v>173</v>
      </c>
      <c r="BB39" s="71" t="s">
        <v>173</v>
      </c>
      <c r="BC39" s="71" t="s">
        <v>173</v>
      </c>
      <c r="BD39" s="72" t="s">
        <v>173</v>
      </c>
      <c r="BE39" s="72" t="s">
        <v>173</v>
      </c>
      <c r="BF39" s="72" t="s">
        <v>173</v>
      </c>
      <c r="BG39" s="72" t="s">
        <v>173</v>
      </c>
      <c r="BH39" s="72" t="s">
        <v>173</v>
      </c>
      <c r="BI39" s="68" t="s">
        <v>173</v>
      </c>
      <c r="BJ39" s="68" t="s">
        <v>173</v>
      </c>
      <c r="BK39" s="68" t="s">
        <v>173</v>
      </c>
      <c r="BL39" s="68" t="s">
        <v>173</v>
      </c>
      <c r="BM39" s="68" t="s">
        <v>173</v>
      </c>
      <c r="BN39" s="68" t="s">
        <v>173</v>
      </c>
      <c r="BO39" s="73" t="s">
        <v>173</v>
      </c>
      <c r="BP39" s="73" t="s">
        <v>173</v>
      </c>
      <c r="BQ39" s="73" t="s">
        <v>173</v>
      </c>
      <c r="BR39" s="72" t="s">
        <v>173</v>
      </c>
      <c r="BS39" s="72" t="s">
        <v>173</v>
      </c>
      <c r="BT39" s="72" t="s">
        <v>173</v>
      </c>
      <c r="BU39" s="72" t="s">
        <v>173</v>
      </c>
      <c r="BV39" s="61">
        <v>54</v>
      </c>
      <c r="BW39" s="61">
        <v>38</v>
      </c>
      <c r="BX39" s="53">
        <v>0.70370370370370372</v>
      </c>
      <c r="BY39" s="59">
        <v>23</v>
      </c>
      <c r="BZ39" s="62">
        <v>1308</v>
      </c>
      <c r="CA39" s="63">
        <v>19874</v>
      </c>
      <c r="CB39" s="63">
        <v>6745</v>
      </c>
      <c r="CC39" s="63">
        <v>12263</v>
      </c>
      <c r="CD39" s="63">
        <v>361</v>
      </c>
      <c r="CE39" s="63">
        <v>505</v>
      </c>
      <c r="CF39" s="64">
        <v>15965.66</v>
      </c>
      <c r="CG39" s="64">
        <v>7602.65</v>
      </c>
      <c r="CH39" s="64">
        <v>2702.61</v>
      </c>
      <c r="CI39" s="63">
        <v>5251.57</v>
      </c>
      <c r="CJ39" s="63">
        <v>408.83</v>
      </c>
      <c r="CK39" s="63">
        <v>51257</v>
      </c>
      <c r="CL39" s="63">
        <v>496</v>
      </c>
      <c r="CM39" s="2"/>
      <c r="CN39" s="2"/>
    </row>
    <row r="40" spans="1:92" x14ac:dyDescent="0.2">
      <c r="A40" s="49">
        <v>3665</v>
      </c>
      <c r="B40" s="74" t="s">
        <v>455</v>
      </c>
      <c r="C40" s="50" t="s">
        <v>456</v>
      </c>
      <c r="D40" s="50">
        <v>1909</v>
      </c>
      <c r="E40" s="50" t="s">
        <v>457</v>
      </c>
      <c r="F40" s="50" t="s">
        <v>97</v>
      </c>
      <c r="G40" s="50"/>
      <c r="H40" s="51">
        <v>6969</v>
      </c>
      <c r="I40" s="51" t="s">
        <v>458</v>
      </c>
      <c r="J40" s="51" t="s">
        <v>459</v>
      </c>
      <c r="K40" s="51" t="s">
        <v>460</v>
      </c>
      <c r="L40" s="51" t="s">
        <v>461</v>
      </c>
      <c r="M40" s="51" t="s">
        <v>462</v>
      </c>
      <c r="N40" s="52">
        <v>2963</v>
      </c>
      <c r="O40" s="53">
        <v>4.3874451569355384E-2</v>
      </c>
      <c r="P40" s="53">
        <v>0.14309821127235908</v>
      </c>
      <c r="Q40" s="53">
        <v>0.31960850489368881</v>
      </c>
      <c r="R40" s="53">
        <v>0.48734390820114748</v>
      </c>
      <c r="S40" s="53">
        <v>6.0749240634492066E-3</v>
      </c>
      <c r="T40" s="52">
        <v>6908</v>
      </c>
      <c r="U40" s="54">
        <v>6.0650000000000003E-2</v>
      </c>
      <c r="V40" s="54">
        <v>0.23335</v>
      </c>
      <c r="W40" s="54">
        <v>0.63824999999999998</v>
      </c>
      <c r="X40" s="54">
        <v>5.0229999999999997E-2</v>
      </c>
      <c r="Y40" s="54">
        <v>1.7516E-2</v>
      </c>
      <c r="Z40" s="52">
        <v>1375</v>
      </c>
      <c r="AA40" s="54">
        <v>3.3450000000000001E-2</v>
      </c>
      <c r="AB40" s="54">
        <v>0.20508999999999999</v>
      </c>
      <c r="AC40" s="54">
        <v>0.70982000000000001</v>
      </c>
      <c r="AD40" s="54">
        <v>5.1639999999999998E-2</v>
      </c>
      <c r="AE40" s="54">
        <v>0</v>
      </c>
      <c r="AF40" s="50" t="s">
        <v>184</v>
      </c>
      <c r="AG40" s="50" t="s">
        <v>463</v>
      </c>
      <c r="AH40" s="50" t="s">
        <v>92</v>
      </c>
      <c r="AI40" s="50" t="s">
        <v>186</v>
      </c>
      <c r="AJ40" s="52">
        <v>3862</v>
      </c>
      <c r="AK40" s="54">
        <v>0.76700000000000002</v>
      </c>
      <c r="AL40" s="53">
        <v>0.157</v>
      </c>
      <c r="AM40" s="55">
        <v>8381</v>
      </c>
      <c r="AN40" s="54">
        <v>0.11228</v>
      </c>
      <c r="AO40" s="54">
        <v>0.20049</v>
      </c>
      <c r="AP40" s="54">
        <v>0.79951000000000005</v>
      </c>
      <c r="AQ40" s="54">
        <v>0.40799999999999997</v>
      </c>
      <c r="AR40" s="55">
        <v>8381</v>
      </c>
      <c r="AS40" s="54">
        <v>6.0139999999999999E-2</v>
      </c>
      <c r="AT40" s="54">
        <v>0.22133</v>
      </c>
      <c r="AU40" s="54">
        <v>0.64754</v>
      </c>
      <c r="AV40" s="54">
        <v>5.0470000000000001E-2</v>
      </c>
      <c r="AW40" s="54">
        <v>2.052E-2</v>
      </c>
      <c r="AX40" s="55">
        <v>1760</v>
      </c>
      <c r="AY40" s="55">
        <v>0</v>
      </c>
      <c r="AZ40" s="55">
        <v>1375</v>
      </c>
      <c r="BA40" s="55">
        <v>385</v>
      </c>
      <c r="BB40" s="55">
        <v>0</v>
      </c>
      <c r="BC40" s="55">
        <v>0</v>
      </c>
      <c r="BD40" s="54">
        <v>3.5229999999999997E-2</v>
      </c>
      <c r="BE40" s="54">
        <v>0.18523000000000001</v>
      </c>
      <c r="BF40" s="54">
        <v>0.70794999999999997</v>
      </c>
      <c r="BG40" s="54">
        <v>7.1590000000000001E-2</v>
      </c>
      <c r="BH40" s="54">
        <v>0</v>
      </c>
      <c r="BI40" s="56">
        <v>0.23800000000000002</v>
      </c>
      <c r="BJ40" s="56">
        <v>0</v>
      </c>
      <c r="BK40" s="57">
        <v>0.46299999999999997</v>
      </c>
      <c r="BL40" s="57">
        <v>0.214</v>
      </c>
      <c r="BM40" s="57">
        <v>0.54899999999999993</v>
      </c>
      <c r="BN40" s="57">
        <v>0.4</v>
      </c>
      <c r="BO40" s="58">
        <v>5</v>
      </c>
      <c r="BP40" s="59">
        <v>134</v>
      </c>
      <c r="BQ40" s="54">
        <v>0.69745000000000001</v>
      </c>
      <c r="BR40" s="54">
        <v>0.80700000000000005</v>
      </c>
      <c r="BS40" s="60">
        <v>4.1100000000000003</v>
      </c>
      <c r="BT40" s="54">
        <v>0.55899999999999994</v>
      </c>
      <c r="BU40" s="54">
        <v>0.34299999999999997</v>
      </c>
      <c r="BV40" s="61">
        <v>375</v>
      </c>
      <c r="BW40" s="61">
        <v>190</v>
      </c>
      <c r="BX40" s="53">
        <v>0.50666666666666671</v>
      </c>
      <c r="BY40" s="59">
        <v>21</v>
      </c>
      <c r="BZ40" s="62">
        <v>6743</v>
      </c>
      <c r="CA40" s="63">
        <v>16309</v>
      </c>
      <c r="CB40" s="63">
        <v>4843</v>
      </c>
      <c r="CC40" s="63">
        <v>6114</v>
      </c>
      <c r="CD40" s="63">
        <v>2113</v>
      </c>
      <c r="CE40" s="63">
        <v>3239</v>
      </c>
      <c r="CF40" s="64">
        <v>12505.63</v>
      </c>
      <c r="CG40" s="64">
        <v>6953.62</v>
      </c>
      <c r="CH40" s="64">
        <v>2082.38</v>
      </c>
      <c r="CI40" s="63">
        <v>3101.52</v>
      </c>
      <c r="CJ40" s="63">
        <v>368.11</v>
      </c>
      <c r="CK40" s="63">
        <v>5159374</v>
      </c>
      <c r="CL40" s="63">
        <v>10434</v>
      </c>
      <c r="CM40" s="2"/>
      <c r="CN40" s="2"/>
    </row>
    <row r="41" spans="1:92" x14ac:dyDescent="0.2">
      <c r="A41" s="75">
        <v>445566</v>
      </c>
      <c r="B41" s="76" t="s">
        <v>464</v>
      </c>
      <c r="C41" s="76"/>
      <c r="D41" s="76"/>
      <c r="E41" s="76"/>
      <c r="F41" s="77"/>
      <c r="G41" s="76"/>
      <c r="H41" s="77">
        <v>7650</v>
      </c>
      <c r="I41" s="77" t="s">
        <v>465</v>
      </c>
      <c r="J41" s="77" t="s">
        <v>466</v>
      </c>
      <c r="K41" s="77" t="s">
        <v>467</v>
      </c>
      <c r="L41" s="77" t="s">
        <v>468</v>
      </c>
      <c r="M41" s="77" t="s">
        <v>469</v>
      </c>
      <c r="N41" s="78">
        <v>125095</v>
      </c>
      <c r="O41" s="79">
        <v>0.12667972341020825</v>
      </c>
      <c r="P41" s="79">
        <v>0.35481034413845475</v>
      </c>
      <c r="Q41" s="79">
        <v>0.36965506215276389</v>
      </c>
      <c r="R41" s="79">
        <v>0.11206682920980054</v>
      </c>
      <c r="S41" s="79">
        <v>3.6788041088772531E-2</v>
      </c>
      <c r="T41" s="78">
        <v>461241</v>
      </c>
      <c r="U41" s="80">
        <v>0.12325</v>
      </c>
      <c r="V41" s="80">
        <v>0.32804</v>
      </c>
      <c r="W41" s="80">
        <v>0.42120000000000002</v>
      </c>
      <c r="X41" s="80">
        <v>0.10191</v>
      </c>
      <c r="Y41" s="80">
        <v>2.5604999999999999E-2</v>
      </c>
      <c r="Z41" s="78">
        <v>91083</v>
      </c>
      <c r="AA41" s="80">
        <v>9.8400000000000001E-2</v>
      </c>
      <c r="AB41" s="80">
        <v>0.26904</v>
      </c>
      <c r="AC41" s="80">
        <v>0.50322</v>
      </c>
      <c r="AD41" s="80">
        <v>0.10478999999999999</v>
      </c>
      <c r="AE41" s="80">
        <v>2.4538000000000001E-2</v>
      </c>
      <c r="AF41" s="81" t="s">
        <v>173</v>
      </c>
      <c r="AG41" s="81" t="s">
        <v>173</v>
      </c>
      <c r="AH41" s="81" t="s">
        <v>173</v>
      </c>
      <c r="AI41" s="81" t="s">
        <v>173</v>
      </c>
      <c r="AJ41" s="78">
        <v>270396</v>
      </c>
      <c r="AK41" s="80">
        <v>0.68700000000000006</v>
      </c>
      <c r="AL41" s="79">
        <v>0.26100000000000001</v>
      </c>
      <c r="AM41" s="82">
        <v>584785</v>
      </c>
      <c r="AN41" s="80">
        <v>0.14857999999999999</v>
      </c>
      <c r="AO41" s="80">
        <v>0.22159000000000001</v>
      </c>
      <c r="AP41" s="80">
        <v>0.77841000000000005</v>
      </c>
      <c r="AQ41" s="80">
        <v>0.41899999999999998</v>
      </c>
      <c r="AR41" s="82">
        <v>584785</v>
      </c>
      <c r="AS41" s="80">
        <v>0.12007</v>
      </c>
      <c r="AT41" s="80">
        <v>0.29660999999999998</v>
      </c>
      <c r="AU41" s="80">
        <v>0.42346</v>
      </c>
      <c r="AV41" s="80">
        <v>9.9909999999999999E-2</v>
      </c>
      <c r="AW41" s="80">
        <v>5.9959999999999999E-2</v>
      </c>
      <c r="AX41" s="82">
        <v>130451</v>
      </c>
      <c r="AY41" s="82">
        <v>274</v>
      </c>
      <c r="AZ41" s="82">
        <v>90809</v>
      </c>
      <c r="BA41" s="82">
        <v>34039</v>
      </c>
      <c r="BB41" s="82">
        <v>3519</v>
      </c>
      <c r="BC41" s="82">
        <v>1810</v>
      </c>
      <c r="BD41" s="80">
        <v>9.844E-2</v>
      </c>
      <c r="BE41" s="80">
        <v>0.23544000000000001</v>
      </c>
      <c r="BF41" s="80">
        <v>0.48995</v>
      </c>
      <c r="BG41" s="80">
        <v>0.10123</v>
      </c>
      <c r="BH41" s="80">
        <v>7.4940000000000007E-2</v>
      </c>
      <c r="BI41" s="79">
        <v>0.30499999999999999</v>
      </c>
      <c r="BJ41" s="79">
        <v>0.14899999999999999</v>
      </c>
      <c r="BK41" s="80">
        <v>0.59699999999999998</v>
      </c>
      <c r="BL41" s="80">
        <v>0.34899999999999998</v>
      </c>
      <c r="BM41" s="80">
        <v>0.65</v>
      </c>
      <c r="BN41" s="80">
        <v>0.442</v>
      </c>
      <c r="BO41" s="83">
        <v>5</v>
      </c>
      <c r="BP41" s="84">
        <v>141</v>
      </c>
      <c r="BQ41" s="80">
        <v>0.65932999999999997</v>
      </c>
      <c r="BR41" s="80">
        <v>0.77500000000000002</v>
      </c>
      <c r="BS41" s="85">
        <v>4.16</v>
      </c>
      <c r="BT41" s="80">
        <v>0.55100000000000005</v>
      </c>
      <c r="BU41" s="80">
        <v>0.35799999999999998</v>
      </c>
      <c r="BV41" s="86">
        <v>27037</v>
      </c>
      <c r="BW41" s="86">
        <v>14216</v>
      </c>
      <c r="BX41" s="79">
        <v>0.52579798054517879</v>
      </c>
      <c r="BY41" s="84">
        <v>22</v>
      </c>
      <c r="BZ41" s="87">
        <v>484384.55</v>
      </c>
      <c r="CA41" s="88">
        <v>22172</v>
      </c>
      <c r="CB41" s="88">
        <v>6894</v>
      </c>
      <c r="CC41" s="88">
        <v>6997</v>
      </c>
      <c r="CD41" s="88">
        <v>4032</v>
      </c>
      <c r="CE41" s="88">
        <v>4249</v>
      </c>
      <c r="CF41" s="89">
        <v>18932.689999999999</v>
      </c>
      <c r="CG41" s="89">
        <v>11645.44</v>
      </c>
      <c r="CH41" s="89">
        <v>3071.73</v>
      </c>
      <c r="CI41" s="88">
        <v>3358.92</v>
      </c>
      <c r="CJ41" s="88">
        <v>856.61</v>
      </c>
      <c r="CK41" s="88">
        <v>2001918827</v>
      </c>
      <c r="CL41" s="88">
        <v>98541</v>
      </c>
      <c r="CM41" s="29"/>
      <c r="CN41" s="29"/>
    </row>
    <row r="42" spans="1:92" s="1" customFormat="1" x14ac:dyDescent="0.2">
      <c r="G42" s="1" t="s">
        <v>239</v>
      </c>
      <c r="I42" s="36"/>
      <c r="J42" s="37"/>
      <c r="K42" s="36"/>
      <c r="N42" s="34"/>
      <c r="O42" s="32"/>
      <c r="P42" s="32"/>
      <c r="Q42" s="32"/>
      <c r="R42" s="32"/>
      <c r="S42" s="32"/>
      <c r="AA42" s="34"/>
      <c r="AL42" s="33"/>
      <c r="AM42" s="33"/>
      <c r="AR42" s="34"/>
      <c r="BI42" s="33"/>
      <c r="BJ42" s="33"/>
      <c r="BM42" s="33"/>
      <c r="BN42" s="33"/>
      <c r="BO42" s="33"/>
      <c r="BR42" s="32"/>
      <c r="BS42" s="33"/>
      <c r="BU42" s="33"/>
      <c r="BV42" s="33"/>
    </row>
    <row r="43" spans="1:92" s="1" customFormat="1" x14ac:dyDescent="0.2">
      <c r="E43" s="1" t="s">
        <v>470</v>
      </c>
      <c r="I43" s="36"/>
      <c r="J43" s="37"/>
      <c r="N43" s="34"/>
      <c r="O43" s="32"/>
      <c r="P43" s="32"/>
      <c r="Q43" s="32"/>
      <c r="R43" s="32"/>
      <c r="S43" s="32"/>
      <c r="AA43" s="34"/>
      <c r="AL43" s="33"/>
      <c r="AM43" s="33"/>
      <c r="AR43" s="34"/>
      <c r="BI43" s="33"/>
      <c r="BJ43" s="33"/>
      <c r="BM43" s="33"/>
      <c r="BN43" s="33"/>
      <c r="BO43" s="33"/>
      <c r="BR43" s="32"/>
      <c r="BS43" s="33"/>
      <c r="BU43" s="33"/>
      <c r="BV43" s="33"/>
    </row>
    <row r="44" spans="1:92" s="1" customFormat="1" x14ac:dyDescent="0.2">
      <c r="F44" s="1" t="s">
        <v>239</v>
      </c>
      <c r="I44" s="36"/>
      <c r="J44" s="37"/>
      <c r="N44" s="34"/>
      <c r="O44" s="32"/>
      <c r="P44" s="32"/>
      <c r="Q44" s="32"/>
      <c r="R44" s="32"/>
      <c r="S44" s="32"/>
      <c r="AA44" s="34"/>
      <c r="AL44" s="33"/>
      <c r="AM44" s="33"/>
      <c r="AR44" s="34"/>
      <c r="BI44" s="33"/>
      <c r="BJ44" s="33"/>
      <c r="BM44" s="33"/>
      <c r="BN44" s="33"/>
      <c r="BO44" s="33"/>
      <c r="BR44" s="32"/>
      <c r="BS44" s="33"/>
      <c r="BU44" s="33"/>
      <c r="BV44" s="33"/>
    </row>
    <row r="45" spans="1:92" s="1" customFormat="1" x14ac:dyDescent="0.2">
      <c r="A45" s="35"/>
      <c r="B45" s="35"/>
      <c r="C45" s="35"/>
      <c r="D45" s="35"/>
      <c r="E45" s="35"/>
      <c r="F45" s="35"/>
      <c r="G45" s="35"/>
      <c r="H45" s="35"/>
      <c r="I45" s="38"/>
      <c r="J45" s="39"/>
      <c r="K45" s="35"/>
      <c r="L45" s="35"/>
      <c r="M45" s="35"/>
      <c r="N45" s="40"/>
      <c r="O45" s="41"/>
      <c r="P45" s="41"/>
      <c r="Q45" s="41"/>
      <c r="R45" s="41"/>
      <c r="S45" s="41"/>
      <c r="T45" s="35"/>
      <c r="U45" s="35"/>
      <c r="V45" s="35"/>
      <c r="W45" s="35"/>
      <c r="X45" s="35"/>
      <c r="Y45" s="35"/>
      <c r="Z45" s="35"/>
      <c r="AA45" s="40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42"/>
      <c r="AM45" s="42"/>
      <c r="AN45" s="35"/>
      <c r="AO45" s="35"/>
      <c r="AP45" s="35"/>
      <c r="AQ45" s="35"/>
      <c r="AR45" s="40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42"/>
      <c r="BJ45" s="42"/>
      <c r="BK45" s="35"/>
      <c r="BL45" s="35"/>
      <c r="BM45" s="42"/>
      <c r="BN45" s="42"/>
      <c r="BO45" s="42"/>
      <c r="BP45" s="35"/>
      <c r="BQ45" s="35"/>
      <c r="BR45" s="41"/>
      <c r="BS45" s="42"/>
      <c r="BT45" s="35"/>
      <c r="BU45" s="42"/>
      <c r="BV45" s="42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</row>
  </sheetData>
  <mergeCells count="18">
    <mergeCell ref="BV1:BY1"/>
    <mergeCell ref="N1:S1"/>
    <mergeCell ref="T1:Y1"/>
    <mergeCell ref="Z1:AE1"/>
    <mergeCell ref="AF1:AI1"/>
    <mergeCell ref="AJ1:AQ1"/>
    <mergeCell ref="AR1:AW1"/>
    <mergeCell ref="AX1:BC1"/>
    <mergeCell ref="BD1:BH1"/>
    <mergeCell ref="BI1:BN1"/>
    <mergeCell ref="BO1:BQ1"/>
    <mergeCell ref="BT1:BU1"/>
    <mergeCell ref="BZ1:CE1"/>
    <mergeCell ref="CF1:CJ1"/>
    <mergeCell ref="CK1:CL1"/>
    <mergeCell ref="BZ10:CE10"/>
    <mergeCell ref="CF10:CJ10"/>
    <mergeCell ref="CK10:CL10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94"/>
  <sheetViews>
    <sheetView zoomScaleNormal="100" zoomScalePageLayoutView="90" workbookViewId="0">
      <pane xSplit="2" ySplit="3" topLeftCell="C4" activePane="bottomRight" state="frozen"/>
      <selection pane="topRight"/>
      <selection pane="bottomLeft"/>
      <selection pane="bottomRight" activeCell="B24" sqref="B24"/>
    </sheetView>
  </sheetViews>
  <sheetFormatPr defaultColWidth="11" defaultRowHeight="12.75" x14ac:dyDescent="0.2"/>
  <cols>
    <col min="1" max="1" width="7.5" style="9" customWidth="1"/>
    <col min="2" max="2" width="35.25" style="4" bestFit="1" customWidth="1"/>
    <col min="3" max="3" width="12.125" style="4" bestFit="1" customWidth="1"/>
    <col min="4" max="4" width="21" style="4" customWidth="1"/>
    <col min="5" max="5" width="8.375" style="4" customWidth="1"/>
    <col min="6" max="6" width="23.875" style="4" bestFit="1" customWidth="1"/>
    <col min="7" max="7" width="15.375" style="4" bestFit="1" customWidth="1"/>
    <col min="8" max="16" width="11" style="4"/>
    <col min="17" max="17" width="11.875" style="6" bestFit="1" customWidth="1"/>
    <col min="18" max="23" width="11" style="4"/>
    <col min="24" max="24" width="11.875" style="4" bestFit="1" customWidth="1"/>
    <col min="25" max="29" width="11" style="4"/>
    <col min="30" max="30" width="11" style="8"/>
    <col min="31" max="31" width="12.25" style="8" customWidth="1"/>
    <col min="32" max="32" width="11" style="8"/>
    <col min="33" max="38" width="11" style="7"/>
    <col min="39" max="48" width="11" style="4"/>
    <col min="49" max="49" width="12" style="4" bestFit="1" customWidth="1"/>
    <col min="50" max="51" width="11" style="4"/>
    <col min="52" max="52" width="11" style="6"/>
    <col min="53" max="54" width="11" style="4"/>
    <col min="55" max="55" width="11" style="6"/>
    <col min="56" max="57" width="11" style="4"/>
    <col min="58" max="59" width="11" style="6"/>
    <col min="60" max="60" width="11" style="5"/>
    <col min="61" max="16384" width="11" style="4"/>
  </cols>
  <sheetData>
    <row r="1" spans="1:255" x14ac:dyDescent="0.2">
      <c r="A1" s="90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2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144" t="s">
        <v>737</v>
      </c>
      <c r="AD1" s="144"/>
      <c r="AE1" s="144"/>
      <c r="AF1" s="144"/>
      <c r="AG1" s="93"/>
      <c r="AH1" s="93"/>
      <c r="AI1" s="93"/>
      <c r="AJ1" s="93"/>
      <c r="AK1" s="93"/>
      <c r="AL1" s="93"/>
      <c r="AM1" s="144" t="s">
        <v>736</v>
      </c>
      <c r="AN1" s="144"/>
      <c r="AO1" s="144"/>
      <c r="AP1" s="144"/>
      <c r="AQ1" s="144"/>
      <c r="AR1" s="144"/>
      <c r="AS1" s="144"/>
      <c r="AT1" s="144"/>
      <c r="AU1" s="91"/>
      <c r="AV1" s="91"/>
      <c r="AW1" s="91"/>
      <c r="AX1" s="91"/>
      <c r="AY1" s="91"/>
      <c r="AZ1" s="92"/>
      <c r="BA1" s="91"/>
      <c r="BB1" s="91"/>
      <c r="BC1" s="92"/>
      <c r="BD1" s="91"/>
      <c r="BE1" s="91"/>
      <c r="BF1" s="92"/>
      <c r="BG1" s="92"/>
      <c r="BH1" s="94"/>
      <c r="BI1" s="91"/>
      <c r="BJ1" s="91"/>
      <c r="BK1" s="91"/>
      <c r="BL1" s="91"/>
      <c r="BM1" s="91"/>
      <c r="BN1" s="91"/>
    </row>
    <row r="2" spans="1:255" ht="12.75" customHeight="1" x14ac:dyDescent="0.2">
      <c r="A2" s="90"/>
      <c r="B2" s="91"/>
      <c r="C2" s="91"/>
      <c r="D2" s="91"/>
      <c r="E2" s="91"/>
      <c r="F2" s="91"/>
      <c r="G2" s="91"/>
      <c r="H2" s="91"/>
      <c r="I2" s="91"/>
      <c r="J2" s="91"/>
      <c r="K2" s="146" t="s">
        <v>5</v>
      </c>
      <c r="L2" s="146"/>
      <c r="M2" s="146"/>
      <c r="N2" s="146"/>
      <c r="O2" s="146"/>
      <c r="P2" s="146"/>
      <c r="Q2" s="146" t="s">
        <v>735</v>
      </c>
      <c r="R2" s="146"/>
      <c r="S2" s="146"/>
      <c r="T2" s="146"/>
      <c r="U2" s="146"/>
      <c r="V2" s="146"/>
      <c r="W2" s="144" t="s">
        <v>4</v>
      </c>
      <c r="X2" s="144"/>
      <c r="Y2" s="144"/>
      <c r="Z2" s="144"/>
      <c r="AA2" s="144"/>
      <c r="AB2" s="144"/>
      <c r="AC2" s="95"/>
      <c r="AD2" s="147" t="s">
        <v>734</v>
      </c>
      <c r="AE2" s="147"/>
      <c r="AF2" s="147"/>
      <c r="AG2" s="144" t="s">
        <v>728</v>
      </c>
      <c r="AH2" s="144"/>
      <c r="AI2" s="144"/>
      <c r="AJ2" s="144"/>
      <c r="AK2" s="144"/>
      <c r="AL2" s="144"/>
      <c r="AM2" s="144" t="s">
        <v>733</v>
      </c>
      <c r="AN2" s="144"/>
      <c r="AO2" s="144"/>
      <c r="AP2" s="144"/>
      <c r="AQ2" s="144" t="s">
        <v>732</v>
      </c>
      <c r="AR2" s="144"/>
      <c r="AS2" s="144"/>
      <c r="AT2" s="144"/>
      <c r="AU2" s="146" t="s">
        <v>9</v>
      </c>
      <c r="AV2" s="146"/>
      <c r="AW2" s="144" t="s">
        <v>731</v>
      </c>
      <c r="AX2" s="144"/>
      <c r="AY2" s="144"/>
      <c r="AZ2" s="144" t="s">
        <v>730</v>
      </c>
      <c r="BA2" s="144"/>
      <c r="BB2" s="144"/>
      <c r="BC2" s="144" t="s">
        <v>729</v>
      </c>
      <c r="BD2" s="144"/>
      <c r="BE2" s="144"/>
      <c r="BF2" s="144" t="s">
        <v>10</v>
      </c>
      <c r="BG2" s="144"/>
      <c r="BH2" s="144"/>
      <c r="BI2" s="144" t="s">
        <v>11</v>
      </c>
      <c r="BJ2" s="144"/>
      <c r="BK2" s="144"/>
      <c r="BL2" s="144"/>
      <c r="BM2" s="144" t="s">
        <v>728</v>
      </c>
      <c r="BN2" s="144"/>
    </row>
    <row r="3" spans="1:255" ht="63.75" x14ac:dyDescent="0.2">
      <c r="A3" s="96" t="s">
        <v>15</v>
      </c>
      <c r="B3" s="97" t="s">
        <v>727</v>
      </c>
      <c r="C3" s="97" t="s">
        <v>726</v>
      </c>
      <c r="D3" s="97" t="s">
        <v>725</v>
      </c>
      <c r="E3" s="97" t="s">
        <v>724</v>
      </c>
      <c r="F3" s="97" t="s">
        <v>723</v>
      </c>
      <c r="G3" s="97" t="s">
        <v>722</v>
      </c>
      <c r="H3" s="97" t="s">
        <v>21</v>
      </c>
      <c r="I3" s="97" t="s">
        <v>721</v>
      </c>
      <c r="J3" s="97" t="s">
        <v>720</v>
      </c>
      <c r="K3" s="97" t="s">
        <v>28</v>
      </c>
      <c r="L3" s="97" t="s">
        <v>29</v>
      </c>
      <c r="M3" s="97" t="s">
        <v>30</v>
      </c>
      <c r="N3" s="97" t="s">
        <v>31</v>
      </c>
      <c r="O3" s="97" t="s">
        <v>32</v>
      </c>
      <c r="P3" s="98" t="s">
        <v>33</v>
      </c>
      <c r="Q3" s="99" t="s">
        <v>28</v>
      </c>
      <c r="R3" s="97" t="s">
        <v>29</v>
      </c>
      <c r="S3" s="97" t="s">
        <v>30</v>
      </c>
      <c r="T3" s="97" t="s">
        <v>31</v>
      </c>
      <c r="U3" s="97" t="s">
        <v>32</v>
      </c>
      <c r="V3" s="98" t="s">
        <v>33</v>
      </c>
      <c r="W3" s="97" t="s">
        <v>719</v>
      </c>
      <c r="X3" s="97" t="s">
        <v>43</v>
      </c>
      <c r="Y3" s="97" t="s">
        <v>44</v>
      </c>
      <c r="Z3" s="97" t="s">
        <v>718</v>
      </c>
      <c r="AA3" s="97" t="s">
        <v>717</v>
      </c>
      <c r="AB3" s="97" t="s">
        <v>716</v>
      </c>
      <c r="AC3" s="97" t="s">
        <v>715</v>
      </c>
      <c r="AD3" s="100" t="s">
        <v>714</v>
      </c>
      <c r="AE3" s="100" t="s">
        <v>713</v>
      </c>
      <c r="AF3" s="100" t="s">
        <v>712</v>
      </c>
      <c r="AG3" s="101" t="s">
        <v>711</v>
      </c>
      <c r="AH3" s="101" t="s">
        <v>710</v>
      </c>
      <c r="AI3" s="101" t="s">
        <v>51</v>
      </c>
      <c r="AJ3" s="101" t="s">
        <v>52</v>
      </c>
      <c r="AK3" s="101" t="s">
        <v>53</v>
      </c>
      <c r="AL3" s="101" t="s">
        <v>54</v>
      </c>
      <c r="AM3" s="97" t="s">
        <v>709</v>
      </c>
      <c r="AN3" s="97" t="s">
        <v>707</v>
      </c>
      <c r="AO3" s="97" t="s">
        <v>706</v>
      </c>
      <c r="AP3" s="97" t="s">
        <v>705</v>
      </c>
      <c r="AQ3" s="97" t="s">
        <v>708</v>
      </c>
      <c r="AR3" s="97" t="s">
        <v>707</v>
      </c>
      <c r="AS3" s="97" t="s">
        <v>706</v>
      </c>
      <c r="AT3" s="97" t="s">
        <v>705</v>
      </c>
      <c r="AU3" s="97" t="s">
        <v>704</v>
      </c>
      <c r="AV3" s="97" t="s">
        <v>703</v>
      </c>
      <c r="AW3" s="97" t="s">
        <v>702</v>
      </c>
      <c r="AX3" s="97" t="s">
        <v>699</v>
      </c>
      <c r="AY3" s="97" t="s">
        <v>698</v>
      </c>
      <c r="AZ3" s="99" t="s">
        <v>701</v>
      </c>
      <c r="BA3" s="97" t="s">
        <v>699</v>
      </c>
      <c r="BB3" s="97" t="s">
        <v>698</v>
      </c>
      <c r="BC3" s="99" t="s">
        <v>700</v>
      </c>
      <c r="BD3" s="97" t="s">
        <v>699</v>
      </c>
      <c r="BE3" s="97" t="s">
        <v>698</v>
      </c>
      <c r="BF3" s="99" t="s">
        <v>697</v>
      </c>
      <c r="BG3" s="99" t="s">
        <v>696</v>
      </c>
      <c r="BH3" s="102" t="s">
        <v>695</v>
      </c>
      <c r="BI3" s="97" t="s">
        <v>28</v>
      </c>
      <c r="BJ3" s="97" t="s">
        <v>694</v>
      </c>
      <c r="BK3" s="97" t="s">
        <v>693</v>
      </c>
      <c r="BL3" s="97" t="s">
        <v>692</v>
      </c>
      <c r="BM3" s="97" t="s">
        <v>691</v>
      </c>
      <c r="BN3" s="97" t="s">
        <v>690</v>
      </c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</row>
    <row r="4" spans="1:255" x14ac:dyDescent="0.2">
      <c r="A4" s="103">
        <v>3607</v>
      </c>
      <c r="B4" s="104" t="s">
        <v>680</v>
      </c>
      <c r="C4" s="105"/>
      <c r="D4" s="105"/>
      <c r="E4" s="105"/>
      <c r="F4" s="105"/>
      <c r="G4" s="104" t="s">
        <v>516</v>
      </c>
      <c r="H4" s="106"/>
      <c r="I4" s="105"/>
      <c r="J4" s="107">
        <v>2008</v>
      </c>
      <c r="K4" s="108">
        <v>51101</v>
      </c>
      <c r="L4" s="109">
        <v>7.5829999999999995E-2</v>
      </c>
      <c r="M4" s="109">
        <v>0.58765999999999996</v>
      </c>
      <c r="N4" s="109">
        <v>0.27704000000000001</v>
      </c>
      <c r="O4" s="109">
        <v>5.4850000000000003E-2</v>
      </c>
      <c r="P4" s="109">
        <v>4.62E-3</v>
      </c>
      <c r="Q4" s="108">
        <v>5333</v>
      </c>
      <c r="R4" s="109">
        <v>6.769E-2</v>
      </c>
      <c r="S4" s="109">
        <v>0.55240999999999996</v>
      </c>
      <c r="T4" s="109">
        <v>0.32927000000000001</v>
      </c>
      <c r="U4" s="109">
        <v>4.1820000000000003E-2</v>
      </c>
      <c r="V4" s="109">
        <v>8.8100000000000001E-3</v>
      </c>
      <c r="W4" s="109">
        <v>-1.0460000000000001E-2</v>
      </c>
      <c r="X4" s="109">
        <v>0.70116000000000001</v>
      </c>
      <c r="Y4" s="109">
        <v>0.29883999999999999</v>
      </c>
      <c r="Z4" s="109">
        <v>0.79993000000000003</v>
      </c>
      <c r="AA4" s="109">
        <v>0.20007</v>
      </c>
      <c r="AB4" s="110">
        <v>0.38100000000000001</v>
      </c>
      <c r="AC4" s="111" t="s">
        <v>526</v>
      </c>
      <c r="AD4" s="145" t="s">
        <v>526</v>
      </c>
      <c r="AE4" s="145"/>
      <c r="AF4" s="145"/>
      <c r="AG4" s="112">
        <v>9.6999999999999989E-2</v>
      </c>
      <c r="AH4" s="112">
        <v>0.06</v>
      </c>
      <c r="AI4" s="112">
        <v>0.14099999999999999</v>
      </c>
      <c r="AJ4" s="112">
        <v>0.1</v>
      </c>
      <c r="AK4" s="112">
        <v>0.23</v>
      </c>
      <c r="AL4" s="112">
        <v>0.161</v>
      </c>
      <c r="AM4" s="109">
        <v>0.80708000000000002</v>
      </c>
      <c r="AN4" s="109">
        <v>0.46157999999999999</v>
      </c>
      <c r="AO4" s="109">
        <v>0.16675999999999999</v>
      </c>
      <c r="AP4" s="109">
        <v>0.17874999999999999</v>
      </c>
      <c r="AQ4" s="109">
        <v>0.88739000000000001</v>
      </c>
      <c r="AR4" s="109">
        <v>0.77063000000000004</v>
      </c>
      <c r="AS4" s="109">
        <v>8.8220000000000007E-2</v>
      </c>
      <c r="AT4" s="109">
        <v>2.8539999999999999E-2</v>
      </c>
      <c r="AU4" s="113">
        <v>4.5999999999999996</v>
      </c>
      <c r="AV4" s="104">
        <v>93</v>
      </c>
      <c r="AW4" s="114">
        <v>5980</v>
      </c>
      <c r="AX4" s="109">
        <v>0.71355000000000002</v>
      </c>
      <c r="AY4" s="109">
        <v>0.19799</v>
      </c>
      <c r="AZ4" s="108">
        <v>4632</v>
      </c>
      <c r="BA4" s="109">
        <v>0.72323000000000004</v>
      </c>
      <c r="BB4" s="109">
        <v>0.40090999999999999</v>
      </c>
      <c r="BC4" s="108">
        <v>3465</v>
      </c>
      <c r="BD4" s="109">
        <v>0.68369000000000002</v>
      </c>
      <c r="BE4" s="109">
        <v>0.38729999999999998</v>
      </c>
      <c r="BF4" s="108">
        <v>1511</v>
      </c>
      <c r="BG4" s="108">
        <v>7376</v>
      </c>
      <c r="BH4" s="109">
        <v>0.20485</v>
      </c>
      <c r="BI4" s="108">
        <v>2203</v>
      </c>
      <c r="BJ4" s="108">
        <v>707</v>
      </c>
      <c r="BK4" s="109">
        <v>0.32092999999999999</v>
      </c>
      <c r="BL4" s="108">
        <v>21</v>
      </c>
      <c r="BM4" s="109">
        <v>8.9619455077685206E-2</v>
      </c>
      <c r="BN4" s="109">
        <v>0.15778251599147122</v>
      </c>
    </row>
    <row r="5" spans="1:255" x14ac:dyDescent="0.2">
      <c r="A5" s="103">
        <v>309</v>
      </c>
      <c r="B5" s="104" t="s">
        <v>689</v>
      </c>
      <c r="C5" s="104" t="s">
        <v>260</v>
      </c>
      <c r="D5" s="104" t="s">
        <v>680</v>
      </c>
      <c r="E5" s="104">
        <v>2007</v>
      </c>
      <c r="F5" s="104" t="s">
        <v>688</v>
      </c>
      <c r="G5" s="104" t="s">
        <v>516</v>
      </c>
      <c r="H5" s="106"/>
      <c r="I5" s="104" t="s">
        <v>472</v>
      </c>
      <c r="J5" s="107">
        <v>2008</v>
      </c>
      <c r="K5" s="108">
        <v>1260</v>
      </c>
      <c r="L5" s="109">
        <v>0.10556</v>
      </c>
      <c r="M5" s="109">
        <v>0.43889</v>
      </c>
      <c r="N5" s="109">
        <v>0.41110999999999998</v>
      </c>
      <c r="O5" s="109">
        <v>4.3650000000000001E-2</v>
      </c>
      <c r="P5" s="109">
        <v>7.9000000000000001E-4</v>
      </c>
      <c r="Q5" s="108">
        <v>27</v>
      </c>
      <c r="R5" s="109">
        <v>7.4069999999999997E-2</v>
      </c>
      <c r="S5" s="109">
        <v>0.22222</v>
      </c>
      <c r="T5" s="109">
        <v>0.51851999999999998</v>
      </c>
      <c r="U5" s="109">
        <v>0.18518999999999999</v>
      </c>
      <c r="V5" s="109">
        <v>0</v>
      </c>
      <c r="W5" s="109">
        <v>2.0361400000000001</v>
      </c>
      <c r="X5" s="109">
        <v>0.92937000000000003</v>
      </c>
      <c r="Y5" s="109">
        <v>7.0629999999999998E-2</v>
      </c>
      <c r="Z5" s="109">
        <v>0.90952</v>
      </c>
      <c r="AA5" s="109">
        <v>9.0480000000000005E-2</v>
      </c>
      <c r="AB5" s="110">
        <v>0</v>
      </c>
      <c r="AC5" s="56">
        <v>0</v>
      </c>
      <c r="AD5" s="68" t="s">
        <v>173</v>
      </c>
      <c r="AE5" s="68" t="s">
        <v>173</v>
      </c>
      <c r="AF5" s="68" t="s">
        <v>173</v>
      </c>
      <c r="AG5" s="112">
        <v>0.13100000000000001</v>
      </c>
      <c r="AH5" s="112">
        <v>5.5E-2</v>
      </c>
      <c r="AI5" s="112">
        <v>0.14199999999999999</v>
      </c>
      <c r="AJ5" s="112">
        <v>6.3E-2</v>
      </c>
      <c r="AK5" s="112">
        <v>0.32</v>
      </c>
      <c r="AL5" s="112">
        <v>0.10300000000000001</v>
      </c>
      <c r="AM5" s="109">
        <v>0.69230999999999998</v>
      </c>
      <c r="AN5" s="109">
        <v>0.30769000000000002</v>
      </c>
      <c r="AO5" s="109">
        <v>0.15384999999999999</v>
      </c>
      <c r="AP5" s="109">
        <v>0.23077</v>
      </c>
      <c r="AQ5" s="109">
        <v>0</v>
      </c>
      <c r="AR5" s="109">
        <v>0</v>
      </c>
      <c r="AS5" s="109">
        <v>0</v>
      </c>
      <c r="AT5" s="109">
        <v>0</v>
      </c>
      <c r="AU5" s="113">
        <v>3.6</v>
      </c>
      <c r="AV5" s="104">
        <v>85</v>
      </c>
      <c r="AW5" s="114">
        <v>136</v>
      </c>
      <c r="AX5" s="109">
        <v>0.65441000000000005</v>
      </c>
      <c r="AY5" s="109">
        <v>0.28676000000000001</v>
      </c>
      <c r="AZ5" s="108">
        <v>75</v>
      </c>
      <c r="BA5" s="109">
        <v>0.69333</v>
      </c>
      <c r="BB5" s="109">
        <v>0.61333000000000004</v>
      </c>
      <c r="BC5" s="108">
        <v>84</v>
      </c>
      <c r="BD5" s="109">
        <v>0.70238</v>
      </c>
      <c r="BE5" s="109">
        <v>0.5</v>
      </c>
      <c r="BF5" s="108">
        <v>21</v>
      </c>
      <c r="BG5" s="108">
        <v>59</v>
      </c>
      <c r="BH5" s="109">
        <v>0.35593000000000002</v>
      </c>
      <c r="BI5" s="108">
        <v>68</v>
      </c>
      <c r="BJ5" s="108">
        <v>0</v>
      </c>
      <c r="BK5" s="109">
        <v>0</v>
      </c>
      <c r="BL5" s="108">
        <v>18</v>
      </c>
      <c r="BM5" s="109">
        <v>0.10976</v>
      </c>
      <c r="BN5" s="109">
        <v>0.1875</v>
      </c>
    </row>
    <row r="6" spans="1:255" x14ac:dyDescent="0.2">
      <c r="A6" s="103">
        <v>307</v>
      </c>
      <c r="B6" s="104" t="s">
        <v>687</v>
      </c>
      <c r="C6" s="104" t="s">
        <v>260</v>
      </c>
      <c r="D6" s="104" t="s">
        <v>680</v>
      </c>
      <c r="E6" s="104">
        <v>1995</v>
      </c>
      <c r="F6" s="104" t="s">
        <v>686</v>
      </c>
      <c r="G6" s="104" t="s">
        <v>516</v>
      </c>
      <c r="H6" s="106" t="s">
        <v>84</v>
      </c>
      <c r="I6" s="104" t="s">
        <v>472</v>
      </c>
      <c r="J6" s="107">
        <v>2008</v>
      </c>
      <c r="K6" s="108">
        <v>15965</v>
      </c>
      <c r="L6" s="109">
        <v>6.8900000000000003E-2</v>
      </c>
      <c r="M6" s="109">
        <v>0.58677999999999997</v>
      </c>
      <c r="N6" s="109">
        <v>0.27202999999999999</v>
      </c>
      <c r="O6" s="109">
        <v>6.8650000000000003E-2</v>
      </c>
      <c r="P6" s="109">
        <v>3.63E-3</v>
      </c>
      <c r="Q6" s="108">
        <v>1426</v>
      </c>
      <c r="R6" s="109">
        <v>7.0129999999999998E-2</v>
      </c>
      <c r="S6" s="109">
        <v>0.52595000000000003</v>
      </c>
      <c r="T6" s="109">
        <v>0.34011000000000002</v>
      </c>
      <c r="U6" s="109">
        <v>6.0310000000000002E-2</v>
      </c>
      <c r="V6" s="109">
        <v>3.5100000000000001E-3</v>
      </c>
      <c r="W6" s="109">
        <v>0.33474999999999999</v>
      </c>
      <c r="X6" s="109">
        <v>0.75558999999999998</v>
      </c>
      <c r="Y6" s="109">
        <v>0.24440999999999999</v>
      </c>
      <c r="Z6" s="109">
        <v>0.89402000000000004</v>
      </c>
      <c r="AA6" s="109">
        <v>0.10598</v>
      </c>
      <c r="AB6" s="110">
        <v>0.30199999999999999</v>
      </c>
      <c r="AC6" s="56">
        <v>0.18096000000000001</v>
      </c>
      <c r="AD6" s="56">
        <v>0.89300000000000002</v>
      </c>
      <c r="AE6" s="56">
        <v>0.309</v>
      </c>
      <c r="AF6" s="56">
        <v>0.39100000000000001</v>
      </c>
      <c r="AG6" s="112">
        <v>0.11599999999999999</v>
      </c>
      <c r="AH6" s="112">
        <v>8.3000000000000004E-2</v>
      </c>
      <c r="AI6" s="112">
        <v>0.23</v>
      </c>
      <c r="AJ6" s="112">
        <v>0.11900000000000001</v>
      </c>
      <c r="AK6" s="112">
        <v>0.373</v>
      </c>
      <c r="AL6" s="112">
        <v>0.20600000000000002</v>
      </c>
      <c r="AM6" s="109">
        <v>0.82974999999999999</v>
      </c>
      <c r="AN6" s="109">
        <v>0.38943</v>
      </c>
      <c r="AO6" s="109">
        <v>0.17710000000000001</v>
      </c>
      <c r="AP6" s="109">
        <v>0.26321</v>
      </c>
      <c r="AQ6" s="109">
        <v>0.88888999999999996</v>
      </c>
      <c r="AR6" s="109">
        <v>0.68056000000000005</v>
      </c>
      <c r="AS6" s="109">
        <v>0.19444</v>
      </c>
      <c r="AT6" s="109">
        <v>1.389E-2</v>
      </c>
      <c r="AU6" s="113">
        <v>4.0999999999999996</v>
      </c>
      <c r="AV6" s="104">
        <v>87</v>
      </c>
      <c r="AW6" s="114">
        <v>1254</v>
      </c>
      <c r="AX6" s="109">
        <v>0.76793999999999996</v>
      </c>
      <c r="AY6" s="109">
        <v>0.34769</v>
      </c>
      <c r="AZ6" s="108">
        <v>972</v>
      </c>
      <c r="BA6" s="109">
        <v>0.78086</v>
      </c>
      <c r="BB6" s="109">
        <v>0.50617000000000001</v>
      </c>
      <c r="BC6" s="108">
        <v>679</v>
      </c>
      <c r="BD6" s="109">
        <v>0.72606999999999999</v>
      </c>
      <c r="BE6" s="109">
        <v>0.52576999999999996</v>
      </c>
      <c r="BF6" s="108">
        <v>504</v>
      </c>
      <c r="BG6" s="108">
        <v>1490</v>
      </c>
      <c r="BH6" s="109">
        <v>0.33826000000000001</v>
      </c>
      <c r="BI6" s="108">
        <v>587</v>
      </c>
      <c r="BJ6" s="108">
        <v>131</v>
      </c>
      <c r="BK6" s="109">
        <v>0.22317000000000001</v>
      </c>
      <c r="BL6" s="108">
        <v>25</v>
      </c>
      <c r="BM6" s="109">
        <v>0.10581</v>
      </c>
      <c r="BN6" s="109">
        <v>0.1875</v>
      </c>
    </row>
    <row r="7" spans="1:255" x14ac:dyDescent="0.2">
      <c r="A7" s="103">
        <v>23413</v>
      </c>
      <c r="B7" s="104" t="s">
        <v>685</v>
      </c>
      <c r="C7" s="104" t="s">
        <v>260</v>
      </c>
      <c r="D7" s="104" t="s">
        <v>680</v>
      </c>
      <c r="E7" s="104">
        <v>1985</v>
      </c>
      <c r="F7" s="104" t="s">
        <v>684</v>
      </c>
      <c r="G7" s="104" t="s">
        <v>516</v>
      </c>
      <c r="H7" s="106" t="s">
        <v>84</v>
      </c>
      <c r="I7" s="104" t="s">
        <v>472</v>
      </c>
      <c r="J7" s="107">
        <v>2008</v>
      </c>
      <c r="K7" s="108">
        <v>8427</v>
      </c>
      <c r="L7" s="109">
        <v>4.1529999999999997E-2</v>
      </c>
      <c r="M7" s="109">
        <v>0.69408000000000003</v>
      </c>
      <c r="N7" s="109">
        <v>0.22475000000000001</v>
      </c>
      <c r="O7" s="109">
        <v>3.8690000000000002E-2</v>
      </c>
      <c r="P7" s="109">
        <v>9.5E-4</v>
      </c>
      <c r="Q7" s="108">
        <v>1007</v>
      </c>
      <c r="R7" s="109">
        <v>2.383E-2</v>
      </c>
      <c r="S7" s="109">
        <v>0.71399999999999997</v>
      </c>
      <c r="T7" s="109">
        <v>0.23932</v>
      </c>
      <c r="U7" s="109">
        <v>2.2839999999999999E-2</v>
      </c>
      <c r="V7" s="109">
        <v>0</v>
      </c>
      <c r="W7" s="109">
        <v>7.6380000000000003E-2</v>
      </c>
      <c r="X7" s="109">
        <v>0.83399000000000001</v>
      </c>
      <c r="Y7" s="109">
        <v>0.16600999999999999</v>
      </c>
      <c r="Z7" s="109">
        <v>0.86531000000000002</v>
      </c>
      <c r="AA7" s="109">
        <v>0.13469</v>
      </c>
      <c r="AB7" s="110">
        <v>0.34200000000000003</v>
      </c>
      <c r="AC7" s="56">
        <v>0.17954000000000001</v>
      </c>
      <c r="AD7" s="56">
        <v>0.82799999999999996</v>
      </c>
      <c r="AE7" s="56">
        <v>0.23699999999999999</v>
      </c>
      <c r="AF7" s="56">
        <v>0.317</v>
      </c>
      <c r="AG7" s="112">
        <v>0.13300000000000001</v>
      </c>
      <c r="AH7" s="112">
        <v>5.0999999999999997E-2</v>
      </c>
      <c r="AI7" s="112">
        <v>0.16800000000000001</v>
      </c>
      <c r="AJ7" s="112">
        <v>7.400000000000001E-2</v>
      </c>
      <c r="AK7" s="112">
        <v>0.21899999999999997</v>
      </c>
      <c r="AL7" s="112">
        <v>0.13200000000000001</v>
      </c>
      <c r="AM7" s="109">
        <v>0.75051999999999996</v>
      </c>
      <c r="AN7" s="109">
        <v>0.55464000000000002</v>
      </c>
      <c r="AO7" s="109">
        <v>8.8660000000000003E-2</v>
      </c>
      <c r="AP7" s="109">
        <v>0.10722</v>
      </c>
      <c r="AQ7" s="109">
        <v>0.90090000000000003</v>
      </c>
      <c r="AR7" s="109">
        <v>0.75675999999999999</v>
      </c>
      <c r="AS7" s="109">
        <v>0.12612999999999999</v>
      </c>
      <c r="AT7" s="109">
        <v>1.8020000000000001E-2</v>
      </c>
      <c r="AU7" s="113">
        <v>4.4000000000000004</v>
      </c>
      <c r="AV7" s="104">
        <v>94</v>
      </c>
      <c r="AW7" s="114">
        <v>928</v>
      </c>
      <c r="AX7" s="109">
        <v>0.69828000000000001</v>
      </c>
      <c r="AY7" s="109">
        <v>0.18966</v>
      </c>
      <c r="AZ7" s="108">
        <v>772</v>
      </c>
      <c r="BA7" s="109">
        <v>0.69171000000000005</v>
      </c>
      <c r="BB7" s="109">
        <v>0.47667999999999999</v>
      </c>
      <c r="BC7" s="108">
        <v>581</v>
      </c>
      <c r="BD7" s="109">
        <v>0.64027999999999996</v>
      </c>
      <c r="BE7" s="109">
        <v>0.39243</v>
      </c>
      <c r="BF7" s="108">
        <v>238</v>
      </c>
      <c r="BG7" s="108">
        <v>1250</v>
      </c>
      <c r="BH7" s="109">
        <v>0.19040000000000001</v>
      </c>
      <c r="BI7" s="108">
        <v>242</v>
      </c>
      <c r="BJ7" s="108">
        <v>105</v>
      </c>
      <c r="BK7" s="109">
        <v>0.43387999999999999</v>
      </c>
      <c r="BL7" s="108">
        <v>23</v>
      </c>
      <c r="BM7" s="109">
        <v>0.13686999999999999</v>
      </c>
      <c r="BN7" s="109">
        <v>0.12121</v>
      </c>
    </row>
    <row r="8" spans="1:255" x14ac:dyDescent="0.2">
      <c r="A8" s="103">
        <v>9163</v>
      </c>
      <c r="B8" s="104" t="s">
        <v>683</v>
      </c>
      <c r="C8" s="104" t="s">
        <v>260</v>
      </c>
      <c r="D8" s="104" t="s">
        <v>680</v>
      </c>
      <c r="E8" s="104">
        <v>1925</v>
      </c>
      <c r="F8" s="104" t="s">
        <v>682</v>
      </c>
      <c r="G8" s="104" t="s">
        <v>516</v>
      </c>
      <c r="H8" s="106" t="s">
        <v>84</v>
      </c>
      <c r="I8" s="104" t="s">
        <v>472</v>
      </c>
      <c r="J8" s="107">
        <v>2008</v>
      </c>
      <c r="K8" s="108">
        <v>23004</v>
      </c>
      <c r="L8" s="109">
        <v>7.8329999999999997E-2</v>
      </c>
      <c r="M8" s="109">
        <v>0.57106999999999997</v>
      </c>
      <c r="N8" s="109">
        <v>0.29382000000000003</v>
      </c>
      <c r="O8" s="109">
        <v>4.9730000000000003E-2</v>
      </c>
      <c r="P8" s="109">
        <v>7.0400000000000003E-3</v>
      </c>
      <c r="Q8" s="108">
        <v>2495</v>
      </c>
      <c r="R8" s="109">
        <v>5.611E-2</v>
      </c>
      <c r="S8" s="109">
        <v>0.54388999999999998</v>
      </c>
      <c r="T8" s="109">
        <v>0.34789999999999999</v>
      </c>
      <c r="U8" s="109">
        <v>3.3669999999999999E-2</v>
      </c>
      <c r="V8" s="109">
        <v>1.8440000000000002E-2</v>
      </c>
      <c r="W8" s="109">
        <v>5.688E-2</v>
      </c>
      <c r="X8" s="109">
        <v>0.75339</v>
      </c>
      <c r="Y8" s="109">
        <v>0.24661</v>
      </c>
      <c r="Z8" s="109">
        <v>0.78425</v>
      </c>
      <c r="AA8" s="109">
        <v>0.21575</v>
      </c>
      <c r="AB8" s="110">
        <v>0.33100000000000002</v>
      </c>
      <c r="AC8" s="56">
        <v>0.11233</v>
      </c>
      <c r="AD8" s="56">
        <v>0.90700000000000003</v>
      </c>
      <c r="AE8" s="56">
        <v>0.41299999999999998</v>
      </c>
      <c r="AF8" s="56">
        <v>0.435</v>
      </c>
      <c r="AG8" s="112">
        <v>8.5000000000000006E-2</v>
      </c>
      <c r="AH8" s="112">
        <v>4.2999999999999997E-2</v>
      </c>
      <c r="AI8" s="112">
        <v>0.10800000000000001</v>
      </c>
      <c r="AJ8" s="112">
        <v>7.400000000000001E-2</v>
      </c>
      <c r="AK8" s="112">
        <v>0.20399999999999999</v>
      </c>
      <c r="AL8" s="112">
        <v>0.13200000000000001</v>
      </c>
      <c r="AM8" s="109">
        <v>0.84736</v>
      </c>
      <c r="AN8" s="109">
        <v>0.42646000000000001</v>
      </c>
      <c r="AO8" s="109">
        <v>0.19980999999999999</v>
      </c>
      <c r="AP8" s="109">
        <v>0.22109000000000001</v>
      </c>
      <c r="AQ8" s="109">
        <v>0.89</v>
      </c>
      <c r="AR8" s="109">
        <v>0.76</v>
      </c>
      <c r="AS8" s="109">
        <v>0.09</v>
      </c>
      <c r="AT8" s="109">
        <v>0.04</v>
      </c>
      <c r="AU8" s="113">
        <v>5</v>
      </c>
      <c r="AV8" s="104">
        <v>95</v>
      </c>
      <c r="AW8" s="114">
        <v>2530</v>
      </c>
      <c r="AX8" s="109">
        <v>0.71975999999999996</v>
      </c>
      <c r="AY8" s="109">
        <v>0.16403000000000001</v>
      </c>
      <c r="AZ8" s="108">
        <v>1927</v>
      </c>
      <c r="BA8" s="109">
        <v>0.73275000000000001</v>
      </c>
      <c r="BB8" s="109">
        <v>0.37986999999999999</v>
      </c>
      <c r="BC8" s="108">
        <v>1399</v>
      </c>
      <c r="BD8" s="109">
        <v>0.70193000000000005</v>
      </c>
      <c r="BE8" s="109">
        <v>0.40315000000000001</v>
      </c>
      <c r="BF8" s="108">
        <v>584</v>
      </c>
      <c r="BG8" s="108">
        <v>3163</v>
      </c>
      <c r="BH8" s="109">
        <v>0.18462999999999999</v>
      </c>
      <c r="BI8" s="108">
        <v>995</v>
      </c>
      <c r="BJ8" s="108">
        <v>340</v>
      </c>
      <c r="BK8" s="109">
        <v>0.34171000000000001</v>
      </c>
      <c r="BL8" s="108">
        <v>19</v>
      </c>
      <c r="BM8" s="109">
        <v>7.7490000000000003E-2</v>
      </c>
      <c r="BN8" s="109">
        <v>0.13811999999999999</v>
      </c>
    </row>
    <row r="9" spans="1:255" x14ac:dyDescent="0.2">
      <c r="A9" s="103">
        <v>3608</v>
      </c>
      <c r="B9" s="104" t="s">
        <v>681</v>
      </c>
      <c r="C9" s="104" t="s">
        <v>260</v>
      </c>
      <c r="D9" s="104" t="s">
        <v>680</v>
      </c>
      <c r="E9" s="104">
        <v>1898</v>
      </c>
      <c r="F9" s="104" t="s">
        <v>679</v>
      </c>
      <c r="G9" s="104" t="s">
        <v>516</v>
      </c>
      <c r="H9" s="106" t="s">
        <v>678</v>
      </c>
      <c r="I9" s="104" t="s">
        <v>472</v>
      </c>
      <c r="J9" s="107">
        <v>2008</v>
      </c>
      <c r="K9" s="108">
        <v>10238</v>
      </c>
      <c r="L9" s="109">
        <v>0.11702</v>
      </c>
      <c r="M9" s="109">
        <v>0.51827000000000001</v>
      </c>
      <c r="N9" s="109">
        <v>0.30436000000000002</v>
      </c>
      <c r="O9" s="109">
        <v>5.5969999999999999E-2</v>
      </c>
      <c r="P9" s="109">
        <v>4.4000000000000003E-3</v>
      </c>
      <c r="Q9" s="108">
        <v>1416</v>
      </c>
      <c r="R9" s="109">
        <v>0.11723</v>
      </c>
      <c r="S9" s="109">
        <v>0.53037000000000001</v>
      </c>
      <c r="T9" s="109">
        <v>0.30791000000000002</v>
      </c>
      <c r="U9" s="109">
        <v>4.0250000000000001E-2</v>
      </c>
      <c r="V9" s="109">
        <v>4.2399999999999998E-3</v>
      </c>
      <c r="W9" s="109">
        <v>-9.3900000000000008E-3</v>
      </c>
      <c r="X9" s="109">
        <v>0.82721</v>
      </c>
      <c r="Y9" s="109">
        <v>0.17279</v>
      </c>
      <c r="Z9" s="109">
        <v>0.60792999999999997</v>
      </c>
      <c r="AA9" s="109">
        <v>0.39206999999999997</v>
      </c>
      <c r="AB9" s="110">
        <v>0.37200000000000005</v>
      </c>
      <c r="AC9" s="56">
        <v>0.17308000000000001</v>
      </c>
      <c r="AD9" s="56">
        <v>0.82899999999999996</v>
      </c>
      <c r="AE9" s="56">
        <v>0.27500000000000002</v>
      </c>
      <c r="AF9" s="56">
        <v>0.32400000000000001</v>
      </c>
      <c r="AG9" s="112">
        <v>6.6000000000000003E-2</v>
      </c>
      <c r="AH9" s="112">
        <v>0.109</v>
      </c>
      <c r="AI9" s="112">
        <v>0.12</v>
      </c>
      <c r="AJ9" s="112">
        <v>0.152</v>
      </c>
      <c r="AK9" s="112">
        <v>0.20499999999999999</v>
      </c>
      <c r="AL9" s="112">
        <v>0.19500000000000001</v>
      </c>
      <c r="AM9" s="109">
        <v>0.75</v>
      </c>
      <c r="AN9" s="109">
        <v>0.44141000000000002</v>
      </c>
      <c r="AO9" s="109">
        <v>0.17577999999999999</v>
      </c>
      <c r="AP9" s="109">
        <v>0.13281000000000001</v>
      </c>
      <c r="AQ9" s="109">
        <v>0.88234999999999997</v>
      </c>
      <c r="AR9" s="109">
        <v>0.78554000000000002</v>
      </c>
      <c r="AS9" s="109">
        <v>8.0879999999999994E-2</v>
      </c>
      <c r="AT9" s="109">
        <v>1.593E-2</v>
      </c>
      <c r="AU9" s="113">
        <v>4.7</v>
      </c>
      <c r="AV9" s="104">
        <v>98</v>
      </c>
      <c r="AW9" s="114">
        <v>1132</v>
      </c>
      <c r="AX9" s="109">
        <v>0.65900999999999998</v>
      </c>
      <c r="AY9" s="109">
        <v>0.10424</v>
      </c>
      <c r="AZ9" s="108">
        <v>886</v>
      </c>
      <c r="BA9" s="109">
        <v>0.66930000000000001</v>
      </c>
      <c r="BB9" s="109">
        <v>0.24718000000000001</v>
      </c>
      <c r="BC9" s="108">
        <v>722</v>
      </c>
      <c r="BD9" s="109">
        <v>0.64127000000000001</v>
      </c>
      <c r="BE9" s="109">
        <v>0.20913999999999999</v>
      </c>
      <c r="BF9" s="108">
        <v>166</v>
      </c>
      <c r="BG9" s="108">
        <v>1418</v>
      </c>
      <c r="BH9" s="109">
        <v>0.11706999999999999</v>
      </c>
      <c r="BI9" s="108">
        <v>405</v>
      </c>
      <c r="BJ9" s="108">
        <v>160</v>
      </c>
      <c r="BK9" s="109">
        <v>0.39506000000000002</v>
      </c>
      <c r="BL9" s="108">
        <v>17</v>
      </c>
      <c r="BM9" s="109">
        <v>6.2440000000000002E-2</v>
      </c>
      <c r="BN9" s="109">
        <v>0.14285999999999999</v>
      </c>
    </row>
    <row r="10" spans="1:255" x14ac:dyDescent="0.2">
      <c r="A10" s="103">
        <v>3539</v>
      </c>
      <c r="B10" s="104" t="s">
        <v>677</v>
      </c>
      <c r="C10" s="104" t="s">
        <v>676</v>
      </c>
      <c r="D10" s="104"/>
      <c r="E10" s="104">
        <v>1948</v>
      </c>
      <c r="F10" s="104" t="s">
        <v>675</v>
      </c>
      <c r="G10" s="104" t="s">
        <v>473</v>
      </c>
      <c r="H10" s="106"/>
      <c r="I10" s="104" t="s">
        <v>472</v>
      </c>
      <c r="J10" s="107">
        <v>1791</v>
      </c>
      <c r="K10" s="108">
        <v>5191</v>
      </c>
      <c r="L10" s="109">
        <v>0.10499</v>
      </c>
      <c r="M10" s="109">
        <v>0.29320000000000002</v>
      </c>
      <c r="N10" s="109">
        <v>0.51975000000000005</v>
      </c>
      <c r="O10" s="109">
        <v>7.3400000000000007E-2</v>
      </c>
      <c r="P10" s="109">
        <v>8.6700000000000006E-3</v>
      </c>
      <c r="Q10" s="108">
        <v>916</v>
      </c>
      <c r="R10" s="109">
        <v>8.9520000000000002E-2</v>
      </c>
      <c r="S10" s="109">
        <v>0.2238</v>
      </c>
      <c r="T10" s="109">
        <v>0.63319000000000003</v>
      </c>
      <c r="U10" s="109">
        <v>4.6940000000000003E-2</v>
      </c>
      <c r="V10" s="109">
        <v>6.5500000000000003E-3</v>
      </c>
      <c r="W10" s="109">
        <v>0.19388</v>
      </c>
      <c r="X10" s="109">
        <v>0.73319000000000001</v>
      </c>
      <c r="Y10" s="109">
        <v>0.26680999999999999</v>
      </c>
      <c r="Z10" s="109">
        <v>0.72162999999999999</v>
      </c>
      <c r="AA10" s="109">
        <v>0.27837000000000001</v>
      </c>
      <c r="AB10" s="110">
        <v>0.17399999999999999</v>
      </c>
      <c r="AC10" s="56">
        <v>0.25949</v>
      </c>
      <c r="AD10" s="56">
        <v>0.876</v>
      </c>
      <c r="AE10" s="56">
        <v>0.28499999999999998</v>
      </c>
      <c r="AF10" s="56">
        <v>0.41</v>
      </c>
      <c r="AG10" s="112">
        <v>0.14000000000000001</v>
      </c>
      <c r="AH10" s="112">
        <v>6.4000000000000001E-2</v>
      </c>
      <c r="AI10" s="112">
        <v>0.19800000000000001</v>
      </c>
      <c r="AJ10" s="112">
        <v>0.18600000000000003</v>
      </c>
      <c r="AK10" s="112">
        <v>0.34799999999999998</v>
      </c>
      <c r="AL10" s="112">
        <v>0.21600000000000003</v>
      </c>
      <c r="AM10" s="109">
        <v>0.90037999999999996</v>
      </c>
      <c r="AN10" s="109">
        <v>0.32184000000000001</v>
      </c>
      <c r="AO10" s="109">
        <v>0.29502</v>
      </c>
      <c r="AP10" s="109">
        <v>0.28351999999999999</v>
      </c>
      <c r="AQ10" s="109">
        <v>0.93872999999999995</v>
      </c>
      <c r="AR10" s="109">
        <v>0.83333000000000002</v>
      </c>
      <c r="AS10" s="109">
        <v>8.0879999999999994E-2</v>
      </c>
      <c r="AT10" s="109">
        <v>2.4510000000000001E-2</v>
      </c>
      <c r="AU10" s="113">
        <v>4.5999999999999996</v>
      </c>
      <c r="AV10" s="104">
        <v>98</v>
      </c>
      <c r="AW10" s="114">
        <v>249</v>
      </c>
      <c r="AX10" s="109">
        <v>0.35341</v>
      </c>
      <c r="AY10" s="109">
        <v>0.1245</v>
      </c>
      <c r="AZ10" s="108">
        <v>113</v>
      </c>
      <c r="BA10" s="109">
        <v>0.47788000000000003</v>
      </c>
      <c r="BB10" s="109">
        <v>0.30973000000000001</v>
      </c>
      <c r="BC10" s="108">
        <v>167</v>
      </c>
      <c r="BD10" s="109">
        <v>0.41316999999999998</v>
      </c>
      <c r="BE10" s="109">
        <v>0.22753999999999999</v>
      </c>
      <c r="BF10" s="108">
        <v>119</v>
      </c>
      <c r="BG10" s="108">
        <v>653</v>
      </c>
      <c r="BH10" s="109">
        <v>0.18224000000000001</v>
      </c>
      <c r="BI10" s="108">
        <v>295</v>
      </c>
      <c r="BJ10" s="108">
        <v>105</v>
      </c>
      <c r="BK10" s="109">
        <v>0.35593000000000002</v>
      </c>
      <c r="BL10" s="108">
        <v>17</v>
      </c>
      <c r="BM10" s="109">
        <v>6.2990000000000004E-2</v>
      </c>
      <c r="BN10" s="109">
        <v>0.16</v>
      </c>
    </row>
    <row r="11" spans="1:255" x14ac:dyDescent="0.2">
      <c r="A11" s="103">
        <v>3540</v>
      </c>
      <c r="B11" s="104" t="s">
        <v>674</v>
      </c>
      <c r="C11" s="104" t="s">
        <v>673</v>
      </c>
      <c r="D11" s="104"/>
      <c r="E11" s="104">
        <v>1929</v>
      </c>
      <c r="F11" s="104" t="s">
        <v>672</v>
      </c>
      <c r="G11" s="104" t="s">
        <v>489</v>
      </c>
      <c r="H11" s="106" t="s">
        <v>84</v>
      </c>
      <c r="I11" s="104" t="s">
        <v>472</v>
      </c>
      <c r="J11" s="107">
        <v>2392</v>
      </c>
      <c r="K11" s="108">
        <v>10657</v>
      </c>
      <c r="L11" s="109">
        <v>4.8419999999999998E-2</v>
      </c>
      <c r="M11" s="109">
        <v>0.35338000000000003</v>
      </c>
      <c r="N11" s="109">
        <v>0.53927000000000003</v>
      </c>
      <c r="O11" s="109">
        <v>5.5550000000000002E-2</v>
      </c>
      <c r="P11" s="109">
        <v>3.3800000000000002E-3</v>
      </c>
      <c r="Q11" s="108">
        <v>1619</v>
      </c>
      <c r="R11" s="109">
        <v>4.6940000000000003E-2</v>
      </c>
      <c r="S11" s="109">
        <v>0.31685999999999998</v>
      </c>
      <c r="T11" s="109">
        <v>0.57752000000000003</v>
      </c>
      <c r="U11" s="109">
        <v>5.7439999999999998E-2</v>
      </c>
      <c r="V11" s="109">
        <v>1.24E-3</v>
      </c>
      <c r="W11" s="109">
        <v>6.3250000000000001E-2</v>
      </c>
      <c r="X11" s="109">
        <v>0.77029000000000003</v>
      </c>
      <c r="Y11" s="109">
        <v>0.22971</v>
      </c>
      <c r="Z11" s="109">
        <v>0.59031999999999996</v>
      </c>
      <c r="AA11" s="109">
        <v>0.40967999999999999</v>
      </c>
      <c r="AB11" s="110">
        <v>0.39200000000000002</v>
      </c>
      <c r="AC11" s="56">
        <v>0.20841000000000001</v>
      </c>
      <c r="AD11" s="56">
        <v>0.85799999999999998</v>
      </c>
      <c r="AE11" s="56">
        <v>0.33700000000000002</v>
      </c>
      <c r="AF11" s="56">
        <v>0.434</v>
      </c>
      <c r="AG11" s="112">
        <v>0.14099999999999999</v>
      </c>
      <c r="AH11" s="112">
        <v>0.113</v>
      </c>
      <c r="AI11" s="112">
        <v>0.22399999999999998</v>
      </c>
      <c r="AJ11" s="112">
        <v>0.151</v>
      </c>
      <c r="AK11" s="112">
        <v>0.26600000000000001</v>
      </c>
      <c r="AL11" s="112">
        <v>0.27200000000000002</v>
      </c>
      <c r="AM11" s="109">
        <v>0.94542000000000004</v>
      </c>
      <c r="AN11" s="109">
        <v>0.35866999999999999</v>
      </c>
      <c r="AO11" s="109">
        <v>0.22026999999999999</v>
      </c>
      <c r="AP11" s="109">
        <v>0.36647000000000002</v>
      </c>
      <c r="AQ11" s="109">
        <v>0.91983999999999999</v>
      </c>
      <c r="AR11" s="109">
        <v>0.83187</v>
      </c>
      <c r="AS11" s="109">
        <v>4.888E-2</v>
      </c>
      <c r="AT11" s="109">
        <v>3.9100000000000003E-2</v>
      </c>
      <c r="AU11" s="113">
        <v>4.7</v>
      </c>
      <c r="AV11" s="104">
        <v>89</v>
      </c>
      <c r="AW11" s="114">
        <v>555</v>
      </c>
      <c r="AX11" s="109">
        <v>0.30631000000000003</v>
      </c>
      <c r="AY11" s="109">
        <v>0.1009</v>
      </c>
      <c r="AZ11" s="108">
        <v>307</v>
      </c>
      <c r="BA11" s="109">
        <v>0.28664000000000001</v>
      </c>
      <c r="BB11" s="109">
        <v>0.14332</v>
      </c>
      <c r="BC11" s="108">
        <v>409</v>
      </c>
      <c r="BD11" s="109">
        <v>0.27872999999999998</v>
      </c>
      <c r="BE11" s="109">
        <v>0.12958</v>
      </c>
      <c r="BF11" s="108">
        <v>203</v>
      </c>
      <c r="BG11" s="108">
        <v>1492</v>
      </c>
      <c r="BH11" s="109">
        <v>0.13605999999999999</v>
      </c>
      <c r="BI11" s="108">
        <v>425</v>
      </c>
      <c r="BJ11" s="108">
        <v>208</v>
      </c>
      <c r="BK11" s="109">
        <v>0.48941000000000001</v>
      </c>
      <c r="BL11" s="108">
        <v>21</v>
      </c>
      <c r="BM11" s="109">
        <v>5.2769999999999997E-2</v>
      </c>
      <c r="BN11" s="109">
        <v>0.19903999999999999</v>
      </c>
    </row>
    <row r="12" spans="1:255" x14ac:dyDescent="0.2">
      <c r="A12" s="103">
        <v>6661</v>
      </c>
      <c r="B12" s="104" t="s">
        <v>671</v>
      </c>
      <c r="C12" s="104" t="s">
        <v>670</v>
      </c>
      <c r="D12" s="104"/>
      <c r="E12" s="104">
        <v>1966</v>
      </c>
      <c r="F12" s="104" t="s">
        <v>669</v>
      </c>
      <c r="G12" s="104" t="s">
        <v>473</v>
      </c>
      <c r="H12" s="106"/>
      <c r="I12" s="104" t="s">
        <v>472</v>
      </c>
      <c r="J12" s="107">
        <v>2040</v>
      </c>
      <c r="K12" s="108">
        <v>5497</v>
      </c>
      <c r="L12" s="109">
        <v>0.15862999999999999</v>
      </c>
      <c r="M12" s="109">
        <v>0.17718999999999999</v>
      </c>
      <c r="N12" s="109">
        <v>0.62434000000000001</v>
      </c>
      <c r="O12" s="109">
        <v>3.5470000000000002E-2</v>
      </c>
      <c r="P12" s="109">
        <v>4.3699999999999998E-3</v>
      </c>
      <c r="Q12" s="108">
        <v>619</v>
      </c>
      <c r="R12" s="109">
        <v>0.14377999999999999</v>
      </c>
      <c r="S12" s="109">
        <v>0.19225</v>
      </c>
      <c r="T12" s="109">
        <v>0.62519999999999998</v>
      </c>
      <c r="U12" s="109">
        <v>3.3930000000000002E-2</v>
      </c>
      <c r="V12" s="109">
        <v>4.8500000000000001E-3</v>
      </c>
      <c r="W12" s="109">
        <v>0.11864</v>
      </c>
      <c r="X12" s="109">
        <v>0.62070000000000003</v>
      </c>
      <c r="Y12" s="109">
        <v>0.37930000000000003</v>
      </c>
      <c r="Z12" s="109">
        <v>0.55793999999999999</v>
      </c>
      <c r="AA12" s="109">
        <v>0.44206000000000001</v>
      </c>
      <c r="AB12" s="110">
        <v>0.48</v>
      </c>
      <c r="AC12" s="56">
        <v>0.23430999999999999</v>
      </c>
      <c r="AD12" s="56">
        <v>0.83399999999999996</v>
      </c>
      <c r="AE12" s="56">
        <v>0.26</v>
      </c>
      <c r="AF12" s="56">
        <v>0.33</v>
      </c>
      <c r="AG12" s="112">
        <v>0.10199999999999999</v>
      </c>
      <c r="AH12" s="112">
        <v>0.13600000000000001</v>
      </c>
      <c r="AI12" s="112">
        <v>0.14899999999999999</v>
      </c>
      <c r="AJ12" s="112">
        <v>0.11</v>
      </c>
      <c r="AK12" s="112">
        <v>0.27</v>
      </c>
      <c r="AL12" s="112">
        <v>0.315</v>
      </c>
      <c r="AM12" s="109">
        <v>0.91781000000000001</v>
      </c>
      <c r="AN12" s="109">
        <v>0.35615999999999998</v>
      </c>
      <c r="AO12" s="109">
        <v>0.26027</v>
      </c>
      <c r="AP12" s="109">
        <v>0.30137000000000003</v>
      </c>
      <c r="AQ12" s="109">
        <v>0.88966000000000001</v>
      </c>
      <c r="AR12" s="109">
        <v>0.76378999999999997</v>
      </c>
      <c r="AS12" s="109">
        <v>8.7929999999999994E-2</v>
      </c>
      <c r="AT12" s="109">
        <v>3.7929999999999998E-2</v>
      </c>
      <c r="AU12" s="113">
        <v>4.3</v>
      </c>
      <c r="AV12" s="104">
        <v>94</v>
      </c>
      <c r="AW12" s="114">
        <v>420</v>
      </c>
      <c r="AX12" s="109">
        <v>0.24048</v>
      </c>
      <c r="AY12" s="109">
        <v>0.20952000000000001</v>
      </c>
      <c r="AZ12" s="108">
        <v>243</v>
      </c>
      <c r="BA12" s="109">
        <v>0.35391</v>
      </c>
      <c r="BB12" s="109">
        <v>0.30453000000000002</v>
      </c>
      <c r="BC12" s="108">
        <v>291</v>
      </c>
      <c r="BD12" s="109">
        <v>0.28866000000000003</v>
      </c>
      <c r="BE12" s="109">
        <v>0.21648999999999999</v>
      </c>
      <c r="BF12" s="108">
        <v>420</v>
      </c>
      <c r="BG12" s="108">
        <v>1210</v>
      </c>
      <c r="BH12" s="109">
        <v>0.34710999999999997</v>
      </c>
      <c r="BI12" s="108">
        <v>334</v>
      </c>
      <c r="BJ12" s="108">
        <v>111</v>
      </c>
      <c r="BK12" s="109">
        <v>0.33234000000000002</v>
      </c>
      <c r="BL12" s="108">
        <v>17</v>
      </c>
      <c r="BM12" s="109">
        <v>4.4639999999999999E-2</v>
      </c>
      <c r="BN12" s="109">
        <v>9.7299999999999998E-2</v>
      </c>
    </row>
    <row r="13" spans="1:255" x14ac:dyDescent="0.2">
      <c r="A13" s="103">
        <v>12015</v>
      </c>
      <c r="B13" s="104" t="s">
        <v>668</v>
      </c>
      <c r="C13" s="104" t="s">
        <v>332</v>
      </c>
      <c r="D13" s="104"/>
      <c r="E13" s="104">
        <v>1972</v>
      </c>
      <c r="F13" s="104" t="s">
        <v>667</v>
      </c>
      <c r="G13" s="104" t="s">
        <v>516</v>
      </c>
      <c r="H13" s="106" t="s">
        <v>84</v>
      </c>
      <c r="I13" s="104" t="s">
        <v>472</v>
      </c>
      <c r="J13" s="107">
        <v>2463</v>
      </c>
      <c r="K13" s="108">
        <v>38611</v>
      </c>
      <c r="L13" s="109">
        <v>8.1689999999999999E-2</v>
      </c>
      <c r="M13" s="109">
        <v>0.30219000000000001</v>
      </c>
      <c r="N13" s="109">
        <v>0.47404000000000002</v>
      </c>
      <c r="O13" s="109">
        <v>0.13758000000000001</v>
      </c>
      <c r="P13" s="109">
        <v>4.5100000000000001E-3</v>
      </c>
      <c r="Q13" s="108">
        <v>2589</v>
      </c>
      <c r="R13" s="109">
        <v>7.1840000000000001E-2</v>
      </c>
      <c r="S13" s="109">
        <v>0.25068000000000001</v>
      </c>
      <c r="T13" s="109">
        <v>0.56894999999999996</v>
      </c>
      <c r="U13" s="109">
        <v>9.7720000000000001E-2</v>
      </c>
      <c r="V13" s="109">
        <v>1.081E-2</v>
      </c>
      <c r="W13" s="109">
        <v>0.14477999999999999</v>
      </c>
      <c r="X13" s="109">
        <v>0.80015999999999998</v>
      </c>
      <c r="Y13" s="109">
        <v>0.19983999999999999</v>
      </c>
      <c r="Z13" s="109">
        <v>0.62885999999999997</v>
      </c>
      <c r="AA13" s="109">
        <v>0.37114000000000003</v>
      </c>
      <c r="AB13" s="110">
        <v>0.28100000000000003</v>
      </c>
      <c r="AC13" s="56">
        <v>0.11593000000000001</v>
      </c>
      <c r="AD13" s="56">
        <v>0.89200000000000002</v>
      </c>
      <c r="AE13" s="56">
        <v>0.35499999999999998</v>
      </c>
      <c r="AF13" s="56">
        <v>0.36899999999999999</v>
      </c>
      <c r="AG13" s="112">
        <v>4.2999999999999997E-2</v>
      </c>
      <c r="AH13" s="112">
        <v>2.3E-2</v>
      </c>
      <c r="AI13" s="112">
        <v>0.10099999999999999</v>
      </c>
      <c r="AJ13" s="112">
        <v>0.04</v>
      </c>
      <c r="AK13" s="112">
        <v>0.316</v>
      </c>
      <c r="AL13" s="112">
        <v>0.253</v>
      </c>
      <c r="AM13" s="109">
        <v>0.88297999999999999</v>
      </c>
      <c r="AN13" s="109">
        <v>0.42704999999999999</v>
      </c>
      <c r="AO13" s="109">
        <v>0.20669000000000001</v>
      </c>
      <c r="AP13" s="109">
        <v>0.24923999999999999</v>
      </c>
      <c r="AQ13" s="109">
        <v>0.87372000000000005</v>
      </c>
      <c r="AR13" s="109">
        <v>0.76620999999999995</v>
      </c>
      <c r="AS13" s="109">
        <v>6.4850000000000005E-2</v>
      </c>
      <c r="AT13" s="109">
        <v>4.2659999999999997E-2</v>
      </c>
      <c r="AU13" s="113">
        <v>5.7</v>
      </c>
      <c r="AV13" s="104">
        <v>101</v>
      </c>
      <c r="AW13" s="114">
        <v>2031</v>
      </c>
      <c r="AX13" s="109">
        <v>0.26685999999999999</v>
      </c>
      <c r="AY13" s="109">
        <v>0.21024000000000001</v>
      </c>
      <c r="AZ13" s="108">
        <v>759</v>
      </c>
      <c r="BA13" s="109">
        <v>0.35704999999999998</v>
      </c>
      <c r="BB13" s="109">
        <v>0.42687999999999998</v>
      </c>
      <c r="BC13" s="108">
        <v>704</v>
      </c>
      <c r="BD13" s="109">
        <v>0.28550999999999999</v>
      </c>
      <c r="BE13" s="109">
        <v>0.42614000000000002</v>
      </c>
      <c r="BF13" s="108">
        <v>2308</v>
      </c>
      <c r="BG13" s="108">
        <v>7741</v>
      </c>
      <c r="BH13" s="109">
        <v>0.29815000000000003</v>
      </c>
      <c r="BI13" s="108">
        <v>2074</v>
      </c>
      <c r="BJ13" s="108">
        <v>685</v>
      </c>
      <c r="BK13" s="109">
        <v>0.33028000000000002</v>
      </c>
      <c r="BL13" s="108">
        <v>16</v>
      </c>
      <c r="BM13" s="109">
        <v>4.1070000000000002E-2</v>
      </c>
      <c r="BN13" s="109">
        <v>3.8379999999999997E-2</v>
      </c>
    </row>
    <row r="14" spans="1:255" x14ac:dyDescent="0.2">
      <c r="A14" s="103">
        <v>3549</v>
      </c>
      <c r="B14" s="104" t="s">
        <v>666</v>
      </c>
      <c r="C14" s="104" t="s">
        <v>665</v>
      </c>
      <c r="D14" s="104"/>
      <c r="E14" s="104">
        <v>1883</v>
      </c>
      <c r="F14" s="104" t="s">
        <v>664</v>
      </c>
      <c r="G14" s="104" t="s">
        <v>489</v>
      </c>
      <c r="H14" s="106"/>
      <c r="I14" s="104" t="s">
        <v>472</v>
      </c>
      <c r="J14" s="107">
        <v>2464</v>
      </c>
      <c r="K14" s="108">
        <v>18266</v>
      </c>
      <c r="L14" s="109">
        <v>0.10489</v>
      </c>
      <c r="M14" s="109">
        <v>0.18592</v>
      </c>
      <c r="N14" s="109">
        <v>0.64583999999999997</v>
      </c>
      <c r="O14" s="109">
        <v>5.4030000000000002E-2</v>
      </c>
      <c r="P14" s="109">
        <v>9.3100000000000006E-3</v>
      </c>
      <c r="Q14" s="108">
        <v>1227</v>
      </c>
      <c r="R14" s="109">
        <v>0.10758</v>
      </c>
      <c r="S14" s="109">
        <v>0.15322</v>
      </c>
      <c r="T14" s="109">
        <v>0.67888999999999999</v>
      </c>
      <c r="U14" s="109">
        <v>4.9709999999999997E-2</v>
      </c>
      <c r="V14" s="109">
        <v>1.059E-2</v>
      </c>
      <c r="W14" s="109">
        <v>0.17075000000000001</v>
      </c>
      <c r="X14" s="109">
        <v>0.49775999999999998</v>
      </c>
      <c r="Y14" s="109">
        <v>0.50224000000000002</v>
      </c>
      <c r="Z14" s="109">
        <v>0.87080000000000002</v>
      </c>
      <c r="AA14" s="109">
        <v>0.12920000000000001</v>
      </c>
      <c r="AB14" s="110">
        <v>0.26400000000000001</v>
      </c>
      <c r="AC14" s="56">
        <v>7.9549999999999996E-2</v>
      </c>
      <c r="AD14" s="56">
        <v>0.90900000000000003</v>
      </c>
      <c r="AE14" s="56">
        <v>0.372</v>
      </c>
      <c r="AF14" s="56">
        <v>0.442</v>
      </c>
      <c r="AG14" s="112">
        <v>6.9000000000000006E-2</v>
      </c>
      <c r="AH14" s="112">
        <v>2.1000000000000001E-2</v>
      </c>
      <c r="AI14" s="112">
        <v>0.16899999999999998</v>
      </c>
      <c r="AJ14" s="112">
        <v>0.128</v>
      </c>
      <c r="AK14" s="112">
        <v>0.38600000000000001</v>
      </c>
      <c r="AL14" s="112">
        <v>0.36099999999999999</v>
      </c>
      <c r="AM14" s="109">
        <v>0.92779</v>
      </c>
      <c r="AN14" s="109">
        <v>0.35886000000000001</v>
      </c>
      <c r="AO14" s="109">
        <v>0.29759000000000002</v>
      </c>
      <c r="AP14" s="109">
        <v>0.27133000000000002</v>
      </c>
      <c r="AQ14" s="109">
        <v>0.93805000000000005</v>
      </c>
      <c r="AR14" s="109">
        <v>0.84513000000000005</v>
      </c>
      <c r="AS14" s="109">
        <v>4.2040000000000001E-2</v>
      </c>
      <c r="AT14" s="109">
        <v>5.0880000000000002E-2</v>
      </c>
      <c r="AU14" s="113">
        <v>4.3</v>
      </c>
      <c r="AV14" s="104">
        <v>98</v>
      </c>
      <c r="AW14" s="114">
        <v>993</v>
      </c>
      <c r="AX14" s="109">
        <v>0.25378000000000001</v>
      </c>
      <c r="AY14" s="109">
        <v>0.18629999999999999</v>
      </c>
      <c r="AZ14" s="108">
        <v>585</v>
      </c>
      <c r="BA14" s="109">
        <v>0.63932</v>
      </c>
      <c r="BB14" s="109">
        <v>0.39316000000000001</v>
      </c>
      <c r="BC14" s="108">
        <v>590</v>
      </c>
      <c r="BD14" s="109">
        <v>0.46101999999999999</v>
      </c>
      <c r="BE14" s="109">
        <v>0.34067999999999998</v>
      </c>
      <c r="BF14" s="108">
        <v>1373</v>
      </c>
      <c r="BG14" s="108">
        <v>3304</v>
      </c>
      <c r="BH14" s="109">
        <v>0.41555999999999998</v>
      </c>
      <c r="BI14" s="108">
        <v>700</v>
      </c>
      <c r="BJ14" s="108">
        <v>353</v>
      </c>
      <c r="BK14" s="109">
        <v>0.50429000000000002</v>
      </c>
      <c r="BL14" s="108">
        <v>26</v>
      </c>
      <c r="BM14" s="109">
        <v>6.7570000000000005E-2</v>
      </c>
      <c r="BN14" s="109">
        <v>7.1379999999999999E-2</v>
      </c>
    </row>
    <row r="15" spans="1:255" x14ac:dyDescent="0.2">
      <c r="A15" s="103">
        <v>7857</v>
      </c>
      <c r="B15" s="104" t="s">
        <v>663</v>
      </c>
      <c r="C15" s="104" t="s">
        <v>662</v>
      </c>
      <c r="D15" s="104"/>
      <c r="E15" s="104">
        <v>1948</v>
      </c>
      <c r="F15" s="104" t="s">
        <v>661</v>
      </c>
      <c r="G15" s="104" t="s">
        <v>473</v>
      </c>
      <c r="H15" s="106" t="s">
        <v>84</v>
      </c>
      <c r="I15" s="104" t="s">
        <v>530</v>
      </c>
      <c r="J15" s="107">
        <v>2295</v>
      </c>
      <c r="K15" s="108">
        <v>4129</v>
      </c>
      <c r="L15" s="109">
        <v>8.4519999999999998E-2</v>
      </c>
      <c r="M15" s="109">
        <v>0.34777999999999998</v>
      </c>
      <c r="N15" s="109">
        <v>0.53015000000000001</v>
      </c>
      <c r="O15" s="109">
        <v>3.705E-2</v>
      </c>
      <c r="P15" s="109">
        <v>4.8000000000000001E-4</v>
      </c>
      <c r="Q15" s="108">
        <v>671</v>
      </c>
      <c r="R15" s="109">
        <v>7.6009999999999994E-2</v>
      </c>
      <c r="S15" s="109">
        <v>0.34872999999999998</v>
      </c>
      <c r="T15" s="109">
        <v>0.50968999999999998</v>
      </c>
      <c r="U15" s="109">
        <v>6.4079999999999998E-2</v>
      </c>
      <c r="V15" s="109">
        <v>1.49E-3</v>
      </c>
      <c r="W15" s="109">
        <v>6.2260000000000003E-2</v>
      </c>
      <c r="X15" s="109">
        <v>0.76556000000000002</v>
      </c>
      <c r="Y15" s="109">
        <v>0.23444000000000001</v>
      </c>
      <c r="Z15" s="109">
        <v>0.60475000000000001</v>
      </c>
      <c r="AA15" s="109">
        <v>0.37054999999999999</v>
      </c>
      <c r="AB15" s="110">
        <v>0.20100000000000001</v>
      </c>
      <c r="AC15" s="56">
        <v>0.20562</v>
      </c>
      <c r="AD15" s="56">
        <v>0.86499999999999999</v>
      </c>
      <c r="AE15" s="56">
        <v>0.26200000000000001</v>
      </c>
      <c r="AF15" s="56">
        <v>0.38900000000000001</v>
      </c>
      <c r="AG15" s="112">
        <v>0.22</v>
      </c>
      <c r="AH15" s="112">
        <v>0.11599999999999999</v>
      </c>
      <c r="AI15" s="112">
        <v>0.28800000000000003</v>
      </c>
      <c r="AJ15" s="112">
        <v>0.17199999999999999</v>
      </c>
      <c r="AK15" s="112">
        <v>0.38</v>
      </c>
      <c r="AL15" s="112">
        <v>0.16200000000000001</v>
      </c>
      <c r="AM15" s="109">
        <v>0.93822000000000005</v>
      </c>
      <c r="AN15" s="109">
        <v>0.44014999999999999</v>
      </c>
      <c r="AO15" s="109">
        <v>0.28958</v>
      </c>
      <c r="AP15" s="109">
        <v>0.20849000000000001</v>
      </c>
      <c r="AQ15" s="109">
        <v>0.96460000000000001</v>
      </c>
      <c r="AR15" s="109">
        <v>0.88200999999999996</v>
      </c>
      <c r="AS15" s="109">
        <v>6.7849999999999994E-2</v>
      </c>
      <c r="AT15" s="109">
        <v>1.4749999999999999E-2</v>
      </c>
      <c r="AU15" s="113">
        <v>4.2</v>
      </c>
      <c r="AV15" s="104">
        <v>87</v>
      </c>
      <c r="AW15" s="114">
        <v>199</v>
      </c>
      <c r="AX15" s="109">
        <v>0.59296000000000004</v>
      </c>
      <c r="AY15" s="109">
        <v>0.23618</v>
      </c>
      <c r="AZ15" s="108">
        <v>68</v>
      </c>
      <c r="BA15" s="109">
        <v>0.67647000000000002</v>
      </c>
      <c r="BB15" s="109">
        <v>0.30881999999999998</v>
      </c>
      <c r="BC15" s="108">
        <v>70</v>
      </c>
      <c r="BD15" s="109">
        <v>0.74285999999999996</v>
      </c>
      <c r="BE15" s="109">
        <v>0.41428999999999999</v>
      </c>
      <c r="BF15" s="108">
        <v>160</v>
      </c>
      <c r="BG15" s="108">
        <v>653</v>
      </c>
      <c r="BH15" s="109">
        <v>0.24501999999999999</v>
      </c>
      <c r="BI15" s="108">
        <v>156</v>
      </c>
      <c r="BJ15" s="108">
        <v>85</v>
      </c>
      <c r="BK15" s="109">
        <v>0.54486999999999997</v>
      </c>
      <c r="BL15" s="108">
        <v>20</v>
      </c>
      <c r="BM15" s="109">
        <v>8.5269999999999999E-2</v>
      </c>
      <c r="BN15" s="109">
        <v>0.26482</v>
      </c>
    </row>
    <row r="16" spans="1:255" x14ac:dyDescent="0.2">
      <c r="A16" s="103">
        <v>4003</v>
      </c>
      <c r="B16" s="104" t="s">
        <v>660</v>
      </c>
      <c r="C16" s="104" t="s">
        <v>211</v>
      </c>
      <c r="D16" s="104"/>
      <c r="E16" s="104">
        <v>1965</v>
      </c>
      <c r="F16" s="104" t="s">
        <v>659</v>
      </c>
      <c r="G16" s="104" t="s">
        <v>489</v>
      </c>
      <c r="H16" s="106"/>
      <c r="I16" s="104" t="s">
        <v>472</v>
      </c>
      <c r="J16" s="107">
        <v>1890</v>
      </c>
      <c r="K16" s="108">
        <v>10553</v>
      </c>
      <c r="L16" s="109">
        <v>0.25813000000000003</v>
      </c>
      <c r="M16" s="109">
        <v>0.20563000000000001</v>
      </c>
      <c r="N16" s="109">
        <v>0.44602999999999998</v>
      </c>
      <c r="O16" s="109">
        <v>8.301E-2</v>
      </c>
      <c r="P16" s="109">
        <v>7.1999999999999998E-3</v>
      </c>
      <c r="Q16" s="108">
        <v>2314</v>
      </c>
      <c r="R16" s="109">
        <v>0.29948000000000002</v>
      </c>
      <c r="S16" s="109">
        <v>0.18884999999999999</v>
      </c>
      <c r="T16" s="109">
        <v>0.42524000000000001</v>
      </c>
      <c r="U16" s="109">
        <v>8.0379999999999993E-2</v>
      </c>
      <c r="V16" s="109">
        <v>6.0499999999999998E-3</v>
      </c>
      <c r="W16" s="109">
        <v>0.11307</v>
      </c>
      <c r="X16" s="109">
        <v>0.76244000000000001</v>
      </c>
      <c r="Y16" s="109">
        <v>0.23755999999999999</v>
      </c>
      <c r="Z16" s="109">
        <v>0.73723000000000005</v>
      </c>
      <c r="AA16" s="109">
        <v>0.26277</v>
      </c>
      <c r="AB16" s="110">
        <v>0.39200000000000002</v>
      </c>
      <c r="AC16" s="56">
        <v>0.13086</v>
      </c>
      <c r="AD16" s="56">
        <v>0.83699999999999997</v>
      </c>
      <c r="AE16" s="56">
        <v>0.34100000000000003</v>
      </c>
      <c r="AF16" s="56">
        <v>0.38100000000000001</v>
      </c>
      <c r="AG16" s="112">
        <v>9.0999999999999998E-2</v>
      </c>
      <c r="AH16" s="112">
        <v>5.7000000000000002E-2</v>
      </c>
      <c r="AI16" s="112">
        <v>0.14099999999999999</v>
      </c>
      <c r="AJ16" s="112">
        <v>7.8E-2</v>
      </c>
      <c r="AK16" s="112">
        <v>0.25700000000000001</v>
      </c>
      <c r="AL16" s="112">
        <v>0.19500000000000001</v>
      </c>
      <c r="AM16" s="109">
        <v>0.52866000000000002</v>
      </c>
      <c r="AN16" s="109">
        <v>0.40672999999999998</v>
      </c>
      <c r="AO16" s="109">
        <v>7.6429999999999998E-2</v>
      </c>
      <c r="AP16" s="109">
        <v>4.5499999999999999E-2</v>
      </c>
      <c r="AQ16" s="109">
        <v>0.74263999999999997</v>
      </c>
      <c r="AR16" s="109">
        <v>0.63721000000000005</v>
      </c>
      <c r="AS16" s="109">
        <v>8.5269999999999999E-2</v>
      </c>
      <c r="AT16" s="109">
        <v>2.0160000000000001E-2</v>
      </c>
      <c r="AU16" s="113">
        <v>5</v>
      </c>
      <c r="AV16" s="104">
        <v>77</v>
      </c>
      <c r="AW16" s="114">
        <v>673</v>
      </c>
      <c r="AX16" s="109">
        <v>0.13966999999999999</v>
      </c>
      <c r="AY16" s="109">
        <v>0.13372999999999999</v>
      </c>
      <c r="AZ16" s="108">
        <v>350</v>
      </c>
      <c r="BA16" s="109">
        <v>0.28856999999999999</v>
      </c>
      <c r="BB16" s="109">
        <v>0.36570999999999998</v>
      </c>
      <c r="BC16" s="108">
        <v>364</v>
      </c>
      <c r="BD16" s="109">
        <v>0.22527</v>
      </c>
      <c r="BE16" s="109">
        <v>0.22802</v>
      </c>
      <c r="BF16" s="108">
        <v>259</v>
      </c>
      <c r="BG16" s="108">
        <v>1462</v>
      </c>
      <c r="BH16" s="109">
        <v>0.17715</v>
      </c>
      <c r="BI16" s="108">
        <v>637</v>
      </c>
      <c r="BJ16" s="108">
        <v>220</v>
      </c>
      <c r="BK16" s="109">
        <v>0.34537000000000001</v>
      </c>
      <c r="BL16" s="108">
        <v>21</v>
      </c>
      <c r="BM16" s="109">
        <v>5.8819999999999997E-2</v>
      </c>
      <c r="BN16" s="109">
        <v>0.1236</v>
      </c>
    </row>
    <row r="17" spans="1:66" x14ac:dyDescent="0.2">
      <c r="A17" s="103">
        <v>3553</v>
      </c>
      <c r="B17" s="104" t="s">
        <v>658</v>
      </c>
      <c r="C17" s="104" t="s">
        <v>657</v>
      </c>
      <c r="D17" s="104"/>
      <c r="E17" s="104">
        <v>1909</v>
      </c>
      <c r="F17" s="104" t="s">
        <v>656</v>
      </c>
      <c r="G17" s="104" t="s">
        <v>473</v>
      </c>
      <c r="H17" s="106"/>
      <c r="I17" s="104" t="s">
        <v>472</v>
      </c>
      <c r="J17" s="107">
        <v>3060</v>
      </c>
      <c r="K17" s="108">
        <v>3577</v>
      </c>
      <c r="L17" s="109">
        <v>7.3800000000000004E-2</v>
      </c>
      <c r="M17" s="109">
        <v>0.21359</v>
      </c>
      <c r="N17" s="109">
        <v>0.53481000000000001</v>
      </c>
      <c r="O17" s="109">
        <v>0.14760999999999999</v>
      </c>
      <c r="P17" s="109">
        <v>3.0190000000000002E-2</v>
      </c>
      <c r="Q17" s="108">
        <v>523</v>
      </c>
      <c r="R17" s="109">
        <v>9.178E-2</v>
      </c>
      <c r="S17" s="109">
        <v>0.23327000000000001</v>
      </c>
      <c r="T17" s="109">
        <v>0.58126</v>
      </c>
      <c r="U17" s="109">
        <v>5.3539999999999997E-2</v>
      </c>
      <c r="V17" s="109">
        <v>4.0149999999999998E-2</v>
      </c>
      <c r="W17" s="109">
        <v>-4.4350000000000001E-2</v>
      </c>
      <c r="X17" s="109">
        <v>0.55632999999999999</v>
      </c>
      <c r="Y17" s="109">
        <v>0.44367000000000001</v>
      </c>
      <c r="Z17" s="109">
        <v>0.63656999999999997</v>
      </c>
      <c r="AA17" s="109">
        <v>0.36342999999999998</v>
      </c>
      <c r="AB17" s="110">
        <v>0.45899999999999996</v>
      </c>
      <c r="AC17" s="56">
        <v>0.18060000000000001</v>
      </c>
      <c r="AD17" s="56">
        <v>0.90200000000000002</v>
      </c>
      <c r="AE17" s="56">
        <v>0.42499999999999999</v>
      </c>
      <c r="AF17" s="56">
        <v>0.44800000000000001</v>
      </c>
      <c r="AG17" s="112">
        <v>0.154</v>
      </c>
      <c r="AH17" s="112">
        <v>0.106</v>
      </c>
      <c r="AI17" s="112">
        <v>0.17899999999999999</v>
      </c>
      <c r="AJ17" s="112">
        <v>0.16300000000000001</v>
      </c>
      <c r="AK17" s="112">
        <v>0.29699999999999999</v>
      </c>
      <c r="AL17" s="112">
        <v>0.29699999999999999</v>
      </c>
      <c r="AM17" s="109">
        <v>0.91878000000000004</v>
      </c>
      <c r="AN17" s="109">
        <v>0.36548000000000003</v>
      </c>
      <c r="AO17" s="109">
        <v>0.29948999999999998</v>
      </c>
      <c r="AP17" s="109">
        <v>0.25380999999999998</v>
      </c>
      <c r="AQ17" s="109">
        <v>0.89298</v>
      </c>
      <c r="AR17" s="109">
        <v>0.81271000000000004</v>
      </c>
      <c r="AS17" s="109">
        <v>6.6890000000000005E-2</v>
      </c>
      <c r="AT17" s="109">
        <v>1.338E-2</v>
      </c>
      <c r="AU17" s="113">
        <v>3.6</v>
      </c>
      <c r="AV17" s="104">
        <v>74</v>
      </c>
      <c r="AW17" s="114">
        <v>622</v>
      </c>
      <c r="AX17" s="109">
        <v>0.40193000000000001</v>
      </c>
      <c r="AY17" s="109">
        <v>0.21060999999999999</v>
      </c>
      <c r="AZ17" s="108">
        <v>565</v>
      </c>
      <c r="BA17" s="109">
        <v>0.80176999999999998</v>
      </c>
      <c r="BB17" s="109">
        <v>0.53805000000000003</v>
      </c>
      <c r="BC17" s="108">
        <v>564</v>
      </c>
      <c r="BD17" s="109">
        <v>0.75531999999999999</v>
      </c>
      <c r="BE17" s="109">
        <v>0.48404000000000003</v>
      </c>
      <c r="BF17" s="108">
        <v>246</v>
      </c>
      <c r="BG17" s="108">
        <v>898</v>
      </c>
      <c r="BH17" s="109">
        <v>0.27394000000000002</v>
      </c>
      <c r="BI17" s="108">
        <v>219</v>
      </c>
      <c r="BJ17" s="108">
        <v>88</v>
      </c>
      <c r="BK17" s="109">
        <v>0.40183000000000002</v>
      </c>
      <c r="BL17" s="108">
        <v>19</v>
      </c>
      <c r="BM17" s="109">
        <v>0.11512</v>
      </c>
      <c r="BN17" s="109">
        <v>0.1759</v>
      </c>
    </row>
    <row r="18" spans="1:66" x14ac:dyDescent="0.2">
      <c r="A18" s="103">
        <v>3554</v>
      </c>
      <c r="B18" s="104" t="s">
        <v>655</v>
      </c>
      <c r="C18" s="104" t="s">
        <v>654</v>
      </c>
      <c r="D18" s="104"/>
      <c r="E18" s="104">
        <v>1898</v>
      </c>
      <c r="F18" s="104" t="s">
        <v>653</v>
      </c>
      <c r="G18" s="104" t="s">
        <v>477</v>
      </c>
      <c r="H18" s="106"/>
      <c r="I18" s="104" t="s">
        <v>472</v>
      </c>
      <c r="J18" s="107">
        <v>2730</v>
      </c>
      <c r="K18" s="108">
        <v>1213</v>
      </c>
      <c r="L18" s="109">
        <v>4.2869999999999998E-2</v>
      </c>
      <c r="M18" s="109">
        <v>0.19538</v>
      </c>
      <c r="N18" s="109">
        <v>0.65044999999999997</v>
      </c>
      <c r="O18" s="109">
        <v>9.9750000000000005E-2</v>
      </c>
      <c r="P18" s="109">
        <v>1.154E-2</v>
      </c>
      <c r="Q18" s="108">
        <v>238</v>
      </c>
      <c r="R18" s="109">
        <v>7.1429999999999993E-2</v>
      </c>
      <c r="S18" s="109">
        <v>0.17227000000000001</v>
      </c>
      <c r="T18" s="109">
        <v>0.67647000000000002</v>
      </c>
      <c r="U18" s="109">
        <v>5.8819999999999997E-2</v>
      </c>
      <c r="V18" s="109">
        <v>2.1010000000000001E-2</v>
      </c>
      <c r="W18" s="109">
        <v>-2.0979999999999999E-2</v>
      </c>
      <c r="X18" s="109">
        <v>0.50536000000000003</v>
      </c>
      <c r="Y18" s="109">
        <v>0.49464000000000002</v>
      </c>
      <c r="Z18" s="109">
        <v>0.80791000000000002</v>
      </c>
      <c r="AA18" s="109">
        <v>0.19209000000000001</v>
      </c>
      <c r="AB18" s="110">
        <v>0.46</v>
      </c>
      <c r="AC18" s="56">
        <v>0.30173</v>
      </c>
      <c r="AD18" s="56">
        <v>0.85299999999999998</v>
      </c>
      <c r="AE18" s="56">
        <v>0.30099999999999999</v>
      </c>
      <c r="AF18" s="56">
        <v>0.45500000000000002</v>
      </c>
      <c r="AG18" s="112">
        <v>0.20600000000000002</v>
      </c>
      <c r="AH18" s="112">
        <v>9.4E-2</v>
      </c>
      <c r="AI18" s="112">
        <v>0.373</v>
      </c>
      <c r="AJ18" s="112">
        <v>0.13800000000000001</v>
      </c>
      <c r="AK18" s="112">
        <v>0.46200000000000002</v>
      </c>
      <c r="AL18" s="112">
        <v>0.14000000000000001</v>
      </c>
      <c r="AM18" s="109">
        <v>0.97297</v>
      </c>
      <c r="AN18" s="109">
        <v>0.31080999999999998</v>
      </c>
      <c r="AO18" s="109">
        <v>0.40540999999999999</v>
      </c>
      <c r="AP18" s="109">
        <v>0.25675999999999999</v>
      </c>
      <c r="AQ18" s="109">
        <v>0.96240999999999999</v>
      </c>
      <c r="AR18" s="109">
        <v>0.80450999999999995</v>
      </c>
      <c r="AS18" s="109">
        <v>0.15038000000000001</v>
      </c>
      <c r="AT18" s="109">
        <v>7.5199999999999998E-3</v>
      </c>
      <c r="AU18" s="113">
        <v>2.9</v>
      </c>
      <c r="AV18" s="104">
        <v>76</v>
      </c>
      <c r="AW18" s="114">
        <v>143</v>
      </c>
      <c r="AX18" s="109">
        <v>0.39860000000000001</v>
      </c>
      <c r="AY18" s="109">
        <v>0.18881000000000001</v>
      </c>
      <c r="AZ18" s="108">
        <v>87</v>
      </c>
      <c r="BA18" s="109">
        <v>0.51724000000000003</v>
      </c>
      <c r="BB18" s="109">
        <v>0.36781999999999998</v>
      </c>
      <c r="BC18" s="108">
        <v>93</v>
      </c>
      <c r="BD18" s="109">
        <v>0.49462</v>
      </c>
      <c r="BE18" s="109">
        <v>0.29032000000000002</v>
      </c>
      <c r="BF18" s="108">
        <v>70</v>
      </c>
      <c r="BG18" s="108">
        <v>277</v>
      </c>
      <c r="BH18" s="109">
        <v>0.25270999999999999</v>
      </c>
      <c r="BI18" s="108">
        <v>77</v>
      </c>
      <c r="BJ18" s="108">
        <v>37</v>
      </c>
      <c r="BK18" s="109">
        <v>0.48052</v>
      </c>
      <c r="BL18" s="108">
        <v>16</v>
      </c>
      <c r="BM18" s="109">
        <v>0.15447</v>
      </c>
      <c r="BN18" s="109">
        <v>0.29851</v>
      </c>
    </row>
    <row r="19" spans="1:66" x14ac:dyDescent="0.2">
      <c r="A19" s="103">
        <v>3546</v>
      </c>
      <c r="B19" s="104" t="s">
        <v>652</v>
      </c>
      <c r="C19" s="104" t="s">
        <v>651</v>
      </c>
      <c r="D19" s="104"/>
      <c r="E19" s="104">
        <v>1965</v>
      </c>
      <c r="F19" s="104" t="s">
        <v>650</v>
      </c>
      <c r="G19" s="104" t="s">
        <v>473</v>
      </c>
      <c r="H19" s="106" t="s">
        <v>84</v>
      </c>
      <c r="I19" s="104" t="s">
        <v>472</v>
      </c>
      <c r="J19" s="107">
        <v>2696</v>
      </c>
      <c r="K19" s="108">
        <v>3504</v>
      </c>
      <c r="L19" s="109">
        <v>1.941E-2</v>
      </c>
      <c r="M19" s="109">
        <v>0.59960000000000002</v>
      </c>
      <c r="N19" s="109">
        <v>0.23943999999999999</v>
      </c>
      <c r="O19" s="109">
        <v>0.1153</v>
      </c>
      <c r="P19" s="109">
        <v>2.6259999999999999E-2</v>
      </c>
      <c r="Q19" s="108">
        <v>868</v>
      </c>
      <c r="R19" s="109">
        <v>0.13825000000000001</v>
      </c>
      <c r="S19" s="109">
        <v>0.53225999999999996</v>
      </c>
      <c r="T19" s="109">
        <v>0.25691000000000003</v>
      </c>
      <c r="U19" s="109">
        <v>4.4929999999999998E-2</v>
      </c>
      <c r="V19" s="109">
        <v>2.7650000000000001E-2</v>
      </c>
      <c r="W19" s="109">
        <v>-1.7099999999999999E-3</v>
      </c>
      <c r="X19" s="109">
        <v>0.62585999999999997</v>
      </c>
      <c r="Y19" s="109">
        <v>0.37413999999999997</v>
      </c>
      <c r="Z19" s="109">
        <v>0.54795000000000005</v>
      </c>
      <c r="AA19" s="109">
        <v>0.45205000000000001</v>
      </c>
      <c r="AB19" s="110">
        <v>0.38600000000000001</v>
      </c>
      <c r="AC19" s="56">
        <v>0.31678000000000001</v>
      </c>
      <c r="AD19" s="56">
        <v>0.84099999999999997</v>
      </c>
      <c r="AE19" s="56">
        <v>0.24</v>
      </c>
      <c r="AF19" s="56">
        <v>0.318</v>
      </c>
      <c r="AG19" s="112">
        <v>0.21299999999999999</v>
      </c>
      <c r="AH19" s="112">
        <v>0.115</v>
      </c>
      <c r="AI19" s="112">
        <v>0.27200000000000002</v>
      </c>
      <c r="AJ19" s="112">
        <v>0.17899999999999999</v>
      </c>
      <c r="AK19" s="112">
        <v>0.39399999999999996</v>
      </c>
      <c r="AL19" s="112">
        <v>0.23499999999999999</v>
      </c>
      <c r="AM19" s="109">
        <v>0.90344999999999998</v>
      </c>
      <c r="AN19" s="109">
        <v>0.44828000000000001</v>
      </c>
      <c r="AO19" s="109">
        <v>0.24138000000000001</v>
      </c>
      <c r="AP19" s="109">
        <v>0.21379000000000001</v>
      </c>
      <c r="AQ19" s="109">
        <v>0.62441999999999998</v>
      </c>
      <c r="AR19" s="109">
        <v>0.50461</v>
      </c>
      <c r="AS19" s="109">
        <v>0.11521000000000001</v>
      </c>
      <c r="AT19" s="109">
        <v>4.6100000000000004E-3</v>
      </c>
      <c r="AU19" s="113">
        <v>4</v>
      </c>
      <c r="AV19" s="104">
        <v>82</v>
      </c>
      <c r="AW19" s="114">
        <v>693</v>
      </c>
      <c r="AX19" s="109">
        <v>0.21789</v>
      </c>
      <c r="AY19" s="109">
        <v>0.16883000000000001</v>
      </c>
      <c r="AZ19" s="108">
        <v>520</v>
      </c>
      <c r="BA19" s="109">
        <v>0.61346000000000001</v>
      </c>
      <c r="BB19" s="109">
        <v>0.54230999999999996</v>
      </c>
      <c r="BC19" s="108">
        <v>493</v>
      </c>
      <c r="BD19" s="109">
        <v>0.40365000000000001</v>
      </c>
      <c r="BE19" s="109">
        <v>0.3286</v>
      </c>
      <c r="BF19" s="108">
        <v>151</v>
      </c>
      <c r="BG19" s="108">
        <v>762</v>
      </c>
      <c r="BH19" s="109">
        <v>0.19816</v>
      </c>
      <c r="BI19" s="108">
        <v>174</v>
      </c>
      <c r="BJ19" s="108">
        <v>91</v>
      </c>
      <c r="BK19" s="109">
        <v>0.52298999999999995</v>
      </c>
      <c r="BL19" s="108">
        <v>17</v>
      </c>
      <c r="BM19" s="109">
        <v>0.17745</v>
      </c>
      <c r="BN19" s="109">
        <v>0.28571000000000002</v>
      </c>
    </row>
    <row r="20" spans="1:66" x14ac:dyDescent="0.2">
      <c r="A20" s="103">
        <v>7096</v>
      </c>
      <c r="B20" s="115" t="s">
        <v>649</v>
      </c>
      <c r="C20" s="104" t="s">
        <v>648</v>
      </c>
      <c r="D20" s="104" t="s">
        <v>647</v>
      </c>
      <c r="E20" s="104">
        <v>1965</v>
      </c>
      <c r="F20" s="104" t="s">
        <v>646</v>
      </c>
      <c r="G20" s="104" t="s">
        <v>473</v>
      </c>
      <c r="H20" s="106" t="s">
        <v>84</v>
      </c>
      <c r="I20" s="104" t="s">
        <v>472</v>
      </c>
      <c r="J20" s="107">
        <v>1773</v>
      </c>
      <c r="K20" s="108">
        <v>4188</v>
      </c>
      <c r="L20" s="109">
        <v>0.1638</v>
      </c>
      <c r="M20" s="109">
        <v>0.27339999999999998</v>
      </c>
      <c r="N20" s="109">
        <v>0.52746000000000004</v>
      </c>
      <c r="O20" s="109">
        <v>3.5340000000000003E-2</v>
      </c>
      <c r="P20" s="109">
        <v>0</v>
      </c>
      <c r="Q20" s="108">
        <v>665</v>
      </c>
      <c r="R20" s="109">
        <v>0.17895</v>
      </c>
      <c r="S20" s="109">
        <v>0.24060000000000001</v>
      </c>
      <c r="T20" s="109">
        <v>0.52481</v>
      </c>
      <c r="U20" s="109">
        <v>5.5640000000000002E-2</v>
      </c>
      <c r="V20" s="109">
        <v>0</v>
      </c>
      <c r="W20" s="109">
        <v>0.17607</v>
      </c>
      <c r="X20" s="109">
        <v>0.73233000000000004</v>
      </c>
      <c r="Y20" s="109">
        <v>0.26767000000000002</v>
      </c>
      <c r="Z20" s="109">
        <v>0.57545000000000002</v>
      </c>
      <c r="AA20" s="109">
        <v>0.42454999999999998</v>
      </c>
      <c r="AB20" s="110">
        <v>0.27</v>
      </c>
      <c r="AC20" s="56">
        <v>0.25453999999999999</v>
      </c>
      <c r="AD20" s="56">
        <v>0.90400000000000003</v>
      </c>
      <c r="AE20" s="56">
        <v>0.316</v>
      </c>
      <c r="AF20" s="56">
        <v>0.42199999999999999</v>
      </c>
      <c r="AG20" s="112">
        <v>0.151</v>
      </c>
      <c r="AH20" s="112">
        <v>0.10099999999999999</v>
      </c>
      <c r="AI20" s="112">
        <v>0.214</v>
      </c>
      <c r="AJ20" s="112">
        <v>0.17100000000000001</v>
      </c>
      <c r="AK20" s="112">
        <v>0.35899999999999999</v>
      </c>
      <c r="AL20" s="112">
        <v>0.214</v>
      </c>
      <c r="AM20" s="109">
        <v>0.87436999999999998</v>
      </c>
      <c r="AN20" s="109">
        <v>0.40704000000000001</v>
      </c>
      <c r="AO20" s="109">
        <v>0.20602999999999999</v>
      </c>
      <c r="AP20" s="109">
        <v>0.26130999999999999</v>
      </c>
      <c r="AQ20" s="109">
        <v>0.88046999999999997</v>
      </c>
      <c r="AR20" s="109">
        <v>0.79008999999999996</v>
      </c>
      <c r="AS20" s="109">
        <v>5.5390000000000002E-2</v>
      </c>
      <c r="AT20" s="109">
        <v>3.499E-2</v>
      </c>
      <c r="AU20" s="113">
        <v>4.7</v>
      </c>
      <c r="AV20" s="104">
        <v>91</v>
      </c>
      <c r="AW20" s="114">
        <v>244</v>
      </c>
      <c r="AX20" s="109">
        <v>0.24179999999999999</v>
      </c>
      <c r="AY20" s="109">
        <v>0.13114999999999999</v>
      </c>
      <c r="AZ20" s="108">
        <v>103</v>
      </c>
      <c r="BA20" s="109">
        <v>0.52427000000000001</v>
      </c>
      <c r="BB20" s="109">
        <v>0.21359</v>
      </c>
      <c r="BC20" s="108">
        <v>77</v>
      </c>
      <c r="BD20" s="109">
        <v>0.46753</v>
      </c>
      <c r="BE20" s="109">
        <v>0.22078</v>
      </c>
      <c r="BF20" s="108">
        <v>84</v>
      </c>
      <c r="BG20" s="108">
        <v>453</v>
      </c>
      <c r="BH20" s="109">
        <v>0.18543000000000001</v>
      </c>
      <c r="BI20" s="108">
        <v>241</v>
      </c>
      <c r="BJ20" s="108">
        <v>87</v>
      </c>
      <c r="BK20" s="109">
        <v>0.36099999999999999</v>
      </c>
      <c r="BL20" s="108">
        <v>16</v>
      </c>
      <c r="BM20" s="109">
        <v>0.11765</v>
      </c>
      <c r="BN20" s="109">
        <v>0.15833</v>
      </c>
    </row>
    <row r="21" spans="1:66" x14ac:dyDescent="0.2">
      <c r="A21" s="103">
        <v>23614</v>
      </c>
      <c r="B21" s="104" t="s">
        <v>644</v>
      </c>
      <c r="C21" s="104" t="s">
        <v>645</v>
      </c>
      <c r="D21" s="104" t="s">
        <v>644</v>
      </c>
      <c r="E21" s="104">
        <v>1985</v>
      </c>
      <c r="F21" s="104" t="s">
        <v>643</v>
      </c>
      <c r="G21" s="104" t="s">
        <v>516</v>
      </c>
      <c r="H21" s="106"/>
      <c r="I21" s="104" t="s">
        <v>472</v>
      </c>
      <c r="J21" s="107">
        <v>1164</v>
      </c>
      <c r="K21" s="108">
        <v>27559</v>
      </c>
      <c r="L21" s="109">
        <v>0.12862999999999999</v>
      </c>
      <c r="M21" s="109">
        <v>0.18484</v>
      </c>
      <c r="N21" s="109">
        <v>0.54610000000000003</v>
      </c>
      <c r="O21" s="109">
        <v>0.11619</v>
      </c>
      <c r="P21" s="109">
        <v>2.4240000000000001E-2</v>
      </c>
      <c r="Q21" s="108">
        <v>2339</v>
      </c>
      <c r="R21" s="109">
        <v>9.4060000000000005E-2</v>
      </c>
      <c r="S21" s="109">
        <v>0.15135000000000001</v>
      </c>
      <c r="T21" s="109">
        <v>0.60453000000000001</v>
      </c>
      <c r="U21" s="109">
        <v>0.10902000000000001</v>
      </c>
      <c r="V21" s="109">
        <v>4.104E-2</v>
      </c>
      <c r="W21" s="109">
        <v>0.32929999999999998</v>
      </c>
      <c r="X21" s="109">
        <v>0.68493000000000004</v>
      </c>
      <c r="Y21" s="109">
        <v>0.31507000000000002</v>
      </c>
      <c r="Z21" s="109">
        <v>0.69259000000000004</v>
      </c>
      <c r="AA21" s="109">
        <v>0.30741000000000002</v>
      </c>
      <c r="AB21" s="110">
        <v>0.23</v>
      </c>
      <c r="AC21" s="56">
        <v>0.10661</v>
      </c>
      <c r="AD21" s="56">
        <v>0.90800000000000003</v>
      </c>
      <c r="AE21" s="56">
        <v>0.39</v>
      </c>
      <c r="AF21" s="56">
        <v>0.45900000000000002</v>
      </c>
      <c r="AG21" s="112">
        <v>0.121</v>
      </c>
      <c r="AH21" s="112">
        <v>4.2999999999999997E-2</v>
      </c>
      <c r="AI21" s="112">
        <v>0.21299999999999999</v>
      </c>
      <c r="AJ21" s="112">
        <v>9.1999999999999998E-2</v>
      </c>
      <c r="AK21" s="112">
        <v>0.35399999999999998</v>
      </c>
      <c r="AL21" s="112">
        <v>0.18</v>
      </c>
      <c r="AM21" s="109">
        <v>0.94940999999999998</v>
      </c>
      <c r="AN21" s="109">
        <v>0.40276000000000001</v>
      </c>
      <c r="AO21" s="109">
        <v>0.31735000000000002</v>
      </c>
      <c r="AP21" s="109">
        <v>0.2293</v>
      </c>
      <c r="AQ21" s="109">
        <v>0.93761000000000005</v>
      </c>
      <c r="AR21" s="109">
        <v>0.79266000000000003</v>
      </c>
      <c r="AS21" s="109">
        <v>8.8069999999999996E-2</v>
      </c>
      <c r="AT21" s="109">
        <v>5.688E-2</v>
      </c>
      <c r="AU21" s="113">
        <v>4.3</v>
      </c>
      <c r="AV21" s="104">
        <v>87</v>
      </c>
      <c r="AW21" s="114">
        <v>1773</v>
      </c>
      <c r="AX21" s="109">
        <v>0.25606000000000001</v>
      </c>
      <c r="AY21" s="109">
        <v>0.19514999999999999</v>
      </c>
      <c r="AZ21" s="108">
        <v>1006</v>
      </c>
      <c r="BA21" s="109">
        <v>0.54871000000000003</v>
      </c>
      <c r="BB21" s="109">
        <v>0.52583999999999997</v>
      </c>
      <c r="BC21" s="108">
        <v>800</v>
      </c>
      <c r="BD21" s="109">
        <v>0.37624999999999997</v>
      </c>
      <c r="BE21" s="109">
        <v>0.43375000000000002</v>
      </c>
      <c r="BF21" s="108">
        <v>1258</v>
      </c>
      <c r="BG21" s="108">
        <v>3917</v>
      </c>
      <c r="BH21" s="109">
        <v>0.32116</v>
      </c>
      <c r="BI21" s="108">
        <v>1169</v>
      </c>
      <c r="BJ21" s="108">
        <v>400</v>
      </c>
      <c r="BK21" s="109">
        <v>0.34216999999999997</v>
      </c>
      <c r="BL21" s="108">
        <v>22</v>
      </c>
      <c r="BM21" s="109">
        <v>7.3749999999999996E-2</v>
      </c>
      <c r="BN21" s="109">
        <v>0.14692</v>
      </c>
    </row>
    <row r="22" spans="1:66" x14ac:dyDescent="0.2">
      <c r="A22" s="103">
        <v>9331</v>
      </c>
      <c r="B22" s="104" t="s">
        <v>626</v>
      </c>
      <c r="C22" s="104"/>
      <c r="D22" s="104"/>
      <c r="E22" s="104"/>
      <c r="F22" s="104"/>
      <c r="G22" s="104" t="s">
        <v>516</v>
      </c>
      <c r="H22" s="106" t="s">
        <v>84</v>
      </c>
      <c r="I22" s="104"/>
      <c r="J22" s="107">
        <v>1560</v>
      </c>
      <c r="K22" s="108">
        <v>64557</v>
      </c>
      <c r="L22" s="109">
        <v>0.24323</v>
      </c>
      <c r="M22" s="109">
        <v>0.35104999999999997</v>
      </c>
      <c r="N22" s="109">
        <v>0.24307000000000001</v>
      </c>
      <c r="O22" s="109">
        <v>0.10718</v>
      </c>
      <c r="P22" s="109">
        <v>5.5469999999999998E-2</v>
      </c>
      <c r="Q22" s="108">
        <v>7548</v>
      </c>
      <c r="R22" s="109">
        <v>0.21304000000000001</v>
      </c>
      <c r="S22" s="109">
        <v>0.28365000000000001</v>
      </c>
      <c r="T22" s="109">
        <v>0.31796999999999997</v>
      </c>
      <c r="U22" s="109">
        <v>0.12281</v>
      </c>
      <c r="V22" s="109">
        <v>6.2530000000000002E-2</v>
      </c>
      <c r="W22" s="109">
        <v>0.12892999999999999</v>
      </c>
      <c r="X22" s="109">
        <v>0.77178000000000002</v>
      </c>
      <c r="Y22" s="109">
        <v>0.22864000000000001</v>
      </c>
      <c r="Z22" s="109">
        <v>0.65712000000000004</v>
      </c>
      <c r="AA22" s="109">
        <v>0.34288000000000002</v>
      </c>
      <c r="AB22" s="110">
        <v>0.33</v>
      </c>
      <c r="AC22" s="111" t="s">
        <v>526</v>
      </c>
      <c r="AD22" s="145" t="s">
        <v>526</v>
      </c>
      <c r="AE22" s="145"/>
      <c r="AF22" s="145"/>
      <c r="AG22" s="112">
        <v>0.113</v>
      </c>
      <c r="AH22" s="112">
        <v>5.4000000000000006E-2</v>
      </c>
      <c r="AI22" s="112">
        <v>0.154</v>
      </c>
      <c r="AJ22" s="112">
        <v>0.10400000000000001</v>
      </c>
      <c r="AK22" s="112">
        <v>0.27899999999999997</v>
      </c>
      <c r="AL22" s="112">
        <v>0.21299999999999999</v>
      </c>
      <c r="AM22" s="109">
        <v>0.90958000000000006</v>
      </c>
      <c r="AN22" s="109">
        <v>0.42252000000000001</v>
      </c>
      <c r="AO22" s="109">
        <v>0.27353</v>
      </c>
      <c r="AP22" s="109">
        <v>0.21353</v>
      </c>
      <c r="AQ22" s="109">
        <v>0.90127999999999997</v>
      </c>
      <c r="AR22" s="109">
        <v>0.74790999999999996</v>
      </c>
      <c r="AS22" s="109">
        <v>0.11293</v>
      </c>
      <c r="AT22" s="109">
        <v>4.0439999999999997E-2</v>
      </c>
      <c r="AU22" s="113">
        <v>4.5999999999999996</v>
      </c>
      <c r="AV22" s="104">
        <v>90</v>
      </c>
      <c r="AW22" s="114">
        <v>4440</v>
      </c>
      <c r="AX22" s="109">
        <v>0.25563000000000002</v>
      </c>
      <c r="AY22" s="109">
        <v>6.0139999999999999E-2</v>
      </c>
      <c r="AZ22" s="108">
        <v>2569</v>
      </c>
      <c r="BA22" s="109">
        <v>0.31335000000000002</v>
      </c>
      <c r="BB22" s="109">
        <v>0.20125000000000001</v>
      </c>
      <c r="BC22" s="108">
        <v>2935</v>
      </c>
      <c r="BD22" s="109">
        <v>0.30732999999999999</v>
      </c>
      <c r="BE22" s="109">
        <v>0.16525000000000001</v>
      </c>
      <c r="BF22" s="108">
        <v>2358</v>
      </c>
      <c r="BG22" s="108">
        <v>10174</v>
      </c>
      <c r="BH22" s="109">
        <v>0.23177</v>
      </c>
      <c r="BI22" s="108">
        <v>3101</v>
      </c>
      <c r="BJ22" s="108">
        <v>1048</v>
      </c>
      <c r="BK22" s="109">
        <v>0.33795999999999998</v>
      </c>
      <c r="BL22" s="108">
        <v>20</v>
      </c>
      <c r="BM22" s="109">
        <v>3.4841628959276019E-2</v>
      </c>
      <c r="BN22" s="109">
        <v>0.18196078431372548</v>
      </c>
    </row>
    <row r="23" spans="1:66" ht="14.25" customHeight="1" x14ac:dyDescent="0.2">
      <c r="A23" s="103">
        <v>21002</v>
      </c>
      <c r="B23" s="104" t="s">
        <v>642</v>
      </c>
      <c r="C23" s="104" t="s">
        <v>352</v>
      </c>
      <c r="D23" s="104" t="s">
        <v>626</v>
      </c>
      <c r="E23" s="104">
        <v>1978</v>
      </c>
      <c r="F23" s="116" t="s">
        <v>641</v>
      </c>
      <c r="G23" s="104" t="s">
        <v>516</v>
      </c>
      <c r="H23" s="106" t="s">
        <v>84</v>
      </c>
      <c r="I23" s="104" t="s">
        <v>472</v>
      </c>
      <c r="J23" s="107">
        <v>1560</v>
      </c>
      <c r="K23" s="108">
        <v>9973</v>
      </c>
      <c r="L23" s="109">
        <v>0.15812999999999999</v>
      </c>
      <c r="M23" s="109">
        <v>0.33450000000000002</v>
      </c>
      <c r="N23" s="109">
        <v>0.30732999999999999</v>
      </c>
      <c r="O23" s="109">
        <v>0.11992</v>
      </c>
      <c r="P23" s="109">
        <v>8.0119999999999997E-2</v>
      </c>
      <c r="Q23" s="108">
        <v>1035</v>
      </c>
      <c r="R23" s="109">
        <v>0.1343</v>
      </c>
      <c r="S23" s="109">
        <v>0.28309000000000001</v>
      </c>
      <c r="T23" s="109">
        <v>0.39034000000000002</v>
      </c>
      <c r="U23" s="109">
        <v>0.12464</v>
      </c>
      <c r="V23" s="109">
        <v>6.7629999999999996E-2</v>
      </c>
      <c r="W23" s="109">
        <v>1.218E-2</v>
      </c>
      <c r="X23" s="109">
        <v>0.84077000000000002</v>
      </c>
      <c r="Y23" s="109">
        <v>0.16003000000000001</v>
      </c>
      <c r="Z23" s="109">
        <v>0.67803000000000002</v>
      </c>
      <c r="AA23" s="109">
        <v>0.32196999999999998</v>
      </c>
      <c r="AB23" s="110" t="s">
        <v>515</v>
      </c>
      <c r="AC23" s="56">
        <v>5.475E-2</v>
      </c>
      <c r="AD23" s="56">
        <v>0.86199999999999999</v>
      </c>
      <c r="AE23" s="56">
        <v>0.35599999999999998</v>
      </c>
      <c r="AF23" s="56">
        <v>0.42299999999999999</v>
      </c>
      <c r="AG23" s="112">
        <v>9.1999999999999998E-2</v>
      </c>
      <c r="AH23" s="112">
        <v>3.6000000000000004E-2</v>
      </c>
      <c r="AI23" s="112">
        <v>0.125</v>
      </c>
      <c r="AJ23" s="112">
        <v>8.3000000000000004E-2</v>
      </c>
      <c r="AK23" s="112">
        <v>0.29100000000000004</v>
      </c>
      <c r="AL23" s="112">
        <v>0.222</v>
      </c>
      <c r="AM23" s="109">
        <v>0.94601999999999997</v>
      </c>
      <c r="AN23" s="109">
        <v>0.43702000000000002</v>
      </c>
      <c r="AO23" s="109">
        <v>0.22622</v>
      </c>
      <c r="AP23" s="109">
        <v>0.28277999999999998</v>
      </c>
      <c r="AQ23" s="109">
        <v>0.90878999999999999</v>
      </c>
      <c r="AR23" s="109">
        <v>0.72963999999999996</v>
      </c>
      <c r="AS23" s="109">
        <v>0.10749</v>
      </c>
      <c r="AT23" s="109">
        <v>7.1660000000000001E-2</v>
      </c>
      <c r="AU23" s="113">
        <v>4.7</v>
      </c>
      <c r="AV23" s="104">
        <v>88</v>
      </c>
      <c r="AW23" s="114">
        <v>552</v>
      </c>
      <c r="AX23" s="109">
        <v>0.30615999999999999</v>
      </c>
      <c r="AY23" s="109">
        <v>7.2459999999999997E-2</v>
      </c>
      <c r="AZ23" s="108">
        <v>391</v>
      </c>
      <c r="BA23" s="109">
        <v>0.39385999999999999</v>
      </c>
      <c r="BB23" s="109">
        <v>0.27366000000000001</v>
      </c>
      <c r="BC23" s="108">
        <v>375</v>
      </c>
      <c r="BD23" s="109">
        <v>0.34932999999999997</v>
      </c>
      <c r="BE23" s="109">
        <v>0.21867</v>
      </c>
      <c r="BF23" s="108">
        <v>388</v>
      </c>
      <c r="BG23" s="108">
        <v>1556</v>
      </c>
      <c r="BH23" s="109">
        <v>0.24936</v>
      </c>
      <c r="BI23" s="108">
        <v>569</v>
      </c>
      <c r="BJ23" s="108">
        <v>188</v>
      </c>
      <c r="BK23" s="109">
        <v>0.33040000000000003</v>
      </c>
      <c r="BL23" s="108">
        <v>16</v>
      </c>
      <c r="BM23" s="109">
        <v>1.8689999999999998E-2</v>
      </c>
      <c r="BN23" s="109">
        <v>0.14158999999999999</v>
      </c>
    </row>
    <row r="24" spans="1:66" x14ac:dyDescent="0.2">
      <c r="A24" s="103">
        <v>3561</v>
      </c>
      <c r="B24" s="104" t="s">
        <v>640</v>
      </c>
      <c r="C24" s="104" t="s">
        <v>639</v>
      </c>
      <c r="D24" s="104" t="s">
        <v>626</v>
      </c>
      <c r="E24" s="104">
        <v>1977</v>
      </c>
      <c r="F24" s="104" t="s">
        <v>638</v>
      </c>
      <c r="G24" s="104" t="s">
        <v>516</v>
      </c>
      <c r="H24" s="106"/>
      <c r="I24" s="104" t="s">
        <v>472</v>
      </c>
      <c r="J24" s="107">
        <v>1560</v>
      </c>
      <c r="K24" s="108">
        <v>5880</v>
      </c>
      <c r="L24" s="109">
        <v>0.55578000000000005</v>
      </c>
      <c r="M24" s="109">
        <v>0.2034</v>
      </c>
      <c r="N24" s="109">
        <v>0.17585000000000001</v>
      </c>
      <c r="O24" s="109">
        <v>5.2549999999999999E-2</v>
      </c>
      <c r="P24" s="109">
        <v>1.2409999999999999E-2</v>
      </c>
      <c r="Q24" s="108">
        <v>1045</v>
      </c>
      <c r="R24" s="109">
        <v>0.41339999999999999</v>
      </c>
      <c r="S24" s="109">
        <v>0.19425999999999999</v>
      </c>
      <c r="T24" s="109">
        <v>0.33493000000000001</v>
      </c>
      <c r="U24" s="109">
        <v>4.8800000000000003E-2</v>
      </c>
      <c r="V24" s="109">
        <v>8.6099999999999996E-3</v>
      </c>
      <c r="W24" s="109">
        <v>0.17907000000000001</v>
      </c>
      <c r="X24" s="109">
        <v>0.83094999999999997</v>
      </c>
      <c r="Y24" s="109">
        <v>0.16905000000000001</v>
      </c>
      <c r="Z24" s="109">
        <v>0.57550999999999997</v>
      </c>
      <c r="AA24" s="109">
        <v>0.42448999999999998</v>
      </c>
      <c r="AB24" s="110" t="s">
        <v>515</v>
      </c>
      <c r="AC24" s="56">
        <v>0.14677000000000001</v>
      </c>
      <c r="AD24" s="56">
        <v>0.88800000000000001</v>
      </c>
      <c r="AE24" s="56">
        <v>0.26800000000000002</v>
      </c>
      <c r="AF24" s="56">
        <v>0.32300000000000001</v>
      </c>
      <c r="AG24" s="112">
        <v>0.10099999999999999</v>
      </c>
      <c r="AH24" s="112">
        <v>0.10800000000000001</v>
      </c>
      <c r="AI24" s="112">
        <v>0.121</v>
      </c>
      <c r="AJ24" s="112">
        <v>0.154</v>
      </c>
      <c r="AK24" s="112">
        <v>0.24600000000000002</v>
      </c>
      <c r="AL24" s="112">
        <v>0.20800000000000002</v>
      </c>
      <c r="AM24" s="109">
        <v>0.88678999999999997</v>
      </c>
      <c r="AN24" s="109">
        <v>0.41887000000000002</v>
      </c>
      <c r="AO24" s="109">
        <v>0.30942999999999998</v>
      </c>
      <c r="AP24" s="109">
        <v>0.15848999999999999</v>
      </c>
      <c r="AQ24" s="109">
        <v>0.82533000000000001</v>
      </c>
      <c r="AR24" s="109">
        <v>0.61572000000000005</v>
      </c>
      <c r="AS24" s="109">
        <v>0.17904</v>
      </c>
      <c r="AT24" s="109">
        <v>3.057E-2</v>
      </c>
      <c r="AU24" s="113">
        <v>4.3</v>
      </c>
      <c r="AV24" s="104">
        <v>86</v>
      </c>
      <c r="AW24" s="114">
        <v>476</v>
      </c>
      <c r="AX24" s="109">
        <v>0.25209999999999999</v>
      </c>
      <c r="AY24" s="109">
        <v>6.5129999999999993E-2</v>
      </c>
      <c r="AZ24" s="108">
        <v>284</v>
      </c>
      <c r="BA24" s="109">
        <v>0.24296000000000001</v>
      </c>
      <c r="BB24" s="109">
        <v>0.1162</v>
      </c>
      <c r="BC24" s="108">
        <v>308</v>
      </c>
      <c r="BD24" s="109">
        <v>0.27272999999999997</v>
      </c>
      <c r="BE24" s="109">
        <v>8.7660000000000002E-2</v>
      </c>
      <c r="BF24" s="108">
        <v>150</v>
      </c>
      <c r="BG24" s="108">
        <v>797</v>
      </c>
      <c r="BH24" s="109">
        <v>0.18820999999999999</v>
      </c>
      <c r="BI24" s="108">
        <v>259</v>
      </c>
      <c r="BJ24" s="108">
        <v>90</v>
      </c>
      <c r="BK24" s="109">
        <v>0.34749000000000002</v>
      </c>
      <c r="BL24" s="108">
        <v>18</v>
      </c>
      <c r="BM24" s="109">
        <v>4.0649999999999999E-2</v>
      </c>
      <c r="BN24" s="109">
        <v>0.22806999999999999</v>
      </c>
    </row>
    <row r="25" spans="1:66" x14ac:dyDescent="0.2">
      <c r="A25" s="103">
        <v>8510</v>
      </c>
      <c r="B25" s="104" t="s">
        <v>637</v>
      </c>
      <c r="C25" s="104" t="s">
        <v>636</v>
      </c>
      <c r="D25" s="104" t="s">
        <v>626</v>
      </c>
      <c r="E25" s="104">
        <v>1966</v>
      </c>
      <c r="F25" s="104" t="s">
        <v>635</v>
      </c>
      <c r="G25" s="104" t="s">
        <v>516</v>
      </c>
      <c r="H25" s="106" t="s">
        <v>84</v>
      </c>
      <c r="I25" s="104" t="s">
        <v>472</v>
      </c>
      <c r="J25" s="107">
        <v>1560</v>
      </c>
      <c r="K25" s="108">
        <v>12735</v>
      </c>
      <c r="L25" s="109">
        <v>0.24798000000000001</v>
      </c>
      <c r="M25" s="109">
        <v>0.38500000000000001</v>
      </c>
      <c r="N25" s="109">
        <v>0.27044000000000001</v>
      </c>
      <c r="O25" s="109">
        <v>7.3580000000000007E-2</v>
      </c>
      <c r="P25" s="109">
        <v>2.3009999999999999E-2</v>
      </c>
      <c r="Q25" s="108">
        <v>1173</v>
      </c>
      <c r="R25" s="109">
        <v>0.21482999999999999</v>
      </c>
      <c r="S25" s="109">
        <v>0.37936999999999999</v>
      </c>
      <c r="T25" s="109">
        <v>0.32566000000000001</v>
      </c>
      <c r="U25" s="109">
        <v>6.905E-2</v>
      </c>
      <c r="V25" s="109">
        <v>1.108E-2</v>
      </c>
      <c r="W25" s="109">
        <v>0.36774000000000001</v>
      </c>
      <c r="X25" s="109">
        <v>0.82347999999999999</v>
      </c>
      <c r="Y25" s="109">
        <v>0.17652000000000001</v>
      </c>
      <c r="Z25" s="109">
        <v>0.67145999999999995</v>
      </c>
      <c r="AA25" s="109">
        <v>0.32854</v>
      </c>
      <c r="AB25" s="110" t="s">
        <v>515</v>
      </c>
      <c r="AC25" s="56">
        <v>0.12862000000000001</v>
      </c>
      <c r="AD25" s="56">
        <v>0.92200000000000004</v>
      </c>
      <c r="AE25" s="56">
        <v>0.34599999999999997</v>
      </c>
      <c r="AF25" s="56">
        <v>0.40799999999999997</v>
      </c>
      <c r="AG25" s="112">
        <v>0.11699999999999999</v>
      </c>
      <c r="AH25" s="112">
        <v>5.5999999999999994E-2</v>
      </c>
      <c r="AI25" s="112">
        <v>0.16399999999999998</v>
      </c>
      <c r="AJ25" s="112">
        <v>0.10099999999999999</v>
      </c>
      <c r="AK25" s="112">
        <v>0.27399999999999997</v>
      </c>
      <c r="AL25" s="112">
        <v>0.19899999999999998</v>
      </c>
      <c r="AM25" s="109">
        <v>0.90807000000000004</v>
      </c>
      <c r="AN25" s="109">
        <v>0.44464999999999999</v>
      </c>
      <c r="AO25" s="109">
        <v>0.24203</v>
      </c>
      <c r="AP25" s="109">
        <v>0.22139</v>
      </c>
      <c r="AQ25" s="109">
        <v>0.95169999999999999</v>
      </c>
      <c r="AR25" s="109">
        <v>0.79544999999999999</v>
      </c>
      <c r="AS25" s="109">
        <v>0.13919999999999999</v>
      </c>
      <c r="AT25" s="109">
        <v>1.7049999999999999E-2</v>
      </c>
      <c r="AU25" s="113">
        <v>4.5</v>
      </c>
      <c r="AV25" s="104">
        <v>85</v>
      </c>
      <c r="AW25" s="114">
        <v>890</v>
      </c>
      <c r="AX25" s="109">
        <v>0.23932999999999999</v>
      </c>
      <c r="AY25" s="109">
        <v>5.0560000000000001E-2</v>
      </c>
      <c r="AZ25" s="108">
        <v>486</v>
      </c>
      <c r="BA25" s="109">
        <v>0.29218</v>
      </c>
      <c r="BB25" s="109">
        <v>0.16872000000000001</v>
      </c>
      <c r="BC25" s="108">
        <v>531</v>
      </c>
      <c r="BD25" s="109">
        <v>0.22599</v>
      </c>
      <c r="BE25" s="109">
        <v>0.12994</v>
      </c>
      <c r="BF25" s="108">
        <v>410</v>
      </c>
      <c r="BG25" s="108">
        <v>1950</v>
      </c>
      <c r="BH25" s="109">
        <v>0.21026</v>
      </c>
      <c r="BI25" s="108">
        <v>483</v>
      </c>
      <c r="BJ25" s="108">
        <v>183</v>
      </c>
      <c r="BK25" s="109">
        <v>0.37887999999999999</v>
      </c>
      <c r="BL25" s="108">
        <v>21</v>
      </c>
      <c r="BM25" s="109">
        <v>6.6479999999999997E-2</v>
      </c>
      <c r="BN25" s="109">
        <v>0.16089000000000001</v>
      </c>
    </row>
    <row r="26" spans="1:66" x14ac:dyDescent="0.2">
      <c r="A26" s="103">
        <v>4453</v>
      </c>
      <c r="B26" s="104" t="s">
        <v>634</v>
      </c>
      <c r="C26" s="104" t="s">
        <v>352</v>
      </c>
      <c r="D26" s="104" t="s">
        <v>626</v>
      </c>
      <c r="E26" s="104">
        <v>1964</v>
      </c>
      <c r="F26" s="104" t="s">
        <v>633</v>
      </c>
      <c r="G26" s="104" t="s">
        <v>516</v>
      </c>
      <c r="H26" s="106" t="s">
        <v>84</v>
      </c>
      <c r="I26" s="104" t="s">
        <v>472</v>
      </c>
      <c r="J26" s="107">
        <v>1560</v>
      </c>
      <c r="K26" s="108">
        <v>9517</v>
      </c>
      <c r="L26" s="109">
        <v>0.30986999999999998</v>
      </c>
      <c r="M26" s="109">
        <v>0.38027</v>
      </c>
      <c r="N26" s="109">
        <v>0.19900999999999999</v>
      </c>
      <c r="O26" s="109">
        <v>7.7229999999999993E-2</v>
      </c>
      <c r="P26" s="109">
        <v>3.3619999999999997E-2</v>
      </c>
      <c r="Q26" s="108">
        <v>1427</v>
      </c>
      <c r="R26" s="109">
        <v>0.22214</v>
      </c>
      <c r="S26" s="109">
        <v>0.28591</v>
      </c>
      <c r="T26" s="109">
        <v>0.35598999999999997</v>
      </c>
      <c r="U26" s="109">
        <v>0.11142000000000001</v>
      </c>
      <c r="V26" s="109">
        <v>2.453E-2</v>
      </c>
      <c r="W26" s="109">
        <v>0.23533000000000001</v>
      </c>
      <c r="X26" s="109">
        <v>0.83418999999999999</v>
      </c>
      <c r="Y26" s="109">
        <v>0.16581000000000001</v>
      </c>
      <c r="Z26" s="109">
        <v>0.40559000000000001</v>
      </c>
      <c r="AA26" s="109">
        <v>0.59440999999999999</v>
      </c>
      <c r="AB26" s="110" t="s">
        <v>515</v>
      </c>
      <c r="AC26" s="56">
        <v>9.1840000000000005E-2</v>
      </c>
      <c r="AD26" s="56">
        <v>0.83099999999999996</v>
      </c>
      <c r="AE26" s="56">
        <v>0.20300000000000001</v>
      </c>
      <c r="AF26" s="56">
        <v>0.27900000000000003</v>
      </c>
      <c r="AG26" s="112">
        <v>5.5E-2</v>
      </c>
      <c r="AH26" s="112">
        <v>4.2000000000000003E-2</v>
      </c>
      <c r="AI26" s="112">
        <v>0.121</v>
      </c>
      <c r="AJ26" s="112">
        <v>7.9000000000000001E-2</v>
      </c>
      <c r="AK26" s="112">
        <v>0.18899999999999997</v>
      </c>
      <c r="AL26" s="112">
        <v>0.20199999999999999</v>
      </c>
      <c r="AM26" s="109">
        <v>0.90566000000000002</v>
      </c>
      <c r="AN26" s="109">
        <v>0.39623000000000003</v>
      </c>
      <c r="AO26" s="109">
        <v>0.33961999999999998</v>
      </c>
      <c r="AP26" s="109">
        <v>0.16980999999999999</v>
      </c>
      <c r="AQ26" s="109">
        <v>0.93440999999999996</v>
      </c>
      <c r="AR26" s="109">
        <v>0.82984999999999998</v>
      </c>
      <c r="AS26" s="109">
        <v>6.1789999999999998E-2</v>
      </c>
      <c r="AT26" s="109">
        <v>4.2779999999999999E-2</v>
      </c>
      <c r="AU26" s="113">
        <v>5.0999999999999996</v>
      </c>
      <c r="AV26" s="104">
        <v>97</v>
      </c>
      <c r="AW26" s="114">
        <v>642</v>
      </c>
      <c r="AX26" s="109">
        <v>0.26946999999999999</v>
      </c>
      <c r="AY26" s="109">
        <v>7.009E-2</v>
      </c>
      <c r="AZ26" s="108">
        <v>343</v>
      </c>
      <c r="BA26" s="109">
        <v>0.23615</v>
      </c>
      <c r="BB26" s="109">
        <v>0.13120000000000001</v>
      </c>
      <c r="BC26" s="108">
        <v>417</v>
      </c>
      <c r="BD26" s="109">
        <v>0.22302</v>
      </c>
      <c r="BE26" s="109">
        <v>0.13189000000000001</v>
      </c>
      <c r="BF26" s="108">
        <v>189</v>
      </c>
      <c r="BG26" s="108">
        <v>1132</v>
      </c>
      <c r="BH26" s="109">
        <v>0.16696</v>
      </c>
      <c r="BI26" s="108">
        <v>525</v>
      </c>
      <c r="BJ26" s="108">
        <v>179</v>
      </c>
      <c r="BK26" s="109">
        <v>0.34094999999999998</v>
      </c>
      <c r="BL26" s="108">
        <v>17</v>
      </c>
      <c r="BM26" s="109">
        <v>1.5970000000000002E-2</v>
      </c>
      <c r="BN26" s="109">
        <v>0.11373999999999999</v>
      </c>
    </row>
    <row r="27" spans="1:66" x14ac:dyDescent="0.2">
      <c r="A27" s="103">
        <v>8503</v>
      </c>
      <c r="B27" s="104" t="s">
        <v>632</v>
      </c>
      <c r="C27" s="104" t="s">
        <v>352</v>
      </c>
      <c r="D27" s="104" t="s">
        <v>626</v>
      </c>
      <c r="E27" s="104">
        <v>1970</v>
      </c>
      <c r="F27" s="104" t="s">
        <v>631</v>
      </c>
      <c r="G27" s="104" t="s">
        <v>516</v>
      </c>
      <c r="H27" s="106" t="s">
        <v>84</v>
      </c>
      <c r="I27" s="104" t="s">
        <v>472</v>
      </c>
      <c r="J27" s="107">
        <v>1560</v>
      </c>
      <c r="K27" s="108">
        <v>7849</v>
      </c>
      <c r="L27" s="109">
        <v>0.25022</v>
      </c>
      <c r="M27" s="109">
        <v>0.54007000000000005</v>
      </c>
      <c r="N27" s="109">
        <v>0.11403000000000001</v>
      </c>
      <c r="O27" s="109">
        <v>5.7840000000000003E-2</v>
      </c>
      <c r="P27" s="109">
        <v>3.7839999999999999E-2</v>
      </c>
      <c r="Q27" s="108">
        <v>814</v>
      </c>
      <c r="R27" s="109">
        <v>0.22850000000000001</v>
      </c>
      <c r="S27" s="109">
        <v>0.51966000000000001</v>
      </c>
      <c r="T27" s="109">
        <v>0.15601999999999999</v>
      </c>
      <c r="U27" s="109">
        <v>7.1249999999999994E-2</v>
      </c>
      <c r="V27" s="109">
        <v>2.4570000000000002E-2</v>
      </c>
      <c r="W27" s="109">
        <v>0.21690000000000001</v>
      </c>
      <c r="X27" s="109">
        <v>0.79283999999999999</v>
      </c>
      <c r="Y27" s="109">
        <v>0.20741000000000001</v>
      </c>
      <c r="Z27" s="109">
        <v>0.66581999999999997</v>
      </c>
      <c r="AA27" s="109">
        <v>0.33417999999999998</v>
      </c>
      <c r="AB27" s="110" t="s">
        <v>515</v>
      </c>
      <c r="AC27" s="56">
        <v>6.4339999999999994E-2</v>
      </c>
      <c r="AD27" s="56">
        <v>0.84899999999999998</v>
      </c>
      <c r="AE27" s="56">
        <v>0.247</v>
      </c>
      <c r="AF27" s="56">
        <v>0.33900000000000002</v>
      </c>
      <c r="AG27" s="112">
        <v>9.9000000000000005E-2</v>
      </c>
      <c r="AH27" s="112">
        <v>6.3E-2</v>
      </c>
      <c r="AI27" s="112">
        <v>0.155</v>
      </c>
      <c r="AJ27" s="112">
        <v>9.3000000000000013E-2</v>
      </c>
      <c r="AK27" s="112">
        <v>0.27800000000000002</v>
      </c>
      <c r="AL27" s="112">
        <v>0.161</v>
      </c>
      <c r="AM27" s="109">
        <v>0.92</v>
      </c>
      <c r="AN27" s="109">
        <v>0.48749999999999999</v>
      </c>
      <c r="AO27" s="109">
        <v>0.27750000000000002</v>
      </c>
      <c r="AP27" s="109">
        <v>0.155</v>
      </c>
      <c r="AQ27" s="109">
        <v>0.89188999999999996</v>
      </c>
      <c r="AR27" s="109">
        <v>0.70945999999999998</v>
      </c>
      <c r="AS27" s="109">
        <v>0.16216</v>
      </c>
      <c r="AT27" s="109">
        <v>2.027E-2</v>
      </c>
      <c r="AU27" s="113">
        <v>4.5</v>
      </c>
      <c r="AV27" s="104">
        <v>86</v>
      </c>
      <c r="AW27" s="114">
        <v>611</v>
      </c>
      <c r="AX27" s="109">
        <v>0.22422</v>
      </c>
      <c r="AY27" s="109">
        <v>5.4010000000000002E-2</v>
      </c>
      <c r="AZ27" s="108">
        <v>370</v>
      </c>
      <c r="BA27" s="109">
        <v>0.20541000000000001</v>
      </c>
      <c r="BB27" s="109">
        <v>0.15676000000000001</v>
      </c>
      <c r="BC27" s="108">
        <v>405</v>
      </c>
      <c r="BD27" s="109">
        <v>0.26419999999999999</v>
      </c>
      <c r="BE27" s="109">
        <v>0.11111</v>
      </c>
      <c r="BF27" s="108">
        <v>221</v>
      </c>
      <c r="BG27" s="108">
        <v>1066</v>
      </c>
      <c r="BH27" s="109">
        <v>0.20732</v>
      </c>
      <c r="BI27" s="108">
        <v>331</v>
      </c>
      <c r="BJ27" s="108">
        <v>113</v>
      </c>
      <c r="BK27" s="109">
        <v>0.34139000000000003</v>
      </c>
      <c r="BL27" s="108">
        <v>21</v>
      </c>
      <c r="BM27" s="109">
        <v>3.0880000000000001E-2</v>
      </c>
      <c r="BN27" s="109">
        <v>0.19863</v>
      </c>
    </row>
    <row r="28" spans="1:66" x14ac:dyDescent="0.2">
      <c r="A28" s="103">
        <v>20774</v>
      </c>
      <c r="B28" s="104" t="s">
        <v>630</v>
      </c>
      <c r="C28" s="104" t="s">
        <v>629</v>
      </c>
      <c r="D28" s="104" t="s">
        <v>626</v>
      </c>
      <c r="E28" s="104">
        <v>1977</v>
      </c>
      <c r="F28" s="104" t="s">
        <v>628</v>
      </c>
      <c r="G28" s="104" t="s">
        <v>516</v>
      </c>
      <c r="H28" s="106" t="s">
        <v>84</v>
      </c>
      <c r="I28" s="104" t="s">
        <v>472</v>
      </c>
      <c r="J28" s="107">
        <v>1560</v>
      </c>
      <c r="K28" s="108">
        <v>9544</v>
      </c>
      <c r="L28" s="109">
        <v>0.19111</v>
      </c>
      <c r="M28" s="109">
        <v>0.33130999999999999</v>
      </c>
      <c r="N28" s="109">
        <v>0.27367999999999998</v>
      </c>
      <c r="O28" s="109">
        <v>0.13211999999999999</v>
      </c>
      <c r="P28" s="109">
        <v>7.177E-2</v>
      </c>
      <c r="Q28" s="108">
        <v>1446</v>
      </c>
      <c r="R28" s="109">
        <v>0.13761999999999999</v>
      </c>
      <c r="S28" s="109">
        <v>0.24135999999999999</v>
      </c>
      <c r="T28" s="109">
        <v>0.32018999999999997</v>
      </c>
      <c r="U28" s="109">
        <v>0.15284</v>
      </c>
      <c r="V28" s="109">
        <v>0.14799000000000001</v>
      </c>
      <c r="W28" s="109">
        <v>-1.5779999999999999E-2</v>
      </c>
      <c r="X28" s="109">
        <v>0.83214999999999995</v>
      </c>
      <c r="Y28" s="109">
        <v>0.16858999999999999</v>
      </c>
      <c r="Z28" s="109">
        <v>0.73385999999999996</v>
      </c>
      <c r="AA28" s="109">
        <v>0.26613999999999999</v>
      </c>
      <c r="AB28" s="110" t="s">
        <v>515</v>
      </c>
      <c r="AC28" s="56">
        <v>8.906E-2</v>
      </c>
      <c r="AD28" s="56">
        <v>0.871</v>
      </c>
      <c r="AE28" s="56">
        <v>0.309</v>
      </c>
      <c r="AF28" s="56">
        <v>0.39</v>
      </c>
      <c r="AG28" s="112">
        <v>0.11</v>
      </c>
      <c r="AH28" s="112">
        <v>4.8000000000000001E-2</v>
      </c>
      <c r="AI28" s="112">
        <v>0.16399999999999998</v>
      </c>
      <c r="AJ28" s="112">
        <v>0.121</v>
      </c>
      <c r="AK28" s="112">
        <v>0.28899999999999998</v>
      </c>
      <c r="AL28" s="112">
        <v>0.23100000000000001</v>
      </c>
      <c r="AM28" s="109">
        <v>0.85660000000000003</v>
      </c>
      <c r="AN28" s="109">
        <v>0.43020000000000003</v>
      </c>
      <c r="AO28" s="109">
        <v>0.21446999999999999</v>
      </c>
      <c r="AP28" s="109">
        <v>0.21193000000000001</v>
      </c>
      <c r="AQ28" s="109">
        <v>0.81696000000000002</v>
      </c>
      <c r="AR28" s="109">
        <v>0.70535999999999999</v>
      </c>
      <c r="AS28" s="109">
        <v>8.9289999999999994E-2</v>
      </c>
      <c r="AT28" s="109">
        <v>2.232E-2</v>
      </c>
      <c r="AU28" s="113">
        <v>4.5999999999999996</v>
      </c>
      <c r="AV28" s="104">
        <v>95</v>
      </c>
      <c r="AW28" s="114">
        <v>538</v>
      </c>
      <c r="AX28" s="109">
        <v>0.2026</v>
      </c>
      <c r="AY28" s="109">
        <v>5.5759999999999997E-2</v>
      </c>
      <c r="AZ28" s="108">
        <v>252</v>
      </c>
      <c r="BA28" s="109">
        <v>0.34127000000000002</v>
      </c>
      <c r="BB28" s="109">
        <v>0.22619</v>
      </c>
      <c r="BC28" s="108">
        <v>344</v>
      </c>
      <c r="BD28" s="109">
        <v>0.36337000000000003</v>
      </c>
      <c r="BE28" s="109">
        <v>0.18895000000000001</v>
      </c>
      <c r="BF28" s="108">
        <v>473</v>
      </c>
      <c r="BG28" s="108">
        <v>1776</v>
      </c>
      <c r="BH28" s="109">
        <v>0.26633000000000001</v>
      </c>
      <c r="BI28" s="108">
        <v>282</v>
      </c>
      <c r="BJ28" s="108">
        <v>111</v>
      </c>
      <c r="BK28" s="109">
        <v>0.39362000000000003</v>
      </c>
      <c r="BL28" s="108">
        <v>28</v>
      </c>
      <c r="BM28" s="109">
        <v>2.997E-2</v>
      </c>
      <c r="BN28" s="109">
        <v>0.16535</v>
      </c>
    </row>
    <row r="29" spans="1:66" x14ac:dyDescent="0.2">
      <c r="A29" s="103">
        <v>8504</v>
      </c>
      <c r="B29" s="104" t="s">
        <v>627</v>
      </c>
      <c r="C29" s="104" t="s">
        <v>352</v>
      </c>
      <c r="D29" s="104" t="s">
        <v>626</v>
      </c>
      <c r="E29" s="104">
        <v>1972</v>
      </c>
      <c r="F29" s="104" t="s">
        <v>625</v>
      </c>
      <c r="G29" s="104" t="s">
        <v>516</v>
      </c>
      <c r="H29" s="106"/>
      <c r="I29" s="104" t="s">
        <v>472</v>
      </c>
      <c r="J29" s="107">
        <v>1560</v>
      </c>
      <c r="K29" s="108">
        <v>16284</v>
      </c>
      <c r="L29" s="109">
        <v>0.19449</v>
      </c>
      <c r="M29" s="109">
        <v>0.27260000000000001</v>
      </c>
      <c r="N29" s="109">
        <v>0.28211999999999998</v>
      </c>
      <c r="O29" s="109">
        <v>0.16716</v>
      </c>
      <c r="P29" s="109">
        <v>8.3640000000000006E-2</v>
      </c>
      <c r="Q29" s="108">
        <v>1790</v>
      </c>
      <c r="R29" s="109">
        <v>0.18156</v>
      </c>
      <c r="S29" s="109">
        <v>0.23352000000000001</v>
      </c>
      <c r="T29" s="109">
        <v>0.28827000000000003</v>
      </c>
      <c r="U29" s="109">
        <v>0.19106000000000001</v>
      </c>
      <c r="V29" s="109">
        <v>0.10559</v>
      </c>
      <c r="W29" s="109">
        <v>0.15203</v>
      </c>
      <c r="X29" s="109">
        <v>0.80557999999999996</v>
      </c>
      <c r="Y29" s="109">
        <v>0.1951</v>
      </c>
      <c r="Z29" s="109">
        <v>0.7298</v>
      </c>
      <c r="AA29" s="109">
        <v>0.2702</v>
      </c>
      <c r="AB29" s="110" t="s">
        <v>515</v>
      </c>
      <c r="AC29" s="56">
        <v>0.10673000000000001</v>
      </c>
      <c r="AD29" s="56">
        <v>0.90200000000000002</v>
      </c>
      <c r="AE29" s="56">
        <v>0.46400000000000002</v>
      </c>
      <c r="AF29" s="56">
        <v>0.55800000000000005</v>
      </c>
      <c r="AG29" s="112">
        <v>0.17199999999999999</v>
      </c>
      <c r="AH29" s="112">
        <v>5.4000000000000006E-2</v>
      </c>
      <c r="AI29" s="112">
        <v>0.182</v>
      </c>
      <c r="AJ29" s="112">
        <v>0.115</v>
      </c>
      <c r="AK29" s="112">
        <v>0.32299999999999995</v>
      </c>
      <c r="AL29" s="112">
        <v>0.23800000000000002</v>
      </c>
      <c r="AM29" s="109">
        <v>0.94099999999999995</v>
      </c>
      <c r="AN29" s="109">
        <v>0.37741999999999998</v>
      </c>
      <c r="AO29" s="109">
        <v>0.33468999999999999</v>
      </c>
      <c r="AP29" s="109">
        <v>0.22889000000000001</v>
      </c>
      <c r="AQ29" s="109">
        <v>0.90195999999999998</v>
      </c>
      <c r="AR29" s="109">
        <v>0.64215999999999995</v>
      </c>
      <c r="AS29" s="109">
        <v>0.18137</v>
      </c>
      <c r="AT29" s="109">
        <v>7.843E-2</v>
      </c>
      <c r="AU29" s="113">
        <v>4.4000000000000004</v>
      </c>
      <c r="AV29" s="104">
        <v>91</v>
      </c>
      <c r="AW29" s="114">
        <v>731</v>
      </c>
      <c r="AX29" s="109">
        <v>0.29275000000000001</v>
      </c>
      <c r="AY29" s="109">
        <v>5.8819999999999997E-2</v>
      </c>
      <c r="AZ29" s="108">
        <v>443</v>
      </c>
      <c r="BA29" s="109">
        <v>0.44469999999999998</v>
      </c>
      <c r="BB29" s="109">
        <v>0.30474000000000001</v>
      </c>
      <c r="BC29" s="108">
        <v>555</v>
      </c>
      <c r="BD29" s="109">
        <v>0.43603999999999998</v>
      </c>
      <c r="BE29" s="109">
        <v>0.25585999999999998</v>
      </c>
      <c r="BF29" s="108">
        <v>632</v>
      </c>
      <c r="BG29" s="108">
        <v>2297</v>
      </c>
      <c r="BH29" s="109">
        <v>0.27514</v>
      </c>
      <c r="BI29" s="108">
        <v>761</v>
      </c>
      <c r="BJ29" s="108">
        <v>237</v>
      </c>
      <c r="BK29" s="109">
        <v>0.31142999999999998</v>
      </c>
      <c r="BL29" s="108">
        <v>20</v>
      </c>
      <c r="BM29" s="109">
        <v>3.4720000000000001E-2</v>
      </c>
      <c r="BN29" s="109">
        <v>0.23313999999999999</v>
      </c>
    </row>
    <row r="30" spans="1:66" x14ac:dyDescent="0.2">
      <c r="A30" s="103">
        <v>3563</v>
      </c>
      <c r="B30" s="104" t="s">
        <v>624</v>
      </c>
      <c r="C30" s="104" t="s">
        <v>228</v>
      </c>
      <c r="D30" s="104"/>
      <c r="E30" s="104">
        <v>1935</v>
      </c>
      <c r="F30" s="104" t="s">
        <v>623</v>
      </c>
      <c r="G30" s="104" t="s">
        <v>489</v>
      </c>
      <c r="H30" s="106" t="s">
        <v>84</v>
      </c>
      <c r="I30" s="104" t="s">
        <v>472</v>
      </c>
      <c r="J30" s="107">
        <v>2884</v>
      </c>
      <c r="K30" s="108">
        <v>10502</v>
      </c>
      <c r="L30" s="109">
        <v>3.3989999999999999E-2</v>
      </c>
      <c r="M30" s="109">
        <v>0.61902000000000001</v>
      </c>
      <c r="N30" s="109">
        <v>0.27442</v>
      </c>
      <c r="O30" s="109">
        <v>4.4179999999999997E-2</v>
      </c>
      <c r="P30" s="109">
        <v>2.8379999999999999E-2</v>
      </c>
      <c r="Q30" s="108">
        <v>1629</v>
      </c>
      <c r="R30" s="109">
        <v>2.1489999999999999E-2</v>
      </c>
      <c r="S30" s="109">
        <v>0.57765999999999995</v>
      </c>
      <c r="T30" s="109">
        <v>0.30754999999999999</v>
      </c>
      <c r="U30" s="109">
        <v>7.6730000000000007E-2</v>
      </c>
      <c r="V30" s="109">
        <v>1.6570000000000001E-2</v>
      </c>
      <c r="W30" s="109">
        <v>-6.7479999999999998E-2</v>
      </c>
      <c r="X30" s="109">
        <v>0.70977000000000001</v>
      </c>
      <c r="Y30" s="109">
        <v>0.29022999999999999</v>
      </c>
      <c r="Z30" s="109">
        <v>0.56560999999999995</v>
      </c>
      <c r="AA30" s="109">
        <v>0.43439</v>
      </c>
      <c r="AB30" s="110">
        <v>0.41299999999999998</v>
      </c>
      <c r="AC30" s="56">
        <v>0.12883</v>
      </c>
      <c r="AD30" s="56">
        <v>0.88</v>
      </c>
      <c r="AE30" s="56">
        <v>0.29699999999999999</v>
      </c>
      <c r="AF30" s="56">
        <v>0.36099999999999999</v>
      </c>
      <c r="AG30" s="112">
        <v>0.11199999999999999</v>
      </c>
      <c r="AH30" s="112">
        <v>5.2000000000000005E-2</v>
      </c>
      <c r="AI30" s="112">
        <v>0.16</v>
      </c>
      <c r="AJ30" s="112">
        <v>9.8000000000000004E-2</v>
      </c>
      <c r="AK30" s="112">
        <v>0.308</v>
      </c>
      <c r="AL30" s="112">
        <v>0.17199999999999999</v>
      </c>
      <c r="AM30" s="109">
        <v>0.93017000000000005</v>
      </c>
      <c r="AN30" s="109">
        <v>0.32169999999999999</v>
      </c>
      <c r="AO30" s="109">
        <v>0.29426000000000002</v>
      </c>
      <c r="AP30" s="109">
        <v>0.31420999999999999</v>
      </c>
      <c r="AQ30" s="109">
        <v>0.91810000000000003</v>
      </c>
      <c r="AR30" s="109">
        <v>0.80052999999999996</v>
      </c>
      <c r="AS30" s="109">
        <v>6.4729999999999996E-2</v>
      </c>
      <c r="AT30" s="109">
        <v>5.2839999999999998E-2</v>
      </c>
      <c r="AU30" s="113">
        <v>4.5</v>
      </c>
      <c r="AV30" s="104">
        <v>88</v>
      </c>
      <c r="AW30" s="114">
        <v>1279</v>
      </c>
      <c r="AX30" s="109">
        <v>0.34401999999999999</v>
      </c>
      <c r="AY30" s="109">
        <v>0.18217</v>
      </c>
      <c r="AZ30" s="108">
        <v>1619</v>
      </c>
      <c r="BA30" s="109">
        <v>0.53490000000000004</v>
      </c>
      <c r="BB30" s="109">
        <v>0.46016000000000001</v>
      </c>
      <c r="BC30" s="108">
        <v>1598</v>
      </c>
      <c r="BD30" s="109">
        <v>0.56320000000000003</v>
      </c>
      <c r="BE30" s="109">
        <v>0.47247</v>
      </c>
      <c r="BF30" s="108">
        <v>211</v>
      </c>
      <c r="BG30" s="108">
        <v>1293</v>
      </c>
      <c r="BH30" s="109">
        <v>0.16319</v>
      </c>
      <c r="BI30" s="108">
        <v>534</v>
      </c>
      <c r="BJ30" s="108">
        <v>216</v>
      </c>
      <c r="BK30" s="109">
        <v>0.40449000000000002</v>
      </c>
      <c r="BL30" s="108">
        <v>19</v>
      </c>
      <c r="BM30" s="109">
        <v>0.10756</v>
      </c>
      <c r="BN30" s="109">
        <v>0.13020999999999999</v>
      </c>
    </row>
    <row r="31" spans="1:66" x14ac:dyDescent="0.2">
      <c r="A31" s="103">
        <v>10387</v>
      </c>
      <c r="B31" s="104" t="s">
        <v>622</v>
      </c>
      <c r="C31" s="104" t="s">
        <v>363</v>
      </c>
      <c r="D31" s="104" t="s">
        <v>622</v>
      </c>
      <c r="E31" s="104">
        <v>1969</v>
      </c>
      <c r="F31" s="104" t="s">
        <v>621</v>
      </c>
      <c r="G31" s="104" t="s">
        <v>516</v>
      </c>
      <c r="H31" s="106" t="s">
        <v>84</v>
      </c>
      <c r="I31" s="104" t="s">
        <v>472</v>
      </c>
      <c r="J31" s="107">
        <v>2580</v>
      </c>
      <c r="K31" s="108">
        <v>28127</v>
      </c>
      <c r="L31" s="109">
        <v>2.3220000000000001E-2</v>
      </c>
      <c r="M31" s="109">
        <v>0.85157000000000005</v>
      </c>
      <c r="N31" s="109">
        <v>7.9500000000000001E-2</v>
      </c>
      <c r="O31" s="109">
        <v>2.222E-2</v>
      </c>
      <c r="P31" s="109">
        <v>2.35E-2</v>
      </c>
      <c r="Q31" s="108">
        <v>3997</v>
      </c>
      <c r="R31" s="109">
        <v>1.8259999999999998E-2</v>
      </c>
      <c r="S31" s="109">
        <v>0.82662000000000002</v>
      </c>
      <c r="T31" s="109">
        <v>9.1319999999999998E-2</v>
      </c>
      <c r="U31" s="109">
        <v>1.9259999999999999E-2</v>
      </c>
      <c r="V31" s="109">
        <v>4.453E-2</v>
      </c>
      <c r="W31" s="109">
        <v>0.19807</v>
      </c>
      <c r="X31" s="109">
        <v>0.69940000000000002</v>
      </c>
      <c r="Y31" s="109">
        <v>0.30059999999999998</v>
      </c>
      <c r="Z31" s="109">
        <v>0.83521000000000001</v>
      </c>
      <c r="AA31" s="109">
        <v>0.16478999999999999</v>
      </c>
      <c r="AB31" s="110">
        <v>0.51600000000000001</v>
      </c>
      <c r="AC31" s="56">
        <v>0.16023999999999999</v>
      </c>
      <c r="AD31" s="56">
        <v>0.85199999999999998</v>
      </c>
      <c r="AE31" s="56">
        <v>0.21299999999999999</v>
      </c>
      <c r="AF31" s="56">
        <v>0.32900000000000001</v>
      </c>
      <c r="AG31" s="112">
        <v>0.107</v>
      </c>
      <c r="AH31" s="112">
        <v>4.4999999999999998E-2</v>
      </c>
      <c r="AI31" s="112">
        <v>0.188</v>
      </c>
      <c r="AJ31" s="112">
        <v>0.106</v>
      </c>
      <c r="AK31" s="112">
        <v>0.29399999999999998</v>
      </c>
      <c r="AL31" s="112">
        <v>0.17699999999999999</v>
      </c>
      <c r="AM31" s="109">
        <v>0.87468999999999997</v>
      </c>
      <c r="AN31" s="109">
        <v>0.23036000000000001</v>
      </c>
      <c r="AO31" s="109">
        <v>0.30892999999999998</v>
      </c>
      <c r="AP31" s="109">
        <v>0.33539999999999998</v>
      </c>
      <c r="AQ31" s="109">
        <v>0.85997999999999997</v>
      </c>
      <c r="AR31" s="109">
        <v>0.72099999999999997</v>
      </c>
      <c r="AS31" s="109">
        <v>9.1950000000000004E-2</v>
      </c>
      <c r="AT31" s="109">
        <v>4.7019999999999999E-2</v>
      </c>
      <c r="AU31" s="113">
        <v>4.5999999999999996</v>
      </c>
      <c r="AV31" s="104">
        <v>96</v>
      </c>
      <c r="AW31" s="114">
        <v>3108</v>
      </c>
      <c r="AX31" s="109">
        <v>0.24807000000000001</v>
      </c>
      <c r="AY31" s="109">
        <v>0.18822</v>
      </c>
      <c r="AZ31" s="108">
        <v>2733</v>
      </c>
      <c r="BA31" s="109">
        <v>0.62861</v>
      </c>
      <c r="BB31" s="109">
        <v>0.56018999999999997</v>
      </c>
      <c r="BC31" s="108">
        <v>1884</v>
      </c>
      <c r="BD31" s="109">
        <v>0.41242000000000001</v>
      </c>
      <c r="BE31" s="109">
        <v>0.31952999999999998</v>
      </c>
      <c r="BF31" s="108">
        <v>1024</v>
      </c>
      <c r="BG31" s="108">
        <v>4146</v>
      </c>
      <c r="BH31" s="109">
        <v>0.24698999999999999</v>
      </c>
      <c r="BI31" s="108">
        <v>1202</v>
      </c>
      <c r="BJ31" s="108">
        <v>483</v>
      </c>
      <c r="BK31" s="109">
        <v>0.40183000000000002</v>
      </c>
      <c r="BL31" s="108">
        <v>26</v>
      </c>
      <c r="BM31" s="109">
        <v>6.7489999999999994E-2</v>
      </c>
      <c r="BN31" s="109">
        <v>0.17745</v>
      </c>
    </row>
    <row r="32" spans="1:66" x14ac:dyDescent="0.2">
      <c r="A32" s="103">
        <v>3568</v>
      </c>
      <c r="B32" s="104" t="s">
        <v>620</v>
      </c>
      <c r="C32" s="104" t="s">
        <v>619</v>
      </c>
      <c r="D32" s="104"/>
      <c r="E32" s="104">
        <v>1948</v>
      </c>
      <c r="F32" s="104" t="s">
        <v>618</v>
      </c>
      <c r="G32" s="104" t="s">
        <v>477</v>
      </c>
      <c r="H32" s="106" t="s">
        <v>84</v>
      </c>
      <c r="I32" s="104" t="s">
        <v>472</v>
      </c>
      <c r="J32" s="107">
        <v>2800</v>
      </c>
      <c r="K32" s="108">
        <v>1139</v>
      </c>
      <c r="L32" s="109">
        <v>4.7410000000000001E-2</v>
      </c>
      <c r="M32" s="109">
        <v>0.17296</v>
      </c>
      <c r="N32" s="109">
        <v>0.69182999999999995</v>
      </c>
      <c r="O32" s="109">
        <v>8.6040000000000005E-2</v>
      </c>
      <c r="P32" s="109">
        <v>1.7600000000000001E-3</v>
      </c>
      <c r="Q32" s="108">
        <v>141</v>
      </c>
      <c r="R32" s="109">
        <v>3.5459999999999998E-2</v>
      </c>
      <c r="S32" s="109">
        <v>0.36170000000000002</v>
      </c>
      <c r="T32" s="109">
        <v>0.56028</v>
      </c>
      <c r="U32" s="109">
        <v>1.418E-2</v>
      </c>
      <c r="V32" s="109">
        <v>2.8369999999999999E-2</v>
      </c>
      <c r="W32" s="109">
        <v>-7.8479999999999994E-2</v>
      </c>
      <c r="X32" s="109">
        <v>0.58648</v>
      </c>
      <c r="Y32" s="109">
        <v>0.41352</v>
      </c>
      <c r="Z32" s="109">
        <v>0.75592999999999999</v>
      </c>
      <c r="AA32" s="109">
        <v>0.24407000000000001</v>
      </c>
      <c r="AB32" s="110">
        <v>0.38600000000000001</v>
      </c>
      <c r="AC32" s="56">
        <v>0.38718000000000002</v>
      </c>
      <c r="AD32" s="56">
        <v>0.78400000000000003</v>
      </c>
      <c r="AE32" s="56">
        <v>0.22700000000000001</v>
      </c>
      <c r="AF32" s="56">
        <v>0.32200000000000001</v>
      </c>
      <c r="AG32" s="112">
        <v>0.23300000000000001</v>
      </c>
      <c r="AH32" s="112">
        <v>0.122</v>
      </c>
      <c r="AI32" s="112">
        <v>0.23600000000000002</v>
      </c>
      <c r="AJ32" s="112">
        <v>9.4E-2</v>
      </c>
      <c r="AK32" s="112">
        <v>0.29499999999999998</v>
      </c>
      <c r="AL32" s="112">
        <v>0.19699999999999998</v>
      </c>
      <c r="AM32" s="109">
        <v>0.87755000000000005</v>
      </c>
      <c r="AN32" s="109">
        <v>0.30612</v>
      </c>
      <c r="AO32" s="109">
        <v>0.34694000000000003</v>
      </c>
      <c r="AP32" s="109">
        <v>0.22449</v>
      </c>
      <c r="AQ32" s="109">
        <v>0.85897000000000001</v>
      </c>
      <c r="AR32" s="109">
        <v>0.76922999999999997</v>
      </c>
      <c r="AS32" s="109">
        <v>8.974E-2</v>
      </c>
      <c r="AT32" s="109">
        <v>0</v>
      </c>
      <c r="AU32" s="113">
        <v>3.1</v>
      </c>
      <c r="AV32" s="104">
        <v>75</v>
      </c>
      <c r="AW32" s="114">
        <v>68</v>
      </c>
      <c r="AX32" s="109">
        <v>0.5</v>
      </c>
      <c r="AY32" s="109">
        <v>0.25</v>
      </c>
      <c r="AZ32" s="108">
        <v>54</v>
      </c>
      <c r="BA32" s="109">
        <v>0.74073999999999995</v>
      </c>
      <c r="BB32" s="109">
        <v>0.5</v>
      </c>
      <c r="BC32" s="108">
        <v>52</v>
      </c>
      <c r="BD32" s="109">
        <v>0.69230999999999998</v>
      </c>
      <c r="BE32" s="109">
        <v>0.38462000000000002</v>
      </c>
      <c r="BF32" s="108">
        <v>54</v>
      </c>
      <c r="BG32" s="108">
        <v>268</v>
      </c>
      <c r="BH32" s="109">
        <v>0.20149</v>
      </c>
      <c r="BI32" s="108">
        <v>61</v>
      </c>
      <c r="BJ32" s="108">
        <v>21</v>
      </c>
      <c r="BK32" s="109">
        <v>0.34426000000000001</v>
      </c>
      <c r="BL32" s="108">
        <v>22</v>
      </c>
      <c r="BM32" s="109">
        <v>0.1</v>
      </c>
      <c r="BN32" s="109">
        <v>0.32307999999999998</v>
      </c>
    </row>
    <row r="33" spans="1:66" x14ac:dyDescent="0.2">
      <c r="A33" s="103">
        <v>6662</v>
      </c>
      <c r="B33" s="104" t="s">
        <v>617</v>
      </c>
      <c r="C33" s="104" t="s">
        <v>237</v>
      </c>
      <c r="D33" s="104"/>
      <c r="E33" s="104">
        <v>1935</v>
      </c>
      <c r="F33" s="104" t="s">
        <v>616</v>
      </c>
      <c r="G33" s="104" t="s">
        <v>477</v>
      </c>
      <c r="H33" s="106" t="s">
        <v>84</v>
      </c>
      <c r="I33" s="104" t="s">
        <v>472</v>
      </c>
      <c r="J33" s="107">
        <v>1900</v>
      </c>
      <c r="K33" s="108">
        <v>2130</v>
      </c>
      <c r="L33" s="109">
        <v>0.17041999999999999</v>
      </c>
      <c r="M33" s="109">
        <v>0.29765000000000003</v>
      </c>
      <c r="N33" s="109">
        <v>0.45587</v>
      </c>
      <c r="O33" s="109">
        <v>6.948E-2</v>
      </c>
      <c r="P33" s="109">
        <v>6.5700000000000003E-3</v>
      </c>
      <c r="Q33" s="108">
        <v>477</v>
      </c>
      <c r="R33" s="109">
        <v>0.22642000000000001</v>
      </c>
      <c r="S33" s="109">
        <v>0.28092</v>
      </c>
      <c r="T33" s="109">
        <v>0.42558000000000001</v>
      </c>
      <c r="U33" s="109">
        <v>6.08E-2</v>
      </c>
      <c r="V33" s="109">
        <v>6.2899999999999996E-3</v>
      </c>
      <c r="W33" s="109">
        <v>-4.4409999999999998E-2</v>
      </c>
      <c r="X33" s="109">
        <v>0.72911000000000004</v>
      </c>
      <c r="Y33" s="109">
        <v>0.27089000000000002</v>
      </c>
      <c r="Z33" s="109">
        <v>0.61783999999999994</v>
      </c>
      <c r="AA33" s="109">
        <v>0.38216</v>
      </c>
      <c r="AB33" s="110">
        <v>0.41600000000000004</v>
      </c>
      <c r="AC33" s="56">
        <v>0.12817000000000001</v>
      </c>
      <c r="AD33" s="56">
        <v>0.93100000000000005</v>
      </c>
      <c r="AE33" s="56">
        <v>0.255</v>
      </c>
      <c r="AF33" s="56">
        <v>0.40699999999999997</v>
      </c>
      <c r="AG33" s="112">
        <v>0.27800000000000002</v>
      </c>
      <c r="AH33" s="112">
        <v>0.14000000000000001</v>
      </c>
      <c r="AI33" s="112">
        <v>0.24100000000000002</v>
      </c>
      <c r="AJ33" s="112">
        <v>0.18100000000000002</v>
      </c>
      <c r="AK33" s="112">
        <v>0.36599999999999999</v>
      </c>
      <c r="AL33" s="112">
        <v>0.23</v>
      </c>
      <c r="AM33" s="109">
        <v>0.91429000000000005</v>
      </c>
      <c r="AN33" s="109">
        <v>0.42143000000000003</v>
      </c>
      <c r="AO33" s="109">
        <v>0.24285999999999999</v>
      </c>
      <c r="AP33" s="109">
        <v>0.25</v>
      </c>
      <c r="AQ33" s="109">
        <v>0.91829000000000005</v>
      </c>
      <c r="AR33" s="109">
        <v>0.82879000000000003</v>
      </c>
      <c r="AS33" s="109">
        <v>7.0040000000000005E-2</v>
      </c>
      <c r="AT33" s="109">
        <v>1.9460000000000002E-2</v>
      </c>
      <c r="AU33" s="113">
        <v>4.8</v>
      </c>
      <c r="AV33" s="104">
        <v>94</v>
      </c>
      <c r="AW33" s="114">
        <v>168</v>
      </c>
      <c r="AX33" s="109">
        <v>0.76785999999999999</v>
      </c>
      <c r="AY33" s="109">
        <v>0.14881</v>
      </c>
      <c r="AZ33" s="108">
        <v>97</v>
      </c>
      <c r="BA33" s="109">
        <v>0.87629000000000001</v>
      </c>
      <c r="BB33" s="109">
        <v>0.32990000000000003</v>
      </c>
      <c r="BC33" s="108">
        <v>89</v>
      </c>
      <c r="BD33" s="109">
        <v>0.83145999999999998</v>
      </c>
      <c r="BE33" s="109">
        <v>0.44944000000000001</v>
      </c>
      <c r="BF33" s="108">
        <v>64</v>
      </c>
      <c r="BG33" s="108">
        <v>304</v>
      </c>
      <c r="BH33" s="109">
        <v>0.21052999999999999</v>
      </c>
      <c r="BI33" s="108">
        <v>112</v>
      </c>
      <c r="BJ33" s="108">
        <v>49</v>
      </c>
      <c r="BK33" s="109">
        <v>0.4375</v>
      </c>
      <c r="BL33" s="108">
        <v>19</v>
      </c>
      <c r="BM33" s="109">
        <v>0.23333000000000001</v>
      </c>
      <c r="BN33" s="109">
        <v>0.29166999999999998</v>
      </c>
    </row>
    <row r="34" spans="1:66" x14ac:dyDescent="0.2">
      <c r="A34" s="103">
        <v>3570</v>
      </c>
      <c r="B34" s="115" t="s">
        <v>615</v>
      </c>
      <c r="C34" s="104" t="s">
        <v>614</v>
      </c>
      <c r="D34" s="104"/>
      <c r="E34" s="104">
        <v>1963</v>
      </c>
      <c r="F34" s="104" t="s">
        <v>613</v>
      </c>
      <c r="G34" s="104" t="s">
        <v>473</v>
      </c>
      <c r="H34" s="106"/>
      <c r="I34" s="104" t="s">
        <v>472</v>
      </c>
      <c r="J34" s="107">
        <v>2281</v>
      </c>
      <c r="K34" s="108">
        <v>4872</v>
      </c>
      <c r="L34" s="109">
        <v>7.5939999999999994E-2</v>
      </c>
      <c r="M34" s="109">
        <v>0.12151000000000001</v>
      </c>
      <c r="N34" s="109">
        <v>0.71633999999999998</v>
      </c>
      <c r="O34" s="109">
        <v>6.9169999999999995E-2</v>
      </c>
      <c r="P34" s="109">
        <v>1.704E-2</v>
      </c>
      <c r="Q34" s="108">
        <v>952</v>
      </c>
      <c r="R34" s="109">
        <v>5.357E-2</v>
      </c>
      <c r="S34" s="109">
        <v>8.8239999999999999E-2</v>
      </c>
      <c r="T34" s="109">
        <v>0.75524999999999998</v>
      </c>
      <c r="U34" s="109">
        <v>7.2480000000000003E-2</v>
      </c>
      <c r="V34" s="109">
        <v>3.0460000000000001E-2</v>
      </c>
      <c r="W34" s="109">
        <v>0.18195</v>
      </c>
      <c r="X34" s="109">
        <v>0.59811000000000003</v>
      </c>
      <c r="Y34" s="109">
        <v>0.40189000000000002</v>
      </c>
      <c r="Z34" s="109">
        <v>0.53940999999999995</v>
      </c>
      <c r="AA34" s="109">
        <v>0.46059</v>
      </c>
      <c r="AB34" s="110">
        <v>0.48299999999999998</v>
      </c>
      <c r="AC34" s="56">
        <v>0.15579000000000001</v>
      </c>
      <c r="AD34" s="56">
        <v>0.877</v>
      </c>
      <c r="AE34" s="56">
        <v>0.28599999999999998</v>
      </c>
      <c r="AF34" s="56">
        <v>0.47099999999999997</v>
      </c>
      <c r="AG34" s="112">
        <v>0.14800000000000002</v>
      </c>
      <c r="AH34" s="112">
        <v>0.13100000000000001</v>
      </c>
      <c r="AI34" s="112">
        <v>0.254</v>
      </c>
      <c r="AJ34" s="112">
        <v>0.17100000000000001</v>
      </c>
      <c r="AK34" s="112">
        <v>0.39100000000000001</v>
      </c>
      <c r="AL34" s="112">
        <v>0.315</v>
      </c>
      <c r="AM34" s="109">
        <v>0.90949999999999998</v>
      </c>
      <c r="AN34" s="109">
        <v>0.43891000000000002</v>
      </c>
      <c r="AO34" s="109">
        <v>0.33937</v>
      </c>
      <c r="AP34" s="109">
        <v>0.13122</v>
      </c>
      <c r="AQ34" s="109">
        <v>0.97084000000000004</v>
      </c>
      <c r="AR34" s="109">
        <v>0.82676000000000005</v>
      </c>
      <c r="AS34" s="109">
        <v>0.11321000000000001</v>
      </c>
      <c r="AT34" s="109">
        <v>3.0870000000000002E-2</v>
      </c>
      <c r="AU34" s="113">
        <v>4.0999999999999996</v>
      </c>
      <c r="AV34" s="104">
        <v>88</v>
      </c>
      <c r="AW34" s="114">
        <v>298</v>
      </c>
      <c r="AX34" s="109">
        <v>0.35570000000000002</v>
      </c>
      <c r="AY34" s="109">
        <v>0.13086999999999999</v>
      </c>
      <c r="AZ34" s="108">
        <v>145</v>
      </c>
      <c r="BA34" s="109">
        <v>0.57240999999999997</v>
      </c>
      <c r="BB34" s="109">
        <v>6.8970000000000004E-2</v>
      </c>
      <c r="BC34" s="108">
        <v>131</v>
      </c>
      <c r="BD34" s="109">
        <v>0.57252000000000003</v>
      </c>
      <c r="BE34" s="109">
        <v>0.29008</v>
      </c>
      <c r="BF34" s="108">
        <v>128</v>
      </c>
      <c r="BG34" s="108">
        <v>700</v>
      </c>
      <c r="BH34" s="109">
        <v>0.18285999999999999</v>
      </c>
      <c r="BI34" s="108">
        <v>228</v>
      </c>
      <c r="BJ34" s="108">
        <v>96</v>
      </c>
      <c r="BK34" s="109">
        <v>0.42104999999999998</v>
      </c>
      <c r="BL34" s="108">
        <v>21</v>
      </c>
      <c r="BM34" s="109">
        <v>7.2459999999999997E-2</v>
      </c>
      <c r="BN34" s="109">
        <v>0.19181999999999999</v>
      </c>
    </row>
    <row r="35" spans="1:66" x14ac:dyDescent="0.2">
      <c r="A35" s="103">
        <v>3573</v>
      </c>
      <c r="B35" s="104" t="s">
        <v>612</v>
      </c>
      <c r="C35" s="104" t="s">
        <v>611</v>
      </c>
      <c r="D35" s="104"/>
      <c r="E35" s="104">
        <v>1923</v>
      </c>
      <c r="F35" s="104" t="s">
        <v>610</v>
      </c>
      <c r="G35" s="104" t="s">
        <v>473</v>
      </c>
      <c r="H35" s="106"/>
      <c r="I35" s="104" t="s">
        <v>472</v>
      </c>
      <c r="J35" s="107">
        <v>2090</v>
      </c>
      <c r="K35" s="108">
        <v>4409</v>
      </c>
      <c r="L35" s="109">
        <v>8.1879999999999994E-2</v>
      </c>
      <c r="M35" s="109">
        <v>0.19347</v>
      </c>
      <c r="N35" s="109">
        <v>0.65593000000000001</v>
      </c>
      <c r="O35" s="109">
        <v>5.2170000000000001E-2</v>
      </c>
      <c r="P35" s="109">
        <v>1.6559999999999998E-2</v>
      </c>
      <c r="Q35" s="108">
        <v>661</v>
      </c>
      <c r="R35" s="109">
        <v>4.9919999999999999E-2</v>
      </c>
      <c r="S35" s="109">
        <v>0.15279999999999999</v>
      </c>
      <c r="T35" s="109">
        <v>0.71406999999999998</v>
      </c>
      <c r="U35" s="109">
        <v>5.5980000000000002E-2</v>
      </c>
      <c r="V35" s="109">
        <v>2.7230000000000001E-2</v>
      </c>
      <c r="W35" s="109">
        <v>0.18776999999999999</v>
      </c>
      <c r="X35" s="109">
        <v>0.60670999999999997</v>
      </c>
      <c r="Y35" s="109">
        <v>0.39328999999999997</v>
      </c>
      <c r="Z35" s="109">
        <v>0.74280000000000002</v>
      </c>
      <c r="AA35" s="109">
        <v>0.25719999999999998</v>
      </c>
      <c r="AB35" s="110">
        <v>0.377</v>
      </c>
      <c r="AC35" s="56">
        <v>0.20662</v>
      </c>
      <c r="AD35" s="56">
        <v>0.86099999999999999</v>
      </c>
      <c r="AE35" s="56">
        <v>0.30599999999999999</v>
      </c>
      <c r="AF35" s="56">
        <v>0.377</v>
      </c>
      <c r="AG35" s="112">
        <v>0.222</v>
      </c>
      <c r="AH35" s="112">
        <v>0.11599999999999999</v>
      </c>
      <c r="AI35" s="112">
        <v>0.29799999999999999</v>
      </c>
      <c r="AJ35" s="112">
        <v>0.188</v>
      </c>
      <c r="AK35" s="112">
        <v>0.36200000000000004</v>
      </c>
      <c r="AL35" s="112">
        <v>0.29299999999999998</v>
      </c>
      <c r="AM35" s="109">
        <v>0.87712000000000001</v>
      </c>
      <c r="AN35" s="109">
        <v>0.40254000000000001</v>
      </c>
      <c r="AO35" s="109">
        <v>0.29237000000000002</v>
      </c>
      <c r="AP35" s="109">
        <v>0.1822</v>
      </c>
      <c r="AQ35" s="109">
        <v>0.85629999999999995</v>
      </c>
      <c r="AR35" s="109">
        <v>0.72441</v>
      </c>
      <c r="AS35" s="109">
        <v>0.11416999999999999</v>
      </c>
      <c r="AT35" s="109">
        <v>1.772E-2</v>
      </c>
      <c r="AU35" s="113">
        <v>3.9</v>
      </c>
      <c r="AV35" s="104">
        <v>83</v>
      </c>
      <c r="AW35" s="114">
        <v>330</v>
      </c>
      <c r="AX35" s="109">
        <v>0.32727000000000001</v>
      </c>
      <c r="AY35" s="109">
        <v>0.21212</v>
      </c>
      <c r="AZ35" s="108">
        <v>215</v>
      </c>
      <c r="BA35" s="109">
        <v>0.51163000000000003</v>
      </c>
      <c r="BB35" s="109">
        <v>0.38140000000000002</v>
      </c>
      <c r="BC35" s="108">
        <v>235</v>
      </c>
      <c r="BD35" s="109">
        <v>0.49362</v>
      </c>
      <c r="BE35" s="109">
        <v>0.34043000000000001</v>
      </c>
      <c r="BF35" s="108">
        <v>159</v>
      </c>
      <c r="BG35" s="108">
        <v>684</v>
      </c>
      <c r="BH35" s="109">
        <v>0.23246</v>
      </c>
      <c r="BI35" s="108">
        <v>229</v>
      </c>
      <c r="BJ35" s="108">
        <v>111</v>
      </c>
      <c r="BK35" s="109">
        <v>0.48471999999999998</v>
      </c>
      <c r="BL35" s="108">
        <v>17</v>
      </c>
      <c r="BM35" s="109">
        <v>9.0910000000000005E-2</v>
      </c>
      <c r="BN35" s="109">
        <v>0.25949</v>
      </c>
    </row>
    <row r="36" spans="1:66" x14ac:dyDescent="0.2">
      <c r="A36" s="103">
        <v>10633</v>
      </c>
      <c r="B36" s="104" t="s">
        <v>609</v>
      </c>
      <c r="C36" s="104" t="s">
        <v>278</v>
      </c>
      <c r="D36" s="104" t="s">
        <v>608</v>
      </c>
      <c r="E36" s="104">
        <v>1971</v>
      </c>
      <c r="F36" s="104" t="s">
        <v>607</v>
      </c>
      <c r="G36" s="104" t="s">
        <v>516</v>
      </c>
      <c r="H36" s="106" t="s">
        <v>84</v>
      </c>
      <c r="I36" s="104" t="s">
        <v>472</v>
      </c>
      <c r="J36" s="107">
        <v>1314</v>
      </c>
      <c r="K36" s="108">
        <v>48003</v>
      </c>
      <c r="L36" s="109">
        <v>0.29429</v>
      </c>
      <c r="M36" s="109">
        <v>0.34295999999999999</v>
      </c>
      <c r="N36" s="109">
        <v>0.15834000000000001</v>
      </c>
      <c r="O36" s="109">
        <v>0.1283</v>
      </c>
      <c r="P36" s="109">
        <v>7.6100000000000001E-2</v>
      </c>
      <c r="Q36" s="108">
        <v>5988</v>
      </c>
      <c r="R36" s="109">
        <v>0.27822000000000002</v>
      </c>
      <c r="S36" s="109">
        <v>0.28339999999999999</v>
      </c>
      <c r="T36" s="109">
        <v>0.15096999999999999</v>
      </c>
      <c r="U36" s="109">
        <v>0.19957</v>
      </c>
      <c r="V36" s="109">
        <v>8.7840000000000001E-2</v>
      </c>
      <c r="W36" s="109">
        <v>0.24589</v>
      </c>
      <c r="X36" s="109">
        <v>0.76129000000000002</v>
      </c>
      <c r="Y36" s="109">
        <v>0.23871000000000001</v>
      </c>
      <c r="Z36" s="109">
        <v>0.78451000000000004</v>
      </c>
      <c r="AA36" s="109">
        <v>0.21548999999999999</v>
      </c>
      <c r="AB36" s="110">
        <v>0.41600000000000004</v>
      </c>
      <c r="AC36" s="56">
        <v>0.10951</v>
      </c>
      <c r="AD36" s="56">
        <v>0.88400000000000001</v>
      </c>
      <c r="AE36" s="56">
        <v>0.28999999999999998</v>
      </c>
      <c r="AF36" s="56">
        <v>0.33700000000000002</v>
      </c>
      <c r="AG36" s="112">
        <v>0.13500000000000001</v>
      </c>
      <c r="AH36" s="112">
        <v>9.4E-2</v>
      </c>
      <c r="AI36" s="112">
        <v>0.20899999999999999</v>
      </c>
      <c r="AJ36" s="112">
        <v>0.11599999999999999</v>
      </c>
      <c r="AK36" s="112">
        <v>0.33</v>
      </c>
      <c r="AL36" s="112">
        <v>0.21</v>
      </c>
      <c r="AM36" s="109">
        <v>0.88275000000000003</v>
      </c>
      <c r="AN36" s="109">
        <v>0.34078000000000003</v>
      </c>
      <c r="AO36" s="109">
        <v>0.24549000000000001</v>
      </c>
      <c r="AP36" s="109">
        <v>0.29647000000000001</v>
      </c>
      <c r="AQ36" s="109">
        <v>0.90346000000000004</v>
      </c>
      <c r="AR36" s="109">
        <v>0.75949</v>
      </c>
      <c r="AS36" s="109">
        <v>0.10156</v>
      </c>
      <c r="AT36" s="109">
        <v>4.2410000000000003E-2</v>
      </c>
      <c r="AU36" s="113">
        <v>4.3</v>
      </c>
      <c r="AV36" s="104">
        <v>88</v>
      </c>
      <c r="AW36" s="114">
        <v>2765</v>
      </c>
      <c r="AX36" s="109">
        <v>0.85026999999999997</v>
      </c>
      <c r="AY36" s="109">
        <v>0.34033000000000002</v>
      </c>
      <c r="AZ36" s="108">
        <v>1625</v>
      </c>
      <c r="BA36" s="109">
        <v>0.89476999999999995</v>
      </c>
      <c r="BB36" s="109">
        <v>0.87385000000000002</v>
      </c>
      <c r="BC36" s="108">
        <v>1379</v>
      </c>
      <c r="BD36" s="109">
        <v>0.88180000000000003</v>
      </c>
      <c r="BE36" s="109">
        <v>0.86367000000000005</v>
      </c>
      <c r="BF36" s="108">
        <v>883</v>
      </c>
      <c r="BG36" s="108">
        <v>3040</v>
      </c>
      <c r="BH36" s="109">
        <v>0.29046</v>
      </c>
      <c r="BI36" s="108">
        <v>2416</v>
      </c>
      <c r="BJ36" s="108">
        <v>708</v>
      </c>
      <c r="BK36" s="109">
        <v>0.29304999999999998</v>
      </c>
      <c r="BL36" s="108">
        <v>16</v>
      </c>
      <c r="BM36" s="109">
        <v>0.11124000000000001</v>
      </c>
      <c r="BN36" s="109">
        <v>0.17780000000000001</v>
      </c>
    </row>
    <row r="37" spans="1:66" x14ac:dyDescent="0.2">
      <c r="A37" s="103">
        <v>103574</v>
      </c>
      <c r="B37" s="104" t="s">
        <v>602</v>
      </c>
      <c r="C37" s="104"/>
      <c r="D37" s="104"/>
      <c r="E37" s="104"/>
      <c r="F37" s="104"/>
      <c r="G37" s="104" t="s">
        <v>477</v>
      </c>
      <c r="H37" s="106"/>
      <c r="I37" s="104"/>
      <c r="J37" s="107">
        <v>2222</v>
      </c>
      <c r="K37" s="108">
        <v>4079</v>
      </c>
      <c r="L37" s="109">
        <v>4.6829999999999997E-2</v>
      </c>
      <c r="M37" s="109">
        <v>0.44055</v>
      </c>
      <c r="N37" s="109">
        <v>0.46972000000000003</v>
      </c>
      <c r="O37" s="109">
        <v>3.5299999999999998E-2</v>
      </c>
      <c r="P37" s="109">
        <v>7.6E-3</v>
      </c>
      <c r="Q37" s="108">
        <v>490</v>
      </c>
      <c r="R37" s="109">
        <v>3.8780000000000002E-2</v>
      </c>
      <c r="S37" s="109">
        <v>0.38571</v>
      </c>
      <c r="T37" s="109">
        <v>0.53469</v>
      </c>
      <c r="U37" s="109">
        <v>3.6729999999999999E-2</v>
      </c>
      <c r="V37" s="109">
        <v>4.0800000000000003E-3</v>
      </c>
      <c r="W37" s="109">
        <v>0.15848000000000001</v>
      </c>
      <c r="X37" s="109">
        <v>0.68571000000000004</v>
      </c>
      <c r="Y37" s="109">
        <v>0.31429000000000001</v>
      </c>
      <c r="Z37" s="109">
        <v>0.57611999999999997</v>
      </c>
      <c r="AA37" s="109">
        <v>0.42387999999999998</v>
      </c>
      <c r="AB37" s="110">
        <v>0.36299999999999999</v>
      </c>
      <c r="AC37" s="111" t="s">
        <v>526</v>
      </c>
      <c r="AD37" s="145" t="s">
        <v>526</v>
      </c>
      <c r="AE37" s="145"/>
      <c r="AF37" s="145"/>
      <c r="AG37" s="112">
        <v>0.21</v>
      </c>
      <c r="AH37" s="112">
        <v>0.11599999999999999</v>
      </c>
      <c r="AI37" s="112">
        <v>0.30299999999999999</v>
      </c>
      <c r="AJ37" s="112">
        <v>0.152</v>
      </c>
      <c r="AK37" s="112">
        <v>0.30599999999999999</v>
      </c>
      <c r="AL37" s="112">
        <v>0.26500000000000001</v>
      </c>
      <c r="AM37" s="109">
        <v>0.80681999999999998</v>
      </c>
      <c r="AN37" s="109">
        <v>0.30114000000000002</v>
      </c>
      <c r="AO37" s="109">
        <v>0.28977000000000003</v>
      </c>
      <c r="AP37" s="109">
        <v>0.21590999999999999</v>
      </c>
      <c r="AQ37" s="109">
        <v>0.87346000000000001</v>
      </c>
      <c r="AR37" s="109">
        <v>0.73456999999999995</v>
      </c>
      <c r="AS37" s="109">
        <v>9.8769999999999997E-2</v>
      </c>
      <c r="AT37" s="109">
        <v>4.0120000000000003E-2</v>
      </c>
      <c r="AU37" s="113">
        <v>3.6</v>
      </c>
      <c r="AV37" s="104">
        <v>75</v>
      </c>
      <c r="AW37" s="114">
        <v>416</v>
      </c>
      <c r="AX37" s="109">
        <v>0.57933000000000001</v>
      </c>
      <c r="AY37" s="109">
        <v>0.37259999999999999</v>
      </c>
      <c r="AZ37" s="108">
        <v>383</v>
      </c>
      <c r="BA37" s="109">
        <v>0.76761999999999997</v>
      </c>
      <c r="BB37" s="109">
        <v>0.66056999999999999</v>
      </c>
      <c r="BC37" s="108">
        <v>409</v>
      </c>
      <c r="BD37" s="109">
        <v>0.71882999999999997</v>
      </c>
      <c r="BE37" s="109">
        <v>0.52078000000000002</v>
      </c>
      <c r="BF37" s="108">
        <v>115</v>
      </c>
      <c r="BG37" s="108">
        <v>577</v>
      </c>
      <c r="BH37" s="109">
        <v>0.19930999999999999</v>
      </c>
      <c r="BI37" s="108">
        <v>185</v>
      </c>
      <c r="BJ37" s="108">
        <v>90</v>
      </c>
      <c r="BK37" s="109">
        <v>0.48648999999999998</v>
      </c>
      <c r="BL37" s="108">
        <v>22</v>
      </c>
      <c r="BM37" s="109">
        <v>0.14224137931034483</v>
      </c>
      <c r="BN37" s="109">
        <v>0.24550898203592814</v>
      </c>
    </row>
    <row r="38" spans="1:66" x14ac:dyDescent="0.2">
      <c r="A38" s="103">
        <v>3574</v>
      </c>
      <c r="B38" s="104" t="s">
        <v>606</v>
      </c>
      <c r="C38" s="104" t="s">
        <v>603</v>
      </c>
      <c r="D38" s="104" t="s">
        <v>602</v>
      </c>
      <c r="E38" s="104">
        <v>1945</v>
      </c>
      <c r="F38" s="104" t="s">
        <v>605</v>
      </c>
      <c r="G38" s="104" t="s">
        <v>477</v>
      </c>
      <c r="H38" s="106" t="s">
        <v>84</v>
      </c>
      <c r="I38" s="104" t="s">
        <v>472</v>
      </c>
      <c r="J38" s="107">
        <v>2222</v>
      </c>
      <c r="K38" s="108">
        <v>3970</v>
      </c>
      <c r="L38" s="109">
        <v>4.5339999999999998E-2</v>
      </c>
      <c r="M38" s="109">
        <v>0.44130999999999998</v>
      </c>
      <c r="N38" s="109">
        <v>0.47455999999999998</v>
      </c>
      <c r="O38" s="109">
        <v>3.5009999999999999E-2</v>
      </c>
      <c r="P38" s="109">
        <v>3.7799999999999999E-3</v>
      </c>
      <c r="Q38" s="108">
        <v>526</v>
      </c>
      <c r="R38" s="109">
        <v>3.2320000000000002E-2</v>
      </c>
      <c r="S38" s="109">
        <v>0.40304000000000001</v>
      </c>
      <c r="T38" s="109">
        <v>0.52471000000000001</v>
      </c>
      <c r="U38" s="109">
        <v>3.6119999999999999E-2</v>
      </c>
      <c r="V38" s="109">
        <v>3.8E-3</v>
      </c>
      <c r="W38" s="109">
        <v>0.15106</v>
      </c>
      <c r="X38" s="109">
        <v>0.69899</v>
      </c>
      <c r="Y38" s="109">
        <v>0.30101</v>
      </c>
      <c r="Z38" s="109">
        <v>0.58564000000000005</v>
      </c>
      <c r="AA38" s="109">
        <v>0.41436000000000001</v>
      </c>
      <c r="AB38" s="110" t="s">
        <v>515</v>
      </c>
      <c r="AC38" s="56">
        <v>0.38714999999999999</v>
      </c>
      <c r="AD38" s="56">
        <v>0.83</v>
      </c>
      <c r="AE38" s="56">
        <v>0.28000000000000003</v>
      </c>
      <c r="AF38" s="56">
        <v>0.375</v>
      </c>
      <c r="AG38" s="112">
        <v>0.21199999999999999</v>
      </c>
      <c r="AH38" s="112">
        <v>0.113</v>
      </c>
      <c r="AI38" s="112">
        <v>0.30299999999999999</v>
      </c>
      <c r="AJ38" s="112">
        <v>0.125</v>
      </c>
      <c r="AK38" s="112">
        <v>0.307</v>
      </c>
      <c r="AL38" s="112">
        <v>0.23600000000000002</v>
      </c>
      <c r="AM38" s="109">
        <v>0.80459999999999998</v>
      </c>
      <c r="AN38" s="109">
        <v>0.29885</v>
      </c>
      <c r="AO38" s="109">
        <v>0.29310000000000003</v>
      </c>
      <c r="AP38" s="109">
        <v>0.21264</v>
      </c>
      <c r="AQ38" s="109">
        <v>0.9103</v>
      </c>
      <c r="AR38" s="109">
        <v>0.78073000000000004</v>
      </c>
      <c r="AS38" s="109">
        <v>8.6379999999999998E-2</v>
      </c>
      <c r="AT38" s="109">
        <v>4.3189999999999999E-2</v>
      </c>
      <c r="AU38" s="113">
        <v>3.5</v>
      </c>
      <c r="AV38" s="104">
        <v>75</v>
      </c>
      <c r="AW38" s="114">
        <v>408</v>
      </c>
      <c r="AX38" s="109">
        <v>0.59069000000000005</v>
      </c>
      <c r="AY38" s="109">
        <v>0.37990000000000002</v>
      </c>
      <c r="AZ38" s="108">
        <v>375</v>
      </c>
      <c r="BA38" s="109">
        <v>0.77600000000000002</v>
      </c>
      <c r="BB38" s="109">
        <v>0.66666999999999998</v>
      </c>
      <c r="BC38" s="108">
        <v>400</v>
      </c>
      <c r="BD38" s="109">
        <v>0.72499999999999998</v>
      </c>
      <c r="BE38" s="109">
        <v>0.52500000000000002</v>
      </c>
      <c r="BF38" s="108">
        <v>113</v>
      </c>
      <c r="BG38" s="108">
        <v>540</v>
      </c>
      <c r="BH38" s="109">
        <v>0.20926</v>
      </c>
      <c r="BI38" s="108">
        <v>171</v>
      </c>
      <c r="BJ38" s="108">
        <v>80</v>
      </c>
      <c r="BK38" s="109">
        <v>0.46783999999999998</v>
      </c>
      <c r="BL38" s="108">
        <v>23</v>
      </c>
      <c r="BM38" s="109">
        <v>0.14602000000000001</v>
      </c>
      <c r="BN38" s="109">
        <v>0.24551000000000001</v>
      </c>
    </row>
    <row r="39" spans="1:66" x14ac:dyDescent="0.2">
      <c r="A39" s="103">
        <v>574</v>
      </c>
      <c r="B39" s="115" t="s">
        <v>604</v>
      </c>
      <c r="C39" s="104" t="s">
        <v>603</v>
      </c>
      <c r="D39" s="104" t="s">
        <v>602</v>
      </c>
      <c r="E39" s="104">
        <v>1981</v>
      </c>
      <c r="F39" s="104" t="s">
        <v>601</v>
      </c>
      <c r="G39" s="104" t="s">
        <v>477</v>
      </c>
      <c r="H39" s="106" t="s">
        <v>84</v>
      </c>
      <c r="I39" s="104" t="s">
        <v>472</v>
      </c>
      <c r="J39" s="107">
        <v>2222</v>
      </c>
      <c r="K39" s="108">
        <v>161</v>
      </c>
      <c r="L39" s="109">
        <v>0.13042999999999999</v>
      </c>
      <c r="M39" s="109">
        <v>0.40994000000000003</v>
      </c>
      <c r="N39" s="109">
        <v>0.30435000000000001</v>
      </c>
      <c r="O39" s="109">
        <v>4.3479999999999998E-2</v>
      </c>
      <c r="P39" s="109">
        <v>0.1118</v>
      </c>
      <c r="Q39" s="108">
        <v>24</v>
      </c>
      <c r="R39" s="109">
        <v>0.125</v>
      </c>
      <c r="S39" s="109">
        <v>0.20832999999999999</v>
      </c>
      <c r="T39" s="109">
        <v>0.5</v>
      </c>
      <c r="U39" s="109">
        <v>0.16667000000000001</v>
      </c>
      <c r="V39" s="109">
        <v>0</v>
      </c>
      <c r="W39" s="109">
        <v>0.42477999999999999</v>
      </c>
      <c r="X39" s="109">
        <v>0.64595999999999998</v>
      </c>
      <c r="Y39" s="109">
        <v>0.35404000000000002</v>
      </c>
      <c r="Z39" s="109">
        <v>0.33539999999999998</v>
      </c>
      <c r="AA39" s="109">
        <v>0.66459999999999997</v>
      </c>
      <c r="AB39" s="110" t="s">
        <v>515</v>
      </c>
      <c r="AC39" s="56">
        <v>0</v>
      </c>
      <c r="AD39" s="68" t="s">
        <v>173</v>
      </c>
      <c r="AE39" s="68" t="s">
        <v>173</v>
      </c>
      <c r="AF39" s="68" t="s">
        <v>173</v>
      </c>
      <c r="AG39" s="112">
        <v>0.17600000000000002</v>
      </c>
      <c r="AH39" s="112">
        <v>0.33299999999999996</v>
      </c>
      <c r="AI39" s="112">
        <v>0.28600000000000003</v>
      </c>
      <c r="AJ39" s="112">
        <v>0.5</v>
      </c>
      <c r="AK39" s="112">
        <v>0.29399999999999998</v>
      </c>
      <c r="AL39" s="112">
        <v>0.6</v>
      </c>
      <c r="AM39" s="109">
        <v>1</v>
      </c>
      <c r="AN39" s="109">
        <v>0.5</v>
      </c>
      <c r="AO39" s="109">
        <v>0</v>
      </c>
      <c r="AP39" s="109">
        <v>0.5</v>
      </c>
      <c r="AQ39" s="109">
        <v>0.39129999999999998</v>
      </c>
      <c r="AR39" s="109">
        <v>0.13042999999999999</v>
      </c>
      <c r="AS39" s="109">
        <v>0.26086999999999999</v>
      </c>
      <c r="AT39" s="109">
        <v>0</v>
      </c>
      <c r="AU39" s="113">
        <v>5.2</v>
      </c>
      <c r="AV39" s="104">
        <v>86</v>
      </c>
      <c r="AW39" s="114">
        <v>8</v>
      </c>
      <c r="AX39" s="109">
        <v>0</v>
      </c>
      <c r="AY39" s="109">
        <v>0</v>
      </c>
      <c r="AZ39" s="108">
        <v>8</v>
      </c>
      <c r="BA39" s="109">
        <v>0.375</v>
      </c>
      <c r="BB39" s="109">
        <v>0.375</v>
      </c>
      <c r="BC39" s="108">
        <v>9</v>
      </c>
      <c r="BD39" s="109">
        <v>0.44444</v>
      </c>
      <c r="BE39" s="109">
        <v>0.33333000000000002</v>
      </c>
      <c r="BF39" s="108">
        <v>5</v>
      </c>
      <c r="BG39" s="108">
        <v>54</v>
      </c>
      <c r="BH39" s="109">
        <v>9.2590000000000006E-2</v>
      </c>
      <c r="BI39" s="108">
        <v>15</v>
      </c>
      <c r="BJ39" s="108">
        <v>11</v>
      </c>
      <c r="BK39" s="109">
        <v>0.73333000000000004</v>
      </c>
      <c r="BL39" s="108">
        <v>9</v>
      </c>
      <c r="BM39" s="110" t="s">
        <v>173</v>
      </c>
      <c r="BN39" s="110" t="s">
        <v>173</v>
      </c>
    </row>
    <row r="40" spans="1:66" x14ac:dyDescent="0.2">
      <c r="A40" s="103">
        <v>3580</v>
      </c>
      <c r="B40" s="104" t="s">
        <v>600</v>
      </c>
      <c r="C40" s="104" t="s">
        <v>599</v>
      </c>
      <c r="D40" s="104"/>
      <c r="E40" s="104">
        <v>1936</v>
      </c>
      <c r="F40" s="104" t="s">
        <v>598</v>
      </c>
      <c r="G40" s="104" t="s">
        <v>473</v>
      </c>
      <c r="H40" s="106"/>
      <c r="I40" s="104" t="s">
        <v>472</v>
      </c>
      <c r="J40" s="107">
        <v>1796</v>
      </c>
      <c r="K40" s="108">
        <v>5842</v>
      </c>
      <c r="L40" s="109">
        <v>0.21584999999999999</v>
      </c>
      <c r="M40" s="109">
        <v>0.13744999999999999</v>
      </c>
      <c r="N40" s="109">
        <v>0.60663999999999996</v>
      </c>
      <c r="O40" s="109">
        <v>3.2870000000000003E-2</v>
      </c>
      <c r="P40" s="109">
        <v>7.1900000000000002E-3</v>
      </c>
      <c r="Q40" s="108">
        <v>1465</v>
      </c>
      <c r="R40" s="109">
        <v>0.15903999999999999</v>
      </c>
      <c r="S40" s="109">
        <v>0.10785</v>
      </c>
      <c r="T40" s="109">
        <v>0.66893999999999998</v>
      </c>
      <c r="U40" s="109">
        <v>3.4130000000000001E-2</v>
      </c>
      <c r="V40" s="109">
        <v>3.0030000000000001E-2</v>
      </c>
      <c r="W40" s="109">
        <v>6.6640000000000005E-2</v>
      </c>
      <c r="X40" s="109">
        <v>0.55186999999999997</v>
      </c>
      <c r="Y40" s="109">
        <v>0.44812999999999997</v>
      </c>
      <c r="Z40" s="109">
        <v>0.50377000000000005</v>
      </c>
      <c r="AA40" s="109">
        <v>0.49623</v>
      </c>
      <c r="AB40" s="110">
        <v>0.441</v>
      </c>
      <c r="AC40" s="56">
        <v>0.16946</v>
      </c>
      <c r="AD40" s="56">
        <v>0.85399999999999998</v>
      </c>
      <c r="AE40" s="56">
        <v>0.32500000000000001</v>
      </c>
      <c r="AF40" s="56">
        <v>0.45800000000000002</v>
      </c>
      <c r="AG40" s="112">
        <v>0.19399999999999998</v>
      </c>
      <c r="AH40" s="112">
        <v>0.13600000000000001</v>
      </c>
      <c r="AI40" s="112">
        <v>0.24600000000000002</v>
      </c>
      <c r="AJ40" s="112">
        <v>0.22699999999999998</v>
      </c>
      <c r="AK40" s="112">
        <v>0.36399999999999999</v>
      </c>
      <c r="AL40" s="112">
        <v>0.26200000000000001</v>
      </c>
      <c r="AM40" s="109">
        <v>0.93442999999999998</v>
      </c>
      <c r="AN40" s="109">
        <v>0.40983999999999998</v>
      </c>
      <c r="AO40" s="109">
        <v>0.29508000000000001</v>
      </c>
      <c r="AP40" s="109">
        <v>0.22950999999999999</v>
      </c>
      <c r="AQ40" s="109">
        <v>0.93259999999999998</v>
      </c>
      <c r="AR40" s="109">
        <v>0.83425000000000005</v>
      </c>
      <c r="AS40" s="109">
        <v>6.9610000000000005E-2</v>
      </c>
      <c r="AT40" s="109">
        <v>2.8729999999999999E-2</v>
      </c>
      <c r="AU40" s="113">
        <v>3.9</v>
      </c>
      <c r="AV40" s="104">
        <v>91</v>
      </c>
      <c r="AW40" s="114">
        <v>790</v>
      </c>
      <c r="AX40" s="109">
        <v>0.37214999999999998</v>
      </c>
      <c r="AY40" s="109">
        <v>0.17848</v>
      </c>
      <c r="AZ40" s="108">
        <v>745</v>
      </c>
      <c r="BA40" s="109">
        <v>0.70067000000000002</v>
      </c>
      <c r="BB40" s="109">
        <v>0.41208</v>
      </c>
      <c r="BC40" s="108">
        <v>751</v>
      </c>
      <c r="BD40" s="109">
        <v>0.62849999999999995</v>
      </c>
      <c r="BE40" s="109">
        <v>0.34487000000000001</v>
      </c>
      <c r="BF40" s="108">
        <v>324</v>
      </c>
      <c r="BG40" s="108">
        <v>1232</v>
      </c>
      <c r="BH40" s="109">
        <v>0.26299</v>
      </c>
      <c r="BI40" s="108">
        <v>293</v>
      </c>
      <c r="BJ40" s="108">
        <v>164</v>
      </c>
      <c r="BK40" s="109">
        <v>0.55972999999999995</v>
      </c>
      <c r="BL40" s="108">
        <v>19</v>
      </c>
      <c r="BM40" s="109">
        <v>0.10768999999999999</v>
      </c>
      <c r="BN40" s="109">
        <v>0.27667999999999998</v>
      </c>
    </row>
    <row r="41" spans="1:66" x14ac:dyDescent="0.2">
      <c r="A41" s="103">
        <v>36273</v>
      </c>
      <c r="B41" s="104" t="s">
        <v>597</v>
      </c>
      <c r="C41" s="104" t="s">
        <v>95</v>
      </c>
      <c r="D41" s="104"/>
      <c r="E41" s="104">
        <v>1995</v>
      </c>
      <c r="F41" s="104" t="s">
        <v>596</v>
      </c>
      <c r="G41" s="104" t="s">
        <v>495</v>
      </c>
      <c r="H41" s="106"/>
      <c r="I41" s="104" t="s">
        <v>472</v>
      </c>
      <c r="J41" s="107">
        <v>4856</v>
      </c>
      <c r="K41" s="108">
        <v>2947</v>
      </c>
      <c r="L41" s="109">
        <v>0.30506</v>
      </c>
      <c r="M41" s="109">
        <v>0.12148</v>
      </c>
      <c r="N41" s="109">
        <v>0.50017</v>
      </c>
      <c r="O41" s="109">
        <v>7.3289999999999994E-2</v>
      </c>
      <c r="P41" s="109">
        <v>0</v>
      </c>
      <c r="Q41" s="108">
        <v>537</v>
      </c>
      <c r="R41" s="109">
        <v>0.22905</v>
      </c>
      <c r="S41" s="109">
        <v>0.10800999999999999</v>
      </c>
      <c r="T41" s="109">
        <v>0.57913999999999999</v>
      </c>
      <c r="U41" s="109">
        <v>8.3799999999999999E-2</v>
      </c>
      <c r="V41" s="109">
        <v>0</v>
      </c>
      <c r="W41" s="109">
        <v>2.1489999999999999E-2</v>
      </c>
      <c r="X41" s="109">
        <v>0.56396000000000002</v>
      </c>
      <c r="Y41" s="109">
        <v>0.43603999999999998</v>
      </c>
      <c r="Z41" s="109">
        <v>1.289E-2</v>
      </c>
      <c r="AA41" s="109">
        <v>0.98711000000000004</v>
      </c>
      <c r="AB41" s="110">
        <v>0.40600000000000003</v>
      </c>
      <c r="AC41" s="56">
        <v>9.1619999999999993E-2</v>
      </c>
      <c r="AD41" s="56">
        <v>0.625</v>
      </c>
      <c r="AE41" s="56">
        <v>0</v>
      </c>
      <c r="AF41" s="56">
        <v>0.5</v>
      </c>
      <c r="AG41" s="112">
        <v>0.16300000000000001</v>
      </c>
      <c r="AH41" s="112">
        <v>5.9000000000000004E-2</v>
      </c>
      <c r="AI41" s="112">
        <v>0.22</v>
      </c>
      <c r="AJ41" s="112">
        <v>0.12</v>
      </c>
      <c r="AK41" s="112">
        <v>0.34899999999999998</v>
      </c>
      <c r="AL41" s="112">
        <v>0.16699999999999998</v>
      </c>
      <c r="AM41" s="109">
        <v>0</v>
      </c>
      <c r="AN41" s="109">
        <v>0</v>
      </c>
      <c r="AO41" s="109">
        <v>0</v>
      </c>
      <c r="AP41" s="109">
        <v>0</v>
      </c>
      <c r="AQ41" s="109">
        <v>0.88385999999999998</v>
      </c>
      <c r="AR41" s="109">
        <v>0.77952999999999995</v>
      </c>
      <c r="AS41" s="109">
        <v>5.3150000000000003E-2</v>
      </c>
      <c r="AT41" s="109">
        <v>5.1180000000000003E-2</v>
      </c>
      <c r="AU41" s="113">
        <v>4.5999999999999996</v>
      </c>
      <c r="AV41" s="104">
        <v>91</v>
      </c>
      <c r="AW41" s="114">
        <v>551</v>
      </c>
      <c r="AX41" s="109">
        <v>0.49002000000000001</v>
      </c>
      <c r="AY41" s="109">
        <v>0.27585999999999999</v>
      </c>
      <c r="AZ41" s="108">
        <v>685</v>
      </c>
      <c r="BA41" s="109">
        <v>0.60584000000000005</v>
      </c>
      <c r="BB41" s="109">
        <v>0.31824999999999998</v>
      </c>
      <c r="BC41" s="108">
        <v>675</v>
      </c>
      <c r="BD41" s="109">
        <v>0.60296000000000005</v>
      </c>
      <c r="BE41" s="109">
        <v>0.33481</v>
      </c>
      <c r="BF41" s="108">
        <v>80</v>
      </c>
      <c r="BG41" s="108">
        <v>618</v>
      </c>
      <c r="BH41" s="109">
        <v>0.12945000000000001</v>
      </c>
      <c r="BI41" s="108">
        <v>199</v>
      </c>
      <c r="BJ41" s="108">
        <v>84</v>
      </c>
      <c r="BK41" s="109">
        <v>0.42210999999999999</v>
      </c>
      <c r="BL41" s="108">
        <v>16</v>
      </c>
      <c r="BM41" s="109">
        <v>0.15093999999999999</v>
      </c>
      <c r="BN41" s="109">
        <v>0.26168000000000002</v>
      </c>
    </row>
    <row r="42" spans="1:66" x14ac:dyDescent="0.2">
      <c r="A42" s="103">
        <v>23582</v>
      </c>
      <c r="B42" s="104" t="s">
        <v>595</v>
      </c>
      <c r="C42" s="104" t="s">
        <v>594</v>
      </c>
      <c r="D42" s="104"/>
      <c r="E42" s="104">
        <v>1971</v>
      </c>
      <c r="F42" s="104" t="s">
        <v>593</v>
      </c>
      <c r="G42" s="104" t="s">
        <v>495</v>
      </c>
      <c r="H42" s="106"/>
      <c r="I42" s="104" t="s">
        <v>472</v>
      </c>
      <c r="J42" s="107">
        <v>4240</v>
      </c>
      <c r="K42" s="108">
        <v>2426</v>
      </c>
      <c r="L42" s="109">
        <v>0.15745999999999999</v>
      </c>
      <c r="M42" s="109">
        <v>5.4820000000000001E-2</v>
      </c>
      <c r="N42" s="109">
        <v>0.75639000000000001</v>
      </c>
      <c r="O42" s="109">
        <v>3.1329999999999997E-2</v>
      </c>
      <c r="P42" s="109">
        <v>0</v>
      </c>
      <c r="Q42" s="108">
        <v>486</v>
      </c>
      <c r="R42" s="109">
        <v>0.17283999999999999</v>
      </c>
      <c r="S42" s="109">
        <v>5.3499999999999999E-2</v>
      </c>
      <c r="T42" s="109">
        <v>0.76132</v>
      </c>
      <c r="U42" s="109">
        <v>1.235E-2</v>
      </c>
      <c r="V42" s="109">
        <v>0</v>
      </c>
      <c r="W42" s="109">
        <v>0.12995000000000001</v>
      </c>
      <c r="X42" s="109">
        <v>0.59109999999999996</v>
      </c>
      <c r="Y42" s="109">
        <v>0.40889999999999999</v>
      </c>
      <c r="Z42" s="109">
        <v>0.49340000000000001</v>
      </c>
      <c r="AA42" s="109">
        <v>0.50660000000000005</v>
      </c>
      <c r="AB42" s="110">
        <v>0.44299999999999995</v>
      </c>
      <c r="AC42" s="56">
        <v>0.19209000000000001</v>
      </c>
      <c r="AD42" s="56">
        <v>0.82499999999999996</v>
      </c>
      <c r="AE42" s="56">
        <v>0.22</v>
      </c>
      <c r="AF42" s="56">
        <v>0.315</v>
      </c>
      <c r="AG42" s="112">
        <v>0.21299999999999999</v>
      </c>
      <c r="AH42" s="112">
        <v>7.400000000000001E-2</v>
      </c>
      <c r="AI42" s="112">
        <v>0.32</v>
      </c>
      <c r="AJ42" s="112">
        <v>0.10099999999999999</v>
      </c>
      <c r="AK42" s="112">
        <v>0.39500000000000002</v>
      </c>
      <c r="AL42" s="112">
        <v>0.39500000000000002</v>
      </c>
      <c r="AM42" s="109">
        <v>0.90908999999999995</v>
      </c>
      <c r="AN42" s="109">
        <v>0.33766000000000002</v>
      </c>
      <c r="AO42" s="109">
        <v>0.24675</v>
      </c>
      <c r="AP42" s="109">
        <v>0.32468000000000002</v>
      </c>
      <c r="AQ42" s="109">
        <v>0.81115000000000004</v>
      </c>
      <c r="AR42" s="109">
        <v>0.67801999999999996</v>
      </c>
      <c r="AS42" s="109">
        <v>0.11455</v>
      </c>
      <c r="AT42" s="109">
        <v>1.8579999999999999E-2</v>
      </c>
      <c r="AU42" s="113">
        <v>4.7</v>
      </c>
      <c r="AV42" s="104">
        <v>94</v>
      </c>
      <c r="AW42" s="114">
        <v>337</v>
      </c>
      <c r="AX42" s="109">
        <v>0.57567000000000002</v>
      </c>
      <c r="AY42" s="109">
        <v>0.21662000000000001</v>
      </c>
      <c r="AZ42" s="108">
        <v>339</v>
      </c>
      <c r="BA42" s="109">
        <v>0.66961999999999999</v>
      </c>
      <c r="BB42" s="109">
        <v>0.36282999999999999</v>
      </c>
      <c r="BC42" s="108">
        <v>349</v>
      </c>
      <c r="BD42" s="109">
        <v>0.65042999999999995</v>
      </c>
      <c r="BE42" s="109">
        <v>0.51288999999999996</v>
      </c>
      <c r="BF42" s="108">
        <v>91</v>
      </c>
      <c r="BG42" s="108">
        <v>403</v>
      </c>
      <c r="BH42" s="109">
        <v>0.22581000000000001</v>
      </c>
      <c r="BI42" s="108">
        <v>113</v>
      </c>
      <c r="BJ42" s="108">
        <v>60</v>
      </c>
      <c r="BK42" s="109">
        <v>0.53097000000000005</v>
      </c>
      <c r="BL42" s="108">
        <v>22</v>
      </c>
      <c r="BM42" s="109">
        <v>0.18532999999999999</v>
      </c>
      <c r="BN42" s="109">
        <v>0.23863999999999999</v>
      </c>
    </row>
    <row r="43" spans="1:66" x14ac:dyDescent="0.2">
      <c r="A43" s="103">
        <v>23485</v>
      </c>
      <c r="B43" s="104" t="s">
        <v>592</v>
      </c>
      <c r="C43" s="104" t="s">
        <v>591</v>
      </c>
      <c r="D43" s="104"/>
      <c r="E43" s="104">
        <v>1909</v>
      </c>
      <c r="F43" s="104" t="s">
        <v>590</v>
      </c>
      <c r="G43" s="104" t="s">
        <v>495</v>
      </c>
      <c r="H43" s="106"/>
      <c r="I43" s="104" t="s">
        <v>472</v>
      </c>
      <c r="J43" s="107">
        <v>5149</v>
      </c>
      <c r="K43" s="108">
        <v>2295</v>
      </c>
      <c r="L43" s="109">
        <v>0.29020000000000001</v>
      </c>
      <c r="M43" s="109">
        <v>0.2122</v>
      </c>
      <c r="N43" s="109">
        <v>0.40827999999999998</v>
      </c>
      <c r="O43" s="109">
        <v>8.8889999999999997E-2</v>
      </c>
      <c r="P43" s="109">
        <v>4.4000000000000002E-4</v>
      </c>
      <c r="Q43" s="108">
        <v>640</v>
      </c>
      <c r="R43" s="109">
        <v>0.36405999999999999</v>
      </c>
      <c r="S43" s="109">
        <v>0.15625</v>
      </c>
      <c r="T43" s="109">
        <v>0.38906000000000002</v>
      </c>
      <c r="U43" s="109">
        <v>9.0630000000000002E-2</v>
      </c>
      <c r="V43" s="109">
        <v>0</v>
      </c>
      <c r="W43" s="109">
        <v>0.15617</v>
      </c>
      <c r="X43" s="109">
        <v>0.58387999999999995</v>
      </c>
      <c r="Y43" s="109">
        <v>0.41611999999999999</v>
      </c>
      <c r="Z43" s="109">
        <v>0.58823999999999999</v>
      </c>
      <c r="AA43" s="109">
        <v>0.41176000000000001</v>
      </c>
      <c r="AB43" s="110">
        <v>0.42299999999999999</v>
      </c>
      <c r="AC43" s="56">
        <v>0.11285000000000001</v>
      </c>
      <c r="AD43" s="56">
        <v>0.90900000000000003</v>
      </c>
      <c r="AE43" s="56">
        <v>0.34799999999999998</v>
      </c>
      <c r="AF43" s="56">
        <v>0.39400000000000002</v>
      </c>
      <c r="AG43" s="112">
        <v>0.19</v>
      </c>
      <c r="AH43" s="112">
        <v>0.111</v>
      </c>
      <c r="AI43" s="112">
        <v>0.29199999999999998</v>
      </c>
      <c r="AJ43" s="112">
        <v>0.16699999999999998</v>
      </c>
      <c r="AK43" s="112">
        <v>0.38100000000000001</v>
      </c>
      <c r="AL43" s="112">
        <v>0.26899999999999996</v>
      </c>
      <c r="AM43" s="109">
        <v>0.94118000000000002</v>
      </c>
      <c r="AN43" s="109">
        <v>0.41176000000000001</v>
      </c>
      <c r="AO43" s="109">
        <v>0.24706</v>
      </c>
      <c r="AP43" s="109">
        <v>0.28234999999999999</v>
      </c>
      <c r="AQ43" s="109">
        <v>0.90190000000000003</v>
      </c>
      <c r="AR43" s="109">
        <v>0.81013000000000002</v>
      </c>
      <c r="AS43" s="109">
        <v>4.4299999999999999E-2</v>
      </c>
      <c r="AT43" s="109">
        <v>4.7469999999999998E-2</v>
      </c>
      <c r="AU43" s="113">
        <v>4.5999999999999996</v>
      </c>
      <c r="AV43" s="104">
        <v>97</v>
      </c>
      <c r="AW43" s="114">
        <v>349</v>
      </c>
      <c r="AX43" s="109">
        <v>0.49857000000000001</v>
      </c>
      <c r="AY43" s="109">
        <v>0.28939999999999999</v>
      </c>
      <c r="AZ43" s="108">
        <v>283</v>
      </c>
      <c r="BA43" s="109">
        <v>0.58657000000000004</v>
      </c>
      <c r="BB43" s="109">
        <v>0.46289999999999998</v>
      </c>
      <c r="BC43" s="108">
        <v>318</v>
      </c>
      <c r="BD43" s="109">
        <v>0.62892999999999999</v>
      </c>
      <c r="BE43" s="109">
        <v>0.44340000000000002</v>
      </c>
      <c r="BF43" s="108">
        <v>94</v>
      </c>
      <c r="BG43" s="108">
        <v>399</v>
      </c>
      <c r="BH43" s="109">
        <v>0.23558999999999999</v>
      </c>
      <c r="BI43" s="108">
        <v>121</v>
      </c>
      <c r="BJ43" s="108">
        <v>64</v>
      </c>
      <c r="BK43" s="109">
        <v>0.52893000000000001</v>
      </c>
      <c r="BL43" s="108">
        <v>21</v>
      </c>
      <c r="BM43" s="109">
        <v>0.11788999999999999</v>
      </c>
      <c r="BN43" s="109">
        <v>0.27406999999999998</v>
      </c>
    </row>
    <row r="44" spans="1:66" x14ac:dyDescent="0.2">
      <c r="A44" s="103">
        <v>3582</v>
      </c>
      <c r="B44" s="104" t="s">
        <v>589</v>
      </c>
      <c r="C44" s="104" t="s">
        <v>188</v>
      </c>
      <c r="D44" s="104"/>
      <c r="E44" s="104">
        <v>1947</v>
      </c>
      <c r="F44" s="104" t="s">
        <v>588</v>
      </c>
      <c r="G44" s="104" t="s">
        <v>489</v>
      </c>
      <c r="H44" s="106" t="s">
        <v>84</v>
      </c>
      <c r="I44" s="104" t="s">
        <v>472</v>
      </c>
      <c r="J44" s="107">
        <v>3330</v>
      </c>
      <c r="K44" s="108">
        <v>8704</v>
      </c>
      <c r="L44" s="109">
        <v>1.49E-3</v>
      </c>
      <c r="M44" s="109">
        <v>0.95748999999999995</v>
      </c>
      <c r="N44" s="109">
        <v>1.6889999999999999E-2</v>
      </c>
      <c r="O44" s="109">
        <v>8.3899999999999999E-3</v>
      </c>
      <c r="P44" s="109">
        <v>1.5740000000000001E-2</v>
      </c>
      <c r="Q44" s="108">
        <v>1630</v>
      </c>
      <c r="R44" s="109">
        <v>1.23E-3</v>
      </c>
      <c r="S44" s="109">
        <v>0.95582999999999996</v>
      </c>
      <c r="T44" s="109">
        <v>2.0250000000000001E-2</v>
      </c>
      <c r="U44" s="109">
        <v>1.166E-2</v>
      </c>
      <c r="V44" s="109">
        <v>1.1039999999999999E-2</v>
      </c>
      <c r="W44" s="109">
        <v>6.2630000000000005E-2</v>
      </c>
      <c r="X44" s="109">
        <v>0.62914000000000003</v>
      </c>
      <c r="Y44" s="109">
        <v>0.37086000000000002</v>
      </c>
      <c r="Z44" s="109">
        <v>0.64234999999999998</v>
      </c>
      <c r="AA44" s="109">
        <v>0.35765000000000002</v>
      </c>
      <c r="AB44" s="110">
        <v>0.57100000000000006</v>
      </c>
      <c r="AC44" s="56">
        <v>9.6509999999999999E-2</v>
      </c>
      <c r="AD44" s="56">
        <v>0.78</v>
      </c>
      <c r="AE44" s="56">
        <v>0.122</v>
      </c>
      <c r="AF44" s="56">
        <v>0.26800000000000002</v>
      </c>
      <c r="AG44" s="112">
        <v>0.193</v>
      </c>
      <c r="AH44" s="112">
        <v>6.6000000000000003E-2</v>
      </c>
      <c r="AI44" s="112">
        <v>0.29299999999999998</v>
      </c>
      <c r="AJ44" s="112">
        <v>9.9000000000000005E-2</v>
      </c>
      <c r="AK44" s="112">
        <v>0.34899999999999998</v>
      </c>
      <c r="AL44" s="112">
        <v>0.19800000000000001</v>
      </c>
      <c r="AM44" s="109">
        <v>0.94667000000000001</v>
      </c>
      <c r="AN44" s="109">
        <v>0.28381000000000001</v>
      </c>
      <c r="AO44" s="109">
        <v>0.30857000000000001</v>
      </c>
      <c r="AP44" s="109">
        <v>0.35428999999999999</v>
      </c>
      <c r="AQ44" s="109">
        <v>0.89361999999999997</v>
      </c>
      <c r="AR44" s="109">
        <v>0.64975000000000005</v>
      </c>
      <c r="AS44" s="109">
        <v>0.18984999999999999</v>
      </c>
      <c r="AT44" s="109">
        <v>5.4010000000000002E-2</v>
      </c>
      <c r="AU44" s="113">
        <v>4.2</v>
      </c>
      <c r="AV44" s="104">
        <v>90</v>
      </c>
      <c r="AW44" s="114">
        <v>1127</v>
      </c>
      <c r="AX44" s="109">
        <v>0.33717999999999998</v>
      </c>
      <c r="AY44" s="109">
        <v>0.20497000000000001</v>
      </c>
      <c r="AZ44" s="108">
        <v>825</v>
      </c>
      <c r="BA44" s="109">
        <v>0.55879000000000001</v>
      </c>
      <c r="BB44" s="109">
        <v>0.35758000000000001</v>
      </c>
      <c r="BC44" s="108">
        <v>1075</v>
      </c>
      <c r="BD44" s="109">
        <v>0.56186000000000003</v>
      </c>
      <c r="BE44" s="109">
        <v>0.43070000000000003</v>
      </c>
      <c r="BF44" s="108">
        <v>331</v>
      </c>
      <c r="BG44" s="108">
        <v>1185</v>
      </c>
      <c r="BH44" s="109">
        <v>0.27932000000000001</v>
      </c>
      <c r="BI44" s="108">
        <v>314</v>
      </c>
      <c r="BJ44" s="108">
        <v>204</v>
      </c>
      <c r="BK44" s="109">
        <v>0.64968000000000004</v>
      </c>
      <c r="BL44" s="108">
        <v>23</v>
      </c>
      <c r="BM44" s="109">
        <v>0.13705000000000001</v>
      </c>
      <c r="BN44" s="109">
        <v>0.27571000000000001</v>
      </c>
    </row>
    <row r="45" spans="1:66" x14ac:dyDescent="0.2">
      <c r="A45" s="103">
        <v>3583</v>
      </c>
      <c r="B45" s="104" t="s">
        <v>587</v>
      </c>
      <c r="C45" s="104" t="s">
        <v>586</v>
      </c>
      <c r="D45" s="104"/>
      <c r="E45" s="104">
        <v>1934</v>
      </c>
      <c r="F45" s="104" t="s">
        <v>585</v>
      </c>
      <c r="G45" s="104" t="s">
        <v>473</v>
      </c>
      <c r="H45" s="106" t="s">
        <v>84</v>
      </c>
      <c r="I45" s="104" t="s">
        <v>472</v>
      </c>
      <c r="J45" s="107">
        <v>1912</v>
      </c>
      <c r="K45" s="108">
        <v>5911</v>
      </c>
      <c r="L45" s="109">
        <v>0.15023</v>
      </c>
      <c r="M45" s="109">
        <v>0.38268000000000002</v>
      </c>
      <c r="N45" s="109">
        <v>0.42057</v>
      </c>
      <c r="O45" s="109">
        <v>3.6540000000000003E-2</v>
      </c>
      <c r="P45" s="109">
        <v>9.9799999999999993E-3</v>
      </c>
      <c r="Q45" s="108">
        <v>1793</v>
      </c>
      <c r="R45" s="109">
        <v>0.20301</v>
      </c>
      <c r="S45" s="109">
        <v>0.31344</v>
      </c>
      <c r="T45" s="109">
        <v>0.44116</v>
      </c>
      <c r="U45" s="109">
        <v>3.2349999999999997E-2</v>
      </c>
      <c r="V45" s="109">
        <v>1.004E-2</v>
      </c>
      <c r="W45" s="109">
        <v>1.1979999999999999E-2</v>
      </c>
      <c r="X45" s="109">
        <v>0.75468999999999997</v>
      </c>
      <c r="Y45" s="109">
        <v>0.24531</v>
      </c>
      <c r="Z45" s="109">
        <v>0.49804999999999999</v>
      </c>
      <c r="AA45" s="109">
        <v>0.50195000000000001</v>
      </c>
      <c r="AB45" s="110">
        <v>0.33500000000000002</v>
      </c>
      <c r="AC45" s="56">
        <v>0.16156000000000001</v>
      </c>
      <c r="AD45" s="56">
        <v>0.87</v>
      </c>
      <c r="AE45" s="56">
        <v>0.23799999999999999</v>
      </c>
      <c r="AF45" s="56">
        <v>0.38600000000000001</v>
      </c>
      <c r="AG45" s="112">
        <v>0.20899999999999999</v>
      </c>
      <c r="AH45" s="112">
        <v>0.18899999999999997</v>
      </c>
      <c r="AI45" s="112">
        <v>0.28300000000000003</v>
      </c>
      <c r="AJ45" s="112">
        <v>0.27200000000000002</v>
      </c>
      <c r="AK45" s="112">
        <v>0.37799999999999995</v>
      </c>
      <c r="AL45" s="112">
        <v>0.30099999999999999</v>
      </c>
      <c r="AM45" s="109">
        <v>0.90949999999999998</v>
      </c>
      <c r="AN45" s="109">
        <v>0.29864000000000002</v>
      </c>
      <c r="AO45" s="109">
        <v>0.31222</v>
      </c>
      <c r="AP45" s="109">
        <v>0.29864000000000002</v>
      </c>
      <c r="AQ45" s="109">
        <v>0.91900000000000004</v>
      </c>
      <c r="AR45" s="109">
        <v>0.78659999999999997</v>
      </c>
      <c r="AS45" s="109">
        <v>0.11838</v>
      </c>
      <c r="AT45" s="109">
        <v>1.4019999999999999E-2</v>
      </c>
      <c r="AU45" s="113">
        <v>4.4000000000000004</v>
      </c>
      <c r="AV45" s="104">
        <v>92</v>
      </c>
      <c r="AW45" s="114">
        <v>373</v>
      </c>
      <c r="AX45" s="109">
        <v>0.17426</v>
      </c>
      <c r="AY45" s="109">
        <v>8.3110000000000003E-2</v>
      </c>
      <c r="AZ45" s="108">
        <v>183</v>
      </c>
      <c r="BA45" s="109">
        <v>0.42076999999999998</v>
      </c>
      <c r="BB45" s="109">
        <v>0.10929</v>
      </c>
      <c r="BC45" s="108">
        <v>184</v>
      </c>
      <c r="BD45" s="109">
        <v>0.35870000000000002</v>
      </c>
      <c r="BE45" s="109">
        <v>0.11957</v>
      </c>
      <c r="BF45" s="108">
        <v>95</v>
      </c>
      <c r="BG45" s="108">
        <v>643</v>
      </c>
      <c r="BH45" s="109">
        <v>0.14774000000000001</v>
      </c>
      <c r="BI45" s="108">
        <v>323</v>
      </c>
      <c r="BJ45" s="108">
        <v>149</v>
      </c>
      <c r="BK45" s="109">
        <v>0.46129999999999999</v>
      </c>
      <c r="BL45" s="108">
        <v>17</v>
      </c>
      <c r="BM45" s="109">
        <v>0.16911999999999999</v>
      </c>
      <c r="BN45" s="109">
        <v>0.24016000000000001</v>
      </c>
    </row>
    <row r="46" spans="1:66" x14ac:dyDescent="0.2">
      <c r="A46" s="103">
        <v>11145</v>
      </c>
      <c r="B46" s="104" t="s">
        <v>569</v>
      </c>
      <c r="C46" s="104"/>
      <c r="D46" s="104"/>
      <c r="E46" s="104"/>
      <c r="F46" s="104"/>
      <c r="G46" s="104" t="s">
        <v>516</v>
      </c>
      <c r="H46" s="106" t="s">
        <v>84</v>
      </c>
      <c r="I46" s="104"/>
      <c r="J46" s="107">
        <v>1744</v>
      </c>
      <c r="K46" s="108">
        <v>61440</v>
      </c>
      <c r="L46" s="109">
        <v>0.17329</v>
      </c>
      <c r="M46" s="109">
        <v>0.33174999999999999</v>
      </c>
      <c r="N46" s="109">
        <v>0.36035</v>
      </c>
      <c r="O46" s="109">
        <v>0.11766</v>
      </c>
      <c r="P46" s="109">
        <v>1.694E-2</v>
      </c>
      <c r="Q46" s="108">
        <v>5355</v>
      </c>
      <c r="R46" s="109">
        <v>0.13557</v>
      </c>
      <c r="S46" s="109">
        <v>0.28049000000000002</v>
      </c>
      <c r="T46" s="109">
        <v>0.42688999999999999</v>
      </c>
      <c r="U46" s="109">
        <v>0.12175999999999999</v>
      </c>
      <c r="V46" s="109">
        <v>3.5290000000000002E-2</v>
      </c>
      <c r="W46" s="109">
        <v>0.40028000000000002</v>
      </c>
      <c r="X46" s="109">
        <v>0.77432999999999996</v>
      </c>
      <c r="Y46" s="109">
        <v>0.22567000000000001</v>
      </c>
      <c r="Z46" s="109">
        <v>0.83621000000000001</v>
      </c>
      <c r="AA46" s="109">
        <v>0.16378999999999999</v>
      </c>
      <c r="AB46" s="110">
        <v>0.34499999999999997</v>
      </c>
      <c r="AC46" s="111" t="s">
        <v>526</v>
      </c>
      <c r="AD46" s="145" t="s">
        <v>526</v>
      </c>
      <c r="AE46" s="145"/>
      <c r="AF46" s="145"/>
      <c r="AG46" s="112">
        <v>0.11199999999999999</v>
      </c>
      <c r="AH46" s="112">
        <v>0.10400000000000001</v>
      </c>
      <c r="AI46" s="112">
        <v>0.184</v>
      </c>
      <c r="AJ46" s="112">
        <v>0.158</v>
      </c>
      <c r="AK46" s="112">
        <v>0.34100000000000003</v>
      </c>
      <c r="AL46" s="112">
        <v>0.185</v>
      </c>
      <c r="AM46" s="109">
        <v>0.89275000000000004</v>
      </c>
      <c r="AN46" s="109">
        <v>0.34819</v>
      </c>
      <c r="AO46" s="109">
        <v>0.25792999999999999</v>
      </c>
      <c r="AP46" s="109">
        <v>0.28663</v>
      </c>
      <c r="AQ46" s="109">
        <v>0.87929999999999997</v>
      </c>
      <c r="AR46" s="109">
        <v>0.72880999999999996</v>
      </c>
      <c r="AS46" s="109">
        <v>0.11144999999999999</v>
      </c>
      <c r="AT46" s="109">
        <v>3.9030000000000002E-2</v>
      </c>
      <c r="AU46" s="113">
        <v>4.7</v>
      </c>
      <c r="AV46" s="104">
        <v>93</v>
      </c>
      <c r="AW46" s="114">
        <v>4531</v>
      </c>
      <c r="AX46" s="109">
        <v>0.34076000000000001</v>
      </c>
      <c r="AY46" s="109">
        <v>0.21607000000000001</v>
      </c>
      <c r="AZ46" s="108">
        <v>1366</v>
      </c>
      <c r="BA46" s="109">
        <v>0.38873000000000002</v>
      </c>
      <c r="BB46" s="109">
        <v>0.29502</v>
      </c>
      <c r="BC46" s="108">
        <v>1280</v>
      </c>
      <c r="BD46" s="109">
        <v>0.4</v>
      </c>
      <c r="BE46" s="109">
        <v>0.24374999999999999</v>
      </c>
      <c r="BF46" s="108">
        <v>1967</v>
      </c>
      <c r="BG46" s="108">
        <v>7306</v>
      </c>
      <c r="BH46" s="109">
        <v>0.26923000000000002</v>
      </c>
      <c r="BI46" s="108">
        <v>3200</v>
      </c>
      <c r="BJ46" s="108">
        <v>844</v>
      </c>
      <c r="BK46" s="109">
        <v>0.26374999999999998</v>
      </c>
      <c r="BL46" s="108">
        <v>17</v>
      </c>
      <c r="BM46" s="109">
        <v>5.8088235294117649E-2</v>
      </c>
      <c r="BN46" s="109">
        <v>0.14412728123537669</v>
      </c>
    </row>
    <row r="47" spans="1:66" x14ac:dyDescent="0.2">
      <c r="A47" s="103">
        <v>717</v>
      </c>
      <c r="B47" s="104" t="s">
        <v>584</v>
      </c>
      <c r="C47" s="104" t="s">
        <v>583</v>
      </c>
      <c r="D47" s="104" t="s">
        <v>569</v>
      </c>
      <c r="E47" s="104">
        <v>2003</v>
      </c>
      <c r="F47" s="104" t="s">
        <v>582</v>
      </c>
      <c r="G47" s="104" t="s">
        <v>516</v>
      </c>
      <c r="H47" s="106"/>
      <c r="I47" s="104" t="s">
        <v>472</v>
      </c>
      <c r="J47" s="107">
        <v>1744</v>
      </c>
      <c r="K47" s="108">
        <v>18165</v>
      </c>
      <c r="L47" s="109">
        <v>0.14846999999999999</v>
      </c>
      <c r="M47" s="109">
        <v>0.39140999999999998</v>
      </c>
      <c r="N47" s="109">
        <v>0.28972999999999999</v>
      </c>
      <c r="O47" s="109">
        <v>0.14957000000000001</v>
      </c>
      <c r="P47" s="109">
        <v>2.0809999999999999E-2</v>
      </c>
      <c r="Q47" s="108">
        <v>1711</v>
      </c>
      <c r="R47" s="109">
        <v>0.11397</v>
      </c>
      <c r="S47" s="109">
        <v>0.32905000000000001</v>
      </c>
      <c r="T47" s="109">
        <v>0.36236000000000002</v>
      </c>
      <c r="U47" s="109">
        <v>0.15371000000000001</v>
      </c>
      <c r="V47" s="109">
        <v>4.0910000000000002E-2</v>
      </c>
      <c r="W47" s="109">
        <v>0.46479999999999999</v>
      </c>
      <c r="X47" s="109">
        <v>0.82543</v>
      </c>
      <c r="Y47" s="109">
        <v>0.17457</v>
      </c>
      <c r="Z47" s="109">
        <v>0.86358000000000001</v>
      </c>
      <c r="AA47" s="109">
        <v>0.13642000000000001</v>
      </c>
      <c r="AB47" s="110" t="s">
        <v>515</v>
      </c>
      <c r="AC47" s="56">
        <v>0.11632000000000001</v>
      </c>
      <c r="AD47" s="56">
        <v>0.95199999999999996</v>
      </c>
      <c r="AE47" s="56">
        <v>0.44900000000000001</v>
      </c>
      <c r="AF47" s="56">
        <v>0.48799999999999999</v>
      </c>
      <c r="AG47" s="112">
        <v>0.13699999999999998</v>
      </c>
      <c r="AH47" s="112">
        <v>9.6999999999999989E-2</v>
      </c>
      <c r="AI47" s="112">
        <v>0.222</v>
      </c>
      <c r="AJ47" s="112">
        <v>0.151</v>
      </c>
      <c r="AK47" s="112">
        <v>0.37799999999999995</v>
      </c>
      <c r="AL47" s="112">
        <v>0.20800000000000002</v>
      </c>
      <c r="AM47" s="109">
        <v>0.89834999999999998</v>
      </c>
      <c r="AN47" s="109">
        <v>0.39124999999999999</v>
      </c>
      <c r="AO47" s="109">
        <v>0.25296000000000002</v>
      </c>
      <c r="AP47" s="109">
        <v>0.25413999999999998</v>
      </c>
      <c r="AQ47" s="109">
        <v>0.88539000000000001</v>
      </c>
      <c r="AR47" s="109">
        <v>0.74382000000000004</v>
      </c>
      <c r="AS47" s="109">
        <v>0.10562000000000001</v>
      </c>
      <c r="AT47" s="109">
        <v>3.5959999999999999E-2</v>
      </c>
      <c r="AU47" s="113">
        <v>4.5999999999999996</v>
      </c>
      <c r="AV47" s="104">
        <v>92</v>
      </c>
      <c r="AW47" s="114">
        <v>1133</v>
      </c>
      <c r="AX47" s="109">
        <v>0.3654</v>
      </c>
      <c r="AY47" s="109">
        <v>0.25507999999999997</v>
      </c>
      <c r="AZ47" s="108">
        <v>368</v>
      </c>
      <c r="BA47" s="109">
        <v>0.45108999999999999</v>
      </c>
      <c r="BB47" s="109">
        <v>0.35326000000000002</v>
      </c>
      <c r="BC47" s="108">
        <v>357</v>
      </c>
      <c r="BD47" s="109">
        <v>0.47059000000000001</v>
      </c>
      <c r="BE47" s="109">
        <v>0.30531999999999998</v>
      </c>
      <c r="BF47" s="108">
        <v>751</v>
      </c>
      <c r="BG47" s="108">
        <v>2264</v>
      </c>
      <c r="BH47" s="109">
        <v>0.33171</v>
      </c>
      <c r="BI47" s="108">
        <v>878</v>
      </c>
      <c r="BJ47" s="108">
        <v>200</v>
      </c>
      <c r="BK47" s="109">
        <v>0.22778999999999999</v>
      </c>
      <c r="BL47" s="108">
        <v>17</v>
      </c>
      <c r="BM47" s="109">
        <v>9.0319999999999998E-2</v>
      </c>
      <c r="BN47" s="109">
        <v>0.15598000000000001</v>
      </c>
    </row>
    <row r="48" spans="1:66" x14ac:dyDescent="0.2">
      <c r="A48" s="103">
        <v>719</v>
      </c>
      <c r="B48" s="104" t="s">
        <v>581</v>
      </c>
      <c r="C48" s="104" t="s">
        <v>580</v>
      </c>
      <c r="D48" s="104" t="s">
        <v>569</v>
      </c>
      <c r="E48" s="104">
        <v>1972</v>
      </c>
      <c r="F48" s="104" t="s">
        <v>579</v>
      </c>
      <c r="G48" s="104" t="s">
        <v>516</v>
      </c>
      <c r="H48" s="106"/>
      <c r="I48" s="104" t="s">
        <v>472</v>
      </c>
      <c r="J48" s="107">
        <v>1744</v>
      </c>
      <c r="K48" s="108">
        <v>11231</v>
      </c>
      <c r="L48" s="109">
        <v>0.15901999999999999</v>
      </c>
      <c r="M48" s="109">
        <v>0.27148</v>
      </c>
      <c r="N48" s="109">
        <v>0.46692</v>
      </c>
      <c r="O48" s="109">
        <v>9.2600000000000002E-2</v>
      </c>
      <c r="P48" s="109">
        <v>9.9699999999999997E-3</v>
      </c>
      <c r="Q48" s="108">
        <v>916</v>
      </c>
      <c r="R48" s="109">
        <v>0.11354</v>
      </c>
      <c r="S48" s="109">
        <v>0.20197000000000001</v>
      </c>
      <c r="T48" s="109">
        <v>0.52947999999999995</v>
      </c>
      <c r="U48" s="109">
        <v>0.12991</v>
      </c>
      <c r="V48" s="109">
        <v>2.511E-2</v>
      </c>
      <c r="W48" s="109">
        <v>0.51341000000000003</v>
      </c>
      <c r="X48" s="109">
        <v>0.80784999999999996</v>
      </c>
      <c r="Y48" s="109">
        <v>0.19214999999999999</v>
      </c>
      <c r="Z48" s="109">
        <v>0.82513000000000003</v>
      </c>
      <c r="AA48" s="109">
        <v>0.17487</v>
      </c>
      <c r="AB48" s="110" t="s">
        <v>515</v>
      </c>
      <c r="AC48" s="56">
        <v>0.12447999999999999</v>
      </c>
      <c r="AD48" s="56">
        <v>0.92600000000000005</v>
      </c>
      <c r="AE48" s="56">
        <v>0.439</v>
      </c>
      <c r="AF48" s="56">
        <v>0.498</v>
      </c>
      <c r="AG48" s="112">
        <v>0.106</v>
      </c>
      <c r="AH48" s="112">
        <v>0.13100000000000001</v>
      </c>
      <c r="AI48" s="112">
        <v>0.20600000000000002</v>
      </c>
      <c r="AJ48" s="112">
        <v>0.19800000000000001</v>
      </c>
      <c r="AK48" s="112">
        <v>0.35700000000000004</v>
      </c>
      <c r="AL48" s="112">
        <v>0.19600000000000001</v>
      </c>
      <c r="AM48" s="109">
        <v>0.87050000000000005</v>
      </c>
      <c r="AN48" s="109">
        <v>0.29976000000000003</v>
      </c>
      <c r="AO48" s="109">
        <v>0.24221000000000001</v>
      </c>
      <c r="AP48" s="109">
        <v>0.32854</v>
      </c>
      <c r="AQ48" s="109">
        <v>0.86150000000000004</v>
      </c>
      <c r="AR48" s="109">
        <v>0.74792000000000003</v>
      </c>
      <c r="AS48" s="109">
        <v>7.2020000000000001E-2</v>
      </c>
      <c r="AT48" s="109">
        <v>4.1549999999999997E-2</v>
      </c>
      <c r="AU48" s="113">
        <v>4.9000000000000004</v>
      </c>
      <c r="AV48" s="104">
        <v>97</v>
      </c>
      <c r="AW48" s="114">
        <v>685</v>
      </c>
      <c r="AX48" s="109">
        <v>0.37518000000000001</v>
      </c>
      <c r="AY48" s="109">
        <v>0.21606</v>
      </c>
      <c r="AZ48" s="108">
        <v>164</v>
      </c>
      <c r="BA48" s="109">
        <v>0.38414999999999999</v>
      </c>
      <c r="BB48" s="109">
        <v>0.24390000000000001</v>
      </c>
      <c r="BC48" s="108">
        <v>176</v>
      </c>
      <c r="BD48" s="109">
        <v>0.39205000000000001</v>
      </c>
      <c r="BE48" s="109">
        <v>0.19886000000000001</v>
      </c>
      <c r="BF48" s="108">
        <v>249</v>
      </c>
      <c r="BG48" s="108">
        <v>998</v>
      </c>
      <c r="BH48" s="109">
        <v>0.2495</v>
      </c>
      <c r="BI48" s="108">
        <v>538</v>
      </c>
      <c r="BJ48" s="108">
        <v>145</v>
      </c>
      <c r="BK48" s="109">
        <v>0.26951999999999998</v>
      </c>
      <c r="BL48" s="108">
        <v>16</v>
      </c>
      <c r="BM48" s="109">
        <v>4.4999999999999998E-2</v>
      </c>
      <c r="BN48" s="109">
        <v>0.14516000000000001</v>
      </c>
    </row>
    <row r="49" spans="1:66" x14ac:dyDescent="0.2">
      <c r="A49" s="103">
        <v>721</v>
      </c>
      <c r="B49" s="104" t="s">
        <v>578</v>
      </c>
      <c r="C49" s="104" t="s">
        <v>577</v>
      </c>
      <c r="D49" s="104" t="s">
        <v>569</v>
      </c>
      <c r="E49" s="104">
        <v>1995</v>
      </c>
      <c r="F49" s="104" t="s">
        <v>576</v>
      </c>
      <c r="G49" s="104" t="s">
        <v>516</v>
      </c>
      <c r="H49" s="106"/>
      <c r="I49" s="104" t="s">
        <v>472</v>
      </c>
      <c r="J49" s="107">
        <v>1744</v>
      </c>
      <c r="K49" s="108">
        <v>11362</v>
      </c>
      <c r="L49" s="109">
        <v>0.11028</v>
      </c>
      <c r="M49" s="109">
        <v>0.24388000000000001</v>
      </c>
      <c r="N49" s="109">
        <v>0.54181000000000001</v>
      </c>
      <c r="O49" s="109">
        <v>8.0879999999999994E-2</v>
      </c>
      <c r="P49" s="109">
        <v>2.315E-2</v>
      </c>
      <c r="Q49" s="108">
        <v>892</v>
      </c>
      <c r="R49" s="109">
        <v>9.3049999999999994E-2</v>
      </c>
      <c r="S49" s="109">
        <v>0.17713000000000001</v>
      </c>
      <c r="T49" s="109">
        <v>0.61099000000000003</v>
      </c>
      <c r="U49" s="109">
        <v>8.4080000000000002E-2</v>
      </c>
      <c r="V49" s="109">
        <v>3.4750000000000003E-2</v>
      </c>
      <c r="W49" s="109">
        <v>0.24296999999999999</v>
      </c>
      <c r="X49" s="109">
        <v>0.79317000000000004</v>
      </c>
      <c r="Y49" s="109">
        <v>0.20683000000000001</v>
      </c>
      <c r="Z49" s="109">
        <v>0.84526999999999997</v>
      </c>
      <c r="AA49" s="109">
        <v>0.15473000000000001</v>
      </c>
      <c r="AB49" s="110" t="s">
        <v>515</v>
      </c>
      <c r="AC49" s="56">
        <v>8.6080000000000004E-2</v>
      </c>
      <c r="AD49" s="56">
        <v>0.90800000000000003</v>
      </c>
      <c r="AE49" s="56">
        <v>0.41099999999999998</v>
      </c>
      <c r="AF49" s="56">
        <v>0.442</v>
      </c>
      <c r="AG49" s="112">
        <v>0.1</v>
      </c>
      <c r="AH49" s="112">
        <v>9.0999999999999998E-2</v>
      </c>
      <c r="AI49" s="112">
        <v>0.14300000000000002</v>
      </c>
      <c r="AJ49" s="112">
        <v>0.13</v>
      </c>
      <c r="AK49" s="112">
        <v>0.32899999999999996</v>
      </c>
      <c r="AL49" s="112">
        <v>0.161</v>
      </c>
      <c r="AM49" s="109">
        <v>0.89378000000000002</v>
      </c>
      <c r="AN49" s="109">
        <v>0.32124000000000003</v>
      </c>
      <c r="AO49" s="109">
        <v>0.24611</v>
      </c>
      <c r="AP49" s="109">
        <v>0.32641999999999999</v>
      </c>
      <c r="AQ49" s="109">
        <v>0.88778999999999997</v>
      </c>
      <c r="AR49" s="109">
        <v>0.71947000000000005</v>
      </c>
      <c r="AS49" s="109">
        <v>0.13200999999999999</v>
      </c>
      <c r="AT49" s="109">
        <v>3.6299999999999999E-2</v>
      </c>
      <c r="AU49" s="113">
        <v>4.5999999999999996</v>
      </c>
      <c r="AV49" s="104">
        <v>91</v>
      </c>
      <c r="AW49" s="114">
        <v>821</v>
      </c>
      <c r="AX49" s="109">
        <v>0.31180999999999998</v>
      </c>
      <c r="AY49" s="109">
        <v>0.1961</v>
      </c>
      <c r="AZ49" s="108">
        <v>220</v>
      </c>
      <c r="BA49" s="109">
        <v>0.40909000000000001</v>
      </c>
      <c r="BB49" s="109">
        <v>0.31818000000000002</v>
      </c>
      <c r="BC49" s="108">
        <v>215</v>
      </c>
      <c r="BD49" s="109">
        <v>0.38605</v>
      </c>
      <c r="BE49" s="109">
        <v>0.26977000000000001</v>
      </c>
      <c r="BF49" s="108">
        <v>397</v>
      </c>
      <c r="BG49" s="108">
        <v>1441</v>
      </c>
      <c r="BH49" s="109">
        <v>0.27550000000000002</v>
      </c>
      <c r="BI49" s="108">
        <v>579</v>
      </c>
      <c r="BJ49" s="108">
        <v>140</v>
      </c>
      <c r="BK49" s="109">
        <v>0.24179999999999999</v>
      </c>
      <c r="BL49" s="108">
        <v>17</v>
      </c>
      <c r="BM49" s="109">
        <v>4.6429999999999999E-2</v>
      </c>
      <c r="BN49" s="109">
        <v>0.13175000000000001</v>
      </c>
    </row>
    <row r="50" spans="1:66" x14ac:dyDescent="0.2">
      <c r="A50" s="103">
        <v>722</v>
      </c>
      <c r="B50" s="104" t="s">
        <v>575</v>
      </c>
      <c r="C50" s="104" t="s">
        <v>278</v>
      </c>
      <c r="D50" s="104" t="s">
        <v>569</v>
      </c>
      <c r="E50" s="104">
        <v>1972</v>
      </c>
      <c r="F50" s="104" t="s">
        <v>574</v>
      </c>
      <c r="G50" s="104" t="s">
        <v>516</v>
      </c>
      <c r="H50" s="106" t="s">
        <v>84</v>
      </c>
      <c r="I50" s="104" t="s">
        <v>472</v>
      </c>
      <c r="J50" s="107">
        <v>1744</v>
      </c>
      <c r="K50" s="108">
        <v>15651</v>
      </c>
      <c r="L50" s="109">
        <v>0.31762000000000001</v>
      </c>
      <c r="M50" s="109">
        <v>0.37812000000000001</v>
      </c>
      <c r="N50" s="109">
        <v>0.17979999999999999</v>
      </c>
      <c r="O50" s="109">
        <v>0.10919</v>
      </c>
      <c r="P50" s="109">
        <v>1.5270000000000001E-2</v>
      </c>
      <c r="Q50" s="108">
        <v>1736</v>
      </c>
      <c r="R50" s="109">
        <v>0.22523000000000001</v>
      </c>
      <c r="S50" s="109">
        <v>0.3629</v>
      </c>
      <c r="T50" s="109">
        <v>0.26036999999999999</v>
      </c>
      <c r="U50" s="109">
        <v>0.11577999999999999</v>
      </c>
      <c r="V50" s="109">
        <v>3.5709999999999999E-2</v>
      </c>
      <c r="W50" s="109">
        <v>0.41331000000000001</v>
      </c>
      <c r="X50" s="109">
        <v>0.84557000000000004</v>
      </c>
      <c r="Y50" s="109">
        <v>0.15443000000000001</v>
      </c>
      <c r="Z50" s="109">
        <v>0.76551000000000002</v>
      </c>
      <c r="AA50" s="109">
        <v>0.23449</v>
      </c>
      <c r="AB50" s="110" t="s">
        <v>515</v>
      </c>
      <c r="AC50" s="56">
        <v>7.8329999999999997E-2</v>
      </c>
      <c r="AD50" s="56">
        <v>0.88500000000000001</v>
      </c>
      <c r="AE50" s="56">
        <v>0.27</v>
      </c>
      <c r="AF50" s="56">
        <v>0.34399999999999997</v>
      </c>
      <c r="AG50" s="112">
        <v>0.111</v>
      </c>
      <c r="AH50" s="112">
        <v>0.105</v>
      </c>
      <c r="AI50" s="112">
        <v>0.20899999999999999</v>
      </c>
      <c r="AJ50" s="112">
        <v>0.158</v>
      </c>
      <c r="AK50" s="112">
        <v>0.311</v>
      </c>
      <c r="AL50" s="112">
        <v>0.17</v>
      </c>
      <c r="AM50" s="109">
        <v>0.91596999999999995</v>
      </c>
      <c r="AN50" s="109">
        <v>0.33109</v>
      </c>
      <c r="AO50" s="109">
        <v>0.29580000000000001</v>
      </c>
      <c r="AP50" s="109">
        <v>0.28908</v>
      </c>
      <c r="AQ50" s="109">
        <v>0.89375000000000004</v>
      </c>
      <c r="AR50" s="109">
        <v>0.71718999999999999</v>
      </c>
      <c r="AS50" s="109">
        <v>0.13594000000000001</v>
      </c>
      <c r="AT50" s="109">
        <v>4.0629999999999999E-2</v>
      </c>
      <c r="AU50" s="113">
        <v>4.8</v>
      </c>
      <c r="AV50" s="104">
        <v>92</v>
      </c>
      <c r="AW50" s="114">
        <v>1094</v>
      </c>
      <c r="AX50" s="109">
        <v>0.31901000000000002</v>
      </c>
      <c r="AY50" s="109">
        <v>0.19378000000000001</v>
      </c>
      <c r="AZ50" s="108">
        <v>400</v>
      </c>
      <c r="BA50" s="109">
        <v>0.35249999999999998</v>
      </c>
      <c r="BB50" s="109">
        <v>0.26500000000000001</v>
      </c>
      <c r="BC50" s="108">
        <v>337</v>
      </c>
      <c r="BD50" s="109">
        <v>0.38279000000000002</v>
      </c>
      <c r="BE50" s="109">
        <v>0.21958</v>
      </c>
      <c r="BF50" s="108">
        <v>322</v>
      </c>
      <c r="BG50" s="108">
        <v>1620</v>
      </c>
      <c r="BH50" s="109">
        <v>0.19877</v>
      </c>
      <c r="BI50" s="108">
        <v>788</v>
      </c>
      <c r="BJ50" s="108">
        <v>217</v>
      </c>
      <c r="BK50" s="109">
        <v>0.27538000000000001</v>
      </c>
      <c r="BL50" s="108">
        <v>16</v>
      </c>
      <c r="BM50" s="109">
        <v>4.1059999999999999E-2</v>
      </c>
      <c r="BN50" s="109">
        <v>0.18284</v>
      </c>
    </row>
    <row r="51" spans="1:66" x14ac:dyDescent="0.2">
      <c r="A51" s="103">
        <v>720</v>
      </c>
      <c r="B51" s="115" t="s">
        <v>573</v>
      </c>
      <c r="C51" s="104" t="s">
        <v>572</v>
      </c>
      <c r="D51" s="104" t="s">
        <v>569</v>
      </c>
      <c r="E51" s="104">
        <v>1988</v>
      </c>
      <c r="F51" s="104" t="s">
        <v>571</v>
      </c>
      <c r="G51" s="104" t="s">
        <v>516</v>
      </c>
      <c r="H51" s="106"/>
      <c r="I51" s="104" t="s">
        <v>472</v>
      </c>
      <c r="J51" s="107">
        <v>1744</v>
      </c>
      <c r="K51" s="108">
        <v>7547</v>
      </c>
      <c r="L51" s="109">
        <v>0.13038</v>
      </c>
      <c r="M51" s="109">
        <v>0.23268</v>
      </c>
      <c r="N51" s="109">
        <v>0.52285999999999999</v>
      </c>
      <c r="O51" s="109">
        <v>0.10123</v>
      </c>
      <c r="P51" s="109">
        <v>1.285E-2</v>
      </c>
      <c r="Q51" s="108">
        <v>704</v>
      </c>
      <c r="R51" s="109">
        <v>9.5170000000000005E-2</v>
      </c>
      <c r="S51" s="109">
        <v>0.18608</v>
      </c>
      <c r="T51" s="109">
        <v>0.58948999999999996</v>
      </c>
      <c r="U51" s="109">
        <v>9.6589999999999995E-2</v>
      </c>
      <c r="V51" s="109">
        <v>3.2669999999999998E-2</v>
      </c>
      <c r="W51" s="109">
        <v>-0.11033999999999999</v>
      </c>
      <c r="X51" s="109">
        <v>0.89254</v>
      </c>
      <c r="Y51" s="109">
        <v>0.10746</v>
      </c>
      <c r="Z51" s="109">
        <v>0.83436999999999995</v>
      </c>
      <c r="AA51" s="109">
        <v>0.16563</v>
      </c>
      <c r="AB51" s="110" t="s">
        <v>515</v>
      </c>
      <c r="AC51" s="56">
        <v>0.12853000000000001</v>
      </c>
      <c r="AD51" s="56">
        <v>0.90300000000000002</v>
      </c>
      <c r="AE51" s="56">
        <v>0.43099999999999999</v>
      </c>
      <c r="AF51" s="56">
        <v>0.48099999999999998</v>
      </c>
      <c r="AG51" s="112">
        <v>9.5000000000000001E-2</v>
      </c>
      <c r="AH51" s="112">
        <v>0.10400000000000001</v>
      </c>
      <c r="AI51" s="112">
        <v>0.14300000000000002</v>
      </c>
      <c r="AJ51" s="112">
        <v>0.158</v>
      </c>
      <c r="AK51" s="112">
        <v>0.30199999999999999</v>
      </c>
      <c r="AL51" s="112">
        <v>0.18</v>
      </c>
      <c r="AM51" s="109">
        <v>0.86880999999999997</v>
      </c>
      <c r="AN51" s="109">
        <v>0.35891000000000001</v>
      </c>
      <c r="AO51" s="109">
        <v>0.24010000000000001</v>
      </c>
      <c r="AP51" s="109">
        <v>0.26979999999999998</v>
      </c>
      <c r="AQ51" s="109">
        <v>0.83838000000000001</v>
      </c>
      <c r="AR51" s="109">
        <v>0.71211999999999998</v>
      </c>
      <c r="AS51" s="109">
        <v>8.5860000000000006E-2</v>
      </c>
      <c r="AT51" s="109">
        <v>4.0399999999999998E-2</v>
      </c>
      <c r="AU51" s="113">
        <v>4.7</v>
      </c>
      <c r="AV51" s="104">
        <v>94</v>
      </c>
      <c r="AW51" s="114">
        <v>798</v>
      </c>
      <c r="AX51" s="109">
        <v>0.33584000000000003</v>
      </c>
      <c r="AY51" s="109">
        <v>0.21178</v>
      </c>
      <c r="AZ51" s="108">
        <v>214</v>
      </c>
      <c r="BA51" s="109">
        <v>0.33178000000000002</v>
      </c>
      <c r="BB51" s="109">
        <v>0.26635999999999999</v>
      </c>
      <c r="BC51" s="108">
        <v>195</v>
      </c>
      <c r="BD51" s="109">
        <v>0.32307999999999998</v>
      </c>
      <c r="BE51" s="109">
        <v>0.18462000000000001</v>
      </c>
      <c r="BF51" s="108">
        <v>326</v>
      </c>
      <c r="BG51" s="108">
        <v>1280</v>
      </c>
      <c r="BH51" s="109">
        <v>0.25469000000000003</v>
      </c>
      <c r="BI51" s="108">
        <v>343</v>
      </c>
      <c r="BJ51" s="108">
        <v>118</v>
      </c>
      <c r="BK51" s="109">
        <v>0.34401999999999999</v>
      </c>
      <c r="BL51" s="108">
        <v>15</v>
      </c>
      <c r="BM51" s="109">
        <v>6.5500000000000003E-2</v>
      </c>
      <c r="BN51" s="109">
        <v>0.11219999999999999</v>
      </c>
    </row>
    <row r="52" spans="1:66" x14ac:dyDescent="0.2">
      <c r="A52" s="103">
        <v>821</v>
      </c>
      <c r="B52" s="115" t="s">
        <v>570</v>
      </c>
      <c r="C52" s="104" t="s">
        <v>278</v>
      </c>
      <c r="D52" s="104" t="s">
        <v>569</v>
      </c>
      <c r="E52" s="104">
        <v>2012</v>
      </c>
      <c r="F52" s="117" t="s">
        <v>568</v>
      </c>
      <c r="G52" s="104" t="s">
        <v>516</v>
      </c>
      <c r="H52" s="106"/>
      <c r="I52" s="104" t="s">
        <v>472</v>
      </c>
      <c r="J52" s="107">
        <v>1744</v>
      </c>
      <c r="K52" s="108">
        <v>6709</v>
      </c>
      <c r="L52" s="109">
        <v>0.15576000000000001</v>
      </c>
      <c r="M52" s="109">
        <v>0.31719000000000003</v>
      </c>
      <c r="N52" s="109">
        <v>0.33163999999999999</v>
      </c>
      <c r="O52" s="109">
        <v>0.17544000000000001</v>
      </c>
      <c r="P52" s="109">
        <v>1.9970000000000002E-2</v>
      </c>
      <c r="Q52" s="108">
        <v>54</v>
      </c>
      <c r="R52" s="109">
        <v>9.2590000000000006E-2</v>
      </c>
      <c r="S52" s="109">
        <v>0.33333000000000002</v>
      </c>
      <c r="T52" s="109">
        <v>0.44444</v>
      </c>
      <c r="U52" s="109">
        <v>0.12963</v>
      </c>
      <c r="V52" s="109">
        <v>0</v>
      </c>
      <c r="W52" s="109">
        <v>0</v>
      </c>
      <c r="X52" s="109">
        <v>0.87941999999999998</v>
      </c>
      <c r="Y52" s="109">
        <v>0.12058000000000001</v>
      </c>
      <c r="Z52" s="109">
        <v>0.89790000000000003</v>
      </c>
      <c r="AA52" s="109">
        <v>0.1021</v>
      </c>
      <c r="AB52" s="110" t="s">
        <v>515</v>
      </c>
      <c r="AC52" s="56">
        <v>0.13578999999999999</v>
      </c>
      <c r="AD52" s="68" t="s">
        <v>173</v>
      </c>
      <c r="AE52" s="68" t="s">
        <v>173</v>
      </c>
      <c r="AF52" s="68" t="s">
        <v>173</v>
      </c>
      <c r="AG52" s="118" t="s">
        <v>173</v>
      </c>
      <c r="AH52" s="118" t="s">
        <v>173</v>
      </c>
      <c r="AI52" s="118" t="s">
        <v>173</v>
      </c>
      <c r="AJ52" s="118" t="s">
        <v>173</v>
      </c>
      <c r="AK52" s="118" t="s">
        <v>173</v>
      </c>
      <c r="AL52" s="118" t="s">
        <v>173</v>
      </c>
      <c r="AM52" s="110" t="s">
        <v>173</v>
      </c>
      <c r="AN52" s="110" t="s">
        <v>173</v>
      </c>
      <c r="AO52" s="110" t="s">
        <v>173</v>
      </c>
      <c r="AP52" s="110" t="s">
        <v>173</v>
      </c>
      <c r="AQ52" s="110" t="s">
        <v>173</v>
      </c>
      <c r="AR52" s="110" t="s">
        <v>173</v>
      </c>
      <c r="AS52" s="110" t="s">
        <v>173</v>
      </c>
      <c r="AT52" s="110" t="s">
        <v>173</v>
      </c>
      <c r="AU52" s="113">
        <v>3.6</v>
      </c>
      <c r="AV52" s="104">
        <v>89</v>
      </c>
      <c r="AW52" s="114" t="s">
        <v>173</v>
      </c>
      <c r="AX52" s="114" t="s">
        <v>173</v>
      </c>
      <c r="AY52" s="114" t="s">
        <v>173</v>
      </c>
      <c r="AZ52" s="114" t="s">
        <v>173</v>
      </c>
      <c r="BA52" s="114" t="s">
        <v>173</v>
      </c>
      <c r="BB52" s="114" t="s">
        <v>173</v>
      </c>
      <c r="BC52" s="114" t="s">
        <v>173</v>
      </c>
      <c r="BD52" s="114" t="s">
        <v>173</v>
      </c>
      <c r="BE52" s="114" t="s">
        <v>173</v>
      </c>
      <c r="BF52" s="114">
        <v>0</v>
      </c>
      <c r="BG52" s="114">
        <v>0</v>
      </c>
      <c r="BH52" s="109">
        <v>0</v>
      </c>
      <c r="BI52" s="108">
        <v>194</v>
      </c>
      <c r="BJ52" s="108">
        <v>52</v>
      </c>
      <c r="BK52" s="109">
        <v>0.26804</v>
      </c>
      <c r="BL52" s="108">
        <v>18</v>
      </c>
      <c r="BM52" s="110" t="s">
        <v>173</v>
      </c>
      <c r="BN52" s="110" t="s">
        <v>173</v>
      </c>
    </row>
    <row r="53" spans="1:66" x14ac:dyDescent="0.2">
      <c r="A53" s="103">
        <v>3590</v>
      </c>
      <c r="B53" s="104" t="s">
        <v>567</v>
      </c>
      <c r="C53" s="104" t="s">
        <v>500</v>
      </c>
      <c r="D53" s="104"/>
      <c r="E53" s="104">
        <v>1965</v>
      </c>
      <c r="F53" s="104" t="s">
        <v>566</v>
      </c>
      <c r="G53" s="104" t="s">
        <v>473</v>
      </c>
      <c r="H53" s="106"/>
      <c r="I53" s="104" t="s">
        <v>472</v>
      </c>
      <c r="J53" s="107">
        <v>3450</v>
      </c>
      <c r="K53" s="108">
        <v>8552</v>
      </c>
      <c r="L53" s="109">
        <v>0.16242000000000001</v>
      </c>
      <c r="M53" s="109">
        <v>0.24426999999999999</v>
      </c>
      <c r="N53" s="109">
        <v>0.56022000000000005</v>
      </c>
      <c r="O53" s="109">
        <v>3.1570000000000001E-2</v>
      </c>
      <c r="P53" s="109">
        <v>1.5200000000000001E-3</v>
      </c>
      <c r="Q53" s="108">
        <v>1479</v>
      </c>
      <c r="R53" s="109">
        <v>0.14063999999999999</v>
      </c>
      <c r="S53" s="109">
        <v>0.18457999999999999</v>
      </c>
      <c r="T53" s="109">
        <v>0.63961999999999997</v>
      </c>
      <c r="U53" s="109">
        <v>3.1780000000000003E-2</v>
      </c>
      <c r="V53" s="109">
        <v>3.3800000000000002E-3</v>
      </c>
      <c r="W53" s="109">
        <v>8.8730000000000003E-2</v>
      </c>
      <c r="X53" s="109">
        <v>0.55027999999999999</v>
      </c>
      <c r="Y53" s="109">
        <v>0.44972000000000001</v>
      </c>
      <c r="Z53" s="109">
        <v>0.65412000000000003</v>
      </c>
      <c r="AA53" s="109">
        <v>0.34588000000000002</v>
      </c>
      <c r="AB53" s="110">
        <v>0.52500000000000002</v>
      </c>
      <c r="AC53" s="56">
        <v>0.1236</v>
      </c>
      <c r="AD53" s="56">
        <v>0.91200000000000003</v>
      </c>
      <c r="AE53" s="56">
        <v>0.35</v>
      </c>
      <c r="AF53" s="56">
        <v>0.435</v>
      </c>
      <c r="AG53" s="112">
        <v>0.14199999999999999</v>
      </c>
      <c r="AH53" s="112">
        <v>5.7999999999999996E-2</v>
      </c>
      <c r="AI53" s="112">
        <v>0.184</v>
      </c>
      <c r="AJ53" s="112">
        <v>0.13200000000000001</v>
      </c>
      <c r="AK53" s="112">
        <v>0.32700000000000001</v>
      </c>
      <c r="AL53" s="112">
        <v>0.21600000000000003</v>
      </c>
      <c r="AM53" s="109">
        <v>0.91220000000000001</v>
      </c>
      <c r="AN53" s="109">
        <v>0.37561</v>
      </c>
      <c r="AO53" s="109">
        <v>0.23415</v>
      </c>
      <c r="AP53" s="109">
        <v>0.30243999999999999</v>
      </c>
      <c r="AQ53" s="109">
        <v>0.92718</v>
      </c>
      <c r="AR53" s="109">
        <v>0.83657000000000004</v>
      </c>
      <c r="AS53" s="109">
        <v>7.1199999999999999E-2</v>
      </c>
      <c r="AT53" s="109">
        <v>1.942E-2</v>
      </c>
      <c r="AU53" s="113">
        <v>4.5999999999999996</v>
      </c>
      <c r="AV53" s="104">
        <v>102</v>
      </c>
      <c r="AW53" s="114">
        <v>617</v>
      </c>
      <c r="AX53" s="109">
        <v>0.42138999999999999</v>
      </c>
      <c r="AY53" s="109">
        <v>0.10859000000000001</v>
      </c>
      <c r="AZ53" s="108">
        <v>420</v>
      </c>
      <c r="BA53" s="109">
        <v>0.56667000000000001</v>
      </c>
      <c r="BB53" s="109">
        <v>0.28094999999999998</v>
      </c>
      <c r="BC53" s="108">
        <v>389</v>
      </c>
      <c r="BD53" s="109">
        <v>0.41644999999999999</v>
      </c>
      <c r="BE53" s="109">
        <v>0.20823</v>
      </c>
      <c r="BF53" s="108">
        <v>297</v>
      </c>
      <c r="BG53" s="108">
        <v>1376</v>
      </c>
      <c r="BH53" s="109">
        <v>0.21584</v>
      </c>
      <c r="BI53" s="108">
        <v>510</v>
      </c>
      <c r="BJ53" s="108">
        <v>231</v>
      </c>
      <c r="BK53" s="109">
        <v>0.45294000000000001</v>
      </c>
      <c r="BL53" s="108">
        <v>17</v>
      </c>
      <c r="BM53" s="109">
        <v>7.9850000000000004E-2</v>
      </c>
      <c r="BN53" s="109">
        <v>0.20141000000000001</v>
      </c>
    </row>
    <row r="54" spans="1:66" x14ac:dyDescent="0.2">
      <c r="A54" s="103">
        <v>9797</v>
      </c>
      <c r="B54" s="104" t="s">
        <v>565</v>
      </c>
      <c r="C54" s="104" t="s">
        <v>564</v>
      </c>
      <c r="D54" s="104"/>
      <c r="E54" s="104">
        <v>1969</v>
      </c>
      <c r="F54" s="104" t="s">
        <v>563</v>
      </c>
      <c r="G54" s="104" t="s">
        <v>473</v>
      </c>
      <c r="H54" s="106" t="s">
        <v>84</v>
      </c>
      <c r="I54" s="104" t="s">
        <v>530</v>
      </c>
      <c r="J54" s="107">
        <v>2160</v>
      </c>
      <c r="K54" s="108">
        <v>5234</v>
      </c>
      <c r="L54" s="109">
        <v>6.2289999999999998E-2</v>
      </c>
      <c r="M54" s="109">
        <v>0.41898999999999997</v>
      </c>
      <c r="N54" s="109">
        <v>0.45243</v>
      </c>
      <c r="O54" s="109">
        <v>6.3810000000000006E-2</v>
      </c>
      <c r="P54" s="109">
        <v>2.48E-3</v>
      </c>
      <c r="Q54" s="108">
        <v>699</v>
      </c>
      <c r="R54" s="109">
        <v>5.2929999999999998E-2</v>
      </c>
      <c r="S54" s="109">
        <v>0.39056000000000002</v>
      </c>
      <c r="T54" s="109">
        <v>0.47495999999999999</v>
      </c>
      <c r="U54" s="109">
        <v>7.7249999999999999E-2</v>
      </c>
      <c r="V54" s="109">
        <v>4.2900000000000004E-3</v>
      </c>
      <c r="W54" s="109">
        <v>-9.5089999999999994E-2</v>
      </c>
      <c r="X54" s="109">
        <v>0.69889000000000001</v>
      </c>
      <c r="Y54" s="109">
        <v>0.30168</v>
      </c>
      <c r="Z54" s="109">
        <v>0.73080000000000001</v>
      </c>
      <c r="AA54" s="109">
        <v>0.25868999999999998</v>
      </c>
      <c r="AB54" s="110">
        <v>0.23399999999999999</v>
      </c>
      <c r="AC54" s="56">
        <v>0.16392999999999999</v>
      </c>
      <c r="AD54" s="56">
        <v>0.84799999999999998</v>
      </c>
      <c r="AE54" s="56">
        <v>0.28899999999999998</v>
      </c>
      <c r="AF54" s="56">
        <v>0.40300000000000002</v>
      </c>
      <c r="AG54" s="112">
        <v>0.17300000000000001</v>
      </c>
      <c r="AH54" s="112">
        <v>7.6999999999999999E-2</v>
      </c>
      <c r="AI54" s="112">
        <v>0.25</v>
      </c>
      <c r="AJ54" s="112">
        <v>0.14699999999999999</v>
      </c>
      <c r="AK54" s="112">
        <v>0.25900000000000001</v>
      </c>
      <c r="AL54" s="112">
        <v>0.188</v>
      </c>
      <c r="AM54" s="109">
        <v>0.93296000000000001</v>
      </c>
      <c r="AN54" s="109">
        <v>0.35196</v>
      </c>
      <c r="AO54" s="109">
        <v>0.34078000000000003</v>
      </c>
      <c r="AP54" s="109">
        <v>0.24021999999999999</v>
      </c>
      <c r="AQ54" s="109">
        <v>0.89763999999999999</v>
      </c>
      <c r="AR54" s="109">
        <v>0.77164999999999995</v>
      </c>
      <c r="AS54" s="109">
        <v>8.3989999999999995E-2</v>
      </c>
      <c r="AT54" s="109">
        <v>4.199E-2</v>
      </c>
      <c r="AU54" s="113">
        <v>4.0999999999999996</v>
      </c>
      <c r="AV54" s="104">
        <v>83</v>
      </c>
      <c r="AW54" s="114">
        <v>441</v>
      </c>
      <c r="AX54" s="109">
        <v>0.35827999999999999</v>
      </c>
      <c r="AY54" s="109">
        <v>0.17913999999999999</v>
      </c>
      <c r="AZ54" s="108">
        <v>191</v>
      </c>
      <c r="BA54" s="109">
        <v>0.41885</v>
      </c>
      <c r="BB54" s="109">
        <v>0.27224999999999999</v>
      </c>
      <c r="BC54" s="108">
        <v>192</v>
      </c>
      <c r="BD54" s="109">
        <v>0.40104000000000001</v>
      </c>
      <c r="BE54" s="109">
        <v>0.21354000000000001</v>
      </c>
      <c r="BF54" s="108">
        <v>131</v>
      </c>
      <c r="BG54" s="108">
        <v>785</v>
      </c>
      <c r="BH54" s="109">
        <v>0.16688</v>
      </c>
      <c r="BI54" s="108">
        <v>271</v>
      </c>
      <c r="BJ54" s="108">
        <v>126</v>
      </c>
      <c r="BK54" s="109">
        <v>0.46494000000000002</v>
      </c>
      <c r="BL54" s="108">
        <v>17</v>
      </c>
      <c r="BM54" s="109">
        <v>0.13525000000000001</v>
      </c>
      <c r="BN54" s="109">
        <v>0.20505000000000001</v>
      </c>
    </row>
    <row r="55" spans="1:66" x14ac:dyDescent="0.2">
      <c r="A55" s="103">
        <v>3593</v>
      </c>
      <c r="B55" s="104" t="s">
        <v>562</v>
      </c>
      <c r="C55" s="104" t="s">
        <v>561</v>
      </c>
      <c r="D55" s="104"/>
      <c r="E55" s="104">
        <v>1946</v>
      </c>
      <c r="F55" s="104" t="s">
        <v>560</v>
      </c>
      <c r="G55" s="104" t="s">
        <v>489</v>
      </c>
      <c r="H55" s="106"/>
      <c r="I55" s="104" t="s">
        <v>472</v>
      </c>
      <c r="J55" s="107">
        <v>1662</v>
      </c>
      <c r="K55" s="108">
        <v>10197</v>
      </c>
      <c r="L55" s="109">
        <v>0.22850000000000001</v>
      </c>
      <c r="M55" s="109">
        <v>0.188</v>
      </c>
      <c r="N55" s="109">
        <v>0.55398999999999998</v>
      </c>
      <c r="O55" s="109">
        <v>1.687E-2</v>
      </c>
      <c r="P55" s="109">
        <v>1.265E-2</v>
      </c>
      <c r="Q55" s="108">
        <v>1604</v>
      </c>
      <c r="R55" s="109">
        <v>0.13155</v>
      </c>
      <c r="S55" s="109">
        <v>0.15773000000000001</v>
      </c>
      <c r="T55" s="109">
        <v>0.67456000000000005</v>
      </c>
      <c r="U55" s="109">
        <v>1.3089999999999999E-2</v>
      </c>
      <c r="V55" s="109">
        <v>2.307E-2</v>
      </c>
      <c r="W55" s="109">
        <v>0.25455</v>
      </c>
      <c r="X55" s="109">
        <v>0.56213000000000002</v>
      </c>
      <c r="Y55" s="109">
        <v>0.43786999999999998</v>
      </c>
      <c r="Z55" s="109">
        <v>0.66342999999999996</v>
      </c>
      <c r="AA55" s="109">
        <v>0.33656999999999998</v>
      </c>
      <c r="AB55" s="110">
        <v>0.48200000000000004</v>
      </c>
      <c r="AC55" s="56">
        <v>0.24027000000000001</v>
      </c>
      <c r="AD55" s="56">
        <v>0.83499999999999996</v>
      </c>
      <c r="AE55" s="56">
        <v>0.247</v>
      </c>
      <c r="AF55" s="56">
        <v>0.378</v>
      </c>
      <c r="AG55" s="112">
        <v>0.188</v>
      </c>
      <c r="AH55" s="112">
        <v>0.10199999999999999</v>
      </c>
      <c r="AI55" s="112">
        <v>0.23</v>
      </c>
      <c r="AJ55" s="112">
        <v>0.21199999999999999</v>
      </c>
      <c r="AK55" s="112">
        <v>0.317</v>
      </c>
      <c r="AL55" s="112">
        <v>0.39100000000000001</v>
      </c>
      <c r="AM55" s="109">
        <v>0.88614999999999999</v>
      </c>
      <c r="AN55" s="109">
        <v>0.35104000000000002</v>
      </c>
      <c r="AO55" s="109">
        <v>0.26185999999999998</v>
      </c>
      <c r="AP55" s="109">
        <v>0.27323999999999998</v>
      </c>
      <c r="AQ55" s="109">
        <v>0.91678999999999999</v>
      </c>
      <c r="AR55" s="109">
        <v>0.80484</v>
      </c>
      <c r="AS55" s="109">
        <v>9.3799999999999994E-2</v>
      </c>
      <c r="AT55" s="109">
        <v>1.8149999999999999E-2</v>
      </c>
      <c r="AU55" s="113">
        <v>3.9</v>
      </c>
      <c r="AV55" s="104">
        <v>90</v>
      </c>
      <c r="AW55" s="114">
        <v>891</v>
      </c>
      <c r="AX55" s="109">
        <v>0.3569</v>
      </c>
      <c r="AY55" s="109">
        <v>0.10774</v>
      </c>
      <c r="AZ55" s="108">
        <v>472</v>
      </c>
      <c r="BA55" s="109">
        <v>0.46185999999999999</v>
      </c>
      <c r="BB55" s="109">
        <v>0.18643999999999999</v>
      </c>
      <c r="BC55" s="108">
        <v>488</v>
      </c>
      <c r="BD55" s="109">
        <v>0.42623</v>
      </c>
      <c r="BE55" s="109">
        <v>0.18032999999999999</v>
      </c>
      <c r="BF55" s="108">
        <v>491</v>
      </c>
      <c r="BG55" s="108">
        <v>1542</v>
      </c>
      <c r="BH55" s="109">
        <v>0.31841999999999998</v>
      </c>
      <c r="BI55" s="108">
        <v>575</v>
      </c>
      <c r="BJ55" s="108">
        <v>165</v>
      </c>
      <c r="BK55" s="109">
        <v>0.28695999999999999</v>
      </c>
      <c r="BL55" s="108">
        <v>21</v>
      </c>
      <c r="BM55" s="109">
        <v>0.11874</v>
      </c>
      <c r="BN55" s="109">
        <v>0.26823000000000002</v>
      </c>
    </row>
    <row r="56" spans="1:66" x14ac:dyDescent="0.2">
      <c r="A56" s="103">
        <v>3558</v>
      </c>
      <c r="B56" s="104" t="s">
        <v>559</v>
      </c>
      <c r="C56" s="104" t="s">
        <v>558</v>
      </c>
      <c r="D56" s="104"/>
      <c r="E56" s="104">
        <v>1924</v>
      </c>
      <c r="F56" s="104" t="s">
        <v>557</v>
      </c>
      <c r="G56" s="104" t="s">
        <v>489</v>
      </c>
      <c r="H56" s="106"/>
      <c r="I56" s="104" t="s">
        <v>472</v>
      </c>
      <c r="J56" s="107">
        <v>1680</v>
      </c>
      <c r="K56" s="108">
        <v>10293</v>
      </c>
      <c r="L56" s="109">
        <v>0.10269</v>
      </c>
      <c r="M56" s="109">
        <v>0.18293999999999999</v>
      </c>
      <c r="N56" s="109">
        <v>0.65064</v>
      </c>
      <c r="O56" s="109">
        <v>5.4600000000000003E-2</v>
      </c>
      <c r="P56" s="109">
        <v>9.1299999999999992E-3</v>
      </c>
      <c r="Q56" s="108">
        <v>1086</v>
      </c>
      <c r="R56" s="109">
        <v>6.9059999999999996E-2</v>
      </c>
      <c r="S56" s="109">
        <v>0.16850999999999999</v>
      </c>
      <c r="T56" s="109">
        <v>0.68969000000000003</v>
      </c>
      <c r="U56" s="109">
        <v>7.0900000000000005E-2</v>
      </c>
      <c r="V56" s="109">
        <v>1.8400000000000001E-3</v>
      </c>
      <c r="W56" s="109">
        <v>0.28022000000000002</v>
      </c>
      <c r="X56" s="109">
        <v>0.65122000000000002</v>
      </c>
      <c r="Y56" s="109">
        <v>0.34877999999999998</v>
      </c>
      <c r="Z56" s="109">
        <v>0.69494</v>
      </c>
      <c r="AA56" s="109">
        <v>0.30506</v>
      </c>
      <c r="AB56" s="110">
        <v>0.312</v>
      </c>
      <c r="AC56" s="56">
        <v>0.17021</v>
      </c>
      <c r="AD56" s="56">
        <v>0.89600000000000002</v>
      </c>
      <c r="AE56" s="56">
        <v>0.29699999999999999</v>
      </c>
      <c r="AF56" s="56">
        <v>0.39100000000000001</v>
      </c>
      <c r="AG56" s="112">
        <v>0.16200000000000001</v>
      </c>
      <c r="AH56" s="112">
        <v>7.8E-2</v>
      </c>
      <c r="AI56" s="112">
        <v>0.20600000000000002</v>
      </c>
      <c r="AJ56" s="112">
        <v>0.121</v>
      </c>
      <c r="AK56" s="112">
        <v>0.30199999999999999</v>
      </c>
      <c r="AL56" s="112">
        <v>0.38600000000000001</v>
      </c>
      <c r="AM56" s="109">
        <v>0.90529000000000004</v>
      </c>
      <c r="AN56" s="109">
        <v>0.34581000000000001</v>
      </c>
      <c r="AO56" s="109">
        <v>0.25330000000000003</v>
      </c>
      <c r="AP56" s="109">
        <v>0.30617</v>
      </c>
      <c r="AQ56" s="109">
        <v>0.91735999999999995</v>
      </c>
      <c r="AR56" s="109">
        <v>0.81267</v>
      </c>
      <c r="AS56" s="109">
        <v>6.6119999999999998E-2</v>
      </c>
      <c r="AT56" s="109">
        <v>3.857E-2</v>
      </c>
      <c r="AU56" s="113">
        <v>4.2</v>
      </c>
      <c r="AV56" s="104">
        <v>86</v>
      </c>
      <c r="AW56" s="114">
        <v>540</v>
      </c>
      <c r="AX56" s="109">
        <v>0.39629999999999999</v>
      </c>
      <c r="AY56" s="109">
        <v>0.17407</v>
      </c>
      <c r="AZ56" s="108">
        <v>230</v>
      </c>
      <c r="BA56" s="109">
        <v>0.63912999999999998</v>
      </c>
      <c r="BB56" s="109">
        <v>0.31739000000000001</v>
      </c>
      <c r="BC56" s="108">
        <v>221</v>
      </c>
      <c r="BD56" s="109">
        <v>0.61538000000000004</v>
      </c>
      <c r="BE56" s="109">
        <v>0.35293999999999998</v>
      </c>
      <c r="BF56" s="108">
        <v>686</v>
      </c>
      <c r="BG56" s="108">
        <v>1766</v>
      </c>
      <c r="BH56" s="109">
        <v>0.38845000000000002</v>
      </c>
      <c r="BI56" s="108">
        <v>464</v>
      </c>
      <c r="BJ56" s="108">
        <v>169</v>
      </c>
      <c r="BK56" s="109">
        <v>0.36421999999999999</v>
      </c>
      <c r="BL56" s="108">
        <v>21</v>
      </c>
      <c r="BM56" s="109">
        <v>8.9429999999999996E-2</v>
      </c>
      <c r="BN56" s="109">
        <v>0.19333</v>
      </c>
    </row>
    <row r="57" spans="1:66" x14ac:dyDescent="0.2">
      <c r="A57" s="103">
        <v>23154</v>
      </c>
      <c r="B57" s="104" t="s">
        <v>556</v>
      </c>
      <c r="C57" s="104" t="s">
        <v>555</v>
      </c>
      <c r="D57" s="104"/>
      <c r="E57" s="104">
        <v>1984</v>
      </c>
      <c r="F57" s="104" t="s">
        <v>554</v>
      </c>
      <c r="G57" s="104" t="s">
        <v>477</v>
      </c>
      <c r="H57" s="106"/>
      <c r="I57" s="104" t="s">
        <v>472</v>
      </c>
      <c r="J57" s="107">
        <v>2210</v>
      </c>
      <c r="K57" s="108">
        <v>3225</v>
      </c>
      <c r="L57" s="109">
        <v>0.13053999999999999</v>
      </c>
      <c r="M57" s="109">
        <v>0.23504</v>
      </c>
      <c r="N57" s="109">
        <v>0.54357</v>
      </c>
      <c r="O57" s="109">
        <v>7.9070000000000001E-2</v>
      </c>
      <c r="P57" s="109">
        <v>1.1780000000000001E-2</v>
      </c>
      <c r="Q57" s="108">
        <v>604</v>
      </c>
      <c r="R57" s="109">
        <v>0.12086</v>
      </c>
      <c r="S57" s="109">
        <v>0.19536000000000001</v>
      </c>
      <c r="T57" s="109">
        <v>0.60429999999999995</v>
      </c>
      <c r="U57" s="109">
        <v>6.4570000000000002E-2</v>
      </c>
      <c r="V57" s="109">
        <v>1.49E-2</v>
      </c>
      <c r="W57" s="109">
        <v>0.31740000000000002</v>
      </c>
      <c r="X57" s="109">
        <v>0.52991999999999995</v>
      </c>
      <c r="Y57" s="109">
        <v>0.47008</v>
      </c>
      <c r="Z57" s="109">
        <v>0.62977000000000005</v>
      </c>
      <c r="AA57" s="109">
        <v>0.37023</v>
      </c>
      <c r="AB57" s="110">
        <v>0.53600000000000003</v>
      </c>
      <c r="AC57" s="56">
        <v>0.17054</v>
      </c>
      <c r="AD57" s="56">
        <v>0.84299999999999997</v>
      </c>
      <c r="AE57" s="56">
        <v>0.313</v>
      </c>
      <c r="AF57" s="56">
        <v>0.44600000000000001</v>
      </c>
      <c r="AG57" s="112">
        <v>0.19899999999999998</v>
      </c>
      <c r="AH57" s="112">
        <v>6.3E-2</v>
      </c>
      <c r="AI57" s="112">
        <v>0.313</v>
      </c>
      <c r="AJ57" s="112">
        <v>0.13500000000000001</v>
      </c>
      <c r="AK57" s="112">
        <v>0.38700000000000001</v>
      </c>
      <c r="AL57" s="112">
        <v>0.29499999999999998</v>
      </c>
      <c r="AM57" s="109">
        <v>0.91517999999999999</v>
      </c>
      <c r="AN57" s="109">
        <v>0.38392999999999999</v>
      </c>
      <c r="AO57" s="109">
        <v>0.30803999999999998</v>
      </c>
      <c r="AP57" s="109">
        <v>0.22320999999999999</v>
      </c>
      <c r="AQ57" s="109">
        <v>0.88800000000000001</v>
      </c>
      <c r="AR57" s="109">
        <v>0.8</v>
      </c>
      <c r="AS57" s="109">
        <v>7.5999999999999998E-2</v>
      </c>
      <c r="AT57" s="109">
        <v>1.2E-2</v>
      </c>
      <c r="AU57" s="113">
        <v>4.4000000000000004</v>
      </c>
      <c r="AV57" s="104">
        <v>91</v>
      </c>
      <c r="AW57" s="114">
        <v>388</v>
      </c>
      <c r="AX57" s="109">
        <v>0.50258000000000003</v>
      </c>
      <c r="AY57" s="109">
        <v>0.25258000000000003</v>
      </c>
      <c r="AZ57" s="108">
        <v>265</v>
      </c>
      <c r="BA57" s="109">
        <v>0.62641999999999998</v>
      </c>
      <c r="BB57" s="109">
        <v>0.25659999999999999</v>
      </c>
      <c r="BC57" s="108">
        <v>264</v>
      </c>
      <c r="BD57" s="109">
        <v>0.56818000000000002</v>
      </c>
      <c r="BE57" s="109">
        <v>0.23485</v>
      </c>
      <c r="BF57" s="108">
        <v>150</v>
      </c>
      <c r="BG57" s="108">
        <v>572</v>
      </c>
      <c r="BH57" s="109">
        <v>0.26223999999999997</v>
      </c>
      <c r="BI57" s="108">
        <v>173</v>
      </c>
      <c r="BJ57" s="108">
        <v>64</v>
      </c>
      <c r="BK57" s="109">
        <v>0.36993999999999999</v>
      </c>
      <c r="BL57" s="108">
        <v>25</v>
      </c>
      <c r="BM57" s="109">
        <v>0.12839999999999999</v>
      </c>
      <c r="BN57" s="109">
        <v>0.23246</v>
      </c>
    </row>
    <row r="58" spans="1:66" x14ac:dyDescent="0.2">
      <c r="A58" s="103">
        <v>3596</v>
      </c>
      <c r="B58" s="104" t="s">
        <v>553</v>
      </c>
      <c r="C58" s="104" t="s">
        <v>382</v>
      </c>
      <c r="D58" s="104"/>
      <c r="E58" s="104">
        <v>1946</v>
      </c>
      <c r="F58" s="104" t="s">
        <v>552</v>
      </c>
      <c r="G58" s="104" t="s">
        <v>473</v>
      </c>
      <c r="H58" s="106" t="s">
        <v>84</v>
      </c>
      <c r="I58" s="104" t="s">
        <v>472</v>
      </c>
      <c r="J58" s="107">
        <v>2460</v>
      </c>
      <c r="K58" s="108">
        <v>5025</v>
      </c>
      <c r="L58" s="109">
        <v>3.7010000000000001E-2</v>
      </c>
      <c r="M58" s="109">
        <v>0.56100000000000005</v>
      </c>
      <c r="N58" s="109">
        <v>0.30348000000000003</v>
      </c>
      <c r="O58" s="109">
        <v>9.1539999999999996E-2</v>
      </c>
      <c r="P58" s="109">
        <v>6.9699999999999996E-3</v>
      </c>
      <c r="Q58" s="108">
        <v>725</v>
      </c>
      <c r="R58" s="109">
        <v>3.4479999999999997E-2</v>
      </c>
      <c r="S58" s="109">
        <v>0.54759000000000002</v>
      </c>
      <c r="T58" s="109">
        <v>0.25930999999999998</v>
      </c>
      <c r="U58" s="109">
        <v>0.15171999999999999</v>
      </c>
      <c r="V58" s="109">
        <v>6.8999999999999999E-3</v>
      </c>
      <c r="W58" s="109">
        <v>7.2109999999999994E-2</v>
      </c>
      <c r="X58" s="109">
        <v>0.75244</v>
      </c>
      <c r="Y58" s="109">
        <v>0.24756</v>
      </c>
      <c r="Z58" s="109">
        <v>0.64975000000000005</v>
      </c>
      <c r="AA58" s="109">
        <v>0.35025000000000001</v>
      </c>
      <c r="AB58" s="110">
        <v>0.31</v>
      </c>
      <c r="AC58" s="56">
        <v>0.22866</v>
      </c>
      <c r="AD58" s="56">
        <v>0.86399999999999999</v>
      </c>
      <c r="AE58" s="56">
        <v>0.27</v>
      </c>
      <c r="AF58" s="56">
        <v>0.34300000000000003</v>
      </c>
      <c r="AG58" s="112">
        <v>0.10099999999999999</v>
      </c>
      <c r="AH58" s="112">
        <v>8.6999999999999994E-2</v>
      </c>
      <c r="AI58" s="112">
        <v>0.21299999999999999</v>
      </c>
      <c r="AJ58" s="112">
        <v>9.4E-2</v>
      </c>
      <c r="AK58" s="112">
        <v>0.218</v>
      </c>
      <c r="AL58" s="112">
        <v>0.16699999999999998</v>
      </c>
      <c r="AM58" s="109">
        <v>0.88636000000000004</v>
      </c>
      <c r="AN58" s="109">
        <v>0.31818000000000002</v>
      </c>
      <c r="AO58" s="109">
        <v>0.27840999999999999</v>
      </c>
      <c r="AP58" s="109">
        <v>0.28977000000000003</v>
      </c>
      <c r="AQ58" s="109">
        <v>0.87031999999999998</v>
      </c>
      <c r="AR58" s="109">
        <v>0.79539000000000004</v>
      </c>
      <c r="AS58" s="109">
        <v>4.0349999999999997E-2</v>
      </c>
      <c r="AT58" s="109">
        <v>3.458E-2</v>
      </c>
      <c r="AU58" s="113">
        <v>4.7</v>
      </c>
      <c r="AV58" s="104">
        <v>92</v>
      </c>
      <c r="AW58" s="114">
        <v>433</v>
      </c>
      <c r="AX58" s="109">
        <v>0.40877999999999998</v>
      </c>
      <c r="AY58" s="109">
        <v>0.17552000000000001</v>
      </c>
      <c r="AZ58" s="108">
        <v>220</v>
      </c>
      <c r="BA58" s="109">
        <v>0.54091</v>
      </c>
      <c r="BB58" s="109">
        <v>0.27727000000000002</v>
      </c>
      <c r="BC58" s="108">
        <v>173</v>
      </c>
      <c r="BD58" s="109">
        <v>0.54913000000000001</v>
      </c>
      <c r="BE58" s="109">
        <v>0.23699000000000001</v>
      </c>
      <c r="BF58" s="108">
        <v>93</v>
      </c>
      <c r="BG58" s="108">
        <v>758</v>
      </c>
      <c r="BH58" s="109">
        <v>0.12268999999999999</v>
      </c>
      <c r="BI58" s="108">
        <v>232</v>
      </c>
      <c r="BJ58" s="108">
        <v>128</v>
      </c>
      <c r="BK58" s="109">
        <v>0.55171999999999999</v>
      </c>
      <c r="BL58" s="108">
        <v>18</v>
      </c>
      <c r="BM58" s="109">
        <v>5.8619999999999998E-2</v>
      </c>
      <c r="BN58" s="109">
        <v>0.12307999999999999</v>
      </c>
    </row>
    <row r="59" spans="1:66" x14ac:dyDescent="0.2">
      <c r="A59" s="103">
        <v>3600</v>
      </c>
      <c r="B59" s="104" t="s">
        <v>551</v>
      </c>
      <c r="C59" s="104" t="s">
        <v>550</v>
      </c>
      <c r="D59" s="104"/>
      <c r="E59" s="104">
        <v>1947</v>
      </c>
      <c r="F59" s="104" t="s">
        <v>549</v>
      </c>
      <c r="G59" s="104" t="s">
        <v>477</v>
      </c>
      <c r="H59" s="106"/>
      <c r="I59" s="104" t="s">
        <v>472</v>
      </c>
      <c r="J59" s="107">
        <v>2100</v>
      </c>
      <c r="K59" s="108">
        <v>2698</v>
      </c>
      <c r="L59" s="109">
        <v>0.23164999999999999</v>
      </c>
      <c r="M59" s="109">
        <v>9.6369999999999997E-2</v>
      </c>
      <c r="N59" s="109">
        <v>0.64046999999999998</v>
      </c>
      <c r="O59" s="109">
        <v>1.6310000000000002E-2</v>
      </c>
      <c r="P59" s="109">
        <v>1.52E-2</v>
      </c>
      <c r="Q59" s="108">
        <v>544</v>
      </c>
      <c r="R59" s="109">
        <v>0.17463000000000001</v>
      </c>
      <c r="S59" s="109">
        <v>6.8010000000000001E-2</v>
      </c>
      <c r="T59" s="109">
        <v>0.70772000000000002</v>
      </c>
      <c r="U59" s="109">
        <v>4.4119999999999999E-2</v>
      </c>
      <c r="V59" s="109">
        <v>5.5100000000000001E-3</v>
      </c>
      <c r="W59" s="109">
        <v>0.36263000000000001</v>
      </c>
      <c r="X59" s="109">
        <v>0.50778000000000001</v>
      </c>
      <c r="Y59" s="109">
        <v>0.49221999999999999</v>
      </c>
      <c r="Z59" s="109">
        <v>0.43180000000000002</v>
      </c>
      <c r="AA59" s="109">
        <v>0.56820000000000004</v>
      </c>
      <c r="AB59" s="110">
        <v>0.433</v>
      </c>
      <c r="AC59" s="56">
        <v>0.19273999999999999</v>
      </c>
      <c r="AD59" s="56">
        <v>0.76</v>
      </c>
      <c r="AE59" s="56">
        <v>0.184</v>
      </c>
      <c r="AF59" s="56">
        <v>0.34599999999999997</v>
      </c>
      <c r="AG59" s="112">
        <v>0.24100000000000002</v>
      </c>
      <c r="AH59" s="112">
        <v>9.1999999999999998E-2</v>
      </c>
      <c r="AI59" s="112">
        <v>0.28499999999999998</v>
      </c>
      <c r="AJ59" s="112">
        <v>0.16899999999999998</v>
      </c>
      <c r="AK59" s="112">
        <v>0.37</v>
      </c>
      <c r="AL59" s="112">
        <v>0.43200000000000005</v>
      </c>
      <c r="AM59" s="109">
        <v>0.93966000000000005</v>
      </c>
      <c r="AN59" s="109">
        <v>0.37069000000000002</v>
      </c>
      <c r="AO59" s="109">
        <v>0.31896999999999998</v>
      </c>
      <c r="AP59" s="109">
        <v>0.25</v>
      </c>
      <c r="AQ59" s="109">
        <v>0.86919999999999997</v>
      </c>
      <c r="AR59" s="109">
        <v>0.75527</v>
      </c>
      <c r="AS59" s="109">
        <v>0.10127</v>
      </c>
      <c r="AT59" s="109">
        <v>1.2659999999999999E-2</v>
      </c>
      <c r="AU59" s="113">
        <v>3.8</v>
      </c>
      <c r="AV59" s="104">
        <v>87</v>
      </c>
      <c r="AW59" s="114">
        <v>156</v>
      </c>
      <c r="AX59" s="109">
        <v>0.43590000000000001</v>
      </c>
      <c r="AY59" s="109">
        <v>0.15384999999999999</v>
      </c>
      <c r="AZ59" s="108">
        <v>99</v>
      </c>
      <c r="BA59" s="109">
        <v>0.56566000000000005</v>
      </c>
      <c r="BB59" s="109">
        <v>0.34343000000000001</v>
      </c>
      <c r="BC59" s="108">
        <v>105</v>
      </c>
      <c r="BD59" s="109">
        <v>0.47619</v>
      </c>
      <c r="BE59" s="109">
        <v>0.26667000000000002</v>
      </c>
      <c r="BF59" s="108">
        <v>89</v>
      </c>
      <c r="BG59" s="108">
        <v>366</v>
      </c>
      <c r="BH59" s="109">
        <v>0.24317</v>
      </c>
      <c r="BI59" s="108">
        <v>146</v>
      </c>
      <c r="BJ59" s="108">
        <v>59</v>
      </c>
      <c r="BK59" s="109">
        <v>0.40411000000000002</v>
      </c>
      <c r="BL59" s="108">
        <v>20</v>
      </c>
      <c r="BM59" s="109">
        <v>0.10959000000000001</v>
      </c>
      <c r="BN59" s="109">
        <v>0.31844</v>
      </c>
    </row>
    <row r="60" spans="1:66" x14ac:dyDescent="0.2">
      <c r="A60" s="103">
        <v>3601</v>
      </c>
      <c r="B60" s="104" t="s">
        <v>548</v>
      </c>
      <c r="C60" s="104" t="s">
        <v>547</v>
      </c>
      <c r="D60" s="104"/>
      <c r="E60" s="104">
        <v>1924</v>
      </c>
      <c r="F60" s="104" t="s">
        <v>546</v>
      </c>
      <c r="G60" s="104" t="s">
        <v>473</v>
      </c>
      <c r="H60" s="106"/>
      <c r="I60" s="104" t="s">
        <v>472</v>
      </c>
      <c r="J60" s="107">
        <v>1740</v>
      </c>
      <c r="K60" s="108">
        <v>5304</v>
      </c>
      <c r="L60" s="109">
        <v>0.11143</v>
      </c>
      <c r="M60" s="109">
        <v>0.11765</v>
      </c>
      <c r="N60" s="109">
        <v>0.73321999999999998</v>
      </c>
      <c r="O60" s="109">
        <v>3.526E-2</v>
      </c>
      <c r="P60" s="109">
        <v>2.4499999999999999E-3</v>
      </c>
      <c r="Q60" s="108">
        <v>964</v>
      </c>
      <c r="R60" s="109">
        <v>0.10373</v>
      </c>
      <c r="S60" s="109">
        <v>7.3649999999999993E-2</v>
      </c>
      <c r="T60" s="109">
        <v>0.78320000000000001</v>
      </c>
      <c r="U60" s="109">
        <v>3.8379999999999997E-2</v>
      </c>
      <c r="V60" s="109">
        <v>1.0399999999999999E-3</v>
      </c>
      <c r="W60" s="109">
        <v>0.12064</v>
      </c>
      <c r="X60" s="109">
        <v>0.53412999999999999</v>
      </c>
      <c r="Y60" s="109">
        <v>0.46587000000000001</v>
      </c>
      <c r="Z60" s="109">
        <v>0.82145999999999997</v>
      </c>
      <c r="AA60" s="109">
        <v>0.17854</v>
      </c>
      <c r="AB60" s="110">
        <v>0.46299999999999997</v>
      </c>
      <c r="AC60" s="56">
        <v>0.24076</v>
      </c>
      <c r="AD60" s="56">
        <v>0.81599999999999995</v>
      </c>
      <c r="AE60" s="56">
        <v>0.28899999999999998</v>
      </c>
      <c r="AF60" s="56">
        <v>0.438</v>
      </c>
      <c r="AG60" s="112">
        <v>0.20899999999999999</v>
      </c>
      <c r="AH60" s="112">
        <v>0.11699999999999999</v>
      </c>
      <c r="AI60" s="112">
        <v>0.29600000000000004</v>
      </c>
      <c r="AJ60" s="112">
        <v>0.21</v>
      </c>
      <c r="AK60" s="112">
        <v>0.35200000000000004</v>
      </c>
      <c r="AL60" s="112">
        <v>0.27200000000000002</v>
      </c>
      <c r="AM60" s="109">
        <v>0.91110999999999998</v>
      </c>
      <c r="AN60" s="109">
        <v>0.38056000000000001</v>
      </c>
      <c r="AO60" s="109">
        <v>0.22778000000000001</v>
      </c>
      <c r="AP60" s="109">
        <v>0.30277999999999999</v>
      </c>
      <c r="AQ60" s="109">
        <v>0.91840999999999995</v>
      </c>
      <c r="AR60" s="109">
        <v>0.75990999999999997</v>
      </c>
      <c r="AS60" s="109">
        <v>0.14685000000000001</v>
      </c>
      <c r="AT60" s="109">
        <v>1.166E-2</v>
      </c>
      <c r="AU60" s="113">
        <v>3.5</v>
      </c>
      <c r="AV60" s="104">
        <v>79</v>
      </c>
      <c r="AW60" s="114">
        <v>628</v>
      </c>
      <c r="AX60" s="109">
        <v>0.32484000000000002</v>
      </c>
      <c r="AY60" s="109">
        <v>0.18471000000000001</v>
      </c>
      <c r="AZ60" s="108">
        <v>405</v>
      </c>
      <c r="BA60" s="109">
        <v>0.49876999999999999</v>
      </c>
      <c r="BB60" s="109">
        <v>0.36296</v>
      </c>
      <c r="BC60" s="108">
        <v>470</v>
      </c>
      <c r="BD60" s="109">
        <v>0.59362000000000004</v>
      </c>
      <c r="BE60" s="109">
        <v>0.33404</v>
      </c>
      <c r="BF60" s="108">
        <v>274</v>
      </c>
      <c r="BG60" s="108">
        <v>998</v>
      </c>
      <c r="BH60" s="109">
        <v>0.27455000000000002</v>
      </c>
      <c r="BI60" s="108">
        <v>260</v>
      </c>
      <c r="BJ60" s="108">
        <v>92</v>
      </c>
      <c r="BK60" s="109">
        <v>0.35385</v>
      </c>
      <c r="BL60" s="108">
        <v>25</v>
      </c>
      <c r="BM60" s="109">
        <v>0.13805000000000001</v>
      </c>
      <c r="BN60" s="109">
        <v>0.29937999999999998</v>
      </c>
    </row>
    <row r="61" spans="1:66" x14ac:dyDescent="0.2">
      <c r="A61" s="103">
        <v>3603</v>
      </c>
      <c r="B61" s="104" t="s">
        <v>545</v>
      </c>
      <c r="C61" s="104" t="s">
        <v>544</v>
      </c>
      <c r="D61" s="104"/>
      <c r="E61" s="104">
        <v>1926</v>
      </c>
      <c r="F61" s="104" t="s">
        <v>543</v>
      </c>
      <c r="G61" s="104" t="s">
        <v>477</v>
      </c>
      <c r="H61" s="106"/>
      <c r="I61" s="104" t="s">
        <v>472</v>
      </c>
      <c r="J61" s="107">
        <v>2790</v>
      </c>
      <c r="K61" s="108">
        <v>1894</v>
      </c>
      <c r="L61" s="109">
        <v>4.3290000000000002E-2</v>
      </c>
      <c r="M61" s="109">
        <v>0.19377</v>
      </c>
      <c r="N61" s="109">
        <v>0.57708999999999999</v>
      </c>
      <c r="O61" s="109">
        <v>0.18215000000000001</v>
      </c>
      <c r="P61" s="109">
        <v>3.7000000000000002E-3</v>
      </c>
      <c r="Q61" s="108">
        <v>228</v>
      </c>
      <c r="R61" s="109">
        <v>4.3860000000000003E-2</v>
      </c>
      <c r="S61" s="109">
        <v>0.17544000000000001</v>
      </c>
      <c r="T61" s="109">
        <v>0.66227999999999998</v>
      </c>
      <c r="U61" s="109">
        <v>7.4560000000000001E-2</v>
      </c>
      <c r="V61" s="109">
        <v>4.3860000000000003E-2</v>
      </c>
      <c r="W61" s="109">
        <v>1.12809</v>
      </c>
      <c r="X61" s="109">
        <v>0.48152</v>
      </c>
      <c r="Y61" s="109">
        <v>0.51848000000000005</v>
      </c>
      <c r="Z61" s="109">
        <v>0.75766</v>
      </c>
      <c r="AA61" s="109">
        <v>0.24234</v>
      </c>
      <c r="AB61" s="110">
        <v>0.38</v>
      </c>
      <c r="AC61" s="56">
        <v>0.35110999999999998</v>
      </c>
      <c r="AD61" s="56">
        <v>0.83099999999999996</v>
      </c>
      <c r="AE61" s="56">
        <v>0.33500000000000002</v>
      </c>
      <c r="AF61" s="56">
        <v>0.39600000000000002</v>
      </c>
      <c r="AG61" s="112">
        <v>0.214</v>
      </c>
      <c r="AH61" s="112">
        <v>0.26600000000000001</v>
      </c>
      <c r="AI61" s="112">
        <v>0.30599999999999999</v>
      </c>
      <c r="AJ61" s="112">
        <v>0</v>
      </c>
      <c r="AK61" s="112">
        <v>0.36200000000000004</v>
      </c>
      <c r="AL61" s="112">
        <v>0.25</v>
      </c>
      <c r="AM61" s="109">
        <v>0.81818000000000002</v>
      </c>
      <c r="AN61" s="109">
        <v>0.24242</v>
      </c>
      <c r="AO61" s="109">
        <v>0.24242</v>
      </c>
      <c r="AP61" s="109">
        <v>0.33333000000000002</v>
      </c>
      <c r="AQ61" s="109">
        <v>0.76576999999999995</v>
      </c>
      <c r="AR61" s="109">
        <v>0.67567999999999995</v>
      </c>
      <c r="AS61" s="109">
        <v>8.1079999999999999E-2</v>
      </c>
      <c r="AT61" s="109">
        <v>9.0100000000000006E-3</v>
      </c>
      <c r="AU61" s="113">
        <v>2.5</v>
      </c>
      <c r="AV61" s="104">
        <v>76</v>
      </c>
      <c r="AW61" s="114">
        <v>106</v>
      </c>
      <c r="AX61" s="109">
        <v>0.29244999999999999</v>
      </c>
      <c r="AY61" s="109">
        <v>0.15093999999999999</v>
      </c>
      <c r="AZ61" s="108">
        <v>81</v>
      </c>
      <c r="BA61" s="109">
        <v>0.51851999999999998</v>
      </c>
      <c r="BB61" s="109">
        <v>0.35802</v>
      </c>
      <c r="BC61" s="108">
        <v>61</v>
      </c>
      <c r="BD61" s="109">
        <v>0.39344000000000001</v>
      </c>
      <c r="BE61" s="109">
        <v>0.22950999999999999</v>
      </c>
      <c r="BF61" s="108">
        <v>91</v>
      </c>
      <c r="BG61" s="108">
        <v>313</v>
      </c>
      <c r="BH61" s="109">
        <v>0.29072999999999999</v>
      </c>
      <c r="BI61" s="108">
        <v>109</v>
      </c>
      <c r="BJ61" s="108">
        <v>32</v>
      </c>
      <c r="BK61" s="109">
        <v>0.29358000000000001</v>
      </c>
      <c r="BL61" s="108">
        <v>23</v>
      </c>
      <c r="BM61" s="109">
        <v>7.8950000000000006E-2</v>
      </c>
      <c r="BN61" s="109">
        <v>0.25641000000000003</v>
      </c>
    </row>
    <row r="62" spans="1:66" x14ac:dyDescent="0.2">
      <c r="A62" s="103">
        <v>29137</v>
      </c>
      <c r="B62" s="104" t="s">
        <v>538</v>
      </c>
      <c r="C62" s="104"/>
      <c r="D62" s="104"/>
      <c r="E62" s="104"/>
      <c r="F62" s="104"/>
      <c r="G62" s="104" t="s">
        <v>516</v>
      </c>
      <c r="H62" s="106" t="s">
        <v>84</v>
      </c>
      <c r="I62" s="104"/>
      <c r="J62" s="107">
        <v>1630</v>
      </c>
      <c r="K62" s="108">
        <v>28385</v>
      </c>
      <c r="L62" s="109">
        <v>0.10449</v>
      </c>
      <c r="M62" s="109">
        <v>0.46472000000000002</v>
      </c>
      <c r="N62" s="109">
        <v>0.29857</v>
      </c>
      <c r="O62" s="109">
        <v>0.11432</v>
      </c>
      <c r="P62" s="109">
        <v>1.7899999999999999E-2</v>
      </c>
      <c r="Q62" s="108">
        <v>4055</v>
      </c>
      <c r="R62" s="109">
        <v>9.2230000000000006E-2</v>
      </c>
      <c r="S62" s="109">
        <v>0.41060000000000002</v>
      </c>
      <c r="T62" s="109">
        <v>0.35808000000000001</v>
      </c>
      <c r="U62" s="109">
        <v>0.11813</v>
      </c>
      <c r="V62" s="109">
        <v>2.0959999999999999E-2</v>
      </c>
      <c r="W62" s="109">
        <v>0.15311</v>
      </c>
      <c r="X62" s="109">
        <v>0.73028000000000004</v>
      </c>
      <c r="Y62" s="109">
        <v>0.26972000000000002</v>
      </c>
      <c r="Z62" s="109">
        <v>0.71767000000000003</v>
      </c>
      <c r="AA62" s="109">
        <v>0.28233000000000003</v>
      </c>
      <c r="AB62" s="110">
        <v>0.318</v>
      </c>
      <c r="AC62" s="111" t="s">
        <v>526</v>
      </c>
      <c r="AD62" s="145" t="s">
        <v>526</v>
      </c>
      <c r="AE62" s="145"/>
      <c r="AF62" s="145"/>
      <c r="AG62" s="112">
        <v>0.17499999999999999</v>
      </c>
      <c r="AH62" s="112">
        <v>0.1</v>
      </c>
      <c r="AI62" s="112">
        <v>0.26500000000000001</v>
      </c>
      <c r="AJ62" s="112">
        <v>0.14599999999999999</v>
      </c>
      <c r="AK62" s="112">
        <v>0.36200000000000004</v>
      </c>
      <c r="AL62" s="112">
        <v>0.21100000000000002</v>
      </c>
      <c r="AM62" s="109">
        <v>0.91942999999999997</v>
      </c>
      <c r="AN62" s="109">
        <v>0.29857</v>
      </c>
      <c r="AO62" s="109">
        <v>0.28863</v>
      </c>
      <c r="AP62" s="109">
        <v>0.33223000000000003</v>
      </c>
      <c r="AQ62" s="109">
        <v>0.89995000000000003</v>
      </c>
      <c r="AR62" s="109">
        <v>0.78605999999999998</v>
      </c>
      <c r="AS62" s="109">
        <v>8.7809999999999999E-2</v>
      </c>
      <c r="AT62" s="109">
        <v>2.6079999999999999E-2</v>
      </c>
      <c r="AU62" s="113">
        <v>4.5</v>
      </c>
      <c r="AV62" s="104">
        <v>94</v>
      </c>
      <c r="AW62" s="114">
        <v>2237</v>
      </c>
      <c r="AX62" s="109">
        <v>0.443</v>
      </c>
      <c r="AY62" s="109">
        <v>0.17032</v>
      </c>
      <c r="AZ62" s="108">
        <v>1324</v>
      </c>
      <c r="BA62" s="109">
        <v>0.61026999999999998</v>
      </c>
      <c r="BB62" s="109">
        <v>0.25982</v>
      </c>
      <c r="BC62" s="108">
        <v>929</v>
      </c>
      <c r="BD62" s="109">
        <v>0.43702999999999997</v>
      </c>
      <c r="BE62" s="109">
        <v>0.22928000000000001</v>
      </c>
      <c r="BF62" s="108">
        <v>991</v>
      </c>
      <c r="BG62" s="108">
        <v>4432</v>
      </c>
      <c r="BH62" s="109">
        <v>0.22359999999999999</v>
      </c>
      <c r="BI62" s="108">
        <v>1248</v>
      </c>
      <c r="BJ62" s="108">
        <v>632</v>
      </c>
      <c r="BK62" s="109">
        <v>0.50641000000000003</v>
      </c>
      <c r="BL62" s="108">
        <v>19</v>
      </c>
      <c r="BM62" s="109">
        <v>8.2228116710875335E-2</v>
      </c>
      <c r="BN62" s="109">
        <v>0.21696252465483234</v>
      </c>
    </row>
    <row r="63" spans="1:66" x14ac:dyDescent="0.2">
      <c r="A63" s="103">
        <v>3609</v>
      </c>
      <c r="B63" s="104" t="s">
        <v>542</v>
      </c>
      <c r="C63" s="104" t="s">
        <v>541</v>
      </c>
      <c r="D63" s="104" t="s">
        <v>538</v>
      </c>
      <c r="E63" s="104">
        <v>1961</v>
      </c>
      <c r="F63" s="104" t="s">
        <v>537</v>
      </c>
      <c r="G63" s="104" t="s">
        <v>516</v>
      </c>
      <c r="H63" s="106" t="s">
        <v>84</v>
      </c>
      <c r="I63" s="104" t="s">
        <v>472</v>
      </c>
      <c r="J63" s="107">
        <v>1630</v>
      </c>
      <c r="K63" s="108">
        <v>14365</v>
      </c>
      <c r="L63" s="109">
        <v>6.5089999999999995E-2</v>
      </c>
      <c r="M63" s="109">
        <v>0.47239999999999999</v>
      </c>
      <c r="N63" s="109">
        <v>0.34500999999999998</v>
      </c>
      <c r="O63" s="109">
        <v>0.10219</v>
      </c>
      <c r="P63" s="109">
        <v>1.532E-2</v>
      </c>
      <c r="Q63" s="108">
        <v>2746</v>
      </c>
      <c r="R63" s="109">
        <v>6.6640000000000005E-2</v>
      </c>
      <c r="S63" s="109">
        <v>0.43190000000000001</v>
      </c>
      <c r="T63" s="109">
        <v>0.38893</v>
      </c>
      <c r="U63" s="109">
        <v>9.5780000000000004E-2</v>
      </c>
      <c r="V63" s="109">
        <v>1.6750000000000001E-2</v>
      </c>
      <c r="W63" s="109">
        <v>0.11115</v>
      </c>
      <c r="X63" s="109">
        <v>0.81252999999999997</v>
      </c>
      <c r="Y63" s="109">
        <v>0.18747</v>
      </c>
      <c r="Z63" s="109">
        <v>0.67149000000000003</v>
      </c>
      <c r="AA63" s="109">
        <v>0.32851000000000002</v>
      </c>
      <c r="AB63" s="110" t="s">
        <v>515</v>
      </c>
      <c r="AC63" s="56">
        <v>6.1400000000000003E-2</v>
      </c>
      <c r="AD63" s="56">
        <v>0.91700000000000004</v>
      </c>
      <c r="AE63" s="56">
        <v>0.28899999999999998</v>
      </c>
      <c r="AF63" s="56">
        <v>0.41299999999999998</v>
      </c>
      <c r="AG63" s="112">
        <v>0.156</v>
      </c>
      <c r="AH63" s="112">
        <v>9.6000000000000002E-2</v>
      </c>
      <c r="AI63" s="112">
        <v>0.27500000000000002</v>
      </c>
      <c r="AJ63" s="112">
        <v>0.161</v>
      </c>
      <c r="AK63" s="112">
        <v>0.35899999999999999</v>
      </c>
      <c r="AL63" s="112">
        <v>0.215</v>
      </c>
      <c r="AM63" s="109">
        <v>0.93276000000000003</v>
      </c>
      <c r="AN63" s="109">
        <v>0.31174000000000002</v>
      </c>
      <c r="AO63" s="109">
        <v>0.26284000000000002</v>
      </c>
      <c r="AP63" s="109">
        <v>0.35819000000000001</v>
      </c>
      <c r="AQ63" s="109">
        <v>0.91113</v>
      </c>
      <c r="AR63" s="109">
        <v>0.81906000000000001</v>
      </c>
      <c r="AS63" s="109">
        <v>6.2100000000000002E-2</v>
      </c>
      <c r="AT63" s="109">
        <v>2.998E-2</v>
      </c>
      <c r="AU63" s="113">
        <v>4.7</v>
      </c>
      <c r="AV63" s="104">
        <v>97</v>
      </c>
      <c r="AW63" s="114">
        <v>875</v>
      </c>
      <c r="AX63" s="109">
        <v>0.48914000000000002</v>
      </c>
      <c r="AY63" s="109">
        <v>0.19086</v>
      </c>
      <c r="AZ63" s="108">
        <v>450</v>
      </c>
      <c r="BA63" s="109">
        <v>0.66222000000000003</v>
      </c>
      <c r="BB63" s="109">
        <v>0.24</v>
      </c>
      <c r="BC63" s="108">
        <v>289</v>
      </c>
      <c r="BD63" s="109">
        <v>0.51210999999999995</v>
      </c>
      <c r="BE63" s="109">
        <v>0.24912999999999999</v>
      </c>
      <c r="BF63" s="108">
        <v>438</v>
      </c>
      <c r="BG63" s="108">
        <v>2115</v>
      </c>
      <c r="BH63" s="109">
        <v>0.20709</v>
      </c>
      <c r="BI63" s="108">
        <v>581</v>
      </c>
      <c r="BJ63" s="108">
        <v>297</v>
      </c>
      <c r="BK63" s="109">
        <v>0.51119000000000003</v>
      </c>
      <c r="BL63" s="108">
        <v>18</v>
      </c>
      <c r="BM63" s="109">
        <v>7.9519999999999993E-2</v>
      </c>
      <c r="BN63" s="109">
        <v>0.19309999999999999</v>
      </c>
    </row>
    <row r="64" spans="1:66" x14ac:dyDescent="0.2">
      <c r="A64" s="103">
        <v>12713</v>
      </c>
      <c r="B64" s="104" t="s">
        <v>540</v>
      </c>
      <c r="C64" s="104" t="s">
        <v>278</v>
      </c>
      <c r="D64" s="104" t="s">
        <v>538</v>
      </c>
      <c r="E64" s="104">
        <v>1973</v>
      </c>
      <c r="F64" s="104" t="s">
        <v>537</v>
      </c>
      <c r="G64" s="104" t="s">
        <v>516</v>
      </c>
      <c r="H64" s="106" t="s">
        <v>84</v>
      </c>
      <c r="I64" s="104" t="s">
        <v>472</v>
      </c>
      <c r="J64" s="107">
        <v>1630</v>
      </c>
      <c r="K64" s="108">
        <v>7312</v>
      </c>
      <c r="L64" s="109">
        <v>0.16753000000000001</v>
      </c>
      <c r="M64" s="109">
        <v>0.54554000000000002</v>
      </c>
      <c r="N64" s="109">
        <v>0.19966999999999999</v>
      </c>
      <c r="O64" s="109">
        <v>7.3709999999999998E-2</v>
      </c>
      <c r="P64" s="109">
        <v>1.354E-2</v>
      </c>
      <c r="Q64" s="108">
        <v>1097</v>
      </c>
      <c r="R64" s="109">
        <v>0.15040999999999999</v>
      </c>
      <c r="S64" s="109">
        <v>0.52324999999999999</v>
      </c>
      <c r="T64" s="109">
        <v>0.21878</v>
      </c>
      <c r="U64" s="109">
        <v>8.6599999999999996E-2</v>
      </c>
      <c r="V64" s="109">
        <v>2.0969999999999999E-2</v>
      </c>
      <c r="W64" s="109">
        <v>0.32584000000000002</v>
      </c>
      <c r="X64" s="109">
        <v>0.81428</v>
      </c>
      <c r="Y64" s="109">
        <v>0.18572</v>
      </c>
      <c r="Z64" s="109">
        <v>0.65222000000000002</v>
      </c>
      <c r="AA64" s="109">
        <v>0.34777999999999998</v>
      </c>
      <c r="AB64" s="110" t="s">
        <v>515</v>
      </c>
      <c r="AC64" s="56">
        <v>4.7460000000000002E-2</v>
      </c>
      <c r="AD64" s="56">
        <v>0.876</v>
      </c>
      <c r="AE64" s="56">
        <v>0.22900000000000001</v>
      </c>
      <c r="AF64" s="56">
        <v>0.376</v>
      </c>
      <c r="AG64" s="112">
        <v>0.19</v>
      </c>
      <c r="AH64" s="112">
        <v>0.107</v>
      </c>
      <c r="AI64" s="112">
        <v>0.27800000000000002</v>
      </c>
      <c r="AJ64" s="112">
        <v>0.13699999999999998</v>
      </c>
      <c r="AK64" s="112">
        <v>0.32100000000000001</v>
      </c>
      <c r="AL64" s="112">
        <v>0.20300000000000001</v>
      </c>
      <c r="AM64" s="109">
        <v>0.91781000000000001</v>
      </c>
      <c r="AN64" s="109">
        <v>0.29110000000000003</v>
      </c>
      <c r="AO64" s="109">
        <v>0.30137000000000003</v>
      </c>
      <c r="AP64" s="109">
        <v>0.32534000000000002</v>
      </c>
      <c r="AQ64" s="109">
        <v>0.88993999999999995</v>
      </c>
      <c r="AR64" s="109">
        <v>0.73814000000000002</v>
      </c>
      <c r="AS64" s="109">
        <v>0.13661999999999999</v>
      </c>
      <c r="AT64" s="109">
        <v>1.5180000000000001E-2</v>
      </c>
      <c r="AU64" s="113">
        <v>4.5</v>
      </c>
      <c r="AV64" s="104">
        <v>91</v>
      </c>
      <c r="AW64" s="114">
        <v>535</v>
      </c>
      <c r="AX64" s="109">
        <v>0.32523000000000002</v>
      </c>
      <c r="AY64" s="109">
        <v>0.10467</v>
      </c>
      <c r="AZ64" s="108">
        <v>383</v>
      </c>
      <c r="BA64" s="109">
        <v>0.57440999999999998</v>
      </c>
      <c r="BB64" s="109">
        <v>0.24282000000000001</v>
      </c>
      <c r="BC64" s="108">
        <v>231</v>
      </c>
      <c r="BD64" s="109">
        <v>0.39827000000000001</v>
      </c>
      <c r="BE64" s="109">
        <v>0.17749000000000001</v>
      </c>
      <c r="BF64" s="108">
        <v>181</v>
      </c>
      <c r="BG64" s="108">
        <v>1000</v>
      </c>
      <c r="BH64" s="109">
        <v>0.18099999999999999</v>
      </c>
      <c r="BI64" s="108">
        <v>316</v>
      </c>
      <c r="BJ64" s="108">
        <v>139</v>
      </c>
      <c r="BK64" s="109">
        <v>0.43986999999999998</v>
      </c>
      <c r="BL64" s="108">
        <v>18</v>
      </c>
      <c r="BM64" s="109">
        <v>5.0189999999999999E-2</v>
      </c>
      <c r="BN64" s="109">
        <v>0.22814000000000001</v>
      </c>
    </row>
    <row r="65" spans="1:66" x14ac:dyDescent="0.2">
      <c r="A65" s="103">
        <v>90</v>
      </c>
      <c r="B65" s="104" t="s">
        <v>539</v>
      </c>
      <c r="C65" s="104" t="s">
        <v>278</v>
      </c>
      <c r="D65" s="104" t="s">
        <v>538</v>
      </c>
      <c r="E65" s="104">
        <v>1979</v>
      </c>
      <c r="F65" s="104" t="s">
        <v>537</v>
      </c>
      <c r="G65" s="104" t="s">
        <v>516</v>
      </c>
      <c r="H65" s="106" t="s">
        <v>84</v>
      </c>
      <c r="I65" s="104" t="s">
        <v>472</v>
      </c>
      <c r="J65" s="107">
        <v>1630</v>
      </c>
      <c r="K65" s="108">
        <v>10794</v>
      </c>
      <c r="L65" s="109">
        <v>0.11358</v>
      </c>
      <c r="M65" s="109">
        <v>0.37770999999999999</v>
      </c>
      <c r="N65" s="109">
        <v>0.31795000000000001</v>
      </c>
      <c r="O65" s="109">
        <v>0.16342000000000001</v>
      </c>
      <c r="P65" s="109">
        <v>2.733E-2</v>
      </c>
      <c r="Q65" s="108">
        <v>1233</v>
      </c>
      <c r="R65" s="109">
        <v>9.5699999999999993E-2</v>
      </c>
      <c r="S65" s="109">
        <v>0.31711</v>
      </c>
      <c r="T65" s="109">
        <v>0.37956000000000001</v>
      </c>
      <c r="U65" s="109">
        <v>0.17924000000000001</v>
      </c>
      <c r="V65" s="109">
        <v>2.8389999999999999E-2</v>
      </c>
      <c r="W65" s="109">
        <v>0.17262</v>
      </c>
      <c r="X65" s="109">
        <v>0.78034000000000003</v>
      </c>
      <c r="Y65" s="109">
        <v>0.21965999999999999</v>
      </c>
      <c r="Z65" s="109">
        <v>0.82462000000000002</v>
      </c>
      <c r="AA65" s="109">
        <v>0.17538000000000001</v>
      </c>
      <c r="AB65" s="110" t="s">
        <v>173</v>
      </c>
      <c r="AC65" s="56">
        <v>8.3750000000000005E-2</v>
      </c>
      <c r="AD65" s="56">
        <v>0.94299999999999995</v>
      </c>
      <c r="AE65" s="56">
        <v>0.371</v>
      </c>
      <c r="AF65" s="56">
        <v>0.49199999999999999</v>
      </c>
      <c r="AG65" s="112">
        <v>0.193</v>
      </c>
      <c r="AH65" s="112">
        <v>0.10099999999999999</v>
      </c>
      <c r="AI65" s="112">
        <v>0.24299999999999999</v>
      </c>
      <c r="AJ65" s="112">
        <v>0.13100000000000001</v>
      </c>
      <c r="AK65" s="112">
        <v>0.39200000000000002</v>
      </c>
      <c r="AL65" s="112">
        <v>0.21100000000000002</v>
      </c>
      <c r="AM65" s="109">
        <v>0.90456000000000003</v>
      </c>
      <c r="AN65" s="109">
        <v>0.28632000000000002</v>
      </c>
      <c r="AO65" s="109">
        <v>0.31339</v>
      </c>
      <c r="AP65" s="109">
        <v>0.30484</v>
      </c>
      <c r="AQ65" s="109">
        <v>0.88756000000000002</v>
      </c>
      <c r="AR65" s="109">
        <v>0.77273000000000003</v>
      </c>
      <c r="AS65" s="109">
        <v>8.3729999999999999E-2</v>
      </c>
      <c r="AT65" s="109">
        <v>3.1099999999999999E-2</v>
      </c>
      <c r="AU65" s="113">
        <v>4.2</v>
      </c>
      <c r="AV65" s="104">
        <v>91</v>
      </c>
      <c r="AW65" s="114">
        <v>827</v>
      </c>
      <c r="AX65" s="109">
        <v>0.47037000000000001</v>
      </c>
      <c r="AY65" s="109">
        <v>0.19105</v>
      </c>
      <c r="AZ65" s="108">
        <v>491</v>
      </c>
      <c r="BA65" s="109">
        <v>0.59062999999999999</v>
      </c>
      <c r="BB65" s="109">
        <v>0.29124</v>
      </c>
      <c r="BC65" s="108">
        <v>409</v>
      </c>
      <c r="BD65" s="109">
        <v>0.40587000000000001</v>
      </c>
      <c r="BE65" s="109">
        <v>0.2445</v>
      </c>
      <c r="BF65" s="108">
        <v>417</v>
      </c>
      <c r="BG65" s="108">
        <v>1514</v>
      </c>
      <c r="BH65" s="109">
        <v>0.27543000000000001</v>
      </c>
      <c r="BI65" s="108">
        <v>399</v>
      </c>
      <c r="BJ65" s="108">
        <v>202</v>
      </c>
      <c r="BK65" s="109">
        <v>0.50627</v>
      </c>
      <c r="BL65" s="108">
        <v>21</v>
      </c>
      <c r="BM65" s="109">
        <v>0.1084</v>
      </c>
      <c r="BN65" s="109">
        <v>0.24390000000000001</v>
      </c>
    </row>
    <row r="66" spans="1:66" x14ac:dyDescent="0.2">
      <c r="A66" s="103">
        <v>3611</v>
      </c>
      <c r="B66" s="104" t="s">
        <v>536</v>
      </c>
      <c r="C66" s="104" t="s">
        <v>535</v>
      </c>
      <c r="D66" s="104"/>
      <c r="E66" s="104">
        <v>1957</v>
      </c>
      <c r="F66" s="104" t="s">
        <v>534</v>
      </c>
      <c r="G66" s="104" t="s">
        <v>489</v>
      </c>
      <c r="H66" s="106" t="s">
        <v>84</v>
      </c>
      <c r="I66" s="104" t="s">
        <v>472</v>
      </c>
      <c r="J66" s="107">
        <v>2632</v>
      </c>
      <c r="K66" s="108">
        <v>9563</v>
      </c>
      <c r="L66" s="109">
        <v>5.8869999999999999E-2</v>
      </c>
      <c r="M66" s="109">
        <v>0.39172000000000001</v>
      </c>
      <c r="N66" s="109">
        <v>0.50924999999999998</v>
      </c>
      <c r="O66" s="109">
        <v>3.2730000000000002E-2</v>
      </c>
      <c r="P66" s="109">
        <v>7.4200000000000004E-3</v>
      </c>
      <c r="Q66" s="108">
        <v>1345</v>
      </c>
      <c r="R66" s="109">
        <v>4.1640000000000003E-2</v>
      </c>
      <c r="S66" s="109">
        <v>0.39554</v>
      </c>
      <c r="T66" s="109">
        <v>0.51673000000000002</v>
      </c>
      <c r="U66" s="109">
        <v>3.569E-2</v>
      </c>
      <c r="V66" s="109">
        <v>1.0410000000000001E-2</v>
      </c>
      <c r="W66" s="109">
        <v>3.585E-2</v>
      </c>
      <c r="X66" s="109">
        <v>0.50831000000000004</v>
      </c>
      <c r="Y66" s="109">
        <v>0.49169000000000002</v>
      </c>
      <c r="Z66" s="109">
        <v>0.75875999999999999</v>
      </c>
      <c r="AA66" s="109">
        <v>0.24124000000000001</v>
      </c>
      <c r="AB66" s="110">
        <v>0.39700000000000002</v>
      </c>
      <c r="AC66" s="56">
        <v>0.18195</v>
      </c>
      <c r="AD66" s="56">
        <v>0.872</v>
      </c>
      <c r="AE66" s="56">
        <v>0.30399999999999999</v>
      </c>
      <c r="AF66" s="56">
        <v>0.40100000000000002</v>
      </c>
      <c r="AG66" s="112">
        <v>0.183</v>
      </c>
      <c r="AH66" s="112">
        <v>7.9000000000000001E-2</v>
      </c>
      <c r="AI66" s="112">
        <v>0.22600000000000001</v>
      </c>
      <c r="AJ66" s="112">
        <v>0.10199999999999999</v>
      </c>
      <c r="AK66" s="112">
        <v>0.32899999999999996</v>
      </c>
      <c r="AL66" s="112">
        <v>0.20300000000000001</v>
      </c>
      <c r="AM66" s="109">
        <v>0.92020000000000002</v>
      </c>
      <c r="AN66" s="109">
        <v>0.31420999999999999</v>
      </c>
      <c r="AO66" s="109">
        <v>0.27182000000000001</v>
      </c>
      <c r="AP66" s="109">
        <v>0.33416000000000001</v>
      </c>
      <c r="AQ66" s="109">
        <v>0.95323999999999998</v>
      </c>
      <c r="AR66" s="109">
        <v>0.75716000000000006</v>
      </c>
      <c r="AS66" s="109">
        <v>0.13875999999999999</v>
      </c>
      <c r="AT66" s="109">
        <v>5.7320000000000003E-2</v>
      </c>
      <c r="AU66" s="113">
        <v>3.8</v>
      </c>
      <c r="AV66" s="104">
        <v>90</v>
      </c>
      <c r="AW66" s="114">
        <v>771</v>
      </c>
      <c r="AX66" s="109">
        <v>0.35019</v>
      </c>
      <c r="AY66" s="109">
        <v>0.20363000000000001</v>
      </c>
      <c r="AZ66" s="108">
        <v>391</v>
      </c>
      <c r="BA66" s="109">
        <v>0.53452999999999995</v>
      </c>
      <c r="BB66" s="109">
        <v>0.38107000000000002</v>
      </c>
      <c r="BC66" s="108">
        <v>475</v>
      </c>
      <c r="BD66" s="109">
        <v>0.37474000000000002</v>
      </c>
      <c r="BE66" s="109">
        <v>0.25263000000000002</v>
      </c>
      <c r="BF66" s="108">
        <v>549</v>
      </c>
      <c r="BG66" s="108">
        <v>1910</v>
      </c>
      <c r="BH66" s="109">
        <v>0.28743000000000002</v>
      </c>
      <c r="BI66" s="108">
        <v>405</v>
      </c>
      <c r="BJ66" s="108">
        <v>275</v>
      </c>
      <c r="BK66" s="109">
        <v>0.67901</v>
      </c>
      <c r="BL66" s="108">
        <v>21</v>
      </c>
      <c r="BM66" s="109">
        <v>9.4259999999999997E-2</v>
      </c>
      <c r="BN66" s="109">
        <v>0.20909</v>
      </c>
    </row>
    <row r="67" spans="1:66" x14ac:dyDescent="0.2">
      <c r="A67" s="103">
        <v>31034</v>
      </c>
      <c r="B67" s="104" t="s">
        <v>533</v>
      </c>
      <c r="C67" s="104" t="s">
        <v>532</v>
      </c>
      <c r="D67" s="104"/>
      <c r="E67" s="104">
        <v>1993</v>
      </c>
      <c r="F67" s="104" t="s">
        <v>531</v>
      </c>
      <c r="G67" s="104" t="s">
        <v>516</v>
      </c>
      <c r="H67" s="106" t="s">
        <v>84</v>
      </c>
      <c r="I67" s="104" t="s">
        <v>530</v>
      </c>
      <c r="J67" s="107">
        <v>3240</v>
      </c>
      <c r="K67" s="108">
        <v>30233</v>
      </c>
      <c r="L67" s="109">
        <v>2.5799999999999998E-3</v>
      </c>
      <c r="M67" s="109">
        <v>0.93420999999999998</v>
      </c>
      <c r="N67" s="109">
        <v>2.7289999999999998E-2</v>
      </c>
      <c r="O67" s="109">
        <v>3.3700000000000001E-2</v>
      </c>
      <c r="P67" s="109">
        <v>2.2200000000000002E-3</v>
      </c>
      <c r="Q67" s="108">
        <v>4324</v>
      </c>
      <c r="R67" s="109">
        <v>1.16E-3</v>
      </c>
      <c r="S67" s="109">
        <v>0.93223999999999996</v>
      </c>
      <c r="T67" s="109">
        <v>1.6420000000000001E-2</v>
      </c>
      <c r="U67" s="109">
        <v>4.6719999999999998E-2</v>
      </c>
      <c r="V67" s="109">
        <v>3.47E-3</v>
      </c>
      <c r="W67" s="109">
        <v>0.39540999999999998</v>
      </c>
      <c r="X67" s="109">
        <v>0.69977</v>
      </c>
      <c r="Y67" s="109">
        <v>0.30023</v>
      </c>
      <c r="Z67" s="109">
        <v>0.68123999999999996</v>
      </c>
      <c r="AA67" s="109">
        <v>0.30231999999999998</v>
      </c>
      <c r="AB67" s="110">
        <v>0.46200000000000002</v>
      </c>
      <c r="AC67" s="56">
        <v>0.39692</v>
      </c>
      <c r="AD67" s="56">
        <v>0.86299999999999999</v>
      </c>
      <c r="AE67" s="56">
        <v>0.24399999999999999</v>
      </c>
      <c r="AF67" s="56">
        <v>0.32600000000000001</v>
      </c>
      <c r="AG67" s="112">
        <v>0.192</v>
      </c>
      <c r="AH67" s="112">
        <v>9.5000000000000001E-2</v>
      </c>
      <c r="AI67" s="112">
        <v>0.25600000000000001</v>
      </c>
      <c r="AJ67" s="112">
        <v>0.156</v>
      </c>
      <c r="AK67" s="112">
        <v>0.35399999999999998</v>
      </c>
      <c r="AL67" s="112">
        <v>0.248</v>
      </c>
      <c r="AM67" s="109">
        <v>0.93213999999999997</v>
      </c>
      <c r="AN67" s="109">
        <v>0.34508</v>
      </c>
      <c r="AO67" s="109">
        <v>0.30299999999999999</v>
      </c>
      <c r="AP67" s="109">
        <v>0.28405999999999998</v>
      </c>
      <c r="AQ67" s="109">
        <v>0.86260000000000003</v>
      </c>
      <c r="AR67" s="109">
        <v>0.56869999999999998</v>
      </c>
      <c r="AS67" s="109">
        <v>0.24746000000000001</v>
      </c>
      <c r="AT67" s="109">
        <v>4.6440000000000002E-2</v>
      </c>
      <c r="AU67" s="113">
        <v>4.2</v>
      </c>
      <c r="AV67" s="104">
        <v>86</v>
      </c>
      <c r="AW67" s="114">
        <v>2107</v>
      </c>
      <c r="AX67" s="109">
        <v>0.33555000000000001</v>
      </c>
      <c r="AY67" s="109">
        <v>0.17560999999999999</v>
      </c>
      <c r="AZ67" s="108">
        <v>1680</v>
      </c>
      <c r="BA67" s="109">
        <v>0.50714000000000004</v>
      </c>
      <c r="BB67" s="109">
        <v>0.31309999999999999</v>
      </c>
      <c r="BC67" s="108">
        <v>1641</v>
      </c>
      <c r="BD67" s="109">
        <v>0.41560000000000002</v>
      </c>
      <c r="BE67" s="109">
        <v>0.29067999999999999</v>
      </c>
      <c r="BF67" s="108">
        <v>708</v>
      </c>
      <c r="BG67" s="108">
        <v>2924</v>
      </c>
      <c r="BH67" s="109">
        <v>0.24213000000000001</v>
      </c>
      <c r="BI67" s="108">
        <v>974</v>
      </c>
      <c r="BJ67" s="108">
        <v>590</v>
      </c>
      <c r="BK67" s="109">
        <v>0.60575000000000001</v>
      </c>
      <c r="BL67" s="108">
        <v>23</v>
      </c>
      <c r="BM67" s="109">
        <v>0.13305</v>
      </c>
      <c r="BN67" s="109">
        <v>0.29509999999999997</v>
      </c>
    </row>
    <row r="68" spans="1:66" x14ac:dyDescent="0.2">
      <c r="A68" s="103">
        <v>3614</v>
      </c>
      <c r="B68" s="104" t="s">
        <v>529</v>
      </c>
      <c r="C68" s="104" t="s">
        <v>528</v>
      </c>
      <c r="D68" s="104"/>
      <c r="E68" s="104">
        <v>1946</v>
      </c>
      <c r="F68" s="104" t="s">
        <v>527</v>
      </c>
      <c r="G68" s="104" t="s">
        <v>473</v>
      </c>
      <c r="H68" s="106" t="s">
        <v>84</v>
      </c>
      <c r="I68" s="104" t="s">
        <v>472</v>
      </c>
      <c r="J68" s="107">
        <v>2813</v>
      </c>
      <c r="K68" s="108">
        <v>5410</v>
      </c>
      <c r="L68" s="109">
        <v>1.349E-2</v>
      </c>
      <c r="M68" s="109">
        <v>0.82699</v>
      </c>
      <c r="N68" s="109">
        <v>0.13272</v>
      </c>
      <c r="O68" s="109">
        <v>2.384E-2</v>
      </c>
      <c r="P68" s="109">
        <v>2.96E-3</v>
      </c>
      <c r="Q68" s="108">
        <v>855</v>
      </c>
      <c r="R68" s="109">
        <v>7.0200000000000002E-3</v>
      </c>
      <c r="S68" s="109">
        <v>0.84911999999999999</v>
      </c>
      <c r="T68" s="109">
        <v>0.11579</v>
      </c>
      <c r="U68" s="109">
        <v>2.3390000000000001E-2</v>
      </c>
      <c r="V68" s="109">
        <v>4.6800000000000001E-3</v>
      </c>
      <c r="W68" s="109">
        <v>0.10183</v>
      </c>
      <c r="X68" s="109">
        <v>0.62311000000000005</v>
      </c>
      <c r="Y68" s="109">
        <v>0.37689</v>
      </c>
      <c r="Z68" s="109">
        <v>0.83364000000000005</v>
      </c>
      <c r="AA68" s="109">
        <v>0.16636000000000001</v>
      </c>
      <c r="AB68" s="110">
        <v>0.48899999999999999</v>
      </c>
      <c r="AC68" s="56">
        <v>0.28428999999999999</v>
      </c>
      <c r="AD68" s="56">
        <v>0.84599999999999997</v>
      </c>
      <c r="AE68" s="56">
        <v>0.20899999999999999</v>
      </c>
      <c r="AF68" s="56">
        <v>0.33300000000000002</v>
      </c>
      <c r="AG68" s="112">
        <v>0.22800000000000001</v>
      </c>
      <c r="AH68" s="112">
        <v>0.127</v>
      </c>
      <c r="AI68" s="112">
        <v>0.33200000000000002</v>
      </c>
      <c r="AJ68" s="112">
        <v>0.14699999999999999</v>
      </c>
      <c r="AK68" s="112">
        <v>0.34399999999999997</v>
      </c>
      <c r="AL68" s="112">
        <v>0.24299999999999999</v>
      </c>
      <c r="AM68" s="109">
        <v>0.9</v>
      </c>
      <c r="AN68" s="109">
        <v>0.36486000000000002</v>
      </c>
      <c r="AO68" s="109">
        <v>0.29188999999999998</v>
      </c>
      <c r="AP68" s="109">
        <v>0.24324000000000001</v>
      </c>
      <c r="AQ68" s="109">
        <v>0.83631</v>
      </c>
      <c r="AR68" s="109">
        <v>0.71131</v>
      </c>
      <c r="AS68" s="109">
        <v>0.11905</v>
      </c>
      <c r="AT68" s="109">
        <v>5.9500000000000004E-3</v>
      </c>
      <c r="AU68" s="113">
        <v>3.9</v>
      </c>
      <c r="AV68" s="104">
        <v>81</v>
      </c>
      <c r="AW68" s="114">
        <v>487</v>
      </c>
      <c r="AX68" s="109">
        <v>0.35729</v>
      </c>
      <c r="AY68" s="109">
        <v>0.16427</v>
      </c>
      <c r="AZ68" s="108">
        <v>323</v>
      </c>
      <c r="BA68" s="109">
        <v>0.49225999999999998</v>
      </c>
      <c r="BB68" s="109">
        <v>0.28793000000000002</v>
      </c>
      <c r="BC68" s="108">
        <v>276</v>
      </c>
      <c r="BD68" s="109">
        <v>0.40942000000000001</v>
      </c>
      <c r="BE68" s="109">
        <v>0.18478</v>
      </c>
      <c r="BF68" s="108">
        <v>167</v>
      </c>
      <c r="BG68" s="108">
        <v>793</v>
      </c>
      <c r="BH68" s="109">
        <v>0.21059</v>
      </c>
      <c r="BI68" s="108">
        <v>230</v>
      </c>
      <c r="BJ68" s="108">
        <v>123</v>
      </c>
      <c r="BK68" s="109">
        <v>0.53478000000000003</v>
      </c>
      <c r="BL68" s="108">
        <v>22</v>
      </c>
      <c r="BM68" s="109">
        <v>0.14652999999999999</v>
      </c>
      <c r="BN68" s="109">
        <v>0.26984000000000002</v>
      </c>
    </row>
    <row r="69" spans="1:66" x14ac:dyDescent="0.2">
      <c r="A69" s="103">
        <v>3626</v>
      </c>
      <c r="B69" s="104" t="s">
        <v>518</v>
      </c>
      <c r="C69" s="104"/>
      <c r="D69" s="104"/>
      <c r="E69" s="104"/>
      <c r="F69" s="104"/>
      <c r="G69" s="104" t="s">
        <v>516</v>
      </c>
      <c r="H69" s="106" t="s">
        <v>84</v>
      </c>
      <c r="I69" s="104"/>
      <c r="J69" s="107">
        <v>1650</v>
      </c>
      <c r="K69" s="108">
        <v>47339</v>
      </c>
      <c r="L69" s="109">
        <v>0.19166</v>
      </c>
      <c r="M69" s="109">
        <v>0.26978000000000002</v>
      </c>
      <c r="N69" s="109">
        <v>0.44946000000000003</v>
      </c>
      <c r="O69" s="109">
        <v>8.2280000000000006E-2</v>
      </c>
      <c r="P69" s="109">
        <v>6.8199999999999997E-3</v>
      </c>
      <c r="Q69" s="108">
        <v>5030</v>
      </c>
      <c r="R69" s="109">
        <v>0.14433000000000001</v>
      </c>
      <c r="S69" s="109">
        <v>0.21609999999999999</v>
      </c>
      <c r="T69" s="109">
        <v>0.54195000000000004</v>
      </c>
      <c r="U69" s="109">
        <v>7.8530000000000003E-2</v>
      </c>
      <c r="V69" s="109">
        <v>1.9089999999999999E-2</v>
      </c>
      <c r="W69" s="109">
        <v>0.26791999999999999</v>
      </c>
      <c r="X69" s="109">
        <v>0.72480999999999995</v>
      </c>
      <c r="Y69" s="109">
        <v>0.27518999999999999</v>
      </c>
      <c r="Z69" s="109">
        <v>0.65800000000000003</v>
      </c>
      <c r="AA69" s="109">
        <v>0.34200000000000003</v>
      </c>
      <c r="AB69" s="110">
        <v>0.376</v>
      </c>
      <c r="AC69" s="111" t="s">
        <v>526</v>
      </c>
      <c r="AD69" s="145" t="s">
        <v>526</v>
      </c>
      <c r="AE69" s="145"/>
      <c r="AF69" s="145"/>
      <c r="AG69" s="112">
        <v>0.10300000000000001</v>
      </c>
      <c r="AH69" s="112">
        <v>6.2E-2</v>
      </c>
      <c r="AI69" s="112">
        <v>0.17499999999999999</v>
      </c>
      <c r="AJ69" s="112">
        <v>9.1999999999999998E-2</v>
      </c>
      <c r="AK69" s="112">
        <v>0.29699999999999999</v>
      </c>
      <c r="AL69" s="112">
        <v>0.161</v>
      </c>
      <c r="AM69" s="109">
        <v>0.90908999999999995</v>
      </c>
      <c r="AN69" s="109">
        <v>0.4073</v>
      </c>
      <c r="AO69" s="109">
        <v>0.20881</v>
      </c>
      <c r="AP69" s="109">
        <v>0.29297000000000001</v>
      </c>
      <c r="AQ69" s="109">
        <v>0.89944000000000002</v>
      </c>
      <c r="AR69" s="109">
        <v>0.73411000000000004</v>
      </c>
      <c r="AS69" s="109">
        <v>0.10179000000000001</v>
      </c>
      <c r="AT69" s="109">
        <v>6.3539999999999999E-2</v>
      </c>
      <c r="AU69" s="113">
        <v>4.5999999999999996</v>
      </c>
      <c r="AV69" s="104">
        <v>93</v>
      </c>
      <c r="AW69" s="114">
        <v>3467</v>
      </c>
      <c r="AX69" s="109">
        <v>0.22094</v>
      </c>
      <c r="AY69" s="109">
        <v>7.0669999999999997E-2</v>
      </c>
      <c r="AZ69" s="108">
        <v>2025</v>
      </c>
      <c r="BA69" s="109">
        <v>0.41037000000000001</v>
      </c>
      <c r="BB69" s="109">
        <v>0.28494000000000003</v>
      </c>
      <c r="BC69" s="108">
        <v>1650</v>
      </c>
      <c r="BD69" s="109">
        <v>0.2903</v>
      </c>
      <c r="BE69" s="109">
        <v>0.20424</v>
      </c>
      <c r="BF69" s="108">
        <v>1639</v>
      </c>
      <c r="BG69" s="108">
        <v>6496</v>
      </c>
      <c r="BH69" s="109">
        <v>0.25230999999999998</v>
      </c>
      <c r="BI69" s="108">
        <v>1889</v>
      </c>
      <c r="BJ69" s="108">
        <v>656</v>
      </c>
      <c r="BK69" s="109">
        <v>0.34727000000000002</v>
      </c>
      <c r="BL69" s="108">
        <v>25</v>
      </c>
      <c r="BM69" s="109">
        <v>7.3935772964899185E-2</v>
      </c>
      <c r="BN69" s="109">
        <v>0.12828736369467608</v>
      </c>
    </row>
    <row r="70" spans="1:66" x14ac:dyDescent="0.2">
      <c r="A70" s="103">
        <v>8899</v>
      </c>
      <c r="B70" s="104" t="s">
        <v>525</v>
      </c>
      <c r="C70" s="104" t="s">
        <v>524</v>
      </c>
      <c r="D70" s="104" t="s">
        <v>518</v>
      </c>
      <c r="E70" s="104">
        <v>1968</v>
      </c>
      <c r="F70" s="104" t="s">
        <v>517</v>
      </c>
      <c r="G70" s="104" t="s">
        <v>516</v>
      </c>
      <c r="H70" s="106"/>
      <c r="I70" s="104" t="s">
        <v>472</v>
      </c>
      <c r="J70" s="107">
        <v>1650</v>
      </c>
      <c r="K70" s="108">
        <v>14990</v>
      </c>
      <c r="L70" s="109">
        <v>0.15670000000000001</v>
      </c>
      <c r="M70" s="109">
        <v>0.20180000000000001</v>
      </c>
      <c r="N70" s="109">
        <v>0.54722999999999999</v>
      </c>
      <c r="O70" s="109">
        <v>8.7529999999999997E-2</v>
      </c>
      <c r="P70" s="109">
        <v>6.7400000000000003E-3</v>
      </c>
      <c r="Q70" s="108">
        <v>1533</v>
      </c>
      <c r="R70" s="109">
        <v>0.13242000000000001</v>
      </c>
      <c r="S70" s="109">
        <v>0.16699</v>
      </c>
      <c r="T70" s="109">
        <v>0.60143999999999997</v>
      </c>
      <c r="U70" s="109">
        <v>8.9370000000000005E-2</v>
      </c>
      <c r="V70" s="109">
        <v>9.7800000000000005E-3</v>
      </c>
      <c r="W70" s="109">
        <v>9.7119999999999998E-2</v>
      </c>
      <c r="X70" s="109">
        <v>0.82687999999999995</v>
      </c>
      <c r="Y70" s="109">
        <v>0.17312</v>
      </c>
      <c r="Z70" s="109">
        <v>0.67325000000000002</v>
      </c>
      <c r="AA70" s="109">
        <v>0.32674999999999998</v>
      </c>
      <c r="AB70" s="110" t="s">
        <v>515</v>
      </c>
      <c r="AC70" s="56">
        <v>7.2179999999999994E-2</v>
      </c>
      <c r="AD70" s="56">
        <v>0.90300000000000002</v>
      </c>
      <c r="AE70" s="56">
        <v>0.371</v>
      </c>
      <c r="AF70" s="56">
        <v>0.40600000000000003</v>
      </c>
      <c r="AG70" s="112">
        <v>9.6999999999999989E-2</v>
      </c>
      <c r="AH70" s="112">
        <v>5.7000000000000002E-2</v>
      </c>
      <c r="AI70" s="112">
        <v>0.155</v>
      </c>
      <c r="AJ70" s="112">
        <v>9.6000000000000002E-2</v>
      </c>
      <c r="AK70" s="112">
        <v>0.29499999999999998</v>
      </c>
      <c r="AL70" s="112">
        <v>0.155</v>
      </c>
      <c r="AM70" s="109">
        <v>0.91971000000000003</v>
      </c>
      <c r="AN70" s="109">
        <v>0.39854000000000001</v>
      </c>
      <c r="AO70" s="109">
        <v>0.21168000000000001</v>
      </c>
      <c r="AP70" s="109">
        <v>0.30948999999999999</v>
      </c>
      <c r="AQ70" s="109">
        <v>0.88888999999999996</v>
      </c>
      <c r="AR70" s="109">
        <v>0.67632999999999999</v>
      </c>
      <c r="AS70" s="109">
        <v>0.12801999999999999</v>
      </c>
      <c r="AT70" s="109">
        <v>8.4540000000000004E-2</v>
      </c>
      <c r="AU70" s="113">
        <v>4.7</v>
      </c>
      <c r="AV70" s="104">
        <v>95</v>
      </c>
      <c r="AW70" s="114">
        <v>978</v>
      </c>
      <c r="AX70" s="109">
        <v>0.17076</v>
      </c>
      <c r="AY70" s="109">
        <v>5.4190000000000002E-2</v>
      </c>
      <c r="AZ70" s="108">
        <v>522</v>
      </c>
      <c r="BA70" s="109">
        <v>0.44252999999999998</v>
      </c>
      <c r="BB70" s="109">
        <v>0.32374999999999998</v>
      </c>
      <c r="BC70" s="108">
        <v>506</v>
      </c>
      <c r="BD70" s="109">
        <v>0.27272999999999997</v>
      </c>
      <c r="BE70" s="109">
        <v>0.20751</v>
      </c>
      <c r="BF70" s="108">
        <v>569</v>
      </c>
      <c r="BG70" s="108">
        <v>2209</v>
      </c>
      <c r="BH70" s="109">
        <v>0.25757999999999998</v>
      </c>
      <c r="BI70" s="108">
        <v>514</v>
      </c>
      <c r="BJ70" s="108">
        <v>172</v>
      </c>
      <c r="BK70" s="109">
        <v>0.33462999999999998</v>
      </c>
      <c r="BL70" s="108">
        <v>25</v>
      </c>
      <c r="BM70" s="109">
        <v>7.3169999999999999E-2</v>
      </c>
      <c r="BN70" s="109">
        <v>0.11268</v>
      </c>
    </row>
    <row r="71" spans="1:66" x14ac:dyDescent="0.2">
      <c r="A71" s="103">
        <v>10964</v>
      </c>
      <c r="B71" s="104" t="s">
        <v>523</v>
      </c>
      <c r="C71" s="104" t="s">
        <v>519</v>
      </c>
      <c r="D71" s="104" t="s">
        <v>518</v>
      </c>
      <c r="E71" s="104">
        <v>1976</v>
      </c>
      <c r="F71" s="104" t="s">
        <v>517</v>
      </c>
      <c r="G71" s="104" t="s">
        <v>516</v>
      </c>
      <c r="H71" s="106"/>
      <c r="I71" s="104" t="s">
        <v>472</v>
      </c>
      <c r="J71" s="107">
        <v>1650</v>
      </c>
      <c r="K71" s="108">
        <v>12040</v>
      </c>
      <c r="L71" s="109">
        <v>0.13704</v>
      </c>
      <c r="M71" s="109">
        <v>0.28447</v>
      </c>
      <c r="N71" s="109">
        <v>0.50863999999999998</v>
      </c>
      <c r="O71" s="109">
        <v>6.5119999999999997E-2</v>
      </c>
      <c r="P71" s="109">
        <v>4.7299999999999998E-3</v>
      </c>
      <c r="Q71" s="108">
        <v>1086</v>
      </c>
      <c r="R71" s="109">
        <v>6.4460000000000003E-2</v>
      </c>
      <c r="S71" s="109">
        <v>0.21271000000000001</v>
      </c>
      <c r="T71" s="109">
        <v>0.66022000000000003</v>
      </c>
      <c r="U71" s="109">
        <v>5.1569999999999998E-2</v>
      </c>
      <c r="V71" s="109">
        <v>1.1050000000000001E-2</v>
      </c>
      <c r="W71" s="109">
        <v>0.2651</v>
      </c>
      <c r="X71" s="109">
        <v>0.85763999999999996</v>
      </c>
      <c r="Y71" s="109">
        <v>0.14235999999999999</v>
      </c>
      <c r="Z71" s="109">
        <v>0.63870000000000005</v>
      </c>
      <c r="AA71" s="109">
        <v>0.36130000000000001</v>
      </c>
      <c r="AB71" s="110" t="s">
        <v>515</v>
      </c>
      <c r="AC71" s="56">
        <v>7.7160000000000006E-2</v>
      </c>
      <c r="AD71" s="56">
        <v>0.91</v>
      </c>
      <c r="AE71" s="56">
        <v>0.39800000000000002</v>
      </c>
      <c r="AF71" s="56">
        <v>0.45100000000000001</v>
      </c>
      <c r="AG71" s="112">
        <v>0.10300000000000001</v>
      </c>
      <c r="AH71" s="112">
        <v>7.2000000000000008E-2</v>
      </c>
      <c r="AI71" s="112">
        <v>0.17800000000000002</v>
      </c>
      <c r="AJ71" s="112">
        <v>8.6999999999999994E-2</v>
      </c>
      <c r="AK71" s="112">
        <v>0.28699999999999998</v>
      </c>
      <c r="AL71" s="112">
        <v>0.158</v>
      </c>
      <c r="AM71" s="109">
        <v>0.89515999999999996</v>
      </c>
      <c r="AN71" s="109">
        <v>0.4254</v>
      </c>
      <c r="AO71" s="109">
        <v>0.18951999999999999</v>
      </c>
      <c r="AP71" s="109">
        <v>0.28023999999999999</v>
      </c>
      <c r="AQ71" s="109">
        <v>0.8952</v>
      </c>
      <c r="AR71" s="109">
        <v>0.79039000000000004</v>
      </c>
      <c r="AS71" s="109">
        <v>6.769E-2</v>
      </c>
      <c r="AT71" s="109">
        <v>3.712E-2</v>
      </c>
      <c r="AU71" s="113">
        <v>4.4000000000000004</v>
      </c>
      <c r="AV71" s="104">
        <v>89</v>
      </c>
      <c r="AW71" s="114">
        <v>652</v>
      </c>
      <c r="AX71" s="109">
        <v>0.2316</v>
      </c>
      <c r="AY71" s="109">
        <v>6.5949999999999995E-2</v>
      </c>
      <c r="AZ71" s="108">
        <v>320</v>
      </c>
      <c r="BA71" s="109">
        <v>0.33438000000000001</v>
      </c>
      <c r="BB71" s="109">
        <v>0.20313000000000001</v>
      </c>
      <c r="BC71" s="108">
        <v>333</v>
      </c>
      <c r="BD71" s="109">
        <v>0.29429</v>
      </c>
      <c r="BE71" s="109">
        <v>0.20119999999999999</v>
      </c>
      <c r="BF71" s="108">
        <v>306</v>
      </c>
      <c r="BG71" s="108">
        <v>1420</v>
      </c>
      <c r="BH71" s="109">
        <v>0.21548999999999999</v>
      </c>
      <c r="BI71" s="108">
        <v>385</v>
      </c>
      <c r="BJ71" s="108">
        <v>126</v>
      </c>
      <c r="BK71" s="109">
        <v>0.32727000000000001</v>
      </c>
      <c r="BL71" s="108">
        <v>26</v>
      </c>
      <c r="BM71" s="109">
        <v>5.6869999999999997E-2</v>
      </c>
      <c r="BN71" s="109">
        <v>0.13174</v>
      </c>
    </row>
    <row r="72" spans="1:66" x14ac:dyDescent="0.2">
      <c r="A72" s="103">
        <v>8900</v>
      </c>
      <c r="B72" s="104" t="s">
        <v>522</v>
      </c>
      <c r="C72" s="104" t="s">
        <v>519</v>
      </c>
      <c r="D72" s="104" t="s">
        <v>518</v>
      </c>
      <c r="E72" s="104">
        <v>1967</v>
      </c>
      <c r="F72" s="104" t="s">
        <v>517</v>
      </c>
      <c r="G72" s="104" t="s">
        <v>516</v>
      </c>
      <c r="H72" s="106"/>
      <c r="I72" s="104" t="s">
        <v>472</v>
      </c>
      <c r="J72" s="107">
        <v>1650</v>
      </c>
      <c r="K72" s="108">
        <v>11587</v>
      </c>
      <c r="L72" s="109">
        <v>0.26262000000000002</v>
      </c>
      <c r="M72" s="109">
        <v>0.27678000000000003</v>
      </c>
      <c r="N72" s="109">
        <v>0.39234000000000002</v>
      </c>
      <c r="O72" s="109">
        <v>6.3259999999999997E-2</v>
      </c>
      <c r="P72" s="109">
        <v>5.0099999999999997E-3</v>
      </c>
      <c r="Q72" s="108">
        <v>1194</v>
      </c>
      <c r="R72" s="109">
        <v>0.17337</v>
      </c>
      <c r="S72" s="109">
        <v>0.28643000000000002</v>
      </c>
      <c r="T72" s="109">
        <v>0.45141999999999999</v>
      </c>
      <c r="U72" s="109">
        <v>7.5380000000000003E-2</v>
      </c>
      <c r="V72" s="109">
        <v>1.34E-2</v>
      </c>
      <c r="W72" s="109">
        <v>9.0539999999999995E-2</v>
      </c>
      <c r="X72" s="109">
        <v>0.87787999999999999</v>
      </c>
      <c r="Y72" s="109">
        <v>0.12212000000000001</v>
      </c>
      <c r="Z72" s="109">
        <v>0.61077000000000004</v>
      </c>
      <c r="AA72" s="109">
        <v>0.38923000000000002</v>
      </c>
      <c r="AB72" s="110" t="s">
        <v>515</v>
      </c>
      <c r="AC72" s="56">
        <v>5.5669999999999997E-2</v>
      </c>
      <c r="AD72" s="56">
        <v>0.91800000000000004</v>
      </c>
      <c r="AE72" s="56">
        <v>0.34100000000000003</v>
      </c>
      <c r="AF72" s="56">
        <v>0.39700000000000002</v>
      </c>
      <c r="AG72" s="112">
        <v>0.113</v>
      </c>
      <c r="AH72" s="112">
        <v>0.06</v>
      </c>
      <c r="AI72" s="112">
        <v>0.19399999999999998</v>
      </c>
      <c r="AJ72" s="112">
        <v>0.10199999999999999</v>
      </c>
      <c r="AK72" s="112">
        <v>0.26</v>
      </c>
      <c r="AL72" s="112">
        <v>0.154</v>
      </c>
      <c r="AM72" s="109">
        <v>0.92066999999999999</v>
      </c>
      <c r="AN72" s="109">
        <v>0.39456999999999998</v>
      </c>
      <c r="AO72" s="109">
        <v>0.23591000000000001</v>
      </c>
      <c r="AP72" s="109">
        <v>0.29019</v>
      </c>
      <c r="AQ72" s="109">
        <v>0.83784000000000003</v>
      </c>
      <c r="AR72" s="109">
        <v>0.65878000000000003</v>
      </c>
      <c r="AS72" s="109">
        <v>0.13514000000000001</v>
      </c>
      <c r="AT72" s="109">
        <v>4.3920000000000001E-2</v>
      </c>
      <c r="AU72" s="113">
        <v>4.5999999999999996</v>
      </c>
      <c r="AV72" s="104">
        <v>91</v>
      </c>
      <c r="AW72" s="114">
        <v>682</v>
      </c>
      <c r="AX72" s="109">
        <v>0.22581000000000001</v>
      </c>
      <c r="AY72" s="109">
        <v>8.0649999999999999E-2</v>
      </c>
      <c r="AZ72" s="108">
        <v>382</v>
      </c>
      <c r="BA72" s="109">
        <v>0.38743</v>
      </c>
      <c r="BB72" s="109">
        <v>0.23036999999999999</v>
      </c>
      <c r="BC72" s="108">
        <v>301</v>
      </c>
      <c r="BD72" s="109">
        <v>0.25580999999999998</v>
      </c>
      <c r="BE72" s="109">
        <v>0.1794</v>
      </c>
      <c r="BF72" s="108">
        <v>339</v>
      </c>
      <c r="BG72" s="108">
        <v>1643</v>
      </c>
      <c r="BH72" s="109">
        <v>0.20633000000000001</v>
      </c>
      <c r="BI72" s="108">
        <v>351</v>
      </c>
      <c r="BJ72" s="108">
        <v>129</v>
      </c>
      <c r="BK72" s="109">
        <v>0.36752000000000001</v>
      </c>
      <c r="BL72" s="108">
        <v>25</v>
      </c>
      <c r="BM72" s="109">
        <v>9.9099999999999994E-2</v>
      </c>
      <c r="BN72" s="109">
        <v>0.13550999999999999</v>
      </c>
    </row>
    <row r="73" spans="1:66" x14ac:dyDescent="0.2">
      <c r="A73" s="103">
        <v>326</v>
      </c>
      <c r="B73" s="104" t="s">
        <v>521</v>
      </c>
      <c r="C73" s="104" t="s">
        <v>320</v>
      </c>
      <c r="D73" s="104" t="s">
        <v>518</v>
      </c>
      <c r="E73" s="104">
        <v>1996</v>
      </c>
      <c r="F73" s="104" t="s">
        <v>517</v>
      </c>
      <c r="G73" s="104" t="s">
        <v>516</v>
      </c>
      <c r="H73" s="106"/>
      <c r="I73" s="104" t="s">
        <v>472</v>
      </c>
      <c r="J73" s="107">
        <v>1650</v>
      </c>
      <c r="K73" s="108">
        <v>14129</v>
      </c>
      <c r="L73" s="109">
        <v>0.25747999999999999</v>
      </c>
      <c r="M73" s="109">
        <v>0.24581</v>
      </c>
      <c r="N73" s="109">
        <v>0.37985999999999998</v>
      </c>
      <c r="O73" s="109">
        <v>0.10707999999999999</v>
      </c>
      <c r="P73" s="109">
        <v>9.7699999999999992E-3</v>
      </c>
      <c r="Q73" s="108">
        <v>1166</v>
      </c>
      <c r="R73" s="109">
        <v>0.24357000000000001</v>
      </c>
      <c r="S73" s="109">
        <v>0.21526999999999999</v>
      </c>
      <c r="T73" s="109">
        <v>0.39794000000000002</v>
      </c>
      <c r="U73" s="109">
        <v>0.10034</v>
      </c>
      <c r="V73" s="109">
        <v>4.2880000000000001E-2</v>
      </c>
      <c r="W73" s="109">
        <v>0.22647999999999999</v>
      </c>
      <c r="X73" s="109">
        <v>0.82935999999999999</v>
      </c>
      <c r="Y73" s="109">
        <v>0.17063999999999999</v>
      </c>
      <c r="Z73" s="109">
        <v>0.68411999999999995</v>
      </c>
      <c r="AA73" s="109">
        <v>0.31587999999999999</v>
      </c>
      <c r="AB73" s="110" t="s">
        <v>515</v>
      </c>
      <c r="AC73" s="56">
        <v>0.11670999999999999</v>
      </c>
      <c r="AD73" s="56">
        <v>0.91300000000000003</v>
      </c>
      <c r="AE73" s="56">
        <v>0.33100000000000002</v>
      </c>
      <c r="AF73" s="56">
        <v>0.40899999999999997</v>
      </c>
      <c r="AG73" s="112">
        <v>0.10099999999999999</v>
      </c>
      <c r="AH73" s="112">
        <v>6.0999999999999999E-2</v>
      </c>
      <c r="AI73" s="112">
        <v>0.17899999999999999</v>
      </c>
      <c r="AJ73" s="112">
        <v>8.8000000000000009E-2</v>
      </c>
      <c r="AK73" s="112">
        <v>0.33299999999999996</v>
      </c>
      <c r="AL73" s="112">
        <v>0.17699999999999999</v>
      </c>
      <c r="AM73" s="109">
        <v>0.89676</v>
      </c>
      <c r="AN73" s="109">
        <v>0.40560000000000002</v>
      </c>
      <c r="AO73" s="109">
        <v>0.21239</v>
      </c>
      <c r="AP73" s="109">
        <v>0.27876000000000001</v>
      </c>
      <c r="AQ73" s="109">
        <v>0.91818</v>
      </c>
      <c r="AR73" s="109">
        <v>0.68181999999999998</v>
      </c>
      <c r="AS73" s="109">
        <v>0.18182000000000001</v>
      </c>
      <c r="AT73" s="109">
        <v>5.4550000000000001E-2</v>
      </c>
      <c r="AU73" s="113">
        <v>4.4000000000000004</v>
      </c>
      <c r="AV73" s="104">
        <v>93</v>
      </c>
      <c r="AW73" s="114">
        <v>848</v>
      </c>
      <c r="AX73" s="109">
        <v>0.26768999999999998</v>
      </c>
      <c r="AY73" s="109">
        <v>9.4339999999999993E-2</v>
      </c>
      <c r="AZ73" s="108">
        <v>612</v>
      </c>
      <c r="BA73" s="109">
        <v>0.46078000000000002</v>
      </c>
      <c r="BB73" s="109">
        <v>0.34314</v>
      </c>
      <c r="BC73" s="108">
        <v>386</v>
      </c>
      <c r="BD73" s="109">
        <v>0.33938000000000001</v>
      </c>
      <c r="BE73" s="109">
        <v>0.23057</v>
      </c>
      <c r="BF73" s="108">
        <v>547</v>
      </c>
      <c r="BG73" s="108">
        <v>1790</v>
      </c>
      <c r="BH73" s="109">
        <v>0.30558999999999997</v>
      </c>
      <c r="BI73" s="108">
        <v>398</v>
      </c>
      <c r="BJ73" s="108">
        <v>138</v>
      </c>
      <c r="BK73" s="109">
        <v>0.34672999999999998</v>
      </c>
      <c r="BL73" s="108">
        <v>30</v>
      </c>
      <c r="BM73" s="109">
        <v>6.5100000000000005E-2</v>
      </c>
      <c r="BN73" s="109">
        <v>0.13547000000000001</v>
      </c>
    </row>
    <row r="74" spans="1:66" x14ac:dyDescent="0.2">
      <c r="A74" s="103">
        <v>8901</v>
      </c>
      <c r="B74" s="104" t="s">
        <v>520</v>
      </c>
      <c r="C74" s="104" t="s">
        <v>519</v>
      </c>
      <c r="D74" s="104" t="s">
        <v>518</v>
      </c>
      <c r="E74" s="104">
        <v>2009</v>
      </c>
      <c r="F74" s="104" t="s">
        <v>517</v>
      </c>
      <c r="G74" s="104" t="s">
        <v>516</v>
      </c>
      <c r="H74" s="106"/>
      <c r="I74" s="104" t="s">
        <v>472</v>
      </c>
      <c r="J74" s="107">
        <v>1650</v>
      </c>
      <c r="K74" s="108">
        <v>7819</v>
      </c>
      <c r="L74" s="109">
        <v>0.17188999999999999</v>
      </c>
      <c r="M74" s="109">
        <v>0.35580000000000001</v>
      </c>
      <c r="N74" s="109">
        <v>0.40106999999999998</v>
      </c>
      <c r="O74" s="109">
        <v>6.3439999999999996E-2</v>
      </c>
      <c r="P74" s="109">
        <v>7.7999999999999996E-3</v>
      </c>
      <c r="Q74" s="108">
        <v>745</v>
      </c>
      <c r="R74" s="109">
        <v>0.11409</v>
      </c>
      <c r="S74" s="109">
        <v>0.22953000000000001</v>
      </c>
      <c r="T74" s="109">
        <v>0.55569999999999997</v>
      </c>
      <c r="U74" s="109">
        <v>7.6509999999999995E-2</v>
      </c>
      <c r="V74" s="109">
        <v>2.4160000000000001E-2</v>
      </c>
      <c r="W74" s="109">
        <v>0</v>
      </c>
      <c r="X74" s="109">
        <v>0.89461999999999997</v>
      </c>
      <c r="Y74" s="109">
        <v>0.10538</v>
      </c>
      <c r="Z74" s="109">
        <v>0.57948999999999995</v>
      </c>
      <c r="AA74" s="109">
        <v>0.42050999999999999</v>
      </c>
      <c r="AB74" s="110" t="s">
        <v>515</v>
      </c>
      <c r="AC74" s="56">
        <v>5.7419999999999999E-2</v>
      </c>
      <c r="AD74" s="68" t="s">
        <v>173</v>
      </c>
      <c r="AE74" s="68" t="s">
        <v>173</v>
      </c>
      <c r="AF74" s="68" t="s">
        <v>173</v>
      </c>
      <c r="AG74" s="112">
        <v>0.11900000000000001</v>
      </c>
      <c r="AH74" s="112">
        <v>6.2E-2</v>
      </c>
      <c r="AI74" s="112">
        <v>0.247</v>
      </c>
      <c r="AJ74" s="112">
        <v>8.8000000000000009E-2</v>
      </c>
      <c r="AK74" s="118" t="s">
        <v>173</v>
      </c>
      <c r="AL74" s="118" t="s">
        <v>173</v>
      </c>
      <c r="AM74" s="109">
        <v>0.92264999999999997</v>
      </c>
      <c r="AN74" s="109">
        <v>0.43093999999999999</v>
      </c>
      <c r="AO74" s="109">
        <v>0.16575000000000001</v>
      </c>
      <c r="AP74" s="109">
        <v>0.32596999999999998</v>
      </c>
      <c r="AQ74" s="109">
        <v>0.96501000000000003</v>
      </c>
      <c r="AR74" s="109">
        <v>0.8105</v>
      </c>
      <c r="AS74" s="109">
        <v>6.1219999999999997E-2</v>
      </c>
      <c r="AT74" s="109">
        <v>9.3289999999999998E-2</v>
      </c>
      <c r="AU74" s="113">
        <v>5.0999999999999996</v>
      </c>
      <c r="AV74" s="104">
        <v>99</v>
      </c>
      <c r="AW74" s="114">
        <v>307</v>
      </c>
      <c r="AX74" s="109">
        <v>0.21823999999999999</v>
      </c>
      <c r="AY74" s="109">
        <v>4.5600000000000002E-2</v>
      </c>
      <c r="AZ74" s="108">
        <v>189</v>
      </c>
      <c r="BA74" s="109">
        <v>0.33333000000000002</v>
      </c>
      <c r="BB74" s="109">
        <v>0.23810000000000001</v>
      </c>
      <c r="BC74" s="108">
        <v>124</v>
      </c>
      <c r="BD74" s="109">
        <v>0.28226000000000001</v>
      </c>
      <c r="BE74" s="109">
        <v>0.17741999999999999</v>
      </c>
      <c r="BF74" s="108">
        <v>0</v>
      </c>
      <c r="BG74" s="108">
        <v>0</v>
      </c>
      <c r="BH74" s="109">
        <v>0</v>
      </c>
      <c r="BI74" s="108">
        <v>297</v>
      </c>
      <c r="BJ74" s="108">
        <v>96</v>
      </c>
      <c r="BK74" s="109">
        <v>0.32323000000000002</v>
      </c>
      <c r="BL74" s="108">
        <v>20</v>
      </c>
      <c r="BM74" s="109">
        <v>4.7620000000000003E-2</v>
      </c>
      <c r="BN74" s="109">
        <v>0.21622</v>
      </c>
    </row>
    <row r="75" spans="1:66" x14ac:dyDescent="0.2">
      <c r="A75" s="103">
        <v>3627</v>
      </c>
      <c r="B75" s="104" t="s">
        <v>514</v>
      </c>
      <c r="C75" s="104" t="s">
        <v>513</v>
      </c>
      <c r="D75" s="104"/>
      <c r="E75" s="104">
        <v>1926</v>
      </c>
      <c r="F75" s="104" t="s">
        <v>512</v>
      </c>
      <c r="G75" s="104" t="s">
        <v>473</v>
      </c>
      <c r="H75" s="106"/>
      <c r="I75" s="104" t="s">
        <v>472</v>
      </c>
      <c r="J75" s="107">
        <v>2640</v>
      </c>
      <c r="K75" s="108">
        <v>5506</v>
      </c>
      <c r="L75" s="109">
        <v>0.19996</v>
      </c>
      <c r="M75" s="109">
        <v>0.21304000000000001</v>
      </c>
      <c r="N75" s="109">
        <v>0.52578999999999998</v>
      </c>
      <c r="O75" s="109">
        <v>6.0479999999999999E-2</v>
      </c>
      <c r="P75" s="109">
        <v>7.2999999999999996E-4</v>
      </c>
      <c r="Q75" s="108">
        <v>735</v>
      </c>
      <c r="R75" s="109">
        <v>0.13877999999999999</v>
      </c>
      <c r="S75" s="109">
        <v>0.18503</v>
      </c>
      <c r="T75" s="109">
        <v>0.63536999999999999</v>
      </c>
      <c r="U75" s="109">
        <v>4.0820000000000002E-2</v>
      </c>
      <c r="V75" s="109">
        <v>0</v>
      </c>
      <c r="W75" s="109">
        <v>6.3339999999999994E-2</v>
      </c>
      <c r="X75" s="109">
        <v>0.66927000000000003</v>
      </c>
      <c r="Y75" s="109">
        <v>0.33073000000000002</v>
      </c>
      <c r="Z75" s="109">
        <v>0.81620000000000004</v>
      </c>
      <c r="AA75" s="109">
        <v>0.18379999999999999</v>
      </c>
      <c r="AB75" s="110">
        <v>0.52</v>
      </c>
      <c r="AC75" s="56">
        <v>0.16800000000000001</v>
      </c>
      <c r="AD75" s="56">
        <v>0.86899999999999999</v>
      </c>
      <c r="AE75" s="56">
        <v>0.28899999999999998</v>
      </c>
      <c r="AF75" s="56">
        <v>0.36899999999999999</v>
      </c>
      <c r="AG75" s="112">
        <v>9.6999999999999989E-2</v>
      </c>
      <c r="AH75" s="112">
        <v>0.06</v>
      </c>
      <c r="AI75" s="112">
        <v>0.154</v>
      </c>
      <c r="AJ75" s="112">
        <v>0.105</v>
      </c>
      <c r="AK75" s="112">
        <v>0.32799999999999996</v>
      </c>
      <c r="AL75" s="112">
        <v>0.18899999999999997</v>
      </c>
      <c r="AM75" s="109">
        <v>0.86556999999999995</v>
      </c>
      <c r="AN75" s="109">
        <v>0.46229999999999999</v>
      </c>
      <c r="AO75" s="109">
        <v>0.24262</v>
      </c>
      <c r="AP75" s="109">
        <v>0.16066</v>
      </c>
      <c r="AQ75" s="109">
        <v>0.91739999999999999</v>
      </c>
      <c r="AR75" s="109">
        <v>0.81120999999999999</v>
      </c>
      <c r="AS75" s="109">
        <v>8.2600000000000007E-2</v>
      </c>
      <c r="AT75" s="109">
        <v>2.3599999999999999E-2</v>
      </c>
      <c r="AU75" s="113">
        <v>4.5</v>
      </c>
      <c r="AV75" s="104">
        <v>87</v>
      </c>
      <c r="AW75" s="114">
        <v>337</v>
      </c>
      <c r="AX75" s="109">
        <v>0.40949999999999998</v>
      </c>
      <c r="AY75" s="109">
        <v>7.7149999999999996E-2</v>
      </c>
      <c r="AZ75" s="108">
        <v>145</v>
      </c>
      <c r="BA75" s="109">
        <v>0.53103</v>
      </c>
      <c r="BB75" s="109">
        <v>0.26896999999999999</v>
      </c>
      <c r="BC75" s="108">
        <v>185</v>
      </c>
      <c r="BD75" s="109">
        <v>0.40540999999999999</v>
      </c>
      <c r="BE75" s="109">
        <v>0.18378</v>
      </c>
      <c r="BF75" s="108">
        <v>218</v>
      </c>
      <c r="BG75" s="108">
        <v>852</v>
      </c>
      <c r="BH75" s="109">
        <v>0.25586999999999999</v>
      </c>
      <c r="BI75" s="108">
        <v>256</v>
      </c>
      <c r="BJ75" s="108">
        <v>111</v>
      </c>
      <c r="BK75" s="109">
        <v>0.43358999999999998</v>
      </c>
      <c r="BL75" s="108">
        <v>21</v>
      </c>
      <c r="BM75" s="109">
        <v>5.2130000000000003E-2</v>
      </c>
      <c r="BN75" s="109">
        <v>0.11983000000000001</v>
      </c>
    </row>
    <row r="76" spans="1:66" x14ac:dyDescent="0.2">
      <c r="A76" s="103">
        <v>3628</v>
      </c>
      <c r="B76" s="104" t="s">
        <v>511</v>
      </c>
      <c r="C76" s="104" t="s">
        <v>268</v>
      </c>
      <c r="D76" s="104"/>
      <c r="E76" s="104">
        <v>1927</v>
      </c>
      <c r="F76" s="104" t="s">
        <v>510</v>
      </c>
      <c r="G76" s="104" t="s">
        <v>473</v>
      </c>
      <c r="H76" s="106"/>
      <c r="I76" s="104" t="s">
        <v>472</v>
      </c>
      <c r="J76" s="107">
        <v>2330</v>
      </c>
      <c r="K76" s="108">
        <v>3931</v>
      </c>
      <c r="L76" s="109">
        <v>0.25871</v>
      </c>
      <c r="M76" s="109">
        <v>6.182E-2</v>
      </c>
      <c r="N76" s="109">
        <v>0.63775000000000004</v>
      </c>
      <c r="O76" s="109">
        <v>4.0189999999999997E-2</v>
      </c>
      <c r="P76" s="109">
        <v>1.5299999999999999E-3</v>
      </c>
      <c r="Q76" s="108">
        <v>626</v>
      </c>
      <c r="R76" s="109">
        <v>0.26996999999999999</v>
      </c>
      <c r="S76" s="109">
        <v>0.10224</v>
      </c>
      <c r="T76" s="109">
        <v>0.59265000000000001</v>
      </c>
      <c r="U76" s="109">
        <v>3.5139999999999998E-2</v>
      </c>
      <c r="V76" s="109">
        <v>0</v>
      </c>
      <c r="W76" s="109">
        <v>-2.7699999999999999E-2</v>
      </c>
      <c r="X76" s="109">
        <v>0.60697000000000001</v>
      </c>
      <c r="Y76" s="109">
        <v>0.39302999999999999</v>
      </c>
      <c r="Z76" s="109">
        <v>0.74051999999999996</v>
      </c>
      <c r="AA76" s="109">
        <v>0.25947999999999999</v>
      </c>
      <c r="AB76" s="110">
        <v>0.40899999999999997</v>
      </c>
      <c r="AC76" s="56">
        <v>0.29153000000000001</v>
      </c>
      <c r="AD76" s="56">
        <v>0.82499999999999996</v>
      </c>
      <c r="AE76" s="56">
        <v>0.253</v>
      </c>
      <c r="AF76" s="56">
        <v>0.38500000000000001</v>
      </c>
      <c r="AG76" s="112">
        <v>0.10800000000000001</v>
      </c>
      <c r="AH76" s="112">
        <v>6.4000000000000001E-2</v>
      </c>
      <c r="AI76" s="112">
        <v>0.13100000000000001</v>
      </c>
      <c r="AJ76" s="112">
        <v>0.14699999999999999</v>
      </c>
      <c r="AK76" s="112">
        <v>0.28600000000000003</v>
      </c>
      <c r="AL76" s="112">
        <v>0.27</v>
      </c>
      <c r="AM76" s="109">
        <v>0.82499999999999996</v>
      </c>
      <c r="AN76" s="109">
        <v>0.32500000000000001</v>
      </c>
      <c r="AO76" s="109">
        <v>0.28125</v>
      </c>
      <c r="AP76" s="109">
        <v>0.21875</v>
      </c>
      <c r="AQ76" s="109">
        <v>0.73375000000000001</v>
      </c>
      <c r="AR76" s="109">
        <v>0.65634999999999999</v>
      </c>
      <c r="AS76" s="109">
        <v>4.6440000000000002E-2</v>
      </c>
      <c r="AT76" s="109">
        <v>3.0960000000000001E-2</v>
      </c>
      <c r="AU76" s="113">
        <v>4.4000000000000004</v>
      </c>
      <c r="AV76" s="104">
        <v>84</v>
      </c>
      <c r="AW76" s="114">
        <v>397</v>
      </c>
      <c r="AX76" s="109">
        <v>0.27456000000000003</v>
      </c>
      <c r="AY76" s="109">
        <v>0.10831</v>
      </c>
      <c r="AZ76" s="108">
        <v>360</v>
      </c>
      <c r="BA76" s="109">
        <v>0.49167</v>
      </c>
      <c r="BB76" s="109">
        <v>0.35555999999999999</v>
      </c>
      <c r="BC76" s="108">
        <v>349</v>
      </c>
      <c r="BD76" s="109">
        <v>0.46990999999999999</v>
      </c>
      <c r="BE76" s="109">
        <v>0.28079999999999999</v>
      </c>
      <c r="BF76" s="108">
        <v>170</v>
      </c>
      <c r="BG76" s="108">
        <v>759</v>
      </c>
      <c r="BH76" s="109">
        <v>0.22398000000000001</v>
      </c>
      <c r="BI76" s="108">
        <v>215</v>
      </c>
      <c r="BJ76" s="108">
        <v>85</v>
      </c>
      <c r="BK76" s="109">
        <v>0.39534999999999998</v>
      </c>
      <c r="BL76" s="108">
        <v>18</v>
      </c>
      <c r="BM76" s="109">
        <v>6.6669999999999993E-2</v>
      </c>
      <c r="BN76" s="109">
        <v>0.19417000000000001</v>
      </c>
    </row>
    <row r="77" spans="1:66" x14ac:dyDescent="0.2">
      <c r="A77" s="103">
        <v>3643</v>
      </c>
      <c r="B77" s="104" t="s">
        <v>509</v>
      </c>
      <c r="C77" s="104" t="s">
        <v>344</v>
      </c>
      <c r="D77" s="104"/>
      <c r="E77" s="104">
        <v>1926</v>
      </c>
      <c r="F77" s="50" t="s">
        <v>508</v>
      </c>
      <c r="G77" s="104" t="s">
        <v>473</v>
      </c>
      <c r="H77" s="106" t="s">
        <v>84</v>
      </c>
      <c r="I77" s="104" t="s">
        <v>472</v>
      </c>
      <c r="J77" s="107">
        <v>6153</v>
      </c>
      <c r="K77" s="108">
        <v>3673</v>
      </c>
      <c r="L77" s="109">
        <v>1.91E-3</v>
      </c>
      <c r="M77" s="109">
        <v>0.93737999999999999</v>
      </c>
      <c r="N77" s="109">
        <v>3.9480000000000001E-2</v>
      </c>
      <c r="O77" s="109">
        <v>9.2599999999999991E-3</v>
      </c>
      <c r="P77" s="109">
        <v>1.1979999999999999E-2</v>
      </c>
      <c r="Q77" s="108">
        <v>995</v>
      </c>
      <c r="R77" s="109">
        <v>2.0100000000000001E-3</v>
      </c>
      <c r="S77" s="109">
        <v>0.94572999999999996</v>
      </c>
      <c r="T77" s="109">
        <v>3.116E-2</v>
      </c>
      <c r="U77" s="109">
        <v>5.0299999999999997E-3</v>
      </c>
      <c r="V77" s="109">
        <v>1.6080000000000001E-2</v>
      </c>
      <c r="W77" s="109">
        <v>-0.72772000000000003</v>
      </c>
      <c r="X77" s="109">
        <v>0.65559000000000001</v>
      </c>
      <c r="Y77" s="109">
        <v>0.34440999999999999</v>
      </c>
      <c r="Z77" s="109">
        <v>0.58481000000000005</v>
      </c>
      <c r="AA77" s="109">
        <v>0.41519</v>
      </c>
      <c r="AB77" s="110">
        <v>0.55500000000000005</v>
      </c>
      <c r="AC77" s="56">
        <v>0.17832999999999999</v>
      </c>
      <c r="AD77" s="56">
        <v>0.751</v>
      </c>
      <c r="AE77" s="56">
        <v>0.17599999999999999</v>
      </c>
      <c r="AF77" s="56">
        <v>0.26600000000000001</v>
      </c>
      <c r="AG77" s="112">
        <v>0.09</v>
      </c>
      <c r="AH77" s="112">
        <v>0.03</v>
      </c>
      <c r="AI77" s="112">
        <v>0.191</v>
      </c>
      <c r="AJ77" s="112">
        <v>5.0999999999999997E-2</v>
      </c>
      <c r="AK77" s="112">
        <v>0.29199999999999998</v>
      </c>
      <c r="AL77" s="112">
        <v>0.14699999999999999</v>
      </c>
      <c r="AM77" s="109">
        <v>0.96397999999999995</v>
      </c>
      <c r="AN77" s="109">
        <v>0.1681</v>
      </c>
      <c r="AO77" s="109">
        <v>0.35677999999999999</v>
      </c>
      <c r="AP77" s="109">
        <v>0.43911</v>
      </c>
      <c r="AQ77" s="109">
        <v>0.91840999999999995</v>
      </c>
      <c r="AR77" s="109">
        <v>0.55439000000000005</v>
      </c>
      <c r="AS77" s="109">
        <v>0.17363999999999999</v>
      </c>
      <c r="AT77" s="109">
        <v>0.19037999999999999</v>
      </c>
      <c r="AU77" s="113">
        <v>4.5</v>
      </c>
      <c r="AV77" s="104">
        <v>103</v>
      </c>
      <c r="AW77" s="114">
        <v>844</v>
      </c>
      <c r="AX77" s="109">
        <v>0.40877000000000002</v>
      </c>
      <c r="AY77" s="109">
        <v>0.19905</v>
      </c>
      <c r="AZ77" s="108">
        <v>587</v>
      </c>
      <c r="BA77" s="109">
        <v>0.45996999999999999</v>
      </c>
      <c r="BB77" s="109">
        <v>0.36626999999999998</v>
      </c>
      <c r="BC77" s="108">
        <v>572</v>
      </c>
      <c r="BD77" s="109">
        <v>0.45978999999999998</v>
      </c>
      <c r="BE77" s="109">
        <v>0.28147</v>
      </c>
      <c r="BF77" s="108">
        <v>476</v>
      </c>
      <c r="BG77" s="108">
        <v>1335</v>
      </c>
      <c r="BH77" s="109">
        <v>0.35654999999999998</v>
      </c>
      <c r="BI77" s="108">
        <v>501</v>
      </c>
      <c r="BJ77" s="108">
        <v>154</v>
      </c>
      <c r="BK77" s="109">
        <v>0.30739</v>
      </c>
      <c r="BL77" s="108">
        <v>11</v>
      </c>
      <c r="BM77" s="109">
        <v>5.5910000000000001E-2</v>
      </c>
      <c r="BN77" s="109">
        <v>0.12751999999999999</v>
      </c>
    </row>
    <row r="78" spans="1:66" x14ac:dyDescent="0.2">
      <c r="A78" s="103">
        <v>9225</v>
      </c>
      <c r="B78" s="104" t="s">
        <v>507</v>
      </c>
      <c r="C78" s="104" t="s">
        <v>506</v>
      </c>
      <c r="D78" s="104"/>
      <c r="E78" s="104">
        <v>1967</v>
      </c>
      <c r="F78" s="104" t="s">
        <v>505</v>
      </c>
      <c r="G78" s="104" t="s">
        <v>495</v>
      </c>
      <c r="H78" s="106" t="s">
        <v>84</v>
      </c>
      <c r="I78" s="104" t="s">
        <v>472</v>
      </c>
      <c r="J78" s="107">
        <v>4066</v>
      </c>
      <c r="K78" s="108">
        <v>5332</v>
      </c>
      <c r="L78" s="109">
        <v>6.94E-3</v>
      </c>
      <c r="M78" s="109">
        <v>0.90266000000000002</v>
      </c>
      <c r="N78" s="109">
        <v>6.6199999999999995E-2</v>
      </c>
      <c r="O78" s="109">
        <v>2.3439999999999999E-2</v>
      </c>
      <c r="P78" s="109">
        <v>7.5000000000000002E-4</v>
      </c>
      <c r="Q78" s="108">
        <v>682</v>
      </c>
      <c r="R78" s="109">
        <v>5.8700000000000002E-3</v>
      </c>
      <c r="S78" s="109">
        <v>0.87977000000000005</v>
      </c>
      <c r="T78" s="109">
        <v>8.6510000000000004E-2</v>
      </c>
      <c r="U78" s="109">
        <v>2.1989999999999999E-2</v>
      </c>
      <c r="V78" s="109">
        <v>5.8700000000000002E-3</v>
      </c>
      <c r="W78" s="109">
        <v>-2.452E-2</v>
      </c>
      <c r="X78" s="109">
        <v>0.56469999999999998</v>
      </c>
      <c r="Y78" s="109">
        <v>0.43530000000000002</v>
      </c>
      <c r="Z78" s="109">
        <v>0.43661</v>
      </c>
      <c r="AA78" s="109">
        <v>0.56338999999999995</v>
      </c>
      <c r="AB78" s="110">
        <v>0.55200000000000005</v>
      </c>
      <c r="AC78" s="56">
        <v>9.8650000000000002E-2</v>
      </c>
      <c r="AD78" s="56">
        <v>0.81899999999999995</v>
      </c>
      <c r="AE78" s="56">
        <v>0.193</v>
      </c>
      <c r="AF78" s="56">
        <v>0.26800000000000002</v>
      </c>
      <c r="AG78" s="112">
        <v>0.16200000000000001</v>
      </c>
      <c r="AH78" s="112">
        <v>6.9000000000000006E-2</v>
      </c>
      <c r="AI78" s="112">
        <v>0.23399999999999999</v>
      </c>
      <c r="AJ78" s="112">
        <v>0.129</v>
      </c>
      <c r="AK78" s="112">
        <v>0.26899999999999996</v>
      </c>
      <c r="AL78" s="112">
        <v>0.193</v>
      </c>
      <c r="AM78" s="109">
        <v>1</v>
      </c>
      <c r="AN78" s="109">
        <v>0.41463</v>
      </c>
      <c r="AO78" s="109">
        <v>0.43902000000000002</v>
      </c>
      <c r="AP78" s="109">
        <v>0.14634</v>
      </c>
      <c r="AQ78" s="109">
        <v>0.94957999999999998</v>
      </c>
      <c r="AR78" s="109">
        <v>0.69747999999999999</v>
      </c>
      <c r="AS78" s="109">
        <v>0.19832</v>
      </c>
      <c r="AT78" s="109">
        <v>5.3780000000000001E-2</v>
      </c>
      <c r="AU78" s="113">
        <v>4.7</v>
      </c>
      <c r="AV78" s="104">
        <v>101</v>
      </c>
      <c r="AW78" s="114">
        <v>380</v>
      </c>
      <c r="AX78" s="109">
        <v>0.30263000000000001</v>
      </c>
      <c r="AY78" s="109">
        <v>7.1050000000000002E-2</v>
      </c>
      <c r="AZ78" s="108">
        <v>226</v>
      </c>
      <c r="BA78" s="109">
        <v>0.23008999999999999</v>
      </c>
      <c r="BB78" s="109">
        <v>8.4070000000000006E-2</v>
      </c>
      <c r="BC78" s="108">
        <v>234</v>
      </c>
      <c r="BD78" s="109">
        <v>0.26495999999999997</v>
      </c>
      <c r="BE78" s="109">
        <v>0.11966</v>
      </c>
      <c r="BF78" s="108">
        <v>80</v>
      </c>
      <c r="BG78" s="108">
        <v>921</v>
      </c>
      <c r="BH78" s="109">
        <v>8.6860000000000007E-2</v>
      </c>
      <c r="BI78" s="108">
        <v>185</v>
      </c>
      <c r="BJ78" s="108">
        <v>122</v>
      </c>
      <c r="BK78" s="109">
        <v>0.65946000000000005</v>
      </c>
      <c r="BL78" s="108">
        <v>22</v>
      </c>
      <c r="BM78" s="109">
        <v>9.7489999999999993E-2</v>
      </c>
      <c r="BN78" s="109">
        <v>0.19289000000000001</v>
      </c>
    </row>
    <row r="79" spans="1:66" x14ac:dyDescent="0.2">
      <c r="A79" s="103">
        <v>33965</v>
      </c>
      <c r="B79" s="104" t="s">
        <v>504</v>
      </c>
      <c r="C79" s="104" t="s">
        <v>503</v>
      </c>
      <c r="D79" s="104"/>
      <c r="E79" s="104">
        <v>1999</v>
      </c>
      <c r="F79" s="104" t="s">
        <v>502</v>
      </c>
      <c r="G79" s="104" t="s">
        <v>495</v>
      </c>
      <c r="H79" s="106"/>
      <c r="I79" s="104" t="s">
        <v>472</v>
      </c>
      <c r="J79" s="107">
        <v>4200</v>
      </c>
      <c r="K79" s="108">
        <v>755</v>
      </c>
      <c r="L79" s="109">
        <v>0.25828000000000001</v>
      </c>
      <c r="M79" s="109">
        <v>0.12715000000000001</v>
      </c>
      <c r="N79" s="109">
        <v>0.58411000000000002</v>
      </c>
      <c r="O79" s="109">
        <v>2.649E-2</v>
      </c>
      <c r="P79" s="109">
        <v>3.9699999999999996E-3</v>
      </c>
      <c r="Q79" s="108">
        <v>169</v>
      </c>
      <c r="R79" s="109">
        <v>0.19527</v>
      </c>
      <c r="S79" s="109">
        <v>7.1010000000000004E-2</v>
      </c>
      <c r="T79" s="109">
        <v>0.67456000000000005</v>
      </c>
      <c r="U79" s="109">
        <v>4.734E-2</v>
      </c>
      <c r="V79" s="109">
        <v>1.183E-2</v>
      </c>
      <c r="W79" s="109">
        <v>-0.19936000000000001</v>
      </c>
      <c r="X79" s="109">
        <v>0.48079</v>
      </c>
      <c r="Y79" s="109">
        <v>0.51920999999999995</v>
      </c>
      <c r="Z79" s="109">
        <v>0.25297999999999998</v>
      </c>
      <c r="AA79" s="109">
        <v>0.74702000000000002</v>
      </c>
      <c r="AB79" s="110">
        <v>0.49099999999999999</v>
      </c>
      <c r="AC79" s="56">
        <v>0.26224999999999998</v>
      </c>
      <c r="AD79" s="56">
        <v>0.82599999999999996</v>
      </c>
      <c r="AE79" s="56">
        <v>0.19</v>
      </c>
      <c r="AF79" s="56">
        <v>0.35499999999999998</v>
      </c>
      <c r="AG79" s="112">
        <v>0.35799999999999998</v>
      </c>
      <c r="AH79" s="112">
        <v>0.156</v>
      </c>
      <c r="AI79" s="112">
        <v>0.47399999999999998</v>
      </c>
      <c r="AJ79" s="112">
        <v>0.255</v>
      </c>
      <c r="AK79" s="112">
        <v>0.49099999999999999</v>
      </c>
      <c r="AL79" s="112">
        <v>0.27</v>
      </c>
      <c r="AM79" s="109">
        <v>0</v>
      </c>
      <c r="AN79" s="109">
        <v>0</v>
      </c>
      <c r="AO79" s="109">
        <v>0</v>
      </c>
      <c r="AP79" s="109">
        <v>0</v>
      </c>
      <c r="AQ79" s="109">
        <v>0.87026999999999999</v>
      </c>
      <c r="AR79" s="109">
        <v>0.8</v>
      </c>
      <c r="AS79" s="109">
        <v>6.4860000000000001E-2</v>
      </c>
      <c r="AT79" s="109">
        <v>5.4099999999999999E-3</v>
      </c>
      <c r="AU79" s="113">
        <v>3.8</v>
      </c>
      <c r="AV79" s="104">
        <v>93</v>
      </c>
      <c r="AW79" s="114">
        <v>71</v>
      </c>
      <c r="AX79" s="109">
        <v>0.47887000000000002</v>
      </c>
      <c r="AY79" s="109">
        <v>0.38028000000000001</v>
      </c>
      <c r="AZ79" s="108">
        <v>38</v>
      </c>
      <c r="BA79" s="109">
        <v>0.44736999999999999</v>
      </c>
      <c r="BB79" s="109">
        <v>0.26316000000000001</v>
      </c>
      <c r="BC79" s="108">
        <v>13</v>
      </c>
      <c r="BD79" s="109">
        <v>0.53846000000000005</v>
      </c>
      <c r="BE79" s="109">
        <v>0.23077</v>
      </c>
      <c r="BF79" s="108">
        <v>10</v>
      </c>
      <c r="BG79" s="108">
        <v>155</v>
      </c>
      <c r="BH79" s="109">
        <v>6.4519999999999994E-2</v>
      </c>
      <c r="BI79" s="108">
        <v>48</v>
      </c>
      <c r="BJ79" s="108">
        <v>27</v>
      </c>
      <c r="BK79" s="109">
        <v>0.5625</v>
      </c>
      <c r="BL79" s="108">
        <v>13</v>
      </c>
      <c r="BM79" s="109">
        <v>0.30952000000000002</v>
      </c>
      <c r="BN79" s="109">
        <v>0.41304000000000002</v>
      </c>
    </row>
    <row r="80" spans="1:66" x14ac:dyDescent="0.2">
      <c r="A80" s="103">
        <v>3634</v>
      </c>
      <c r="B80" s="104" t="s">
        <v>501</v>
      </c>
      <c r="C80" s="104" t="s">
        <v>500</v>
      </c>
      <c r="D80" s="104"/>
      <c r="E80" s="104">
        <v>1965</v>
      </c>
      <c r="F80" s="104" t="s">
        <v>499</v>
      </c>
      <c r="G80" s="104" t="s">
        <v>495</v>
      </c>
      <c r="H80" s="106"/>
      <c r="I80" s="104" t="s">
        <v>472</v>
      </c>
      <c r="J80" s="107">
        <v>4155</v>
      </c>
      <c r="K80" s="108">
        <v>3984</v>
      </c>
      <c r="L80" s="109">
        <v>0.14357</v>
      </c>
      <c r="M80" s="109">
        <v>0.1988</v>
      </c>
      <c r="N80" s="109">
        <v>0.59438000000000002</v>
      </c>
      <c r="O80" s="109">
        <v>6.0490000000000002E-2</v>
      </c>
      <c r="P80" s="109">
        <v>2.7599999999999999E-3</v>
      </c>
      <c r="Q80" s="108">
        <v>1218</v>
      </c>
      <c r="R80" s="109">
        <v>0.11576</v>
      </c>
      <c r="S80" s="109">
        <v>0.21757000000000001</v>
      </c>
      <c r="T80" s="109">
        <v>0.60672999999999999</v>
      </c>
      <c r="U80" s="109">
        <v>5.747E-2</v>
      </c>
      <c r="V80" s="109">
        <v>2.4599999999999999E-3</v>
      </c>
      <c r="W80" s="109">
        <v>-0.21775</v>
      </c>
      <c r="X80" s="109">
        <v>0.27635999999999999</v>
      </c>
      <c r="Y80" s="109">
        <v>0.72363999999999995</v>
      </c>
      <c r="Z80" s="109">
        <v>7.2040000000000007E-2</v>
      </c>
      <c r="AA80" s="109">
        <v>0.92796000000000001</v>
      </c>
      <c r="AB80" s="110">
        <v>0.629</v>
      </c>
      <c r="AC80" s="56">
        <v>6.4759999999999998E-2</v>
      </c>
      <c r="AD80" s="56">
        <v>0.76600000000000001</v>
      </c>
      <c r="AE80" s="56">
        <v>7.3999999999999996E-2</v>
      </c>
      <c r="AF80" s="56">
        <v>0.251</v>
      </c>
      <c r="AG80" s="112">
        <v>0.26300000000000001</v>
      </c>
      <c r="AH80" s="112">
        <v>0.11699999999999999</v>
      </c>
      <c r="AI80" s="112">
        <v>0.29100000000000004</v>
      </c>
      <c r="AJ80" s="112">
        <v>0.20499999999999999</v>
      </c>
      <c r="AK80" s="112">
        <v>0.33299999999999996</v>
      </c>
      <c r="AL80" s="112">
        <v>0.17399999999999999</v>
      </c>
      <c r="AM80" s="109">
        <v>1</v>
      </c>
      <c r="AN80" s="109">
        <v>0</v>
      </c>
      <c r="AO80" s="109">
        <v>1</v>
      </c>
      <c r="AP80" s="109">
        <v>0</v>
      </c>
      <c r="AQ80" s="109">
        <v>0.91417999999999999</v>
      </c>
      <c r="AR80" s="109">
        <v>0.81967000000000001</v>
      </c>
      <c r="AS80" s="109">
        <v>7.8109999999999999E-2</v>
      </c>
      <c r="AT80" s="109">
        <v>1.6389999999999998E-2</v>
      </c>
      <c r="AU80" s="113">
        <v>4</v>
      </c>
      <c r="AV80" s="104">
        <v>104</v>
      </c>
      <c r="AW80" s="114">
        <v>491</v>
      </c>
      <c r="AX80" s="109">
        <v>0.26884000000000002</v>
      </c>
      <c r="AY80" s="109">
        <v>5.4989999999999997E-2</v>
      </c>
      <c r="AZ80" s="108">
        <v>238</v>
      </c>
      <c r="BA80" s="109">
        <v>0.26890999999999998</v>
      </c>
      <c r="BB80" s="109">
        <v>0.10924</v>
      </c>
      <c r="BC80" s="108">
        <v>317</v>
      </c>
      <c r="BD80" s="109">
        <v>0.27760000000000001</v>
      </c>
      <c r="BE80" s="109">
        <v>0.14826</v>
      </c>
      <c r="BF80" s="108">
        <v>60</v>
      </c>
      <c r="BG80" s="108">
        <v>1220</v>
      </c>
      <c r="BH80" s="109">
        <v>4.9180000000000001E-2</v>
      </c>
      <c r="BI80" s="108">
        <v>261</v>
      </c>
      <c r="BJ80" s="108">
        <v>201</v>
      </c>
      <c r="BK80" s="109">
        <v>0.77010999999999996</v>
      </c>
      <c r="BL80" s="108">
        <v>14</v>
      </c>
      <c r="BM80" s="109">
        <v>0.16597999999999999</v>
      </c>
      <c r="BN80" s="109">
        <v>0.37662000000000001</v>
      </c>
    </row>
    <row r="81" spans="1:66" x14ac:dyDescent="0.2">
      <c r="A81" s="103">
        <v>9932</v>
      </c>
      <c r="B81" s="104" t="s">
        <v>498</v>
      </c>
      <c r="C81" s="104" t="s">
        <v>497</v>
      </c>
      <c r="D81" s="104"/>
      <c r="E81" s="104">
        <v>1970</v>
      </c>
      <c r="F81" s="104" t="s">
        <v>496</v>
      </c>
      <c r="G81" s="104" t="s">
        <v>495</v>
      </c>
      <c r="H81" s="106"/>
      <c r="I81" s="104" t="s">
        <v>472</v>
      </c>
      <c r="J81" s="107">
        <v>4290</v>
      </c>
      <c r="K81" s="108">
        <v>1262</v>
      </c>
      <c r="L81" s="109">
        <v>4.7539999999999999E-2</v>
      </c>
      <c r="M81" s="109">
        <v>0.27495999999999998</v>
      </c>
      <c r="N81" s="109">
        <v>0.64897000000000005</v>
      </c>
      <c r="O81" s="109">
        <v>2.7730000000000001E-2</v>
      </c>
      <c r="P81" s="109">
        <v>7.9000000000000001E-4</v>
      </c>
      <c r="Q81" s="108">
        <v>328</v>
      </c>
      <c r="R81" s="109">
        <v>3.354E-2</v>
      </c>
      <c r="S81" s="109">
        <v>0.20122000000000001</v>
      </c>
      <c r="T81" s="109">
        <v>0.74085000000000001</v>
      </c>
      <c r="U81" s="109">
        <v>2.4389999999999998E-2</v>
      </c>
      <c r="V81" s="109">
        <v>0</v>
      </c>
      <c r="W81" s="109">
        <v>-0.31487999999999999</v>
      </c>
      <c r="X81" s="109">
        <v>0.66639999999999999</v>
      </c>
      <c r="Y81" s="109">
        <v>0.33360000000000001</v>
      </c>
      <c r="Z81" s="109">
        <v>0.10618</v>
      </c>
      <c r="AA81" s="109">
        <v>0.89381999999999995</v>
      </c>
      <c r="AB81" s="110">
        <v>0.51800000000000002</v>
      </c>
      <c r="AC81" s="56">
        <v>0.19255</v>
      </c>
      <c r="AD81" s="56">
        <v>0.83199999999999996</v>
      </c>
      <c r="AE81" s="56">
        <v>0.24199999999999999</v>
      </c>
      <c r="AF81" s="56">
        <v>0.29499999999999998</v>
      </c>
      <c r="AG81" s="112">
        <v>0.36799999999999999</v>
      </c>
      <c r="AH81" s="112">
        <v>0.27500000000000002</v>
      </c>
      <c r="AI81" s="112">
        <v>0.43</v>
      </c>
      <c r="AJ81" s="112">
        <v>0.28100000000000003</v>
      </c>
      <c r="AK81" s="112">
        <v>0.308</v>
      </c>
      <c r="AL81" s="112">
        <v>0.36099999999999999</v>
      </c>
      <c r="AM81" s="109">
        <v>0</v>
      </c>
      <c r="AN81" s="109">
        <v>0</v>
      </c>
      <c r="AO81" s="109">
        <v>0</v>
      </c>
      <c r="AP81" s="109">
        <v>0</v>
      </c>
      <c r="AQ81" s="109">
        <v>0.95413000000000003</v>
      </c>
      <c r="AR81" s="109">
        <v>0.88073000000000001</v>
      </c>
      <c r="AS81" s="109">
        <v>4.8930000000000001E-2</v>
      </c>
      <c r="AT81" s="109">
        <v>2.4459999999999999E-2</v>
      </c>
      <c r="AU81" s="113">
        <v>4</v>
      </c>
      <c r="AV81" s="104">
        <v>82</v>
      </c>
      <c r="AW81" s="114">
        <v>84</v>
      </c>
      <c r="AX81" s="109">
        <v>0.21429000000000001</v>
      </c>
      <c r="AY81" s="109">
        <v>4.7620000000000003E-2</v>
      </c>
      <c r="AZ81" s="108">
        <v>48</v>
      </c>
      <c r="BA81" s="109">
        <v>0.29166999999999998</v>
      </c>
      <c r="BB81" s="109">
        <v>0.125</v>
      </c>
      <c r="BC81" s="108">
        <v>47</v>
      </c>
      <c r="BD81" s="109">
        <v>0.27660000000000001</v>
      </c>
      <c r="BE81" s="109">
        <v>0.12766</v>
      </c>
      <c r="BF81" s="108">
        <v>15</v>
      </c>
      <c r="BG81" s="108">
        <v>356</v>
      </c>
      <c r="BH81" s="109">
        <v>4.2130000000000001E-2</v>
      </c>
      <c r="BI81" s="108">
        <v>91</v>
      </c>
      <c r="BJ81" s="108">
        <v>48</v>
      </c>
      <c r="BK81" s="109">
        <v>0.52746999999999999</v>
      </c>
      <c r="BL81" s="108">
        <v>7</v>
      </c>
      <c r="BM81" s="109">
        <v>0.25</v>
      </c>
      <c r="BN81" s="109">
        <v>0.36364000000000002</v>
      </c>
    </row>
    <row r="82" spans="1:66" x14ac:dyDescent="0.2">
      <c r="A82" s="103">
        <v>3572</v>
      </c>
      <c r="B82" s="104" t="s">
        <v>494</v>
      </c>
      <c r="C82" s="104" t="s">
        <v>493</v>
      </c>
      <c r="D82" s="104"/>
      <c r="E82" s="104">
        <v>1946</v>
      </c>
      <c r="F82" s="104" t="s">
        <v>492</v>
      </c>
      <c r="G82" s="104" t="s">
        <v>473</v>
      </c>
      <c r="H82" s="106"/>
      <c r="I82" s="104" t="s">
        <v>472</v>
      </c>
      <c r="J82" s="107">
        <v>2160</v>
      </c>
      <c r="K82" s="108">
        <v>6942</v>
      </c>
      <c r="L82" s="109">
        <v>0.13858000000000001</v>
      </c>
      <c r="M82" s="109">
        <v>0.15917999999999999</v>
      </c>
      <c r="N82" s="109">
        <v>0.64232</v>
      </c>
      <c r="O82" s="109">
        <v>5.042E-2</v>
      </c>
      <c r="P82" s="109">
        <v>9.5099999999999994E-3</v>
      </c>
      <c r="Q82" s="108">
        <v>1593</v>
      </c>
      <c r="R82" s="109">
        <v>0.21657000000000001</v>
      </c>
      <c r="S82" s="109">
        <v>0.15945000000000001</v>
      </c>
      <c r="T82" s="109">
        <v>0.58443000000000001</v>
      </c>
      <c r="U82" s="109">
        <v>2.699E-2</v>
      </c>
      <c r="V82" s="109">
        <v>1.255E-2</v>
      </c>
      <c r="W82" s="109">
        <v>0.19053</v>
      </c>
      <c r="X82" s="109">
        <v>0.58728999999999998</v>
      </c>
      <c r="Y82" s="109">
        <v>0.41271000000000002</v>
      </c>
      <c r="Z82" s="109">
        <v>0.73523000000000005</v>
      </c>
      <c r="AA82" s="109">
        <v>0.26477000000000001</v>
      </c>
      <c r="AB82" s="110">
        <v>0.38400000000000001</v>
      </c>
      <c r="AC82" s="56">
        <v>0.20052</v>
      </c>
      <c r="AD82" s="56">
        <v>0.85499999999999998</v>
      </c>
      <c r="AE82" s="56">
        <v>0.26600000000000001</v>
      </c>
      <c r="AF82" s="56">
        <v>0.42099999999999999</v>
      </c>
      <c r="AG82" s="112">
        <v>0.23300000000000001</v>
      </c>
      <c r="AH82" s="112">
        <v>8.4000000000000005E-2</v>
      </c>
      <c r="AI82" s="112">
        <v>0.26899999999999996</v>
      </c>
      <c r="AJ82" s="112">
        <v>0.14300000000000002</v>
      </c>
      <c r="AK82" s="112">
        <v>0.33799999999999997</v>
      </c>
      <c r="AL82" s="112">
        <v>0.318</v>
      </c>
      <c r="AM82" s="109">
        <v>0.92157</v>
      </c>
      <c r="AN82" s="109">
        <v>0.33987000000000001</v>
      </c>
      <c r="AO82" s="109">
        <v>0.34422999999999998</v>
      </c>
      <c r="AP82" s="109">
        <v>0.23746999999999999</v>
      </c>
      <c r="AQ82" s="109">
        <v>0.89610000000000001</v>
      </c>
      <c r="AR82" s="109">
        <v>0.77922000000000002</v>
      </c>
      <c r="AS82" s="109">
        <v>9.74E-2</v>
      </c>
      <c r="AT82" s="109">
        <v>1.9480000000000001E-2</v>
      </c>
      <c r="AU82" s="113">
        <v>4.5</v>
      </c>
      <c r="AV82" s="104">
        <v>90</v>
      </c>
      <c r="AW82" s="114">
        <v>415</v>
      </c>
      <c r="AX82" s="109">
        <v>0.33734999999999998</v>
      </c>
      <c r="AY82" s="109">
        <v>0.12529999999999999</v>
      </c>
      <c r="AZ82" s="108">
        <v>152</v>
      </c>
      <c r="BA82" s="109">
        <v>0.34867999999999999</v>
      </c>
      <c r="BB82" s="109">
        <v>0.17105000000000001</v>
      </c>
      <c r="BC82" s="108">
        <v>239</v>
      </c>
      <c r="BD82" s="109">
        <v>0.38494</v>
      </c>
      <c r="BE82" s="109">
        <v>0.14226</v>
      </c>
      <c r="BF82" s="108">
        <v>205</v>
      </c>
      <c r="BG82" s="108">
        <v>1015</v>
      </c>
      <c r="BH82" s="109">
        <v>0.20197000000000001</v>
      </c>
      <c r="BI82" s="108">
        <v>269</v>
      </c>
      <c r="BJ82" s="108">
        <v>150</v>
      </c>
      <c r="BK82" s="109">
        <v>0.55762</v>
      </c>
      <c r="BL82" s="108">
        <v>23</v>
      </c>
      <c r="BM82" s="109">
        <v>0.15</v>
      </c>
      <c r="BN82" s="109">
        <v>0.28699999999999998</v>
      </c>
    </row>
    <row r="83" spans="1:66" x14ac:dyDescent="0.2">
      <c r="A83" s="103">
        <v>3648</v>
      </c>
      <c r="B83" s="104" t="s">
        <v>491</v>
      </c>
      <c r="C83" s="104" t="s">
        <v>401</v>
      </c>
      <c r="D83" s="104"/>
      <c r="E83" s="104">
        <v>1926</v>
      </c>
      <c r="F83" s="104" t="s">
        <v>490</v>
      </c>
      <c r="G83" s="104" t="s">
        <v>489</v>
      </c>
      <c r="H83" s="106"/>
      <c r="I83" s="104" t="s">
        <v>472</v>
      </c>
      <c r="J83" s="107">
        <v>2352</v>
      </c>
      <c r="K83" s="108">
        <v>9614</v>
      </c>
      <c r="L83" s="109">
        <v>0.25151000000000001</v>
      </c>
      <c r="M83" s="109">
        <v>0.15145</v>
      </c>
      <c r="N83" s="109">
        <v>0.55357000000000001</v>
      </c>
      <c r="O83" s="109">
        <v>3.7240000000000002E-2</v>
      </c>
      <c r="P83" s="109">
        <v>6.2399999999999999E-3</v>
      </c>
      <c r="Q83" s="108">
        <v>1854</v>
      </c>
      <c r="R83" s="109">
        <v>0.15049000000000001</v>
      </c>
      <c r="S83" s="109">
        <v>0.11758</v>
      </c>
      <c r="T83" s="109">
        <v>0.68069000000000002</v>
      </c>
      <c r="U83" s="109">
        <v>3.6139999999999999E-2</v>
      </c>
      <c r="V83" s="109">
        <v>1.5100000000000001E-2</v>
      </c>
      <c r="W83" s="109">
        <v>-3.1629999999999998E-2</v>
      </c>
      <c r="X83" s="109">
        <v>0.45423000000000002</v>
      </c>
      <c r="Y83" s="109">
        <v>0.54576999999999998</v>
      </c>
      <c r="Z83" s="109">
        <v>0.50717999999999996</v>
      </c>
      <c r="AA83" s="109">
        <v>0.49281999999999998</v>
      </c>
      <c r="AB83" s="110">
        <v>0.42499999999999999</v>
      </c>
      <c r="AC83" s="56">
        <v>1.04E-2</v>
      </c>
      <c r="AD83" s="56">
        <v>0.86799999999999999</v>
      </c>
      <c r="AE83" s="56">
        <v>0.32100000000000001</v>
      </c>
      <c r="AF83" s="56">
        <v>0.45400000000000001</v>
      </c>
      <c r="AG83" s="112">
        <v>0.14099999999999999</v>
      </c>
      <c r="AH83" s="112">
        <v>0.13800000000000001</v>
      </c>
      <c r="AI83" s="112">
        <v>0.19600000000000001</v>
      </c>
      <c r="AJ83" s="112">
        <v>0.20899999999999999</v>
      </c>
      <c r="AK83" s="112">
        <v>0.29600000000000004</v>
      </c>
      <c r="AL83" s="112">
        <v>0.32100000000000001</v>
      </c>
      <c r="AM83" s="109">
        <v>0.93144000000000005</v>
      </c>
      <c r="AN83" s="109">
        <v>0.38962999999999998</v>
      </c>
      <c r="AO83" s="109">
        <v>0.25418000000000002</v>
      </c>
      <c r="AP83" s="109">
        <v>0.28763</v>
      </c>
      <c r="AQ83" s="109">
        <v>0.93525999999999998</v>
      </c>
      <c r="AR83" s="109">
        <v>0.79083999999999999</v>
      </c>
      <c r="AS83" s="109">
        <v>8.9639999999999997E-2</v>
      </c>
      <c r="AT83" s="109">
        <v>5.4780000000000002E-2</v>
      </c>
      <c r="AU83" s="113">
        <v>4.0999999999999996</v>
      </c>
      <c r="AV83" s="104">
        <v>89</v>
      </c>
      <c r="AW83" s="114">
        <v>1418</v>
      </c>
      <c r="AX83" s="109">
        <v>0.32086999999999999</v>
      </c>
      <c r="AY83" s="109">
        <v>0.16572999999999999</v>
      </c>
      <c r="AZ83" s="108">
        <v>1017</v>
      </c>
      <c r="BA83" s="109">
        <v>0.54376000000000002</v>
      </c>
      <c r="BB83" s="109">
        <v>0.29597000000000001</v>
      </c>
      <c r="BC83" s="108">
        <v>897</v>
      </c>
      <c r="BD83" s="109">
        <v>0.43478</v>
      </c>
      <c r="BE83" s="109">
        <v>0.28427999999999998</v>
      </c>
      <c r="BF83" s="108">
        <v>524</v>
      </c>
      <c r="BG83" s="108">
        <v>2091</v>
      </c>
      <c r="BH83" s="109">
        <v>0.25059999999999999</v>
      </c>
      <c r="BI83" s="108">
        <v>535</v>
      </c>
      <c r="BJ83" s="108">
        <v>306</v>
      </c>
      <c r="BK83" s="109">
        <v>0.57196000000000002</v>
      </c>
      <c r="BL83" s="108">
        <v>18</v>
      </c>
      <c r="BM83" s="109">
        <v>9.758E-2</v>
      </c>
      <c r="BN83" s="109">
        <v>0.19549</v>
      </c>
    </row>
    <row r="84" spans="1:66" x14ac:dyDescent="0.2">
      <c r="A84" s="103">
        <v>10060</v>
      </c>
      <c r="B84" s="104" t="s">
        <v>488</v>
      </c>
      <c r="C84" s="104" t="s">
        <v>487</v>
      </c>
      <c r="D84" s="104"/>
      <c r="E84" s="104">
        <v>1970</v>
      </c>
      <c r="F84" s="104" t="s">
        <v>486</v>
      </c>
      <c r="G84" s="104" t="s">
        <v>477</v>
      </c>
      <c r="H84" s="106"/>
      <c r="I84" s="104" t="s">
        <v>472</v>
      </c>
      <c r="J84" s="107">
        <v>2940</v>
      </c>
      <c r="K84" s="108">
        <v>3084</v>
      </c>
      <c r="L84" s="109">
        <v>9.8250000000000004E-2</v>
      </c>
      <c r="M84" s="109">
        <v>0.16699</v>
      </c>
      <c r="N84" s="109">
        <v>0.66925999999999997</v>
      </c>
      <c r="O84" s="109">
        <v>6.5500000000000003E-2</v>
      </c>
      <c r="P84" s="109">
        <v>0</v>
      </c>
      <c r="Q84" s="108">
        <v>503</v>
      </c>
      <c r="R84" s="109">
        <v>7.7530000000000002E-2</v>
      </c>
      <c r="S84" s="109">
        <v>0.14712</v>
      </c>
      <c r="T84" s="109">
        <v>0.70774999999999999</v>
      </c>
      <c r="U84" s="109">
        <v>6.5610000000000002E-2</v>
      </c>
      <c r="V84" s="109">
        <v>1.99E-3</v>
      </c>
      <c r="W84" s="109">
        <v>4.224E-2</v>
      </c>
      <c r="X84" s="109">
        <v>0.64363999999999999</v>
      </c>
      <c r="Y84" s="109">
        <v>0.35636000000000001</v>
      </c>
      <c r="Z84" s="109">
        <v>0.53534000000000004</v>
      </c>
      <c r="AA84" s="109">
        <v>0.46466000000000002</v>
      </c>
      <c r="AB84" s="110">
        <v>0.43700000000000006</v>
      </c>
      <c r="AC84" s="56">
        <v>0.16148000000000001</v>
      </c>
      <c r="AD84" s="56">
        <v>0.83599999999999997</v>
      </c>
      <c r="AE84" s="56">
        <v>0.23300000000000001</v>
      </c>
      <c r="AF84" s="56">
        <v>0.28499999999999998</v>
      </c>
      <c r="AG84" s="112">
        <v>0.25</v>
      </c>
      <c r="AH84" s="112">
        <v>0.114</v>
      </c>
      <c r="AI84" s="112">
        <v>0.28899999999999998</v>
      </c>
      <c r="AJ84" s="112">
        <v>0.19</v>
      </c>
      <c r="AK84" s="112">
        <v>0.33100000000000002</v>
      </c>
      <c r="AL84" s="112">
        <v>0.26600000000000001</v>
      </c>
      <c r="AM84" s="109">
        <v>0.90122999999999998</v>
      </c>
      <c r="AN84" s="109">
        <v>0.30864000000000003</v>
      </c>
      <c r="AO84" s="109">
        <v>0.34567999999999999</v>
      </c>
      <c r="AP84" s="109">
        <v>0.24690999999999999</v>
      </c>
      <c r="AQ84" s="109">
        <v>0.96533000000000002</v>
      </c>
      <c r="AR84" s="109">
        <v>0.90400000000000003</v>
      </c>
      <c r="AS84" s="109">
        <v>3.7330000000000002E-2</v>
      </c>
      <c r="AT84" s="109">
        <v>2.4E-2</v>
      </c>
      <c r="AU84" s="113">
        <v>4.5999999999999996</v>
      </c>
      <c r="AV84" s="104">
        <v>92</v>
      </c>
      <c r="AW84" s="114">
        <v>150</v>
      </c>
      <c r="AX84" s="109">
        <v>0.48</v>
      </c>
      <c r="AY84" s="109">
        <v>0.1</v>
      </c>
      <c r="AZ84" s="108">
        <v>97</v>
      </c>
      <c r="BA84" s="109">
        <v>0.60824999999999996</v>
      </c>
      <c r="BB84" s="109">
        <v>0.16495000000000001</v>
      </c>
      <c r="BC84" s="108">
        <v>93</v>
      </c>
      <c r="BD84" s="109">
        <v>0.55913999999999997</v>
      </c>
      <c r="BE84" s="109">
        <v>0.30108000000000001</v>
      </c>
      <c r="BF84" s="108">
        <v>107</v>
      </c>
      <c r="BG84" s="108">
        <v>480</v>
      </c>
      <c r="BH84" s="109">
        <v>0.22292000000000001</v>
      </c>
      <c r="BI84" s="108">
        <v>150</v>
      </c>
      <c r="BJ84" s="108">
        <v>83</v>
      </c>
      <c r="BK84" s="109">
        <v>0.55332999999999999</v>
      </c>
      <c r="BL84" s="108">
        <v>17</v>
      </c>
      <c r="BM84" s="109">
        <v>9.8040000000000002E-2</v>
      </c>
      <c r="BN84" s="109">
        <v>0.2</v>
      </c>
    </row>
    <row r="85" spans="1:66" x14ac:dyDescent="0.2">
      <c r="A85" s="103">
        <v>3662</v>
      </c>
      <c r="B85" s="115" t="s">
        <v>485</v>
      </c>
      <c r="C85" s="104" t="s">
        <v>434</v>
      </c>
      <c r="D85" s="104"/>
      <c r="E85" s="104">
        <v>1925</v>
      </c>
      <c r="F85" s="104" t="s">
        <v>484</v>
      </c>
      <c r="G85" s="104" t="s">
        <v>473</v>
      </c>
      <c r="H85" s="106" t="s">
        <v>84</v>
      </c>
      <c r="I85" s="104" t="s">
        <v>472</v>
      </c>
      <c r="J85" s="107">
        <v>2562</v>
      </c>
      <c r="K85" s="108">
        <v>4344</v>
      </c>
      <c r="L85" s="109">
        <v>5.8470000000000001E-2</v>
      </c>
      <c r="M85" s="109">
        <v>0.41575000000000001</v>
      </c>
      <c r="N85" s="109">
        <v>0.4924</v>
      </c>
      <c r="O85" s="109">
        <v>3.2230000000000002E-2</v>
      </c>
      <c r="P85" s="109">
        <v>1.15E-3</v>
      </c>
      <c r="Q85" s="108">
        <v>669</v>
      </c>
      <c r="R85" s="109">
        <v>5.2319999999999998E-2</v>
      </c>
      <c r="S85" s="109">
        <v>0.27354000000000001</v>
      </c>
      <c r="T85" s="109">
        <v>0.62182000000000004</v>
      </c>
      <c r="U85" s="109">
        <v>4.4839999999999998E-2</v>
      </c>
      <c r="V85" s="109">
        <v>7.4700000000000001E-3</v>
      </c>
      <c r="W85" s="109">
        <v>9.2560000000000003E-2</v>
      </c>
      <c r="X85" s="109">
        <v>0.74977000000000005</v>
      </c>
      <c r="Y85" s="109">
        <v>0.25023000000000001</v>
      </c>
      <c r="Z85" s="109">
        <v>0.61234</v>
      </c>
      <c r="AA85" s="109">
        <v>0.38766</v>
      </c>
      <c r="AB85" s="110">
        <v>0.40100000000000002</v>
      </c>
      <c r="AC85" s="56">
        <v>0.14802000000000001</v>
      </c>
      <c r="AD85" s="56">
        <v>0.89800000000000002</v>
      </c>
      <c r="AE85" s="56">
        <v>0.32900000000000001</v>
      </c>
      <c r="AF85" s="56">
        <v>0.39700000000000002</v>
      </c>
      <c r="AG85" s="112">
        <v>0.13800000000000001</v>
      </c>
      <c r="AH85" s="112">
        <v>5.4000000000000006E-2</v>
      </c>
      <c r="AI85" s="112">
        <v>0.22600000000000001</v>
      </c>
      <c r="AJ85" s="112">
        <v>9.3000000000000013E-2</v>
      </c>
      <c r="AK85" s="112">
        <v>0.439</v>
      </c>
      <c r="AL85" s="112">
        <v>0.14800000000000002</v>
      </c>
      <c r="AM85" s="109">
        <v>0.92157</v>
      </c>
      <c r="AN85" s="109">
        <v>0.35293999999999998</v>
      </c>
      <c r="AO85" s="109">
        <v>0.32352999999999998</v>
      </c>
      <c r="AP85" s="109">
        <v>0.24510000000000001</v>
      </c>
      <c r="AQ85" s="109">
        <v>0.96372999999999998</v>
      </c>
      <c r="AR85" s="109">
        <v>0.89895999999999998</v>
      </c>
      <c r="AS85" s="109">
        <v>2.8500000000000001E-2</v>
      </c>
      <c r="AT85" s="109">
        <v>3.6269999999999997E-2</v>
      </c>
      <c r="AU85" s="113">
        <v>5</v>
      </c>
      <c r="AV85" s="104">
        <v>101</v>
      </c>
      <c r="AW85" s="114">
        <v>65</v>
      </c>
      <c r="AX85" s="109">
        <v>0.41538000000000003</v>
      </c>
      <c r="AY85" s="109">
        <v>0.15384999999999999</v>
      </c>
      <c r="AZ85" s="108">
        <v>31</v>
      </c>
      <c r="BA85" s="109">
        <v>0.29032000000000002</v>
      </c>
      <c r="BB85" s="109">
        <v>6.4519999999999994E-2</v>
      </c>
      <c r="BC85" s="108">
        <v>37</v>
      </c>
      <c r="BD85" s="109">
        <v>0.27027000000000001</v>
      </c>
      <c r="BE85" s="109">
        <v>8.1079999999999999E-2</v>
      </c>
      <c r="BF85" s="108">
        <v>174</v>
      </c>
      <c r="BG85" s="108">
        <v>741</v>
      </c>
      <c r="BH85" s="109">
        <v>0.23482</v>
      </c>
      <c r="BI85" s="108">
        <v>240</v>
      </c>
      <c r="BJ85" s="108">
        <v>116</v>
      </c>
      <c r="BK85" s="109">
        <v>0.48332999999999998</v>
      </c>
      <c r="BL85" s="108">
        <v>16</v>
      </c>
      <c r="BM85" s="109">
        <v>3.4090000000000002E-2</v>
      </c>
      <c r="BN85" s="109">
        <v>0.18493000000000001</v>
      </c>
    </row>
    <row r="86" spans="1:66" x14ac:dyDescent="0.2">
      <c r="A86" s="103">
        <v>3664</v>
      </c>
      <c r="B86" s="104" t="s">
        <v>483</v>
      </c>
      <c r="C86" s="104" t="s">
        <v>482</v>
      </c>
      <c r="D86" s="104"/>
      <c r="E86" s="104">
        <v>1869</v>
      </c>
      <c r="F86" s="104" t="s">
        <v>481</v>
      </c>
      <c r="G86" s="104" t="s">
        <v>473</v>
      </c>
      <c r="H86" s="106"/>
      <c r="I86" s="104" t="s">
        <v>472</v>
      </c>
      <c r="J86" s="107">
        <v>2320</v>
      </c>
      <c r="K86" s="108">
        <v>5659</v>
      </c>
      <c r="L86" s="109">
        <v>3.3750000000000002E-2</v>
      </c>
      <c r="M86" s="109">
        <v>0.13624</v>
      </c>
      <c r="N86" s="109">
        <v>0.74482999999999999</v>
      </c>
      <c r="O86" s="109">
        <v>7.6869999999999994E-2</v>
      </c>
      <c r="P86" s="109">
        <v>8.3099999999999997E-3</v>
      </c>
      <c r="Q86" s="108">
        <v>845</v>
      </c>
      <c r="R86" s="109">
        <v>3.0769999999999999E-2</v>
      </c>
      <c r="S86" s="109">
        <v>0.11834</v>
      </c>
      <c r="T86" s="109">
        <v>0.71006000000000002</v>
      </c>
      <c r="U86" s="109">
        <v>0.12426</v>
      </c>
      <c r="V86" s="109">
        <v>1.6570000000000001E-2</v>
      </c>
      <c r="W86" s="109">
        <v>0.18862000000000001</v>
      </c>
      <c r="X86" s="109">
        <v>0.58155000000000001</v>
      </c>
      <c r="Y86" s="109">
        <v>0.41844999999999999</v>
      </c>
      <c r="Z86" s="109">
        <v>0.77134000000000003</v>
      </c>
      <c r="AA86" s="109">
        <v>0.22866</v>
      </c>
      <c r="AB86" s="110">
        <v>0.34499999999999997</v>
      </c>
      <c r="AC86" s="56">
        <v>0.16786999999999999</v>
      </c>
      <c r="AD86" s="56">
        <v>0.85299999999999998</v>
      </c>
      <c r="AE86" s="56">
        <v>0.27900000000000003</v>
      </c>
      <c r="AF86" s="56">
        <v>0.38600000000000001</v>
      </c>
      <c r="AG86" s="112">
        <v>0.183</v>
      </c>
      <c r="AH86" s="112">
        <v>0.107</v>
      </c>
      <c r="AI86" s="112">
        <v>0.223</v>
      </c>
      <c r="AJ86" s="112">
        <v>0.11</v>
      </c>
      <c r="AK86" s="112">
        <v>0.30299999999999999</v>
      </c>
      <c r="AL86" s="112">
        <v>0.251</v>
      </c>
      <c r="AM86" s="109">
        <v>0.87187000000000003</v>
      </c>
      <c r="AN86" s="109">
        <v>0.38996999999999998</v>
      </c>
      <c r="AO86" s="109">
        <v>0.29248000000000002</v>
      </c>
      <c r="AP86" s="109">
        <v>0.18942000000000001</v>
      </c>
      <c r="AQ86" s="109">
        <v>0.91017999999999999</v>
      </c>
      <c r="AR86" s="109">
        <v>0.78742999999999996</v>
      </c>
      <c r="AS86" s="109">
        <v>7.485E-2</v>
      </c>
      <c r="AT86" s="109">
        <v>4.7899999999999998E-2</v>
      </c>
      <c r="AU86" s="113">
        <v>4</v>
      </c>
      <c r="AV86" s="104">
        <v>84</v>
      </c>
      <c r="AW86" s="114">
        <v>610</v>
      </c>
      <c r="AX86" s="109">
        <v>0.39344000000000001</v>
      </c>
      <c r="AY86" s="109">
        <v>0.13769999999999999</v>
      </c>
      <c r="AZ86" s="108">
        <v>213</v>
      </c>
      <c r="BA86" s="109">
        <v>0.51173999999999997</v>
      </c>
      <c r="BB86" s="109">
        <v>0.21596000000000001</v>
      </c>
      <c r="BC86" s="108">
        <v>227</v>
      </c>
      <c r="BD86" s="109">
        <v>0.54185000000000005</v>
      </c>
      <c r="BE86" s="109">
        <v>0.2467</v>
      </c>
      <c r="BF86" s="108">
        <v>333</v>
      </c>
      <c r="BG86" s="108">
        <v>1168</v>
      </c>
      <c r="BH86" s="109">
        <v>0.28510000000000002</v>
      </c>
      <c r="BI86" s="108">
        <v>274</v>
      </c>
      <c r="BJ86" s="108">
        <v>109</v>
      </c>
      <c r="BK86" s="109">
        <v>0.39781</v>
      </c>
      <c r="BL86" s="108">
        <v>21</v>
      </c>
      <c r="BM86" s="109">
        <v>0.10398</v>
      </c>
      <c r="BN86" s="109">
        <v>0.24174000000000001</v>
      </c>
    </row>
    <row r="87" spans="1:66" x14ac:dyDescent="0.2">
      <c r="A87" s="103">
        <v>9549</v>
      </c>
      <c r="B87" s="104" t="s">
        <v>480</v>
      </c>
      <c r="C87" s="104" t="s">
        <v>479</v>
      </c>
      <c r="D87" s="104"/>
      <c r="E87" s="104">
        <v>1969</v>
      </c>
      <c r="F87" s="104" t="s">
        <v>478</v>
      </c>
      <c r="G87" s="104" t="s">
        <v>477</v>
      </c>
      <c r="H87" s="106" t="s">
        <v>84</v>
      </c>
      <c r="I87" s="104" t="s">
        <v>472</v>
      </c>
      <c r="J87" s="107">
        <v>2370</v>
      </c>
      <c r="K87" s="108">
        <v>1981</v>
      </c>
      <c r="L87" s="109">
        <v>7.4200000000000002E-2</v>
      </c>
      <c r="M87" s="109">
        <v>0.28975000000000001</v>
      </c>
      <c r="N87" s="109">
        <v>0.58304</v>
      </c>
      <c r="O87" s="109">
        <v>2.776E-2</v>
      </c>
      <c r="P87" s="109">
        <v>2.5239999999999999E-2</v>
      </c>
      <c r="Q87" s="108">
        <v>405</v>
      </c>
      <c r="R87" s="109">
        <v>0.16295999999999999</v>
      </c>
      <c r="S87" s="109">
        <v>0.35555999999999999</v>
      </c>
      <c r="T87" s="109">
        <v>0.41234999999999999</v>
      </c>
      <c r="U87" s="109">
        <v>2.469E-2</v>
      </c>
      <c r="V87" s="109">
        <v>4.444E-2</v>
      </c>
      <c r="W87" s="109">
        <v>-8.7099999999999997E-2</v>
      </c>
      <c r="X87" s="109">
        <v>0.67793999999999999</v>
      </c>
      <c r="Y87" s="109">
        <v>0.32206000000000001</v>
      </c>
      <c r="Z87" s="109">
        <v>0.87128000000000005</v>
      </c>
      <c r="AA87" s="109">
        <v>0.12872</v>
      </c>
      <c r="AB87" s="110">
        <v>0.187</v>
      </c>
      <c r="AC87" s="56">
        <v>0.30388999999999999</v>
      </c>
      <c r="AD87" s="56">
        <v>0.82699999999999996</v>
      </c>
      <c r="AE87" s="56">
        <v>0.313</v>
      </c>
      <c r="AF87" s="56">
        <v>0.44</v>
      </c>
      <c r="AG87" s="112">
        <v>0.34700000000000003</v>
      </c>
      <c r="AH87" s="112">
        <v>0.32400000000000001</v>
      </c>
      <c r="AI87" s="112">
        <v>0.33100000000000002</v>
      </c>
      <c r="AJ87" s="112">
        <v>0.38200000000000001</v>
      </c>
      <c r="AK87" s="112">
        <v>0.34799999999999998</v>
      </c>
      <c r="AL87" s="112">
        <v>0.58299999999999996</v>
      </c>
      <c r="AM87" s="109">
        <v>0.98346999999999996</v>
      </c>
      <c r="AN87" s="109">
        <v>0.28926000000000002</v>
      </c>
      <c r="AO87" s="109">
        <v>0.46281</v>
      </c>
      <c r="AP87" s="109">
        <v>0.23139999999999999</v>
      </c>
      <c r="AQ87" s="109">
        <v>0.9899</v>
      </c>
      <c r="AR87" s="109">
        <v>0.67676999999999998</v>
      </c>
      <c r="AS87" s="109">
        <v>0.28283000000000003</v>
      </c>
      <c r="AT87" s="109">
        <v>3.0300000000000001E-2</v>
      </c>
      <c r="AU87" s="113">
        <v>3.1</v>
      </c>
      <c r="AV87" s="104">
        <v>70</v>
      </c>
      <c r="AW87" s="114">
        <v>200</v>
      </c>
      <c r="AX87" s="109">
        <v>0.375</v>
      </c>
      <c r="AY87" s="109">
        <v>0.19500000000000001</v>
      </c>
      <c r="AZ87" s="108">
        <v>142</v>
      </c>
      <c r="BA87" s="109">
        <v>0.52112999999999998</v>
      </c>
      <c r="BB87" s="109">
        <v>0.38028000000000001</v>
      </c>
      <c r="BC87" s="108">
        <v>150</v>
      </c>
      <c r="BD87" s="109">
        <v>0.53332999999999997</v>
      </c>
      <c r="BE87" s="109">
        <v>0.28666999999999998</v>
      </c>
      <c r="BF87" s="108">
        <v>407</v>
      </c>
      <c r="BG87" s="108">
        <v>908</v>
      </c>
      <c r="BH87" s="109">
        <v>0.44824000000000003</v>
      </c>
      <c r="BI87" s="108">
        <v>102</v>
      </c>
      <c r="BJ87" s="108">
        <v>46</v>
      </c>
      <c r="BK87" s="109">
        <v>0.45097999999999999</v>
      </c>
      <c r="BL87" s="108">
        <v>19</v>
      </c>
      <c r="BM87" s="109">
        <v>0.21795</v>
      </c>
      <c r="BN87" s="109">
        <v>0.41378999999999999</v>
      </c>
    </row>
    <row r="88" spans="1:66" x14ac:dyDescent="0.2">
      <c r="A88" s="103">
        <v>3668</v>
      </c>
      <c r="B88" s="104" t="s">
        <v>476</v>
      </c>
      <c r="C88" s="104" t="s">
        <v>475</v>
      </c>
      <c r="D88" s="104"/>
      <c r="E88" s="104">
        <v>1946</v>
      </c>
      <c r="F88" s="104" t="s">
        <v>474</v>
      </c>
      <c r="G88" s="104" t="s">
        <v>473</v>
      </c>
      <c r="H88" s="106" t="s">
        <v>84</v>
      </c>
      <c r="I88" s="104" t="s">
        <v>472</v>
      </c>
      <c r="J88" s="107">
        <v>2880</v>
      </c>
      <c r="K88" s="108">
        <v>7386</v>
      </c>
      <c r="L88" s="109">
        <v>0.11183</v>
      </c>
      <c r="M88" s="109">
        <v>0.34904000000000002</v>
      </c>
      <c r="N88" s="109">
        <v>0.42038999999999999</v>
      </c>
      <c r="O88" s="109">
        <v>0.11806</v>
      </c>
      <c r="P88" s="109">
        <v>6.8000000000000005E-4</v>
      </c>
      <c r="Q88" s="108">
        <v>875</v>
      </c>
      <c r="R88" s="109">
        <v>9.8290000000000002E-2</v>
      </c>
      <c r="S88" s="109">
        <v>0.376</v>
      </c>
      <c r="T88" s="109">
        <v>0.48</v>
      </c>
      <c r="U88" s="109">
        <v>4.4569999999999999E-2</v>
      </c>
      <c r="V88" s="109">
        <v>1.14E-3</v>
      </c>
      <c r="W88" s="109">
        <v>0.20785000000000001</v>
      </c>
      <c r="X88" s="109">
        <v>0.62050000000000005</v>
      </c>
      <c r="Y88" s="109">
        <v>0.3795</v>
      </c>
      <c r="Z88" s="109">
        <v>0.67884999999999995</v>
      </c>
      <c r="AA88" s="109">
        <v>0.32114999999999999</v>
      </c>
      <c r="AB88" s="110">
        <v>0.28999999999999998</v>
      </c>
      <c r="AC88" s="56">
        <v>0.16545000000000001</v>
      </c>
      <c r="AD88" s="56">
        <v>0.92200000000000004</v>
      </c>
      <c r="AE88" s="56">
        <v>0.33300000000000002</v>
      </c>
      <c r="AF88" s="56">
        <v>0.43099999999999999</v>
      </c>
      <c r="AG88" s="112">
        <v>0.192</v>
      </c>
      <c r="AH88" s="112">
        <v>9.0999999999999998E-2</v>
      </c>
      <c r="AI88" s="112">
        <v>0.27399999999999997</v>
      </c>
      <c r="AJ88" s="112">
        <v>0.16300000000000001</v>
      </c>
      <c r="AK88" s="112">
        <v>0.41499999999999998</v>
      </c>
      <c r="AL88" s="112">
        <v>0.23100000000000001</v>
      </c>
      <c r="AM88" s="109">
        <v>0.90554000000000001</v>
      </c>
      <c r="AN88" s="109">
        <v>0.34527999999999998</v>
      </c>
      <c r="AO88" s="109">
        <v>0.24756</v>
      </c>
      <c r="AP88" s="109">
        <v>0.31269999999999998</v>
      </c>
      <c r="AQ88" s="109">
        <v>0.93213999999999997</v>
      </c>
      <c r="AR88" s="109">
        <v>0.85428999999999999</v>
      </c>
      <c r="AS88" s="109">
        <v>4.7899999999999998E-2</v>
      </c>
      <c r="AT88" s="109">
        <v>2.9940000000000001E-2</v>
      </c>
      <c r="AU88" s="113">
        <v>4.2</v>
      </c>
      <c r="AV88" s="104">
        <v>92</v>
      </c>
      <c r="AW88" s="114">
        <v>392</v>
      </c>
      <c r="AX88" s="109">
        <v>0.46938999999999997</v>
      </c>
      <c r="AY88" s="109">
        <v>0.29592000000000002</v>
      </c>
      <c r="AZ88" s="108">
        <v>240</v>
      </c>
      <c r="BA88" s="109">
        <v>0.77083000000000002</v>
      </c>
      <c r="BB88" s="109">
        <v>0.48332999999999998</v>
      </c>
      <c r="BC88" s="108">
        <v>214</v>
      </c>
      <c r="BD88" s="109">
        <v>0.73363999999999996</v>
      </c>
      <c r="BE88" s="109">
        <v>0.39251999999999998</v>
      </c>
      <c r="BF88" s="108">
        <v>483</v>
      </c>
      <c r="BG88" s="108">
        <v>1383</v>
      </c>
      <c r="BH88" s="109">
        <v>0.34923999999999999</v>
      </c>
      <c r="BI88" s="108">
        <v>305</v>
      </c>
      <c r="BJ88" s="108">
        <v>169</v>
      </c>
      <c r="BK88" s="109">
        <v>0.55410000000000004</v>
      </c>
      <c r="BL88" s="108">
        <v>20</v>
      </c>
      <c r="BM88" s="109">
        <v>9.4020000000000006E-2</v>
      </c>
      <c r="BN88" s="109">
        <v>0.20801</v>
      </c>
    </row>
    <row r="89" spans="1:66" x14ac:dyDescent="0.2">
      <c r="A89" s="119">
        <v>445566</v>
      </c>
      <c r="B89" s="120" t="s">
        <v>471</v>
      </c>
      <c r="C89" s="120"/>
      <c r="D89" s="120"/>
      <c r="E89" s="120"/>
      <c r="F89" s="120"/>
      <c r="G89" s="120"/>
      <c r="H89" s="120"/>
      <c r="I89" s="120"/>
      <c r="J89" s="121">
        <v>2342</v>
      </c>
      <c r="K89" s="122">
        <v>719841</v>
      </c>
      <c r="L89" s="79">
        <v>0.14133000000000001</v>
      </c>
      <c r="M89" s="79">
        <v>0.38807000000000003</v>
      </c>
      <c r="N89" s="79">
        <v>0.37206</v>
      </c>
      <c r="O89" s="79">
        <v>7.9560000000000006E-2</v>
      </c>
      <c r="P89" s="79">
        <v>1.898E-2</v>
      </c>
      <c r="Q89" s="122">
        <v>93402</v>
      </c>
      <c r="R89" s="79">
        <v>0.12359000000000001</v>
      </c>
      <c r="S89" s="79">
        <v>0.36405999999999999</v>
      </c>
      <c r="T89" s="79">
        <v>0.41123999999999999</v>
      </c>
      <c r="U89" s="79">
        <v>7.6139999999999999E-2</v>
      </c>
      <c r="V89" s="79">
        <v>2.496E-2</v>
      </c>
      <c r="W89" s="79">
        <v>0.16572000000000001</v>
      </c>
      <c r="X89" s="79">
        <v>0.72857000000000005</v>
      </c>
      <c r="Y89" s="79">
        <v>0.27148</v>
      </c>
      <c r="Z89" s="79">
        <v>0.69818000000000002</v>
      </c>
      <c r="AA89" s="79">
        <v>0.30092000000000002</v>
      </c>
      <c r="AB89" s="123">
        <v>0.375</v>
      </c>
      <c r="AC89" s="123">
        <v>0.14299999999999999</v>
      </c>
      <c r="AD89" s="79">
        <v>0.871</v>
      </c>
      <c r="AE89" s="79">
        <v>0.30299999999999999</v>
      </c>
      <c r="AF89" s="79">
        <v>0.38200000000000001</v>
      </c>
      <c r="AG89" s="124">
        <v>0.14499999999999999</v>
      </c>
      <c r="AH89" s="124">
        <v>7.8E-2</v>
      </c>
      <c r="AI89" s="124">
        <v>0.21100000000000002</v>
      </c>
      <c r="AJ89" s="124">
        <v>0.12300000000000001</v>
      </c>
      <c r="AK89" s="124">
        <v>0.32100000000000001</v>
      </c>
      <c r="AL89" s="124">
        <v>0.22600000000000001</v>
      </c>
      <c r="AM89" s="79">
        <v>0.88851999999999998</v>
      </c>
      <c r="AN89" s="79">
        <v>0.36242000000000002</v>
      </c>
      <c r="AO89" s="79">
        <v>0.26017000000000001</v>
      </c>
      <c r="AP89" s="79">
        <v>0.26593</v>
      </c>
      <c r="AQ89" s="79">
        <v>0.89587000000000006</v>
      </c>
      <c r="AR89" s="79">
        <v>0.75890999999999997</v>
      </c>
      <c r="AS89" s="79">
        <v>9.9460000000000007E-2</v>
      </c>
      <c r="AT89" s="79">
        <v>3.7499999999999999E-2</v>
      </c>
      <c r="AU89" s="125">
        <v>4.4000000000000004</v>
      </c>
      <c r="AV89" s="120">
        <v>91</v>
      </c>
      <c r="AW89" s="126">
        <v>54607</v>
      </c>
      <c r="AX89" s="79">
        <v>0.39277000000000001</v>
      </c>
      <c r="AY89" s="79">
        <v>0.17521999999999999</v>
      </c>
      <c r="AZ89" s="122">
        <v>34847</v>
      </c>
      <c r="BA89" s="79">
        <v>0.55898999999999999</v>
      </c>
      <c r="BB89" s="79">
        <v>0.38313000000000003</v>
      </c>
      <c r="BC89" s="122">
        <v>32322</v>
      </c>
      <c r="BD89" s="79">
        <v>0.48685</v>
      </c>
      <c r="BE89" s="79">
        <v>0.32862999999999998</v>
      </c>
      <c r="BF89" s="122">
        <v>25744</v>
      </c>
      <c r="BG89" s="122">
        <v>101541</v>
      </c>
      <c r="BH89" s="79">
        <v>0.25352999999999998</v>
      </c>
      <c r="BI89" s="122">
        <v>32681</v>
      </c>
      <c r="BJ89" s="122">
        <v>12759</v>
      </c>
      <c r="BK89" s="79">
        <v>0.39040999999999998</v>
      </c>
      <c r="BL89" s="122">
        <v>20</v>
      </c>
      <c r="BM89" s="79">
        <v>9.3509999999999996E-2</v>
      </c>
      <c r="BN89" s="79">
        <v>0.18722</v>
      </c>
    </row>
    <row r="90" spans="1:66" x14ac:dyDescent="0.2">
      <c r="Q90" s="4"/>
      <c r="AC90" s="17"/>
      <c r="AM90" s="5"/>
      <c r="AN90" s="5"/>
      <c r="AO90" s="5"/>
      <c r="AP90" s="5"/>
      <c r="AQ90" s="5"/>
      <c r="AR90" s="5"/>
      <c r="AS90" s="5"/>
      <c r="AT90" s="5"/>
      <c r="AU90" s="13"/>
      <c r="AV90" s="16"/>
      <c r="AZ90" s="4"/>
      <c r="BC90" s="4"/>
      <c r="BF90" s="4"/>
      <c r="BG90" s="4"/>
      <c r="BH90" s="4"/>
      <c r="BL90" s="15"/>
    </row>
    <row r="91" spans="1:66" x14ac:dyDescent="0.2"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5"/>
      <c r="AM91" s="5"/>
      <c r="AN91" s="5"/>
      <c r="AO91" s="5"/>
      <c r="AP91" s="5"/>
      <c r="AQ91" s="5"/>
      <c r="AR91" s="5"/>
      <c r="AS91" s="5"/>
      <c r="AT91" s="5"/>
      <c r="AU91" s="13"/>
      <c r="AV91" s="13"/>
      <c r="AW91" s="6"/>
      <c r="AX91" s="6"/>
      <c r="AY91" s="6"/>
      <c r="BA91" s="6"/>
      <c r="BB91" s="6"/>
      <c r="BD91" s="6"/>
      <c r="BE91" s="6"/>
      <c r="BH91" s="6"/>
      <c r="BI91" s="6"/>
      <c r="BJ91" s="6"/>
      <c r="BK91" s="6"/>
      <c r="BM91" s="6"/>
      <c r="BN91" s="6"/>
    </row>
    <row r="92" spans="1:66" x14ac:dyDescent="0.2">
      <c r="AB92" s="12"/>
      <c r="AV92" s="11"/>
    </row>
    <row r="94" spans="1:66" x14ac:dyDescent="0.2">
      <c r="AG94" s="10"/>
    </row>
  </sheetData>
  <mergeCells count="22">
    <mergeCell ref="AC1:AF1"/>
    <mergeCell ref="AM1:AT1"/>
    <mergeCell ref="K2:P2"/>
    <mergeCell ref="Q2:V2"/>
    <mergeCell ref="W2:AB2"/>
    <mergeCell ref="AD2:AF2"/>
    <mergeCell ref="AG2:AL2"/>
    <mergeCell ref="AM2:AP2"/>
    <mergeCell ref="AQ2:AT2"/>
    <mergeCell ref="BC2:BE2"/>
    <mergeCell ref="BF2:BH2"/>
    <mergeCell ref="BI2:BL2"/>
    <mergeCell ref="AD69:AF69"/>
    <mergeCell ref="BM2:BN2"/>
    <mergeCell ref="AD4:AF4"/>
    <mergeCell ref="AD22:AF22"/>
    <mergeCell ref="AD37:AF37"/>
    <mergeCell ref="AD46:AF46"/>
    <mergeCell ref="AD62:AF62"/>
    <mergeCell ref="AU2:AV2"/>
    <mergeCell ref="AW2:AY2"/>
    <mergeCell ref="AZ2:BB2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9"/>
  <sheetViews>
    <sheetView zoomScaleNormal="100" workbookViewId="0">
      <pane xSplit="1" ySplit="2" topLeftCell="B3" activePane="bottomRight" state="frozen"/>
      <selection activeCell="B19" sqref="B19"/>
      <selection pane="topRight" activeCell="B19" sqref="B19"/>
      <selection pane="bottomLeft" activeCell="B19" sqref="B19"/>
      <selection pane="bottomRight" activeCell="C29" sqref="C29"/>
    </sheetView>
  </sheetViews>
  <sheetFormatPr defaultColWidth="11" defaultRowHeight="12.75" x14ac:dyDescent="0.2"/>
  <cols>
    <col min="1" max="1" width="33.625" style="11" bestFit="1" customWidth="1"/>
    <col min="2" max="7" width="11" style="11"/>
    <col min="8" max="9" width="11" style="18"/>
    <col min="10" max="10" width="12.25" style="11" customWidth="1"/>
    <col min="11" max="11" width="11" style="11" customWidth="1"/>
    <col min="12" max="16384" width="11" style="11"/>
  </cols>
  <sheetData>
    <row r="1" spans="1:22" x14ac:dyDescent="0.2">
      <c r="A1" s="91"/>
      <c r="B1" s="144" t="s">
        <v>750</v>
      </c>
      <c r="C1" s="144"/>
      <c r="D1" s="144"/>
      <c r="E1" s="144"/>
      <c r="F1" s="144"/>
      <c r="G1" s="144"/>
      <c r="H1" s="127"/>
      <c r="I1" s="127"/>
      <c r="J1" s="91"/>
      <c r="K1" s="144" t="s">
        <v>749</v>
      </c>
      <c r="L1" s="144"/>
      <c r="M1" s="144"/>
      <c r="N1" s="144"/>
      <c r="O1" s="144"/>
      <c r="P1" s="144"/>
      <c r="Q1" s="95"/>
      <c r="R1" s="95"/>
      <c r="S1" s="91"/>
    </row>
    <row r="2" spans="1:22" s="22" customFormat="1" ht="63" customHeight="1" x14ac:dyDescent="0.2">
      <c r="A2" s="105"/>
      <c r="B2" s="105" t="s">
        <v>747</v>
      </c>
      <c r="C2" s="105" t="s">
        <v>746</v>
      </c>
      <c r="D2" s="105" t="s">
        <v>745</v>
      </c>
      <c r="E2" s="105" t="s">
        <v>744</v>
      </c>
      <c r="F2" s="105" t="s">
        <v>743</v>
      </c>
      <c r="G2" s="105" t="s">
        <v>742</v>
      </c>
      <c r="H2" s="128" t="s">
        <v>741</v>
      </c>
      <c r="I2" s="128" t="s">
        <v>740</v>
      </c>
      <c r="J2" s="135" t="s">
        <v>748</v>
      </c>
      <c r="K2" s="105" t="s">
        <v>747</v>
      </c>
      <c r="L2" s="105" t="s">
        <v>746</v>
      </c>
      <c r="M2" s="105" t="s">
        <v>745</v>
      </c>
      <c r="N2" s="105" t="s">
        <v>744</v>
      </c>
      <c r="O2" s="105" t="s">
        <v>743</v>
      </c>
      <c r="P2" s="105" t="s">
        <v>742</v>
      </c>
      <c r="Q2" s="105" t="s">
        <v>741</v>
      </c>
      <c r="R2" s="105" t="s">
        <v>740</v>
      </c>
      <c r="S2" s="135" t="s">
        <v>739</v>
      </c>
    </row>
    <row r="3" spans="1:22" ht="12.75" customHeight="1" x14ac:dyDescent="0.2">
      <c r="A3" s="104" t="s">
        <v>80</v>
      </c>
      <c r="B3" s="118">
        <v>0.40600000000000003</v>
      </c>
      <c r="C3" s="118">
        <v>0.435</v>
      </c>
      <c r="D3" s="118">
        <v>0.44500000000000001</v>
      </c>
      <c r="E3" s="118">
        <v>0.44</v>
      </c>
      <c r="F3" s="118">
        <v>0.4</v>
      </c>
      <c r="G3" s="118">
        <v>0.44</v>
      </c>
      <c r="H3" s="129">
        <v>0.40799999999999997</v>
      </c>
      <c r="I3" s="118">
        <v>0.39200000000000002</v>
      </c>
      <c r="J3" s="136">
        <f t="shared" ref="J3:J9" si="0">I3-B3</f>
        <v>-1.4000000000000012E-2</v>
      </c>
      <c r="K3" s="130">
        <v>786</v>
      </c>
      <c r="L3" s="130">
        <v>865</v>
      </c>
      <c r="M3" s="130">
        <v>822</v>
      </c>
      <c r="N3" s="130">
        <v>791</v>
      </c>
      <c r="O3" s="130">
        <v>785</v>
      </c>
      <c r="P3" s="130">
        <v>816</v>
      </c>
      <c r="Q3" s="130">
        <v>932</v>
      </c>
      <c r="R3" s="131">
        <v>938</v>
      </c>
      <c r="S3" s="138">
        <f t="shared" ref="S3:S13" si="1">R3-K3</f>
        <v>152</v>
      </c>
      <c r="T3" s="21"/>
    </row>
    <row r="4" spans="1:22" ht="12.75" customHeight="1" x14ac:dyDescent="0.2">
      <c r="A4" s="104" t="s">
        <v>94</v>
      </c>
      <c r="B4" s="118">
        <v>0.28599999999999998</v>
      </c>
      <c r="C4" s="118">
        <v>0.374</v>
      </c>
      <c r="D4" s="118">
        <v>0.373</v>
      </c>
      <c r="E4" s="118">
        <v>0.371</v>
      </c>
      <c r="F4" s="118">
        <v>0.36899999999999999</v>
      </c>
      <c r="G4" s="118">
        <v>0.33800000000000002</v>
      </c>
      <c r="H4" s="129">
        <v>0.35899999999999999</v>
      </c>
      <c r="I4" s="118">
        <v>0.39100000000000001</v>
      </c>
      <c r="J4" s="136">
        <f t="shared" si="0"/>
        <v>0.10500000000000004</v>
      </c>
      <c r="K4" s="130">
        <v>935</v>
      </c>
      <c r="L4" s="132">
        <v>1011</v>
      </c>
      <c r="M4" s="132">
        <v>1150</v>
      </c>
      <c r="N4" s="132">
        <v>1228</v>
      </c>
      <c r="O4" s="132">
        <v>1221</v>
      </c>
      <c r="P4" s="132">
        <v>1239</v>
      </c>
      <c r="Q4" s="132">
        <v>1353</v>
      </c>
      <c r="R4" s="133">
        <v>1366</v>
      </c>
      <c r="S4" s="138">
        <f t="shared" si="1"/>
        <v>431</v>
      </c>
      <c r="T4" s="21"/>
      <c r="V4" s="19" t="s">
        <v>239</v>
      </c>
    </row>
    <row r="5" spans="1:22" ht="12.75" customHeight="1" x14ac:dyDescent="0.2">
      <c r="A5" s="104" t="s">
        <v>106</v>
      </c>
      <c r="B5" s="118">
        <v>0.378</v>
      </c>
      <c r="C5" s="118">
        <v>0.35099999999999998</v>
      </c>
      <c r="D5" s="118">
        <v>0.39500000000000002</v>
      </c>
      <c r="E5" s="118">
        <v>0.40799999999999997</v>
      </c>
      <c r="F5" s="118">
        <v>0.442</v>
      </c>
      <c r="G5" s="118">
        <v>0.41199999999999998</v>
      </c>
      <c r="H5" s="129">
        <v>0.46299999999999997</v>
      </c>
      <c r="I5" s="134">
        <v>0.49399999999999999</v>
      </c>
      <c r="J5" s="136">
        <f t="shared" si="0"/>
        <v>0.11599999999999999</v>
      </c>
      <c r="K5" s="130">
        <v>704</v>
      </c>
      <c r="L5" s="130">
        <v>788</v>
      </c>
      <c r="M5" s="130">
        <v>887</v>
      </c>
      <c r="N5" s="130">
        <v>965</v>
      </c>
      <c r="O5" s="130">
        <v>973</v>
      </c>
      <c r="P5" s="132">
        <v>1002</v>
      </c>
      <c r="Q5" s="132">
        <v>1066</v>
      </c>
      <c r="R5" s="133">
        <v>1081</v>
      </c>
      <c r="S5" s="138">
        <f t="shared" si="1"/>
        <v>377</v>
      </c>
      <c r="T5" s="21"/>
    </row>
    <row r="6" spans="1:22" ht="12.75" customHeight="1" x14ac:dyDescent="0.2">
      <c r="A6" s="104" t="s">
        <v>118</v>
      </c>
      <c r="B6" s="118">
        <v>0.29299999999999998</v>
      </c>
      <c r="C6" s="118">
        <v>0.35899999999999999</v>
      </c>
      <c r="D6" s="118">
        <v>0.38</v>
      </c>
      <c r="E6" s="118">
        <v>0.38100000000000001</v>
      </c>
      <c r="F6" s="118">
        <v>0.39600000000000002</v>
      </c>
      <c r="G6" s="118">
        <v>0.34200000000000003</v>
      </c>
      <c r="H6" s="129">
        <v>0.40299999999999997</v>
      </c>
      <c r="I6" s="134">
        <v>0.40399999999999997</v>
      </c>
      <c r="J6" s="136">
        <f t="shared" si="0"/>
        <v>0.11099999999999999</v>
      </c>
      <c r="K6" s="130">
        <v>640</v>
      </c>
      <c r="L6" s="130">
        <v>746</v>
      </c>
      <c r="M6" s="130">
        <v>721</v>
      </c>
      <c r="N6" s="130">
        <v>904</v>
      </c>
      <c r="O6" s="130">
        <v>787</v>
      </c>
      <c r="P6" s="130">
        <v>879</v>
      </c>
      <c r="Q6" s="130">
        <v>1026</v>
      </c>
      <c r="R6" s="133">
        <v>1008</v>
      </c>
      <c r="S6" s="138">
        <f t="shared" si="1"/>
        <v>368</v>
      </c>
      <c r="T6" s="21"/>
    </row>
    <row r="7" spans="1:22" ht="12.75" customHeight="1" x14ac:dyDescent="0.2">
      <c r="A7" s="104" t="s">
        <v>131</v>
      </c>
      <c r="B7" s="118">
        <v>0.439</v>
      </c>
      <c r="C7" s="118">
        <v>0.432</v>
      </c>
      <c r="D7" s="118">
        <v>0.497</v>
      </c>
      <c r="E7" s="118">
        <v>0.53</v>
      </c>
      <c r="F7" s="118">
        <v>0.54500000000000004</v>
      </c>
      <c r="G7" s="118">
        <v>0.57899999999999996</v>
      </c>
      <c r="H7" s="129">
        <v>0.57799999999999996</v>
      </c>
      <c r="I7" s="134">
        <v>0.59499999999999997</v>
      </c>
      <c r="J7" s="136">
        <f t="shared" si="0"/>
        <v>0.15599999999999997</v>
      </c>
      <c r="K7" s="132">
        <v>2103</v>
      </c>
      <c r="L7" s="132">
        <v>2229</v>
      </c>
      <c r="M7" s="132">
        <v>2155</v>
      </c>
      <c r="N7" s="132">
        <v>2413</v>
      </c>
      <c r="O7" s="132">
        <v>2730</v>
      </c>
      <c r="P7" s="132">
        <v>3242</v>
      </c>
      <c r="Q7" s="132">
        <v>2978</v>
      </c>
      <c r="R7" s="133">
        <v>3252</v>
      </c>
      <c r="S7" s="138">
        <f t="shared" si="1"/>
        <v>1149</v>
      </c>
      <c r="T7" s="21"/>
    </row>
    <row r="8" spans="1:22" ht="12.75" customHeight="1" x14ac:dyDescent="0.2">
      <c r="A8" s="104" t="s">
        <v>143</v>
      </c>
      <c r="B8" s="118">
        <v>0.51800000000000002</v>
      </c>
      <c r="C8" s="118">
        <v>0.51300000000000001</v>
      </c>
      <c r="D8" s="118">
        <v>0.498</v>
      </c>
      <c r="E8" s="118">
        <v>0.52</v>
      </c>
      <c r="F8" s="118">
        <v>0.51700000000000002</v>
      </c>
      <c r="G8" s="118">
        <v>0.56999999999999995</v>
      </c>
      <c r="H8" s="129">
        <v>0.55299999999999994</v>
      </c>
      <c r="I8" s="134">
        <v>0.51500000000000001</v>
      </c>
      <c r="J8" s="136">
        <f t="shared" si="0"/>
        <v>-3.0000000000000027E-3</v>
      </c>
      <c r="K8" s="132">
        <v>1772</v>
      </c>
      <c r="L8" s="132">
        <v>1872</v>
      </c>
      <c r="M8" s="132">
        <v>1717</v>
      </c>
      <c r="N8" s="132">
        <v>1700</v>
      </c>
      <c r="O8" s="132">
        <v>1812</v>
      </c>
      <c r="P8" s="132">
        <v>1874</v>
      </c>
      <c r="Q8" s="132">
        <v>2011</v>
      </c>
      <c r="R8" s="133">
        <v>2059</v>
      </c>
      <c r="S8" s="138">
        <f t="shared" si="1"/>
        <v>287</v>
      </c>
      <c r="T8" s="21"/>
    </row>
    <row r="9" spans="1:22" ht="12.75" customHeight="1" x14ac:dyDescent="0.2">
      <c r="A9" s="104" t="s">
        <v>154</v>
      </c>
      <c r="B9" s="118">
        <v>0.24099999999999999</v>
      </c>
      <c r="C9" s="118">
        <v>0.219</v>
      </c>
      <c r="D9" s="118">
        <v>0.27300000000000002</v>
      </c>
      <c r="E9" s="118">
        <v>0.26200000000000001</v>
      </c>
      <c r="F9" s="118">
        <v>0.245</v>
      </c>
      <c r="G9" s="118">
        <v>0.28499999999999998</v>
      </c>
      <c r="H9" s="129">
        <v>0.32600000000000001</v>
      </c>
      <c r="I9" s="134">
        <v>0.312</v>
      </c>
      <c r="J9" s="136">
        <f t="shared" si="0"/>
        <v>7.1000000000000008E-2</v>
      </c>
      <c r="K9" s="130">
        <v>189</v>
      </c>
      <c r="L9" s="130">
        <v>193</v>
      </c>
      <c r="M9" s="130">
        <v>149</v>
      </c>
      <c r="N9" s="130">
        <v>171</v>
      </c>
      <c r="O9" s="130">
        <v>220</v>
      </c>
      <c r="P9" s="130">
        <v>176</v>
      </c>
      <c r="Q9" s="130">
        <v>190</v>
      </c>
      <c r="R9" s="131">
        <v>202</v>
      </c>
      <c r="S9" s="138">
        <f t="shared" si="1"/>
        <v>13</v>
      </c>
      <c r="T9" s="21"/>
    </row>
    <row r="10" spans="1:22" ht="12.75" customHeight="1" x14ac:dyDescent="0.2">
      <c r="A10" s="104" t="s">
        <v>166</v>
      </c>
      <c r="B10" s="118" t="s">
        <v>738</v>
      </c>
      <c r="C10" s="118" t="s">
        <v>738</v>
      </c>
      <c r="D10" s="118" t="s">
        <v>738</v>
      </c>
      <c r="E10" s="118" t="s">
        <v>738</v>
      </c>
      <c r="F10" s="118" t="s">
        <v>738</v>
      </c>
      <c r="G10" s="118" t="s">
        <v>738</v>
      </c>
      <c r="H10" s="118" t="s">
        <v>173</v>
      </c>
      <c r="I10" s="134" t="s">
        <v>173</v>
      </c>
      <c r="J10" s="137" t="s">
        <v>173</v>
      </c>
      <c r="K10" s="130">
        <v>176</v>
      </c>
      <c r="L10" s="130">
        <v>148</v>
      </c>
      <c r="M10" s="130">
        <v>176</v>
      </c>
      <c r="N10" s="130">
        <v>160</v>
      </c>
      <c r="O10" s="130">
        <v>141</v>
      </c>
      <c r="P10" s="130">
        <v>168</v>
      </c>
      <c r="Q10" s="130">
        <v>154</v>
      </c>
      <c r="R10" s="131">
        <v>151</v>
      </c>
      <c r="S10" s="138">
        <f t="shared" si="1"/>
        <v>-25</v>
      </c>
      <c r="T10" s="21"/>
    </row>
    <row r="11" spans="1:22" ht="12.75" customHeight="1" x14ac:dyDescent="0.2">
      <c r="A11" s="104" t="s">
        <v>176</v>
      </c>
      <c r="B11" s="118">
        <v>0.42599999999999999</v>
      </c>
      <c r="C11" s="118">
        <v>0.51800000000000002</v>
      </c>
      <c r="D11" s="118">
        <v>0.501</v>
      </c>
      <c r="E11" s="118">
        <v>0.53200000000000003</v>
      </c>
      <c r="F11" s="118">
        <v>0.495</v>
      </c>
      <c r="G11" s="118">
        <v>0.47499999999999998</v>
      </c>
      <c r="H11" s="129">
        <v>0.47600000000000003</v>
      </c>
      <c r="I11" s="134">
        <v>0.52600000000000002</v>
      </c>
      <c r="J11" s="136">
        <f>I11-B11</f>
        <v>0.10000000000000003</v>
      </c>
      <c r="K11" s="132">
        <v>1144</v>
      </c>
      <c r="L11" s="132">
        <v>1211</v>
      </c>
      <c r="M11" s="132">
        <v>1381</v>
      </c>
      <c r="N11" s="132">
        <v>1469</v>
      </c>
      <c r="O11" s="132">
        <v>1723</v>
      </c>
      <c r="P11" s="132">
        <v>1398</v>
      </c>
      <c r="Q11" s="132">
        <v>1630</v>
      </c>
      <c r="R11" s="133">
        <v>1831</v>
      </c>
      <c r="S11" s="138">
        <f t="shared" si="1"/>
        <v>687</v>
      </c>
      <c r="T11" s="21"/>
    </row>
    <row r="12" spans="1:22" ht="12.75" customHeight="1" x14ac:dyDescent="0.2">
      <c r="A12" s="104" t="s">
        <v>187</v>
      </c>
      <c r="B12" s="118" t="s">
        <v>738</v>
      </c>
      <c r="C12" s="118">
        <v>0.46800000000000003</v>
      </c>
      <c r="D12" s="118">
        <v>0.45300000000000001</v>
      </c>
      <c r="E12" s="118">
        <v>0.48699999999999999</v>
      </c>
      <c r="F12" s="118">
        <v>0.45100000000000001</v>
      </c>
      <c r="G12" s="118">
        <v>0.46</v>
      </c>
      <c r="H12" s="129">
        <v>0.45700000000000002</v>
      </c>
      <c r="I12" s="134">
        <v>0.51300000000000001</v>
      </c>
      <c r="J12" s="136" t="s">
        <v>173</v>
      </c>
      <c r="K12" s="130">
        <v>371</v>
      </c>
      <c r="L12" s="130">
        <v>442</v>
      </c>
      <c r="M12" s="130">
        <v>595</v>
      </c>
      <c r="N12" s="130">
        <v>617</v>
      </c>
      <c r="O12" s="130">
        <v>705</v>
      </c>
      <c r="P12" s="130">
        <v>798</v>
      </c>
      <c r="Q12" s="130">
        <v>805</v>
      </c>
      <c r="R12" s="131">
        <v>836</v>
      </c>
      <c r="S12" s="138">
        <f t="shared" si="1"/>
        <v>465</v>
      </c>
      <c r="T12" s="21"/>
    </row>
    <row r="13" spans="1:22" ht="12.75" customHeight="1" x14ac:dyDescent="0.2">
      <c r="A13" s="104" t="s">
        <v>197</v>
      </c>
      <c r="B13" s="118">
        <v>0.77</v>
      </c>
      <c r="C13" s="118">
        <v>0.79200000000000004</v>
      </c>
      <c r="D13" s="118">
        <v>0.80900000000000005</v>
      </c>
      <c r="E13" s="118">
        <v>0.81599999999999995</v>
      </c>
      <c r="F13" s="118">
        <v>0.83599999999999997</v>
      </c>
      <c r="G13" s="118">
        <v>0.83599999999999997</v>
      </c>
      <c r="H13" s="129">
        <v>0.84200000000000008</v>
      </c>
      <c r="I13" s="134">
        <v>0.84799999999999998</v>
      </c>
      <c r="J13" s="136">
        <f>I13-B13</f>
        <v>7.7999999999999958E-2</v>
      </c>
      <c r="K13" s="132">
        <v>7512</v>
      </c>
      <c r="L13" s="132">
        <v>7698</v>
      </c>
      <c r="M13" s="132">
        <v>7914</v>
      </c>
      <c r="N13" s="132">
        <v>8163</v>
      </c>
      <c r="O13" s="132">
        <v>8118</v>
      </c>
      <c r="P13" s="132">
        <v>8451</v>
      </c>
      <c r="Q13" s="132">
        <v>9020</v>
      </c>
      <c r="R13" s="133">
        <v>9261</v>
      </c>
      <c r="S13" s="138">
        <f t="shared" si="1"/>
        <v>1749</v>
      </c>
      <c r="T13" s="21"/>
    </row>
    <row r="14" spans="1:22" ht="12.75" customHeight="1" x14ac:dyDescent="0.2">
      <c r="A14" s="104" t="s">
        <v>210</v>
      </c>
      <c r="B14" s="118" t="s">
        <v>738</v>
      </c>
      <c r="C14" s="118" t="s">
        <v>738</v>
      </c>
      <c r="D14" s="118" t="s">
        <v>738</v>
      </c>
      <c r="E14" s="118" t="s">
        <v>738</v>
      </c>
      <c r="F14" s="118" t="s">
        <v>738</v>
      </c>
      <c r="G14" s="118" t="s">
        <v>738</v>
      </c>
      <c r="H14" s="129" t="s">
        <v>173</v>
      </c>
      <c r="I14" s="134" t="s">
        <v>173</v>
      </c>
      <c r="J14" s="137" t="s">
        <v>173</v>
      </c>
      <c r="K14" s="130" t="s">
        <v>738</v>
      </c>
      <c r="L14" s="130" t="s">
        <v>738</v>
      </c>
      <c r="M14" s="130" t="s">
        <v>738</v>
      </c>
      <c r="N14" s="130" t="s">
        <v>738</v>
      </c>
      <c r="O14" s="130" t="s">
        <v>738</v>
      </c>
      <c r="P14" s="130">
        <v>450</v>
      </c>
      <c r="Q14" s="130">
        <v>469</v>
      </c>
      <c r="R14" s="131">
        <v>480</v>
      </c>
      <c r="S14" s="138" t="s">
        <v>173</v>
      </c>
      <c r="T14" s="21"/>
    </row>
    <row r="15" spans="1:22" ht="12.75" customHeight="1" x14ac:dyDescent="0.2">
      <c r="A15" s="104" t="s">
        <v>218</v>
      </c>
      <c r="B15" s="118">
        <v>0.46400000000000002</v>
      </c>
      <c r="C15" s="118">
        <v>0.42299999999999999</v>
      </c>
      <c r="D15" s="118">
        <v>0.48099999999999998</v>
      </c>
      <c r="E15" s="118">
        <v>0.42499999999999999</v>
      </c>
      <c r="F15" s="118">
        <v>0.435</v>
      </c>
      <c r="G15" s="118">
        <v>0.44800000000000001</v>
      </c>
      <c r="H15" s="129">
        <v>0.44600000000000001</v>
      </c>
      <c r="I15" s="134">
        <v>0.51300000000000001</v>
      </c>
      <c r="J15" s="136">
        <f>I15-B15</f>
        <v>4.8999999999999988E-2</v>
      </c>
      <c r="K15" s="132">
        <v>1026</v>
      </c>
      <c r="L15" s="130">
        <v>926</v>
      </c>
      <c r="M15" s="132">
        <v>1080</v>
      </c>
      <c r="N15" s="132">
        <v>1247</v>
      </c>
      <c r="O15" s="132">
        <v>1290</v>
      </c>
      <c r="P15" s="132">
        <v>1153</v>
      </c>
      <c r="Q15" s="132">
        <v>1507</v>
      </c>
      <c r="R15" s="133">
        <v>1518</v>
      </c>
      <c r="S15" s="138">
        <f>R15-K15</f>
        <v>492</v>
      </c>
      <c r="T15" s="21"/>
    </row>
    <row r="16" spans="1:22" ht="12.75" customHeight="1" x14ac:dyDescent="0.2">
      <c r="A16" s="104" t="s">
        <v>227</v>
      </c>
      <c r="B16" s="118">
        <v>0.499</v>
      </c>
      <c r="C16" s="118">
        <v>0.46500000000000002</v>
      </c>
      <c r="D16" s="118">
        <v>0.54</v>
      </c>
      <c r="E16" s="118">
        <v>0.53800000000000003</v>
      </c>
      <c r="F16" s="118">
        <v>0.52900000000000003</v>
      </c>
      <c r="G16" s="118">
        <v>0.503</v>
      </c>
      <c r="H16" s="129">
        <v>0.51</v>
      </c>
      <c r="I16" s="134">
        <v>0.501</v>
      </c>
      <c r="J16" s="136">
        <f>I16-B16</f>
        <v>2.0000000000000018E-3</v>
      </c>
      <c r="K16" s="130">
        <v>910</v>
      </c>
      <c r="L16" s="130">
        <v>959</v>
      </c>
      <c r="M16" s="132">
        <v>1102</v>
      </c>
      <c r="N16" s="132">
        <v>1183</v>
      </c>
      <c r="O16" s="132">
        <v>1340</v>
      </c>
      <c r="P16" s="132">
        <v>1335</v>
      </c>
      <c r="Q16" s="132">
        <v>1515</v>
      </c>
      <c r="R16" s="133">
        <v>1464</v>
      </c>
      <c r="S16" s="138">
        <f>R16-K16</f>
        <v>554</v>
      </c>
      <c r="T16" s="21"/>
    </row>
    <row r="17" spans="1:22" ht="12.75" customHeight="1" x14ac:dyDescent="0.2">
      <c r="A17" s="104" t="s">
        <v>236</v>
      </c>
      <c r="B17" s="118">
        <v>0.59699999999999998</v>
      </c>
      <c r="C17" s="118">
        <v>0.50800000000000001</v>
      </c>
      <c r="D17" s="118">
        <v>0.52400000000000002</v>
      </c>
      <c r="E17" s="118">
        <v>0.61899999999999999</v>
      </c>
      <c r="F17" s="118">
        <v>0.59899999999999998</v>
      </c>
      <c r="G17" s="118">
        <v>0.59199999999999997</v>
      </c>
      <c r="H17" s="129">
        <v>0.626</v>
      </c>
      <c r="I17" s="134">
        <v>0.58399999999999996</v>
      </c>
      <c r="J17" s="136">
        <f>I17-B17</f>
        <v>-1.3000000000000012E-2</v>
      </c>
      <c r="K17" s="130">
        <v>196</v>
      </c>
      <c r="L17" s="130">
        <v>152</v>
      </c>
      <c r="M17" s="130">
        <v>222</v>
      </c>
      <c r="N17" s="130">
        <v>246</v>
      </c>
      <c r="O17" s="130">
        <v>258</v>
      </c>
      <c r="P17" s="130">
        <v>262</v>
      </c>
      <c r="Q17" s="130">
        <v>314</v>
      </c>
      <c r="R17" s="131">
        <v>309</v>
      </c>
      <c r="S17" s="138">
        <f>R17-K17</f>
        <v>113</v>
      </c>
      <c r="T17" s="21"/>
    </row>
    <row r="18" spans="1:22" ht="12.75" customHeight="1" x14ac:dyDescent="0.2">
      <c r="A18" s="104" t="s">
        <v>249</v>
      </c>
      <c r="B18" s="118">
        <v>0.26800000000000002</v>
      </c>
      <c r="C18" s="118">
        <v>0.32800000000000001</v>
      </c>
      <c r="D18" s="118">
        <v>0.32200000000000001</v>
      </c>
      <c r="E18" s="118">
        <v>0.36399999999999999</v>
      </c>
      <c r="F18" s="118">
        <v>0.35</v>
      </c>
      <c r="G18" s="118">
        <v>0.41699999999999998</v>
      </c>
      <c r="H18" s="129">
        <v>0.39200000000000002</v>
      </c>
      <c r="I18" s="134">
        <v>0.41899999999999998</v>
      </c>
      <c r="J18" s="136">
        <f>I18-B18</f>
        <v>0.15099999999999997</v>
      </c>
      <c r="K18" s="130">
        <v>708</v>
      </c>
      <c r="L18" s="130">
        <v>716</v>
      </c>
      <c r="M18" s="130">
        <v>813</v>
      </c>
      <c r="N18" s="130">
        <v>959</v>
      </c>
      <c r="O18" s="130">
        <v>942</v>
      </c>
      <c r="P18" s="130">
        <v>692</v>
      </c>
      <c r="Q18" s="130">
        <v>855</v>
      </c>
      <c r="R18" s="131">
        <v>998</v>
      </c>
      <c r="S18" s="138">
        <f>R18-K18</f>
        <v>290</v>
      </c>
      <c r="T18" s="21"/>
    </row>
    <row r="19" spans="1:22" ht="12.75" customHeight="1" x14ac:dyDescent="0.2">
      <c r="A19" s="104" t="s">
        <v>259</v>
      </c>
      <c r="B19" s="118" t="s">
        <v>738</v>
      </c>
      <c r="C19" s="118" t="s">
        <v>738</v>
      </c>
      <c r="D19" s="118" t="s">
        <v>738</v>
      </c>
      <c r="E19" s="118" t="s">
        <v>738</v>
      </c>
      <c r="F19" s="118" t="s">
        <v>738</v>
      </c>
      <c r="G19" s="118" t="s">
        <v>738</v>
      </c>
      <c r="H19" s="118" t="s">
        <v>738</v>
      </c>
      <c r="I19" s="134" t="s">
        <v>173</v>
      </c>
      <c r="J19" s="137" t="s">
        <v>173</v>
      </c>
      <c r="K19" s="130" t="s">
        <v>738</v>
      </c>
      <c r="L19" s="130" t="s">
        <v>738</v>
      </c>
      <c r="M19" s="130" t="s">
        <v>738</v>
      </c>
      <c r="N19" s="130" t="s">
        <v>738</v>
      </c>
      <c r="O19" s="130" t="s">
        <v>738</v>
      </c>
      <c r="P19" s="130">
        <v>496</v>
      </c>
      <c r="Q19" s="130">
        <v>647</v>
      </c>
      <c r="R19" s="131">
        <v>797</v>
      </c>
      <c r="S19" s="138" t="s">
        <v>173</v>
      </c>
      <c r="T19" s="21"/>
    </row>
    <row r="20" spans="1:22" ht="12.75" customHeight="1" x14ac:dyDescent="0.2">
      <c r="A20" s="104" t="s">
        <v>267</v>
      </c>
      <c r="B20" s="118" t="s">
        <v>738</v>
      </c>
      <c r="C20" s="118" t="s">
        <v>738</v>
      </c>
      <c r="D20" s="118" t="s">
        <v>738</v>
      </c>
      <c r="E20" s="118" t="s">
        <v>738</v>
      </c>
      <c r="F20" s="118" t="s">
        <v>738</v>
      </c>
      <c r="G20" s="118" t="s">
        <v>738</v>
      </c>
      <c r="H20" s="118" t="s">
        <v>738</v>
      </c>
      <c r="I20" s="134" t="s">
        <v>173</v>
      </c>
      <c r="J20" s="137" t="s">
        <v>173</v>
      </c>
      <c r="K20" s="130">
        <v>243</v>
      </c>
      <c r="L20" s="130">
        <v>254</v>
      </c>
      <c r="M20" s="130">
        <v>271</v>
      </c>
      <c r="N20" s="130">
        <v>314</v>
      </c>
      <c r="O20" s="130">
        <v>354</v>
      </c>
      <c r="P20" s="130">
        <v>326</v>
      </c>
      <c r="Q20" s="130">
        <v>376</v>
      </c>
      <c r="R20" s="131">
        <v>334</v>
      </c>
      <c r="S20" s="138">
        <f t="shared" ref="S20:S38" si="2">R20-K20</f>
        <v>91</v>
      </c>
      <c r="T20" s="21"/>
    </row>
    <row r="21" spans="1:22" ht="12.75" customHeight="1" x14ac:dyDescent="0.2">
      <c r="A21" s="104" t="s">
        <v>277</v>
      </c>
      <c r="B21" s="118">
        <v>0.14399999999999999</v>
      </c>
      <c r="C21" s="118">
        <v>0.215</v>
      </c>
      <c r="D21" s="118">
        <v>0.16400000000000001</v>
      </c>
      <c r="E21" s="118">
        <v>0.13800000000000001</v>
      </c>
      <c r="F21" s="118">
        <v>0.14799999999999999</v>
      </c>
      <c r="G21" s="118">
        <v>0.14899999999999999</v>
      </c>
      <c r="H21" s="129">
        <v>0.14099999999999999</v>
      </c>
      <c r="I21" s="134">
        <v>0.16399999999999998</v>
      </c>
      <c r="J21" s="136">
        <f t="shared" ref="J21:J26" si="3">I21-B21</f>
        <v>1.999999999999999E-2</v>
      </c>
      <c r="K21" s="130">
        <v>506</v>
      </c>
      <c r="L21" s="130">
        <v>460</v>
      </c>
      <c r="M21" s="130">
        <v>463</v>
      </c>
      <c r="N21" s="130">
        <v>605</v>
      </c>
      <c r="O21" s="130">
        <v>821</v>
      </c>
      <c r="P21" s="130">
        <v>817</v>
      </c>
      <c r="Q21" s="130">
        <v>737</v>
      </c>
      <c r="R21" s="131">
        <v>768</v>
      </c>
      <c r="S21" s="138">
        <f t="shared" si="2"/>
        <v>262</v>
      </c>
      <c r="T21" s="21"/>
    </row>
    <row r="22" spans="1:22" ht="12.75" customHeight="1" x14ac:dyDescent="0.2">
      <c r="A22" s="115" t="s">
        <v>287</v>
      </c>
      <c r="B22" s="118">
        <v>0.52900000000000003</v>
      </c>
      <c r="C22" s="118">
        <v>0.56499999999999995</v>
      </c>
      <c r="D22" s="118">
        <v>0.58599999999999997</v>
      </c>
      <c r="E22" s="118">
        <v>0.61899999999999999</v>
      </c>
      <c r="F22" s="118">
        <v>0.63800000000000001</v>
      </c>
      <c r="G22" s="118">
        <v>0.64400000000000002</v>
      </c>
      <c r="H22" s="129">
        <v>0.61399999999999999</v>
      </c>
      <c r="I22" s="134">
        <v>0.6409999999999999</v>
      </c>
      <c r="J22" s="136">
        <f t="shared" si="3"/>
        <v>0.11199999999999988</v>
      </c>
      <c r="K22" s="132">
        <v>3418</v>
      </c>
      <c r="L22" s="132">
        <v>3817</v>
      </c>
      <c r="M22" s="132">
        <v>4154</v>
      </c>
      <c r="N22" s="132">
        <v>4517</v>
      </c>
      <c r="O22" s="132">
        <v>5017</v>
      </c>
      <c r="P22" s="132">
        <v>5299</v>
      </c>
      <c r="Q22" s="132">
        <v>5435</v>
      </c>
      <c r="R22" s="133">
        <v>5770</v>
      </c>
      <c r="S22" s="138">
        <f t="shared" si="2"/>
        <v>2352</v>
      </c>
      <c r="T22" s="21"/>
    </row>
    <row r="23" spans="1:22" ht="12.75" customHeight="1" x14ac:dyDescent="0.2">
      <c r="A23" s="104" t="s">
        <v>299</v>
      </c>
      <c r="B23" s="118">
        <v>0.57199999999999995</v>
      </c>
      <c r="C23" s="118">
        <v>0.61799999999999999</v>
      </c>
      <c r="D23" s="118">
        <v>0.65500000000000003</v>
      </c>
      <c r="E23" s="118">
        <v>0.66</v>
      </c>
      <c r="F23" s="118">
        <v>0.68799999999999994</v>
      </c>
      <c r="G23" s="118">
        <v>0.72799999999999998</v>
      </c>
      <c r="H23" s="129">
        <v>0.73599999999999999</v>
      </c>
      <c r="I23" s="134">
        <v>0.70000000000000007</v>
      </c>
      <c r="J23" s="136">
        <f t="shared" si="3"/>
        <v>0.12800000000000011</v>
      </c>
      <c r="K23" s="132">
        <v>3643</v>
      </c>
      <c r="L23" s="132">
        <v>3625</v>
      </c>
      <c r="M23" s="132">
        <v>3918</v>
      </c>
      <c r="N23" s="132">
        <v>4458</v>
      </c>
      <c r="O23" s="132">
        <v>4777</v>
      </c>
      <c r="P23" s="132">
        <v>4476</v>
      </c>
      <c r="Q23" s="132">
        <v>4941</v>
      </c>
      <c r="R23" s="133">
        <v>5206</v>
      </c>
      <c r="S23" s="138">
        <f t="shared" si="2"/>
        <v>1563</v>
      </c>
      <c r="T23" s="21"/>
    </row>
    <row r="24" spans="1:22" ht="12.75" customHeight="1" x14ac:dyDescent="0.2">
      <c r="A24" s="104" t="s">
        <v>310</v>
      </c>
      <c r="B24" s="118">
        <v>0.48499999999999999</v>
      </c>
      <c r="C24" s="118">
        <v>0.48599999999999999</v>
      </c>
      <c r="D24" s="118">
        <v>0.52500000000000002</v>
      </c>
      <c r="E24" s="118">
        <v>0.504</v>
      </c>
      <c r="F24" s="118">
        <v>0.55200000000000005</v>
      </c>
      <c r="G24" s="118">
        <v>0.54500000000000004</v>
      </c>
      <c r="H24" s="129">
        <v>0.54200000000000004</v>
      </c>
      <c r="I24" s="134">
        <v>0.50700000000000001</v>
      </c>
      <c r="J24" s="136">
        <f t="shared" si="3"/>
        <v>2.200000000000002E-2</v>
      </c>
      <c r="K24" s="132">
        <v>1191</v>
      </c>
      <c r="L24" s="130">
        <v>954</v>
      </c>
      <c r="M24" s="130">
        <v>995</v>
      </c>
      <c r="N24" s="132">
        <v>1188</v>
      </c>
      <c r="O24" s="132">
        <v>1472</v>
      </c>
      <c r="P24" s="132">
        <v>1774</v>
      </c>
      <c r="Q24" s="132">
        <v>1919</v>
      </c>
      <c r="R24" s="133">
        <v>1934</v>
      </c>
      <c r="S24" s="138">
        <f t="shared" si="2"/>
        <v>743</v>
      </c>
      <c r="T24" s="21"/>
    </row>
    <row r="25" spans="1:22" ht="12.75" customHeight="1" x14ac:dyDescent="0.2">
      <c r="A25" s="104" t="s">
        <v>319</v>
      </c>
      <c r="B25" s="118">
        <v>0.374</v>
      </c>
      <c r="C25" s="118">
        <v>0.436</v>
      </c>
      <c r="D25" s="118">
        <v>0.441</v>
      </c>
      <c r="E25" s="118">
        <v>0.497</v>
      </c>
      <c r="F25" s="118">
        <v>0.496</v>
      </c>
      <c r="G25" s="118">
        <v>0.50700000000000001</v>
      </c>
      <c r="H25" s="129">
        <v>0.55500000000000005</v>
      </c>
      <c r="I25" s="134">
        <v>0.52200000000000002</v>
      </c>
      <c r="J25" s="136">
        <f t="shared" si="3"/>
        <v>0.14800000000000002</v>
      </c>
      <c r="K25" s="132">
        <v>2813</v>
      </c>
      <c r="L25" s="132">
        <v>2892</v>
      </c>
      <c r="M25" s="132">
        <v>3280</v>
      </c>
      <c r="N25" s="132">
        <v>3531</v>
      </c>
      <c r="O25" s="132">
        <v>3920</v>
      </c>
      <c r="P25" s="132">
        <v>4178</v>
      </c>
      <c r="Q25" s="132">
        <v>5773</v>
      </c>
      <c r="R25" s="133">
        <v>6343</v>
      </c>
      <c r="S25" s="138">
        <f t="shared" si="2"/>
        <v>3530</v>
      </c>
      <c r="T25" s="21"/>
    </row>
    <row r="26" spans="1:22" ht="12.75" customHeight="1" x14ac:dyDescent="0.2">
      <c r="A26" s="104" t="s">
        <v>331</v>
      </c>
      <c r="B26" s="118">
        <v>0.72199999999999998</v>
      </c>
      <c r="C26" s="118">
        <v>0.751</v>
      </c>
      <c r="D26" s="118">
        <v>0.78</v>
      </c>
      <c r="E26" s="118">
        <v>0.79800000000000004</v>
      </c>
      <c r="F26" s="118">
        <v>0.81299999999999994</v>
      </c>
      <c r="G26" s="118">
        <v>0.82899999999999996</v>
      </c>
      <c r="H26" s="129">
        <v>0.82500000000000007</v>
      </c>
      <c r="I26" s="134">
        <v>0.82799999999999996</v>
      </c>
      <c r="J26" s="136">
        <f t="shared" si="3"/>
        <v>0.10599999999999998</v>
      </c>
      <c r="K26" s="132">
        <v>7803</v>
      </c>
      <c r="L26" s="132">
        <v>8005</v>
      </c>
      <c r="M26" s="132">
        <v>8959</v>
      </c>
      <c r="N26" s="132">
        <v>8878</v>
      </c>
      <c r="O26" s="132">
        <v>8617</v>
      </c>
      <c r="P26" s="132">
        <v>8952</v>
      </c>
      <c r="Q26" s="132">
        <v>8860</v>
      </c>
      <c r="R26" s="133">
        <v>9207</v>
      </c>
      <c r="S26" s="138">
        <f t="shared" si="2"/>
        <v>1404</v>
      </c>
      <c r="T26" s="21"/>
    </row>
    <row r="27" spans="1:22" ht="12.75" customHeight="1" x14ac:dyDescent="0.2">
      <c r="A27" s="104" t="s">
        <v>343</v>
      </c>
      <c r="B27" s="118" t="s">
        <v>738</v>
      </c>
      <c r="C27" s="118" t="s">
        <v>738</v>
      </c>
      <c r="D27" s="118" t="s">
        <v>738</v>
      </c>
      <c r="E27" s="118" t="s">
        <v>738</v>
      </c>
      <c r="F27" s="118" t="s">
        <v>738</v>
      </c>
      <c r="G27" s="118" t="s">
        <v>738</v>
      </c>
      <c r="H27" s="118" t="s">
        <v>738</v>
      </c>
      <c r="I27" s="118" t="s">
        <v>738</v>
      </c>
      <c r="J27" s="136" t="s">
        <v>173</v>
      </c>
      <c r="K27" s="130">
        <v>475</v>
      </c>
      <c r="L27" s="130">
        <v>618</v>
      </c>
      <c r="M27" s="130">
        <v>684</v>
      </c>
      <c r="N27" s="130">
        <v>788</v>
      </c>
      <c r="O27" s="130">
        <v>900</v>
      </c>
      <c r="P27" s="132">
        <v>1052</v>
      </c>
      <c r="Q27" s="132">
        <v>1149</v>
      </c>
      <c r="R27" s="133">
        <v>1012</v>
      </c>
      <c r="S27" s="138">
        <f t="shared" si="2"/>
        <v>537</v>
      </c>
      <c r="T27" s="21"/>
      <c r="V27" s="11" t="s">
        <v>239</v>
      </c>
    </row>
    <row r="28" spans="1:22" ht="12.75" customHeight="1" x14ac:dyDescent="0.2">
      <c r="A28" s="104" t="s">
        <v>351</v>
      </c>
      <c r="B28" s="118">
        <v>0.59899999999999998</v>
      </c>
      <c r="C28" s="118">
        <v>0.64700000000000002</v>
      </c>
      <c r="D28" s="118">
        <v>0.65600000000000003</v>
      </c>
      <c r="E28" s="118">
        <v>0.64</v>
      </c>
      <c r="F28" s="118">
        <v>0.68200000000000005</v>
      </c>
      <c r="G28" s="118">
        <v>0.70699999999999996</v>
      </c>
      <c r="H28" s="129">
        <v>0.71900000000000008</v>
      </c>
      <c r="I28" s="134">
        <v>0.69500000000000006</v>
      </c>
      <c r="J28" s="136">
        <f>I28-B28</f>
        <v>9.6000000000000085E-2</v>
      </c>
      <c r="K28" s="132">
        <v>1303</v>
      </c>
      <c r="L28" s="132">
        <v>1537</v>
      </c>
      <c r="M28" s="132">
        <v>1823</v>
      </c>
      <c r="N28" s="132">
        <v>2158</v>
      </c>
      <c r="O28" s="132">
        <v>2314</v>
      </c>
      <c r="P28" s="132">
        <v>2355</v>
      </c>
      <c r="Q28" s="132">
        <v>2510</v>
      </c>
      <c r="R28" s="133">
        <v>2785</v>
      </c>
      <c r="S28" s="138">
        <f t="shared" si="2"/>
        <v>1482</v>
      </c>
      <c r="T28" s="21"/>
    </row>
    <row r="29" spans="1:22" ht="12.75" customHeight="1" x14ac:dyDescent="0.2">
      <c r="A29" s="104" t="s">
        <v>362</v>
      </c>
      <c r="B29" s="118">
        <v>0.247</v>
      </c>
      <c r="C29" s="118">
        <v>0.27</v>
      </c>
      <c r="D29" s="118">
        <v>0.29699999999999999</v>
      </c>
      <c r="E29" s="118">
        <v>0.315</v>
      </c>
      <c r="F29" s="118">
        <v>0.33800000000000002</v>
      </c>
      <c r="G29" s="118">
        <v>0.374</v>
      </c>
      <c r="H29" s="129">
        <v>0.41200000000000003</v>
      </c>
      <c r="I29" s="134">
        <v>0.433</v>
      </c>
      <c r="J29" s="136">
        <f>I29-B29</f>
        <v>0.186</v>
      </c>
      <c r="K29" s="132">
        <v>1695</v>
      </c>
      <c r="L29" s="132">
        <v>1692</v>
      </c>
      <c r="M29" s="132">
        <v>1754</v>
      </c>
      <c r="N29" s="132">
        <v>2106</v>
      </c>
      <c r="O29" s="132">
        <v>2749</v>
      </c>
      <c r="P29" s="132">
        <v>3031</v>
      </c>
      <c r="Q29" s="132">
        <v>3132</v>
      </c>
      <c r="R29" s="133">
        <v>3123</v>
      </c>
      <c r="S29" s="138">
        <f t="shared" si="2"/>
        <v>1428</v>
      </c>
      <c r="T29" s="21"/>
    </row>
    <row r="30" spans="1:22" ht="12.75" customHeight="1" x14ac:dyDescent="0.2">
      <c r="A30" s="104" t="s">
        <v>371</v>
      </c>
      <c r="B30" s="118">
        <v>0.26500000000000001</v>
      </c>
      <c r="C30" s="118">
        <v>0.28199999999999997</v>
      </c>
      <c r="D30" s="118">
        <v>0.312</v>
      </c>
      <c r="E30" s="118">
        <v>0.37</v>
      </c>
      <c r="F30" s="118">
        <v>0.40200000000000002</v>
      </c>
      <c r="G30" s="118">
        <v>0.38900000000000001</v>
      </c>
      <c r="H30" s="129">
        <v>0.44</v>
      </c>
      <c r="I30" s="134">
        <v>0.441</v>
      </c>
      <c r="J30" s="136">
        <f>I30-B30</f>
        <v>0.17599999999999999</v>
      </c>
      <c r="K30" s="132">
        <v>1340</v>
      </c>
      <c r="L30" s="132">
        <v>1597</v>
      </c>
      <c r="M30" s="132">
        <v>1894</v>
      </c>
      <c r="N30" s="132">
        <v>2287</v>
      </c>
      <c r="O30" s="132">
        <v>2420</v>
      </c>
      <c r="P30" s="132">
        <v>2620</v>
      </c>
      <c r="Q30" s="132">
        <v>2462</v>
      </c>
      <c r="R30" s="133">
        <v>2817</v>
      </c>
      <c r="S30" s="138">
        <f t="shared" si="2"/>
        <v>1477</v>
      </c>
      <c r="T30" s="21"/>
    </row>
    <row r="31" spans="1:22" ht="12.75" customHeight="1" x14ac:dyDescent="0.2">
      <c r="A31" s="104" t="s">
        <v>381</v>
      </c>
      <c r="B31" s="118">
        <v>0.42499999999999999</v>
      </c>
      <c r="C31" s="118">
        <v>0.29599999999999999</v>
      </c>
      <c r="D31" s="118">
        <v>0.42899999999999999</v>
      </c>
      <c r="E31" s="118">
        <v>0.40300000000000002</v>
      </c>
      <c r="F31" s="118">
        <v>0.42599999999999999</v>
      </c>
      <c r="G31" s="118">
        <v>0.44600000000000001</v>
      </c>
      <c r="H31" s="129">
        <v>0.47899999999999998</v>
      </c>
      <c r="I31" s="134">
        <v>0.371</v>
      </c>
      <c r="J31" s="136">
        <f>I31-B31</f>
        <v>-5.3999999999999992E-2</v>
      </c>
      <c r="K31" s="130">
        <v>334</v>
      </c>
      <c r="L31" s="130">
        <v>417</v>
      </c>
      <c r="M31" s="130">
        <v>443</v>
      </c>
      <c r="N31" s="130">
        <v>485</v>
      </c>
      <c r="O31" s="130">
        <v>518</v>
      </c>
      <c r="P31" s="130">
        <v>513</v>
      </c>
      <c r="Q31" s="130">
        <v>546</v>
      </c>
      <c r="R31" s="131">
        <v>569</v>
      </c>
      <c r="S31" s="138">
        <f t="shared" si="2"/>
        <v>235</v>
      </c>
      <c r="T31" s="21"/>
    </row>
    <row r="32" spans="1:22" ht="12.75" customHeight="1" x14ac:dyDescent="0.2">
      <c r="A32" s="104" t="s">
        <v>392</v>
      </c>
      <c r="B32" s="118">
        <v>0.34499999999999997</v>
      </c>
      <c r="C32" s="118">
        <v>0.34799999999999998</v>
      </c>
      <c r="D32" s="118">
        <v>0.37</v>
      </c>
      <c r="E32" s="118">
        <v>0.38200000000000001</v>
      </c>
      <c r="F32" s="118">
        <v>0.43099999999999999</v>
      </c>
      <c r="G32" s="118">
        <v>0.44</v>
      </c>
      <c r="H32" s="129">
        <v>0.43100000000000005</v>
      </c>
      <c r="I32" s="134">
        <v>0.49200000000000005</v>
      </c>
      <c r="J32" s="136">
        <f>I32-B32</f>
        <v>0.14700000000000008</v>
      </c>
      <c r="K32" s="132">
        <v>2487</v>
      </c>
      <c r="L32" s="132">
        <v>2637</v>
      </c>
      <c r="M32" s="132">
        <v>2912</v>
      </c>
      <c r="N32" s="132">
        <v>3492</v>
      </c>
      <c r="O32" s="132">
        <v>3596</v>
      </c>
      <c r="P32" s="132">
        <v>3968</v>
      </c>
      <c r="Q32" s="132">
        <v>4243</v>
      </c>
      <c r="R32" s="133">
        <v>4461</v>
      </c>
      <c r="S32" s="138">
        <f t="shared" si="2"/>
        <v>1974</v>
      </c>
      <c r="T32" s="21"/>
    </row>
    <row r="33" spans="1:21" ht="12.75" customHeight="1" x14ac:dyDescent="0.2">
      <c r="A33" s="104" t="s">
        <v>400</v>
      </c>
      <c r="B33" s="118" t="s">
        <v>738</v>
      </c>
      <c r="C33" s="118">
        <v>0</v>
      </c>
      <c r="D33" s="118">
        <v>0.55600000000000005</v>
      </c>
      <c r="E33" s="118">
        <v>0.50900000000000001</v>
      </c>
      <c r="F33" s="118">
        <v>0.442</v>
      </c>
      <c r="G33" s="118">
        <v>0.496</v>
      </c>
      <c r="H33" s="129">
        <v>0.51800000000000002</v>
      </c>
      <c r="I33" s="134">
        <v>0.58299999999999996</v>
      </c>
      <c r="J33" s="136" t="s">
        <v>173</v>
      </c>
      <c r="K33" s="130">
        <v>731</v>
      </c>
      <c r="L33" s="130">
        <v>684</v>
      </c>
      <c r="M33" s="130">
        <v>720</v>
      </c>
      <c r="N33" s="130">
        <v>897</v>
      </c>
      <c r="O33" s="130">
        <v>999</v>
      </c>
      <c r="P33" s="132">
        <v>1238</v>
      </c>
      <c r="Q33" s="132">
        <v>1144</v>
      </c>
      <c r="R33" s="133">
        <v>1271</v>
      </c>
      <c r="S33" s="138">
        <f t="shared" si="2"/>
        <v>540</v>
      </c>
      <c r="T33" s="21"/>
    </row>
    <row r="34" spans="1:21" ht="12.75" customHeight="1" x14ac:dyDescent="0.2">
      <c r="A34" s="104" t="s">
        <v>410</v>
      </c>
      <c r="B34" s="118">
        <v>0.44600000000000001</v>
      </c>
      <c r="C34" s="118">
        <v>0.436</v>
      </c>
      <c r="D34" s="118">
        <v>0.46600000000000003</v>
      </c>
      <c r="E34" s="118">
        <v>0.499</v>
      </c>
      <c r="F34" s="118">
        <v>0.49</v>
      </c>
      <c r="G34" s="118">
        <v>0.53100000000000003</v>
      </c>
      <c r="H34" s="129">
        <v>0.53600000000000003</v>
      </c>
      <c r="I34" s="134">
        <v>0.55000000000000004</v>
      </c>
      <c r="J34" s="136">
        <f>I34-B34</f>
        <v>0.10400000000000004</v>
      </c>
      <c r="K34" s="132">
        <v>3533</v>
      </c>
      <c r="L34" s="132">
        <v>3805</v>
      </c>
      <c r="M34" s="132">
        <v>4409</v>
      </c>
      <c r="N34" s="132">
        <v>4635</v>
      </c>
      <c r="O34" s="132">
        <v>4759</v>
      </c>
      <c r="P34" s="132">
        <v>4778</v>
      </c>
      <c r="Q34" s="132">
        <v>5426</v>
      </c>
      <c r="R34" s="133">
        <v>5757</v>
      </c>
      <c r="S34" s="138">
        <f t="shared" si="2"/>
        <v>2224</v>
      </c>
      <c r="T34" s="21"/>
    </row>
    <row r="35" spans="1:21" ht="12.75" customHeight="1" x14ac:dyDescent="0.2">
      <c r="A35" s="104" t="s">
        <v>419</v>
      </c>
      <c r="B35" s="118" t="s">
        <v>738</v>
      </c>
      <c r="C35" s="118" t="s">
        <v>738</v>
      </c>
      <c r="D35" s="118" t="s">
        <v>738</v>
      </c>
      <c r="E35" s="118" t="s">
        <v>738</v>
      </c>
      <c r="F35" s="118" t="s">
        <v>738</v>
      </c>
      <c r="G35" s="118" t="s">
        <v>738</v>
      </c>
      <c r="H35" s="118" t="s">
        <v>738</v>
      </c>
      <c r="I35" s="118" t="s">
        <v>738</v>
      </c>
      <c r="J35" s="136" t="s">
        <v>173</v>
      </c>
      <c r="K35" s="132">
        <v>1052</v>
      </c>
      <c r="L35" s="132">
        <v>1130</v>
      </c>
      <c r="M35" s="132">
        <v>1065</v>
      </c>
      <c r="N35" s="132">
        <v>1155</v>
      </c>
      <c r="O35" s="132">
        <v>1197</v>
      </c>
      <c r="P35" s="132">
        <v>1124</v>
      </c>
      <c r="Q35" s="132">
        <v>1251</v>
      </c>
      <c r="R35" s="133">
        <v>1203</v>
      </c>
      <c r="S35" s="138">
        <f t="shared" si="2"/>
        <v>151</v>
      </c>
      <c r="T35" s="21"/>
    </row>
    <row r="36" spans="1:21" ht="12.75" customHeight="1" x14ac:dyDescent="0.2">
      <c r="A36" s="104" t="s">
        <v>426</v>
      </c>
      <c r="B36" s="118">
        <v>0.17799999999999999</v>
      </c>
      <c r="C36" s="118">
        <v>0.191</v>
      </c>
      <c r="D36" s="118">
        <v>0.17599999999999999</v>
      </c>
      <c r="E36" s="118">
        <v>0.21299999999999999</v>
      </c>
      <c r="F36" s="118">
        <v>0.185</v>
      </c>
      <c r="G36" s="118">
        <v>0.18099999999999999</v>
      </c>
      <c r="H36" s="129">
        <v>0.17399999999999999</v>
      </c>
      <c r="I36" s="134">
        <v>0.22899999999999998</v>
      </c>
      <c r="J36" s="136">
        <f>I36-B36</f>
        <v>5.099999999999999E-2</v>
      </c>
      <c r="K36" s="132">
        <v>1159</v>
      </c>
      <c r="L36" s="132">
        <v>1321</v>
      </c>
      <c r="M36" s="132">
        <v>1568</v>
      </c>
      <c r="N36" s="132">
        <v>1883</v>
      </c>
      <c r="O36" s="132">
        <v>2060</v>
      </c>
      <c r="P36" s="132">
        <v>2359</v>
      </c>
      <c r="Q36" s="132">
        <v>2351</v>
      </c>
      <c r="R36" s="133">
        <v>2355</v>
      </c>
      <c r="S36" s="138">
        <f t="shared" si="2"/>
        <v>1196</v>
      </c>
      <c r="T36" s="21"/>
      <c r="U36" s="11" t="s">
        <v>239</v>
      </c>
    </row>
    <row r="37" spans="1:21" ht="12.75" customHeight="1" x14ac:dyDescent="0.2">
      <c r="A37" s="104" t="s">
        <v>433</v>
      </c>
      <c r="B37" s="118" t="s">
        <v>738</v>
      </c>
      <c r="C37" s="118" t="s">
        <v>738</v>
      </c>
      <c r="D37" s="118" t="s">
        <v>738</v>
      </c>
      <c r="E37" s="118" t="s">
        <v>738</v>
      </c>
      <c r="F37" s="118" t="s">
        <v>738</v>
      </c>
      <c r="G37" s="118" t="s">
        <v>738</v>
      </c>
      <c r="H37" s="118" t="s">
        <v>738</v>
      </c>
      <c r="I37" s="118" t="s">
        <v>738</v>
      </c>
      <c r="J37" s="136" t="s">
        <v>173</v>
      </c>
      <c r="K37" s="130">
        <v>205</v>
      </c>
      <c r="L37" s="130">
        <v>283</v>
      </c>
      <c r="M37" s="130">
        <v>265</v>
      </c>
      <c r="N37" s="130">
        <v>349</v>
      </c>
      <c r="O37" s="130">
        <v>390</v>
      </c>
      <c r="P37" s="130">
        <v>515</v>
      </c>
      <c r="Q37" s="130">
        <v>619</v>
      </c>
      <c r="R37" s="131">
        <v>696</v>
      </c>
      <c r="S37" s="138">
        <f t="shared" si="2"/>
        <v>491</v>
      </c>
      <c r="T37" s="21"/>
    </row>
    <row r="38" spans="1:21" ht="12.75" customHeight="1" x14ac:dyDescent="0.2">
      <c r="A38" s="104" t="s">
        <v>443</v>
      </c>
      <c r="B38" s="118">
        <v>0.46600000000000003</v>
      </c>
      <c r="C38" s="118">
        <v>0.48499999999999999</v>
      </c>
      <c r="D38" s="118">
        <v>0.48299999999999998</v>
      </c>
      <c r="E38" s="118">
        <v>0.54500000000000004</v>
      </c>
      <c r="F38" s="118">
        <v>0.53300000000000003</v>
      </c>
      <c r="G38" s="118">
        <v>0.57399999999999995</v>
      </c>
      <c r="H38" s="129">
        <v>0.56799999999999995</v>
      </c>
      <c r="I38" s="134">
        <v>0.58100000000000007</v>
      </c>
      <c r="J38" s="136">
        <f>I38-B38</f>
        <v>0.11500000000000005</v>
      </c>
      <c r="K38" s="132">
        <v>3457</v>
      </c>
      <c r="L38" s="132">
        <v>3931</v>
      </c>
      <c r="M38" s="132">
        <v>4261</v>
      </c>
      <c r="N38" s="132">
        <v>4563</v>
      </c>
      <c r="O38" s="132">
        <v>5360</v>
      </c>
      <c r="P38" s="132">
        <v>6024</v>
      </c>
      <c r="Q38" s="132">
        <v>6262</v>
      </c>
      <c r="R38" s="133">
        <v>6272</v>
      </c>
      <c r="S38" s="138">
        <f t="shared" si="2"/>
        <v>2815</v>
      </c>
      <c r="T38" s="21"/>
    </row>
    <row r="39" spans="1:21" ht="12.75" customHeight="1" x14ac:dyDescent="0.2">
      <c r="A39" s="104" t="s">
        <v>453</v>
      </c>
      <c r="B39" s="118" t="s">
        <v>738</v>
      </c>
      <c r="C39" s="118" t="s">
        <v>738</v>
      </c>
      <c r="D39" s="118" t="s">
        <v>738</v>
      </c>
      <c r="E39" s="118" t="s">
        <v>738</v>
      </c>
      <c r="F39" s="118" t="s">
        <v>738</v>
      </c>
      <c r="G39" s="118" t="s">
        <v>738</v>
      </c>
      <c r="H39" s="129" t="s">
        <v>173</v>
      </c>
      <c r="I39" s="134" t="s">
        <v>173</v>
      </c>
      <c r="J39" s="137" t="s">
        <v>173</v>
      </c>
      <c r="K39" s="130" t="s">
        <v>738</v>
      </c>
      <c r="L39" s="130" t="s">
        <v>738</v>
      </c>
      <c r="M39" s="130" t="s">
        <v>738</v>
      </c>
      <c r="N39" s="130" t="s">
        <v>738</v>
      </c>
      <c r="O39" s="130" t="s">
        <v>738</v>
      </c>
      <c r="P39" s="130" t="s">
        <v>738</v>
      </c>
      <c r="Q39" s="106" t="s">
        <v>173</v>
      </c>
      <c r="R39" s="106" t="s">
        <v>173</v>
      </c>
      <c r="S39" s="138" t="s">
        <v>173</v>
      </c>
      <c r="T39" s="21"/>
    </row>
    <row r="40" spans="1:21" ht="12.75" customHeight="1" x14ac:dyDescent="0.2">
      <c r="A40" s="104" t="s">
        <v>455</v>
      </c>
      <c r="B40" s="118">
        <v>0.34599999999999997</v>
      </c>
      <c r="C40" s="118">
        <v>0.42599999999999999</v>
      </c>
      <c r="D40" s="118">
        <v>0.442</v>
      </c>
      <c r="E40" s="118">
        <v>0.442</v>
      </c>
      <c r="F40" s="118">
        <v>0.47599999999999998</v>
      </c>
      <c r="G40" s="118">
        <v>0.45600000000000002</v>
      </c>
      <c r="H40" s="129">
        <v>0.48200000000000004</v>
      </c>
      <c r="I40" s="134">
        <v>0.46299999999999997</v>
      </c>
      <c r="J40" s="136">
        <f>I40-B40</f>
        <v>0.11699999999999999</v>
      </c>
      <c r="K40" s="130">
        <v>861</v>
      </c>
      <c r="L40" s="130">
        <v>950</v>
      </c>
      <c r="M40" s="130">
        <v>928</v>
      </c>
      <c r="N40" s="132">
        <v>1060</v>
      </c>
      <c r="O40" s="132">
        <v>1213</v>
      </c>
      <c r="P40" s="132">
        <v>1220</v>
      </c>
      <c r="Q40" s="132">
        <v>1253</v>
      </c>
      <c r="R40" s="133">
        <v>1375</v>
      </c>
      <c r="S40" s="138">
        <f>R40-K40</f>
        <v>514</v>
      </c>
      <c r="T40" s="21"/>
    </row>
    <row r="41" spans="1:21" ht="12.75" customHeight="1" x14ac:dyDescent="0.2">
      <c r="B41" s="26"/>
      <c r="C41" s="26"/>
      <c r="D41" s="26"/>
      <c r="E41" s="26"/>
      <c r="F41" s="26"/>
      <c r="G41" s="26"/>
      <c r="H41" s="20"/>
      <c r="I41" s="20"/>
      <c r="J41" s="26"/>
      <c r="K41" s="26"/>
      <c r="L41" s="26"/>
      <c r="M41" s="26"/>
      <c r="N41" s="26"/>
      <c r="O41" s="26"/>
      <c r="P41" s="26"/>
      <c r="Q41" s="26"/>
      <c r="R41" s="25"/>
      <c r="S41" s="24"/>
      <c r="T41" s="21"/>
      <c r="U41" s="11" t="s">
        <v>239</v>
      </c>
    </row>
    <row r="42" spans="1:21" ht="12.75" customHeight="1" x14ac:dyDescent="0.2"/>
    <row r="43" spans="1:21" ht="12.75" customHeight="1" x14ac:dyDescent="0.2"/>
    <row r="44" spans="1:21" ht="12.75" customHeight="1" x14ac:dyDescent="0.2"/>
    <row r="45" spans="1:21" ht="12.75" customHeight="1" x14ac:dyDescent="0.2"/>
    <row r="46" spans="1:21" ht="12.75" customHeight="1" x14ac:dyDescent="0.2"/>
    <row r="47" spans="1:21" ht="12.75" customHeight="1" x14ac:dyDescent="0.2"/>
    <row r="48" spans="1:21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</sheetData>
  <mergeCells count="2">
    <mergeCell ref="B1:G1"/>
    <mergeCell ref="K1:P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4-year</vt:lpstr>
      <vt:lpstr>2-year</vt:lpstr>
      <vt:lpstr>Grad Rate 13-yr Change</vt:lpstr>
    </vt:vector>
  </TitlesOfParts>
  <Company>THECB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Rondinelli</dc:creator>
  <cp:lastModifiedBy>Sarah Rondinelli</cp:lastModifiedBy>
  <dcterms:created xsi:type="dcterms:W3CDTF">2014-04-02T16:38:24Z</dcterms:created>
  <dcterms:modified xsi:type="dcterms:W3CDTF">2014-04-03T14:09:25Z</dcterms:modified>
</cp:coreProperties>
</file>