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 defaultThemeVersion="124226"/>
  <bookViews>
    <workbookView xWindow="480" yWindow="150" windowWidth="18195" windowHeight="7005"/>
  </bookViews>
  <sheets>
    <sheet name="Summary" sheetId="3" r:id="rId1"/>
  </sheets>
  <definedNames>
    <definedName name="_xlnm._FilterDatabase" localSheetId="0" hidden="1">Summary!$A$1:$I$57</definedName>
  </definedNames>
  <calcPr calcId="145621"/>
</workbook>
</file>

<file path=xl/calcChain.xml><?xml version="1.0" encoding="utf-8"?>
<calcChain xmlns="http://schemas.openxmlformats.org/spreadsheetml/2006/main">
  <c r="AB57" i="3" l="1"/>
  <c r="AB56" i="3"/>
  <c r="AB55" i="3"/>
  <c r="AB54" i="3"/>
  <c r="AB53" i="3"/>
  <c r="AB52" i="3"/>
  <c r="AB49" i="3"/>
  <c r="AB48" i="3"/>
  <c r="AB47" i="3"/>
  <c r="AB46" i="3"/>
  <c r="AB45" i="3"/>
  <c r="AB44" i="3"/>
  <c r="AB41" i="3"/>
  <c r="AB40" i="3"/>
  <c r="AB39" i="3"/>
  <c r="AB38" i="3"/>
  <c r="AB37" i="3"/>
  <c r="AB36" i="3"/>
  <c r="AB33" i="3"/>
  <c r="AB32" i="3"/>
  <c r="AB31" i="3"/>
  <c r="AB30" i="3"/>
  <c r="AB29" i="3"/>
  <c r="AB28" i="3"/>
  <c r="AB25" i="3"/>
  <c r="AB24" i="3"/>
  <c r="AB23" i="3"/>
  <c r="AB22" i="3"/>
  <c r="AB21" i="3"/>
  <c r="AB20" i="3"/>
  <c r="AB17" i="3"/>
  <c r="AB16" i="3"/>
  <c r="AB15" i="3"/>
  <c r="AB14" i="3"/>
  <c r="AB13" i="3"/>
  <c r="AB12" i="3"/>
  <c r="AB9" i="3"/>
  <c r="AB8" i="3"/>
  <c r="AB7" i="3"/>
  <c r="AB6" i="3"/>
  <c r="AB5" i="3"/>
  <c r="AB4" i="3"/>
  <c r="AA3" i="3"/>
  <c r="AA51" i="3"/>
  <c r="Z51" i="3"/>
  <c r="Y51" i="3"/>
  <c r="X51" i="3"/>
  <c r="W51" i="3"/>
  <c r="V51" i="3"/>
  <c r="U51" i="3"/>
  <c r="AB51" i="3" s="1"/>
  <c r="T51" i="3"/>
  <c r="R43" i="3"/>
  <c r="Q43" i="3"/>
  <c r="P43" i="3"/>
  <c r="O43" i="3"/>
  <c r="N43" i="3"/>
  <c r="M43" i="3"/>
  <c r="L43" i="3"/>
  <c r="K43" i="3"/>
  <c r="AA43" i="3"/>
  <c r="Z43" i="3"/>
  <c r="Y43" i="3"/>
  <c r="X43" i="3"/>
  <c r="W43" i="3"/>
  <c r="V43" i="3"/>
  <c r="U43" i="3"/>
  <c r="T43" i="3"/>
  <c r="AB43" i="3" s="1"/>
  <c r="AA35" i="3"/>
  <c r="Z35" i="3"/>
  <c r="Y35" i="3"/>
  <c r="X35" i="3"/>
  <c r="W35" i="3"/>
  <c r="V35" i="3"/>
  <c r="U35" i="3"/>
  <c r="AB35" i="3" s="1"/>
  <c r="T35" i="3"/>
  <c r="AA27" i="3"/>
  <c r="Z27" i="3"/>
  <c r="Y27" i="3"/>
  <c r="X27" i="3"/>
  <c r="W27" i="3"/>
  <c r="V27" i="3"/>
  <c r="U27" i="3"/>
  <c r="T27" i="3"/>
  <c r="AB27" i="3" s="1"/>
  <c r="AA19" i="3"/>
  <c r="Z19" i="3"/>
  <c r="Y19" i="3"/>
  <c r="X19" i="3"/>
  <c r="W19" i="3"/>
  <c r="V19" i="3"/>
  <c r="U19" i="3"/>
  <c r="AB19" i="3" s="1"/>
  <c r="T19" i="3"/>
  <c r="AA11" i="3"/>
  <c r="Z11" i="3"/>
  <c r="Y11" i="3"/>
  <c r="X11" i="3"/>
  <c r="W11" i="3"/>
  <c r="V11" i="3"/>
  <c r="U11" i="3"/>
  <c r="T11" i="3"/>
  <c r="AB11" i="3" s="1"/>
  <c r="Z3" i="3"/>
  <c r="Y3" i="3"/>
  <c r="X3" i="3"/>
  <c r="W3" i="3"/>
  <c r="V3" i="3"/>
  <c r="U3" i="3"/>
  <c r="T3" i="3"/>
  <c r="AB3" i="3" s="1"/>
  <c r="R35" i="3"/>
  <c r="Q35" i="3"/>
  <c r="P35" i="3"/>
  <c r="O35" i="3"/>
  <c r="N35" i="3"/>
  <c r="M35" i="3"/>
  <c r="L35" i="3"/>
  <c r="K35" i="3"/>
  <c r="R27" i="3"/>
  <c r="Q27" i="3"/>
  <c r="P27" i="3"/>
  <c r="O27" i="3"/>
  <c r="N27" i="3"/>
  <c r="M27" i="3"/>
  <c r="L27" i="3"/>
  <c r="K27" i="3"/>
  <c r="R19" i="3"/>
  <c r="Q19" i="3"/>
  <c r="P19" i="3"/>
  <c r="O19" i="3"/>
  <c r="N19" i="3"/>
  <c r="M19" i="3"/>
  <c r="L19" i="3"/>
  <c r="K19" i="3"/>
  <c r="R11" i="3"/>
  <c r="Q11" i="3"/>
  <c r="P11" i="3"/>
  <c r="O11" i="3"/>
  <c r="N11" i="3"/>
  <c r="M11" i="3"/>
  <c r="L11" i="3"/>
  <c r="K11" i="3"/>
  <c r="R3" i="3"/>
  <c r="Q3" i="3"/>
  <c r="P3" i="3"/>
  <c r="O3" i="3"/>
  <c r="N3" i="3"/>
  <c r="M3" i="3"/>
  <c r="L3" i="3"/>
  <c r="K3" i="3"/>
  <c r="I3" i="3"/>
  <c r="H3" i="3"/>
  <c r="G3" i="3"/>
  <c r="F3" i="3"/>
  <c r="E3" i="3"/>
  <c r="D3" i="3"/>
  <c r="C3" i="3"/>
  <c r="B3" i="3"/>
  <c r="I11" i="3"/>
  <c r="H11" i="3"/>
  <c r="G11" i="3"/>
  <c r="F11" i="3"/>
  <c r="E11" i="3"/>
  <c r="D11" i="3"/>
  <c r="C11" i="3"/>
  <c r="B11" i="3"/>
  <c r="I19" i="3"/>
  <c r="H19" i="3"/>
  <c r="G19" i="3"/>
  <c r="F19" i="3"/>
  <c r="E19" i="3"/>
  <c r="D19" i="3"/>
  <c r="C19" i="3"/>
  <c r="B19" i="3"/>
  <c r="I27" i="3"/>
  <c r="H27" i="3"/>
  <c r="G27" i="3"/>
  <c r="F27" i="3"/>
  <c r="E27" i="3"/>
  <c r="D27" i="3"/>
  <c r="C27" i="3"/>
  <c r="B27" i="3"/>
  <c r="I35" i="3"/>
  <c r="H35" i="3"/>
  <c r="G35" i="3"/>
  <c r="F35" i="3"/>
  <c r="E35" i="3"/>
  <c r="D35" i="3"/>
  <c r="C35" i="3"/>
  <c r="B35" i="3"/>
  <c r="I43" i="3"/>
  <c r="H43" i="3"/>
  <c r="G43" i="3"/>
  <c r="F43" i="3"/>
  <c r="E43" i="3"/>
  <c r="D43" i="3"/>
  <c r="C43" i="3"/>
  <c r="B43" i="3"/>
  <c r="I51" i="3"/>
  <c r="H51" i="3"/>
  <c r="G51" i="3"/>
  <c r="F51" i="3"/>
  <c r="E51" i="3"/>
  <c r="D51" i="3"/>
  <c r="C51" i="3"/>
  <c r="B51" i="3"/>
  <c r="R51" i="3"/>
  <c r="Q51" i="3"/>
  <c r="P51" i="3"/>
  <c r="O51" i="3"/>
  <c r="N51" i="3"/>
  <c r="M51" i="3"/>
  <c r="L51" i="3"/>
  <c r="K51" i="3"/>
  <c r="S57" i="3"/>
  <c r="S56" i="3"/>
  <c r="S55" i="3"/>
  <c r="S54" i="3"/>
  <c r="S53" i="3"/>
  <c r="S52" i="3"/>
  <c r="S51" i="3" s="1"/>
  <c r="S49" i="3"/>
  <c r="S48" i="3"/>
  <c r="S47" i="3"/>
  <c r="S46" i="3"/>
  <c r="S45" i="3"/>
  <c r="S44" i="3"/>
  <c r="S41" i="3"/>
  <c r="S40" i="3"/>
  <c r="S39" i="3"/>
  <c r="S38" i="3"/>
  <c r="S37" i="3"/>
  <c r="S36" i="3"/>
  <c r="S33" i="3"/>
  <c r="S32" i="3"/>
  <c r="S31" i="3"/>
  <c r="S30" i="3"/>
  <c r="S29" i="3"/>
  <c r="S28" i="3"/>
  <c r="S25" i="3"/>
  <c r="S24" i="3"/>
  <c r="S23" i="3"/>
  <c r="S22" i="3"/>
  <c r="S21" i="3"/>
  <c r="S20" i="3"/>
  <c r="S17" i="3"/>
  <c r="S16" i="3"/>
  <c r="S15" i="3"/>
  <c r="S14" i="3"/>
  <c r="S13" i="3"/>
  <c r="S12" i="3"/>
  <c r="S9" i="3"/>
  <c r="S8" i="3"/>
  <c r="S7" i="3"/>
  <c r="S6" i="3"/>
  <c r="S5" i="3"/>
  <c r="S4" i="3"/>
  <c r="J44" i="3"/>
  <c r="J57" i="3"/>
  <c r="J56" i="3"/>
  <c r="J55" i="3"/>
  <c r="J54" i="3"/>
  <c r="J53" i="3"/>
  <c r="J52" i="3"/>
  <c r="J51" i="3" s="1"/>
  <c r="J49" i="3"/>
  <c r="J48" i="3"/>
  <c r="J47" i="3"/>
  <c r="J46" i="3"/>
  <c r="J45" i="3"/>
  <c r="J41" i="3"/>
  <c r="J40" i="3"/>
  <c r="J39" i="3"/>
  <c r="J38" i="3"/>
  <c r="J37" i="3"/>
  <c r="J36" i="3"/>
  <c r="J35" i="3" s="1"/>
  <c r="J33" i="3"/>
  <c r="J32" i="3"/>
  <c r="J31" i="3"/>
  <c r="J30" i="3"/>
  <c r="J29" i="3"/>
  <c r="J28" i="3"/>
  <c r="J25" i="3"/>
  <c r="J24" i="3"/>
  <c r="J23" i="3"/>
  <c r="J22" i="3"/>
  <c r="J21" i="3"/>
  <c r="J20" i="3"/>
  <c r="J17" i="3"/>
  <c r="J16" i="3"/>
  <c r="J15" i="3"/>
  <c r="J14" i="3"/>
  <c r="J13" i="3"/>
  <c r="J12" i="3"/>
  <c r="J9" i="3"/>
  <c r="J8" i="3"/>
  <c r="J7" i="3"/>
  <c r="J6" i="3"/>
  <c r="J5" i="3"/>
  <c r="J4" i="3"/>
  <c r="J3" i="3" s="1"/>
  <c r="S43" i="3" l="1"/>
  <c r="J43" i="3"/>
  <c r="S27" i="3"/>
  <c r="S19" i="3"/>
  <c r="S35" i="3"/>
  <c r="J27" i="3"/>
  <c r="J19" i="3"/>
  <c r="S3" i="3"/>
  <c r="S11" i="3"/>
  <c r="J11" i="3"/>
</calcChain>
</file>

<file path=xl/sharedStrings.xml><?xml version="1.0" encoding="utf-8"?>
<sst xmlns="http://schemas.openxmlformats.org/spreadsheetml/2006/main" count="76" uniqueCount="25">
  <si>
    <t>Graduate</t>
  </si>
  <si>
    <t>Active</t>
  </si>
  <si>
    <t>Transfer to Other Program</t>
  </si>
  <si>
    <t>Standard Period of Non-Enrollment</t>
  </si>
  <si>
    <t>Leave of Absence</t>
  </si>
  <si>
    <t>Transfer to Other Campus</t>
  </si>
  <si>
    <t>BSBA-Project Management</t>
  </si>
  <si>
    <t>BS Project Management</t>
  </si>
  <si>
    <t>MBA-Project Management</t>
  </si>
  <si>
    <t>MSM-Information Systems Security</t>
  </si>
  <si>
    <t>MSM-Information Technology Management</t>
  </si>
  <si>
    <t>MSM-Information Technology and Project Management</t>
  </si>
  <si>
    <t>MSM-Project Management</t>
  </si>
  <si>
    <t>Dismissed</t>
  </si>
  <si>
    <t>Graudate</t>
  </si>
  <si>
    <t>Withdrawn</t>
  </si>
  <si>
    <t>Online</t>
  </si>
  <si>
    <t>Colorado Springs</t>
  </si>
  <si>
    <t>Denver</t>
  </si>
  <si>
    <t>Denver North</t>
  </si>
  <si>
    <t>Pueblo</t>
  </si>
  <si>
    <t>Sioux Falls</t>
  </si>
  <si>
    <t>2010 Total Starts</t>
  </si>
  <si>
    <t>2011 Total Starts</t>
  </si>
  <si>
    <t>2012 Total Starts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</si>
</sst>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0" fontId="2" fillId="4" borderId="0" xfId="0" applyFont="1" applyFill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7"/>
  <sheetViews>
    <sheetView tabSelected="1" workbookViewId="0">
      <selection activeCell="C60" sqref="C60"/>
    </sheetView>
  </sheetViews>
  <sheetFormatPr defaultRowHeight="15" outlineLevelRow="1" x14ac:dyDescent="0.25"/>
  <cols>
    <col min="1" max="1" width="45.28515625" customWidth="1"/>
    <col min="2" max="19" width="9.140625" style="2" customWidth="1"/>
    <col min="20" max="28" width="9.140625" style="2"/>
  </cols>
  <sheetData>
    <row r="1" spans="1:28" ht="18.75" x14ac:dyDescent="0.3">
      <c r="B1" s="8">
        <v>2010</v>
      </c>
      <c r="C1" s="8"/>
      <c r="D1" s="8"/>
      <c r="E1" s="8"/>
      <c r="F1" s="8"/>
      <c r="G1" s="8"/>
      <c r="H1" s="8"/>
      <c r="I1" s="8"/>
      <c r="J1" s="8"/>
      <c r="K1" s="9">
        <v>2011</v>
      </c>
      <c r="L1" s="9"/>
      <c r="M1" s="9"/>
      <c r="N1" s="9"/>
      <c r="O1" s="9"/>
      <c r="P1" s="9"/>
      <c r="Q1" s="9"/>
      <c r="R1" s="9"/>
      <c r="S1" s="9"/>
      <c r="T1" s="10">
        <v>2012</v>
      </c>
      <c r="U1" s="10"/>
      <c r="V1" s="10"/>
      <c r="W1" s="10"/>
      <c r="X1" s="10"/>
      <c r="Y1" s="10"/>
      <c r="Z1" s="10"/>
      <c r="AA1" s="10"/>
      <c r="AB1" s="10"/>
    </row>
    <row r="2" spans="1:28" ht="45.75" x14ac:dyDescent="0.25">
      <c r="B2" s="3" t="s">
        <v>1</v>
      </c>
      <c r="C2" s="3" t="s">
        <v>13</v>
      </c>
      <c r="D2" s="3" t="s">
        <v>14</v>
      </c>
      <c r="E2" s="3" t="s">
        <v>5</v>
      </c>
      <c r="F2" s="3" t="s">
        <v>2</v>
      </c>
      <c r="G2" s="3" t="s">
        <v>3</v>
      </c>
      <c r="H2" s="3" t="s">
        <v>4</v>
      </c>
      <c r="I2" s="3" t="s">
        <v>15</v>
      </c>
      <c r="J2" s="3" t="s">
        <v>22</v>
      </c>
      <c r="K2" s="4" t="s">
        <v>1</v>
      </c>
      <c r="L2" s="4" t="s">
        <v>13</v>
      </c>
      <c r="M2" s="4" t="s">
        <v>0</v>
      </c>
      <c r="N2" s="4" t="s">
        <v>5</v>
      </c>
      <c r="O2" s="4" t="s">
        <v>2</v>
      </c>
      <c r="P2" s="4" t="s">
        <v>3</v>
      </c>
      <c r="Q2" s="4" t="s">
        <v>4</v>
      </c>
      <c r="R2" s="4" t="s">
        <v>15</v>
      </c>
      <c r="S2" s="4" t="s">
        <v>23</v>
      </c>
      <c r="T2" s="5" t="s">
        <v>1</v>
      </c>
      <c r="U2" s="5" t="s">
        <v>13</v>
      </c>
      <c r="V2" s="5" t="s">
        <v>0</v>
      </c>
      <c r="W2" s="5" t="s">
        <v>5</v>
      </c>
      <c r="X2" s="5" t="s">
        <v>2</v>
      </c>
      <c r="Y2" s="5" t="s">
        <v>3</v>
      </c>
      <c r="Z2" s="5" t="s">
        <v>4</v>
      </c>
      <c r="AA2" s="5" t="s">
        <v>15</v>
      </c>
      <c r="AB2" s="5" t="s">
        <v>24</v>
      </c>
    </row>
    <row r="3" spans="1:28" x14ac:dyDescent="0.25">
      <c r="A3" s="1" t="s">
        <v>6</v>
      </c>
      <c r="B3" s="6">
        <f t="shared" ref="B3:I3" si="0">SUM(B4:B9)</f>
        <v>7</v>
      </c>
      <c r="C3" s="6">
        <f t="shared" si="0"/>
        <v>44</v>
      </c>
      <c r="D3" s="6">
        <f t="shared" si="0"/>
        <v>250</v>
      </c>
      <c r="E3" s="6">
        <f t="shared" si="0"/>
        <v>0</v>
      </c>
      <c r="F3" s="6">
        <f t="shared" si="0"/>
        <v>127</v>
      </c>
      <c r="G3" s="6">
        <f t="shared" si="0"/>
        <v>0</v>
      </c>
      <c r="H3" s="6">
        <f t="shared" si="0"/>
        <v>0</v>
      </c>
      <c r="I3" s="6">
        <f t="shared" si="0"/>
        <v>335</v>
      </c>
      <c r="J3" s="6">
        <f>SUM(J4:J9)</f>
        <v>763</v>
      </c>
      <c r="K3" s="6">
        <f t="shared" ref="K3:R3" si="1">SUM(K4:K9)</f>
        <v>88</v>
      </c>
      <c r="L3" s="6">
        <f t="shared" si="1"/>
        <v>29</v>
      </c>
      <c r="M3" s="6">
        <f t="shared" si="1"/>
        <v>203</v>
      </c>
      <c r="N3" s="6">
        <f t="shared" si="1"/>
        <v>0</v>
      </c>
      <c r="O3" s="6">
        <f t="shared" si="1"/>
        <v>112</v>
      </c>
      <c r="P3" s="6">
        <f t="shared" si="1"/>
        <v>7</v>
      </c>
      <c r="Q3" s="6">
        <f t="shared" si="1"/>
        <v>0</v>
      </c>
      <c r="R3" s="6">
        <f t="shared" si="1"/>
        <v>607</v>
      </c>
      <c r="S3" s="6">
        <f>SUM(S4:S9)</f>
        <v>1046</v>
      </c>
      <c r="T3" s="6">
        <f t="shared" ref="T3:Z3" si="2">SUM(T4:T9)</f>
        <v>266</v>
      </c>
      <c r="U3" s="6">
        <f t="shared" si="2"/>
        <v>10</v>
      </c>
      <c r="V3" s="6">
        <f t="shared" si="2"/>
        <v>43</v>
      </c>
      <c r="W3" s="6">
        <f t="shared" si="2"/>
        <v>0</v>
      </c>
      <c r="X3" s="6">
        <f t="shared" si="2"/>
        <v>57</v>
      </c>
      <c r="Y3" s="6">
        <f t="shared" si="2"/>
        <v>9</v>
      </c>
      <c r="Z3" s="6">
        <f t="shared" si="2"/>
        <v>2</v>
      </c>
      <c r="AA3" s="6">
        <f>SUM(AA4:AA9)</f>
        <v>489</v>
      </c>
      <c r="AB3" s="6">
        <f>SUM(T3:AA3)</f>
        <v>876</v>
      </c>
    </row>
    <row r="4" spans="1:28" outlineLevel="1" x14ac:dyDescent="0.25">
      <c r="A4" t="s">
        <v>16</v>
      </c>
      <c r="B4" s="2">
        <v>7</v>
      </c>
      <c r="C4" s="2">
        <v>44</v>
      </c>
      <c r="D4" s="2">
        <v>250</v>
      </c>
      <c r="E4" s="2">
        <v>0</v>
      </c>
      <c r="F4" s="2">
        <v>127</v>
      </c>
      <c r="G4" s="2">
        <v>0</v>
      </c>
      <c r="H4" s="2">
        <v>0</v>
      </c>
      <c r="I4" s="2">
        <v>335</v>
      </c>
      <c r="J4" s="2">
        <f t="shared" ref="J4:J9" si="3">SUM(B4:I4)</f>
        <v>763</v>
      </c>
      <c r="K4" s="2">
        <v>88</v>
      </c>
      <c r="L4" s="2">
        <v>29</v>
      </c>
      <c r="M4" s="2">
        <v>203</v>
      </c>
      <c r="N4" s="2">
        <v>0</v>
      </c>
      <c r="O4" s="2">
        <v>112</v>
      </c>
      <c r="P4" s="2">
        <v>7</v>
      </c>
      <c r="Q4" s="2">
        <v>0</v>
      </c>
      <c r="R4" s="2">
        <v>607</v>
      </c>
      <c r="S4" s="2">
        <f>SUM(K4:R4)</f>
        <v>1046</v>
      </c>
      <c r="T4" s="2">
        <v>265</v>
      </c>
      <c r="U4" s="2">
        <v>10</v>
      </c>
      <c r="V4" s="2">
        <v>42</v>
      </c>
      <c r="W4" s="2">
        <v>0</v>
      </c>
      <c r="X4" s="2">
        <v>57</v>
      </c>
      <c r="Y4" s="2">
        <v>9</v>
      </c>
      <c r="Z4" s="2">
        <v>2</v>
      </c>
      <c r="AA4" s="2">
        <v>488</v>
      </c>
      <c r="AB4" s="7">
        <f t="shared" ref="AB4:AB57" si="4">SUM(T4:AA4)</f>
        <v>873</v>
      </c>
    </row>
    <row r="5" spans="1:28" outlineLevel="1" x14ac:dyDescent="0.25">
      <c r="A5" t="s">
        <v>17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f t="shared" si="3"/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f t="shared" ref="S5:S9" si="5">SUM(K5:R5)</f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7">
        <f t="shared" si="4"/>
        <v>0</v>
      </c>
    </row>
    <row r="6" spans="1:28" outlineLevel="1" x14ac:dyDescent="0.25">
      <c r="A6" t="s">
        <v>18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f t="shared" si="3"/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f t="shared" si="5"/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7">
        <f t="shared" si="4"/>
        <v>0</v>
      </c>
    </row>
    <row r="7" spans="1:28" outlineLevel="1" x14ac:dyDescent="0.25">
      <c r="A7" t="s">
        <v>19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f t="shared" si="3"/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f t="shared" si="5"/>
        <v>0</v>
      </c>
      <c r="T7" s="2">
        <v>1</v>
      </c>
      <c r="U7" s="2">
        <v>0</v>
      </c>
      <c r="V7" s="2">
        <v>1</v>
      </c>
      <c r="W7" s="2">
        <v>0</v>
      </c>
      <c r="X7" s="2">
        <v>0</v>
      </c>
      <c r="Y7" s="2">
        <v>0</v>
      </c>
      <c r="Z7" s="2">
        <v>0</v>
      </c>
      <c r="AA7" s="2">
        <v>1</v>
      </c>
      <c r="AB7" s="7">
        <f t="shared" si="4"/>
        <v>3</v>
      </c>
    </row>
    <row r="8" spans="1:28" outlineLevel="1" x14ac:dyDescent="0.25">
      <c r="A8" t="s">
        <v>20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f t="shared" si="3"/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f t="shared" si="5"/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7">
        <f t="shared" si="4"/>
        <v>0</v>
      </c>
    </row>
    <row r="9" spans="1:28" outlineLevel="1" x14ac:dyDescent="0.25">
      <c r="A9" t="s">
        <v>21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f t="shared" si="3"/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f t="shared" si="5"/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7">
        <f t="shared" si="4"/>
        <v>0</v>
      </c>
    </row>
    <row r="10" spans="1:28" outlineLevel="1" x14ac:dyDescent="0.25">
      <c r="AB10" s="7"/>
    </row>
    <row r="11" spans="1:28" x14ac:dyDescent="0.25">
      <c r="A11" s="1" t="s">
        <v>7</v>
      </c>
      <c r="B11" s="6">
        <f t="shared" ref="B11:I11" si="6">SUM(B12:B17)</f>
        <v>9</v>
      </c>
      <c r="C11" s="6">
        <f t="shared" si="6"/>
        <v>3</v>
      </c>
      <c r="D11" s="6">
        <f t="shared" si="6"/>
        <v>16</v>
      </c>
      <c r="E11" s="6">
        <f t="shared" si="6"/>
        <v>0</v>
      </c>
      <c r="F11" s="6">
        <f t="shared" si="6"/>
        <v>35</v>
      </c>
      <c r="G11" s="6">
        <f t="shared" si="6"/>
        <v>2</v>
      </c>
      <c r="H11" s="6">
        <f t="shared" si="6"/>
        <v>0</v>
      </c>
      <c r="I11" s="6">
        <f t="shared" si="6"/>
        <v>54</v>
      </c>
      <c r="J11" s="6">
        <f>SUM(J12:J17)</f>
        <v>119</v>
      </c>
      <c r="K11" s="6">
        <f t="shared" ref="K11:R11" si="7">SUM(K12:K17)</f>
        <v>12</v>
      </c>
      <c r="L11" s="6">
        <f t="shared" si="7"/>
        <v>1</v>
      </c>
      <c r="M11" s="6">
        <f t="shared" si="7"/>
        <v>4</v>
      </c>
      <c r="N11" s="6">
        <f t="shared" si="7"/>
        <v>1</v>
      </c>
      <c r="O11" s="6">
        <f t="shared" si="7"/>
        <v>10</v>
      </c>
      <c r="P11" s="6">
        <f t="shared" si="7"/>
        <v>2</v>
      </c>
      <c r="Q11" s="6">
        <f t="shared" si="7"/>
        <v>0</v>
      </c>
      <c r="R11" s="6">
        <f t="shared" si="7"/>
        <v>11</v>
      </c>
      <c r="S11" s="6">
        <f>SUM(S12:S17)</f>
        <v>41</v>
      </c>
      <c r="T11" s="6">
        <f t="shared" ref="T11:AA11" si="8">SUM(T12:T17)</f>
        <v>43</v>
      </c>
      <c r="U11" s="6">
        <f t="shared" si="8"/>
        <v>1</v>
      </c>
      <c r="V11" s="6">
        <f t="shared" si="8"/>
        <v>1</v>
      </c>
      <c r="W11" s="6">
        <f t="shared" si="8"/>
        <v>1</v>
      </c>
      <c r="X11" s="6">
        <f t="shared" si="8"/>
        <v>4</v>
      </c>
      <c r="Y11" s="6">
        <f t="shared" si="8"/>
        <v>1</v>
      </c>
      <c r="Z11" s="6">
        <f t="shared" si="8"/>
        <v>0</v>
      </c>
      <c r="AA11" s="6">
        <f t="shared" si="8"/>
        <v>21</v>
      </c>
      <c r="AB11" s="6">
        <f t="shared" si="4"/>
        <v>72</v>
      </c>
    </row>
    <row r="12" spans="1:28" outlineLevel="1" x14ac:dyDescent="0.25">
      <c r="A12" t="s">
        <v>16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f t="shared" ref="J12:J17" si="9">SUM(B12:I12)</f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f t="shared" ref="S12:S17" si="10">SUM(K12:R12)</f>
        <v>0</v>
      </c>
      <c r="T12" s="2">
        <v>22</v>
      </c>
      <c r="U12" s="2">
        <v>0</v>
      </c>
      <c r="V12" s="2">
        <v>0</v>
      </c>
      <c r="W12" s="2">
        <v>0</v>
      </c>
      <c r="X12" s="2">
        <v>2</v>
      </c>
      <c r="Y12" s="2">
        <v>0</v>
      </c>
      <c r="Z12" s="2">
        <v>0</v>
      </c>
      <c r="AA12" s="2">
        <v>3</v>
      </c>
      <c r="AB12" s="7">
        <f t="shared" si="4"/>
        <v>27</v>
      </c>
    </row>
    <row r="13" spans="1:28" outlineLevel="1" x14ac:dyDescent="0.25">
      <c r="A13" t="s">
        <v>17</v>
      </c>
      <c r="B13" s="2">
        <v>5</v>
      </c>
      <c r="C13" s="2">
        <v>2</v>
      </c>
      <c r="D13" s="2">
        <v>10</v>
      </c>
      <c r="E13" s="2">
        <v>0</v>
      </c>
      <c r="F13" s="2">
        <v>29</v>
      </c>
      <c r="G13" s="2">
        <v>0</v>
      </c>
      <c r="H13" s="2">
        <v>0</v>
      </c>
      <c r="I13" s="2">
        <v>27</v>
      </c>
      <c r="J13" s="2">
        <f t="shared" si="9"/>
        <v>73</v>
      </c>
      <c r="K13" s="2">
        <v>6</v>
      </c>
      <c r="L13" s="2">
        <v>1</v>
      </c>
      <c r="M13" s="2">
        <v>2</v>
      </c>
      <c r="N13" s="2">
        <v>0</v>
      </c>
      <c r="O13" s="2">
        <v>6</v>
      </c>
      <c r="P13" s="2">
        <v>1</v>
      </c>
      <c r="Q13" s="2">
        <v>0</v>
      </c>
      <c r="R13" s="2">
        <v>0</v>
      </c>
      <c r="S13" s="2">
        <f t="shared" si="10"/>
        <v>16</v>
      </c>
      <c r="T13" s="2">
        <v>11</v>
      </c>
      <c r="U13" s="2">
        <v>1</v>
      </c>
      <c r="V13" s="2">
        <v>1</v>
      </c>
      <c r="W13" s="2">
        <v>1</v>
      </c>
      <c r="X13" s="2">
        <v>1</v>
      </c>
      <c r="Y13" s="2">
        <v>0</v>
      </c>
      <c r="Z13" s="2">
        <v>0</v>
      </c>
      <c r="AA13" s="2">
        <v>11</v>
      </c>
      <c r="AB13" s="7">
        <f t="shared" si="4"/>
        <v>26</v>
      </c>
    </row>
    <row r="14" spans="1:28" outlineLevel="1" x14ac:dyDescent="0.25">
      <c r="A14" t="s">
        <v>18</v>
      </c>
      <c r="B14" s="2">
        <v>0</v>
      </c>
      <c r="C14" s="2">
        <v>0</v>
      </c>
      <c r="D14" s="2">
        <v>2</v>
      </c>
      <c r="E14" s="2">
        <v>0</v>
      </c>
      <c r="F14" s="2">
        <v>3</v>
      </c>
      <c r="G14" s="2">
        <v>1</v>
      </c>
      <c r="H14" s="2">
        <v>0</v>
      </c>
      <c r="I14" s="2">
        <v>15</v>
      </c>
      <c r="J14" s="2">
        <f t="shared" si="9"/>
        <v>21</v>
      </c>
      <c r="K14" s="2">
        <v>5</v>
      </c>
      <c r="L14" s="2">
        <v>0</v>
      </c>
      <c r="M14" s="2">
        <v>1</v>
      </c>
      <c r="N14" s="2">
        <v>0</v>
      </c>
      <c r="O14" s="2">
        <v>4</v>
      </c>
      <c r="P14" s="2">
        <v>1</v>
      </c>
      <c r="Q14" s="2">
        <v>0</v>
      </c>
      <c r="R14" s="2">
        <v>7</v>
      </c>
      <c r="S14" s="2">
        <f t="shared" si="10"/>
        <v>18</v>
      </c>
      <c r="T14" s="2">
        <v>4</v>
      </c>
      <c r="U14" s="2">
        <v>0</v>
      </c>
      <c r="V14" s="2">
        <v>0</v>
      </c>
      <c r="W14" s="2">
        <v>0</v>
      </c>
      <c r="X14" s="2">
        <v>1</v>
      </c>
      <c r="Y14" s="2">
        <v>1</v>
      </c>
      <c r="Z14" s="2">
        <v>0</v>
      </c>
      <c r="AA14" s="2">
        <v>2</v>
      </c>
      <c r="AB14" s="7">
        <f t="shared" si="4"/>
        <v>8</v>
      </c>
    </row>
    <row r="15" spans="1:28" outlineLevel="1" x14ac:dyDescent="0.25">
      <c r="A15" t="s">
        <v>19</v>
      </c>
      <c r="B15" s="2">
        <v>3</v>
      </c>
      <c r="C15" s="2">
        <v>0</v>
      </c>
      <c r="D15" s="2">
        <v>2</v>
      </c>
      <c r="E15" s="2">
        <v>0</v>
      </c>
      <c r="F15" s="2">
        <v>2</v>
      </c>
      <c r="G15" s="2">
        <v>0</v>
      </c>
      <c r="H15" s="2">
        <v>0</v>
      </c>
      <c r="I15" s="2">
        <v>7</v>
      </c>
      <c r="J15" s="2">
        <f t="shared" si="9"/>
        <v>14</v>
      </c>
      <c r="K15" s="2">
        <v>1</v>
      </c>
      <c r="L15" s="2">
        <v>0</v>
      </c>
      <c r="M15" s="2">
        <v>1</v>
      </c>
      <c r="N15" s="2">
        <v>1</v>
      </c>
      <c r="O15" s="2">
        <v>0</v>
      </c>
      <c r="P15" s="2">
        <v>0</v>
      </c>
      <c r="Q15" s="2">
        <v>0</v>
      </c>
      <c r="R15" s="2">
        <v>3</v>
      </c>
      <c r="S15" s="2">
        <f t="shared" si="10"/>
        <v>6</v>
      </c>
      <c r="T15" s="2">
        <v>5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4</v>
      </c>
      <c r="AB15" s="7">
        <f t="shared" si="4"/>
        <v>9</v>
      </c>
    </row>
    <row r="16" spans="1:28" outlineLevel="1" x14ac:dyDescent="0.25">
      <c r="A16" t="s">
        <v>20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f t="shared" si="9"/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f t="shared" si="10"/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7">
        <f t="shared" si="4"/>
        <v>0</v>
      </c>
    </row>
    <row r="17" spans="1:28" outlineLevel="1" x14ac:dyDescent="0.25">
      <c r="A17" t="s">
        <v>21</v>
      </c>
      <c r="B17" s="2">
        <v>1</v>
      </c>
      <c r="C17" s="2">
        <v>1</v>
      </c>
      <c r="D17" s="2">
        <v>2</v>
      </c>
      <c r="E17" s="2">
        <v>0</v>
      </c>
      <c r="F17" s="2">
        <v>1</v>
      </c>
      <c r="G17" s="2">
        <v>1</v>
      </c>
      <c r="H17" s="2">
        <v>0</v>
      </c>
      <c r="I17" s="2">
        <v>5</v>
      </c>
      <c r="J17" s="2">
        <f t="shared" si="9"/>
        <v>11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1</v>
      </c>
      <c r="S17" s="2">
        <f t="shared" si="10"/>
        <v>1</v>
      </c>
      <c r="T17" s="2">
        <v>1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1</v>
      </c>
      <c r="AB17" s="7">
        <f t="shared" si="4"/>
        <v>2</v>
      </c>
    </row>
    <row r="18" spans="1:28" outlineLevel="1" x14ac:dyDescent="0.25">
      <c r="AB18" s="7"/>
    </row>
    <row r="19" spans="1:28" x14ac:dyDescent="0.25">
      <c r="A19" s="1" t="s">
        <v>8</v>
      </c>
      <c r="B19" s="6">
        <f t="shared" ref="B19:I19" si="11">SUM(B20:B25)</f>
        <v>2</v>
      </c>
      <c r="C19" s="6">
        <f t="shared" si="11"/>
        <v>0</v>
      </c>
      <c r="D19" s="6">
        <f t="shared" si="11"/>
        <v>54</v>
      </c>
      <c r="E19" s="6">
        <f t="shared" si="11"/>
        <v>0</v>
      </c>
      <c r="F19" s="6">
        <f t="shared" si="11"/>
        <v>7</v>
      </c>
      <c r="G19" s="6">
        <f t="shared" si="11"/>
        <v>0</v>
      </c>
      <c r="H19" s="6">
        <f t="shared" si="11"/>
        <v>0</v>
      </c>
      <c r="I19" s="6">
        <f t="shared" si="11"/>
        <v>19</v>
      </c>
      <c r="J19" s="6">
        <f>SUM(J20:J25)</f>
        <v>82</v>
      </c>
      <c r="K19" s="6">
        <f t="shared" ref="K19:R19" si="12">SUM(K20:K25)</f>
        <v>4</v>
      </c>
      <c r="L19" s="6">
        <f t="shared" si="12"/>
        <v>1</v>
      </c>
      <c r="M19" s="6">
        <f t="shared" si="12"/>
        <v>34</v>
      </c>
      <c r="N19" s="6">
        <f t="shared" si="12"/>
        <v>1</v>
      </c>
      <c r="O19" s="6">
        <f t="shared" si="12"/>
        <v>12</v>
      </c>
      <c r="P19" s="6">
        <f t="shared" si="12"/>
        <v>0</v>
      </c>
      <c r="Q19" s="6">
        <f t="shared" si="12"/>
        <v>0</v>
      </c>
      <c r="R19" s="6">
        <f t="shared" si="12"/>
        <v>5</v>
      </c>
      <c r="S19" s="6">
        <f>SUM(S20:S25)</f>
        <v>57</v>
      </c>
      <c r="T19" s="6">
        <f t="shared" ref="T19:AA19" si="13">SUM(T20:T25)</f>
        <v>10</v>
      </c>
      <c r="U19" s="6">
        <f t="shared" si="13"/>
        <v>0</v>
      </c>
      <c r="V19" s="6">
        <f t="shared" si="13"/>
        <v>6</v>
      </c>
      <c r="W19" s="6">
        <f t="shared" si="13"/>
        <v>0</v>
      </c>
      <c r="X19" s="6">
        <f t="shared" si="13"/>
        <v>7</v>
      </c>
      <c r="Y19" s="6">
        <f t="shared" si="13"/>
        <v>1</v>
      </c>
      <c r="Z19" s="6">
        <f t="shared" si="13"/>
        <v>0</v>
      </c>
      <c r="AA19" s="6">
        <f t="shared" si="13"/>
        <v>12</v>
      </c>
      <c r="AB19" s="6">
        <f t="shared" si="4"/>
        <v>36</v>
      </c>
    </row>
    <row r="20" spans="1:28" outlineLevel="1" x14ac:dyDescent="0.25">
      <c r="A20" t="s">
        <v>16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f t="shared" ref="J20:J25" si="14">SUM(B20:I20)</f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f t="shared" ref="S20:S25" si="15">SUM(K20:R20)</f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7">
        <f t="shared" si="4"/>
        <v>0</v>
      </c>
    </row>
    <row r="21" spans="1:28" outlineLevel="1" x14ac:dyDescent="0.25">
      <c r="A21" t="s">
        <v>17</v>
      </c>
      <c r="B21" s="2">
        <v>0</v>
      </c>
      <c r="C21" s="2">
        <v>0</v>
      </c>
      <c r="D21" s="2">
        <v>36</v>
      </c>
      <c r="E21" s="2">
        <v>0</v>
      </c>
      <c r="F21" s="2">
        <v>3</v>
      </c>
      <c r="G21" s="2">
        <v>0</v>
      </c>
      <c r="H21" s="2">
        <v>0</v>
      </c>
      <c r="I21" s="2">
        <v>8</v>
      </c>
      <c r="J21" s="2">
        <f t="shared" si="14"/>
        <v>47</v>
      </c>
      <c r="K21" s="2">
        <v>1</v>
      </c>
      <c r="L21" s="2">
        <v>1</v>
      </c>
      <c r="M21" s="2">
        <v>20</v>
      </c>
      <c r="N21" s="2">
        <v>0</v>
      </c>
      <c r="O21" s="2">
        <v>8</v>
      </c>
      <c r="P21" s="2">
        <v>0</v>
      </c>
      <c r="Q21" s="2">
        <v>0</v>
      </c>
      <c r="R21" s="2">
        <v>0</v>
      </c>
      <c r="S21" s="2">
        <f t="shared" si="15"/>
        <v>30</v>
      </c>
      <c r="T21" s="2">
        <v>4</v>
      </c>
      <c r="U21" s="2">
        <v>0</v>
      </c>
      <c r="V21" s="2">
        <v>4</v>
      </c>
      <c r="W21" s="2">
        <v>0</v>
      </c>
      <c r="X21" s="2">
        <v>4</v>
      </c>
      <c r="Y21" s="2">
        <v>0</v>
      </c>
      <c r="Z21" s="2">
        <v>0</v>
      </c>
      <c r="AA21" s="2">
        <v>7</v>
      </c>
      <c r="AB21" s="7">
        <f t="shared" si="4"/>
        <v>19</v>
      </c>
    </row>
    <row r="22" spans="1:28" outlineLevel="1" x14ac:dyDescent="0.25">
      <c r="A22" t="s">
        <v>18</v>
      </c>
      <c r="B22" s="2">
        <v>1</v>
      </c>
      <c r="C22" s="2">
        <v>0</v>
      </c>
      <c r="D22" s="2">
        <v>12</v>
      </c>
      <c r="E22" s="2">
        <v>0</v>
      </c>
      <c r="F22" s="2">
        <v>2</v>
      </c>
      <c r="G22" s="2">
        <v>0</v>
      </c>
      <c r="H22" s="2">
        <v>0</v>
      </c>
      <c r="I22" s="2">
        <v>7</v>
      </c>
      <c r="J22" s="2">
        <f t="shared" si="14"/>
        <v>22</v>
      </c>
      <c r="K22" s="2">
        <v>2</v>
      </c>
      <c r="L22" s="2">
        <v>0</v>
      </c>
      <c r="M22" s="2">
        <v>10</v>
      </c>
      <c r="N22" s="2">
        <v>0</v>
      </c>
      <c r="O22" s="2">
        <v>4</v>
      </c>
      <c r="P22" s="2">
        <v>0</v>
      </c>
      <c r="Q22" s="2">
        <v>0</v>
      </c>
      <c r="R22" s="2">
        <v>4</v>
      </c>
      <c r="S22" s="2">
        <f t="shared" si="15"/>
        <v>20</v>
      </c>
      <c r="T22" s="2">
        <v>3</v>
      </c>
      <c r="U22" s="2">
        <v>0</v>
      </c>
      <c r="V22" s="2">
        <v>0</v>
      </c>
      <c r="W22" s="2">
        <v>0</v>
      </c>
      <c r="X22" s="2">
        <v>1</v>
      </c>
      <c r="Y22" s="2">
        <v>1</v>
      </c>
      <c r="Z22" s="2">
        <v>0</v>
      </c>
      <c r="AA22" s="2">
        <v>5</v>
      </c>
      <c r="AB22" s="7">
        <f t="shared" si="4"/>
        <v>10</v>
      </c>
    </row>
    <row r="23" spans="1:28" outlineLevel="1" x14ac:dyDescent="0.25">
      <c r="A23" t="s">
        <v>19</v>
      </c>
      <c r="B23" s="2">
        <v>1</v>
      </c>
      <c r="C23" s="2">
        <v>0</v>
      </c>
      <c r="D23" s="2">
        <v>4</v>
      </c>
      <c r="E23" s="2">
        <v>0</v>
      </c>
      <c r="F23" s="2">
        <v>1</v>
      </c>
      <c r="G23" s="2">
        <v>0</v>
      </c>
      <c r="H23" s="2">
        <v>0</v>
      </c>
      <c r="I23" s="2">
        <v>1</v>
      </c>
      <c r="J23" s="2">
        <f t="shared" si="14"/>
        <v>7</v>
      </c>
      <c r="K23" s="2">
        <v>1</v>
      </c>
      <c r="L23" s="2">
        <v>0</v>
      </c>
      <c r="M23" s="2">
        <v>2</v>
      </c>
      <c r="N23" s="2">
        <v>0</v>
      </c>
      <c r="O23" s="2">
        <v>0</v>
      </c>
      <c r="P23" s="2">
        <v>0</v>
      </c>
      <c r="Q23" s="2">
        <v>0</v>
      </c>
      <c r="R23" s="2">
        <v>1</v>
      </c>
      <c r="S23" s="2">
        <f t="shared" si="15"/>
        <v>4</v>
      </c>
      <c r="T23" s="2">
        <v>3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7">
        <f t="shared" si="4"/>
        <v>3</v>
      </c>
    </row>
    <row r="24" spans="1:28" outlineLevel="1" x14ac:dyDescent="0.25">
      <c r="A24" t="s">
        <v>20</v>
      </c>
      <c r="B24" s="2">
        <v>0</v>
      </c>
      <c r="C24" s="2">
        <v>0</v>
      </c>
      <c r="D24" s="2">
        <v>1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f t="shared" si="14"/>
        <v>1</v>
      </c>
      <c r="K24" s="2">
        <v>0</v>
      </c>
      <c r="L24" s="2">
        <v>0</v>
      </c>
      <c r="M24" s="2">
        <v>2</v>
      </c>
      <c r="N24" s="2">
        <v>1</v>
      </c>
      <c r="O24" s="2">
        <v>0</v>
      </c>
      <c r="P24" s="2">
        <v>0</v>
      </c>
      <c r="Q24" s="2">
        <v>0</v>
      </c>
      <c r="R24" s="2">
        <v>0</v>
      </c>
      <c r="S24" s="2">
        <f t="shared" si="15"/>
        <v>3</v>
      </c>
      <c r="T24" s="2">
        <v>0</v>
      </c>
      <c r="U24" s="2">
        <v>0</v>
      </c>
      <c r="V24" s="2">
        <v>0</v>
      </c>
      <c r="W24" s="2">
        <v>0</v>
      </c>
      <c r="X24" s="2">
        <v>1</v>
      </c>
      <c r="Y24" s="2">
        <v>0</v>
      </c>
      <c r="Z24" s="2">
        <v>0</v>
      </c>
      <c r="AA24" s="2">
        <v>0</v>
      </c>
      <c r="AB24" s="7">
        <f t="shared" si="4"/>
        <v>1</v>
      </c>
    </row>
    <row r="25" spans="1:28" outlineLevel="1" x14ac:dyDescent="0.25">
      <c r="A25" t="s">
        <v>21</v>
      </c>
      <c r="B25" s="2">
        <v>0</v>
      </c>
      <c r="C25" s="2">
        <v>0</v>
      </c>
      <c r="D25" s="2">
        <v>1</v>
      </c>
      <c r="E25" s="2">
        <v>0</v>
      </c>
      <c r="F25" s="2">
        <v>1</v>
      </c>
      <c r="G25" s="2">
        <v>0</v>
      </c>
      <c r="H25" s="2">
        <v>0</v>
      </c>
      <c r="I25" s="2">
        <v>3</v>
      </c>
      <c r="J25" s="2">
        <f t="shared" si="14"/>
        <v>5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f t="shared" si="15"/>
        <v>0</v>
      </c>
      <c r="T25" s="2">
        <v>0</v>
      </c>
      <c r="U25" s="2">
        <v>0</v>
      </c>
      <c r="V25" s="2">
        <v>2</v>
      </c>
      <c r="W25" s="2">
        <v>0</v>
      </c>
      <c r="X25" s="2">
        <v>1</v>
      </c>
      <c r="Y25" s="2">
        <v>0</v>
      </c>
      <c r="Z25" s="2">
        <v>0</v>
      </c>
      <c r="AA25" s="2">
        <v>0</v>
      </c>
      <c r="AB25" s="7">
        <f t="shared" si="4"/>
        <v>3</v>
      </c>
    </row>
    <row r="26" spans="1:28" outlineLevel="1" x14ac:dyDescent="0.25">
      <c r="AB26" s="7"/>
    </row>
    <row r="27" spans="1:28" x14ac:dyDescent="0.25">
      <c r="A27" s="1" t="s">
        <v>9</v>
      </c>
      <c r="B27" s="6">
        <f t="shared" ref="B27:I27" si="16">SUM(B28:B33)</f>
        <v>1</v>
      </c>
      <c r="C27" s="6">
        <f t="shared" si="16"/>
        <v>12</v>
      </c>
      <c r="D27" s="6">
        <f t="shared" si="16"/>
        <v>96</v>
      </c>
      <c r="E27" s="6">
        <f t="shared" si="16"/>
        <v>0</v>
      </c>
      <c r="F27" s="6">
        <f t="shared" si="16"/>
        <v>20</v>
      </c>
      <c r="G27" s="6">
        <f t="shared" si="16"/>
        <v>0</v>
      </c>
      <c r="H27" s="6">
        <f t="shared" si="16"/>
        <v>0</v>
      </c>
      <c r="I27" s="6">
        <f t="shared" si="16"/>
        <v>51</v>
      </c>
      <c r="J27" s="2">
        <f>SUM(J28:J33)</f>
        <v>180</v>
      </c>
      <c r="K27" s="6">
        <f t="shared" ref="K27:R27" si="17">SUM(K28:K33)</f>
        <v>0</v>
      </c>
      <c r="L27" s="6">
        <f t="shared" si="17"/>
        <v>4</v>
      </c>
      <c r="M27" s="6">
        <f t="shared" si="17"/>
        <v>53</v>
      </c>
      <c r="N27" s="6">
        <f t="shared" si="17"/>
        <v>0</v>
      </c>
      <c r="O27" s="6">
        <f t="shared" si="17"/>
        <v>14</v>
      </c>
      <c r="P27" s="6">
        <f t="shared" si="17"/>
        <v>0</v>
      </c>
      <c r="Q27" s="6">
        <f t="shared" si="17"/>
        <v>0</v>
      </c>
      <c r="R27" s="6">
        <f t="shared" si="17"/>
        <v>34</v>
      </c>
      <c r="S27" s="6">
        <f>SUM(S28:S33)</f>
        <v>105</v>
      </c>
      <c r="T27" s="6">
        <f t="shared" ref="T27:AA27" si="18">SUM(T28:T33)</f>
        <v>33</v>
      </c>
      <c r="U27" s="6">
        <f t="shared" si="18"/>
        <v>5</v>
      </c>
      <c r="V27" s="6">
        <f t="shared" si="18"/>
        <v>14</v>
      </c>
      <c r="W27" s="6">
        <f t="shared" si="18"/>
        <v>0</v>
      </c>
      <c r="X27" s="6">
        <f t="shared" si="18"/>
        <v>2</v>
      </c>
      <c r="Y27" s="6">
        <f t="shared" si="18"/>
        <v>1</v>
      </c>
      <c r="Z27" s="6">
        <f t="shared" si="18"/>
        <v>0</v>
      </c>
      <c r="AA27" s="6">
        <f t="shared" si="18"/>
        <v>34</v>
      </c>
      <c r="AB27" s="6">
        <f t="shared" si="4"/>
        <v>89</v>
      </c>
    </row>
    <row r="28" spans="1:28" outlineLevel="1" x14ac:dyDescent="0.25">
      <c r="A28" t="s">
        <v>16</v>
      </c>
      <c r="B28" s="2">
        <v>0</v>
      </c>
      <c r="C28" s="2">
        <v>11</v>
      </c>
      <c r="D28" s="2">
        <v>74</v>
      </c>
      <c r="E28" s="2">
        <v>0</v>
      </c>
      <c r="F28" s="2">
        <v>12</v>
      </c>
      <c r="G28" s="2">
        <v>0</v>
      </c>
      <c r="H28" s="2">
        <v>0</v>
      </c>
      <c r="I28" s="2">
        <v>42</v>
      </c>
      <c r="J28" s="2">
        <f t="shared" ref="J28:J33" si="19">SUM(B28:I28)</f>
        <v>139</v>
      </c>
      <c r="K28" s="2">
        <v>0</v>
      </c>
      <c r="L28" s="2">
        <v>3</v>
      </c>
      <c r="M28" s="2">
        <v>34</v>
      </c>
      <c r="N28" s="2">
        <v>0</v>
      </c>
      <c r="O28" s="2">
        <v>11</v>
      </c>
      <c r="P28" s="2">
        <v>0</v>
      </c>
      <c r="Q28" s="2">
        <v>0</v>
      </c>
      <c r="R28" s="2">
        <v>33</v>
      </c>
      <c r="S28" s="2">
        <f t="shared" ref="S28:S33" si="20">SUM(K28:R28)</f>
        <v>81</v>
      </c>
      <c r="T28" s="2">
        <v>29</v>
      </c>
      <c r="U28" s="2">
        <v>3</v>
      </c>
      <c r="V28" s="2">
        <v>12</v>
      </c>
      <c r="W28" s="2">
        <v>0</v>
      </c>
      <c r="X28" s="2">
        <v>0</v>
      </c>
      <c r="Y28" s="2">
        <v>1</v>
      </c>
      <c r="Z28" s="2">
        <v>0</v>
      </c>
      <c r="AA28" s="2">
        <v>25</v>
      </c>
      <c r="AB28" s="7">
        <f t="shared" si="4"/>
        <v>70</v>
      </c>
    </row>
    <row r="29" spans="1:28" outlineLevel="1" x14ac:dyDescent="0.25">
      <c r="A29" t="s">
        <v>17</v>
      </c>
      <c r="B29" s="2">
        <v>1</v>
      </c>
      <c r="C29" s="2">
        <v>0</v>
      </c>
      <c r="D29" s="2">
        <v>15</v>
      </c>
      <c r="E29" s="2">
        <v>0</v>
      </c>
      <c r="F29" s="2">
        <v>7</v>
      </c>
      <c r="G29" s="2">
        <v>0</v>
      </c>
      <c r="H29" s="2">
        <v>0</v>
      </c>
      <c r="I29" s="2">
        <v>8</v>
      </c>
      <c r="J29" s="2">
        <f t="shared" si="19"/>
        <v>31</v>
      </c>
      <c r="K29" s="2">
        <v>0</v>
      </c>
      <c r="L29" s="2">
        <v>0</v>
      </c>
      <c r="M29" s="2">
        <v>15</v>
      </c>
      <c r="N29" s="2">
        <v>0</v>
      </c>
      <c r="O29" s="2">
        <v>2</v>
      </c>
      <c r="P29" s="2">
        <v>0</v>
      </c>
      <c r="Q29" s="2">
        <v>0</v>
      </c>
      <c r="R29" s="2">
        <v>0</v>
      </c>
      <c r="S29" s="2">
        <f t="shared" si="20"/>
        <v>17</v>
      </c>
      <c r="T29" s="2">
        <v>3</v>
      </c>
      <c r="U29" s="2">
        <v>2</v>
      </c>
      <c r="V29" s="2">
        <v>2</v>
      </c>
      <c r="W29" s="2">
        <v>0</v>
      </c>
      <c r="X29" s="2">
        <v>2</v>
      </c>
      <c r="Y29" s="2">
        <v>0</v>
      </c>
      <c r="Z29" s="2">
        <v>0</v>
      </c>
      <c r="AA29" s="2">
        <v>9</v>
      </c>
      <c r="AB29" s="7">
        <f t="shared" si="4"/>
        <v>18</v>
      </c>
    </row>
    <row r="30" spans="1:28" outlineLevel="1" x14ac:dyDescent="0.25">
      <c r="A30" t="s">
        <v>18</v>
      </c>
      <c r="B30" s="2">
        <v>0</v>
      </c>
      <c r="C30" s="2">
        <v>1</v>
      </c>
      <c r="D30" s="2">
        <v>6</v>
      </c>
      <c r="E30" s="2">
        <v>0</v>
      </c>
      <c r="F30" s="2">
        <v>1</v>
      </c>
      <c r="G30" s="2">
        <v>0</v>
      </c>
      <c r="H30" s="2">
        <v>0</v>
      </c>
      <c r="I30" s="2">
        <v>1</v>
      </c>
      <c r="J30" s="2">
        <f t="shared" si="19"/>
        <v>9</v>
      </c>
      <c r="K30" s="2">
        <v>0</v>
      </c>
      <c r="L30" s="2">
        <v>1</v>
      </c>
      <c r="M30" s="2">
        <v>3</v>
      </c>
      <c r="N30" s="2">
        <v>0</v>
      </c>
      <c r="O30" s="2">
        <v>1</v>
      </c>
      <c r="P30" s="2">
        <v>0</v>
      </c>
      <c r="Q30" s="2">
        <v>0</v>
      </c>
      <c r="R30" s="2">
        <v>1</v>
      </c>
      <c r="S30" s="2">
        <f t="shared" si="20"/>
        <v>6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7">
        <f t="shared" si="4"/>
        <v>0</v>
      </c>
    </row>
    <row r="31" spans="1:28" outlineLevel="1" x14ac:dyDescent="0.25">
      <c r="A31" t="s">
        <v>19</v>
      </c>
      <c r="B31" s="2">
        <v>0</v>
      </c>
      <c r="C31" s="2">
        <v>0</v>
      </c>
      <c r="D31" s="2">
        <v>1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f t="shared" si="19"/>
        <v>1</v>
      </c>
      <c r="K31" s="2">
        <v>0</v>
      </c>
      <c r="L31" s="2">
        <v>0</v>
      </c>
      <c r="M31" s="2">
        <v>1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f t="shared" si="20"/>
        <v>1</v>
      </c>
      <c r="T31" s="2">
        <v>1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7">
        <f t="shared" si="4"/>
        <v>1</v>
      </c>
    </row>
    <row r="32" spans="1:28" outlineLevel="1" x14ac:dyDescent="0.25">
      <c r="A32" t="s">
        <v>20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f t="shared" si="19"/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f t="shared" si="20"/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7">
        <f t="shared" si="4"/>
        <v>0</v>
      </c>
    </row>
    <row r="33" spans="1:28" outlineLevel="1" x14ac:dyDescent="0.25">
      <c r="A33" t="s">
        <v>21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f t="shared" si="19"/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f t="shared" si="20"/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7">
        <f t="shared" si="4"/>
        <v>0</v>
      </c>
    </row>
    <row r="34" spans="1:28" outlineLevel="1" x14ac:dyDescent="0.25">
      <c r="AB34" s="7"/>
    </row>
    <row r="35" spans="1:28" x14ac:dyDescent="0.25">
      <c r="A35" s="1" t="s">
        <v>10</v>
      </c>
      <c r="B35" s="6">
        <f t="shared" ref="B35:I35" si="21">SUM(B36:B41)</f>
        <v>0</v>
      </c>
      <c r="C35" s="6">
        <f t="shared" si="21"/>
        <v>7</v>
      </c>
      <c r="D35" s="6">
        <f t="shared" si="21"/>
        <v>88</v>
      </c>
      <c r="E35" s="6">
        <f t="shared" si="21"/>
        <v>0</v>
      </c>
      <c r="F35" s="6">
        <f t="shared" si="21"/>
        <v>19</v>
      </c>
      <c r="G35" s="6">
        <f t="shared" si="21"/>
        <v>0</v>
      </c>
      <c r="H35" s="6">
        <f t="shared" si="21"/>
        <v>0</v>
      </c>
      <c r="I35" s="6">
        <f t="shared" si="21"/>
        <v>65</v>
      </c>
      <c r="J35" s="6">
        <f>SUM(J36:J41)</f>
        <v>179</v>
      </c>
      <c r="K35" s="6">
        <f t="shared" ref="K35:R35" si="22">SUM(K36:K41)</f>
        <v>0</v>
      </c>
      <c r="L35" s="6">
        <f t="shared" si="22"/>
        <v>3</v>
      </c>
      <c r="M35" s="6">
        <f t="shared" si="22"/>
        <v>48</v>
      </c>
      <c r="N35" s="6">
        <f t="shared" si="22"/>
        <v>0</v>
      </c>
      <c r="O35" s="6">
        <f t="shared" si="22"/>
        <v>14</v>
      </c>
      <c r="P35" s="6">
        <f t="shared" si="22"/>
        <v>0</v>
      </c>
      <c r="Q35" s="6">
        <f t="shared" si="22"/>
        <v>0</v>
      </c>
      <c r="R35" s="6">
        <f t="shared" si="22"/>
        <v>52</v>
      </c>
      <c r="S35" s="6">
        <f>SUM(S36:S41)</f>
        <v>117</v>
      </c>
      <c r="T35" s="6">
        <f t="shared" ref="T35:AA35" si="23">SUM(T36:T41)</f>
        <v>30</v>
      </c>
      <c r="U35" s="6">
        <f t="shared" si="23"/>
        <v>2</v>
      </c>
      <c r="V35" s="6">
        <f t="shared" si="23"/>
        <v>16</v>
      </c>
      <c r="W35" s="6">
        <f t="shared" si="23"/>
        <v>0</v>
      </c>
      <c r="X35" s="6">
        <f t="shared" si="23"/>
        <v>0</v>
      </c>
      <c r="Y35" s="6">
        <f t="shared" si="23"/>
        <v>3</v>
      </c>
      <c r="Z35" s="6">
        <f t="shared" si="23"/>
        <v>0</v>
      </c>
      <c r="AA35" s="6">
        <f t="shared" si="23"/>
        <v>30</v>
      </c>
      <c r="AB35" s="6">
        <f t="shared" si="4"/>
        <v>81</v>
      </c>
    </row>
    <row r="36" spans="1:28" outlineLevel="1" x14ac:dyDescent="0.25">
      <c r="A36" t="s">
        <v>16</v>
      </c>
      <c r="B36" s="2">
        <v>0</v>
      </c>
      <c r="C36" s="2">
        <v>7</v>
      </c>
      <c r="D36" s="2">
        <v>88</v>
      </c>
      <c r="E36" s="2">
        <v>0</v>
      </c>
      <c r="F36" s="2">
        <v>19</v>
      </c>
      <c r="G36" s="2">
        <v>0</v>
      </c>
      <c r="H36" s="2">
        <v>0</v>
      </c>
      <c r="I36" s="2">
        <v>65</v>
      </c>
      <c r="J36" s="2">
        <f t="shared" ref="J36:J41" si="24">SUM(B36:I36)</f>
        <v>179</v>
      </c>
      <c r="K36" s="2">
        <v>0</v>
      </c>
      <c r="L36" s="2">
        <v>3</v>
      </c>
      <c r="M36" s="2">
        <v>48</v>
      </c>
      <c r="N36" s="2">
        <v>0</v>
      </c>
      <c r="O36" s="2">
        <v>12</v>
      </c>
      <c r="P36" s="2">
        <v>0</v>
      </c>
      <c r="Q36" s="2">
        <v>0</v>
      </c>
      <c r="R36" s="2">
        <v>51</v>
      </c>
      <c r="S36" s="2">
        <f t="shared" ref="S36:S41" si="25">SUM(K36:R36)</f>
        <v>114</v>
      </c>
      <c r="T36" s="2">
        <v>29</v>
      </c>
      <c r="U36" s="2">
        <v>2</v>
      </c>
      <c r="V36" s="2">
        <v>16</v>
      </c>
      <c r="W36" s="2">
        <v>0</v>
      </c>
      <c r="X36" s="2">
        <v>0</v>
      </c>
      <c r="Y36" s="2">
        <v>3</v>
      </c>
      <c r="Z36" s="2">
        <v>0</v>
      </c>
      <c r="AA36" s="2">
        <v>30</v>
      </c>
      <c r="AB36" s="7">
        <f t="shared" si="4"/>
        <v>80</v>
      </c>
    </row>
    <row r="37" spans="1:28" outlineLevel="1" x14ac:dyDescent="0.25">
      <c r="A37" t="s">
        <v>17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f t="shared" si="24"/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f t="shared" si="25"/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7">
        <f t="shared" si="4"/>
        <v>0</v>
      </c>
    </row>
    <row r="38" spans="1:28" outlineLevel="1" x14ac:dyDescent="0.25">
      <c r="A38" t="s">
        <v>18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f t="shared" si="24"/>
        <v>0</v>
      </c>
      <c r="K38" s="2">
        <v>0</v>
      </c>
      <c r="L38" s="2">
        <v>0</v>
      </c>
      <c r="M38" s="2">
        <v>0</v>
      </c>
      <c r="N38" s="2">
        <v>0</v>
      </c>
      <c r="O38" s="2">
        <v>2</v>
      </c>
      <c r="P38" s="2">
        <v>0</v>
      </c>
      <c r="Q38" s="2">
        <v>0</v>
      </c>
      <c r="R38" s="2">
        <v>1</v>
      </c>
      <c r="S38" s="2">
        <f t="shared" si="25"/>
        <v>3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7">
        <f t="shared" si="4"/>
        <v>0</v>
      </c>
    </row>
    <row r="39" spans="1:28" outlineLevel="1" x14ac:dyDescent="0.25">
      <c r="A39" t="s">
        <v>19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f t="shared" si="24"/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f t="shared" si="25"/>
        <v>0</v>
      </c>
      <c r="T39" s="2">
        <v>1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7">
        <f t="shared" si="4"/>
        <v>1</v>
      </c>
    </row>
    <row r="40" spans="1:28" outlineLevel="1" x14ac:dyDescent="0.25">
      <c r="A40" t="s">
        <v>20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f t="shared" si="24"/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f t="shared" si="25"/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7">
        <f t="shared" si="4"/>
        <v>0</v>
      </c>
    </row>
    <row r="41" spans="1:28" outlineLevel="1" x14ac:dyDescent="0.25">
      <c r="A41" t="s">
        <v>21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f t="shared" si="24"/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f t="shared" si="25"/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7">
        <f t="shared" si="4"/>
        <v>0</v>
      </c>
    </row>
    <row r="42" spans="1:28" outlineLevel="1" x14ac:dyDescent="0.25">
      <c r="AB42" s="7"/>
    </row>
    <row r="43" spans="1:28" x14ac:dyDescent="0.25">
      <c r="A43" s="1" t="s">
        <v>11</v>
      </c>
      <c r="B43" s="6">
        <f t="shared" ref="B43:I43" si="26">SUM(B44:B49)</f>
        <v>0</v>
      </c>
      <c r="C43" s="6">
        <f t="shared" si="26"/>
        <v>1</v>
      </c>
      <c r="D43" s="6">
        <f t="shared" si="26"/>
        <v>32</v>
      </c>
      <c r="E43" s="6">
        <f t="shared" si="26"/>
        <v>0</v>
      </c>
      <c r="F43" s="6">
        <f t="shared" si="26"/>
        <v>12</v>
      </c>
      <c r="G43" s="6">
        <f t="shared" si="26"/>
        <v>0</v>
      </c>
      <c r="H43" s="6">
        <f t="shared" si="26"/>
        <v>0</v>
      </c>
      <c r="I43" s="6">
        <f t="shared" si="26"/>
        <v>13</v>
      </c>
      <c r="J43" s="6">
        <f>SUM(J44:J49)</f>
        <v>58</v>
      </c>
      <c r="K43" s="6">
        <f t="shared" ref="K43:R43" si="27">SUM(K44:K49)</f>
        <v>3</v>
      </c>
      <c r="L43" s="6">
        <f t="shared" si="27"/>
        <v>1</v>
      </c>
      <c r="M43" s="6">
        <f t="shared" si="27"/>
        <v>20</v>
      </c>
      <c r="N43" s="6">
        <f t="shared" si="27"/>
        <v>1</v>
      </c>
      <c r="O43" s="6">
        <f t="shared" si="27"/>
        <v>4</v>
      </c>
      <c r="P43" s="6">
        <f t="shared" si="27"/>
        <v>1</v>
      </c>
      <c r="Q43" s="6">
        <f t="shared" si="27"/>
        <v>0</v>
      </c>
      <c r="R43" s="6">
        <f t="shared" si="27"/>
        <v>4</v>
      </c>
      <c r="S43" s="6">
        <f>SUM(S44:S49)</f>
        <v>34</v>
      </c>
      <c r="T43" s="6">
        <f t="shared" ref="T43:AA43" si="28">SUM(T44:T49)</f>
        <v>12</v>
      </c>
      <c r="U43" s="6">
        <f t="shared" si="28"/>
        <v>2</v>
      </c>
      <c r="V43" s="6">
        <f t="shared" si="28"/>
        <v>0</v>
      </c>
      <c r="W43" s="6">
        <f t="shared" si="28"/>
        <v>0</v>
      </c>
      <c r="X43" s="6">
        <f t="shared" si="28"/>
        <v>1</v>
      </c>
      <c r="Y43" s="6">
        <f t="shared" si="28"/>
        <v>2</v>
      </c>
      <c r="Z43" s="6">
        <f t="shared" si="28"/>
        <v>1</v>
      </c>
      <c r="AA43" s="6">
        <f t="shared" si="28"/>
        <v>19</v>
      </c>
      <c r="AB43" s="6">
        <f t="shared" si="4"/>
        <v>37</v>
      </c>
    </row>
    <row r="44" spans="1:28" outlineLevel="1" x14ac:dyDescent="0.25">
      <c r="A44" t="s">
        <v>16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f t="shared" ref="J44:J49" si="29">SUM(B44:I44)</f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f t="shared" ref="S44:S49" si="30">SUM(K44:R44)</f>
        <v>0</v>
      </c>
      <c r="T44" s="2">
        <v>5</v>
      </c>
      <c r="U44" s="2">
        <v>2</v>
      </c>
      <c r="V44" s="2">
        <v>0</v>
      </c>
      <c r="W44" s="2">
        <v>0</v>
      </c>
      <c r="X44" s="2">
        <v>0</v>
      </c>
      <c r="Y44" s="2">
        <v>0</v>
      </c>
      <c r="Z44" s="2">
        <v>1</v>
      </c>
      <c r="AA44" s="2">
        <v>9</v>
      </c>
      <c r="AB44" s="7">
        <f t="shared" si="4"/>
        <v>17</v>
      </c>
    </row>
    <row r="45" spans="1:28" outlineLevel="1" x14ac:dyDescent="0.25">
      <c r="A45" t="s">
        <v>17</v>
      </c>
      <c r="B45" s="2">
        <v>0</v>
      </c>
      <c r="C45" s="2">
        <v>0</v>
      </c>
      <c r="D45" s="2">
        <v>20</v>
      </c>
      <c r="E45" s="2">
        <v>0</v>
      </c>
      <c r="F45" s="2">
        <v>6</v>
      </c>
      <c r="G45" s="2">
        <v>0</v>
      </c>
      <c r="H45" s="2">
        <v>0</v>
      </c>
      <c r="I45" s="2">
        <v>10</v>
      </c>
      <c r="J45" s="2">
        <f t="shared" si="29"/>
        <v>36</v>
      </c>
      <c r="K45" s="2">
        <v>1</v>
      </c>
      <c r="L45" s="2">
        <v>1</v>
      </c>
      <c r="M45" s="2">
        <v>12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f t="shared" si="30"/>
        <v>14</v>
      </c>
      <c r="T45" s="2">
        <v>2</v>
      </c>
      <c r="U45" s="2">
        <v>0</v>
      </c>
      <c r="V45" s="2">
        <v>0</v>
      </c>
      <c r="W45" s="2">
        <v>0</v>
      </c>
      <c r="X45" s="2">
        <v>0</v>
      </c>
      <c r="Y45" s="2">
        <v>2</v>
      </c>
      <c r="Z45" s="2">
        <v>0</v>
      </c>
      <c r="AA45" s="2">
        <v>3</v>
      </c>
      <c r="AB45" s="7">
        <f t="shared" si="4"/>
        <v>7</v>
      </c>
    </row>
    <row r="46" spans="1:28" outlineLevel="1" x14ac:dyDescent="0.25">
      <c r="A46" t="s">
        <v>18</v>
      </c>
      <c r="B46" s="2">
        <v>0</v>
      </c>
      <c r="C46" s="2">
        <v>1</v>
      </c>
      <c r="D46" s="2">
        <v>8</v>
      </c>
      <c r="E46" s="2">
        <v>0</v>
      </c>
      <c r="F46" s="2">
        <v>3</v>
      </c>
      <c r="G46" s="2">
        <v>0</v>
      </c>
      <c r="H46" s="2">
        <v>0</v>
      </c>
      <c r="I46" s="2">
        <v>1</v>
      </c>
      <c r="J46" s="2">
        <f t="shared" si="29"/>
        <v>13</v>
      </c>
      <c r="K46" s="2">
        <v>1</v>
      </c>
      <c r="L46" s="2">
        <v>0</v>
      </c>
      <c r="M46" s="2">
        <v>5</v>
      </c>
      <c r="N46" s="2">
        <v>0</v>
      </c>
      <c r="O46" s="2">
        <v>3</v>
      </c>
      <c r="P46" s="2">
        <v>0</v>
      </c>
      <c r="Q46" s="2">
        <v>0</v>
      </c>
      <c r="R46" s="2">
        <v>1</v>
      </c>
      <c r="S46" s="2">
        <f t="shared" si="30"/>
        <v>10</v>
      </c>
      <c r="T46" s="2">
        <v>2</v>
      </c>
      <c r="U46" s="2">
        <v>0</v>
      </c>
      <c r="V46" s="2">
        <v>0</v>
      </c>
      <c r="W46" s="2">
        <v>0</v>
      </c>
      <c r="X46" s="2">
        <v>1</v>
      </c>
      <c r="Y46" s="2">
        <v>0</v>
      </c>
      <c r="Z46" s="2">
        <v>0</v>
      </c>
      <c r="AA46" s="2">
        <v>3</v>
      </c>
      <c r="AB46" s="7">
        <f t="shared" si="4"/>
        <v>6</v>
      </c>
    </row>
    <row r="47" spans="1:28" outlineLevel="1" x14ac:dyDescent="0.25">
      <c r="A47" t="s">
        <v>19</v>
      </c>
      <c r="B47" s="2">
        <v>0</v>
      </c>
      <c r="C47" s="2">
        <v>0</v>
      </c>
      <c r="D47" s="2">
        <v>2</v>
      </c>
      <c r="E47" s="2">
        <v>0</v>
      </c>
      <c r="F47" s="2">
        <v>1</v>
      </c>
      <c r="G47" s="2">
        <v>0</v>
      </c>
      <c r="H47" s="2">
        <v>0</v>
      </c>
      <c r="I47" s="2">
        <v>0</v>
      </c>
      <c r="J47" s="2">
        <f t="shared" si="29"/>
        <v>3</v>
      </c>
      <c r="K47" s="2">
        <v>0</v>
      </c>
      <c r="L47" s="2">
        <v>0</v>
      </c>
      <c r="M47" s="2">
        <v>1</v>
      </c>
      <c r="N47" s="2">
        <v>1</v>
      </c>
      <c r="O47" s="2">
        <v>0</v>
      </c>
      <c r="P47" s="2">
        <v>0</v>
      </c>
      <c r="Q47" s="2">
        <v>0</v>
      </c>
      <c r="R47" s="2">
        <v>0</v>
      </c>
      <c r="S47" s="2">
        <f t="shared" si="30"/>
        <v>2</v>
      </c>
      <c r="T47" s="2">
        <v>1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3</v>
      </c>
      <c r="AB47" s="7">
        <f t="shared" si="4"/>
        <v>4</v>
      </c>
    </row>
    <row r="48" spans="1:28" outlineLevel="1" x14ac:dyDescent="0.25">
      <c r="A48" t="s">
        <v>20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f t="shared" si="29"/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f t="shared" si="30"/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7">
        <f t="shared" si="4"/>
        <v>0</v>
      </c>
    </row>
    <row r="49" spans="1:28" outlineLevel="1" x14ac:dyDescent="0.25">
      <c r="A49" t="s">
        <v>21</v>
      </c>
      <c r="B49" s="2">
        <v>0</v>
      </c>
      <c r="C49" s="2">
        <v>0</v>
      </c>
      <c r="D49" s="2">
        <v>2</v>
      </c>
      <c r="E49" s="2">
        <v>0</v>
      </c>
      <c r="F49" s="2">
        <v>2</v>
      </c>
      <c r="G49" s="2">
        <v>0</v>
      </c>
      <c r="H49" s="2">
        <v>0</v>
      </c>
      <c r="I49" s="2">
        <v>2</v>
      </c>
      <c r="J49" s="2">
        <f t="shared" si="29"/>
        <v>6</v>
      </c>
      <c r="K49" s="2">
        <v>1</v>
      </c>
      <c r="L49" s="2">
        <v>0</v>
      </c>
      <c r="M49" s="2">
        <v>2</v>
      </c>
      <c r="N49" s="2">
        <v>0</v>
      </c>
      <c r="O49" s="2">
        <v>1</v>
      </c>
      <c r="P49" s="2">
        <v>1</v>
      </c>
      <c r="Q49" s="2">
        <v>0</v>
      </c>
      <c r="R49" s="2">
        <v>3</v>
      </c>
      <c r="S49" s="2">
        <f t="shared" si="30"/>
        <v>8</v>
      </c>
      <c r="T49" s="2">
        <v>2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1</v>
      </c>
      <c r="AB49" s="7">
        <f t="shared" si="4"/>
        <v>3</v>
      </c>
    </row>
    <row r="50" spans="1:28" outlineLevel="1" x14ac:dyDescent="0.25">
      <c r="AB50" s="7"/>
    </row>
    <row r="51" spans="1:28" x14ac:dyDescent="0.25">
      <c r="A51" s="1" t="s">
        <v>12</v>
      </c>
      <c r="B51" s="6">
        <f t="shared" ref="B51:I51" si="31">SUM(B52:B57)</f>
        <v>0</v>
      </c>
      <c r="C51" s="6">
        <f t="shared" si="31"/>
        <v>15</v>
      </c>
      <c r="D51" s="6">
        <f t="shared" si="31"/>
        <v>161</v>
      </c>
      <c r="E51" s="6">
        <f t="shared" si="31"/>
        <v>0</v>
      </c>
      <c r="F51" s="6">
        <f t="shared" si="31"/>
        <v>19</v>
      </c>
      <c r="G51" s="6">
        <f t="shared" si="31"/>
        <v>0</v>
      </c>
      <c r="H51" s="6">
        <f t="shared" si="31"/>
        <v>0</v>
      </c>
      <c r="I51" s="6">
        <f t="shared" si="31"/>
        <v>145</v>
      </c>
      <c r="J51" s="6">
        <f>SUM(J52:J57)</f>
        <v>340</v>
      </c>
      <c r="K51" s="6">
        <f t="shared" ref="K51:R51" si="32">SUM(K52:K57)</f>
        <v>2</v>
      </c>
      <c r="L51" s="6">
        <f t="shared" si="32"/>
        <v>6</v>
      </c>
      <c r="M51" s="6">
        <f t="shared" si="32"/>
        <v>128</v>
      </c>
      <c r="N51" s="6">
        <f t="shared" si="32"/>
        <v>0</v>
      </c>
      <c r="O51" s="6">
        <f t="shared" si="32"/>
        <v>45</v>
      </c>
      <c r="P51" s="6">
        <f t="shared" si="32"/>
        <v>1</v>
      </c>
      <c r="Q51" s="6">
        <f t="shared" si="32"/>
        <v>0</v>
      </c>
      <c r="R51" s="6">
        <f t="shared" si="32"/>
        <v>124</v>
      </c>
      <c r="S51" s="6">
        <f>SUM(S52:S57)</f>
        <v>306</v>
      </c>
      <c r="T51" s="6">
        <f t="shared" ref="T51:AA51" si="33">SUM(T52:T57)</f>
        <v>47</v>
      </c>
      <c r="U51" s="6">
        <f t="shared" si="33"/>
        <v>4</v>
      </c>
      <c r="V51" s="6">
        <f t="shared" si="33"/>
        <v>19</v>
      </c>
      <c r="W51" s="6">
        <f t="shared" si="33"/>
        <v>0</v>
      </c>
      <c r="X51" s="6">
        <f t="shared" si="33"/>
        <v>3</v>
      </c>
      <c r="Y51" s="6">
        <f t="shared" si="33"/>
        <v>0</v>
      </c>
      <c r="Z51" s="6">
        <f t="shared" si="33"/>
        <v>0</v>
      </c>
      <c r="AA51" s="6">
        <f t="shared" si="33"/>
        <v>58</v>
      </c>
      <c r="AB51" s="6">
        <f t="shared" si="4"/>
        <v>131</v>
      </c>
    </row>
    <row r="52" spans="1:28" outlineLevel="1" x14ac:dyDescent="0.25">
      <c r="A52" t="s">
        <v>16</v>
      </c>
      <c r="B52" s="2">
        <v>0</v>
      </c>
      <c r="C52" s="2">
        <v>14</v>
      </c>
      <c r="D52" s="2">
        <v>142</v>
      </c>
      <c r="E52" s="2">
        <v>0</v>
      </c>
      <c r="F52" s="2">
        <v>14</v>
      </c>
      <c r="G52" s="2">
        <v>0</v>
      </c>
      <c r="H52" s="2">
        <v>0</v>
      </c>
      <c r="I52" s="2">
        <v>140</v>
      </c>
      <c r="J52" s="2">
        <f t="shared" ref="J52:J57" si="34">SUM(B52:I52)</f>
        <v>310</v>
      </c>
      <c r="K52" s="2">
        <v>1</v>
      </c>
      <c r="L52" s="2">
        <v>6</v>
      </c>
      <c r="M52" s="2">
        <v>109</v>
      </c>
      <c r="N52" s="2">
        <v>0</v>
      </c>
      <c r="O52" s="2">
        <v>38</v>
      </c>
      <c r="P52" s="2">
        <v>0</v>
      </c>
      <c r="Q52" s="2">
        <v>0</v>
      </c>
      <c r="R52" s="2">
        <v>119</v>
      </c>
      <c r="S52" s="2">
        <f t="shared" ref="S52:S57" si="35">SUM(K52:R52)</f>
        <v>273</v>
      </c>
      <c r="T52" s="2">
        <v>41</v>
      </c>
      <c r="U52" s="2">
        <v>4</v>
      </c>
      <c r="V52" s="2">
        <v>12</v>
      </c>
      <c r="W52" s="2">
        <v>0</v>
      </c>
      <c r="X52" s="2">
        <v>0</v>
      </c>
      <c r="Y52" s="2">
        <v>0</v>
      </c>
      <c r="Z52" s="2">
        <v>0</v>
      </c>
      <c r="AA52" s="2">
        <v>51</v>
      </c>
      <c r="AB52" s="7">
        <f t="shared" si="4"/>
        <v>108</v>
      </c>
    </row>
    <row r="53" spans="1:28" outlineLevel="1" x14ac:dyDescent="0.25">
      <c r="A53" t="s">
        <v>17</v>
      </c>
      <c r="B53" s="2">
        <v>0</v>
      </c>
      <c r="C53" s="2">
        <v>0</v>
      </c>
      <c r="D53" s="2">
        <v>17</v>
      </c>
      <c r="E53" s="2">
        <v>0</v>
      </c>
      <c r="F53" s="2">
        <v>4</v>
      </c>
      <c r="G53" s="2">
        <v>0</v>
      </c>
      <c r="H53" s="2">
        <v>0</v>
      </c>
      <c r="I53" s="2">
        <v>5</v>
      </c>
      <c r="J53" s="2">
        <f t="shared" si="34"/>
        <v>26</v>
      </c>
      <c r="K53" s="2">
        <v>1</v>
      </c>
      <c r="L53" s="2">
        <v>0</v>
      </c>
      <c r="M53" s="2">
        <v>18</v>
      </c>
      <c r="N53" s="2">
        <v>0</v>
      </c>
      <c r="O53" s="2">
        <v>5</v>
      </c>
      <c r="P53" s="2">
        <v>1</v>
      </c>
      <c r="Q53" s="2">
        <v>0</v>
      </c>
      <c r="R53" s="2">
        <v>5</v>
      </c>
      <c r="S53" s="2">
        <f t="shared" si="35"/>
        <v>30</v>
      </c>
      <c r="T53" s="2">
        <v>4</v>
      </c>
      <c r="U53" s="2">
        <v>0</v>
      </c>
      <c r="V53" s="2">
        <v>7</v>
      </c>
      <c r="W53" s="2">
        <v>0</v>
      </c>
      <c r="X53" s="2">
        <v>3</v>
      </c>
      <c r="Y53" s="2">
        <v>0</v>
      </c>
      <c r="Z53" s="2">
        <v>0</v>
      </c>
      <c r="AA53" s="2">
        <v>4</v>
      </c>
      <c r="AB53" s="7">
        <f t="shared" si="4"/>
        <v>18</v>
      </c>
    </row>
    <row r="54" spans="1:28" outlineLevel="1" x14ac:dyDescent="0.25">
      <c r="A54" t="s">
        <v>18</v>
      </c>
      <c r="B54" s="2">
        <v>0</v>
      </c>
      <c r="C54" s="2">
        <v>1</v>
      </c>
      <c r="D54" s="2">
        <v>2</v>
      </c>
      <c r="E54" s="2">
        <v>0</v>
      </c>
      <c r="F54" s="2">
        <v>1</v>
      </c>
      <c r="G54" s="2">
        <v>0</v>
      </c>
      <c r="H54" s="2">
        <v>0</v>
      </c>
      <c r="I54" s="2">
        <v>0</v>
      </c>
      <c r="J54" s="2">
        <f t="shared" si="34"/>
        <v>4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f t="shared" si="35"/>
        <v>0</v>
      </c>
      <c r="T54" s="2">
        <v>2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3</v>
      </c>
      <c r="AB54" s="7">
        <f t="shared" si="4"/>
        <v>5</v>
      </c>
    </row>
    <row r="55" spans="1:28" outlineLevel="1" x14ac:dyDescent="0.25">
      <c r="A55" t="s">
        <v>19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f t="shared" si="34"/>
        <v>0</v>
      </c>
      <c r="K55" s="2">
        <v>0</v>
      </c>
      <c r="L55" s="2">
        <v>0</v>
      </c>
      <c r="M55" s="2">
        <v>1</v>
      </c>
      <c r="N55" s="2">
        <v>0</v>
      </c>
      <c r="O55" s="2">
        <v>2</v>
      </c>
      <c r="P55" s="2">
        <v>0</v>
      </c>
      <c r="Q55" s="2">
        <v>0</v>
      </c>
      <c r="R55" s="2">
        <v>0</v>
      </c>
      <c r="S55" s="2">
        <f t="shared" si="35"/>
        <v>3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7">
        <f t="shared" si="4"/>
        <v>0</v>
      </c>
    </row>
    <row r="56" spans="1:28" outlineLevel="1" x14ac:dyDescent="0.25">
      <c r="A56" t="s">
        <v>20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f t="shared" si="34"/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f t="shared" si="35"/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7">
        <f t="shared" si="4"/>
        <v>0</v>
      </c>
    </row>
    <row r="57" spans="1:28" outlineLevel="1" x14ac:dyDescent="0.25">
      <c r="A57" t="s">
        <v>21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f t="shared" si="34"/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f t="shared" si="35"/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7">
        <f t="shared" si="4"/>
        <v>0</v>
      </c>
    </row>
  </sheetData>
  <mergeCells count="3">
    <mergeCell ref="B1:J1"/>
    <mergeCell ref="K1:S1"/>
    <mergeCell ref="T1:A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Career Education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 User</dc:creator>
  <cp:lastModifiedBy>feltam0319</cp:lastModifiedBy>
  <dcterms:created xsi:type="dcterms:W3CDTF">2013-07-22T17:38:03Z</dcterms:created>
  <dcterms:modified xsi:type="dcterms:W3CDTF">2013-07-25T20:23:06Z</dcterms:modified>
</cp:coreProperties>
</file>