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45" yWindow="0" windowWidth="12120" windowHeight="8895"/>
  </bookViews>
  <sheets>
    <sheet name="Classified NFE" sheetId="1" r:id="rId1"/>
  </sheets>
  <definedNames>
    <definedName name="BA_paynumbers">'Classified NFE'!$A$64:$A$101</definedName>
    <definedName name="BA_payperiod">'Classified NFE'!$A$64:$B$101</definedName>
    <definedName name="BA_Print_Area">'Classified NFE'!$A$1:$R$39</definedName>
    <definedName name="_xlnm.Print_Area" localSheetId="0">'Classified NFE'!$A$1:$R$37</definedName>
  </definedNames>
  <calcPr calcId="145621"/>
</workbook>
</file>

<file path=xl/calcChain.xml><?xml version="1.0" encoding="utf-8"?>
<calcChain xmlns="http://schemas.openxmlformats.org/spreadsheetml/2006/main">
  <c r="R3" i="1" l="1"/>
  <c r="B117" i="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91" i="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A138" i="1"/>
  <c r="A139" i="1"/>
  <c r="A140" i="1" s="1"/>
  <c r="A141" i="1" s="1"/>
  <c r="A102" i="1"/>
  <c r="A103" i="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O36" i="1" l="1"/>
  <c r="Q18" i="1"/>
  <c r="I18" i="1"/>
  <c r="B10" i="1"/>
  <c r="C10" i="1" s="1"/>
  <c r="D10" i="1" s="1"/>
  <c r="E10" i="1" s="1"/>
  <c r="F10" i="1" s="1"/>
  <c r="G10" i="1" s="1"/>
  <c r="H10" i="1" s="1"/>
  <c r="J10" i="1" s="1"/>
  <c r="K10" i="1" s="1"/>
  <c r="L10" i="1" s="1"/>
  <c r="M10" i="1" s="1"/>
  <c r="N10" i="1" s="1"/>
  <c r="O10" i="1" s="1"/>
  <c r="P10" i="1" s="1"/>
  <c r="J7" i="1" s="1"/>
  <c r="I12" i="1"/>
  <c r="Q12" i="1"/>
  <c r="I13" i="1"/>
  <c r="Q13" i="1"/>
  <c r="R13" i="1" s="1"/>
  <c r="I14" i="1"/>
  <c r="Q14" i="1"/>
  <c r="I15" i="1"/>
  <c r="Q15" i="1"/>
  <c r="I16" i="1"/>
  <c r="Q16" i="1"/>
  <c r="I17" i="1"/>
  <c r="Q17" i="1"/>
  <c r="I19" i="1"/>
  <c r="Q19" i="1"/>
  <c r="I20" i="1"/>
  <c r="Q20" i="1"/>
  <c r="R20" i="1" s="1"/>
  <c r="I21" i="1"/>
  <c r="Q21" i="1"/>
  <c r="I22" i="1"/>
  <c r="Q22" i="1"/>
  <c r="B23" i="1"/>
  <c r="C23" i="1"/>
  <c r="D23" i="1"/>
  <c r="E23" i="1"/>
  <c r="F23" i="1"/>
  <c r="G23" i="1"/>
  <c r="H23" i="1"/>
  <c r="J23" i="1"/>
  <c r="K23" i="1"/>
  <c r="L23" i="1"/>
  <c r="M23" i="1"/>
  <c r="N23" i="1"/>
  <c r="O23" i="1"/>
  <c r="P23" i="1"/>
  <c r="O34" i="1"/>
  <c r="A65" i="1"/>
  <c r="A66" i="1" s="1"/>
  <c r="A67" i="1" s="1"/>
  <c r="A68" i="1" s="1"/>
  <c r="A69" i="1" s="1"/>
  <c r="A70" i="1" s="1"/>
  <c r="A71" i="1" s="1"/>
  <c r="A72" i="1" s="1"/>
  <c r="A73" i="1" s="1"/>
  <c r="A74" i="1" s="1"/>
  <c r="A75" i="1" s="1"/>
  <c r="A76" i="1" s="1"/>
  <c r="A77" i="1" s="1"/>
  <c r="A78" i="1" s="1"/>
  <c r="B65" i="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R22" i="1" l="1"/>
  <c r="R15" i="1"/>
  <c r="R19" i="1"/>
  <c r="R16" i="1"/>
  <c r="R12" i="1"/>
  <c r="I23" i="1"/>
  <c r="R21" i="1"/>
  <c r="R17" i="1"/>
  <c r="Q23" i="1"/>
  <c r="R14" i="1"/>
  <c r="R23" i="1" s="1"/>
  <c r="R18" i="1"/>
  <c r="A79" i="1"/>
  <c r="A80" i="1" s="1"/>
  <c r="A81" i="1" s="1"/>
  <c r="A82" i="1" s="1"/>
  <c r="A83" i="1" s="1"/>
  <c r="A84" i="1" s="1"/>
  <c r="A85" i="1" s="1"/>
  <c r="A86" i="1" s="1"/>
  <c r="A87" i="1" s="1"/>
  <c r="A88" i="1" s="1"/>
  <c r="A89" i="1" s="1"/>
  <c r="A90" i="1" s="1"/>
  <c r="A91" i="1" s="1"/>
  <c r="A92" i="1" s="1"/>
  <c r="A93" i="1" s="1"/>
  <c r="A94" i="1" l="1"/>
  <c r="A95" i="1" s="1"/>
  <c r="A96" i="1" s="1"/>
  <c r="A97" i="1" s="1"/>
  <c r="A98" i="1" s="1"/>
  <c r="A99" i="1" s="1"/>
  <c r="A100" i="1" s="1"/>
  <c r="A101" i="1" s="1"/>
</calcChain>
</file>

<file path=xl/comments1.xml><?xml version="1.0" encoding="utf-8"?>
<comments xmlns="http://schemas.openxmlformats.org/spreadsheetml/2006/main">
  <authors>
    <author>Human Resources</author>
  </authors>
  <commentList>
    <comment ref="C7" authorId="0">
      <text>
        <r>
          <rPr>
            <sz val="10"/>
            <color indexed="81"/>
            <rFont val="Tahoma"/>
            <family val="2"/>
          </rPr>
          <t>To enter dates for payroll - select the appropriate start date from the pull down menu.</t>
        </r>
      </text>
    </comment>
    <comment ref="A25"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34"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<sst xmlns="http://schemas.openxmlformats.org/spreadsheetml/2006/main" count="46" uniqueCount="36">
  <si>
    <t>Date</t>
  </si>
  <si>
    <t>Sun</t>
  </si>
  <si>
    <t>Mon</t>
  </si>
  <si>
    <t>Tue</t>
  </si>
  <si>
    <t>Wed</t>
  </si>
  <si>
    <t>Thu</t>
  </si>
  <si>
    <t>Fri</t>
  </si>
  <si>
    <t>Sat</t>
  </si>
  <si>
    <t>DEDUCTIONS</t>
  </si>
  <si>
    <t>TOTAL HOURS</t>
  </si>
  <si>
    <t>Work Time</t>
  </si>
  <si>
    <t>Pay Period Beginning</t>
  </si>
  <si>
    <t>Ending</t>
  </si>
  <si>
    <t>Employee's Signature</t>
  </si>
  <si>
    <t>Employer's Signature</t>
  </si>
  <si>
    <t xml:space="preserve"> </t>
  </si>
  <si>
    <t xml:space="preserve">ORG# </t>
  </si>
  <si>
    <t xml:space="preserve">PAY# </t>
  </si>
  <si>
    <t>Special Instructions</t>
  </si>
  <si>
    <t>Last Name, First Name</t>
  </si>
  <si>
    <t>V00000000</t>
  </si>
  <si>
    <r>
      <t xml:space="preserve">Holiday </t>
    </r>
    <r>
      <rPr>
        <b/>
        <i/>
        <sz val="10"/>
        <rFont val="Arial"/>
        <family val="2"/>
      </rPr>
      <t>(HOL)</t>
    </r>
  </si>
  <si>
    <r>
      <t xml:space="preserve">Military </t>
    </r>
    <r>
      <rPr>
        <b/>
        <i/>
        <sz val="10"/>
        <rFont val="Arial"/>
        <family val="2"/>
      </rPr>
      <t>(MIL)</t>
    </r>
  </si>
  <si>
    <r>
      <t xml:space="preserve">Admin Leave </t>
    </r>
    <r>
      <rPr>
        <b/>
        <i/>
        <sz val="10"/>
        <rFont val="Arial"/>
        <family val="2"/>
      </rPr>
      <t>(ADL)</t>
    </r>
  </si>
  <si>
    <r>
      <t xml:space="preserve">Jury Duty </t>
    </r>
    <r>
      <rPr>
        <b/>
        <i/>
        <sz val="10"/>
        <rFont val="Arial"/>
        <family val="2"/>
      </rPr>
      <t>(JRY)</t>
    </r>
  </si>
  <si>
    <r>
      <t xml:space="preserve">Shared Leave </t>
    </r>
    <r>
      <rPr>
        <b/>
        <i/>
        <sz val="10"/>
        <rFont val="Arial"/>
        <family val="2"/>
      </rPr>
      <t>(SHL)</t>
    </r>
  </si>
  <si>
    <t>Week 1 Total</t>
  </si>
  <si>
    <t>Week 2 Total</t>
  </si>
  <si>
    <t>Pay Period Total</t>
  </si>
  <si>
    <t>University of Idaho - Leave Taken Report</t>
  </si>
  <si>
    <r>
      <t xml:space="preserve">Annual Leave </t>
    </r>
    <r>
      <rPr>
        <b/>
        <i/>
        <sz val="10"/>
        <rFont val="Arial"/>
        <family val="2"/>
      </rPr>
      <t>(VAC)*</t>
    </r>
  </si>
  <si>
    <r>
      <t xml:space="preserve">Sick Leave </t>
    </r>
    <r>
      <rPr>
        <b/>
        <i/>
        <sz val="10"/>
        <rFont val="Arial"/>
        <family val="2"/>
      </rPr>
      <t>(SIC)*</t>
    </r>
  </si>
  <si>
    <r>
      <t xml:space="preserve">Medical Appoint </t>
    </r>
    <r>
      <rPr>
        <b/>
        <i/>
        <sz val="10"/>
        <rFont val="Arial"/>
        <family val="2"/>
      </rPr>
      <t>(MED)*</t>
    </r>
  </si>
  <si>
    <r>
      <t xml:space="preserve">LWOP w/Ben </t>
    </r>
    <r>
      <rPr>
        <b/>
        <i/>
        <sz val="10"/>
        <rFont val="Arial"/>
        <family val="2"/>
      </rPr>
      <t>(LWB)</t>
    </r>
  </si>
  <si>
    <r>
      <t xml:space="preserve">LWOP w/o Ben </t>
    </r>
    <r>
      <rPr>
        <b/>
        <i/>
        <sz val="10"/>
        <rFont val="Arial"/>
        <family val="2"/>
      </rPr>
      <t>(LWO)</t>
    </r>
  </si>
  <si>
    <r>
      <t xml:space="preserve">LWOP w/o Leave Accrual </t>
    </r>
    <r>
      <rPr>
        <b/>
        <i/>
        <sz val="10"/>
        <rFont val="Arial"/>
        <family val="2"/>
      </rPr>
      <t>(LWA)</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</si>
</sst>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m\-yy"/>
    <numFmt numFmtId="165" formatCode="m/d"/>
    <numFmt numFmtId="166" formatCode="mmmm\ d\,\ yyyy"/>
    <numFmt numFmtId="167" formatCode="\V00000000"/>
  </numFmts>
  <fonts count="13" x14ac:knownFonts="1">
    <font>
      <sz val="10"/>
      <name val="Arial"/>
    </font>
    <font>
      <b/>
      <sz val="10"/>
      <name val="Arial"/>
      <family val="2"/>
    </font>
    <font>
      <sz val="10"/>
      <color indexed="8"/>
      <name val="Arial"/>
      <family val="2"/>
    </font>
    <font>
      <sz val="14"/>
      <name val="Arial"/>
      <family val="2"/>
    </font>
    <font>
      <b/>
      <sz val="18"/>
      <name val="Arial"/>
      <family val="2"/>
    </font>
    <font>
      <sz val="10"/>
      <name val="Arial"/>
      <family val="2"/>
    </font>
    <font>
      <u/>
      <sz val="14"/>
      <name val="Arial"/>
      <family val="2"/>
    </font>
    <font>
      <sz val="12"/>
      <name val="Arial"/>
      <family val="2"/>
    </font>
    <font>
      <i/>
      <sz val="10"/>
      <name val="Arial"/>
      <family val="2"/>
    </font>
    <font>
      <sz val="10"/>
      <color indexed="81"/>
      <name val="Tahoma"/>
      <family val="2"/>
    </font>
    <font>
      <b/>
      <sz val="14"/>
      <name val="Arial"/>
      <family val="2"/>
    </font>
    <font>
      <b/>
      <sz val="10"/>
      <color indexed="81"/>
      <name val="Tahoma"/>
      <family val="2"/>
    </font>
    <font>
      <b/>
      <i/>
      <sz val="10"/>
      <name val="Arial"/>
      <family val="2"/>
    </font>
  </fonts>
  <fills count="3">
    <fill>
      <patternFill patternType="none"/>
    </fill>
    <fill>
      <patternFill patternType="gray125"/>
    </fill>
    <fill>
      <patternFill patternType="solid">
        <fgColor indexed="2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2" fontId="1" fillId="0" borderId="1" xfId="0" applyNumberFormat="1" applyFont="1" applyBorder="1" applyProtection="1">
      <protection locked="0"/>
    </xf>
    <xf numFmtId="2" fontId="1" fillId="0" borderId="2" xfId="0" applyNumberFormat="1" applyFont="1" applyBorder="1" applyProtection="1">
      <protection locked="0"/>
    </xf>
    <xf numFmtId="2" fontId="1" fillId="0" borderId="3" xfId="0" applyNumberFormat="1" applyFont="1" applyBorder="1" applyProtection="1">
      <protection locked="0"/>
    </xf>
    <xf numFmtId="2" fontId="1" fillId="0" borderId="4" xfId="0" applyNumberFormat="1" applyFont="1" applyBorder="1" applyProtection="1">
      <protection locked="0"/>
    </xf>
    <xf numFmtId="2" fontId="1" fillId="0" borderId="5" xfId="0" applyNumberFormat="1" applyFont="1" applyBorder="1" applyProtection="1">
      <protection locked="0"/>
    </xf>
    <xf numFmtId="2" fontId="1" fillId="0" borderId="6" xfId="0" applyNumberFormat="1" applyFont="1" applyBorder="1" applyProtection="1">
      <protection locked="0"/>
    </xf>
    <xf numFmtId="0" fontId="10" fillId="0" borderId="0" xfId="0" applyFont="1" applyBorder="1" applyProtection="1"/>
    <xf numFmtId="2" fontId="1" fillId="0" borderId="7" xfId="0" applyNumberFormat="1" applyFont="1" applyBorder="1" applyProtection="1">
      <protection locked="0"/>
    </xf>
    <xf numFmtId="2" fontId="1" fillId="0" borderId="8" xfId="0" applyNumberFormat="1" applyFont="1" applyBorder="1" applyProtection="1">
      <protection locked="0"/>
    </xf>
    <xf numFmtId="2" fontId="1" fillId="0" borderId="9" xfId="0" applyNumberFormat="1" applyFont="1" applyBorder="1" applyProtection="1">
      <protection locked="0"/>
    </xf>
    <xf numFmtId="0" fontId="0" fillId="0" borderId="10" xfId="0" applyBorder="1" applyProtection="1">
      <protection locked="0"/>
    </xf>
    <xf numFmtId="0" fontId="6" fillId="0" borderId="0" xfId="0" applyFont="1" applyBorder="1" applyAlignment="1" applyProtection="1">
      <alignment horizontal="center"/>
    </xf>
    <xf numFmtId="0" fontId="0" fillId="0" borderId="0" xfId="0" applyProtection="1"/>
    <xf numFmtId="0" fontId="6" fillId="0" borderId="0" xfId="0" applyFont="1" applyFill="1" applyBorder="1" applyAlignment="1" applyProtection="1">
      <alignment horizontal="center"/>
    </xf>
    <xf numFmtId="0" fontId="0" fillId="0" borderId="0" xfId="0" applyBorder="1" applyProtection="1"/>
    <xf numFmtId="0" fontId="0" fillId="0" borderId="0" xfId="0" applyFill="1" applyBorder="1" applyProtection="1"/>
    <xf numFmtId="0" fontId="1" fillId="0" borderId="0" xfId="0" applyFont="1" applyBorder="1" applyProtection="1"/>
    <xf numFmtId="0" fontId="5" fillId="0" borderId="0" xfId="0" applyFont="1" applyBorder="1" applyAlignment="1" applyProtection="1">
      <alignment horizontal="center"/>
    </xf>
    <xf numFmtId="0" fontId="1" fillId="0" borderId="0" xfId="0" applyFont="1" applyProtection="1"/>
    <xf numFmtId="0" fontId="0" fillId="0" borderId="0" xfId="0" applyBorder="1" applyAlignment="1" applyProtection="1">
      <alignment horizontal="right"/>
    </xf>
    <xf numFmtId="0" fontId="7" fillId="0" borderId="0" xfId="0" applyFont="1" applyBorder="1" applyProtection="1"/>
    <xf numFmtId="0" fontId="3" fillId="0" borderId="0" xfId="0" applyFont="1" applyBorder="1" applyProtection="1"/>
    <xf numFmtId="0" fontId="3" fillId="0" borderId="0" xfId="0" applyFont="1" applyProtection="1"/>
    <xf numFmtId="0" fontId="1" fillId="0" borderId="4" xfId="0" applyFont="1" applyFill="1" applyBorder="1" applyAlignment="1" applyProtection="1">
      <alignment horizontal="center"/>
    </xf>
    <xf numFmtId="0" fontId="1" fillId="0" borderId="2" xfId="0" applyFont="1" applyFill="1" applyBorder="1" applyAlignment="1" applyProtection="1">
      <alignment horizontal="center"/>
    </xf>
    <xf numFmtId="0" fontId="1" fillId="0" borderId="5" xfId="0" applyFont="1" applyFill="1" applyBorder="1" applyAlignment="1" applyProtection="1">
      <alignment horizontal="center"/>
    </xf>
    <xf numFmtId="165" fontId="1" fillId="0" borderId="11" xfId="0" applyNumberFormat="1" applyFont="1" applyFill="1" applyBorder="1" applyAlignment="1" applyProtection="1">
      <alignment horizontal="center"/>
    </xf>
    <xf numFmtId="165" fontId="1" fillId="0" borderId="12" xfId="0" applyNumberFormat="1" applyFont="1" applyFill="1" applyBorder="1" applyAlignment="1" applyProtection="1">
      <alignment horizontal="center"/>
    </xf>
    <xf numFmtId="165" fontId="1" fillId="0" borderId="13" xfId="0" applyNumberFormat="1" applyFont="1" applyFill="1" applyBorder="1" applyAlignment="1" applyProtection="1">
      <alignment horizontal="center"/>
    </xf>
    <xf numFmtId="0" fontId="1" fillId="0" borderId="14" xfId="0" applyFont="1" applyBorder="1" applyProtection="1"/>
    <xf numFmtId="0" fontId="8" fillId="0" borderId="15" xfId="0" applyFont="1" applyBorder="1" applyAlignment="1" applyProtection="1">
      <alignment horizontal="left" indent="1"/>
    </xf>
    <xf numFmtId="2" fontId="1" fillId="0" borderId="16" xfId="0" applyNumberFormat="1" applyFont="1" applyBorder="1" applyProtection="1"/>
    <xf numFmtId="2" fontId="1" fillId="0" borderId="17" xfId="0" applyNumberFormat="1" applyFont="1" applyBorder="1" applyProtection="1"/>
    <xf numFmtId="0" fontId="8" fillId="0" borderId="18" xfId="0" applyFont="1" applyBorder="1" applyAlignment="1" applyProtection="1">
      <alignment horizontal="left" indent="1"/>
    </xf>
    <xf numFmtId="2" fontId="1" fillId="0" borderId="19" xfId="0" applyNumberFormat="1" applyFont="1" applyBorder="1" applyProtection="1"/>
    <xf numFmtId="2" fontId="1" fillId="0" borderId="20" xfId="0" applyNumberFormat="1" applyFont="1" applyBorder="1" applyProtection="1"/>
    <xf numFmtId="0" fontId="8" fillId="0" borderId="21" xfId="0" applyFont="1" applyBorder="1" applyAlignment="1" applyProtection="1">
      <alignment horizontal="left" indent="1"/>
    </xf>
    <xf numFmtId="2" fontId="1" fillId="0" borderId="22" xfId="0" applyNumberFormat="1" applyFont="1" applyBorder="1" applyProtection="1"/>
    <xf numFmtId="0" fontId="1" fillId="0" borderId="23" xfId="0" applyFont="1" applyFill="1" applyBorder="1" applyProtection="1"/>
    <xf numFmtId="2" fontId="1" fillId="0" borderId="14" xfId="0" applyNumberFormat="1" applyFont="1" applyFill="1" applyBorder="1" applyProtection="1"/>
    <xf numFmtId="0" fontId="1" fillId="0" borderId="0" xfId="0" applyFont="1" applyFill="1" applyBorder="1" applyProtection="1"/>
    <xf numFmtId="2" fontId="1" fillId="0" borderId="0" xfId="0" applyNumberFormat="1" applyFont="1" applyFill="1" applyBorder="1" applyProtection="1"/>
    <xf numFmtId="49" fontId="12" fillId="0" borderId="0" xfId="0" applyNumberFormat="1" applyFont="1" applyFill="1" applyBorder="1" applyAlignment="1" applyProtection="1">
      <alignment horizontal="center" wrapText="1"/>
    </xf>
    <xf numFmtId="0" fontId="0" fillId="0" borderId="10" xfId="0" applyBorder="1" applyProtection="1"/>
    <xf numFmtId="0" fontId="12" fillId="0" borderId="0" xfId="0" applyFont="1" applyProtection="1"/>
    <xf numFmtId="164" fontId="0" fillId="0" borderId="0" xfId="0" applyNumberFormat="1" applyAlignment="1" applyProtection="1">
      <alignment horizontal="right"/>
    </xf>
    <xf numFmtId="16" fontId="0" fillId="0" borderId="0" xfId="0" applyNumberFormat="1" applyProtection="1"/>
    <xf numFmtId="166" fontId="0" fillId="0" borderId="0" xfId="0" applyNumberFormat="1" applyProtection="1"/>
    <xf numFmtId="1" fontId="0" fillId="0" borderId="0" xfId="0" applyNumberFormat="1" applyProtection="1"/>
    <xf numFmtId="0" fontId="5" fillId="0" borderId="24" xfId="0" applyFont="1" applyBorder="1" applyProtection="1">
      <protection locked="0"/>
    </xf>
    <xf numFmtId="14" fontId="3" fillId="0" borderId="0" xfId="0" applyNumberFormat="1" applyFont="1" applyBorder="1" applyAlignment="1" applyProtection="1">
      <alignment horizontal="center" vertical="center"/>
    </xf>
    <xf numFmtId="0" fontId="3" fillId="0" borderId="0" xfId="0" applyFont="1" applyBorder="1" applyAlignment="1" applyProtection="1">
      <alignment horizontal="center" vertical="center"/>
    </xf>
    <xf numFmtId="0" fontId="3" fillId="0" borderId="10" xfId="0" applyFont="1" applyBorder="1" applyAlignment="1" applyProtection="1">
      <alignment horizontal="center" vertical="center"/>
    </xf>
    <xf numFmtId="0" fontId="3" fillId="0" borderId="15" xfId="0" applyFont="1" applyFill="1" applyBorder="1" applyAlignment="1" applyProtection="1">
      <alignment horizontal="center" vertical="center"/>
    </xf>
    <xf numFmtId="0" fontId="3" fillId="0" borderId="25" xfId="0" applyFont="1" applyFill="1" applyBorder="1" applyAlignment="1" applyProtection="1">
      <alignment horizontal="center" vertical="center"/>
    </xf>
    <xf numFmtId="0" fontId="1" fillId="0" borderId="26" xfId="0" applyFont="1" applyFill="1" applyBorder="1" applyAlignment="1" applyProtection="1">
      <alignment horizontal="center" vertical="center" wrapText="1"/>
    </xf>
    <xf numFmtId="0" fontId="1" fillId="0" borderId="27" xfId="0" applyFont="1" applyFill="1" applyBorder="1" applyAlignment="1" applyProtection="1">
      <alignment horizontal="center" vertical="center" wrapText="1"/>
    </xf>
    <xf numFmtId="0" fontId="1" fillId="0" borderId="16" xfId="0" applyFont="1" applyFill="1" applyBorder="1" applyAlignment="1" applyProtection="1">
      <alignment horizontal="center" vertical="center" wrapText="1"/>
    </xf>
    <xf numFmtId="0" fontId="1" fillId="0" borderId="28" xfId="0" applyFont="1" applyFill="1" applyBorder="1" applyAlignment="1" applyProtection="1">
      <alignment horizontal="center" vertical="center" wrapText="1"/>
    </xf>
    <xf numFmtId="0" fontId="1" fillId="0" borderId="29" xfId="0" applyFont="1" applyFill="1" applyBorder="1" applyAlignment="1" applyProtection="1">
      <alignment horizontal="center" vertical="center" wrapText="1"/>
    </xf>
    <xf numFmtId="0" fontId="1" fillId="0" borderId="30" xfId="0" applyFont="1" applyFill="1" applyBorder="1" applyAlignment="1" applyProtection="1">
      <alignment horizontal="center" vertical="center" wrapText="1"/>
    </xf>
    <xf numFmtId="0" fontId="1" fillId="0" borderId="31" xfId="0" applyFont="1" applyBorder="1" applyAlignment="1" applyProtection="1">
      <alignment horizontal="left" vertical="center"/>
    </xf>
    <xf numFmtId="0" fontId="1" fillId="0" borderId="10" xfId="0" applyFont="1" applyBorder="1" applyAlignment="1" applyProtection="1">
      <alignment horizontal="left" vertical="center"/>
    </xf>
    <xf numFmtId="0" fontId="1" fillId="0" borderId="0" xfId="0" applyFont="1" applyBorder="1" applyAlignment="1" applyProtection="1">
      <alignment horizontal="left" vertical="center"/>
    </xf>
    <xf numFmtId="0" fontId="1" fillId="0" borderId="0" xfId="0" applyFont="1" applyBorder="1" applyAlignment="1" applyProtection="1">
      <alignment horizontal="center" vertical="center"/>
    </xf>
    <xf numFmtId="0" fontId="1" fillId="0" borderId="10" xfId="0" applyFont="1" applyBorder="1" applyAlignment="1" applyProtection="1">
      <alignment horizontal="center" vertical="center"/>
    </xf>
    <xf numFmtId="0" fontId="1" fillId="0" borderId="31" xfId="0" applyFont="1" applyBorder="1" applyAlignment="1" applyProtection="1">
      <alignment horizontal="center" vertical="center"/>
    </xf>
    <xf numFmtId="0" fontId="5" fillId="0" borderId="0" xfId="0" applyFont="1" applyBorder="1" applyAlignment="1" applyProtection="1">
      <alignment horizontal="left"/>
    </xf>
    <xf numFmtId="0" fontId="6" fillId="0" borderId="0" xfId="0" applyFont="1" applyBorder="1" applyAlignment="1" applyProtection="1">
      <alignment horizontal="center"/>
    </xf>
    <xf numFmtId="166" fontId="7" fillId="0" borderId="0" xfId="0" applyNumberFormat="1" applyFont="1" applyBorder="1" applyAlignment="1" applyProtection="1">
      <alignment horizontal="center"/>
    </xf>
    <xf numFmtId="0" fontId="7" fillId="0" borderId="0" xfId="0" applyFont="1" applyBorder="1" applyAlignment="1" applyProtection="1">
      <alignment horizontal="center"/>
    </xf>
    <xf numFmtId="0" fontId="4" fillId="0" borderId="0" xfId="0" applyFont="1" applyBorder="1" applyAlignment="1" applyProtection="1">
      <alignment horizontal="left"/>
      <protection locked="0"/>
    </xf>
    <xf numFmtId="167" fontId="4" fillId="0" borderId="0" xfId="0" applyNumberFormat="1" applyFont="1" applyBorder="1" applyAlignment="1" applyProtection="1">
      <alignment horizontal="left"/>
      <protection locked="0"/>
    </xf>
    <xf numFmtId="0" fontId="10" fillId="0" borderId="0" xfId="0" applyFont="1" applyBorder="1" applyAlignment="1" applyProtection="1">
      <alignment horizontal="right"/>
    </xf>
    <xf numFmtId="0" fontId="0" fillId="0" borderId="0" xfId="0" applyBorder="1" applyAlignment="1" applyProtection="1"/>
    <xf numFmtId="2" fontId="2" fillId="2" borderId="32" xfId="0" applyNumberFormat="1" applyFont="1" applyFill="1" applyBorder="1" applyAlignment="1" applyProtection="1">
      <alignment horizontal="center"/>
    </xf>
    <xf numFmtId="2" fontId="2" fillId="2" borderId="33" xfId="0" applyNumberFormat="1" applyFont="1" applyFill="1" applyBorder="1" applyAlignment="1" applyProtection="1">
      <alignment horizontal="center"/>
    </xf>
    <xf numFmtId="2" fontId="2" fillId="2" borderId="34" xfId="0" applyNumberFormat="1" applyFont="1" applyFill="1" applyBorder="1" applyAlignment="1" applyProtection="1">
      <alignment horizontal="center"/>
    </xf>
    <xf numFmtId="0" fontId="8" fillId="0" borderId="0" xfId="0" applyNumberFormat="1" applyFont="1" applyAlignment="1" applyProtection="1">
      <alignment wrapText="1"/>
    </xf>
    <xf numFmtId="0" fontId="8" fillId="0" borderId="0" xfId="0" applyFont="1" applyAlignment="1" applyProtection="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106680</xdr:colOff>
      <xdr:row>1</xdr:row>
      <xdr:rowOff>7620</xdr:rowOff>
    </xdr:from>
    <xdr:to>
      <xdr:col>10</xdr:col>
      <xdr:colOff>91440</xdr:colOff>
      <xdr:row>3</xdr:row>
      <xdr:rowOff>182880</xdr:rowOff>
    </xdr:to>
    <xdr:pic>
      <xdr:nvPicPr>
        <xdr:cNvPr id="1128" name="Picture 3" descr="University of Idaho - Original.jpg"/>
        <xdr:cNvPicPr>
          <a:picLocks noChangeAspect="1"/>
        </xdr:cNvPicPr>
      </xdr:nvPicPr>
      <xdr:blipFill>
        <a:blip xmlns:r="http://schemas.openxmlformats.org/officeDocument/2006/relationships" r:embed="rId1" cstate="print"/>
        <a:srcRect/>
        <a:stretch>
          <a:fillRect/>
        </a:stretch>
      </xdr:blipFill>
      <xdr:spPr bwMode="auto">
        <a:xfrm>
          <a:off x="3429000" y="228600"/>
          <a:ext cx="2461260" cy="716280"/>
        </a:xfrm>
        <a:prstGeom prst="rect">
          <a:avLst/>
        </a:prstGeom>
        <a:blipFill dpi="0" rotWithShape="1">
          <a:blip xmlns:r="http://schemas.openxmlformats.org/officeDocument/2006/relationships" r:embed="rId2" cstate="print">
            <a:alphaModFix amt="0"/>
          </a:blip>
          <a:srcRect/>
          <a:tile tx="0" ty="0" sx="100000" sy="100000" flip="none" algn="tl"/>
        </a:blipFill>
        <a:ln w="9525">
          <a:noFill/>
          <a:miter lim="800000"/>
          <a:headEnd/>
          <a:tailEnd/>
        </a:ln>
      </xdr:spPr>
    </xdr:pic>
    <xdr:clientData/>
  </xdr:twoCellAnchor>
  <xdr:twoCellAnchor>
    <xdr:from>
      <xdr:col>0</xdr:col>
      <xdr:colOff>1792605</xdr:colOff>
      <xdr:row>25</xdr:row>
      <xdr:rowOff>91440</xdr:rowOff>
    </xdr:from>
    <xdr:to>
      <xdr:col>17</xdr:col>
      <xdr:colOff>563935</xdr:colOff>
      <xdr:row>31</xdr:row>
      <xdr:rowOff>66739</xdr:rowOff>
    </xdr:to>
    <xdr:sp macro="" textlink="">
      <xdr:nvSpPr>
        <xdr:cNvPr id="1067" name="Text Box 43"/>
        <xdr:cNvSpPr txBox="1">
          <a:spLocks noChangeArrowheads="1"/>
        </xdr:cNvSpPr>
      </xdr:nvSpPr>
      <xdr:spPr bwMode="auto">
        <a:xfrm>
          <a:off x="1743075" y="4486275"/>
          <a:ext cx="7191375" cy="9525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Arial"/>
              <a:cs typeface="Arial"/>
            </a:rPr>
            <a:t>By signing this form I certify that the above leave hours are true and correct.</a:t>
          </a:r>
          <a:r>
            <a:rPr lang="en-US" sz="1000" b="0" i="0" strike="noStrike">
              <a:solidFill>
                <a:srgbClr val="000000"/>
              </a:solidFill>
              <a:latin typeface="Arial"/>
              <a:cs typeface="Arial"/>
            </a:rPr>
            <a:t>  </a:t>
          </a:r>
        </a:p>
        <a:p>
          <a:pPr algn="l" rtl="0">
            <a:defRPr sz="1000"/>
          </a:pPr>
          <a:endParaRPr lang="en-US" sz="1000" b="0" i="0" strike="noStrike">
            <a:solidFill>
              <a:srgbClr val="000000"/>
            </a:solidFill>
            <a:latin typeface="Arial"/>
            <a:cs typeface="Arial"/>
          </a:endParaRPr>
        </a:p>
        <a:p>
          <a:pPr rtl="0"/>
          <a:r>
            <a:rPr lang="en-US" sz="1100" b="0" i="0">
              <a:latin typeface="+mn-lt"/>
              <a:ea typeface="+mn-ea"/>
              <a:cs typeface="+mn-cs"/>
            </a:rPr>
            <a:t>*Fiscal year faculty and</a:t>
          </a:r>
          <a:r>
            <a:rPr lang="en-US" sz="1100" b="0" i="0" baseline="0">
              <a:latin typeface="+mn-lt"/>
              <a:ea typeface="+mn-ea"/>
              <a:cs typeface="+mn-cs"/>
            </a:rPr>
            <a:t> e</a:t>
          </a:r>
          <a:r>
            <a:rPr lang="en-US" sz="1100" b="0" i="0">
              <a:latin typeface="+mn-lt"/>
              <a:ea typeface="+mn-ea"/>
              <a:cs typeface="+mn-cs"/>
            </a:rPr>
            <a:t>xempt employees must record annual leave,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  Academic year faculty must record sick leave and/or medical leave for any absences of</a:t>
          </a:r>
          <a:r>
            <a:rPr lang="en-US" sz="1100" b="0" i="0" baseline="0">
              <a:latin typeface="+mn-lt"/>
              <a:ea typeface="+mn-ea"/>
              <a:cs typeface="+mn-cs"/>
            </a:rPr>
            <a:t> </a:t>
          </a:r>
          <a:r>
            <a:rPr lang="en-US" sz="1100" b="0" i="0">
              <a:latin typeface="+mn-lt"/>
              <a:ea typeface="+mn-ea"/>
              <a:cs typeface="+mn-cs"/>
            </a:rPr>
            <a:t>four (4) hours or more in a day.</a:t>
          </a:r>
          <a:endParaRPr lang="en-US" sz="1100">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1885950</xdr:colOff>
          <xdr:row>2</xdr:row>
          <xdr:rowOff>114300</xdr:rowOff>
        </xdr:from>
        <xdr:to>
          <xdr:col>2</xdr:col>
          <xdr:colOff>28575</xdr:colOff>
          <xdr:row>4</xdr:row>
          <xdr:rowOff>9525</xdr:rowOff>
        </xdr:to>
        <xdr:sp macro="" textlink="">
          <xdr:nvSpPr>
            <xdr:cNvPr id="1034" name="CommandButton1" hidden="1">
              <a:extLst>
                <a:ext uri="{63B3BB69-23CF-44E3-9099-C40C66FF867C}">
                  <a14:compatExt spid="_x0000_s1034"/>
                </a:ext>
              </a:extLst>
            </xdr:cNvPr>
            <xdr:cNvSpPr/>
          </xdr:nvSpPr>
          <xdr:spPr>
            <a:xfrm>
              <a:off x="0" y="0"/>
              <a:ext cx="0" cy="0"/>
            </a:xfrm>
            <a:prstGeom prst="rect">
              <a:avLst/>
            </a:prstGeom>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W143"/>
  <sheetViews>
    <sheetView showGridLines="0" tabSelected="1" workbookViewId="0">
      <selection activeCell="R3" sqref="R3"/>
    </sheetView>
  </sheetViews>
  <sheetFormatPr defaultColWidth="8.85546875" defaultRowHeight="12.75" x14ac:dyDescent="0.2"/>
  <cols>
    <col min="1" max="1" width="30.28515625" style="13" customWidth="1"/>
    <col min="2" max="2" width="5.5703125" style="13" bestFit="1" customWidth="1"/>
    <col min="3" max="3" width="7" style="13" bestFit="1" customWidth="1"/>
    <col min="4" max="8" width="5.5703125" style="13" bestFit="1" customWidth="1"/>
    <col min="9" max="9" width="8.28515625" style="13" customWidth="1"/>
    <col min="10" max="16" width="5.5703125" style="13" bestFit="1" customWidth="1"/>
    <col min="17" max="17" width="8.140625" style="13" customWidth="1"/>
    <col min="18" max="18" width="9.42578125" style="13" customWidth="1"/>
    <col min="19" max="16384" width="8.85546875" style="13"/>
  </cols>
  <sheetData>
    <row r="1" spans="1:23" ht="18" x14ac:dyDescent="0.25">
      <c r="A1" s="69" t="s">
        <v>29</v>
      </c>
      <c r="B1" s="69"/>
      <c r="C1" s="69"/>
      <c r="D1" s="69"/>
      <c r="E1" s="69"/>
      <c r="F1" s="69"/>
      <c r="G1" s="69"/>
      <c r="H1" s="69"/>
      <c r="I1" s="69"/>
      <c r="J1" s="69"/>
      <c r="K1" s="69"/>
      <c r="L1" s="69"/>
      <c r="M1" s="69"/>
      <c r="N1" s="69"/>
      <c r="O1" s="69"/>
      <c r="P1" s="69"/>
      <c r="Q1" s="69"/>
      <c r="R1" s="69"/>
    </row>
    <row r="2" spans="1:23" ht="25.15" customHeight="1" x14ac:dyDescent="0.25">
      <c r="A2" s="12"/>
      <c r="B2" s="12"/>
      <c r="C2" s="12"/>
      <c r="D2" s="12"/>
      <c r="E2" s="12"/>
      <c r="F2" s="12"/>
      <c r="G2" s="12"/>
      <c r="H2" s="12"/>
      <c r="I2" s="12"/>
      <c r="J2" s="12"/>
      <c r="K2" s="12"/>
      <c r="L2" s="12"/>
      <c r="M2" s="14"/>
      <c r="N2" s="14"/>
      <c r="O2" s="12"/>
      <c r="P2" s="12"/>
      <c r="Q2" s="12"/>
      <c r="R2" s="12"/>
    </row>
    <row r="3" spans="1:23" ht="18" x14ac:dyDescent="0.25">
      <c r="A3" s="15"/>
      <c r="B3" s="15"/>
      <c r="C3" s="15"/>
      <c r="D3" s="15"/>
      <c r="E3" s="15"/>
      <c r="F3" s="15"/>
      <c r="G3" s="75"/>
      <c r="H3" s="75"/>
      <c r="I3" s="75"/>
      <c r="J3" s="75"/>
      <c r="K3" s="75"/>
      <c r="L3" s="15"/>
      <c r="M3" s="16"/>
      <c r="N3" s="16"/>
      <c r="O3" s="15"/>
      <c r="P3" s="74" t="s">
        <v>17</v>
      </c>
      <c r="Q3" s="74"/>
      <c r="R3" s="7">
        <f>VLOOKUP(C7,A64:B141,2)</f>
        <v>4</v>
      </c>
    </row>
    <row r="4" spans="1:23" ht="18" x14ac:dyDescent="0.25">
      <c r="A4" s="15"/>
      <c r="B4" s="15"/>
      <c r="C4" s="15"/>
      <c r="D4" s="15"/>
      <c r="E4" s="15"/>
      <c r="F4" s="15"/>
      <c r="G4" s="75"/>
      <c r="H4" s="75"/>
      <c r="I4" s="75"/>
      <c r="J4" s="75"/>
      <c r="K4" s="75"/>
      <c r="L4" s="15"/>
      <c r="M4" s="16"/>
      <c r="N4" s="16"/>
      <c r="O4" s="15"/>
      <c r="P4" s="74" t="s">
        <v>16</v>
      </c>
      <c r="Q4" s="74"/>
      <c r="R4" s="7">
        <v>0</v>
      </c>
    </row>
    <row r="5" spans="1:23" s="19" customFormat="1" ht="23.25" x14ac:dyDescent="0.35">
      <c r="A5" s="72" t="s">
        <v>19</v>
      </c>
      <c r="B5" s="72"/>
      <c r="C5" s="72"/>
      <c r="D5" s="72"/>
      <c r="E5" s="72"/>
      <c r="F5" s="72"/>
      <c r="G5" s="72"/>
      <c r="H5" s="72"/>
      <c r="I5" s="73" t="s">
        <v>20</v>
      </c>
      <c r="J5" s="73"/>
      <c r="K5" s="73"/>
      <c r="L5" s="73"/>
      <c r="M5" s="17"/>
      <c r="N5" s="17"/>
      <c r="O5" s="17"/>
      <c r="P5" s="68"/>
      <c r="Q5" s="68"/>
      <c r="R5" s="18"/>
      <c r="T5" s="13"/>
      <c r="U5" s="13"/>
    </row>
    <row r="6" spans="1:23" x14ac:dyDescent="0.2">
      <c r="A6" s="20"/>
      <c r="B6" s="15"/>
      <c r="C6" s="15"/>
      <c r="D6" s="15"/>
      <c r="E6" s="15"/>
      <c r="F6" s="15"/>
      <c r="G6" s="15"/>
      <c r="H6" s="15"/>
      <c r="I6" s="15"/>
      <c r="J6" s="15"/>
      <c r="K6" s="15"/>
      <c r="L6" s="15"/>
      <c r="M6" s="15"/>
      <c r="N6" s="15"/>
      <c r="O6" s="15"/>
      <c r="P6" s="68"/>
      <c r="Q6" s="68"/>
      <c r="R6" s="18"/>
    </row>
    <row r="7" spans="1:23" s="23" customFormat="1" ht="18" x14ac:dyDescent="0.25">
      <c r="A7" s="21" t="s">
        <v>11</v>
      </c>
      <c r="B7" s="21"/>
      <c r="C7" s="70">
        <v>41294</v>
      </c>
      <c r="D7" s="70"/>
      <c r="E7" s="70"/>
      <c r="F7" s="70"/>
      <c r="G7" s="70"/>
      <c r="H7" s="71" t="s">
        <v>12</v>
      </c>
      <c r="I7" s="71"/>
      <c r="J7" s="70">
        <f>P10</f>
        <v>41307</v>
      </c>
      <c r="K7" s="70"/>
      <c r="L7" s="70"/>
      <c r="M7" s="70"/>
      <c r="N7" s="70"/>
      <c r="O7" s="22"/>
      <c r="P7" s="68"/>
      <c r="Q7" s="68"/>
      <c r="R7" s="18"/>
      <c r="T7" s="13"/>
      <c r="U7" s="13"/>
    </row>
    <row r="8" spans="1:23" ht="13.5" thickBot="1" x14ac:dyDescent="0.25">
      <c r="A8" s="15"/>
      <c r="B8" s="15"/>
      <c r="C8" s="15"/>
      <c r="D8" s="15"/>
      <c r="E8" s="15"/>
      <c r="F8" s="15"/>
      <c r="G8" s="15"/>
      <c r="H8" s="15"/>
      <c r="I8" s="15"/>
      <c r="J8" s="15"/>
      <c r="K8" s="15"/>
      <c r="L8" s="15"/>
      <c r="M8" s="15"/>
      <c r="N8" s="15"/>
      <c r="O8" s="15"/>
      <c r="P8" s="68" t="s">
        <v>15</v>
      </c>
      <c r="Q8" s="68"/>
      <c r="R8" s="18" t="s">
        <v>15</v>
      </c>
    </row>
    <row r="9" spans="1:23" s="19" customFormat="1" x14ac:dyDescent="0.2">
      <c r="A9" s="54" t="s">
        <v>10</v>
      </c>
      <c r="B9" s="24" t="s">
        <v>1</v>
      </c>
      <c r="C9" s="25" t="s">
        <v>2</v>
      </c>
      <c r="D9" s="25" t="s">
        <v>3</v>
      </c>
      <c r="E9" s="25" t="s">
        <v>4</v>
      </c>
      <c r="F9" s="25" t="s">
        <v>5</v>
      </c>
      <c r="G9" s="25" t="s">
        <v>6</v>
      </c>
      <c r="H9" s="26" t="s">
        <v>7</v>
      </c>
      <c r="I9" s="56" t="s">
        <v>26</v>
      </c>
      <c r="J9" s="24" t="s">
        <v>1</v>
      </c>
      <c r="K9" s="25" t="s">
        <v>2</v>
      </c>
      <c r="L9" s="25" t="s">
        <v>3</v>
      </c>
      <c r="M9" s="25" t="s">
        <v>4</v>
      </c>
      <c r="N9" s="25" t="s">
        <v>5</v>
      </c>
      <c r="O9" s="25" t="s">
        <v>6</v>
      </c>
      <c r="P9" s="26" t="s">
        <v>7</v>
      </c>
      <c r="Q9" s="58" t="s">
        <v>27</v>
      </c>
      <c r="R9" s="60" t="s">
        <v>28</v>
      </c>
      <c r="T9" s="13"/>
      <c r="U9" s="13"/>
    </row>
    <row r="10" spans="1:23" ht="13.5" thickBot="1" x14ac:dyDescent="0.25">
      <c r="A10" s="55"/>
      <c r="B10" s="27">
        <f>C7</f>
        <v>41294</v>
      </c>
      <c r="C10" s="28">
        <f t="shared" ref="C10:H10" si="0">(B10+1)</f>
        <v>41295</v>
      </c>
      <c r="D10" s="28">
        <f t="shared" si="0"/>
        <v>41296</v>
      </c>
      <c r="E10" s="28">
        <f t="shared" si="0"/>
        <v>41297</v>
      </c>
      <c r="F10" s="28">
        <f t="shared" si="0"/>
        <v>41298</v>
      </c>
      <c r="G10" s="28">
        <f t="shared" si="0"/>
        <v>41299</v>
      </c>
      <c r="H10" s="29">
        <f t="shared" si="0"/>
        <v>41300</v>
      </c>
      <c r="I10" s="57"/>
      <c r="J10" s="27">
        <f>(H10+1)</f>
        <v>41301</v>
      </c>
      <c r="K10" s="28">
        <f t="shared" ref="K10:P10" si="1">(J10+1)</f>
        <v>41302</v>
      </c>
      <c r="L10" s="28">
        <f t="shared" si="1"/>
        <v>41303</v>
      </c>
      <c r="M10" s="28">
        <f t="shared" si="1"/>
        <v>41304</v>
      </c>
      <c r="N10" s="28">
        <f t="shared" si="1"/>
        <v>41305</v>
      </c>
      <c r="O10" s="28">
        <f t="shared" si="1"/>
        <v>41306</v>
      </c>
      <c r="P10" s="29">
        <f t="shared" si="1"/>
        <v>41307</v>
      </c>
      <c r="Q10" s="59"/>
      <c r="R10" s="61"/>
      <c r="W10" s="13">
        <v>22</v>
      </c>
    </row>
    <row r="11" spans="1:23" ht="13.5" thickBot="1" x14ac:dyDescent="0.25">
      <c r="A11" s="30" t="s">
        <v>8</v>
      </c>
      <c r="B11" s="76"/>
      <c r="C11" s="77"/>
      <c r="D11" s="77"/>
      <c r="E11" s="77"/>
      <c r="F11" s="77"/>
      <c r="G11" s="77"/>
      <c r="H11" s="77"/>
      <c r="I11" s="77"/>
      <c r="J11" s="77"/>
      <c r="K11" s="77"/>
      <c r="L11" s="77"/>
      <c r="M11" s="77"/>
      <c r="N11" s="77"/>
      <c r="O11" s="77"/>
      <c r="P11" s="77"/>
      <c r="Q11" s="77"/>
      <c r="R11" s="78"/>
    </row>
    <row r="12" spans="1:23" x14ac:dyDescent="0.2">
      <c r="A12" s="31" t="s">
        <v>30</v>
      </c>
      <c r="B12" s="50"/>
      <c r="C12" s="2"/>
      <c r="D12" s="2"/>
      <c r="E12" s="2"/>
      <c r="F12" s="2"/>
      <c r="G12" s="2"/>
      <c r="H12" s="5"/>
      <c r="I12" s="32">
        <f>SUM(B12:H12)</f>
        <v>0</v>
      </c>
      <c r="J12" s="4"/>
      <c r="K12" s="2"/>
      <c r="L12" s="2"/>
      <c r="M12" s="2"/>
      <c r="N12" s="2"/>
      <c r="O12" s="2"/>
      <c r="P12" s="5"/>
      <c r="Q12" s="32">
        <f>SUM(J12:P12)</f>
        <v>0</v>
      </c>
      <c r="R12" s="33">
        <f>Q12+I12</f>
        <v>0</v>
      </c>
    </row>
    <row r="13" spans="1:23" x14ac:dyDescent="0.2">
      <c r="A13" s="34" t="s">
        <v>31</v>
      </c>
      <c r="B13" s="3"/>
      <c r="C13" s="1"/>
      <c r="D13" s="1"/>
      <c r="E13" s="1"/>
      <c r="F13" s="1"/>
      <c r="G13" s="1"/>
      <c r="H13" s="6"/>
      <c r="I13" s="35">
        <f t="shared" ref="I13:I21" si="2">SUM(B13:H13)</f>
        <v>0</v>
      </c>
      <c r="J13" s="3"/>
      <c r="K13" s="1"/>
      <c r="L13" s="1"/>
      <c r="M13" s="1"/>
      <c r="N13" s="1"/>
      <c r="O13" s="1"/>
      <c r="P13" s="6"/>
      <c r="Q13" s="35">
        <f t="shared" ref="Q13:Q21" si="3">SUM(J13:P13)</f>
        <v>0</v>
      </c>
      <c r="R13" s="36">
        <f t="shared" ref="R13:R21" si="4">Q13+I13</f>
        <v>0</v>
      </c>
    </row>
    <row r="14" spans="1:23" x14ac:dyDescent="0.2">
      <c r="A14" s="34" t="s">
        <v>32</v>
      </c>
      <c r="B14" s="3"/>
      <c r="C14" s="1"/>
      <c r="D14" s="1"/>
      <c r="E14" s="1"/>
      <c r="F14" s="1"/>
      <c r="G14" s="1"/>
      <c r="H14" s="6"/>
      <c r="I14" s="35">
        <f>SUM(B14:H14)</f>
        <v>0</v>
      </c>
      <c r="J14" s="3"/>
      <c r="K14" s="1"/>
      <c r="L14" s="1"/>
      <c r="M14" s="1"/>
      <c r="N14" s="1"/>
      <c r="O14" s="1"/>
      <c r="P14" s="6"/>
      <c r="Q14" s="35">
        <f>SUM(J14:P14)</f>
        <v>0</v>
      </c>
      <c r="R14" s="36">
        <f>Q14+I14</f>
        <v>0</v>
      </c>
    </row>
    <row r="15" spans="1:23" x14ac:dyDescent="0.2">
      <c r="A15" s="34" t="s">
        <v>25</v>
      </c>
      <c r="B15" s="3"/>
      <c r="C15" s="1"/>
      <c r="D15" s="1"/>
      <c r="E15" s="1"/>
      <c r="F15" s="1"/>
      <c r="G15" s="1"/>
      <c r="H15" s="6"/>
      <c r="I15" s="35">
        <f>SUM(B15:H15)</f>
        <v>0</v>
      </c>
      <c r="J15" s="3"/>
      <c r="K15" s="1"/>
      <c r="L15" s="1"/>
      <c r="M15" s="1"/>
      <c r="N15" s="1"/>
      <c r="O15" s="1"/>
      <c r="P15" s="6"/>
      <c r="Q15" s="35">
        <f>SUM(J15:P15)</f>
        <v>0</v>
      </c>
      <c r="R15" s="36">
        <f>Q15+I15</f>
        <v>0</v>
      </c>
    </row>
    <row r="16" spans="1:23" x14ac:dyDescent="0.2">
      <c r="A16" s="37" t="s">
        <v>33</v>
      </c>
      <c r="B16" s="8"/>
      <c r="C16" s="9"/>
      <c r="D16" s="9"/>
      <c r="E16" s="9"/>
      <c r="F16" s="9"/>
      <c r="G16" s="9"/>
      <c r="H16" s="10"/>
      <c r="I16" s="38">
        <f t="shared" si="2"/>
        <v>0</v>
      </c>
      <c r="J16" s="8"/>
      <c r="K16" s="9"/>
      <c r="L16" s="9"/>
      <c r="M16" s="9"/>
      <c r="N16" s="9"/>
      <c r="O16" s="9"/>
      <c r="P16" s="10"/>
      <c r="Q16" s="38">
        <f t="shared" si="3"/>
        <v>0</v>
      </c>
      <c r="R16" s="33">
        <f t="shared" si="4"/>
        <v>0</v>
      </c>
    </row>
    <row r="17" spans="1:18" x14ac:dyDescent="0.2">
      <c r="A17" s="37" t="s">
        <v>34</v>
      </c>
      <c r="B17" s="8"/>
      <c r="C17" s="9"/>
      <c r="D17" s="9"/>
      <c r="E17" s="9"/>
      <c r="F17" s="9"/>
      <c r="G17" s="9"/>
      <c r="H17" s="10"/>
      <c r="I17" s="38">
        <f t="shared" si="2"/>
        <v>0</v>
      </c>
      <c r="J17" s="8"/>
      <c r="K17" s="9"/>
      <c r="L17" s="9"/>
      <c r="M17" s="9"/>
      <c r="N17" s="9"/>
      <c r="O17" s="9"/>
      <c r="P17" s="10"/>
      <c r="Q17" s="38">
        <f t="shared" si="3"/>
        <v>0</v>
      </c>
      <c r="R17" s="33">
        <f t="shared" si="4"/>
        <v>0</v>
      </c>
    </row>
    <row r="18" spans="1:18" x14ac:dyDescent="0.2">
      <c r="A18" s="37" t="s">
        <v>35</v>
      </c>
      <c r="B18" s="8"/>
      <c r="C18" s="9"/>
      <c r="D18" s="9"/>
      <c r="E18" s="9"/>
      <c r="F18" s="9"/>
      <c r="G18" s="9"/>
      <c r="H18" s="10"/>
      <c r="I18" s="38">
        <f t="shared" si="2"/>
        <v>0</v>
      </c>
      <c r="J18" s="8"/>
      <c r="K18" s="9"/>
      <c r="L18" s="9"/>
      <c r="M18" s="9"/>
      <c r="N18" s="9"/>
      <c r="O18" s="9"/>
      <c r="P18" s="10"/>
      <c r="Q18" s="38">
        <f t="shared" si="3"/>
        <v>0</v>
      </c>
      <c r="R18" s="33">
        <f t="shared" si="4"/>
        <v>0</v>
      </c>
    </row>
    <row r="19" spans="1:18" x14ac:dyDescent="0.2">
      <c r="A19" s="34" t="s">
        <v>21</v>
      </c>
      <c r="B19" s="3"/>
      <c r="C19" s="1"/>
      <c r="D19" s="1"/>
      <c r="E19" s="1"/>
      <c r="F19" s="1"/>
      <c r="G19" s="1"/>
      <c r="H19" s="6"/>
      <c r="I19" s="35">
        <f t="shared" si="2"/>
        <v>0</v>
      </c>
      <c r="J19" s="3"/>
      <c r="K19" s="1"/>
      <c r="L19" s="1"/>
      <c r="M19" s="1"/>
      <c r="N19" s="1"/>
      <c r="O19" s="1"/>
      <c r="P19" s="6"/>
      <c r="Q19" s="35">
        <f t="shared" si="3"/>
        <v>0</v>
      </c>
      <c r="R19" s="36">
        <f t="shared" si="4"/>
        <v>0</v>
      </c>
    </row>
    <row r="20" spans="1:18" x14ac:dyDescent="0.2">
      <c r="A20" s="34" t="s">
        <v>23</v>
      </c>
      <c r="B20" s="3"/>
      <c r="C20" s="1"/>
      <c r="D20" s="1"/>
      <c r="E20" s="1"/>
      <c r="F20" s="1"/>
      <c r="G20" s="1"/>
      <c r="H20" s="6"/>
      <c r="I20" s="35">
        <f t="shared" si="2"/>
        <v>0</v>
      </c>
      <c r="J20" s="3"/>
      <c r="K20" s="1"/>
      <c r="L20" s="1"/>
      <c r="M20" s="1"/>
      <c r="N20" s="1"/>
      <c r="O20" s="1"/>
      <c r="P20" s="6"/>
      <c r="Q20" s="35">
        <f t="shared" si="3"/>
        <v>0</v>
      </c>
      <c r="R20" s="36">
        <f t="shared" si="4"/>
        <v>0</v>
      </c>
    </row>
    <row r="21" spans="1:18" x14ac:dyDescent="0.2">
      <c r="A21" s="34" t="s">
        <v>24</v>
      </c>
      <c r="B21" s="3"/>
      <c r="C21" s="1"/>
      <c r="D21" s="1"/>
      <c r="E21" s="1"/>
      <c r="F21" s="1"/>
      <c r="G21" s="1"/>
      <c r="H21" s="6"/>
      <c r="I21" s="35">
        <f t="shared" si="2"/>
        <v>0</v>
      </c>
      <c r="J21" s="3"/>
      <c r="K21" s="1"/>
      <c r="L21" s="1"/>
      <c r="M21" s="1"/>
      <c r="N21" s="1"/>
      <c r="O21" s="1"/>
      <c r="P21" s="6"/>
      <c r="Q21" s="35">
        <f t="shared" si="3"/>
        <v>0</v>
      </c>
      <c r="R21" s="36">
        <f t="shared" si="4"/>
        <v>0</v>
      </c>
    </row>
    <row r="22" spans="1:18" ht="13.5" thickBot="1" x14ac:dyDescent="0.25">
      <c r="A22" s="34" t="s">
        <v>22</v>
      </c>
      <c r="B22" s="3"/>
      <c r="C22" s="1"/>
      <c r="D22" s="1"/>
      <c r="E22" s="1"/>
      <c r="F22" s="1"/>
      <c r="G22" s="1"/>
      <c r="H22" s="6"/>
      <c r="I22" s="35">
        <f>SUM(B22:H22)</f>
        <v>0</v>
      </c>
      <c r="J22" s="3"/>
      <c r="K22" s="1"/>
      <c r="L22" s="1"/>
      <c r="M22" s="1"/>
      <c r="N22" s="1"/>
      <c r="O22" s="1"/>
      <c r="P22" s="6"/>
      <c r="Q22" s="35">
        <f>SUM(J22:P22)</f>
        <v>0</v>
      </c>
      <c r="R22" s="36">
        <f>Q22+I22</f>
        <v>0</v>
      </c>
    </row>
    <row r="23" spans="1:18" ht="13.5" thickBot="1" x14ac:dyDescent="0.25">
      <c r="A23" s="39" t="s">
        <v>9</v>
      </c>
      <c r="B23" s="40">
        <f t="shared" ref="B23:R23" si="5">SUM(B12:B22)</f>
        <v>0</v>
      </c>
      <c r="C23" s="40">
        <f t="shared" si="5"/>
        <v>0</v>
      </c>
      <c r="D23" s="40">
        <f t="shared" si="5"/>
        <v>0</v>
      </c>
      <c r="E23" s="40">
        <f t="shared" si="5"/>
        <v>0</v>
      </c>
      <c r="F23" s="40">
        <f t="shared" si="5"/>
        <v>0</v>
      </c>
      <c r="G23" s="40">
        <f t="shared" si="5"/>
        <v>0</v>
      </c>
      <c r="H23" s="40">
        <f t="shared" si="5"/>
        <v>0</v>
      </c>
      <c r="I23" s="40">
        <f t="shared" si="5"/>
        <v>0</v>
      </c>
      <c r="J23" s="40">
        <f t="shared" si="5"/>
        <v>0</v>
      </c>
      <c r="K23" s="40">
        <f t="shared" si="5"/>
        <v>0</v>
      </c>
      <c r="L23" s="40">
        <f t="shared" si="5"/>
        <v>0</v>
      </c>
      <c r="M23" s="40">
        <f t="shared" si="5"/>
        <v>0</v>
      </c>
      <c r="N23" s="40">
        <f t="shared" si="5"/>
        <v>0</v>
      </c>
      <c r="O23" s="40">
        <f t="shared" si="5"/>
        <v>0</v>
      </c>
      <c r="P23" s="40">
        <f t="shared" si="5"/>
        <v>0</v>
      </c>
      <c r="Q23" s="40">
        <f t="shared" si="5"/>
        <v>0</v>
      </c>
      <c r="R23" s="40">
        <f t="shared" si="5"/>
        <v>0</v>
      </c>
    </row>
    <row r="24" spans="1:18" x14ac:dyDescent="0.2">
      <c r="A24" s="41"/>
      <c r="B24" s="42"/>
      <c r="C24" s="42"/>
      <c r="D24" s="42"/>
      <c r="E24" s="42"/>
      <c r="F24" s="42"/>
      <c r="G24" s="42"/>
      <c r="H24" s="42"/>
      <c r="I24" s="42"/>
      <c r="J24" s="42"/>
      <c r="K24" s="42"/>
      <c r="L24" s="42"/>
      <c r="M24" s="42"/>
      <c r="N24" s="42"/>
      <c r="O24" s="42"/>
      <c r="P24" s="42"/>
      <c r="Q24" s="42"/>
      <c r="R24" s="42"/>
    </row>
    <row r="25" spans="1:18" x14ac:dyDescent="0.2">
      <c r="A25" s="41" t="s">
        <v>18</v>
      </c>
      <c r="B25" s="42"/>
      <c r="C25" s="42"/>
      <c r="D25" s="42"/>
      <c r="E25" s="42"/>
      <c r="F25" s="42"/>
      <c r="G25" s="42"/>
      <c r="H25" s="42"/>
      <c r="I25" s="42"/>
      <c r="J25" s="42"/>
      <c r="K25" s="42"/>
      <c r="L25" s="42"/>
      <c r="M25" s="42"/>
      <c r="N25" s="42"/>
      <c r="O25" s="42"/>
      <c r="P25" s="42"/>
      <c r="Q25" s="42"/>
      <c r="R25" s="42"/>
    </row>
    <row r="26" spans="1:18" x14ac:dyDescent="0.2">
      <c r="A26" s="41"/>
      <c r="B26" s="42"/>
      <c r="C26" s="42"/>
      <c r="D26" s="42"/>
      <c r="E26" s="42"/>
      <c r="F26" s="42"/>
      <c r="G26" s="42"/>
      <c r="H26" s="42"/>
      <c r="I26" s="42"/>
      <c r="J26" s="42"/>
      <c r="K26" s="42"/>
      <c r="L26" s="42"/>
      <c r="M26" s="42"/>
      <c r="N26" s="42"/>
      <c r="O26" s="42"/>
      <c r="P26" s="42"/>
      <c r="Q26" s="42"/>
      <c r="R26" s="42"/>
    </row>
    <row r="27" spans="1:18" ht="12.75" customHeight="1" x14ac:dyDescent="0.2">
      <c r="A27" s="41"/>
      <c r="B27" s="79"/>
      <c r="C27" s="80"/>
      <c r="D27" s="80"/>
      <c r="E27" s="80"/>
      <c r="F27" s="80"/>
      <c r="G27" s="80"/>
      <c r="H27" s="80"/>
      <c r="I27" s="80"/>
      <c r="J27" s="80"/>
      <c r="K27" s="80"/>
      <c r="L27" s="80"/>
      <c r="M27" s="80"/>
      <c r="N27" s="80"/>
      <c r="O27" s="80"/>
      <c r="P27" s="80"/>
      <c r="Q27" s="80"/>
      <c r="R27" s="80"/>
    </row>
    <row r="28" spans="1:18" x14ac:dyDescent="0.2">
      <c r="A28" s="41"/>
      <c r="B28" s="80"/>
      <c r="C28" s="80"/>
      <c r="D28" s="80"/>
      <c r="E28" s="80"/>
      <c r="F28" s="80"/>
      <c r="G28" s="80"/>
      <c r="H28" s="80"/>
      <c r="I28" s="80"/>
      <c r="J28" s="80"/>
      <c r="K28" s="80"/>
      <c r="L28" s="80"/>
      <c r="M28" s="80"/>
      <c r="N28" s="80"/>
      <c r="O28" s="80"/>
      <c r="P28" s="80"/>
      <c r="Q28" s="80"/>
      <c r="R28" s="80"/>
    </row>
    <row r="29" spans="1:18" x14ac:dyDescent="0.2">
      <c r="A29" s="41"/>
      <c r="B29" s="80"/>
      <c r="C29" s="80"/>
      <c r="D29" s="80"/>
      <c r="E29" s="80"/>
      <c r="F29" s="80"/>
      <c r="G29" s="80"/>
      <c r="H29" s="80"/>
      <c r="I29" s="80"/>
      <c r="J29" s="80"/>
      <c r="K29" s="80"/>
      <c r="L29" s="80"/>
      <c r="M29" s="80"/>
      <c r="N29" s="80"/>
      <c r="O29" s="80"/>
      <c r="P29" s="80"/>
      <c r="Q29" s="80"/>
      <c r="R29" s="80"/>
    </row>
    <row r="30" spans="1:18" x14ac:dyDescent="0.2">
      <c r="A30" s="41"/>
      <c r="B30" s="80"/>
      <c r="C30" s="80"/>
      <c r="D30" s="80"/>
      <c r="E30" s="80"/>
      <c r="F30" s="80"/>
      <c r="G30" s="80"/>
      <c r="H30" s="80"/>
      <c r="I30" s="80"/>
      <c r="J30" s="80"/>
      <c r="K30" s="80"/>
      <c r="L30" s="80"/>
      <c r="M30" s="80"/>
      <c r="N30" s="80"/>
      <c r="O30" s="80"/>
      <c r="P30" s="80"/>
      <c r="Q30" s="80"/>
      <c r="R30" s="80"/>
    </row>
    <row r="31" spans="1:18" x14ac:dyDescent="0.2">
      <c r="A31" s="41"/>
      <c r="B31" s="43"/>
      <c r="C31" s="43"/>
      <c r="D31" s="43"/>
      <c r="E31" s="43"/>
      <c r="F31" s="43"/>
      <c r="G31" s="43"/>
      <c r="H31" s="43"/>
      <c r="I31" s="43"/>
      <c r="J31" s="43"/>
      <c r="K31" s="43"/>
      <c r="L31" s="43"/>
      <c r="M31" s="43"/>
      <c r="N31" s="43"/>
      <c r="O31" s="43"/>
      <c r="P31" s="43"/>
      <c r="Q31" s="43"/>
      <c r="R31" s="43"/>
    </row>
    <row r="32" spans="1:18" ht="12.75" customHeight="1" x14ac:dyDescent="0.2">
      <c r="A32" s="41"/>
      <c r="B32" s="42"/>
      <c r="C32" s="42"/>
      <c r="D32" s="42"/>
      <c r="E32" s="42"/>
      <c r="F32" s="42"/>
      <c r="G32" s="42"/>
      <c r="H32" s="42"/>
      <c r="I32" s="42"/>
      <c r="J32" s="42"/>
      <c r="K32" s="42"/>
      <c r="L32" s="42"/>
      <c r="M32" s="42"/>
      <c r="N32" s="42"/>
      <c r="O32" s="42"/>
      <c r="P32" s="42"/>
      <c r="Q32" s="42"/>
      <c r="R32" s="42"/>
    </row>
    <row r="33" spans="1:18" x14ac:dyDescent="0.2">
      <c r="A33" s="41"/>
      <c r="B33" s="42"/>
      <c r="C33" s="42"/>
      <c r="D33" s="42"/>
      <c r="E33" s="42"/>
      <c r="F33" s="42"/>
      <c r="G33" s="42"/>
      <c r="H33" s="42"/>
      <c r="I33" s="42"/>
      <c r="J33" s="42"/>
      <c r="K33" s="42"/>
      <c r="L33" s="42"/>
      <c r="M33" s="42"/>
      <c r="N33" s="42"/>
      <c r="O33" s="42"/>
      <c r="P33" s="42"/>
      <c r="Q33" s="42"/>
      <c r="R33" s="42"/>
    </row>
    <row r="34" spans="1:18" x14ac:dyDescent="0.2">
      <c r="A34" s="64" t="s">
        <v>13</v>
      </c>
      <c r="B34" s="64"/>
      <c r="C34" s="15"/>
      <c r="D34" s="15"/>
      <c r="E34" s="15"/>
      <c r="F34" s="15"/>
      <c r="G34" s="15"/>
      <c r="H34" s="15"/>
      <c r="I34" s="15"/>
      <c r="J34" s="15"/>
      <c r="K34" s="15"/>
      <c r="L34" s="15"/>
      <c r="M34" s="15"/>
      <c r="N34" s="65" t="s">
        <v>0</v>
      </c>
      <c r="O34" s="51">
        <f ca="1">TODAY()</f>
        <v>41292</v>
      </c>
      <c r="P34" s="52"/>
      <c r="Q34" s="52"/>
      <c r="R34" s="52"/>
    </row>
    <row r="35" spans="1:18" ht="15.95" customHeight="1" thickBot="1" x14ac:dyDescent="0.25">
      <c r="A35" s="63"/>
      <c r="B35" s="63"/>
      <c r="C35" s="11"/>
      <c r="D35" s="11"/>
      <c r="E35" s="11"/>
      <c r="F35" s="11"/>
      <c r="G35" s="11"/>
      <c r="H35" s="11"/>
      <c r="I35" s="11"/>
      <c r="J35" s="11"/>
      <c r="K35" s="11"/>
      <c r="L35" s="11"/>
      <c r="M35" s="44"/>
      <c r="N35" s="66"/>
      <c r="O35" s="53"/>
      <c r="P35" s="53"/>
      <c r="Q35" s="53"/>
      <c r="R35" s="53"/>
    </row>
    <row r="36" spans="1:18" x14ac:dyDescent="0.2">
      <c r="A36" s="62" t="s">
        <v>14</v>
      </c>
      <c r="B36" s="62"/>
      <c r="N36" s="67" t="s">
        <v>0</v>
      </c>
      <c r="O36" s="51">
        <f ca="1">TODAY()</f>
        <v>41292</v>
      </c>
      <c r="P36" s="52"/>
      <c r="Q36" s="52"/>
      <c r="R36" s="52"/>
    </row>
    <row r="37" spans="1:18" ht="15.95" customHeight="1" thickBot="1" x14ac:dyDescent="0.25">
      <c r="A37" s="63"/>
      <c r="B37" s="63"/>
      <c r="C37" s="11"/>
      <c r="D37" s="11"/>
      <c r="E37" s="11"/>
      <c r="F37" s="11"/>
      <c r="G37" s="11"/>
      <c r="H37" s="11"/>
      <c r="I37" s="11"/>
      <c r="J37" s="11"/>
      <c r="K37" s="11"/>
      <c r="L37" s="11"/>
      <c r="M37" s="44"/>
      <c r="N37" s="66"/>
      <c r="O37" s="53"/>
      <c r="P37" s="53"/>
      <c r="Q37" s="53"/>
      <c r="R37" s="53"/>
    </row>
    <row r="39" spans="1:18" x14ac:dyDescent="0.2">
      <c r="A39" s="45" t="s">
        <v>15</v>
      </c>
    </row>
    <row r="63" spans="1:2" x14ac:dyDescent="0.2">
      <c r="A63" s="46"/>
      <c r="B63" s="47"/>
    </row>
    <row r="64" spans="1:2" x14ac:dyDescent="0.2">
      <c r="A64" s="48">
        <v>40888</v>
      </c>
      <c r="B64" s="49">
        <v>1</v>
      </c>
    </row>
    <row r="65" spans="1:2" x14ac:dyDescent="0.2">
      <c r="A65" s="48">
        <f t="shared" ref="A65:A128" si="6">A64+14</f>
        <v>40902</v>
      </c>
      <c r="B65" s="49">
        <f t="shared" ref="B65:B128" si="7">B64+1</f>
        <v>2</v>
      </c>
    </row>
    <row r="66" spans="1:2" x14ac:dyDescent="0.2">
      <c r="A66" s="48">
        <f t="shared" si="6"/>
        <v>40916</v>
      </c>
      <c r="B66" s="49">
        <f t="shared" si="7"/>
        <v>3</v>
      </c>
    </row>
    <row r="67" spans="1:2" x14ac:dyDescent="0.2">
      <c r="A67" s="48">
        <f t="shared" si="6"/>
        <v>40930</v>
      </c>
      <c r="B67" s="49">
        <f t="shared" si="7"/>
        <v>4</v>
      </c>
    </row>
    <row r="68" spans="1:2" x14ac:dyDescent="0.2">
      <c r="A68" s="48">
        <f t="shared" si="6"/>
        <v>40944</v>
      </c>
      <c r="B68" s="49">
        <f t="shared" si="7"/>
        <v>5</v>
      </c>
    </row>
    <row r="69" spans="1:2" x14ac:dyDescent="0.2">
      <c r="A69" s="48">
        <f t="shared" si="6"/>
        <v>40958</v>
      </c>
      <c r="B69" s="49">
        <f t="shared" si="7"/>
        <v>6</v>
      </c>
    </row>
    <row r="70" spans="1:2" x14ac:dyDescent="0.2">
      <c r="A70" s="48">
        <f t="shared" si="6"/>
        <v>40972</v>
      </c>
      <c r="B70" s="49">
        <f t="shared" si="7"/>
        <v>7</v>
      </c>
    </row>
    <row r="71" spans="1:2" x14ac:dyDescent="0.2">
      <c r="A71" s="48">
        <f t="shared" si="6"/>
        <v>40986</v>
      </c>
      <c r="B71" s="49">
        <f t="shared" si="7"/>
        <v>8</v>
      </c>
    </row>
    <row r="72" spans="1:2" x14ac:dyDescent="0.2">
      <c r="A72" s="48">
        <f t="shared" si="6"/>
        <v>41000</v>
      </c>
      <c r="B72" s="49">
        <f t="shared" si="7"/>
        <v>9</v>
      </c>
    </row>
    <row r="73" spans="1:2" x14ac:dyDescent="0.2">
      <c r="A73" s="48">
        <f t="shared" si="6"/>
        <v>41014</v>
      </c>
      <c r="B73" s="49">
        <f t="shared" si="7"/>
        <v>10</v>
      </c>
    </row>
    <row r="74" spans="1:2" x14ac:dyDescent="0.2">
      <c r="A74" s="48">
        <f t="shared" si="6"/>
        <v>41028</v>
      </c>
      <c r="B74" s="49">
        <f t="shared" si="7"/>
        <v>11</v>
      </c>
    </row>
    <row r="75" spans="1:2" x14ac:dyDescent="0.2">
      <c r="A75" s="48">
        <f t="shared" si="6"/>
        <v>41042</v>
      </c>
      <c r="B75" s="49">
        <f t="shared" si="7"/>
        <v>12</v>
      </c>
    </row>
    <row r="76" spans="1:2" x14ac:dyDescent="0.2">
      <c r="A76" s="48">
        <f t="shared" si="6"/>
        <v>41056</v>
      </c>
      <c r="B76" s="49">
        <f t="shared" si="7"/>
        <v>13</v>
      </c>
    </row>
    <row r="77" spans="1:2" x14ac:dyDescent="0.2">
      <c r="A77" s="48">
        <f t="shared" si="6"/>
        <v>41070</v>
      </c>
      <c r="B77" s="49">
        <f t="shared" si="7"/>
        <v>14</v>
      </c>
    </row>
    <row r="78" spans="1:2" x14ac:dyDescent="0.2">
      <c r="A78" s="48">
        <f t="shared" si="6"/>
        <v>41084</v>
      </c>
      <c r="B78" s="49">
        <f t="shared" si="7"/>
        <v>15</v>
      </c>
    </row>
    <row r="79" spans="1:2" x14ac:dyDescent="0.2">
      <c r="A79" s="48">
        <f t="shared" si="6"/>
        <v>41098</v>
      </c>
      <c r="B79" s="49">
        <f t="shared" si="7"/>
        <v>16</v>
      </c>
    </row>
    <row r="80" spans="1:2" x14ac:dyDescent="0.2">
      <c r="A80" s="48">
        <f t="shared" si="6"/>
        <v>41112</v>
      </c>
      <c r="B80" s="49">
        <f t="shared" si="7"/>
        <v>17</v>
      </c>
    </row>
    <row r="81" spans="1:2" x14ac:dyDescent="0.2">
      <c r="A81" s="48">
        <f t="shared" si="6"/>
        <v>41126</v>
      </c>
      <c r="B81" s="49">
        <f t="shared" si="7"/>
        <v>18</v>
      </c>
    </row>
    <row r="82" spans="1:2" x14ac:dyDescent="0.2">
      <c r="A82" s="48">
        <f t="shared" si="6"/>
        <v>41140</v>
      </c>
      <c r="B82" s="49">
        <f t="shared" si="7"/>
        <v>19</v>
      </c>
    </row>
    <row r="83" spans="1:2" x14ac:dyDescent="0.2">
      <c r="A83" s="48">
        <f t="shared" si="6"/>
        <v>41154</v>
      </c>
      <c r="B83" s="49">
        <f t="shared" si="7"/>
        <v>20</v>
      </c>
    </row>
    <row r="84" spans="1:2" x14ac:dyDescent="0.2">
      <c r="A84" s="48">
        <f t="shared" si="6"/>
        <v>41168</v>
      </c>
      <c r="B84" s="49">
        <f t="shared" si="7"/>
        <v>21</v>
      </c>
    </row>
    <row r="85" spans="1:2" x14ac:dyDescent="0.2">
      <c r="A85" s="48">
        <f t="shared" si="6"/>
        <v>41182</v>
      </c>
      <c r="B85" s="49">
        <f t="shared" si="7"/>
        <v>22</v>
      </c>
    </row>
    <row r="86" spans="1:2" x14ac:dyDescent="0.2">
      <c r="A86" s="48">
        <f t="shared" si="6"/>
        <v>41196</v>
      </c>
      <c r="B86" s="49">
        <f t="shared" si="7"/>
        <v>23</v>
      </c>
    </row>
    <row r="87" spans="1:2" x14ac:dyDescent="0.2">
      <c r="A87" s="48">
        <f t="shared" si="6"/>
        <v>41210</v>
      </c>
      <c r="B87" s="49">
        <f t="shared" si="7"/>
        <v>24</v>
      </c>
    </row>
    <row r="88" spans="1:2" x14ac:dyDescent="0.2">
      <c r="A88" s="48">
        <f t="shared" si="6"/>
        <v>41224</v>
      </c>
      <c r="B88" s="49">
        <f t="shared" si="7"/>
        <v>25</v>
      </c>
    </row>
    <row r="89" spans="1:2" x14ac:dyDescent="0.2">
      <c r="A89" s="48">
        <f t="shared" si="6"/>
        <v>41238</v>
      </c>
      <c r="B89" s="49">
        <f t="shared" si="7"/>
        <v>26</v>
      </c>
    </row>
    <row r="90" spans="1:2" x14ac:dyDescent="0.2">
      <c r="A90" s="48">
        <f t="shared" si="6"/>
        <v>41252</v>
      </c>
      <c r="B90" s="49">
        <v>1</v>
      </c>
    </row>
    <row r="91" spans="1:2" x14ac:dyDescent="0.2">
      <c r="A91" s="48">
        <f t="shared" si="6"/>
        <v>41266</v>
      </c>
      <c r="B91" s="49">
        <f t="shared" si="7"/>
        <v>2</v>
      </c>
    </row>
    <row r="92" spans="1:2" x14ac:dyDescent="0.2">
      <c r="A92" s="48">
        <f t="shared" si="6"/>
        <v>41280</v>
      </c>
      <c r="B92" s="49">
        <f t="shared" si="7"/>
        <v>3</v>
      </c>
    </row>
    <row r="93" spans="1:2" x14ac:dyDescent="0.2">
      <c r="A93" s="48">
        <f t="shared" si="6"/>
        <v>41294</v>
      </c>
      <c r="B93" s="49">
        <f t="shared" si="7"/>
        <v>4</v>
      </c>
    </row>
    <row r="94" spans="1:2" x14ac:dyDescent="0.2">
      <c r="A94" s="48">
        <f t="shared" si="6"/>
        <v>41308</v>
      </c>
      <c r="B94" s="49">
        <f t="shared" si="7"/>
        <v>5</v>
      </c>
    </row>
    <row r="95" spans="1:2" x14ac:dyDescent="0.2">
      <c r="A95" s="48">
        <f t="shared" si="6"/>
        <v>41322</v>
      </c>
      <c r="B95" s="49">
        <f t="shared" si="7"/>
        <v>6</v>
      </c>
    </row>
    <row r="96" spans="1:2" x14ac:dyDescent="0.2">
      <c r="A96" s="48">
        <f t="shared" si="6"/>
        <v>41336</v>
      </c>
      <c r="B96" s="49">
        <f t="shared" si="7"/>
        <v>7</v>
      </c>
    </row>
    <row r="97" spans="1:2" x14ac:dyDescent="0.2">
      <c r="A97" s="48">
        <f t="shared" si="6"/>
        <v>41350</v>
      </c>
      <c r="B97" s="49">
        <f t="shared" si="7"/>
        <v>8</v>
      </c>
    </row>
    <row r="98" spans="1:2" x14ac:dyDescent="0.2">
      <c r="A98" s="48">
        <f t="shared" si="6"/>
        <v>41364</v>
      </c>
      <c r="B98" s="49">
        <f t="shared" si="7"/>
        <v>9</v>
      </c>
    </row>
    <row r="99" spans="1:2" x14ac:dyDescent="0.2">
      <c r="A99" s="48">
        <f t="shared" si="6"/>
        <v>41378</v>
      </c>
      <c r="B99" s="49">
        <f t="shared" si="7"/>
        <v>10</v>
      </c>
    </row>
    <row r="100" spans="1:2" x14ac:dyDescent="0.2">
      <c r="A100" s="48">
        <f t="shared" si="6"/>
        <v>41392</v>
      </c>
      <c r="B100" s="49">
        <f t="shared" si="7"/>
        <v>11</v>
      </c>
    </row>
    <row r="101" spans="1:2" x14ac:dyDescent="0.2">
      <c r="A101" s="48">
        <f t="shared" si="6"/>
        <v>41406</v>
      </c>
      <c r="B101" s="49">
        <f t="shared" si="7"/>
        <v>12</v>
      </c>
    </row>
    <row r="102" spans="1:2" x14ac:dyDescent="0.2">
      <c r="A102" s="48">
        <f t="shared" si="6"/>
        <v>41420</v>
      </c>
      <c r="B102" s="49">
        <f t="shared" si="7"/>
        <v>13</v>
      </c>
    </row>
    <row r="103" spans="1:2" x14ac:dyDescent="0.2">
      <c r="A103" s="48">
        <f t="shared" si="6"/>
        <v>41434</v>
      </c>
      <c r="B103" s="49">
        <f t="shared" si="7"/>
        <v>14</v>
      </c>
    </row>
    <row r="104" spans="1:2" x14ac:dyDescent="0.2">
      <c r="A104" s="48">
        <f t="shared" si="6"/>
        <v>41448</v>
      </c>
      <c r="B104" s="49">
        <f t="shared" si="7"/>
        <v>15</v>
      </c>
    </row>
    <row r="105" spans="1:2" x14ac:dyDescent="0.2">
      <c r="A105" s="48">
        <f t="shared" si="6"/>
        <v>41462</v>
      </c>
      <c r="B105" s="49">
        <f t="shared" si="7"/>
        <v>16</v>
      </c>
    </row>
    <row r="106" spans="1:2" x14ac:dyDescent="0.2">
      <c r="A106" s="48">
        <f t="shared" si="6"/>
        <v>41476</v>
      </c>
      <c r="B106" s="49">
        <f t="shared" si="7"/>
        <v>17</v>
      </c>
    </row>
    <row r="107" spans="1:2" x14ac:dyDescent="0.2">
      <c r="A107" s="48">
        <f t="shared" si="6"/>
        <v>41490</v>
      </c>
      <c r="B107" s="49">
        <f t="shared" si="7"/>
        <v>18</v>
      </c>
    </row>
    <row r="108" spans="1:2" x14ac:dyDescent="0.2">
      <c r="A108" s="48">
        <f t="shared" si="6"/>
        <v>41504</v>
      </c>
      <c r="B108" s="49">
        <f t="shared" si="7"/>
        <v>19</v>
      </c>
    </row>
    <row r="109" spans="1:2" x14ac:dyDescent="0.2">
      <c r="A109" s="48">
        <f t="shared" si="6"/>
        <v>41518</v>
      </c>
      <c r="B109" s="49">
        <f t="shared" si="7"/>
        <v>20</v>
      </c>
    </row>
    <row r="110" spans="1:2" x14ac:dyDescent="0.2">
      <c r="A110" s="48">
        <f t="shared" si="6"/>
        <v>41532</v>
      </c>
      <c r="B110" s="49">
        <f t="shared" si="7"/>
        <v>21</v>
      </c>
    </row>
    <row r="111" spans="1:2" x14ac:dyDescent="0.2">
      <c r="A111" s="48">
        <f t="shared" si="6"/>
        <v>41546</v>
      </c>
      <c r="B111" s="49">
        <f t="shared" si="7"/>
        <v>22</v>
      </c>
    </row>
    <row r="112" spans="1:2" x14ac:dyDescent="0.2">
      <c r="A112" s="48">
        <f t="shared" si="6"/>
        <v>41560</v>
      </c>
      <c r="B112" s="49">
        <f t="shared" si="7"/>
        <v>23</v>
      </c>
    </row>
    <row r="113" spans="1:2" x14ac:dyDescent="0.2">
      <c r="A113" s="48">
        <f t="shared" si="6"/>
        <v>41574</v>
      </c>
      <c r="B113" s="49">
        <f t="shared" si="7"/>
        <v>24</v>
      </c>
    </row>
    <row r="114" spans="1:2" x14ac:dyDescent="0.2">
      <c r="A114" s="48">
        <f t="shared" si="6"/>
        <v>41588</v>
      </c>
      <c r="B114" s="49">
        <f t="shared" si="7"/>
        <v>25</v>
      </c>
    </row>
    <row r="115" spans="1:2" x14ac:dyDescent="0.2">
      <c r="A115" s="48">
        <f t="shared" si="6"/>
        <v>41602</v>
      </c>
      <c r="B115" s="49">
        <f t="shared" si="7"/>
        <v>26</v>
      </c>
    </row>
    <row r="116" spans="1:2" x14ac:dyDescent="0.2">
      <c r="A116" s="48">
        <f t="shared" si="6"/>
        <v>41616</v>
      </c>
      <c r="B116" s="49">
        <v>1</v>
      </c>
    </row>
    <row r="117" spans="1:2" x14ac:dyDescent="0.2">
      <c r="A117" s="48">
        <f t="shared" si="6"/>
        <v>41630</v>
      </c>
      <c r="B117" s="49">
        <f t="shared" si="7"/>
        <v>2</v>
      </c>
    </row>
    <row r="118" spans="1:2" x14ac:dyDescent="0.2">
      <c r="A118" s="48">
        <f t="shared" si="6"/>
        <v>41644</v>
      </c>
      <c r="B118" s="49">
        <f t="shared" si="7"/>
        <v>3</v>
      </c>
    </row>
    <row r="119" spans="1:2" x14ac:dyDescent="0.2">
      <c r="A119" s="48">
        <f t="shared" si="6"/>
        <v>41658</v>
      </c>
      <c r="B119" s="49">
        <f t="shared" si="7"/>
        <v>4</v>
      </c>
    </row>
    <row r="120" spans="1:2" x14ac:dyDescent="0.2">
      <c r="A120" s="48">
        <f t="shared" si="6"/>
        <v>41672</v>
      </c>
      <c r="B120" s="49">
        <f t="shared" si="7"/>
        <v>5</v>
      </c>
    </row>
    <row r="121" spans="1:2" x14ac:dyDescent="0.2">
      <c r="A121" s="48">
        <f t="shared" si="6"/>
        <v>41686</v>
      </c>
      <c r="B121" s="49">
        <f t="shared" si="7"/>
        <v>6</v>
      </c>
    </row>
    <row r="122" spans="1:2" x14ac:dyDescent="0.2">
      <c r="A122" s="48">
        <f t="shared" si="6"/>
        <v>41700</v>
      </c>
      <c r="B122" s="49">
        <f t="shared" si="7"/>
        <v>7</v>
      </c>
    </row>
    <row r="123" spans="1:2" x14ac:dyDescent="0.2">
      <c r="A123" s="48">
        <f t="shared" si="6"/>
        <v>41714</v>
      </c>
      <c r="B123" s="49">
        <f t="shared" si="7"/>
        <v>8</v>
      </c>
    </row>
    <row r="124" spans="1:2" x14ac:dyDescent="0.2">
      <c r="A124" s="48">
        <f t="shared" si="6"/>
        <v>41728</v>
      </c>
      <c r="B124" s="49">
        <f t="shared" si="7"/>
        <v>9</v>
      </c>
    </row>
    <row r="125" spans="1:2" x14ac:dyDescent="0.2">
      <c r="A125" s="48">
        <f t="shared" si="6"/>
        <v>41742</v>
      </c>
      <c r="B125" s="49">
        <f t="shared" si="7"/>
        <v>10</v>
      </c>
    </row>
    <row r="126" spans="1:2" x14ac:dyDescent="0.2">
      <c r="A126" s="48">
        <f t="shared" si="6"/>
        <v>41756</v>
      </c>
      <c r="B126" s="49">
        <f t="shared" si="7"/>
        <v>11</v>
      </c>
    </row>
    <row r="127" spans="1:2" x14ac:dyDescent="0.2">
      <c r="A127" s="48">
        <f t="shared" si="6"/>
        <v>41770</v>
      </c>
      <c r="B127" s="49">
        <f t="shared" si="7"/>
        <v>12</v>
      </c>
    </row>
    <row r="128" spans="1:2" x14ac:dyDescent="0.2">
      <c r="A128" s="48">
        <f t="shared" si="6"/>
        <v>41784</v>
      </c>
      <c r="B128" s="49">
        <f t="shared" si="7"/>
        <v>13</v>
      </c>
    </row>
    <row r="129" spans="1:2" x14ac:dyDescent="0.2">
      <c r="A129" s="48">
        <f t="shared" ref="A129:A143" si="8">A128+14</f>
        <v>41798</v>
      </c>
      <c r="B129" s="49">
        <f t="shared" ref="B129:B141" si="9">B128+1</f>
        <v>14</v>
      </c>
    </row>
    <row r="130" spans="1:2" x14ac:dyDescent="0.2">
      <c r="A130" s="48">
        <f t="shared" si="8"/>
        <v>41812</v>
      </c>
      <c r="B130" s="49">
        <f t="shared" si="9"/>
        <v>15</v>
      </c>
    </row>
    <row r="131" spans="1:2" x14ac:dyDescent="0.2">
      <c r="A131" s="48">
        <f t="shared" si="8"/>
        <v>41826</v>
      </c>
      <c r="B131" s="49">
        <f t="shared" si="9"/>
        <v>16</v>
      </c>
    </row>
    <row r="132" spans="1:2" x14ac:dyDescent="0.2">
      <c r="A132" s="48">
        <f t="shared" si="8"/>
        <v>41840</v>
      </c>
      <c r="B132" s="49">
        <f t="shared" si="9"/>
        <v>17</v>
      </c>
    </row>
    <row r="133" spans="1:2" x14ac:dyDescent="0.2">
      <c r="A133" s="48">
        <f t="shared" si="8"/>
        <v>41854</v>
      </c>
      <c r="B133" s="49">
        <f t="shared" si="9"/>
        <v>18</v>
      </c>
    </row>
    <row r="134" spans="1:2" x14ac:dyDescent="0.2">
      <c r="A134" s="48">
        <f t="shared" si="8"/>
        <v>41868</v>
      </c>
      <c r="B134" s="49">
        <f t="shared" si="9"/>
        <v>19</v>
      </c>
    </row>
    <row r="135" spans="1:2" x14ac:dyDescent="0.2">
      <c r="A135" s="48">
        <f t="shared" si="8"/>
        <v>41882</v>
      </c>
      <c r="B135" s="49">
        <f t="shared" si="9"/>
        <v>20</v>
      </c>
    </row>
    <row r="136" spans="1:2" x14ac:dyDescent="0.2">
      <c r="A136" s="48">
        <f t="shared" si="8"/>
        <v>41896</v>
      </c>
      <c r="B136" s="49">
        <f t="shared" si="9"/>
        <v>21</v>
      </c>
    </row>
    <row r="137" spans="1:2" x14ac:dyDescent="0.2">
      <c r="A137" s="48">
        <f t="shared" si="8"/>
        <v>41910</v>
      </c>
      <c r="B137" s="49">
        <f t="shared" si="9"/>
        <v>22</v>
      </c>
    </row>
    <row r="138" spans="1:2" x14ac:dyDescent="0.2">
      <c r="A138" s="48">
        <f t="shared" si="8"/>
        <v>41924</v>
      </c>
      <c r="B138" s="49">
        <f t="shared" si="9"/>
        <v>23</v>
      </c>
    </row>
    <row r="139" spans="1:2" x14ac:dyDescent="0.2">
      <c r="A139" s="48">
        <f t="shared" si="8"/>
        <v>41938</v>
      </c>
      <c r="B139" s="49">
        <f t="shared" si="9"/>
        <v>24</v>
      </c>
    </row>
    <row r="140" spans="1:2" x14ac:dyDescent="0.2">
      <c r="A140" s="48">
        <f t="shared" si="8"/>
        <v>41952</v>
      </c>
      <c r="B140" s="49">
        <f t="shared" si="9"/>
        <v>25</v>
      </c>
    </row>
    <row r="141" spans="1:2" x14ac:dyDescent="0.2">
      <c r="A141" s="48">
        <f t="shared" si="8"/>
        <v>41966</v>
      </c>
      <c r="B141" s="49">
        <f t="shared" si="9"/>
        <v>26</v>
      </c>
    </row>
    <row r="142" spans="1:2" x14ac:dyDescent="0.2">
      <c r="A142" s="48"/>
    </row>
    <row r="143" spans="1:2" x14ac:dyDescent="0.2">
      <c r="A143" s="48"/>
    </row>
  </sheetData>
  <dataConsolidate/>
  <mergeCells count="25">
    <mergeCell ref="P8:Q8"/>
    <mergeCell ref="P7:Q7"/>
    <mergeCell ref="P6:Q6"/>
    <mergeCell ref="O34:R35"/>
    <mergeCell ref="B11:R11"/>
    <mergeCell ref="B27:R30"/>
    <mergeCell ref="P5:Q5"/>
    <mergeCell ref="A1:R1"/>
    <mergeCell ref="C7:G7"/>
    <mergeCell ref="H7:I7"/>
    <mergeCell ref="J7:N7"/>
    <mergeCell ref="A5:H5"/>
    <mergeCell ref="I5:L5"/>
    <mergeCell ref="P4:Q4"/>
    <mergeCell ref="P3:Q3"/>
    <mergeCell ref="G3:K4"/>
    <mergeCell ref="O36:R37"/>
    <mergeCell ref="A9:A10"/>
    <mergeCell ref="I9:I10"/>
    <mergeCell ref="Q9:Q10"/>
    <mergeCell ref="R9:R10"/>
    <mergeCell ref="A36:B37"/>
    <mergeCell ref="A34:B35"/>
    <mergeCell ref="N34:N35"/>
    <mergeCell ref="N36:N37"/>
  </mergeCells>
  <phoneticPr fontId="0" type="noConversion"/>
  <dataValidations count="1">
    <dataValidation type="list" allowBlank="1" showInputMessage="1" showErrorMessage="1" sqref="C7:G7">
      <formula1>$A$64:$A$141</formula1>
    </dataValidation>
  </dataValidations>
  <pageMargins left="0.25" right="0.51" top="0.53" bottom="0.75" header="0.3" footer="0.3"/>
  <pageSetup scale="98" orientation="landscape" r:id="rId1"/>
  <headerFooter alignWithMargins="0"/>
  <drawing r:id="rId2"/>
  <legacyDrawing r:id="rId3"/>
  <controls>
    <mc:AlternateContent xmlns:mc="http://schemas.openxmlformats.org/markup-compatibility/2006">
      <mc:Choice Requires="x14">
        <control shapeId="1034" r:id="rId4" name="CommandButton1">
          <controlPr defaultSize="0" print="0" autoLine="0" autoPict="0" r:id="rId5">
            <anchor moveWithCells="1">
              <from>
                <xdr:col>0</xdr:col>
                <xdr:colOff>1885950</xdr:colOff>
                <xdr:row>2</xdr:row>
                <xdr:rowOff>114300</xdr:rowOff>
              </from>
              <to>
                <xdr:col>2</xdr:col>
                <xdr:colOff>28575</xdr:colOff>
                <xdr:row>4</xdr:row>
                <xdr:rowOff>9525</xdr:rowOff>
              </to>
            </anchor>
          </controlPr>
        </control>
      </mc:Choice>
      <mc:Fallback>
        <control shapeId="1034" r:id="rId4" name="CommandButton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Classified NFE</vt:lpstr>
      <vt:lpstr>BA_paynumbers</vt:lpstr>
      <vt:lpstr>BA_payperiod</vt:lpstr>
      <vt:lpstr>BA_Print_Area</vt:lpstr>
      <vt:lpstr>'Classified NFE'!Print_Area</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Edinborough, Ryan</cp:lastModifiedBy>
  <cp:lastPrinted>2009-07-10T21:03:16Z</cp:lastPrinted>
  <dcterms:created xsi:type="dcterms:W3CDTF">1998-10-15T16:55:22Z</dcterms:created>
  <dcterms:modified xsi:type="dcterms:W3CDTF">2013-01-18T19:09:19Z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