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12420" windowHeight="7335"/>
  </bookViews>
  <sheets>
    <sheet name="by Race Ethnicity and Gender" sheetId="4" r:id="rId1"/>
  </sheets>
  <calcPr calcId="145621"/>
</workbook>
</file>

<file path=xl/calcChain.xml><?xml version="1.0" encoding="utf-8"?>
<calcChain xmlns="http://schemas.openxmlformats.org/spreadsheetml/2006/main">
  <c r="D126" i="4" l="1"/>
  <c r="D42" i="4" l="1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126" i="4"/>
  <c r="G126" i="4"/>
  <c r="H126" i="4"/>
  <c r="I126" i="4"/>
  <c r="J126" i="4"/>
  <c r="K126" i="4"/>
  <c r="C126" i="4"/>
  <c r="E43" i="4"/>
  <c r="E127" i="4" s="1"/>
  <c r="B126" i="4"/>
  <c r="J43" i="4"/>
  <c r="J127" i="4" s="1"/>
  <c r="I43" i="4"/>
  <c r="I127" i="4" s="1"/>
  <c r="H43" i="4"/>
  <c r="H127" i="4" s="1"/>
  <c r="K43" i="4"/>
  <c r="K127" i="4" s="1"/>
  <c r="G43" i="4"/>
  <c r="G127" i="4" s="1"/>
  <c r="F43" i="4"/>
  <c r="F127" i="4" s="1"/>
  <c r="C43" i="4"/>
  <c r="C127" i="4" s="1"/>
  <c r="B43" i="4"/>
  <c r="B127" i="4" s="1"/>
  <c r="A127" i="4"/>
  <c r="E126" i="4" l="1"/>
  <c r="E128" i="4" s="1"/>
  <c r="D43" i="4"/>
  <c r="D127" i="4" s="1"/>
  <c r="D128" i="4" s="1"/>
  <c r="C128" i="4"/>
  <c r="G128" i="4"/>
  <c r="H128" i="4"/>
  <c r="I128" i="4"/>
  <c r="B128" i="4"/>
  <c r="F128" i="4"/>
  <c r="K128" i="4"/>
  <c r="J128" i="4"/>
</calcChain>
</file>

<file path=xl/sharedStrings.xml><?xml version="1.0" encoding="utf-8"?>
<sst xmlns="http://schemas.openxmlformats.org/spreadsheetml/2006/main" count="155" uniqueCount="134">
  <si>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</si>
  <si>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</si>
  <si>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</si>
  <si>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</si>
  <si>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</si>
  <si>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</si>
  <si>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</si>
  <si>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</si>
  <si>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Canyons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</si>
  <si>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</si>
  <si>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</si>
  <si>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</si>
  <si>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</si>
  <si>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</si>
  <si>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</si>
  <si>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</si>
  <si>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</si>
  <si>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Morgan District</t>
  </si>
  <si>
    <t>Millard District</t>
  </si>
  <si>
    <t>District Total</t>
  </si>
  <si>
    <t>Logan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</si>
  <si>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</si>
  <si>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</si>
  <si>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</si>
  <si>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</si>
  <si>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</si>
  <si>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</si>
  <si>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</si>
  <si>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</si>
  <si>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</si>
  <si>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</si>
  <si>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</si>
  <si>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</si>
  <si>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</si>
  <si>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</si>
  <si>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</si>
  <si>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</si>
  <si>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</si>
  <si>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</si>
  <si>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</si>
  <si>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</si>
  <si>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</si>
  <si>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American Leadership Academy</t>
  </si>
  <si>
    <t>American Preparatory Academy</t>
  </si>
  <si>
    <t>Bear River Charter School</t>
  </si>
  <si>
    <t>Canyon Rim Academy</t>
  </si>
  <si>
    <t>Channing Hall</t>
  </si>
  <si>
    <t>City Academy</t>
  </si>
  <si>
    <t>CS Lewis Academy</t>
  </si>
  <si>
    <t>Dual Immersion Academy</t>
  </si>
  <si>
    <t>Early Light Academy at Daybreak</t>
  </si>
  <si>
    <t>East Hollywood High</t>
  </si>
  <si>
    <t>Edith Bowen Laboratory School</t>
  </si>
  <si>
    <t>Entheos Academy</t>
  </si>
  <si>
    <t>Excelsior Academy</t>
  </si>
  <si>
    <t>Fast Forward High</t>
  </si>
  <si>
    <t>Freedom Academy</t>
  </si>
  <si>
    <t>Gateway Preparatory Academy</t>
  </si>
  <si>
    <t>Good Foundation Academy</t>
  </si>
  <si>
    <t>Hawthorn Academy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</si>
  <si>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</si>
  <si>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</si>
  <si>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</si>
  <si>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</si>
  <si>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</si>
  <si>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</si>
  <si>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Maria Montessori Academy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</si>
  <si>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</si>
  <si>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</si>
  <si>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</si>
  <si>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</si>
  <si>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</si>
  <si>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</si>
  <si>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</si>
  <si>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</si>
  <si>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</si>
  <si>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</si>
  <si>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</si>
  <si>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</si>
  <si>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</si>
  <si>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</si>
  <si>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</si>
  <si>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</si>
  <si>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</si>
  <si>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</si>
  <si>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</si>
  <si>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</si>
  <si>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</si>
  <si>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</si>
  <si>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</si>
  <si>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School for the Performing Arts</t>
  </si>
  <si>
    <t>Soldier Hollow Charter School</t>
  </si>
  <si>
    <t>Spectrum Academy</t>
  </si>
  <si>
    <t>Success Academy</t>
  </si>
  <si>
    <t>Summit Academy High School</t>
  </si>
  <si>
    <t>Syracuse Arts Academy</t>
  </si>
  <si>
    <t>Timpanogos Academy</t>
  </si>
  <si>
    <t>Tuacahn High School for the Performing Arts</t>
  </si>
  <si>
    <t>Uintah River High</t>
  </si>
  <si>
    <t>Utah Virtual Academy</t>
  </si>
  <si>
    <t>Venture Academy</t>
  </si>
  <si>
    <t>Walden School of Liberal Arts</t>
  </si>
  <si>
    <t>Wasatch Peak Academy</t>
  </si>
  <si>
    <t>Weilenmann School of Discovery</t>
  </si>
  <si>
    <t>Charter School Total</t>
  </si>
  <si>
    <t>Grand Total</t>
  </si>
  <si>
    <t>George Washington Academy</t>
  </si>
  <si>
    <t>Lincoln Academy</t>
  </si>
  <si>
    <t xml:space="preserve">DISTRICT  </t>
  </si>
  <si>
    <t>FEMALE</t>
  </si>
  <si>
    <t>MALE</t>
  </si>
  <si>
    <t>ASIAN</t>
  </si>
  <si>
    <t>HISPANIC/LATINO</t>
  </si>
  <si>
    <t>WHITE</t>
  </si>
  <si>
    <t>AFRICAN AM OR BLACK</t>
  </si>
  <si>
    <t>AMERICAN INDIAN</t>
  </si>
  <si>
    <t>PACIFIC ISLANDER</t>
  </si>
  <si>
    <t>ETHNIC MINORITY</t>
  </si>
  <si>
    <t>CHARTER</t>
  </si>
  <si>
    <t>TOTAL</t>
  </si>
  <si>
    <t>Academy for Math, Engineering, &amp; Science</t>
  </si>
  <si>
    <t>Beehive Science &amp; Technology Academy</t>
  </si>
  <si>
    <t>Davinci Academy</t>
  </si>
  <si>
    <t>Guadalupe School</t>
  </si>
  <si>
    <t>Karl G. Maeser Preparatory Academy</t>
  </si>
  <si>
    <t>North Utah Academy for Math, Enginerring &amp; Science</t>
  </si>
  <si>
    <t>Salt Lake Center for Science Education</t>
  </si>
  <si>
    <t>Summit Academy</t>
  </si>
  <si>
    <t>Thomas Edison</t>
  </si>
  <si>
    <t>Utah County Academy of Science</t>
  </si>
  <si>
    <t>Vista At Entrada School of Performing Arts</t>
  </si>
  <si>
    <t>Alianza Academy</t>
  </si>
  <si>
    <t>Endeavor Hall</t>
  </si>
  <si>
    <t>Utah Connections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</si>
</sst>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3" fontId="2" fillId="0" borderId="4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/>
    <xf numFmtId="3" fontId="3" fillId="0" borderId="6" xfId="1" applyNumberFormat="1" applyFont="1" applyBorder="1" applyAlignment="1">
      <alignment vertical="top"/>
    </xf>
    <xf numFmtId="3" fontId="3" fillId="0" borderId="5" xfId="1" applyNumberFormat="1" applyFont="1" applyBorder="1" applyAlignment="1">
      <alignment horizontal="right" vertical="top" wrapText="1"/>
    </xf>
    <xf numFmtId="3" fontId="3" fillId="0" borderId="6" xfId="1" applyNumberFormat="1" applyFont="1" applyBorder="1" applyAlignment="1">
      <alignment horizontal="right" vertical="top" wrapText="1"/>
    </xf>
    <xf numFmtId="3" fontId="4" fillId="0" borderId="0" xfId="0" applyNumberFormat="1" applyFont="1"/>
    <xf numFmtId="3" fontId="3" fillId="0" borderId="7" xfId="1" applyNumberFormat="1" applyFont="1" applyBorder="1" applyAlignment="1">
      <alignment vertical="top"/>
    </xf>
    <xf numFmtId="3" fontId="3" fillId="0" borderId="7" xfId="1" applyNumberFormat="1" applyFont="1" applyBorder="1" applyAlignment="1">
      <alignment horizontal="right" vertical="top" wrapText="1"/>
    </xf>
    <xf numFmtId="3" fontId="3" fillId="0" borderId="5" xfId="1" applyNumberFormat="1" applyFont="1" applyBorder="1" applyAlignment="1">
      <alignment vertical="top"/>
    </xf>
    <xf numFmtId="3" fontId="2" fillId="0" borderId="8" xfId="0" applyNumberFormat="1" applyFont="1" applyBorder="1" applyAlignment="1"/>
    <xf numFmtId="3" fontId="2" fillId="0" borderId="8" xfId="0" applyNumberFormat="1" applyFont="1" applyBorder="1" applyAlignment="1">
      <alignment horizontal="right"/>
    </xf>
    <xf numFmtId="3" fontId="2" fillId="0" borderId="0" xfId="0" applyNumberFormat="1" applyFont="1"/>
    <xf numFmtId="3" fontId="4" fillId="0" borderId="1" xfId="0" applyNumberFormat="1" applyFont="1" applyBorder="1" applyAlignment="1"/>
    <xf numFmtId="3" fontId="4" fillId="0" borderId="2" xfId="0" applyNumberFormat="1" applyFont="1" applyBorder="1" applyAlignment="1">
      <alignment horizontal="right"/>
    </xf>
    <xf numFmtId="3" fontId="4" fillId="0" borderId="0" xfId="0" applyNumberFormat="1" applyFont="1" applyBorder="1" applyAlignment="1"/>
    <xf numFmtId="3" fontId="4" fillId="0" borderId="0" xfId="0" applyNumberFormat="1" applyFont="1" applyBorder="1" applyAlignment="1">
      <alignment horizontal="right"/>
    </xf>
    <xf numFmtId="3" fontId="4" fillId="0" borderId="0" xfId="0" applyNumberFormat="1" applyFont="1" applyAlignment="1"/>
    <xf numFmtId="3" fontId="2" fillId="0" borderId="7" xfId="0" applyNumberFormat="1" applyFont="1" applyBorder="1" applyAlignment="1"/>
    <xf numFmtId="3" fontId="5" fillId="0" borderId="3" xfId="0" applyNumberFormat="1" applyFont="1" applyBorder="1" applyAlignment="1">
      <alignment horizontal="right"/>
    </xf>
    <xf numFmtId="3" fontId="5" fillId="0" borderId="0" xfId="0" applyNumberFormat="1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3" fontId="5" fillId="0" borderId="8" xfId="0" applyNumberFormat="1" applyFont="1" applyBorder="1" applyAlignment="1"/>
    <xf numFmtId="3" fontId="3" fillId="0" borderId="7" xfId="1" applyNumberFormat="1" applyFont="1" applyFill="1" applyBorder="1" applyAlignment="1">
      <alignment vertical="top"/>
    </xf>
    <xf numFmtId="3" fontId="3" fillId="0" borderId="7" xfId="1" applyNumberFormat="1" applyFont="1" applyFill="1" applyBorder="1" applyAlignment="1">
      <alignment horizontal="right" vertical="top" wrapText="1"/>
    </xf>
    <xf numFmtId="3" fontId="4" fillId="0" borderId="0" xfId="0" applyNumberFormat="1" applyFont="1" applyFill="1"/>
    <xf numFmtId="3" fontId="2" fillId="0" borderId="6" xfId="0" applyNumberFormat="1" applyFont="1" applyBorder="1" applyAlignment="1"/>
    <xf numFmtId="3" fontId="2" fillId="0" borderId="6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3" fontId="2" fillId="0" borderId="10" xfId="0" applyNumberFormat="1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9"/>
  <sheetViews>
    <sheetView tabSelected="1" view="pageBreakPreview" zoomScaleNormal="100" zoomScaleSheetLayoutView="100" workbookViewId="0">
      <selection activeCell="D4" sqref="D4"/>
    </sheetView>
  </sheetViews>
  <sheetFormatPr defaultColWidth="8.7109375" defaultRowHeight="11.25" x14ac:dyDescent="0.2"/>
  <cols>
    <col min="1" max="1" width="33.85546875" style="16" customWidth="1"/>
    <col min="2" max="11" width="10.140625" style="17" customWidth="1"/>
    <col min="12" max="14" width="8.7109375" style="7"/>
    <col min="15" max="15" width="26" style="7" customWidth="1"/>
    <col min="16" max="16384" width="8.7109375" style="7"/>
  </cols>
  <sheetData>
    <row r="1" spans="1:11" s="3" customFormat="1" ht="33.75" x14ac:dyDescent="0.2">
      <c r="A1" s="1" t="s">
        <v>108</v>
      </c>
      <c r="B1" s="2" t="s">
        <v>109</v>
      </c>
      <c r="C1" s="2" t="s">
        <v>110</v>
      </c>
      <c r="D1" s="2" t="s">
        <v>119</v>
      </c>
      <c r="E1" s="2" t="s">
        <v>117</v>
      </c>
      <c r="F1" s="2" t="s">
        <v>111</v>
      </c>
      <c r="G1" s="2" t="s">
        <v>114</v>
      </c>
      <c r="H1" s="2" t="s">
        <v>115</v>
      </c>
      <c r="I1" s="2" t="s">
        <v>116</v>
      </c>
      <c r="J1" s="2" t="s">
        <v>112</v>
      </c>
      <c r="K1" s="2" t="s">
        <v>113</v>
      </c>
    </row>
    <row r="2" spans="1:11" x14ac:dyDescent="0.2">
      <c r="A2" s="4" t="s">
        <v>0</v>
      </c>
      <c r="B2" s="5">
        <v>33227</v>
      </c>
      <c r="C2" s="5">
        <v>35006</v>
      </c>
      <c r="D2" s="5">
        <f>B2+C2</f>
        <v>68233</v>
      </c>
      <c r="E2" s="5">
        <v>8812</v>
      </c>
      <c r="F2" s="5">
        <v>918</v>
      </c>
      <c r="G2" s="5">
        <v>650</v>
      </c>
      <c r="H2" s="5">
        <v>1011</v>
      </c>
      <c r="I2" s="5">
        <v>1073</v>
      </c>
      <c r="J2" s="5">
        <v>5909</v>
      </c>
      <c r="K2" s="5">
        <v>65204</v>
      </c>
    </row>
    <row r="3" spans="1:11" x14ac:dyDescent="0.2">
      <c r="A3" s="4" t="s">
        <v>1</v>
      </c>
      <c r="B3" s="6">
        <v>698</v>
      </c>
      <c r="C3" s="6">
        <v>842</v>
      </c>
      <c r="D3" s="6">
        <f t="shared" ref="D3:D42" si="0">B3+C3</f>
        <v>1540</v>
      </c>
      <c r="E3" s="6">
        <v>214</v>
      </c>
      <c r="F3" s="6">
        <v>19</v>
      </c>
      <c r="G3" s="6">
        <v>3</v>
      </c>
      <c r="H3" s="6">
        <v>14</v>
      </c>
      <c r="I3" s="6">
        <v>4</v>
      </c>
      <c r="J3" s="6">
        <v>177</v>
      </c>
      <c r="K3" s="6">
        <v>1505</v>
      </c>
    </row>
    <row r="4" spans="1:11" x14ac:dyDescent="0.2">
      <c r="A4" s="4" t="s">
        <v>2</v>
      </c>
      <c r="B4" s="6">
        <v>5435</v>
      </c>
      <c r="C4" s="6">
        <v>5838</v>
      </c>
      <c r="D4" s="6">
        <f t="shared" si="0"/>
        <v>11273</v>
      </c>
      <c r="E4" s="6">
        <v>1395</v>
      </c>
      <c r="F4" s="6">
        <v>125</v>
      </c>
      <c r="G4" s="6">
        <v>104</v>
      </c>
      <c r="H4" s="6">
        <v>121</v>
      </c>
      <c r="I4" s="6">
        <v>53</v>
      </c>
      <c r="J4" s="6">
        <v>1037</v>
      </c>
      <c r="K4" s="6">
        <v>10989</v>
      </c>
    </row>
    <row r="5" spans="1:11" x14ac:dyDescent="0.2">
      <c r="A5" s="4" t="s">
        <v>3</v>
      </c>
      <c r="B5" s="6">
        <v>7654</v>
      </c>
      <c r="C5" s="6">
        <v>7951</v>
      </c>
      <c r="D5" s="6">
        <f t="shared" si="0"/>
        <v>15605</v>
      </c>
      <c r="E5" s="6">
        <v>1784</v>
      </c>
      <c r="F5" s="6">
        <v>155</v>
      </c>
      <c r="G5" s="6">
        <v>143</v>
      </c>
      <c r="H5" s="6">
        <v>1227</v>
      </c>
      <c r="I5" s="6">
        <v>129</v>
      </c>
      <c r="J5" s="6">
        <v>1286</v>
      </c>
      <c r="K5" s="6">
        <v>14206</v>
      </c>
    </row>
    <row r="6" spans="1:11" x14ac:dyDescent="0.2">
      <c r="A6" s="8" t="s">
        <v>8</v>
      </c>
      <c r="B6" s="9">
        <v>16150</v>
      </c>
      <c r="C6" s="9">
        <v>17340</v>
      </c>
      <c r="D6" s="9">
        <f t="shared" si="0"/>
        <v>33490</v>
      </c>
      <c r="E6" s="9">
        <v>6833</v>
      </c>
      <c r="F6" s="9">
        <v>1225</v>
      </c>
      <c r="G6" s="9">
        <v>815</v>
      </c>
      <c r="H6" s="9">
        <v>1785</v>
      </c>
      <c r="I6" s="9">
        <v>650</v>
      </c>
      <c r="J6" s="9">
        <v>3955</v>
      </c>
      <c r="K6" s="9">
        <v>30147</v>
      </c>
    </row>
    <row r="7" spans="1:11" x14ac:dyDescent="0.2">
      <c r="A7" s="10" t="s">
        <v>4</v>
      </c>
      <c r="B7" s="5">
        <v>1760</v>
      </c>
      <c r="C7" s="5">
        <v>1663</v>
      </c>
      <c r="D7" s="5">
        <f t="shared" si="0"/>
        <v>3423</v>
      </c>
      <c r="E7" s="5">
        <v>487</v>
      </c>
      <c r="F7" s="5">
        <v>9</v>
      </c>
      <c r="G7" s="5">
        <v>18</v>
      </c>
      <c r="H7" s="5">
        <v>44</v>
      </c>
      <c r="I7" s="5">
        <v>4</v>
      </c>
      <c r="J7" s="5">
        <v>414</v>
      </c>
      <c r="K7" s="5">
        <v>3359</v>
      </c>
    </row>
    <row r="8" spans="1:11" x14ac:dyDescent="0.2">
      <c r="A8" s="4" t="s">
        <v>5</v>
      </c>
      <c r="B8" s="6">
        <v>73</v>
      </c>
      <c r="C8" s="6">
        <v>96</v>
      </c>
      <c r="D8" s="6">
        <f t="shared" si="0"/>
        <v>169</v>
      </c>
      <c r="E8" s="6">
        <v>7</v>
      </c>
      <c r="F8" s="6">
        <v>1</v>
      </c>
      <c r="G8" s="6">
        <v>0</v>
      </c>
      <c r="H8" s="6">
        <v>2</v>
      </c>
      <c r="I8" s="6">
        <v>0</v>
      </c>
      <c r="J8" s="6">
        <v>5</v>
      </c>
      <c r="K8" s="6">
        <v>167</v>
      </c>
    </row>
    <row r="9" spans="1:11" x14ac:dyDescent="0.2">
      <c r="A9" s="4" t="s">
        <v>6</v>
      </c>
      <c r="B9" s="6">
        <v>32814</v>
      </c>
      <c r="C9" s="6">
        <v>34922</v>
      </c>
      <c r="D9" s="6">
        <f t="shared" si="0"/>
        <v>67736</v>
      </c>
      <c r="E9" s="6">
        <v>9801</v>
      </c>
      <c r="F9" s="6">
        <v>1498</v>
      </c>
      <c r="G9" s="6">
        <v>1485</v>
      </c>
      <c r="H9" s="6">
        <v>496</v>
      </c>
      <c r="I9" s="6">
        <v>1066</v>
      </c>
      <c r="J9" s="6">
        <v>5747</v>
      </c>
      <c r="K9" s="6">
        <v>62889</v>
      </c>
    </row>
    <row r="10" spans="1:11" x14ac:dyDescent="0.2">
      <c r="A10" s="4" t="s">
        <v>7</v>
      </c>
      <c r="B10" s="6">
        <v>2254</v>
      </c>
      <c r="C10" s="6">
        <v>2320</v>
      </c>
      <c r="D10" s="6">
        <f t="shared" si="0"/>
        <v>4574</v>
      </c>
      <c r="E10" s="6">
        <v>631</v>
      </c>
      <c r="F10" s="6">
        <v>29</v>
      </c>
      <c r="G10" s="6">
        <v>33</v>
      </c>
      <c r="H10" s="6">
        <v>304</v>
      </c>
      <c r="I10" s="6">
        <v>32</v>
      </c>
      <c r="J10" s="6">
        <v>276</v>
      </c>
      <c r="K10" s="6">
        <v>4285</v>
      </c>
    </row>
    <row r="11" spans="1:11" x14ac:dyDescent="0.2">
      <c r="A11" s="8" t="s">
        <v>9</v>
      </c>
      <c r="B11" s="9">
        <v>1139</v>
      </c>
      <c r="C11" s="9">
        <v>1174</v>
      </c>
      <c r="D11" s="9">
        <f t="shared" si="0"/>
        <v>2313</v>
      </c>
      <c r="E11" s="9">
        <v>245</v>
      </c>
      <c r="F11" s="9">
        <v>10</v>
      </c>
      <c r="G11" s="9">
        <v>18</v>
      </c>
      <c r="H11" s="9">
        <v>22</v>
      </c>
      <c r="I11" s="9">
        <v>9</v>
      </c>
      <c r="J11" s="9">
        <v>188</v>
      </c>
      <c r="K11" s="9">
        <v>2269</v>
      </c>
    </row>
    <row r="12" spans="1:11" x14ac:dyDescent="0.2">
      <c r="A12" s="10" t="s">
        <v>10</v>
      </c>
      <c r="B12" s="5">
        <v>430</v>
      </c>
      <c r="C12" s="5">
        <v>497</v>
      </c>
      <c r="D12" s="5">
        <f t="shared" si="0"/>
        <v>927</v>
      </c>
      <c r="E12" s="5">
        <v>80</v>
      </c>
      <c r="F12" s="5">
        <v>2</v>
      </c>
      <c r="G12" s="5">
        <v>3</v>
      </c>
      <c r="H12" s="5">
        <v>16</v>
      </c>
      <c r="I12" s="5">
        <v>1</v>
      </c>
      <c r="J12" s="5">
        <v>60</v>
      </c>
      <c r="K12" s="5">
        <v>907</v>
      </c>
    </row>
    <row r="13" spans="1:11" x14ac:dyDescent="0.2">
      <c r="A13" s="4" t="s">
        <v>11</v>
      </c>
      <c r="B13" s="6">
        <v>712</v>
      </c>
      <c r="C13" s="6">
        <v>755</v>
      </c>
      <c r="D13" s="6">
        <f t="shared" si="0"/>
        <v>1467</v>
      </c>
      <c r="E13" s="6">
        <v>347</v>
      </c>
      <c r="F13" s="6">
        <v>23</v>
      </c>
      <c r="G13" s="6">
        <v>18</v>
      </c>
      <c r="H13" s="6">
        <v>95</v>
      </c>
      <c r="I13" s="6">
        <v>5</v>
      </c>
      <c r="J13" s="6">
        <v>217</v>
      </c>
      <c r="K13" s="6">
        <v>1334</v>
      </c>
    </row>
    <row r="14" spans="1:11" x14ac:dyDescent="0.2">
      <c r="A14" s="4" t="s">
        <v>12</v>
      </c>
      <c r="B14" s="6">
        <v>33055</v>
      </c>
      <c r="C14" s="6">
        <v>34681</v>
      </c>
      <c r="D14" s="6">
        <f t="shared" si="0"/>
        <v>67736</v>
      </c>
      <c r="E14" s="6">
        <v>29698</v>
      </c>
      <c r="F14" s="6">
        <v>2988</v>
      </c>
      <c r="G14" s="6">
        <v>2159</v>
      </c>
      <c r="H14" s="6">
        <v>1165</v>
      </c>
      <c r="I14" s="6">
        <v>2631</v>
      </c>
      <c r="J14" s="6">
        <v>20893</v>
      </c>
      <c r="K14" s="6">
        <v>38573</v>
      </c>
    </row>
    <row r="15" spans="1:11" x14ac:dyDescent="0.2">
      <c r="A15" s="4" t="s">
        <v>13</v>
      </c>
      <c r="B15" s="6">
        <v>4178</v>
      </c>
      <c r="C15" s="6">
        <v>4330</v>
      </c>
      <c r="D15" s="6">
        <f t="shared" si="0"/>
        <v>8508</v>
      </c>
      <c r="E15" s="6">
        <v>1300</v>
      </c>
      <c r="F15" s="6">
        <v>92</v>
      </c>
      <c r="G15" s="6">
        <v>78</v>
      </c>
      <c r="H15" s="6">
        <v>309</v>
      </c>
      <c r="I15" s="6">
        <v>100</v>
      </c>
      <c r="J15" s="6">
        <v>790</v>
      </c>
      <c r="K15" s="6">
        <v>8122</v>
      </c>
    </row>
    <row r="16" spans="1:11" s="28" customFormat="1" x14ac:dyDescent="0.2">
      <c r="A16" s="26" t="s">
        <v>14</v>
      </c>
      <c r="B16" s="27">
        <v>24971</v>
      </c>
      <c r="C16" s="27">
        <v>25610</v>
      </c>
      <c r="D16" s="27">
        <f t="shared" si="0"/>
        <v>50581</v>
      </c>
      <c r="E16" s="27">
        <v>9682</v>
      </c>
      <c r="F16" s="27">
        <v>1465</v>
      </c>
      <c r="G16" s="27">
        <v>1040</v>
      </c>
      <c r="H16" s="27">
        <v>3298</v>
      </c>
      <c r="I16" s="27">
        <v>1210</v>
      </c>
      <c r="J16" s="27">
        <v>5953</v>
      </c>
      <c r="K16" s="27">
        <v>45629</v>
      </c>
    </row>
    <row r="17" spans="1:11" x14ac:dyDescent="0.2">
      <c r="A17" s="10" t="s">
        <v>15</v>
      </c>
      <c r="B17" s="5">
        <v>1059</v>
      </c>
      <c r="C17" s="5">
        <v>1238</v>
      </c>
      <c r="D17" s="5">
        <f t="shared" si="0"/>
        <v>2297</v>
      </c>
      <c r="E17" s="5">
        <v>138</v>
      </c>
      <c r="F17" s="5">
        <v>18</v>
      </c>
      <c r="G17" s="5">
        <v>25</v>
      </c>
      <c r="H17" s="5">
        <v>74</v>
      </c>
      <c r="I17" s="5">
        <v>19</v>
      </c>
      <c r="J17" s="5">
        <v>72</v>
      </c>
      <c r="K17" s="5">
        <v>2201</v>
      </c>
    </row>
    <row r="18" spans="1:11" x14ac:dyDescent="0.2">
      <c r="A18" s="4" t="s">
        <v>16</v>
      </c>
      <c r="B18" s="6">
        <v>559</v>
      </c>
      <c r="C18" s="6">
        <v>616</v>
      </c>
      <c r="D18" s="6">
        <f t="shared" si="0"/>
        <v>1175</v>
      </c>
      <c r="E18" s="6">
        <v>77</v>
      </c>
      <c r="F18" s="6">
        <v>5</v>
      </c>
      <c r="G18" s="6">
        <v>7</v>
      </c>
      <c r="H18" s="6">
        <v>20</v>
      </c>
      <c r="I18" s="6">
        <v>4</v>
      </c>
      <c r="J18" s="6">
        <v>42</v>
      </c>
      <c r="K18" s="6">
        <v>1144</v>
      </c>
    </row>
    <row r="19" spans="1:11" x14ac:dyDescent="0.2">
      <c r="A19" s="4" t="s">
        <v>20</v>
      </c>
      <c r="B19" s="6">
        <v>2961</v>
      </c>
      <c r="C19" s="6">
        <v>3159</v>
      </c>
      <c r="D19" s="6">
        <f t="shared" si="0"/>
        <v>6120</v>
      </c>
      <c r="E19" s="6">
        <v>2030</v>
      </c>
      <c r="F19" s="6">
        <v>255</v>
      </c>
      <c r="G19" s="6">
        <v>104</v>
      </c>
      <c r="H19" s="6">
        <v>85</v>
      </c>
      <c r="I19" s="6">
        <v>74</v>
      </c>
      <c r="J19" s="6">
        <v>1540</v>
      </c>
      <c r="K19" s="6">
        <v>5641</v>
      </c>
    </row>
    <row r="20" spans="1:11" x14ac:dyDescent="0.2">
      <c r="A20" s="4" t="s">
        <v>18</v>
      </c>
      <c r="B20" s="6">
        <v>1387</v>
      </c>
      <c r="C20" s="6">
        <v>1428</v>
      </c>
      <c r="D20" s="6">
        <f t="shared" si="0"/>
        <v>2815</v>
      </c>
      <c r="E20" s="6">
        <v>543</v>
      </c>
      <c r="F20" s="6">
        <v>28</v>
      </c>
      <c r="G20" s="6">
        <v>11</v>
      </c>
      <c r="H20" s="6">
        <v>42</v>
      </c>
      <c r="I20" s="6">
        <v>15</v>
      </c>
      <c r="J20" s="6">
        <v>457</v>
      </c>
      <c r="K20" s="6">
        <v>2749</v>
      </c>
    </row>
    <row r="21" spans="1:11" x14ac:dyDescent="0.2">
      <c r="A21" s="8" t="s">
        <v>17</v>
      </c>
      <c r="B21" s="9">
        <v>1133</v>
      </c>
      <c r="C21" s="9">
        <v>1288</v>
      </c>
      <c r="D21" s="9">
        <f t="shared" si="0"/>
        <v>2421</v>
      </c>
      <c r="E21" s="9">
        <v>104</v>
      </c>
      <c r="F21" s="9">
        <v>8</v>
      </c>
      <c r="G21" s="9">
        <v>15</v>
      </c>
      <c r="H21" s="9">
        <v>13</v>
      </c>
      <c r="I21" s="9">
        <v>16</v>
      </c>
      <c r="J21" s="9">
        <v>58</v>
      </c>
      <c r="K21" s="9">
        <v>2388</v>
      </c>
    </row>
    <row r="22" spans="1:11" x14ac:dyDescent="0.2">
      <c r="A22" s="10" t="s">
        <v>21</v>
      </c>
      <c r="B22" s="5">
        <v>3129</v>
      </c>
      <c r="C22" s="5">
        <v>3288</v>
      </c>
      <c r="D22" s="5">
        <f t="shared" si="0"/>
        <v>6417</v>
      </c>
      <c r="E22" s="5">
        <v>1355</v>
      </c>
      <c r="F22" s="5">
        <v>161</v>
      </c>
      <c r="G22" s="5">
        <v>229</v>
      </c>
      <c r="H22" s="5">
        <v>77</v>
      </c>
      <c r="I22" s="5">
        <v>95</v>
      </c>
      <c r="J22" s="5">
        <v>846</v>
      </c>
      <c r="K22" s="5">
        <v>5974</v>
      </c>
    </row>
    <row r="23" spans="1:11" x14ac:dyDescent="0.2">
      <c r="A23" s="4" t="s">
        <v>22</v>
      </c>
      <c r="B23" s="6">
        <v>14484</v>
      </c>
      <c r="C23" s="6">
        <v>15240</v>
      </c>
      <c r="D23" s="6">
        <f t="shared" si="0"/>
        <v>29724</v>
      </c>
      <c r="E23" s="6">
        <v>4024</v>
      </c>
      <c r="F23" s="6">
        <v>263</v>
      </c>
      <c r="G23" s="6">
        <v>267</v>
      </c>
      <c r="H23" s="6">
        <v>271</v>
      </c>
      <c r="I23" s="6">
        <v>349</v>
      </c>
      <c r="J23" s="6">
        <v>2993</v>
      </c>
      <c r="K23" s="6">
        <v>28921</v>
      </c>
    </row>
    <row r="24" spans="1:11" x14ac:dyDescent="0.2">
      <c r="A24" s="4" t="s">
        <v>23</v>
      </c>
      <c r="B24" s="6">
        <v>1188</v>
      </c>
      <c r="C24" s="6">
        <v>1232</v>
      </c>
      <c r="D24" s="6">
        <f t="shared" si="0"/>
        <v>2420</v>
      </c>
      <c r="E24" s="6">
        <v>357</v>
      </c>
      <c r="F24" s="6">
        <v>19</v>
      </c>
      <c r="G24" s="6">
        <v>20</v>
      </c>
      <c r="H24" s="6">
        <v>38</v>
      </c>
      <c r="I24" s="6">
        <v>17</v>
      </c>
      <c r="J24" s="6">
        <v>291</v>
      </c>
      <c r="K24" s="6">
        <v>2292</v>
      </c>
    </row>
    <row r="25" spans="1:11" x14ac:dyDescent="0.2">
      <c r="A25" s="4" t="s">
        <v>24</v>
      </c>
      <c r="B25" s="6">
        <v>465</v>
      </c>
      <c r="C25" s="6">
        <v>518</v>
      </c>
      <c r="D25" s="6">
        <f t="shared" si="0"/>
        <v>983</v>
      </c>
      <c r="E25" s="6">
        <v>144</v>
      </c>
      <c r="F25" s="6">
        <v>4</v>
      </c>
      <c r="G25" s="6">
        <v>9</v>
      </c>
      <c r="H25" s="6">
        <v>111</v>
      </c>
      <c r="I25" s="6">
        <v>9</v>
      </c>
      <c r="J25" s="6">
        <v>118</v>
      </c>
      <c r="K25" s="6">
        <v>898</v>
      </c>
    </row>
    <row r="26" spans="1:11" x14ac:dyDescent="0.2">
      <c r="A26" s="8" t="s">
        <v>25</v>
      </c>
      <c r="B26" s="9">
        <v>6082</v>
      </c>
      <c r="C26" s="9">
        <v>6570</v>
      </c>
      <c r="D26" s="9">
        <f t="shared" si="0"/>
        <v>12652</v>
      </c>
      <c r="E26" s="9">
        <v>6730</v>
      </c>
      <c r="F26" s="9">
        <v>151</v>
      </c>
      <c r="G26" s="9">
        <v>308</v>
      </c>
      <c r="H26" s="9">
        <v>540</v>
      </c>
      <c r="I26" s="9">
        <v>132</v>
      </c>
      <c r="J26" s="9">
        <v>6099</v>
      </c>
      <c r="K26" s="9">
        <v>11787</v>
      </c>
    </row>
    <row r="27" spans="1:11" x14ac:dyDescent="0.2">
      <c r="A27" s="10" t="s">
        <v>26</v>
      </c>
      <c r="B27" s="5">
        <v>2105</v>
      </c>
      <c r="C27" s="5">
        <v>2295</v>
      </c>
      <c r="D27" s="5">
        <f t="shared" si="0"/>
        <v>4400</v>
      </c>
      <c r="E27" s="5">
        <v>1037</v>
      </c>
      <c r="F27" s="5">
        <v>131</v>
      </c>
      <c r="G27" s="5">
        <v>37</v>
      </c>
      <c r="H27" s="5">
        <v>316</v>
      </c>
      <c r="I27" s="5">
        <v>24</v>
      </c>
      <c r="J27" s="5">
        <v>831</v>
      </c>
      <c r="K27" s="5">
        <v>3666</v>
      </c>
    </row>
    <row r="28" spans="1:11" x14ac:dyDescent="0.2">
      <c r="A28" s="4" t="s">
        <v>27</v>
      </c>
      <c r="B28" s="6">
        <v>149</v>
      </c>
      <c r="C28" s="6">
        <v>168</v>
      </c>
      <c r="D28" s="6">
        <f t="shared" si="0"/>
        <v>317</v>
      </c>
      <c r="E28" s="6">
        <v>40</v>
      </c>
      <c r="F28" s="6">
        <v>0</v>
      </c>
      <c r="G28" s="6">
        <v>6</v>
      </c>
      <c r="H28" s="6">
        <v>0</v>
      </c>
      <c r="I28" s="6">
        <v>2</v>
      </c>
      <c r="J28" s="6">
        <v>32</v>
      </c>
      <c r="K28" s="6">
        <v>309</v>
      </c>
    </row>
    <row r="29" spans="1:11" x14ac:dyDescent="0.2">
      <c r="A29" s="4" t="s">
        <v>28</v>
      </c>
      <c r="B29" s="6">
        <v>6692</v>
      </c>
      <c r="C29" s="6">
        <v>7087</v>
      </c>
      <c r="D29" s="6">
        <f t="shared" si="0"/>
        <v>13779</v>
      </c>
      <c r="E29" s="6">
        <v>4789</v>
      </c>
      <c r="F29" s="6">
        <v>406</v>
      </c>
      <c r="G29" s="6">
        <v>171</v>
      </c>
      <c r="H29" s="6">
        <v>217</v>
      </c>
      <c r="I29" s="6">
        <v>425</v>
      </c>
      <c r="J29" s="6">
        <v>3669</v>
      </c>
      <c r="K29" s="6">
        <v>12754</v>
      </c>
    </row>
    <row r="30" spans="1:11" x14ac:dyDescent="0.2">
      <c r="A30" s="4" t="s">
        <v>29</v>
      </c>
      <c r="B30" s="6">
        <v>256</v>
      </c>
      <c r="C30" s="6">
        <v>235</v>
      </c>
      <c r="D30" s="6">
        <f t="shared" si="0"/>
        <v>491</v>
      </c>
      <c r="E30" s="6">
        <v>17</v>
      </c>
      <c r="F30" s="6">
        <v>0</v>
      </c>
      <c r="G30" s="6">
        <v>1</v>
      </c>
      <c r="H30" s="6">
        <v>3</v>
      </c>
      <c r="I30" s="6">
        <v>0</v>
      </c>
      <c r="J30" s="6">
        <v>13</v>
      </c>
      <c r="K30" s="6">
        <v>488</v>
      </c>
    </row>
    <row r="31" spans="1:11" x14ac:dyDescent="0.2">
      <c r="A31" s="8" t="s">
        <v>30</v>
      </c>
      <c r="B31" s="9">
        <v>11578</v>
      </c>
      <c r="C31" s="9">
        <v>12341</v>
      </c>
      <c r="D31" s="9">
        <f t="shared" si="0"/>
        <v>23919</v>
      </c>
      <c r="E31" s="9">
        <v>12973</v>
      </c>
      <c r="F31" s="9">
        <v>1225</v>
      </c>
      <c r="G31" s="9">
        <v>1343</v>
      </c>
      <c r="H31" s="9">
        <v>3509</v>
      </c>
      <c r="I31" s="9">
        <v>1269</v>
      </c>
      <c r="J31" s="9">
        <v>8920</v>
      </c>
      <c r="K31" s="9">
        <v>17202</v>
      </c>
    </row>
    <row r="32" spans="1:11" x14ac:dyDescent="0.2">
      <c r="A32" s="10" t="s">
        <v>31</v>
      </c>
      <c r="B32" s="5">
        <v>1416</v>
      </c>
      <c r="C32" s="5">
        <v>1506</v>
      </c>
      <c r="D32" s="5">
        <f t="shared" si="0"/>
        <v>2922</v>
      </c>
      <c r="E32" s="5">
        <v>1615</v>
      </c>
      <c r="F32" s="5">
        <v>3</v>
      </c>
      <c r="G32" s="5">
        <v>14</v>
      </c>
      <c r="H32" s="5">
        <v>1510</v>
      </c>
      <c r="I32" s="5">
        <v>12</v>
      </c>
      <c r="J32" s="5">
        <v>84</v>
      </c>
      <c r="K32" s="5">
        <v>1404</v>
      </c>
    </row>
    <row r="33" spans="1:25" x14ac:dyDescent="0.2">
      <c r="A33" s="4" t="s">
        <v>32</v>
      </c>
      <c r="B33" s="6">
        <v>2210</v>
      </c>
      <c r="C33" s="6">
        <v>2336</v>
      </c>
      <c r="D33" s="6">
        <f t="shared" si="0"/>
        <v>4546</v>
      </c>
      <c r="E33" s="6">
        <v>346</v>
      </c>
      <c r="F33" s="6">
        <v>20</v>
      </c>
      <c r="G33" s="6">
        <v>27</v>
      </c>
      <c r="H33" s="6">
        <v>72</v>
      </c>
      <c r="I33" s="6">
        <v>16</v>
      </c>
      <c r="J33" s="6">
        <v>214</v>
      </c>
      <c r="K33" s="6">
        <v>4367</v>
      </c>
    </row>
    <row r="34" spans="1:25" x14ac:dyDescent="0.2">
      <c r="A34" s="4" t="s">
        <v>33</v>
      </c>
      <c r="B34" s="6">
        <v>1491</v>
      </c>
      <c r="C34" s="6">
        <v>1633</v>
      </c>
      <c r="D34" s="6">
        <f t="shared" si="0"/>
        <v>3124</v>
      </c>
      <c r="E34" s="6">
        <v>456</v>
      </c>
      <c r="F34" s="6">
        <v>16</v>
      </c>
      <c r="G34" s="6">
        <v>25</v>
      </c>
      <c r="H34" s="6">
        <v>55</v>
      </c>
      <c r="I34" s="6">
        <v>30</v>
      </c>
      <c r="J34" s="6">
        <v>353</v>
      </c>
      <c r="K34" s="6">
        <v>3034</v>
      </c>
    </row>
    <row r="35" spans="1:25" x14ac:dyDescent="0.2">
      <c r="A35" s="4" t="s">
        <v>34</v>
      </c>
      <c r="B35" s="6">
        <v>679</v>
      </c>
      <c r="C35" s="6">
        <v>778</v>
      </c>
      <c r="D35" s="6">
        <f t="shared" si="0"/>
        <v>1457</v>
      </c>
      <c r="E35" s="6">
        <v>210</v>
      </c>
      <c r="F35" s="6">
        <v>8</v>
      </c>
      <c r="G35" s="6">
        <v>8</v>
      </c>
      <c r="H35" s="6">
        <v>72</v>
      </c>
      <c r="I35" s="6">
        <v>2</v>
      </c>
      <c r="J35" s="6">
        <v>179</v>
      </c>
      <c r="K35" s="6">
        <v>1392</v>
      </c>
    </row>
    <row r="36" spans="1:25" x14ac:dyDescent="0.2">
      <c r="A36" s="8" t="s">
        <v>35</v>
      </c>
      <c r="B36" s="9">
        <v>92</v>
      </c>
      <c r="C36" s="9">
        <v>118</v>
      </c>
      <c r="D36" s="9">
        <f t="shared" si="0"/>
        <v>210</v>
      </c>
      <c r="E36" s="9">
        <v>4</v>
      </c>
      <c r="F36" s="9">
        <v>0</v>
      </c>
      <c r="G36" s="9">
        <v>0</v>
      </c>
      <c r="H36" s="9">
        <v>1</v>
      </c>
      <c r="I36" s="9">
        <v>0</v>
      </c>
      <c r="J36" s="9">
        <v>3</v>
      </c>
      <c r="K36" s="9">
        <v>209</v>
      </c>
    </row>
    <row r="37" spans="1:25" x14ac:dyDescent="0.2">
      <c r="A37" s="10" t="s">
        <v>36</v>
      </c>
      <c r="B37" s="5">
        <v>6697</v>
      </c>
      <c r="C37" s="5">
        <v>6978</v>
      </c>
      <c r="D37" s="5">
        <f t="shared" si="0"/>
        <v>13675</v>
      </c>
      <c r="E37" s="5">
        <v>2260</v>
      </c>
      <c r="F37" s="5">
        <v>148</v>
      </c>
      <c r="G37" s="5">
        <v>206</v>
      </c>
      <c r="H37" s="5">
        <v>212</v>
      </c>
      <c r="I37" s="5">
        <v>195</v>
      </c>
      <c r="J37" s="5">
        <v>1567</v>
      </c>
      <c r="K37" s="5">
        <v>13073</v>
      </c>
    </row>
    <row r="38" spans="1:25" x14ac:dyDescent="0.2">
      <c r="A38" s="4" t="s">
        <v>37</v>
      </c>
      <c r="B38" s="6">
        <v>3366</v>
      </c>
      <c r="C38" s="6">
        <v>3627</v>
      </c>
      <c r="D38" s="6">
        <f t="shared" si="0"/>
        <v>6993</v>
      </c>
      <c r="E38" s="6">
        <v>1128</v>
      </c>
      <c r="F38" s="6">
        <v>35</v>
      </c>
      <c r="G38" s="6">
        <v>52</v>
      </c>
      <c r="H38" s="6">
        <v>571</v>
      </c>
      <c r="I38" s="6">
        <v>50</v>
      </c>
      <c r="J38" s="6">
        <v>448</v>
      </c>
      <c r="K38" s="6">
        <v>6363</v>
      </c>
    </row>
    <row r="39" spans="1:25" x14ac:dyDescent="0.2">
      <c r="A39" s="4" t="s">
        <v>38</v>
      </c>
      <c r="B39" s="6">
        <v>2484</v>
      </c>
      <c r="C39" s="6">
        <v>2769</v>
      </c>
      <c r="D39" s="6">
        <f t="shared" si="0"/>
        <v>5253</v>
      </c>
      <c r="E39" s="6">
        <v>861</v>
      </c>
      <c r="F39" s="6">
        <v>36</v>
      </c>
      <c r="G39" s="6">
        <v>23</v>
      </c>
      <c r="H39" s="6">
        <v>26</v>
      </c>
      <c r="I39" s="6">
        <v>8</v>
      </c>
      <c r="J39" s="6">
        <v>779</v>
      </c>
      <c r="K39" s="6">
        <v>5185</v>
      </c>
    </row>
    <row r="40" spans="1:25" x14ac:dyDescent="0.2">
      <c r="A40" s="4" t="s">
        <v>39</v>
      </c>
      <c r="B40" s="6">
        <v>12650</v>
      </c>
      <c r="C40" s="6">
        <v>13556</v>
      </c>
      <c r="D40" s="6">
        <f t="shared" si="0"/>
        <v>26206</v>
      </c>
      <c r="E40" s="6">
        <v>4591</v>
      </c>
      <c r="F40" s="6">
        <v>199</v>
      </c>
      <c r="G40" s="6">
        <v>293</v>
      </c>
      <c r="H40" s="6">
        <v>510</v>
      </c>
      <c r="I40" s="6">
        <v>522</v>
      </c>
      <c r="J40" s="6">
        <v>3123</v>
      </c>
      <c r="K40" s="6">
        <v>24812</v>
      </c>
    </row>
    <row r="41" spans="1:25" x14ac:dyDescent="0.2">
      <c r="A41" s="4" t="s">
        <v>40</v>
      </c>
      <c r="B41" s="6">
        <v>269</v>
      </c>
      <c r="C41" s="6">
        <v>270</v>
      </c>
      <c r="D41" s="6">
        <f t="shared" si="0"/>
        <v>539</v>
      </c>
      <c r="E41" s="6">
        <v>30</v>
      </c>
      <c r="F41" s="6">
        <v>8</v>
      </c>
      <c r="G41" s="6">
        <v>1</v>
      </c>
      <c r="H41" s="6">
        <v>4</v>
      </c>
      <c r="I41" s="6">
        <v>3</v>
      </c>
      <c r="J41" s="6">
        <v>14</v>
      </c>
      <c r="K41" s="6">
        <v>529</v>
      </c>
    </row>
    <row r="42" spans="1:25" x14ac:dyDescent="0.2">
      <c r="A42" s="8" t="s">
        <v>41</v>
      </c>
      <c r="B42" s="9">
        <v>14854</v>
      </c>
      <c r="C42" s="9">
        <v>15569</v>
      </c>
      <c r="D42" s="9">
        <f t="shared" si="0"/>
        <v>30423</v>
      </c>
      <c r="E42" s="9">
        <v>5176</v>
      </c>
      <c r="F42" s="9">
        <v>593</v>
      </c>
      <c r="G42" s="9">
        <v>584</v>
      </c>
      <c r="H42" s="9">
        <v>1161</v>
      </c>
      <c r="I42" s="9">
        <v>280</v>
      </c>
      <c r="J42" s="9">
        <v>3511</v>
      </c>
      <c r="K42" s="9">
        <v>27015</v>
      </c>
    </row>
    <row r="43" spans="1:25" s="13" customFormat="1" ht="12" thickBot="1" x14ac:dyDescent="0.25">
      <c r="A43" s="11" t="s">
        <v>19</v>
      </c>
      <c r="B43" s="12">
        <f t="shared" ref="B43:I43" si="1">SUM(B2:B42)</f>
        <v>263985</v>
      </c>
      <c r="C43" s="12">
        <f t="shared" si="1"/>
        <v>278868</v>
      </c>
      <c r="D43" s="12">
        <f t="shared" si="1"/>
        <v>542853</v>
      </c>
      <c r="E43" s="12">
        <f>SUM(E2:E42)</f>
        <v>122351</v>
      </c>
      <c r="F43" s="12">
        <f t="shared" si="1"/>
        <v>12299</v>
      </c>
      <c r="G43" s="12">
        <f t="shared" si="1"/>
        <v>10353</v>
      </c>
      <c r="H43" s="12">
        <f>SUM(H2:H42)</f>
        <v>19419</v>
      </c>
      <c r="I43" s="12">
        <f t="shared" si="1"/>
        <v>10535</v>
      </c>
      <c r="J43" s="12">
        <f>SUM(J2:J42)</f>
        <v>83163</v>
      </c>
      <c r="K43" s="12">
        <f>SUM(K2:K42)</f>
        <v>475382</v>
      </c>
    </row>
    <row r="44" spans="1:25" ht="4.5" customHeight="1" thickTop="1" thickBot="1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6" spans="1:25" s="18" customFormat="1" ht="33.75" x14ac:dyDescent="0.25">
      <c r="A46" s="1" t="s">
        <v>118</v>
      </c>
      <c r="B46" s="2" t="s">
        <v>109</v>
      </c>
      <c r="C46" s="2" t="s">
        <v>110</v>
      </c>
      <c r="D46" s="2" t="s">
        <v>119</v>
      </c>
      <c r="E46" s="2" t="s">
        <v>117</v>
      </c>
      <c r="F46" s="2" t="s">
        <v>111</v>
      </c>
      <c r="G46" s="2" t="s">
        <v>114</v>
      </c>
      <c r="H46" s="2" t="s">
        <v>115</v>
      </c>
      <c r="I46" s="2" t="s">
        <v>116</v>
      </c>
      <c r="J46" s="2" t="s">
        <v>112</v>
      </c>
      <c r="K46" s="2" t="s">
        <v>113</v>
      </c>
      <c r="O46"/>
      <c r="P46"/>
      <c r="Q46"/>
      <c r="R46"/>
      <c r="S46"/>
      <c r="T46"/>
      <c r="U46"/>
      <c r="V46"/>
      <c r="W46"/>
      <c r="X46"/>
      <c r="Y46"/>
    </row>
    <row r="47" spans="1:25" ht="15" x14ac:dyDescent="0.25">
      <c r="A47" s="22" t="s">
        <v>120</v>
      </c>
      <c r="B47" s="22">
        <v>234</v>
      </c>
      <c r="C47" s="22">
        <v>250</v>
      </c>
      <c r="D47" s="22">
        <v>484</v>
      </c>
      <c r="E47" s="22">
        <v>251</v>
      </c>
      <c r="F47" s="22">
        <v>44</v>
      </c>
      <c r="G47" s="22">
        <v>35</v>
      </c>
      <c r="H47" s="22">
        <v>20</v>
      </c>
      <c r="I47" s="22">
        <v>45</v>
      </c>
      <c r="J47" s="22">
        <v>120</v>
      </c>
      <c r="K47" s="22">
        <v>342</v>
      </c>
      <c r="O47"/>
      <c r="P47"/>
      <c r="Q47"/>
      <c r="R47"/>
      <c r="S47"/>
      <c r="T47"/>
      <c r="U47"/>
      <c r="V47"/>
      <c r="W47"/>
      <c r="X47"/>
      <c r="Y47"/>
    </row>
    <row r="48" spans="1:25" ht="15" x14ac:dyDescent="0.25">
      <c r="A48" s="23" t="s">
        <v>131</v>
      </c>
      <c r="B48" s="23">
        <v>218</v>
      </c>
      <c r="C48" s="23">
        <v>250</v>
      </c>
      <c r="D48" s="23">
        <v>468</v>
      </c>
      <c r="E48" s="23">
        <v>184</v>
      </c>
      <c r="F48" s="23">
        <v>15</v>
      </c>
      <c r="G48" s="23">
        <v>10</v>
      </c>
      <c r="H48" s="23">
        <v>7</v>
      </c>
      <c r="I48" s="23">
        <v>12</v>
      </c>
      <c r="J48" s="23">
        <v>145</v>
      </c>
      <c r="K48" s="23">
        <v>444</v>
      </c>
      <c r="O48"/>
      <c r="P48"/>
      <c r="Q48"/>
      <c r="R48"/>
      <c r="S48"/>
      <c r="T48"/>
      <c r="U48"/>
      <c r="V48"/>
      <c r="W48"/>
      <c r="X48"/>
      <c r="Y48"/>
    </row>
    <row r="49" spans="1:25" ht="15" x14ac:dyDescent="0.25">
      <c r="A49" s="23" t="s">
        <v>42</v>
      </c>
      <c r="B49" s="23">
        <v>760</v>
      </c>
      <c r="C49" s="23">
        <v>763</v>
      </c>
      <c r="D49" s="23">
        <v>1523</v>
      </c>
      <c r="E49" s="23">
        <v>268</v>
      </c>
      <c r="F49" s="23">
        <v>9</v>
      </c>
      <c r="G49" s="23">
        <v>38</v>
      </c>
      <c r="H49" s="23">
        <v>13</v>
      </c>
      <c r="I49" s="23">
        <v>25</v>
      </c>
      <c r="J49" s="23">
        <v>185</v>
      </c>
      <c r="K49" s="23">
        <v>1448</v>
      </c>
      <c r="O49"/>
      <c r="P49"/>
      <c r="Q49"/>
      <c r="R49"/>
      <c r="S49"/>
      <c r="T49"/>
      <c r="U49"/>
      <c r="V49"/>
      <c r="W49"/>
      <c r="X49"/>
      <c r="Y49"/>
    </row>
    <row r="50" spans="1:25" ht="15" x14ac:dyDescent="0.25">
      <c r="A50" s="23" t="s">
        <v>43</v>
      </c>
      <c r="B50" s="23">
        <v>901</v>
      </c>
      <c r="C50" s="23">
        <v>961</v>
      </c>
      <c r="D50" s="23">
        <v>1862</v>
      </c>
      <c r="E50" s="23">
        <v>821</v>
      </c>
      <c r="F50" s="23">
        <v>105</v>
      </c>
      <c r="G50" s="23">
        <v>74</v>
      </c>
      <c r="H50" s="23">
        <v>5</v>
      </c>
      <c r="I50" s="23">
        <v>64</v>
      </c>
      <c r="J50" s="23">
        <v>597</v>
      </c>
      <c r="K50" s="23">
        <v>1627</v>
      </c>
      <c r="O50"/>
      <c r="P50"/>
      <c r="Q50"/>
      <c r="R50"/>
      <c r="S50"/>
      <c r="T50"/>
      <c r="U50"/>
      <c r="V50"/>
      <c r="W50"/>
      <c r="X50"/>
      <c r="Y50"/>
    </row>
    <row r="51" spans="1:25" ht="15" x14ac:dyDescent="0.25">
      <c r="A51" s="24" t="s">
        <v>44</v>
      </c>
      <c r="B51" s="24">
        <v>84</v>
      </c>
      <c r="C51" s="24">
        <v>96</v>
      </c>
      <c r="D51" s="24">
        <v>180</v>
      </c>
      <c r="E51" s="24">
        <v>24</v>
      </c>
      <c r="F51" s="24">
        <v>10</v>
      </c>
      <c r="G51" s="24">
        <v>1</v>
      </c>
      <c r="H51" s="24">
        <v>1</v>
      </c>
      <c r="I51" s="24">
        <v>1</v>
      </c>
      <c r="J51" s="24">
        <v>11</v>
      </c>
      <c r="K51" s="24">
        <v>169</v>
      </c>
      <c r="O51"/>
      <c r="P51"/>
      <c r="Q51"/>
      <c r="R51"/>
      <c r="S51"/>
      <c r="T51"/>
      <c r="U51"/>
      <c r="V51"/>
      <c r="W51"/>
      <c r="X51"/>
      <c r="Y51"/>
    </row>
    <row r="52" spans="1:25" ht="15" x14ac:dyDescent="0.25">
      <c r="A52" s="23" t="s">
        <v>121</v>
      </c>
      <c r="B52" s="23">
        <v>40</v>
      </c>
      <c r="C52" s="23">
        <v>98</v>
      </c>
      <c r="D52" s="23">
        <v>138</v>
      </c>
      <c r="E52" s="23">
        <v>21</v>
      </c>
      <c r="F52" s="23">
        <v>7</v>
      </c>
      <c r="G52" s="23">
        <v>2</v>
      </c>
      <c r="H52" s="23">
        <v>1</v>
      </c>
      <c r="I52" s="23">
        <v>2</v>
      </c>
      <c r="J52" s="23">
        <v>9</v>
      </c>
      <c r="K52" s="23">
        <v>126</v>
      </c>
      <c r="O52"/>
      <c r="P52"/>
      <c r="Q52"/>
      <c r="R52"/>
      <c r="S52"/>
      <c r="T52"/>
      <c r="U52"/>
      <c r="V52"/>
      <c r="W52"/>
      <c r="X52"/>
      <c r="Y52"/>
    </row>
    <row r="53" spans="1:25" ht="15" x14ac:dyDescent="0.25">
      <c r="A53" s="23" t="s">
        <v>45</v>
      </c>
      <c r="B53" s="23">
        <v>278</v>
      </c>
      <c r="C53" s="23">
        <v>251</v>
      </c>
      <c r="D53" s="23">
        <v>529</v>
      </c>
      <c r="E53" s="23">
        <v>72</v>
      </c>
      <c r="F53" s="23">
        <v>15</v>
      </c>
      <c r="G53" s="23">
        <v>13</v>
      </c>
      <c r="H53" s="23">
        <v>2</v>
      </c>
      <c r="I53" s="23">
        <v>5</v>
      </c>
      <c r="J53" s="23">
        <v>40</v>
      </c>
      <c r="K53" s="23">
        <v>503</v>
      </c>
      <c r="O53"/>
      <c r="P53"/>
      <c r="Q53"/>
      <c r="R53"/>
      <c r="S53"/>
      <c r="T53"/>
      <c r="U53"/>
      <c r="V53"/>
      <c r="W53"/>
      <c r="X53"/>
      <c r="Y53"/>
    </row>
    <row r="54" spans="1:25" ht="15" x14ac:dyDescent="0.25">
      <c r="A54" s="23" t="s">
        <v>46</v>
      </c>
      <c r="B54" s="23">
        <v>329</v>
      </c>
      <c r="C54" s="23">
        <v>340</v>
      </c>
      <c r="D54" s="23">
        <v>669</v>
      </c>
      <c r="E54" s="23">
        <v>74</v>
      </c>
      <c r="F54" s="23">
        <v>29</v>
      </c>
      <c r="G54" s="23">
        <v>6</v>
      </c>
      <c r="H54" s="23">
        <v>1</v>
      </c>
      <c r="I54" s="23">
        <v>8</v>
      </c>
      <c r="J54" s="23">
        <v>32</v>
      </c>
      <c r="K54" s="23">
        <v>625</v>
      </c>
      <c r="O54"/>
      <c r="P54"/>
      <c r="Q54"/>
      <c r="R54"/>
      <c r="S54"/>
      <c r="T54"/>
      <c r="U54"/>
      <c r="V54"/>
      <c r="W54"/>
      <c r="X54"/>
      <c r="Y54"/>
    </row>
    <row r="55" spans="1:25" ht="15" x14ac:dyDescent="0.25">
      <c r="A55" s="23" t="s">
        <v>47</v>
      </c>
      <c r="B55" s="23">
        <v>116</v>
      </c>
      <c r="C55" s="23">
        <v>91</v>
      </c>
      <c r="D55" s="23">
        <v>207</v>
      </c>
      <c r="E55" s="23">
        <v>55</v>
      </c>
      <c r="F55" s="23">
        <v>9</v>
      </c>
      <c r="G55" s="23">
        <v>10</v>
      </c>
      <c r="H55" s="23">
        <v>6</v>
      </c>
      <c r="I55" s="23">
        <v>1</v>
      </c>
      <c r="J55" s="23">
        <v>35</v>
      </c>
      <c r="K55" s="23">
        <v>195</v>
      </c>
      <c r="O55"/>
      <c r="P55"/>
      <c r="Q55"/>
      <c r="R55"/>
      <c r="S55"/>
      <c r="T55"/>
      <c r="U55"/>
      <c r="V55"/>
      <c r="W55"/>
      <c r="X55"/>
      <c r="Y55"/>
    </row>
    <row r="56" spans="1:25" ht="15" x14ac:dyDescent="0.25">
      <c r="A56" s="24" t="s">
        <v>48</v>
      </c>
      <c r="B56" s="24">
        <v>201</v>
      </c>
      <c r="C56" s="24">
        <v>258</v>
      </c>
      <c r="D56" s="24">
        <v>459</v>
      </c>
      <c r="E56" s="24">
        <v>73</v>
      </c>
      <c r="F56" s="24">
        <v>2</v>
      </c>
      <c r="G56" s="24">
        <v>6</v>
      </c>
      <c r="H56" s="24">
        <v>1</v>
      </c>
      <c r="I56" s="24">
        <v>10</v>
      </c>
      <c r="J56" s="24">
        <v>54</v>
      </c>
      <c r="K56" s="24">
        <v>446</v>
      </c>
      <c r="O56"/>
      <c r="P56"/>
      <c r="Q56"/>
      <c r="R56"/>
      <c r="S56"/>
      <c r="T56"/>
      <c r="U56"/>
      <c r="V56"/>
      <c r="W56"/>
      <c r="X56"/>
      <c r="Y56"/>
    </row>
    <row r="57" spans="1:25" ht="15" x14ac:dyDescent="0.25">
      <c r="A57" s="23" t="s">
        <v>122</v>
      </c>
      <c r="B57" s="23">
        <v>458</v>
      </c>
      <c r="C57" s="23">
        <v>477</v>
      </c>
      <c r="D57" s="23">
        <v>935</v>
      </c>
      <c r="E57" s="23">
        <v>111</v>
      </c>
      <c r="F57" s="23">
        <v>9</v>
      </c>
      <c r="G57" s="23">
        <v>20</v>
      </c>
      <c r="H57" s="23">
        <v>3</v>
      </c>
      <c r="I57" s="23">
        <v>12</v>
      </c>
      <c r="J57" s="23">
        <v>73</v>
      </c>
      <c r="K57" s="23">
        <v>906</v>
      </c>
      <c r="O57"/>
      <c r="P57"/>
      <c r="Q57"/>
      <c r="R57"/>
      <c r="S57"/>
      <c r="T57"/>
      <c r="U57"/>
      <c r="V57"/>
      <c r="W57"/>
      <c r="X57"/>
      <c r="Y57"/>
    </row>
    <row r="58" spans="1:25" ht="15" x14ac:dyDescent="0.25">
      <c r="A58" s="23" t="s">
        <v>49</v>
      </c>
      <c r="B58" s="23">
        <v>222</v>
      </c>
      <c r="C58" s="23">
        <v>220</v>
      </c>
      <c r="D58" s="23">
        <v>442</v>
      </c>
      <c r="E58" s="23">
        <v>385</v>
      </c>
      <c r="F58" s="23">
        <v>2</v>
      </c>
      <c r="G58" s="23">
        <v>10</v>
      </c>
      <c r="H58" s="23">
        <v>7</v>
      </c>
      <c r="I58" s="23">
        <v>8</v>
      </c>
      <c r="J58" s="23">
        <v>367</v>
      </c>
      <c r="K58" s="23">
        <v>366</v>
      </c>
      <c r="O58"/>
      <c r="P58"/>
      <c r="Q58"/>
      <c r="R58"/>
      <c r="S58"/>
      <c r="T58"/>
      <c r="U58"/>
      <c r="V58"/>
      <c r="W58"/>
      <c r="X58"/>
      <c r="Y58"/>
    </row>
    <row r="59" spans="1:25" ht="15" x14ac:dyDescent="0.25">
      <c r="A59" s="23" t="s">
        <v>50</v>
      </c>
      <c r="B59" s="23">
        <v>345</v>
      </c>
      <c r="C59" s="23">
        <v>406</v>
      </c>
      <c r="D59" s="23">
        <v>751</v>
      </c>
      <c r="E59" s="23">
        <v>85</v>
      </c>
      <c r="F59" s="23">
        <v>16</v>
      </c>
      <c r="G59" s="23">
        <v>12</v>
      </c>
      <c r="H59" s="23">
        <v>5</v>
      </c>
      <c r="I59" s="23">
        <v>11</v>
      </c>
      <c r="J59" s="23">
        <v>43</v>
      </c>
      <c r="K59" s="23">
        <v>726</v>
      </c>
      <c r="O59"/>
      <c r="P59"/>
      <c r="Q59"/>
      <c r="R59"/>
      <c r="S59"/>
      <c r="T59"/>
      <c r="U59"/>
      <c r="V59"/>
      <c r="W59"/>
      <c r="X59"/>
      <c r="Y59"/>
    </row>
    <row r="60" spans="1:25" ht="15" x14ac:dyDescent="0.25">
      <c r="A60" s="23" t="s">
        <v>51</v>
      </c>
      <c r="B60" s="23">
        <v>169</v>
      </c>
      <c r="C60" s="23">
        <v>144</v>
      </c>
      <c r="D60" s="23">
        <v>313</v>
      </c>
      <c r="E60" s="23">
        <v>86</v>
      </c>
      <c r="F60" s="23">
        <v>1</v>
      </c>
      <c r="G60" s="23">
        <v>0</v>
      </c>
      <c r="H60" s="23">
        <v>0</v>
      </c>
      <c r="I60" s="23">
        <v>0</v>
      </c>
      <c r="J60" s="23">
        <v>85</v>
      </c>
      <c r="K60" s="23">
        <v>312</v>
      </c>
      <c r="O60"/>
      <c r="P60"/>
      <c r="Q60"/>
      <c r="R60"/>
      <c r="S60"/>
      <c r="T60"/>
      <c r="U60"/>
      <c r="V60"/>
      <c r="W60"/>
      <c r="X60"/>
      <c r="Y60"/>
    </row>
    <row r="61" spans="1:25" ht="15" x14ac:dyDescent="0.25">
      <c r="A61" s="24" t="s">
        <v>52</v>
      </c>
      <c r="B61" s="24">
        <v>155</v>
      </c>
      <c r="C61" s="24">
        <v>141</v>
      </c>
      <c r="D61" s="24">
        <v>296</v>
      </c>
      <c r="E61" s="24">
        <v>47</v>
      </c>
      <c r="F61" s="24">
        <v>14</v>
      </c>
      <c r="G61" s="24">
        <v>7</v>
      </c>
      <c r="H61" s="24">
        <v>1</v>
      </c>
      <c r="I61" s="24">
        <v>4</v>
      </c>
      <c r="J61" s="24">
        <v>23</v>
      </c>
      <c r="K61" s="24">
        <v>278</v>
      </c>
      <c r="O61"/>
      <c r="P61"/>
      <c r="Q61"/>
      <c r="R61"/>
      <c r="S61"/>
      <c r="T61"/>
      <c r="U61"/>
      <c r="V61"/>
      <c r="W61"/>
      <c r="X61"/>
      <c r="Y61"/>
    </row>
    <row r="62" spans="1:25" ht="15" x14ac:dyDescent="0.25">
      <c r="A62" s="23" t="s">
        <v>132</v>
      </c>
      <c r="B62" s="23">
        <v>149</v>
      </c>
      <c r="C62" s="23">
        <v>150</v>
      </c>
      <c r="D62" s="23">
        <v>299</v>
      </c>
      <c r="E62" s="23">
        <v>72</v>
      </c>
      <c r="F62" s="23">
        <v>2</v>
      </c>
      <c r="G62" s="23">
        <v>8</v>
      </c>
      <c r="H62" s="23">
        <v>0</v>
      </c>
      <c r="I62" s="23">
        <v>1</v>
      </c>
      <c r="J62" s="23">
        <v>66</v>
      </c>
      <c r="K62" s="23">
        <v>289</v>
      </c>
      <c r="O62"/>
      <c r="P62"/>
      <c r="Q62"/>
      <c r="R62"/>
      <c r="S62"/>
      <c r="T62"/>
      <c r="U62"/>
      <c r="V62"/>
      <c r="W62"/>
      <c r="X62"/>
      <c r="Y62"/>
    </row>
    <row r="63" spans="1:25" ht="15" x14ac:dyDescent="0.25">
      <c r="A63" s="23" t="s">
        <v>53</v>
      </c>
      <c r="B63" s="23">
        <v>251</v>
      </c>
      <c r="C63" s="23">
        <v>272</v>
      </c>
      <c r="D63" s="23">
        <v>523</v>
      </c>
      <c r="E63" s="23">
        <v>112</v>
      </c>
      <c r="F63" s="23">
        <v>10</v>
      </c>
      <c r="G63" s="23">
        <v>14</v>
      </c>
      <c r="H63" s="23">
        <v>2</v>
      </c>
      <c r="I63" s="23">
        <v>19</v>
      </c>
      <c r="J63" s="23">
        <v>74</v>
      </c>
      <c r="K63" s="23">
        <v>494</v>
      </c>
      <c r="O63"/>
      <c r="P63"/>
      <c r="Q63"/>
      <c r="R63"/>
      <c r="S63"/>
      <c r="T63"/>
      <c r="U63"/>
      <c r="V63"/>
      <c r="W63"/>
      <c r="X63"/>
      <c r="Y63"/>
    </row>
    <row r="64" spans="1:25" ht="15" x14ac:dyDescent="0.25">
      <c r="A64" s="23" t="s">
        <v>54</v>
      </c>
      <c r="B64" s="23">
        <v>334</v>
      </c>
      <c r="C64" s="23">
        <v>345</v>
      </c>
      <c r="D64" s="23">
        <v>679</v>
      </c>
      <c r="E64" s="23">
        <v>71</v>
      </c>
      <c r="F64" s="23">
        <v>7</v>
      </c>
      <c r="G64" s="23">
        <v>4</v>
      </c>
      <c r="H64" s="23">
        <v>12</v>
      </c>
      <c r="I64" s="23">
        <v>4</v>
      </c>
      <c r="J64" s="23">
        <v>44</v>
      </c>
      <c r="K64" s="23">
        <v>661</v>
      </c>
      <c r="O64"/>
      <c r="P64"/>
      <c r="Q64"/>
      <c r="R64"/>
      <c r="S64"/>
      <c r="T64"/>
      <c r="U64"/>
      <c r="V64"/>
      <c r="W64"/>
      <c r="X64"/>
      <c r="Y64"/>
    </row>
    <row r="65" spans="1:25" ht="15" x14ac:dyDescent="0.25">
      <c r="A65" s="23" t="s">
        <v>55</v>
      </c>
      <c r="B65" s="23">
        <v>105</v>
      </c>
      <c r="C65" s="23">
        <v>115</v>
      </c>
      <c r="D65" s="23">
        <v>220</v>
      </c>
      <c r="E65" s="23">
        <v>50</v>
      </c>
      <c r="F65" s="23">
        <v>2</v>
      </c>
      <c r="G65" s="23">
        <v>7</v>
      </c>
      <c r="H65" s="23">
        <v>9</v>
      </c>
      <c r="I65" s="23">
        <v>2</v>
      </c>
      <c r="J65" s="23">
        <v>36</v>
      </c>
      <c r="K65" s="23">
        <v>206</v>
      </c>
      <c r="O65"/>
      <c r="P65"/>
      <c r="Q65"/>
      <c r="R65"/>
      <c r="S65"/>
      <c r="T65"/>
      <c r="U65"/>
      <c r="V65"/>
      <c r="W65"/>
      <c r="X65"/>
      <c r="Y65"/>
    </row>
    <row r="66" spans="1:25" ht="15" x14ac:dyDescent="0.25">
      <c r="A66" s="24" t="s">
        <v>56</v>
      </c>
      <c r="B66" s="24">
        <v>387</v>
      </c>
      <c r="C66" s="24">
        <v>310</v>
      </c>
      <c r="D66" s="24">
        <v>697</v>
      </c>
      <c r="E66" s="24">
        <v>200</v>
      </c>
      <c r="F66" s="24">
        <v>26</v>
      </c>
      <c r="G66" s="24">
        <v>6</v>
      </c>
      <c r="H66" s="24">
        <v>1</v>
      </c>
      <c r="I66" s="24">
        <v>20</v>
      </c>
      <c r="J66" s="24">
        <v>149</v>
      </c>
      <c r="K66" s="24">
        <v>650</v>
      </c>
      <c r="O66"/>
      <c r="P66"/>
      <c r="Q66"/>
      <c r="R66"/>
      <c r="S66"/>
      <c r="T66"/>
      <c r="U66"/>
      <c r="V66"/>
      <c r="W66"/>
      <c r="X66"/>
      <c r="Y66"/>
    </row>
    <row r="67" spans="1:25" ht="15" x14ac:dyDescent="0.25">
      <c r="A67" s="23" t="s">
        <v>57</v>
      </c>
      <c r="B67" s="23">
        <v>313</v>
      </c>
      <c r="C67" s="23">
        <v>339</v>
      </c>
      <c r="D67" s="23">
        <v>652</v>
      </c>
      <c r="E67" s="23">
        <v>69</v>
      </c>
      <c r="F67" s="23">
        <v>15</v>
      </c>
      <c r="G67" s="23">
        <v>4</v>
      </c>
      <c r="H67" s="23">
        <v>9</v>
      </c>
      <c r="I67" s="23">
        <v>13</v>
      </c>
      <c r="J67" s="23">
        <v>34</v>
      </c>
      <c r="K67" s="23">
        <v>617</v>
      </c>
      <c r="O67"/>
      <c r="P67"/>
      <c r="Q67"/>
      <c r="R67"/>
      <c r="S67"/>
      <c r="T67"/>
      <c r="U67"/>
      <c r="V67"/>
      <c r="W67"/>
      <c r="X67"/>
      <c r="Y67"/>
    </row>
    <row r="68" spans="1:25" ht="15" x14ac:dyDescent="0.25">
      <c r="A68" s="23" t="s">
        <v>106</v>
      </c>
      <c r="B68" s="23">
        <v>457</v>
      </c>
      <c r="C68" s="23">
        <v>464</v>
      </c>
      <c r="D68" s="23">
        <v>921</v>
      </c>
      <c r="E68" s="23">
        <v>147</v>
      </c>
      <c r="F68" s="23">
        <v>44</v>
      </c>
      <c r="G68" s="23">
        <v>21</v>
      </c>
      <c r="H68" s="23">
        <v>20</v>
      </c>
      <c r="I68" s="23">
        <v>42</v>
      </c>
      <c r="J68" s="23">
        <v>47</v>
      </c>
      <c r="K68" s="23">
        <v>853</v>
      </c>
      <c r="O68"/>
      <c r="P68"/>
      <c r="Q68"/>
      <c r="R68"/>
      <c r="S68"/>
      <c r="T68"/>
      <c r="U68"/>
      <c r="V68"/>
      <c r="W68"/>
      <c r="X68"/>
      <c r="Y68"/>
    </row>
    <row r="69" spans="1:25" ht="15" x14ac:dyDescent="0.25">
      <c r="A69" s="23" t="s">
        <v>58</v>
      </c>
      <c r="B69" s="23">
        <v>201</v>
      </c>
      <c r="C69" s="23">
        <v>212</v>
      </c>
      <c r="D69" s="23">
        <v>413</v>
      </c>
      <c r="E69" s="23">
        <v>64</v>
      </c>
      <c r="F69" s="23">
        <v>11</v>
      </c>
      <c r="G69" s="23">
        <v>10</v>
      </c>
      <c r="H69" s="23">
        <v>1</v>
      </c>
      <c r="I69" s="23">
        <v>7</v>
      </c>
      <c r="J69" s="23">
        <v>41</v>
      </c>
      <c r="K69" s="23">
        <v>403</v>
      </c>
      <c r="O69"/>
      <c r="P69"/>
      <c r="Q69"/>
      <c r="R69"/>
      <c r="S69"/>
      <c r="T69"/>
      <c r="U69"/>
      <c r="V69"/>
      <c r="W69"/>
      <c r="X69"/>
      <c r="Y69"/>
    </row>
    <row r="70" spans="1:25" ht="15" x14ac:dyDescent="0.25">
      <c r="A70" s="23" t="s">
        <v>123</v>
      </c>
      <c r="B70" s="23">
        <v>63</v>
      </c>
      <c r="C70" s="23">
        <v>63</v>
      </c>
      <c r="D70" s="23">
        <v>126</v>
      </c>
      <c r="E70" s="23">
        <v>121</v>
      </c>
      <c r="F70" s="23">
        <v>2</v>
      </c>
      <c r="G70" s="23">
        <v>2</v>
      </c>
      <c r="H70" s="23">
        <v>52</v>
      </c>
      <c r="I70" s="23">
        <v>0</v>
      </c>
      <c r="J70" s="23">
        <v>119</v>
      </c>
      <c r="K70" s="23">
        <v>77</v>
      </c>
      <c r="O70"/>
      <c r="P70"/>
      <c r="Q70"/>
      <c r="R70"/>
      <c r="S70"/>
      <c r="T70"/>
      <c r="U70"/>
      <c r="V70"/>
      <c r="W70"/>
      <c r="X70"/>
      <c r="Y70"/>
    </row>
    <row r="71" spans="1:25" ht="15" x14ac:dyDescent="0.25">
      <c r="A71" s="24" t="s">
        <v>59</v>
      </c>
      <c r="B71" s="24">
        <v>424</v>
      </c>
      <c r="C71" s="24">
        <v>389</v>
      </c>
      <c r="D71" s="24">
        <v>813</v>
      </c>
      <c r="E71" s="24">
        <v>120</v>
      </c>
      <c r="F71" s="24">
        <v>26</v>
      </c>
      <c r="G71" s="24">
        <v>13</v>
      </c>
      <c r="H71" s="24">
        <v>3</v>
      </c>
      <c r="I71" s="24">
        <v>10</v>
      </c>
      <c r="J71" s="24">
        <v>70</v>
      </c>
      <c r="K71" s="24">
        <v>776</v>
      </c>
      <c r="O71"/>
      <c r="P71"/>
      <c r="Q71"/>
      <c r="R71"/>
      <c r="S71"/>
      <c r="T71"/>
      <c r="U71"/>
      <c r="V71"/>
      <c r="W71"/>
      <c r="X71"/>
      <c r="Y71"/>
    </row>
    <row r="72" spans="1:25" ht="15" x14ac:dyDescent="0.25">
      <c r="A72" s="23" t="s">
        <v>60</v>
      </c>
      <c r="B72" s="23">
        <v>68</v>
      </c>
      <c r="C72" s="23">
        <v>93</v>
      </c>
      <c r="D72" s="23">
        <v>161</v>
      </c>
      <c r="E72" s="23">
        <v>40</v>
      </c>
      <c r="F72" s="23">
        <v>15</v>
      </c>
      <c r="G72" s="23">
        <v>0</v>
      </c>
      <c r="H72" s="23">
        <v>0</v>
      </c>
      <c r="I72" s="23">
        <v>0</v>
      </c>
      <c r="J72" s="23">
        <v>27</v>
      </c>
      <c r="K72" s="23">
        <v>146</v>
      </c>
      <c r="O72"/>
      <c r="P72"/>
      <c r="Q72"/>
      <c r="R72"/>
      <c r="S72"/>
      <c r="T72"/>
      <c r="U72"/>
      <c r="V72"/>
      <c r="W72"/>
      <c r="X72"/>
      <c r="Y72"/>
    </row>
    <row r="73" spans="1:25" ht="15" x14ac:dyDescent="0.25">
      <c r="A73" s="23" t="s">
        <v>61</v>
      </c>
      <c r="B73" s="23">
        <v>133</v>
      </c>
      <c r="C73" s="23">
        <v>121</v>
      </c>
      <c r="D73" s="23">
        <v>254</v>
      </c>
      <c r="E73" s="23">
        <v>70</v>
      </c>
      <c r="F73" s="23">
        <v>17</v>
      </c>
      <c r="G73" s="23">
        <v>3</v>
      </c>
      <c r="H73" s="23">
        <v>21</v>
      </c>
      <c r="I73" s="23">
        <v>5</v>
      </c>
      <c r="J73" s="23">
        <v>45</v>
      </c>
      <c r="K73" s="23">
        <v>216</v>
      </c>
      <c r="O73"/>
      <c r="P73"/>
      <c r="Q73"/>
      <c r="R73"/>
      <c r="S73"/>
      <c r="T73"/>
      <c r="U73"/>
      <c r="V73"/>
      <c r="W73"/>
      <c r="X73"/>
      <c r="Y73"/>
    </row>
    <row r="74" spans="1:25" ht="15" x14ac:dyDescent="0.25">
      <c r="A74" s="23" t="s">
        <v>62</v>
      </c>
      <c r="B74" s="23">
        <v>88</v>
      </c>
      <c r="C74" s="23">
        <v>100</v>
      </c>
      <c r="D74" s="23">
        <v>188</v>
      </c>
      <c r="E74" s="23">
        <v>24</v>
      </c>
      <c r="F74" s="23">
        <v>14</v>
      </c>
      <c r="G74" s="23">
        <v>1</v>
      </c>
      <c r="H74" s="23">
        <v>0</v>
      </c>
      <c r="I74" s="23">
        <v>4</v>
      </c>
      <c r="J74" s="23">
        <v>8</v>
      </c>
      <c r="K74" s="23">
        <v>173</v>
      </c>
      <c r="O74"/>
      <c r="P74"/>
      <c r="Q74"/>
      <c r="R74"/>
      <c r="S74"/>
      <c r="T74"/>
      <c r="U74"/>
      <c r="V74"/>
      <c r="W74"/>
      <c r="X74"/>
      <c r="Y74"/>
    </row>
    <row r="75" spans="1:25" ht="15" x14ac:dyDescent="0.25">
      <c r="A75" s="23" t="s">
        <v>124</v>
      </c>
      <c r="B75" s="23">
        <v>319</v>
      </c>
      <c r="C75" s="23">
        <v>307</v>
      </c>
      <c r="D75" s="23">
        <v>626</v>
      </c>
      <c r="E75" s="23">
        <v>81</v>
      </c>
      <c r="F75" s="23">
        <v>28</v>
      </c>
      <c r="G75" s="23">
        <v>3</v>
      </c>
      <c r="H75" s="23">
        <v>4</v>
      </c>
      <c r="I75" s="23">
        <v>11</v>
      </c>
      <c r="J75" s="23">
        <v>39</v>
      </c>
      <c r="K75" s="23">
        <v>598</v>
      </c>
      <c r="O75"/>
      <c r="P75"/>
      <c r="Q75"/>
      <c r="R75"/>
      <c r="S75"/>
      <c r="T75"/>
      <c r="U75"/>
      <c r="V75"/>
      <c r="W75"/>
      <c r="X75"/>
      <c r="Y75"/>
    </row>
    <row r="76" spans="1:25" ht="15" x14ac:dyDescent="0.25">
      <c r="A76" s="24" t="s">
        <v>63</v>
      </c>
      <c r="B76" s="24">
        <v>326</v>
      </c>
      <c r="C76" s="24">
        <v>401</v>
      </c>
      <c r="D76" s="24">
        <v>727</v>
      </c>
      <c r="E76" s="24">
        <v>57</v>
      </c>
      <c r="F76" s="24">
        <v>3</v>
      </c>
      <c r="G76" s="24">
        <v>4</v>
      </c>
      <c r="H76" s="24">
        <v>0</v>
      </c>
      <c r="I76" s="24">
        <v>12</v>
      </c>
      <c r="J76" s="24">
        <v>38</v>
      </c>
      <c r="K76" s="24">
        <v>708</v>
      </c>
      <c r="O76"/>
      <c r="P76"/>
      <c r="Q76"/>
      <c r="R76"/>
      <c r="S76"/>
      <c r="T76"/>
      <c r="U76"/>
      <c r="V76"/>
      <c r="W76"/>
      <c r="X76"/>
      <c r="Y76"/>
    </row>
    <row r="77" spans="1:25" ht="15" x14ac:dyDescent="0.25">
      <c r="A77" s="23" t="s">
        <v>64</v>
      </c>
      <c r="B77" s="23">
        <v>482</v>
      </c>
      <c r="C77" s="23">
        <v>511</v>
      </c>
      <c r="D77" s="23">
        <v>993</v>
      </c>
      <c r="E77" s="23">
        <v>121</v>
      </c>
      <c r="F77" s="23">
        <v>24</v>
      </c>
      <c r="G77" s="23">
        <v>13</v>
      </c>
      <c r="H77" s="23">
        <v>8</v>
      </c>
      <c r="I77" s="23">
        <v>45</v>
      </c>
      <c r="J77" s="23">
        <v>43</v>
      </c>
      <c r="K77" s="23">
        <v>942</v>
      </c>
      <c r="O77"/>
      <c r="P77"/>
      <c r="Q77"/>
      <c r="R77"/>
      <c r="S77"/>
      <c r="T77"/>
      <c r="U77"/>
      <c r="V77"/>
      <c r="W77"/>
      <c r="X77"/>
      <c r="Y77"/>
    </row>
    <row r="78" spans="1:25" ht="15" x14ac:dyDescent="0.25">
      <c r="A78" s="23" t="s">
        <v>65</v>
      </c>
      <c r="B78" s="23">
        <v>223</v>
      </c>
      <c r="C78" s="23">
        <v>237</v>
      </c>
      <c r="D78" s="23">
        <v>460</v>
      </c>
      <c r="E78" s="23">
        <v>44</v>
      </c>
      <c r="F78" s="23">
        <v>23</v>
      </c>
      <c r="G78" s="23">
        <v>2</v>
      </c>
      <c r="H78" s="23">
        <v>2</v>
      </c>
      <c r="I78" s="23">
        <v>2</v>
      </c>
      <c r="J78" s="23">
        <v>16</v>
      </c>
      <c r="K78" s="23">
        <v>454</v>
      </c>
      <c r="O78"/>
      <c r="P78"/>
      <c r="Q78"/>
      <c r="R78"/>
      <c r="S78"/>
      <c r="T78"/>
      <c r="U78"/>
      <c r="V78"/>
      <c r="W78"/>
      <c r="X78"/>
      <c r="Y78"/>
    </row>
    <row r="79" spans="1:25" ht="15" x14ac:dyDescent="0.25">
      <c r="A79" s="23" t="s">
        <v>107</v>
      </c>
      <c r="B79" s="23">
        <v>289</v>
      </c>
      <c r="C79" s="23">
        <v>354</v>
      </c>
      <c r="D79" s="23">
        <v>643</v>
      </c>
      <c r="E79" s="23">
        <v>73</v>
      </c>
      <c r="F79" s="23">
        <v>19</v>
      </c>
      <c r="G79" s="23">
        <v>10</v>
      </c>
      <c r="H79" s="23">
        <v>4</v>
      </c>
      <c r="I79" s="23">
        <v>18</v>
      </c>
      <c r="J79" s="23">
        <v>33</v>
      </c>
      <c r="K79" s="23">
        <v>627</v>
      </c>
      <c r="O79"/>
      <c r="P79"/>
      <c r="Q79"/>
      <c r="R79"/>
      <c r="S79"/>
      <c r="T79"/>
      <c r="U79"/>
      <c r="V79"/>
      <c r="W79"/>
      <c r="X79"/>
      <c r="Y79"/>
    </row>
    <row r="80" spans="1:25" ht="15" x14ac:dyDescent="0.25">
      <c r="A80" s="23" t="s">
        <v>66</v>
      </c>
      <c r="B80" s="23">
        <v>243</v>
      </c>
      <c r="C80" s="23">
        <v>247</v>
      </c>
      <c r="D80" s="23">
        <v>490</v>
      </c>
      <c r="E80" s="23">
        <v>52</v>
      </c>
      <c r="F80" s="23">
        <v>14</v>
      </c>
      <c r="G80" s="23">
        <v>1</v>
      </c>
      <c r="H80" s="23">
        <v>1</v>
      </c>
      <c r="I80" s="23">
        <v>5</v>
      </c>
      <c r="J80" s="23">
        <v>36</v>
      </c>
      <c r="K80" s="23">
        <v>481</v>
      </c>
      <c r="O80"/>
      <c r="P80"/>
      <c r="Q80"/>
      <c r="R80"/>
      <c r="S80"/>
      <c r="T80"/>
      <c r="U80"/>
      <c r="V80"/>
      <c r="W80"/>
      <c r="X80"/>
      <c r="Y80"/>
    </row>
    <row r="81" spans="1:25" ht="15" x14ac:dyDescent="0.25">
      <c r="A81" s="24" t="s">
        <v>67</v>
      </c>
      <c r="B81" s="24">
        <v>331</v>
      </c>
      <c r="C81" s="24">
        <v>270</v>
      </c>
      <c r="D81" s="24">
        <v>601</v>
      </c>
      <c r="E81" s="24">
        <v>83</v>
      </c>
      <c r="F81" s="24">
        <v>4</v>
      </c>
      <c r="G81" s="24">
        <v>6</v>
      </c>
      <c r="H81" s="24">
        <v>4</v>
      </c>
      <c r="I81" s="24">
        <v>10</v>
      </c>
      <c r="J81" s="24">
        <v>60</v>
      </c>
      <c r="K81" s="24">
        <v>587</v>
      </c>
      <c r="O81"/>
      <c r="P81"/>
      <c r="Q81"/>
      <c r="R81"/>
      <c r="S81"/>
      <c r="T81"/>
      <c r="U81"/>
      <c r="V81"/>
      <c r="W81"/>
      <c r="X81"/>
      <c r="Y81"/>
    </row>
    <row r="82" spans="1:25" ht="15" x14ac:dyDescent="0.25">
      <c r="A82" s="23" t="s">
        <v>68</v>
      </c>
      <c r="B82" s="23">
        <v>35</v>
      </c>
      <c r="C82" s="23">
        <v>43</v>
      </c>
      <c r="D82" s="23">
        <v>78</v>
      </c>
      <c r="E82" s="23">
        <v>8</v>
      </c>
      <c r="F82" s="23">
        <v>2</v>
      </c>
      <c r="G82" s="23">
        <v>0</v>
      </c>
      <c r="H82" s="23">
        <v>4</v>
      </c>
      <c r="I82" s="23">
        <v>0</v>
      </c>
      <c r="J82" s="23">
        <v>2</v>
      </c>
      <c r="K82" s="23">
        <v>72</v>
      </c>
      <c r="O82"/>
      <c r="P82"/>
      <c r="Q82"/>
      <c r="R82"/>
      <c r="S82"/>
      <c r="T82"/>
      <c r="U82"/>
      <c r="V82"/>
      <c r="W82"/>
      <c r="X82"/>
      <c r="Y82"/>
    </row>
    <row r="83" spans="1:25" ht="15" x14ac:dyDescent="0.25">
      <c r="A83" s="23" t="s">
        <v>69</v>
      </c>
      <c r="B83" s="23">
        <v>386</v>
      </c>
      <c r="C83" s="23">
        <v>355</v>
      </c>
      <c r="D83" s="23">
        <v>741</v>
      </c>
      <c r="E83" s="23">
        <v>257</v>
      </c>
      <c r="F83" s="23">
        <v>42</v>
      </c>
      <c r="G83" s="23">
        <v>15</v>
      </c>
      <c r="H83" s="23">
        <v>2</v>
      </c>
      <c r="I83" s="23">
        <v>45</v>
      </c>
      <c r="J83" s="23">
        <v>158</v>
      </c>
      <c r="K83" s="23">
        <v>659</v>
      </c>
      <c r="O83"/>
      <c r="P83"/>
      <c r="Q83"/>
      <c r="R83"/>
      <c r="S83"/>
      <c r="T83"/>
      <c r="U83"/>
      <c r="V83"/>
      <c r="W83"/>
      <c r="X83"/>
      <c r="Y83"/>
    </row>
    <row r="84" spans="1:25" ht="15" x14ac:dyDescent="0.25">
      <c r="A84" s="23" t="s">
        <v>70</v>
      </c>
      <c r="B84" s="23">
        <v>394</v>
      </c>
      <c r="C84" s="23">
        <v>353</v>
      </c>
      <c r="D84" s="23">
        <v>747</v>
      </c>
      <c r="E84" s="23">
        <v>86</v>
      </c>
      <c r="F84" s="23">
        <v>32</v>
      </c>
      <c r="G84" s="23">
        <v>11</v>
      </c>
      <c r="H84" s="23">
        <v>4</v>
      </c>
      <c r="I84" s="23">
        <v>8</v>
      </c>
      <c r="J84" s="23">
        <v>35</v>
      </c>
      <c r="K84" s="23">
        <v>707</v>
      </c>
      <c r="O84"/>
      <c r="P84"/>
      <c r="Q84"/>
      <c r="R84"/>
      <c r="S84"/>
      <c r="T84"/>
      <c r="U84"/>
      <c r="V84"/>
      <c r="W84"/>
      <c r="X84"/>
      <c r="Y84"/>
    </row>
    <row r="85" spans="1:25" ht="15" x14ac:dyDescent="0.25">
      <c r="A85" s="23" t="s">
        <v>71</v>
      </c>
      <c r="B85" s="23">
        <v>271</v>
      </c>
      <c r="C85" s="23">
        <v>262</v>
      </c>
      <c r="D85" s="23">
        <v>533</v>
      </c>
      <c r="E85" s="23">
        <v>76</v>
      </c>
      <c r="F85" s="23">
        <v>22</v>
      </c>
      <c r="G85" s="23">
        <v>8</v>
      </c>
      <c r="H85" s="23">
        <v>8</v>
      </c>
      <c r="I85" s="23">
        <v>9</v>
      </c>
      <c r="J85" s="23">
        <v>33</v>
      </c>
      <c r="K85" s="23">
        <v>509</v>
      </c>
      <c r="O85"/>
      <c r="P85"/>
      <c r="Q85"/>
      <c r="R85"/>
      <c r="S85"/>
      <c r="T85"/>
      <c r="U85"/>
      <c r="V85"/>
      <c r="W85"/>
      <c r="X85"/>
      <c r="Y85"/>
    </row>
    <row r="86" spans="1:25" ht="15" x14ac:dyDescent="0.25">
      <c r="A86" s="24" t="s">
        <v>72</v>
      </c>
      <c r="B86" s="24">
        <v>299</v>
      </c>
      <c r="C86" s="24">
        <v>287</v>
      </c>
      <c r="D86" s="24">
        <v>586</v>
      </c>
      <c r="E86" s="24">
        <v>152</v>
      </c>
      <c r="F86" s="24">
        <v>37</v>
      </c>
      <c r="G86" s="24">
        <v>11</v>
      </c>
      <c r="H86" s="24">
        <v>4</v>
      </c>
      <c r="I86" s="24">
        <v>18</v>
      </c>
      <c r="J86" s="24">
        <v>86</v>
      </c>
      <c r="K86" s="24">
        <v>521</v>
      </c>
      <c r="O86"/>
      <c r="P86"/>
      <c r="Q86"/>
      <c r="R86"/>
      <c r="S86"/>
      <c r="T86"/>
      <c r="U86"/>
      <c r="V86"/>
      <c r="W86"/>
      <c r="X86"/>
      <c r="Y86"/>
    </row>
    <row r="87" spans="1:25" ht="15" x14ac:dyDescent="0.25">
      <c r="A87" s="23" t="s">
        <v>73</v>
      </c>
      <c r="B87" s="23">
        <v>510</v>
      </c>
      <c r="C87" s="23">
        <v>499</v>
      </c>
      <c r="D87" s="23">
        <v>1009</v>
      </c>
      <c r="E87" s="23">
        <v>197</v>
      </c>
      <c r="F87" s="23">
        <v>18</v>
      </c>
      <c r="G87" s="23">
        <v>36</v>
      </c>
      <c r="H87" s="23">
        <v>10</v>
      </c>
      <c r="I87" s="23">
        <v>15</v>
      </c>
      <c r="J87" s="23">
        <v>132</v>
      </c>
      <c r="K87" s="23">
        <v>955</v>
      </c>
      <c r="O87"/>
      <c r="P87"/>
      <c r="Q87"/>
      <c r="R87"/>
      <c r="S87"/>
      <c r="T87"/>
      <c r="U87"/>
      <c r="V87"/>
      <c r="W87"/>
      <c r="X87"/>
      <c r="Y87"/>
    </row>
    <row r="88" spans="1:25" ht="15" x14ac:dyDescent="0.25">
      <c r="A88" s="23" t="s">
        <v>74</v>
      </c>
      <c r="B88" s="23">
        <v>253</v>
      </c>
      <c r="C88" s="23">
        <v>257</v>
      </c>
      <c r="D88" s="23">
        <v>510</v>
      </c>
      <c r="E88" s="23">
        <v>29</v>
      </c>
      <c r="F88" s="23">
        <v>6</v>
      </c>
      <c r="G88" s="23">
        <v>6</v>
      </c>
      <c r="H88" s="23">
        <v>4</v>
      </c>
      <c r="I88" s="23">
        <v>0</v>
      </c>
      <c r="J88" s="23">
        <v>15</v>
      </c>
      <c r="K88" s="23">
        <v>499</v>
      </c>
      <c r="O88"/>
      <c r="P88"/>
      <c r="Q88"/>
      <c r="R88"/>
      <c r="S88"/>
      <c r="T88"/>
      <c r="U88"/>
      <c r="V88"/>
      <c r="W88"/>
      <c r="X88"/>
      <c r="Y88"/>
    </row>
    <row r="89" spans="1:25" ht="15" x14ac:dyDescent="0.25">
      <c r="A89" s="23" t="s">
        <v>125</v>
      </c>
      <c r="B89" s="23">
        <v>195</v>
      </c>
      <c r="C89" s="23">
        <v>253</v>
      </c>
      <c r="D89" s="23">
        <v>448</v>
      </c>
      <c r="E89" s="23">
        <v>84</v>
      </c>
      <c r="F89" s="23">
        <v>18</v>
      </c>
      <c r="G89" s="23">
        <v>13</v>
      </c>
      <c r="H89" s="23">
        <v>5</v>
      </c>
      <c r="I89" s="23">
        <v>11</v>
      </c>
      <c r="J89" s="23">
        <v>42</v>
      </c>
      <c r="K89" s="23">
        <v>404</v>
      </c>
      <c r="O89"/>
      <c r="P89"/>
      <c r="Q89"/>
      <c r="R89"/>
      <c r="S89"/>
      <c r="T89"/>
      <c r="U89"/>
      <c r="V89"/>
      <c r="W89"/>
      <c r="X89"/>
      <c r="Y89"/>
    </row>
    <row r="90" spans="1:25" ht="15" x14ac:dyDescent="0.25">
      <c r="A90" s="23" t="s">
        <v>75</v>
      </c>
      <c r="B90" s="23">
        <v>234</v>
      </c>
      <c r="C90" s="23">
        <v>272</v>
      </c>
      <c r="D90" s="23">
        <v>506</v>
      </c>
      <c r="E90" s="23">
        <v>75</v>
      </c>
      <c r="F90" s="23">
        <v>24</v>
      </c>
      <c r="G90" s="23">
        <v>7</v>
      </c>
      <c r="H90" s="23">
        <v>1</v>
      </c>
      <c r="I90" s="23">
        <v>13</v>
      </c>
      <c r="J90" s="23">
        <v>37</v>
      </c>
      <c r="K90" s="23">
        <v>483</v>
      </c>
      <c r="O90"/>
      <c r="P90"/>
      <c r="Q90"/>
      <c r="R90"/>
      <c r="S90"/>
      <c r="T90"/>
      <c r="U90"/>
      <c r="V90"/>
      <c r="W90"/>
      <c r="X90"/>
      <c r="Y90"/>
    </row>
    <row r="91" spans="1:25" ht="15" x14ac:dyDescent="0.25">
      <c r="A91" s="24" t="s">
        <v>76</v>
      </c>
      <c r="B91" s="24">
        <v>517</v>
      </c>
      <c r="C91" s="24">
        <v>525</v>
      </c>
      <c r="D91" s="24">
        <v>1042</v>
      </c>
      <c r="E91" s="24">
        <v>395</v>
      </c>
      <c r="F91" s="24">
        <v>30</v>
      </c>
      <c r="G91" s="24">
        <v>25</v>
      </c>
      <c r="H91" s="24">
        <v>10</v>
      </c>
      <c r="I91" s="24">
        <v>9</v>
      </c>
      <c r="J91" s="24">
        <v>326</v>
      </c>
      <c r="K91" s="24">
        <v>993</v>
      </c>
      <c r="O91"/>
      <c r="P91"/>
      <c r="Q91"/>
      <c r="R91"/>
      <c r="S91"/>
      <c r="T91"/>
      <c r="U91"/>
      <c r="V91"/>
      <c r="W91"/>
      <c r="X91"/>
      <c r="Y91"/>
    </row>
    <row r="92" spans="1:25" ht="15" x14ac:dyDescent="0.25">
      <c r="A92" s="23" t="s">
        <v>77</v>
      </c>
      <c r="B92" s="23">
        <v>164</v>
      </c>
      <c r="C92" s="23">
        <v>220</v>
      </c>
      <c r="D92" s="23">
        <v>384</v>
      </c>
      <c r="E92" s="23">
        <v>34</v>
      </c>
      <c r="F92" s="23">
        <v>7</v>
      </c>
      <c r="G92" s="23">
        <v>12</v>
      </c>
      <c r="H92" s="23">
        <v>6</v>
      </c>
      <c r="I92" s="23">
        <v>3</v>
      </c>
      <c r="J92" s="23">
        <v>8</v>
      </c>
      <c r="K92" s="23">
        <v>373</v>
      </c>
      <c r="O92"/>
      <c r="P92"/>
      <c r="Q92"/>
      <c r="R92"/>
      <c r="S92"/>
      <c r="T92"/>
      <c r="U92"/>
      <c r="V92"/>
      <c r="W92"/>
      <c r="X92"/>
      <c r="Y92"/>
    </row>
    <row r="93" spans="1:25" ht="15" x14ac:dyDescent="0.25">
      <c r="A93" s="23" t="s">
        <v>78</v>
      </c>
      <c r="B93" s="23">
        <v>166</v>
      </c>
      <c r="C93" s="23">
        <v>162</v>
      </c>
      <c r="D93" s="23">
        <v>328</v>
      </c>
      <c r="E93" s="23">
        <v>37</v>
      </c>
      <c r="F93" s="23">
        <v>8</v>
      </c>
      <c r="G93" s="23">
        <v>7</v>
      </c>
      <c r="H93" s="23">
        <v>4</v>
      </c>
      <c r="I93" s="23">
        <v>4</v>
      </c>
      <c r="J93" s="23">
        <v>20</v>
      </c>
      <c r="K93" s="23">
        <v>322</v>
      </c>
      <c r="O93"/>
      <c r="P93"/>
      <c r="Q93"/>
      <c r="R93"/>
      <c r="S93"/>
      <c r="T93"/>
      <c r="U93"/>
      <c r="V93"/>
      <c r="W93"/>
      <c r="X93"/>
      <c r="Y93"/>
    </row>
    <row r="94" spans="1:25" ht="15" x14ac:dyDescent="0.25">
      <c r="A94" s="23" t="s">
        <v>79</v>
      </c>
      <c r="B94" s="23">
        <v>334</v>
      </c>
      <c r="C94" s="23">
        <v>377</v>
      </c>
      <c r="D94" s="23">
        <v>711</v>
      </c>
      <c r="E94" s="23">
        <v>80</v>
      </c>
      <c r="F94" s="23">
        <v>39</v>
      </c>
      <c r="G94" s="23">
        <v>11</v>
      </c>
      <c r="H94" s="23">
        <v>3</v>
      </c>
      <c r="I94" s="23">
        <v>5</v>
      </c>
      <c r="J94" s="23">
        <v>24</v>
      </c>
      <c r="K94" s="23">
        <v>666</v>
      </c>
      <c r="O94"/>
      <c r="P94"/>
      <c r="Q94"/>
      <c r="R94"/>
      <c r="S94"/>
      <c r="T94"/>
      <c r="U94"/>
      <c r="V94"/>
      <c r="W94"/>
      <c r="X94"/>
      <c r="Y94"/>
    </row>
    <row r="95" spans="1:25" s="18" customFormat="1" ht="33.75" x14ac:dyDescent="0.25">
      <c r="A95" s="1" t="s">
        <v>118</v>
      </c>
      <c r="B95" s="2" t="s">
        <v>109</v>
      </c>
      <c r="C95" s="2" t="s">
        <v>110</v>
      </c>
      <c r="D95" s="2" t="s">
        <v>119</v>
      </c>
      <c r="E95" s="2" t="s">
        <v>117</v>
      </c>
      <c r="F95" s="2" t="s">
        <v>111</v>
      </c>
      <c r="G95" s="2" t="s">
        <v>114</v>
      </c>
      <c r="H95" s="2" t="s">
        <v>115</v>
      </c>
      <c r="I95" s="2" t="s">
        <v>116</v>
      </c>
      <c r="J95" s="2" t="s">
        <v>112</v>
      </c>
      <c r="K95" s="2" t="s">
        <v>113</v>
      </c>
      <c r="O95"/>
      <c r="P95"/>
      <c r="Q95"/>
      <c r="R95"/>
      <c r="S95"/>
      <c r="T95"/>
      <c r="U95"/>
      <c r="V95"/>
      <c r="W95"/>
      <c r="X95"/>
      <c r="Y95"/>
    </row>
    <row r="96" spans="1:25" ht="15" x14ac:dyDescent="0.25">
      <c r="A96" s="22" t="s">
        <v>80</v>
      </c>
      <c r="B96" s="22">
        <v>275</v>
      </c>
      <c r="C96" s="22">
        <v>286</v>
      </c>
      <c r="D96" s="22">
        <v>561</v>
      </c>
      <c r="E96" s="22">
        <v>46</v>
      </c>
      <c r="F96" s="22">
        <v>5</v>
      </c>
      <c r="G96" s="22">
        <v>4</v>
      </c>
      <c r="H96" s="22">
        <v>1</v>
      </c>
      <c r="I96" s="22">
        <v>6</v>
      </c>
      <c r="J96" s="22">
        <v>31</v>
      </c>
      <c r="K96" s="22">
        <v>548</v>
      </c>
      <c r="O96"/>
      <c r="P96"/>
      <c r="Q96"/>
      <c r="R96"/>
      <c r="S96"/>
      <c r="T96"/>
      <c r="U96"/>
      <c r="V96"/>
      <c r="W96"/>
      <c r="X96"/>
      <c r="Y96"/>
    </row>
    <row r="97" spans="1:25" ht="15" x14ac:dyDescent="0.25">
      <c r="A97" s="23" t="s">
        <v>81</v>
      </c>
      <c r="B97" s="23">
        <v>247</v>
      </c>
      <c r="C97" s="23">
        <v>273</v>
      </c>
      <c r="D97" s="23">
        <v>520</v>
      </c>
      <c r="E97" s="23">
        <v>71</v>
      </c>
      <c r="F97" s="23">
        <v>1</v>
      </c>
      <c r="G97" s="23">
        <v>5</v>
      </c>
      <c r="H97" s="23">
        <v>3</v>
      </c>
      <c r="I97" s="23">
        <v>0</v>
      </c>
      <c r="J97" s="23">
        <v>62</v>
      </c>
      <c r="K97" s="23">
        <v>513</v>
      </c>
      <c r="O97"/>
      <c r="P97"/>
      <c r="Q97"/>
      <c r="R97"/>
      <c r="S97"/>
      <c r="T97"/>
      <c r="U97"/>
      <c r="V97"/>
      <c r="W97"/>
      <c r="X97"/>
      <c r="Y97"/>
    </row>
    <row r="98" spans="1:25" ht="15" x14ac:dyDescent="0.25">
      <c r="A98" s="23" t="s">
        <v>82</v>
      </c>
      <c r="B98" s="23">
        <v>706</v>
      </c>
      <c r="C98" s="23">
        <v>710</v>
      </c>
      <c r="D98" s="23">
        <v>1416</v>
      </c>
      <c r="E98" s="23">
        <v>81</v>
      </c>
      <c r="F98" s="23">
        <v>9</v>
      </c>
      <c r="G98" s="23">
        <v>15</v>
      </c>
      <c r="H98" s="23">
        <v>0</v>
      </c>
      <c r="I98" s="23">
        <v>9</v>
      </c>
      <c r="J98" s="23">
        <v>49</v>
      </c>
      <c r="K98" s="23">
        <v>1384</v>
      </c>
      <c r="O98"/>
      <c r="P98"/>
      <c r="Q98"/>
      <c r="R98"/>
      <c r="S98"/>
      <c r="T98"/>
      <c r="U98"/>
      <c r="V98"/>
      <c r="W98"/>
      <c r="X98"/>
      <c r="Y98"/>
    </row>
    <row r="99" spans="1:25" ht="15" x14ac:dyDescent="0.25">
      <c r="A99" s="23" t="s">
        <v>83</v>
      </c>
      <c r="B99" s="23">
        <v>242</v>
      </c>
      <c r="C99" s="23">
        <v>296</v>
      </c>
      <c r="D99" s="23">
        <v>538</v>
      </c>
      <c r="E99" s="23">
        <v>161</v>
      </c>
      <c r="F99" s="23">
        <v>23</v>
      </c>
      <c r="G99" s="23">
        <v>18</v>
      </c>
      <c r="H99" s="23">
        <v>18</v>
      </c>
      <c r="I99" s="23">
        <v>82</v>
      </c>
      <c r="J99" s="23">
        <v>50</v>
      </c>
      <c r="K99" s="23">
        <v>436</v>
      </c>
      <c r="O99"/>
      <c r="P99"/>
      <c r="Q99"/>
      <c r="R99"/>
      <c r="S99"/>
      <c r="T99"/>
      <c r="U99"/>
      <c r="V99"/>
      <c r="W99"/>
      <c r="X99"/>
      <c r="Y99"/>
    </row>
    <row r="100" spans="1:25" ht="15" x14ac:dyDescent="0.25">
      <c r="A100" s="24" t="s">
        <v>84</v>
      </c>
      <c r="B100" s="24">
        <v>344</v>
      </c>
      <c r="C100" s="24">
        <v>409</v>
      </c>
      <c r="D100" s="24">
        <v>753</v>
      </c>
      <c r="E100" s="24">
        <v>82</v>
      </c>
      <c r="F100" s="24">
        <v>9</v>
      </c>
      <c r="G100" s="24">
        <v>4</v>
      </c>
      <c r="H100" s="24">
        <v>7</v>
      </c>
      <c r="I100" s="24">
        <v>3</v>
      </c>
      <c r="J100" s="24">
        <v>63</v>
      </c>
      <c r="K100" s="24">
        <v>738</v>
      </c>
      <c r="O100"/>
      <c r="P100"/>
      <c r="Q100"/>
      <c r="R100"/>
      <c r="S100"/>
      <c r="T100"/>
      <c r="U100"/>
      <c r="V100"/>
      <c r="W100"/>
      <c r="X100"/>
      <c r="Y100"/>
    </row>
    <row r="101" spans="1:25" ht="15" x14ac:dyDescent="0.25">
      <c r="A101" s="23" t="s">
        <v>85</v>
      </c>
      <c r="B101" s="23">
        <v>193</v>
      </c>
      <c r="C101" s="23">
        <v>169</v>
      </c>
      <c r="D101" s="23">
        <v>362</v>
      </c>
      <c r="E101" s="23">
        <v>48</v>
      </c>
      <c r="F101" s="23">
        <v>11</v>
      </c>
      <c r="G101" s="23">
        <v>10</v>
      </c>
      <c r="H101" s="23">
        <v>5</v>
      </c>
      <c r="I101" s="23">
        <v>7</v>
      </c>
      <c r="J101" s="23">
        <v>26</v>
      </c>
      <c r="K101" s="23">
        <v>358</v>
      </c>
      <c r="O101"/>
      <c r="P101"/>
      <c r="Q101"/>
      <c r="R101"/>
      <c r="S101"/>
      <c r="T101"/>
      <c r="U101"/>
      <c r="V101"/>
      <c r="W101"/>
      <c r="X101"/>
      <c r="Y101"/>
    </row>
    <row r="102" spans="1:25" ht="15" x14ac:dyDescent="0.25">
      <c r="A102" s="23" t="s">
        <v>86</v>
      </c>
      <c r="B102" s="23">
        <v>332</v>
      </c>
      <c r="C102" s="23">
        <v>343</v>
      </c>
      <c r="D102" s="23">
        <v>675</v>
      </c>
      <c r="E102" s="23">
        <v>110</v>
      </c>
      <c r="F102" s="23">
        <v>9</v>
      </c>
      <c r="G102" s="23">
        <v>8</v>
      </c>
      <c r="H102" s="23">
        <v>9</v>
      </c>
      <c r="I102" s="23">
        <v>5</v>
      </c>
      <c r="J102" s="23">
        <v>79</v>
      </c>
      <c r="K102" s="23">
        <v>644</v>
      </c>
      <c r="O102"/>
      <c r="P102"/>
      <c r="Q102"/>
      <c r="R102"/>
      <c r="S102"/>
      <c r="T102"/>
      <c r="U102"/>
      <c r="V102"/>
      <c r="W102"/>
      <c r="X102"/>
      <c r="Y102"/>
    </row>
    <row r="103" spans="1:25" ht="15" x14ac:dyDescent="0.25">
      <c r="A103" s="23" t="s">
        <v>87</v>
      </c>
      <c r="B103" s="23">
        <v>350</v>
      </c>
      <c r="C103" s="23">
        <v>329</v>
      </c>
      <c r="D103" s="23">
        <v>679</v>
      </c>
      <c r="E103" s="23">
        <v>88</v>
      </c>
      <c r="F103" s="23">
        <v>30</v>
      </c>
      <c r="G103" s="23">
        <v>10</v>
      </c>
      <c r="H103" s="23">
        <v>1</v>
      </c>
      <c r="I103" s="23">
        <v>9</v>
      </c>
      <c r="J103" s="23">
        <v>42</v>
      </c>
      <c r="K103" s="23">
        <v>641</v>
      </c>
      <c r="O103"/>
      <c r="P103"/>
      <c r="Q103"/>
      <c r="R103"/>
      <c r="S103"/>
      <c r="T103"/>
      <c r="U103"/>
      <c r="V103"/>
      <c r="W103"/>
      <c r="X103"/>
      <c r="Y103"/>
    </row>
    <row r="104" spans="1:25" ht="15" x14ac:dyDescent="0.25">
      <c r="A104" s="23" t="s">
        <v>88</v>
      </c>
      <c r="B104" s="23">
        <v>275</v>
      </c>
      <c r="C104" s="23">
        <v>319</v>
      </c>
      <c r="D104" s="23">
        <v>594</v>
      </c>
      <c r="E104" s="23">
        <v>44</v>
      </c>
      <c r="F104" s="23">
        <v>9</v>
      </c>
      <c r="G104" s="23">
        <v>3</v>
      </c>
      <c r="H104" s="23">
        <v>2</v>
      </c>
      <c r="I104" s="23">
        <v>8</v>
      </c>
      <c r="J104" s="23">
        <v>23</v>
      </c>
      <c r="K104" s="23">
        <v>574</v>
      </c>
      <c r="O104"/>
      <c r="P104"/>
      <c r="Q104"/>
      <c r="R104"/>
      <c r="S104"/>
      <c r="T104"/>
      <c r="U104"/>
      <c r="V104"/>
      <c r="W104"/>
      <c r="X104"/>
      <c r="Y104"/>
    </row>
    <row r="105" spans="1:25" ht="15" x14ac:dyDescent="0.25">
      <c r="A105" s="24" t="s">
        <v>89</v>
      </c>
      <c r="B105" s="24">
        <v>164</v>
      </c>
      <c r="C105" s="24">
        <v>136</v>
      </c>
      <c r="D105" s="24">
        <v>300</v>
      </c>
      <c r="E105" s="24">
        <v>50</v>
      </c>
      <c r="F105" s="24">
        <v>19</v>
      </c>
      <c r="G105" s="24">
        <v>10</v>
      </c>
      <c r="H105" s="24">
        <v>0</v>
      </c>
      <c r="I105" s="24">
        <v>3</v>
      </c>
      <c r="J105" s="24">
        <v>18</v>
      </c>
      <c r="K105" s="24">
        <v>269</v>
      </c>
      <c r="O105"/>
      <c r="P105"/>
      <c r="Q105"/>
      <c r="R105"/>
      <c r="S105"/>
      <c r="T105"/>
      <c r="U105"/>
      <c r="V105"/>
      <c r="W105"/>
      <c r="X105"/>
      <c r="Y105"/>
    </row>
    <row r="106" spans="1:25" ht="15" x14ac:dyDescent="0.25">
      <c r="A106" s="23" t="s">
        <v>126</v>
      </c>
      <c r="B106" s="23">
        <v>157</v>
      </c>
      <c r="C106" s="23">
        <v>178</v>
      </c>
      <c r="D106" s="23">
        <v>335</v>
      </c>
      <c r="E106" s="23">
        <v>160</v>
      </c>
      <c r="F106" s="23">
        <v>11</v>
      </c>
      <c r="G106" s="23">
        <v>14</v>
      </c>
      <c r="H106" s="23">
        <v>91</v>
      </c>
      <c r="I106" s="23">
        <v>16</v>
      </c>
      <c r="J106" s="23">
        <v>114</v>
      </c>
      <c r="K106" s="23">
        <v>246</v>
      </c>
      <c r="O106"/>
      <c r="P106"/>
      <c r="Q106"/>
      <c r="R106"/>
      <c r="S106"/>
      <c r="T106"/>
      <c r="U106"/>
      <c r="V106"/>
      <c r="W106"/>
      <c r="X106"/>
      <c r="Y106"/>
    </row>
    <row r="107" spans="1:25" ht="15" x14ac:dyDescent="0.25">
      <c r="A107" s="23" t="s">
        <v>90</v>
      </c>
      <c r="B107" s="23">
        <v>157</v>
      </c>
      <c r="C107" s="23">
        <v>63</v>
      </c>
      <c r="D107" s="23">
        <v>220</v>
      </c>
      <c r="E107" s="23">
        <v>27</v>
      </c>
      <c r="F107" s="23">
        <v>2</v>
      </c>
      <c r="G107" s="23">
        <v>11</v>
      </c>
      <c r="H107" s="23">
        <v>1</v>
      </c>
      <c r="I107" s="23">
        <v>4</v>
      </c>
      <c r="J107" s="23">
        <v>9</v>
      </c>
      <c r="K107" s="23">
        <v>206</v>
      </c>
      <c r="O107"/>
      <c r="P107"/>
      <c r="Q107"/>
      <c r="R107"/>
      <c r="S107"/>
      <c r="T107"/>
      <c r="U107"/>
      <c r="V107"/>
      <c r="W107"/>
      <c r="X107"/>
      <c r="Y107"/>
    </row>
    <row r="108" spans="1:25" ht="15" x14ac:dyDescent="0.25">
      <c r="A108" s="23" t="s">
        <v>91</v>
      </c>
      <c r="B108" s="23">
        <v>118</v>
      </c>
      <c r="C108" s="23">
        <v>128</v>
      </c>
      <c r="D108" s="23">
        <v>246</v>
      </c>
      <c r="E108" s="23">
        <v>18</v>
      </c>
      <c r="F108" s="23">
        <v>2</v>
      </c>
      <c r="G108" s="23">
        <v>6</v>
      </c>
      <c r="H108" s="23">
        <v>0</v>
      </c>
      <c r="I108" s="23">
        <v>1</v>
      </c>
      <c r="J108" s="23">
        <v>10</v>
      </c>
      <c r="K108" s="23">
        <v>244</v>
      </c>
      <c r="O108"/>
      <c r="P108"/>
      <c r="Q108"/>
      <c r="R108"/>
      <c r="S108"/>
      <c r="T108"/>
      <c r="U108"/>
      <c r="V108"/>
      <c r="W108"/>
      <c r="X108"/>
      <c r="Y108"/>
    </row>
    <row r="109" spans="1:25" ht="15" x14ac:dyDescent="0.25">
      <c r="A109" s="23" t="s">
        <v>92</v>
      </c>
      <c r="B109" s="23">
        <v>110</v>
      </c>
      <c r="C109" s="23">
        <v>294</v>
      </c>
      <c r="D109" s="23">
        <v>404</v>
      </c>
      <c r="E109" s="23">
        <v>25</v>
      </c>
      <c r="F109" s="23">
        <v>5</v>
      </c>
      <c r="G109" s="23">
        <v>4</v>
      </c>
      <c r="H109" s="23">
        <v>2</v>
      </c>
      <c r="I109" s="23">
        <v>6</v>
      </c>
      <c r="J109" s="23">
        <v>13</v>
      </c>
      <c r="K109" s="23">
        <v>388</v>
      </c>
      <c r="O109"/>
      <c r="P109"/>
      <c r="Q109"/>
      <c r="R109"/>
      <c r="S109"/>
      <c r="T109"/>
      <c r="U109"/>
      <c r="V109"/>
      <c r="W109"/>
      <c r="X109"/>
      <c r="Y109"/>
    </row>
    <row r="110" spans="1:25" ht="15" x14ac:dyDescent="0.25">
      <c r="A110" s="24" t="s">
        <v>93</v>
      </c>
      <c r="B110" s="24">
        <v>191</v>
      </c>
      <c r="C110" s="24">
        <v>156</v>
      </c>
      <c r="D110" s="24">
        <v>347</v>
      </c>
      <c r="E110" s="24">
        <v>35</v>
      </c>
      <c r="F110" s="24">
        <v>7</v>
      </c>
      <c r="G110" s="24">
        <v>2</v>
      </c>
      <c r="H110" s="24">
        <v>1</v>
      </c>
      <c r="I110" s="24">
        <v>3</v>
      </c>
      <c r="J110" s="24">
        <v>22</v>
      </c>
      <c r="K110" s="24">
        <v>337</v>
      </c>
      <c r="O110"/>
      <c r="P110"/>
      <c r="Q110"/>
      <c r="R110"/>
      <c r="S110"/>
      <c r="T110"/>
      <c r="U110"/>
      <c r="V110"/>
      <c r="W110"/>
      <c r="X110"/>
      <c r="Y110"/>
    </row>
    <row r="111" spans="1:25" ht="15" x14ac:dyDescent="0.25">
      <c r="A111" s="23" t="s">
        <v>127</v>
      </c>
      <c r="B111" s="23">
        <v>501</v>
      </c>
      <c r="C111" s="23">
        <v>502</v>
      </c>
      <c r="D111" s="23">
        <v>1003</v>
      </c>
      <c r="E111" s="23">
        <v>53</v>
      </c>
      <c r="F111" s="23">
        <v>19</v>
      </c>
      <c r="G111" s="23">
        <v>8</v>
      </c>
      <c r="H111" s="23">
        <v>0</v>
      </c>
      <c r="I111" s="23">
        <v>3</v>
      </c>
      <c r="J111" s="23">
        <v>23</v>
      </c>
      <c r="K111" s="23">
        <v>978</v>
      </c>
      <c r="O111"/>
      <c r="P111"/>
      <c r="Q111"/>
      <c r="R111"/>
      <c r="S111"/>
      <c r="T111"/>
      <c r="U111"/>
      <c r="V111"/>
      <c r="W111"/>
      <c r="X111"/>
      <c r="Y111"/>
    </row>
    <row r="112" spans="1:25" ht="15" x14ac:dyDescent="0.25">
      <c r="A112" s="23" t="s">
        <v>94</v>
      </c>
      <c r="B112" s="23">
        <v>135</v>
      </c>
      <c r="C112" s="23">
        <v>149</v>
      </c>
      <c r="D112" s="23">
        <v>284</v>
      </c>
      <c r="E112" s="23">
        <v>20</v>
      </c>
      <c r="F112" s="23">
        <v>1</v>
      </c>
      <c r="G112" s="23">
        <v>2</v>
      </c>
      <c r="H112" s="23">
        <v>3</v>
      </c>
      <c r="I112" s="23">
        <v>1</v>
      </c>
      <c r="J112" s="23">
        <v>14</v>
      </c>
      <c r="K112" s="23">
        <v>283</v>
      </c>
      <c r="O112"/>
      <c r="P112"/>
      <c r="Q112"/>
      <c r="R112"/>
      <c r="S112"/>
      <c r="T112"/>
      <c r="U112"/>
      <c r="V112"/>
      <c r="W112"/>
      <c r="X112"/>
      <c r="Y112"/>
    </row>
    <row r="113" spans="1:25" ht="15" x14ac:dyDescent="0.25">
      <c r="A113" s="23" t="s">
        <v>95</v>
      </c>
      <c r="B113" s="23">
        <v>516</v>
      </c>
      <c r="C113" s="23">
        <v>505</v>
      </c>
      <c r="D113" s="23">
        <v>1021</v>
      </c>
      <c r="E113" s="23">
        <v>110</v>
      </c>
      <c r="F113" s="23">
        <v>12</v>
      </c>
      <c r="G113" s="23">
        <v>20</v>
      </c>
      <c r="H113" s="23">
        <v>4</v>
      </c>
      <c r="I113" s="23">
        <v>32</v>
      </c>
      <c r="J113" s="23">
        <v>50</v>
      </c>
      <c r="K113" s="23">
        <v>962</v>
      </c>
      <c r="O113"/>
      <c r="P113"/>
      <c r="Q113"/>
      <c r="R113"/>
      <c r="S113"/>
      <c r="T113"/>
      <c r="U113"/>
      <c r="V113"/>
      <c r="W113"/>
      <c r="X113"/>
      <c r="Y113"/>
    </row>
    <row r="114" spans="1:25" ht="15" x14ac:dyDescent="0.25">
      <c r="A114" s="23" t="s">
        <v>128</v>
      </c>
      <c r="B114" s="23">
        <v>588</v>
      </c>
      <c r="C114" s="23">
        <v>590</v>
      </c>
      <c r="D114" s="23">
        <v>1178</v>
      </c>
      <c r="E114" s="23">
        <v>225</v>
      </c>
      <c r="F114" s="23">
        <v>40</v>
      </c>
      <c r="G114" s="23">
        <v>13</v>
      </c>
      <c r="H114" s="23">
        <v>9</v>
      </c>
      <c r="I114" s="23">
        <v>25</v>
      </c>
      <c r="J114" s="23">
        <v>143</v>
      </c>
      <c r="K114" s="23">
        <v>1103</v>
      </c>
      <c r="O114"/>
      <c r="P114"/>
      <c r="Q114"/>
      <c r="R114"/>
      <c r="S114"/>
      <c r="T114"/>
      <c r="U114"/>
      <c r="V114"/>
      <c r="W114"/>
      <c r="X114"/>
      <c r="Y114"/>
    </row>
    <row r="115" spans="1:25" ht="15" x14ac:dyDescent="0.25">
      <c r="A115" s="24" t="s">
        <v>96</v>
      </c>
      <c r="B115" s="24">
        <v>212</v>
      </c>
      <c r="C115" s="24">
        <v>226</v>
      </c>
      <c r="D115" s="24">
        <v>438</v>
      </c>
      <c r="E115" s="24">
        <v>64</v>
      </c>
      <c r="F115" s="24">
        <v>19</v>
      </c>
      <c r="G115" s="24">
        <v>4</v>
      </c>
      <c r="H115" s="24">
        <v>0</v>
      </c>
      <c r="I115" s="24">
        <v>3</v>
      </c>
      <c r="J115" s="24">
        <v>40</v>
      </c>
      <c r="K115" s="24">
        <v>420</v>
      </c>
      <c r="O115"/>
      <c r="P115"/>
      <c r="Q115"/>
      <c r="R115"/>
      <c r="S115"/>
      <c r="T115"/>
      <c r="U115"/>
      <c r="V115"/>
      <c r="W115"/>
      <c r="X115"/>
      <c r="Y115"/>
    </row>
    <row r="116" spans="1:25" ht="15" x14ac:dyDescent="0.25">
      <c r="A116" s="23" t="s">
        <v>97</v>
      </c>
      <c r="B116" s="23">
        <v>211</v>
      </c>
      <c r="C116" s="23">
        <v>122</v>
      </c>
      <c r="D116" s="23">
        <v>333</v>
      </c>
      <c r="E116" s="23">
        <v>34</v>
      </c>
      <c r="F116" s="23">
        <v>5</v>
      </c>
      <c r="G116" s="23">
        <v>1</v>
      </c>
      <c r="H116" s="23">
        <v>2</v>
      </c>
      <c r="I116" s="23">
        <v>2</v>
      </c>
      <c r="J116" s="23">
        <v>25</v>
      </c>
      <c r="K116" s="23">
        <v>323</v>
      </c>
      <c r="O116"/>
      <c r="P116"/>
      <c r="Q116"/>
      <c r="R116"/>
      <c r="S116"/>
      <c r="T116"/>
      <c r="U116"/>
      <c r="V116"/>
      <c r="W116"/>
      <c r="X116"/>
      <c r="Y116"/>
    </row>
    <row r="117" spans="1:25" ht="15" x14ac:dyDescent="0.25">
      <c r="A117" s="23" t="s">
        <v>98</v>
      </c>
      <c r="B117" s="23">
        <v>22</v>
      </c>
      <c r="C117" s="23">
        <v>33</v>
      </c>
      <c r="D117" s="23">
        <v>55</v>
      </c>
      <c r="E117" s="23">
        <v>52</v>
      </c>
      <c r="F117" s="23">
        <v>0</v>
      </c>
      <c r="G117" s="23">
        <v>0</v>
      </c>
      <c r="H117" s="23">
        <v>52</v>
      </c>
      <c r="I117" s="23">
        <v>0</v>
      </c>
      <c r="J117" s="23">
        <v>0</v>
      </c>
      <c r="K117" s="23">
        <v>3</v>
      </c>
      <c r="O117"/>
      <c r="P117"/>
      <c r="Q117"/>
      <c r="R117"/>
      <c r="S117"/>
      <c r="T117"/>
      <c r="U117"/>
      <c r="V117"/>
      <c r="W117"/>
      <c r="X117"/>
      <c r="Y117"/>
    </row>
    <row r="118" spans="1:25" ht="15" x14ac:dyDescent="0.25">
      <c r="A118" s="23" t="s">
        <v>133</v>
      </c>
      <c r="B118" s="23">
        <v>135</v>
      </c>
      <c r="C118" s="23">
        <v>144</v>
      </c>
      <c r="D118" s="23">
        <v>279</v>
      </c>
      <c r="E118" s="23">
        <v>52</v>
      </c>
      <c r="F118" s="23">
        <v>15</v>
      </c>
      <c r="G118" s="23">
        <v>10</v>
      </c>
      <c r="H118" s="23">
        <v>11</v>
      </c>
      <c r="I118" s="23">
        <v>8</v>
      </c>
      <c r="J118" s="23">
        <v>17</v>
      </c>
      <c r="K118" s="23">
        <v>258</v>
      </c>
      <c r="O118"/>
      <c r="P118"/>
      <c r="Q118"/>
      <c r="R118"/>
      <c r="S118"/>
      <c r="T118"/>
      <c r="U118"/>
      <c r="V118"/>
      <c r="W118"/>
      <c r="X118"/>
      <c r="Y118"/>
    </row>
    <row r="119" spans="1:25" ht="15" x14ac:dyDescent="0.25">
      <c r="A119" s="23" t="s">
        <v>129</v>
      </c>
      <c r="B119" s="23">
        <v>166</v>
      </c>
      <c r="C119" s="23">
        <v>222</v>
      </c>
      <c r="D119" s="23">
        <v>388</v>
      </c>
      <c r="E119" s="23">
        <v>63</v>
      </c>
      <c r="F119" s="23">
        <v>18</v>
      </c>
      <c r="G119" s="23">
        <v>2</v>
      </c>
      <c r="H119" s="23">
        <v>2</v>
      </c>
      <c r="I119" s="23">
        <v>7</v>
      </c>
      <c r="J119" s="23">
        <v>35</v>
      </c>
      <c r="K119" s="23">
        <v>361</v>
      </c>
      <c r="O119"/>
      <c r="P119"/>
      <c r="Q119"/>
      <c r="R119"/>
      <c r="S119"/>
      <c r="T119"/>
      <c r="U119"/>
      <c r="V119"/>
      <c r="W119"/>
      <c r="X119"/>
      <c r="Y119"/>
    </row>
    <row r="120" spans="1:25" ht="15" x14ac:dyDescent="0.25">
      <c r="A120" s="24" t="s">
        <v>99</v>
      </c>
      <c r="B120" s="24">
        <v>980</v>
      </c>
      <c r="C120" s="24">
        <v>1020</v>
      </c>
      <c r="D120" s="24">
        <v>2000</v>
      </c>
      <c r="E120" s="24">
        <v>191</v>
      </c>
      <c r="F120" s="24">
        <v>21</v>
      </c>
      <c r="G120" s="24">
        <v>39</v>
      </c>
      <c r="H120" s="24">
        <v>14</v>
      </c>
      <c r="I120" s="24">
        <v>16</v>
      </c>
      <c r="J120" s="24">
        <v>101</v>
      </c>
      <c r="K120" s="24">
        <v>1910</v>
      </c>
      <c r="O120"/>
      <c r="P120"/>
      <c r="Q120"/>
      <c r="R120"/>
      <c r="S120"/>
      <c r="T120"/>
      <c r="U120"/>
      <c r="V120"/>
      <c r="W120"/>
      <c r="X120"/>
      <c r="Y120"/>
    </row>
    <row r="121" spans="1:25" ht="15" x14ac:dyDescent="0.25">
      <c r="A121" s="23" t="s">
        <v>100</v>
      </c>
      <c r="B121" s="23">
        <v>242</v>
      </c>
      <c r="C121" s="23">
        <v>246</v>
      </c>
      <c r="D121" s="23">
        <v>488</v>
      </c>
      <c r="E121" s="23">
        <v>41</v>
      </c>
      <c r="F121" s="23">
        <v>4</v>
      </c>
      <c r="G121" s="23">
        <v>8</v>
      </c>
      <c r="H121" s="23">
        <v>3</v>
      </c>
      <c r="I121" s="23">
        <v>2</v>
      </c>
      <c r="J121" s="23">
        <v>25</v>
      </c>
      <c r="K121" s="23">
        <v>483</v>
      </c>
      <c r="O121"/>
      <c r="P121"/>
      <c r="Q121"/>
      <c r="R121"/>
      <c r="S121"/>
      <c r="T121"/>
      <c r="U121"/>
      <c r="V121"/>
      <c r="W121"/>
      <c r="X121"/>
      <c r="Y121"/>
    </row>
    <row r="122" spans="1:25" ht="15" x14ac:dyDescent="0.25">
      <c r="A122" s="23" t="s">
        <v>130</v>
      </c>
      <c r="B122" s="23">
        <v>500</v>
      </c>
      <c r="C122" s="23">
        <v>362</v>
      </c>
      <c r="D122" s="23">
        <v>862</v>
      </c>
      <c r="E122" s="23">
        <v>86</v>
      </c>
      <c r="F122" s="23">
        <v>6</v>
      </c>
      <c r="G122" s="23">
        <v>10</v>
      </c>
      <c r="H122" s="23">
        <v>12</v>
      </c>
      <c r="I122" s="23">
        <v>18</v>
      </c>
      <c r="J122" s="23">
        <v>49</v>
      </c>
      <c r="K122" s="23">
        <v>832</v>
      </c>
      <c r="O122"/>
      <c r="P122"/>
      <c r="Q122"/>
      <c r="R122"/>
      <c r="S122"/>
      <c r="T122"/>
      <c r="U122"/>
      <c r="V122"/>
      <c r="W122"/>
      <c r="X122"/>
      <c r="Y122"/>
    </row>
    <row r="123" spans="1:25" ht="15" x14ac:dyDescent="0.25">
      <c r="A123" s="23" t="s">
        <v>101</v>
      </c>
      <c r="B123" s="23">
        <v>162</v>
      </c>
      <c r="C123" s="23">
        <v>176</v>
      </c>
      <c r="D123" s="23">
        <v>338</v>
      </c>
      <c r="E123" s="23">
        <v>54</v>
      </c>
      <c r="F123" s="23">
        <v>8</v>
      </c>
      <c r="G123" s="23">
        <v>3</v>
      </c>
      <c r="H123" s="23">
        <v>10</v>
      </c>
      <c r="I123" s="23">
        <v>10</v>
      </c>
      <c r="J123" s="23">
        <v>23</v>
      </c>
      <c r="K123" s="23">
        <v>312</v>
      </c>
      <c r="O123"/>
      <c r="P123"/>
      <c r="Q123"/>
      <c r="R123"/>
      <c r="S123"/>
      <c r="T123"/>
      <c r="U123"/>
      <c r="V123"/>
      <c r="W123"/>
      <c r="X123"/>
      <c r="Y123"/>
    </row>
    <row r="124" spans="1:25" ht="15" x14ac:dyDescent="0.25">
      <c r="A124" s="23" t="s">
        <v>102</v>
      </c>
      <c r="B124" s="23">
        <v>173</v>
      </c>
      <c r="C124" s="23">
        <v>202</v>
      </c>
      <c r="D124" s="23">
        <v>375</v>
      </c>
      <c r="E124" s="23">
        <v>64</v>
      </c>
      <c r="F124" s="23">
        <v>6</v>
      </c>
      <c r="G124" s="23">
        <v>10</v>
      </c>
      <c r="H124" s="23">
        <v>2</v>
      </c>
      <c r="I124" s="23">
        <v>22</v>
      </c>
      <c r="J124" s="23">
        <v>25</v>
      </c>
      <c r="K124" s="23">
        <v>341</v>
      </c>
      <c r="O124"/>
      <c r="P124"/>
      <c r="Q124"/>
      <c r="R124"/>
      <c r="S124"/>
      <c r="T124"/>
      <c r="U124"/>
      <c r="V124"/>
      <c r="W124"/>
      <c r="X124"/>
      <c r="Y124"/>
    </row>
    <row r="125" spans="1:25" ht="15" x14ac:dyDescent="0.25">
      <c r="A125" s="24" t="s">
        <v>103</v>
      </c>
      <c r="B125" s="24">
        <v>277</v>
      </c>
      <c r="C125" s="24">
        <v>258</v>
      </c>
      <c r="D125" s="24">
        <v>535</v>
      </c>
      <c r="E125" s="24">
        <v>47</v>
      </c>
      <c r="F125" s="24">
        <v>22</v>
      </c>
      <c r="G125" s="24">
        <v>6</v>
      </c>
      <c r="H125" s="24">
        <v>0</v>
      </c>
      <c r="I125" s="24">
        <v>4</v>
      </c>
      <c r="J125" s="24">
        <v>17</v>
      </c>
      <c r="K125" s="24">
        <v>519</v>
      </c>
      <c r="O125"/>
      <c r="P125"/>
      <c r="Q125"/>
      <c r="R125"/>
      <c r="S125"/>
      <c r="T125"/>
      <c r="U125"/>
      <c r="V125"/>
      <c r="W125"/>
      <c r="X125"/>
      <c r="Y125"/>
    </row>
    <row r="126" spans="1:25" s="13" customFormat="1" x14ac:dyDescent="0.2">
      <c r="A126" s="29" t="s">
        <v>104</v>
      </c>
      <c r="B126" s="31">
        <f t="shared" ref="B126:K126" si="2">SUM(B47:B94)+SUM(B96:B125)</f>
        <v>22135</v>
      </c>
      <c r="C126" s="30">
        <f t="shared" si="2"/>
        <v>22757</v>
      </c>
      <c r="D126" s="30">
        <f t="shared" si="2"/>
        <v>44892</v>
      </c>
      <c r="E126" s="30">
        <f t="shared" si="2"/>
        <v>7940</v>
      </c>
      <c r="F126" s="30">
        <f t="shared" si="2"/>
        <v>1226</v>
      </c>
      <c r="G126" s="30">
        <f t="shared" si="2"/>
        <v>798</v>
      </c>
      <c r="H126" s="30">
        <f t="shared" si="2"/>
        <v>556</v>
      </c>
      <c r="I126" s="30">
        <f t="shared" si="2"/>
        <v>893</v>
      </c>
      <c r="J126" s="30">
        <f t="shared" si="2"/>
        <v>4960</v>
      </c>
      <c r="K126" s="30">
        <f t="shared" si="2"/>
        <v>42248</v>
      </c>
    </row>
    <row r="127" spans="1:25" s="13" customFormat="1" x14ac:dyDescent="0.2">
      <c r="A127" s="19" t="str">
        <f t="shared" ref="A127:I127" si="3">A43</f>
        <v>District Total</v>
      </c>
      <c r="B127" s="32">
        <f>B43</f>
        <v>263985</v>
      </c>
      <c r="C127" s="19">
        <f>C43</f>
        <v>278868</v>
      </c>
      <c r="D127" s="19">
        <f>D43</f>
        <v>542853</v>
      </c>
      <c r="E127" s="19">
        <f>E43</f>
        <v>122351</v>
      </c>
      <c r="F127" s="19">
        <f t="shared" si="3"/>
        <v>12299</v>
      </c>
      <c r="G127" s="19">
        <f t="shared" si="3"/>
        <v>10353</v>
      </c>
      <c r="H127" s="19">
        <f t="shared" si="3"/>
        <v>19419</v>
      </c>
      <c r="I127" s="19">
        <f t="shared" si="3"/>
        <v>10535</v>
      </c>
      <c r="J127" s="19">
        <f>J43</f>
        <v>83163</v>
      </c>
      <c r="K127" s="19">
        <f>K43</f>
        <v>475382</v>
      </c>
    </row>
    <row r="128" spans="1:25" s="21" customFormat="1" ht="12.75" thickBot="1" x14ac:dyDescent="0.25">
      <c r="A128" s="25" t="s">
        <v>105</v>
      </c>
      <c r="B128" s="20">
        <f t="shared" ref="B128:I128" si="4">SUM(B126:B127)</f>
        <v>286120</v>
      </c>
      <c r="C128" s="20">
        <f t="shared" si="4"/>
        <v>301625</v>
      </c>
      <c r="D128" s="20">
        <f t="shared" si="4"/>
        <v>587745</v>
      </c>
      <c r="E128" s="20">
        <f>SUM(E126:E127)</f>
        <v>130291</v>
      </c>
      <c r="F128" s="20">
        <f t="shared" si="4"/>
        <v>13525</v>
      </c>
      <c r="G128" s="20">
        <f t="shared" si="4"/>
        <v>11151</v>
      </c>
      <c r="H128" s="20">
        <f>SUM(H126:H127)</f>
        <v>19975</v>
      </c>
      <c r="I128" s="20">
        <f t="shared" si="4"/>
        <v>11428</v>
      </c>
      <c r="J128" s="20">
        <f>SUM(J126:J127)</f>
        <v>88123</v>
      </c>
      <c r="K128" s="20">
        <f>SUM(K126:K127)</f>
        <v>517630</v>
      </c>
    </row>
    <row r="129" spans="1:11" ht="5.0999999999999996" customHeight="1" thickTop="1" thickBot="1" x14ac:dyDescent="0.25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</sheetData>
  <pageMargins left="0.68" right="0.25" top="1.06" bottom="0.75" header="0.63" footer="0.3"/>
  <pageSetup scale="62" orientation="landscape" r:id="rId1"/>
  <headerFooter>
    <oddHeader>&amp;C&amp;"Arial,Bold"&amp;10Fall Enrollment by Race/Ethnicity and Gender
2011-2012 School Year</oddHeader>
    <oddFooter xml:space="preserve">&amp;L&amp;8Compiler: USOE/Data and Statistics
Source: October 2011 Clearinghouse
</oddFooter>
  </headerFooter>
  <rowBreaks count="2" manualBreakCount="2">
    <brk id="44" max="16383" man="1"/>
    <brk id="94" max="16383" man="1"/>
  </rowBreaks>
  <ignoredErrors>
    <ignoredError sqref="E4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Race Ethnicity and Gender</vt:lpstr>
    </vt:vector>
  </TitlesOfParts>
  <Company>USOE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vparriott</dc:creator>
  <cp:lastModifiedBy>Joey DeFilippis</cp:lastModifiedBy>
  <cp:lastPrinted>2011-12-14T00:39:36Z</cp:lastPrinted>
  <dcterms:created xsi:type="dcterms:W3CDTF">2010-11-12T20:09:23Z</dcterms:created>
  <dcterms:modified xsi:type="dcterms:W3CDTF">2011-12-14T17:02:35Z</dcterms:modified>
</cp:coreProperties>
</file>