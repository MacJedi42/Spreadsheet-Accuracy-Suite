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10" windowWidth="15195" windowHeight="7890"/>
  </bookViews>
  <sheets>
    <sheet name="STD &amp; LTD" sheetId="1" r:id="rId1"/>
  </sheets>
  <calcPr calcId="125725"/>
</workbook>
</file>

<file path=xl/calcChain.xml><?xml version="1.0" encoding="utf-8"?>
<calcChain xmlns="http://schemas.openxmlformats.org/spreadsheetml/2006/main">
  <c r="I12" i="1"/>
  <c r="L12" s="1"/>
  <c r="D12"/>
  <c r="G12" s="1"/>
  <c r="J12"/>
  <c r="E12"/>
  <c r="B20"/>
  <c r="E20" s="1"/>
  <c r="J28"/>
  <c r="K28"/>
  <c r="J29"/>
  <c r="J32"/>
  <c r="K32"/>
  <c r="J33"/>
  <c r="D20"/>
  <c r="G20" s="1"/>
  <c r="L22" l="1"/>
  <c r="J20"/>
  <c r="I20"/>
  <c r="L20" s="1"/>
  <c r="L23" s="1"/>
  <c r="L24" s="1"/>
</calcChain>
</file>

<file path=xl/sharedStrings.xml><?xml version="1.0" encoding="utf-8"?>
<sst xmlns="http://schemas.openxmlformats.org/spreadsheetml/2006/main" count="59" uniqueCount="35">
  <si>
    <t>City of Merced</t>
  </si>
  <si>
    <t>(Please download to your computer, then use)</t>
  </si>
  <si>
    <t>CORE PLAN</t>
  </si>
  <si>
    <t>"BUY-UP" PLAN</t>
  </si>
  <si>
    <t>Put in Your Monthly Salary Here:</t>
  </si>
  <si>
    <t>60% Option</t>
  </si>
  <si>
    <t>66.67% Option</t>
  </si>
  <si>
    <t>Monthly Covered Salary</t>
  </si>
  <si>
    <t>Your monthly benefit will be…</t>
  </si>
  <si>
    <t>Premium Per Month</t>
  </si>
  <si>
    <t>Total Premium Per Pay Period:</t>
  </si>
  <si>
    <t>per month</t>
  </si>
  <si>
    <t>.</t>
  </si>
  <si>
    <t>Core per pay period premium:</t>
  </si>
  <si>
    <t>Buy-up per pay period premium:</t>
  </si>
  <si>
    <t>60% ; $600/week maximum</t>
  </si>
  <si>
    <t>60% ; $2,500/month maximum</t>
  </si>
  <si>
    <t>STD Premium Rate per $100 of covered salary is:</t>
  </si>
  <si>
    <t>LTD Premium Rate per $100 of covered salary is:</t>
  </si>
  <si>
    <t>BUY-UP PLAN</t>
  </si>
  <si>
    <t>Rates:</t>
  </si>
  <si>
    <t>Benefits:</t>
  </si>
  <si>
    <t>STD</t>
  </si>
  <si>
    <t>LTD</t>
  </si>
  <si>
    <t>Maximum monthly covered salary:</t>
  </si>
  <si>
    <t>Maximum weekly covered salary:</t>
  </si>
  <si>
    <t>maximum benefit per week</t>
  </si>
  <si>
    <t>maximum benefit per month</t>
  </si>
  <si>
    <t>66.67% ; $1,650/week maximum</t>
  </si>
  <si>
    <t>66.67% ; $7,000/month maximum</t>
  </si>
  <si>
    <t>Your weekly benefit will be…</t>
  </si>
  <si>
    <t>Your Monthly Salary</t>
  </si>
  <si>
    <t>Short Term Disability</t>
  </si>
  <si>
    <t>Long Term Disability</t>
  </si>
  <si>
    <t>Short Term Disability/Long Term Disability Calculator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</si>
</sst>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&quot;$&quot;* #,##0.000_);_(&quot;$&quot;* \(#,##0.000\);_(&quot;$&quot;* &quot;-&quot;???_);_(@_)"/>
    <numFmt numFmtId="167" formatCode="_(&quot;$&quot;* #,##0.000_);_(&quot;$&quot;* \(#,##0.000\);_(&quot;$&quot;* &quot;-&quot;??_);_(@_)"/>
  </numFmts>
  <fonts count="20">
    <font>
      <sz val="10"/>
      <name val="Arial"/>
    </font>
    <font>
      <sz val="10"/>
      <name val="Arial"/>
    </font>
    <font>
      <b/>
      <sz val="14"/>
      <color indexed="12"/>
      <name val="Arial"/>
      <family val="2"/>
    </font>
    <font>
      <sz val="14"/>
      <color indexed="12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b/>
      <i/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u/>
      <sz val="12"/>
      <color indexed="10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4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8" fontId="0" fillId="0" borderId="0" xfId="0" applyNumberFormat="1"/>
    <xf numFmtId="8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Continuous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vertical="center"/>
    </xf>
    <xf numFmtId="164" fontId="8" fillId="4" borderId="2" xfId="0" applyNumberFormat="1" applyFont="1" applyFill="1" applyBorder="1" applyAlignment="1">
      <alignment vertical="center"/>
    </xf>
    <xf numFmtId="165" fontId="8" fillId="4" borderId="2" xfId="0" applyNumberFormat="1" applyFont="1" applyFill="1" applyBorder="1" applyAlignment="1">
      <alignment vertical="center"/>
    </xf>
    <xf numFmtId="165" fontId="5" fillId="0" borderId="2" xfId="0" applyNumberFormat="1" applyFont="1" applyFill="1" applyBorder="1" applyAlignment="1">
      <alignment vertical="center"/>
    </xf>
    <xf numFmtId="0" fontId="0" fillId="0" borderId="0" xfId="0" applyFill="1"/>
    <xf numFmtId="165" fontId="0" fillId="0" borderId="0" xfId="0" applyNumberFormat="1"/>
    <xf numFmtId="0" fontId="9" fillId="5" borderId="3" xfId="0" applyFont="1" applyFill="1" applyBorder="1"/>
    <xf numFmtId="0" fontId="0" fillId="5" borderId="1" xfId="0" applyFill="1" applyBorder="1"/>
    <xf numFmtId="165" fontId="8" fillId="5" borderId="2" xfId="0" applyNumberFormat="1" applyFont="1" applyFill="1" applyBorder="1"/>
    <xf numFmtId="0" fontId="10" fillId="0" borderId="0" xfId="0" applyFont="1"/>
    <xf numFmtId="165" fontId="11" fillId="0" borderId="0" xfId="1" applyNumberFormat="1" applyFont="1" applyFill="1" applyBorder="1"/>
    <xf numFmtId="165" fontId="12" fillId="0" borderId="0" xfId="1" applyNumberFormat="1" applyFont="1" applyFill="1" applyBorder="1"/>
    <xf numFmtId="0" fontId="13" fillId="0" borderId="0" xfId="0" applyFont="1"/>
    <xf numFmtId="10" fontId="13" fillId="0" borderId="0" xfId="0" applyNumberFormat="1" applyFont="1"/>
    <xf numFmtId="44" fontId="9" fillId="0" borderId="0" xfId="1" applyFont="1" applyAlignment="1">
      <alignment horizontal="right"/>
    </xf>
    <xf numFmtId="2" fontId="14" fillId="0" borderId="0" xfId="1" applyNumberFormat="1" applyFont="1" applyAlignment="1">
      <alignment horizontal="right"/>
    </xf>
    <xf numFmtId="0" fontId="15" fillId="0" borderId="0" xfId="0" applyFont="1"/>
    <xf numFmtId="0" fontId="0" fillId="5" borderId="3" xfId="0" applyFill="1" applyBorder="1"/>
    <xf numFmtId="165" fontId="0" fillId="5" borderId="4" xfId="0" applyNumberFormat="1" applyFill="1" applyBorder="1"/>
    <xf numFmtId="0" fontId="0" fillId="6" borderId="3" xfId="0" applyFill="1" applyBorder="1"/>
    <xf numFmtId="0" fontId="0" fillId="6" borderId="1" xfId="0" applyFill="1" applyBorder="1"/>
    <xf numFmtId="165" fontId="0" fillId="6" borderId="4" xfId="0" applyNumberFormat="1" applyFill="1" applyBorder="1"/>
    <xf numFmtId="8" fontId="6" fillId="0" borderId="0" xfId="0" applyNumberFormat="1" applyFont="1" applyFill="1" applyBorder="1" applyAlignment="1">
      <alignment horizontal="center"/>
    </xf>
    <xf numFmtId="8" fontId="0" fillId="0" borderId="0" xfId="0" applyNumberFormat="1" applyFill="1"/>
    <xf numFmtId="166" fontId="9" fillId="0" borderId="0" xfId="1" applyNumberFormat="1" applyFont="1" applyAlignment="1">
      <alignment horizontal="right"/>
    </xf>
    <xf numFmtId="0" fontId="9" fillId="0" borderId="0" xfId="0" applyFont="1"/>
    <xf numFmtId="0" fontId="16" fillId="0" borderId="0" xfId="0" applyFont="1"/>
    <xf numFmtId="0" fontId="17" fillId="0" borderId="0" xfId="0" applyFont="1"/>
    <xf numFmtId="164" fontId="13" fillId="0" borderId="0" xfId="0" applyNumberFormat="1" applyFont="1"/>
    <xf numFmtId="164" fontId="0" fillId="0" borderId="0" xfId="0" applyNumberFormat="1"/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1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5" fontId="13" fillId="0" borderId="0" xfId="0" applyNumberFormat="1" applyFont="1"/>
    <xf numFmtId="0" fontId="19" fillId="0" borderId="0" xfId="0" applyFont="1"/>
    <xf numFmtId="167" fontId="9" fillId="0" borderId="0" xfId="1" applyNumberFormat="1" applyFont="1" applyAlignment="1">
      <alignment horizontal="right"/>
    </xf>
    <xf numFmtId="164" fontId="4" fillId="7" borderId="2" xfId="0" applyNumberFormat="1" applyFont="1" applyFill="1" applyBorder="1" applyAlignment="1">
      <alignment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8" fontId="6" fillId="4" borderId="3" xfId="0" applyNumberFormat="1" applyFont="1" applyFill="1" applyBorder="1" applyAlignment="1">
      <alignment horizontal="center"/>
    </xf>
    <xf numFmtId="8" fontId="6" fillId="4" borderId="1" xfId="0" applyNumberFormat="1" applyFont="1" applyFill="1" applyBorder="1" applyAlignment="1">
      <alignment horizontal="center"/>
    </xf>
    <xf numFmtId="8" fontId="6" fillId="4" borderId="4" xfId="0" applyNumberFormat="1" applyFont="1" applyFill="1" applyBorder="1" applyAlignment="1">
      <alignment horizontal="center"/>
    </xf>
    <xf numFmtId="8" fontId="6" fillId="0" borderId="0" xfId="0" applyNumberFormat="1" applyFont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zoomScale="115" zoomScaleNormal="115" zoomScaleSheetLayoutView="80" workbookViewId="0">
      <selection activeCell="B12" sqref="B12"/>
    </sheetView>
  </sheetViews>
  <sheetFormatPr defaultRowHeight="12.75"/>
  <cols>
    <col min="1" max="1" width="13.85546875" customWidth="1"/>
    <col min="2" max="2" width="12.140625" customWidth="1"/>
    <col min="3" max="3" width="1.5703125" customWidth="1"/>
    <col min="4" max="4" width="11.140625" customWidth="1"/>
    <col min="5" max="5" width="24.85546875" customWidth="1"/>
    <col min="6" max="6" width="10" customWidth="1"/>
    <col min="7" max="7" width="14.42578125" customWidth="1"/>
    <col min="8" max="8" width="2" customWidth="1"/>
    <col min="9" max="9" width="11.140625" customWidth="1"/>
    <col min="10" max="10" width="11.28515625" customWidth="1"/>
    <col min="11" max="11" width="14.7109375" customWidth="1"/>
    <col min="12" max="12" width="19.85546875" customWidth="1"/>
  </cols>
  <sheetData>
    <row r="1" spans="1:12" ht="18">
      <c r="A1" s="1" t="s">
        <v>0</v>
      </c>
      <c r="B1" s="2"/>
      <c r="C1" s="2"/>
      <c r="D1" s="2"/>
    </row>
    <row r="2" spans="1:12" ht="18">
      <c r="A2" s="1" t="s">
        <v>34</v>
      </c>
      <c r="B2" s="2"/>
      <c r="C2" s="2"/>
      <c r="D2" s="2"/>
    </row>
    <row r="3" spans="1:12" ht="15">
      <c r="A3" s="3" t="s">
        <v>1</v>
      </c>
    </row>
    <row r="5" spans="1:12" ht="15">
      <c r="A5" s="3"/>
      <c r="F5" s="4"/>
      <c r="G5" s="5"/>
      <c r="H5" s="6"/>
      <c r="I5" s="6"/>
      <c r="J5" s="6"/>
    </row>
    <row r="6" spans="1:12">
      <c r="F6" s="4"/>
      <c r="G6" s="5"/>
      <c r="H6" s="6"/>
      <c r="I6" s="6"/>
      <c r="J6" s="6"/>
    </row>
    <row r="7" spans="1:12" ht="18">
      <c r="E7" s="54" t="s">
        <v>2</v>
      </c>
      <c r="F7" s="55"/>
      <c r="G7" s="56"/>
      <c r="H7" s="6"/>
      <c r="I7" s="6"/>
      <c r="J7" s="54" t="s">
        <v>3</v>
      </c>
      <c r="K7" s="55"/>
      <c r="L7" s="56"/>
    </row>
    <row r="8" spans="1:12" ht="18">
      <c r="A8" s="49" t="s">
        <v>32</v>
      </c>
      <c r="E8" s="57" t="s">
        <v>15</v>
      </c>
      <c r="F8" s="57"/>
      <c r="G8" s="57"/>
      <c r="H8" s="6"/>
      <c r="I8" s="6"/>
      <c r="J8" s="57" t="s">
        <v>28</v>
      </c>
      <c r="K8" s="57"/>
      <c r="L8" s="57"/>
    </row>
    <row r="9" spans="1:12">
      <c r="B9" s="8"/>
      <c r="E9" s="8"/>
      <c r="F9" s="8"/>
      <c r="G9" s="8"/>
      <c r="H9" s="8"/>
      <c r="I9" s="8"/>
      <c r="J9" s="8"/>
      <c r="K9" s="8"/>
      <c r="L9" s="8"/>
    </row>
    <row r="10" spans="1:12" ht="15.75">
      <c r="B10" s="60" t="s">
        <v>4</v>
      </c>
      <c r="D10" s="61" t="s">
        <v>5</v>
      </c>
      <c r="E10" s="62"/>
      <c r="F10" s="62"/>
      <c r="G10" s="62"/>
      <c r="H10" s="9"/>
      <c r="I10" s="61" t="s">
        <v>6</v>
      </c>
      <c r="J10" s="62"/>
      <c r="K10" s="62"/>
      <c r="L10" s="63"/>
    </row>
    <row r="11" spans="1:12" ht="47.25">
      <c r="B11" s="60"/>
      <c r="D11" s="10" t="s">
        <v>7</v>
      </c>
      <c r="E11" s="58" t="s">
        <v>30</v>
      </c>
      <c r="F11" s="59"/>
      <c r="G11" s="10" t="s">
        <v>9</v>
      </c>
      <c r="H11" s="12"/>
      <c r="I11" s="10" t="s">
        <v>7</v>
      </c>
      <c r="J11" s="58" t="s">
        <v>30</v>
      </c>
      <c r="K11" s="59"/>
      <c r="L11" s="10" t="s">
        <v>9</v>
      </c>
    </row>
    <row r="12" spans="1:12" ht="15.75">
      <c r="B12" s="13"/>
      <c r="D12" s="14">
        <f>ROUND(MINA(B12,K28),0)</f>
        <v>4333</v>
      </c>
      <c r="E12" s="52">
        <f>MINA((((B12*$B$28)*12)/52),600)</f>
        <v>0</v>
      </c>
      <c r="F12" s="53"/>
      <c r="G12" s="15">
        <f>D12*$F$37/100</f>
        <v>5.979540000000001</v>
      </c>
      <c r="H12" s="16"/>
      <c r="I12" s="14">
        <f>ROUND(MINA(B12,K32),0)</f>
        <v>10724</v>
      </c>
      <c r="J12" s="52">
        <f>MINA((((B12*$B$32)*12)/52),1650)</f>
        <v>0</v>
      </c>
      <c r="K12" s="53"/>
      <c r="L12" s="15">
        <f>I12*F41/100</f>
        <v>8.5792000000000002</v>
      </c>
    </row>
    <row r="13" spans="1:12" ht="18">
      <c r="E13" s="35"/>
      <c r="F13" s="35"/>
      <c r="G13" s="35"/>
      <c r="H13" s="36"/>
      <c r="I13" s="36"/>
      <c r="J13" s="35"/>
      <c r="K13" s="35"/>
      <c r="L13" s="35"/>
    </row>
    <row r="14" spans="1:12" ht="18">
      <c r="E14" s="35"/>
      <c r="F14" s="35"/>
      <c r="G14" s="35"/>
      <c r="H14" s="36"/>
      <c r="I14" s="36"/>
      <c r="J14" s="35"/>
      <c r="K14" s="35"/>
      <c r="L14" s="35"/>
    </row>
    <row r="15" spans="1:12" ht="18">
      <c r="E15" s="7"/>
      <c r="F15" s="7"/>
      <c r="G15" s="7"/>
      <c r="H15" s="6"/>
      <c r="I15" s="6"/>
      <c r="J15" s="7"/>
      <c r="K15" s="7"/>
      <c r="L15" s="7"/>
    </row>
    <row r="16" spans="1:12" ht="18">
      <c r="A16" s="49" t="s">
        <v>33</v>
      </c>
      <c r="E16" s="57" t="s">
        <v>16</v>
      </c>
      <c r="F16" s="57"/>
      <c r="G16" s="57"/>
      <c r="H16" s="6"/>
      <c r="I16" s="6"/>
      <c r="J16" s="57" t="s">
        <v>29</v>
      </c>
      <c r="K16" s="57"/>
      <c r="L16" s="57"/>
    </row>
    <row r="17" spans="1:12">
      <c r="A17" s="8"/>
      <c r="B17" s="8"/>
      <c r="E17" s="8"/>
      <c r="F17" s="8"/>
      <c r="G17" s="8"/>
      <c r="H17" s="8"/>
      <c r="I17" s="8"/>
      <c r="J17" s="8"/>
      <c r="K17" s="8"/>
      <c r="L17" s="8"/>
    </row>
    <row r="18" spans="1:12" ht="15.75">
      <c r="B18" s="64" t="s">
        <v>31</v>
      </c>
      <c r="D18" s="61" t="s">
        <v>5</v>
      </c>
      <c r="E18" s="62"/>
      <c r="F18" s="62"/>
      <c r="G18" s="62"/>
      <c r="H18" s="9"/>
      <c r="I18" s="61" t="s">
        <v>6</v>
      </c>
      <c r="J18" s="62"/>
      <c r="K18" s="62"/>
      <c r="L18" s="63"/>
    </row>
    <row r="19" spans="1:12" ht="47.25">
      <c r="B19" s="64"/>
      <c r="D19" s="10" t="s">
        <v>7</v>
      </c>
      <c r="E19" s="10" t="s">
        <v>8</v>
      </c>
      <c r="F19" s="11"/>
      <c r="G19" s="10" t="s">
        <v>9</v>
      </c>
      <c r="H19" s="12"/>
      <c r="I19" s="10" t="s">
        <v>7</v>
      </c>
      <c r="J19" s="10" t="s">
        <v>8</v>
      </c>
      <c r="K19" s="11"/>
      <c r="L19" s="10" t="s">
        <v>9</v>
      </c>
    </row>
    <row r="20" spans="1:12" ht="15.75">
      <c r="B20" s="51">
        <f>B12</f>
        <v>0</v>
      </c>
      <c r="D20" s="14">
        <f>ROUND(MINA(B20,J29),0)</f>
        <v>0</v>
      </c>
      <c r="E20" s="52">
        <f>MINA(B20*$B$29,2500)</f>
        <v>0</v>
      </c>
      <c r="F20" s="53"/>
      <c r="G20" s="15">
        <f>D20*F38/100</f>
        <v>0</v>
      </c>
      <c r="H20" s="16"/>
      <c r="I20" s="14">
        <f>ROUND(MINA(B20,J33),0)</f>
        <v>0</v>
      </c>
      <c r="J20" s="52">
        <f>MINA(B20*$B$33,7000)</f>
        <v>0</v>
      </c>
      <c r="K20" s="53"/>
      <c r="L20" s="15">
        <f>I20*F42/100</f>
        <v>0</v>
      </c>
    </row>
    <row r="21" spans="1:12">
      <c r="C21" s="17"/>
    </row>
    <row r="22" spans="1:12">
      <c r="G22" s="18"/>
      <c r="I22" s="30" t="s">
        <v>13</v>
      </c>
      <c r="J22" s="20"/>
      <c r="K22" s="20"/>
      <c r="L22" s="31">
        <f>(G12+G20)*12/26</f>
        <v>2.7597876923076927</v>
      </c>
    </row>
    <row r="23" spans="1:12" ht="15.75">
      <c r="A23" s="22"/>
      <c r="C23" s="22"/>
      <c r="D23" s="22"/>
      <c r="E23" s="22"/>
      <c r="F23" s="23"/>
      <c r="G23" s="24"/>
      <c r="I23" s="32" t="s">
        <v>14</v>
      </c>
      <c r="J23" s="33"/>
      <c r="K23" s="33"/>
      <c r="L23" s="34">
        <f>(L12+L20)*12/26</f>
        <v>3.9596307692307695</v>
      </c>
    </row>
    <row r="24" spans="1:12" ht="15.75">
      <c r="I24" s="19" t="s">
        <v>10</v>
      </c>
      <c r="J24" s="20"/>
      <c r="K24" s="20"/>
      <c r="L24" s="21">
        <f>L23+L22</f>
        <v>6.7194184615384618</v>
      </c>
    </row>
    <row r="25" spans="1:12">
      <c r="J25" s="25"/>
      <c r="K25" s="25"/>
      <c r="L25" s="25"/>
    </row>
    <row r="26" spans="1:12" hidden="1">
      <c r="A26" s="39" t="s">
        <v>21</v>
      </c>
      <c r="J26" s="25"/>
      <c r="K26" s="25"/>
      <c r="L26" s="25"/>
    </row>
    <row r="27" spans="1:12" hidden="1">
      <c r="A27" s="38" t="s">
        <v>2</v>
      </c>
      <c r="B27" s="40"/>
      <c r="C27" s="40"/>
      <c r="D27" s="40"/>
      <c r="E27" s="40"/>
      <c r="F27" s="40"/>
      <c r="G27" s="40"/>
      <c r="H27" s="40"/>
      <c r="I27" s="40"/>
      <c r="J27" s="40"/>
      <c r="K27" s="25"/>
      <c r="L27" s="25"/>
    </row>
    <row r="28" spans="1:12" hidden="1">
      <c r="A28" s="40" t="s">
        <v>22</v>
      </c>
      <c r="B28" s="45">
        <v>0.6</v>
      </c>
      <c r="C28" s="45"/>
      <c r="D28" s="46">
        <v>600</v>
      </c>
      <c r="E28" s="40" t="s">
        <v>26</v>
      </c>
      <c r="F28" s="44"/>
      <c r="G28" s="44"/>
      <c r="H28" s="44"/>
      <c r="I28" s="43" t="s">
        <v>25</v>
      </c>
      <c r="J28" s="47">
        <f>D28/B28</f>
        <v>1000</v>
      </c>
      <c r="K28" s="48">
        <f>J28*52/12</f>
        <v>4333.333333333333</v>
      </c>
      <c r="L28" s="48"/>
    </row>
    <row r="29" spans="1:12" hidden="1">
      <c r="A29" s="40" t="s">
        <v>23</v>
      </c>
      <c r="B29" s="45">
        <v>0.6</v>
      </c>
      <c r="C29" s="45"/>
      <c r="D29" s="46">
        <v>2500</v>
      </c>
      <c r="E29" s="40" t="s">
        <v>27</v>
      </c>
      <c r="G29" s="44"/>
      <c r="H29" s="44"/>
      <c r="I29" s="43" t="s">
        <v>24</v>
      </c>
      <c r="J29" s="47">
        <f>D29/B29</f>
        <v>4166.666666666667</v>
      </c>
      <c r="K29" s="25"/>
      <c r="L29" s="25"/>
    </row>
    <row r="30" spans="1:12" hidden="1">
      <c r="A30" s="25"/>
      <c r="B30" s="26"/>
      <c r="C30" s="26"/>
      <c r="D30" s="41"/>
      <c r="F30" s="25"/>
      <c r="G30" s="25"/>
      <c r="J30" s="25"/>
      <c r="K30" s="25"/>
      <c r="L30" s="25"/>
    </row>
    <row r="31" spans="1:12" hidden="1">
      <c r="A31" s="38" t="s">
        <v>19</v>
      </c>
      <c r="D31" s="42"/>
      <c r="J31" s="25"/>
      <c r="K31" s="25"/>
      <c r="L31" s="25"/>
    </row>
    <row r="32" spans="1:12" hidden="1">
      <c r="A32" s="40" t="s">
        <v>22</v>
      </c>
      <c r="B32" s="45">
        <v>0.66669999999999996</v>
      </c>
      <c r="C32" s="45"/>
      <c r="D32" s="46">
        <v>1650</v>
      </c>
      <c r="E32" s="40" t="s">
        <v>26</v>
      </c>
      <c r="F32" s="40"/>
      <c r="G32" s="40"/>
      <c r="H32" s="40"/>
      <c r="I32" s="43" t="s">
        <v>25</v>
      </c>
      <c r="J32" s="47">
        <f>D32/B32</f>
        <v>2474.8762561871908</v>
      </c>
      <c r="K32" s="48">
        <f>J32*52/12</f>
        <v>10724.463776811161</v>
      </c>
      <c r="L32" s="48"/>
    </row>
    <row r="33" spans="1:12" hidden="1">
      <c r="A33" s="40" t="s">
        <v>23</v>
      </c>
      <c r="B33" s="45">
        <v>0.66669999999999996</v>
      </c>
      <c r="C33" s="45"/>
      <c r="D33" s="46">
        <v>7000</v>
      </c>
      <c r="E33" s="40" t="s">
        <v>27</v>
      </c>
      <c r="F33" s="40"/>
      <c r="G33" s="40"/>
      <c r="H33" s="40"/>
      <c r="I33" s="43" t="s">
        <v>24</v>
      </c>
      <c r="J33" s="47">
        <f>D33/B33</f>
        <v>10499.475026248689</v>
      </c>
      <c r="K33" s="25"/>
      <c r="L33" s="25"/>
    </row>
    <row r="34" spans="1:12" hidden="1"/>
    <row r="35" spans="1:12" hidden="1">
      <c r="A35" s="39" t="s">
        <v>20</v>
      </c>
    </row>
    <row r="36" spans="1:12" hidden="1">
      <c r="A36" s="38" t="s">
        <v>2</v>
      </c>
    </row>
    <row r="37" spans="1:12" hidden="1">
      <c r="A37" t="s">
        <v>17</v>
      </c>
      <c r="F37" s="50">
        <v>0.13800000000000001</v>
      </c>
      <c r="G37" t="s">
        <v>11</v>
      </c>
      <c r="H37" s="6"/>
      <c r="I37" s="6"/>
      <c r="J37" s="6"/>
    </row>
    <row r="38" spans="1:12" hidden="1">
      <c r="A38" t="s">
        <v>18</v>
      </c>
      <c r="F38" s="37">
        <v>0.19400000000000001</v>
      </c>
      <c r="G38" t="s">
        <v>11</v>
      </c>
      <c r="H38" s="6"/>
      <c r="I38" s="6"/>
      <c r="J38" s="6"/>
    </row>
    <row r="39" spans="1:12" hidden="1">
      <c r="F39" s="28"/>
      <c r="G39" s="29"/>
    </row>
    <row r="40" spans="1:12" hidden="1">
      <c r="A40" s="38" t="s">
        <v>19</v>
      </c>
      <c r="F40" s="28"/>
      <c r="G40" s="29"/>
    </row>
    <row r="41" spans="1:12" hidden="1">
      <c r="A41" t="s">
        <v>17</v>
      </c>
      <c r="F41" s="27">
        <v>0.08</v>
      </c>
      <c r="G41" t="s">
        <v>11</v>
      </c>
      <c r="J41" t="s">
        <v>12</v>
      </c>
    </row>
    <row r="42" spans="1:12" hidden="1">
      <c r="A42" t="s">
        <v>18</v>
      </c>
      <c r="F42" s="37">
        <v>0.17299999999999999</v>
      </c>
      <c r="G42" t="s">
        <v>11</v>
      </c>
    </row>
  </sheetData>
  <mergeCells count="18">
    <mergeCell ref="E20:F20"/>
    <mergeCell ref="J20:K20"/>
    <mergeCell ref="E16:G16"/>
    <mergeCell ref="J16:L16"/>
    <mergeCell ref="B10:B11"/>
    <mergeCell ref="D10:G10"/>
    <mergeCell ref="I10:L10"/>
    <mergeCell ref="B18:B19"/>
    <mergeCell ref="D18:G18"/>
    <mergeCell ref="I18:L18"/>
    <mergeCell ref="E12:F12"/>
    <mergeCell ref="J12:K12"/>
    <mergeCell ref="E7:G7"/>
    <mergeCell ref="J7:L7"/>
    <mergeCell ref="E8:G8"/>
    <mergeCell ref="J8:L8"/>
    <mergeCell ref="E11:F11"/>
    <mergeCell ref="J11:K11"/>
  </mergeCells>
  <phoneticPr fontId="0" type="noConversion"/>
  <pageMargins left="0.75" right="0.75" top="1" bottom="1" header="0.5" footer="0.5"/>
  <pageSetup scale="6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 &amp; LTD</vt:lpstr>
    </vt:vector>
  </TitlesOfParts>
  <Company>City of Merced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of Merced</dc:creator>
  <cp:lastModifiedBy>Andrew S. Guzman</cp:lastModifiedBy>
  <cp:lastPrinted>2012-07-10T15:14:01Z</cp:lastPrinted>
  <dcterms:created xsi:type="dcterms:W3CDTF">2007-10-27T02:26:39Z</dcterms:created>
  <dcterms:modified xsi:type="dcterms:W3CDTF">2012-10-05T23:54:14Z</dcterms:modified>
</cp:coreProperties>
</file>