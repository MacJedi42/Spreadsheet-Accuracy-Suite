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0" yWindow="60" windowWidth="11340" windowHeight="5010" tabRatio="931"/>
  </bookViews>
  <sheets>
    <sheet name="Index &amp; Totals" sheetId="17" r:id="rId1"/>
    <sheet name="Salaries" sheetId="2" r:id="rId2"/>
    <sheet name="Benefits" sheetId="3" r:id="rId3"/>
    <sheet name="Supplies" sheetId="4" r:id="rId4"/>
    <sheet name="Printing" sheetId="5" r:id="rId5"/>
    <sheet name="Equipment" sheetId="6" r:id="rId6"/>
    <sheet name="Depreciation" sheetId="7" r:id="rId7"/>
    <sheet name="Staff Training" sheetId="8" r:id="rId8"/>
    <sheet name="Provider Training" sheetId="9" r:id="rId9"/>
    <sheet name="Contracted Services" sheetId="10" r:id="rId10"/>
    <sheet name="In-State Travel" sheetId="13" r:id="rId11"/>
    <sheet name="Out-State Travel" sheetId="14" r:id="rId12"/>
    <sheet name="Occupancy" sheetId="11" r:id="rId13"/>
    <sheet name="Communications" sheetId="12" r:id="rId14"/>
    <sheet name="Alt Funding Source" sheetId="15" r:id="rId15"/>
    <sheet name="Carry Over" sheetId="18" r:id="rId16"/>
  </sheets>
  <definedNames>
    <definedName name="_xlnm.Print_Area" localSheetId="14">'Alt Funding Source'!$A$22:$L$39</definedName>
    <definedName name="_xlnm.Print_Area" localSheetId="13">Communications!$A$1:$H$36</definedName>
    <definedName name="_xlnm.Print_Area" localSheetId="0">'Index &amp; Totals'!$A$1:$I$35</definedName>
    <definedName name="_xlnm.Print_Area" localSheetId="1">Salaries!$A$1:$N$21</definedName>
    <definedName name="_xlnm.Print_Area" localSheetId="7">'Staff Training'!$A$1:$M$19</definedName>
    <definedName name="_xlnm.Print_Area" localSheetId="3">Supplies!$A$1:$K$24</definedName>
  </definedNames>
  <calcPr calcId="145621"/>
</workbook>
</file>

<file path=xl/calcChain.xml><?xml version="1.0" encoding="utf-8"?>
<calcChain xmlns="http://schemas.openxmlformats.org/spreadsheetml/2006/main">
  <c r="E39" i="15" l="1"/>
  <c r="F39" i="15"/>
  <c r="D24" i="6"/>
  <c r="D23" i="6"/>
  <c r="D22" i="6"/>
  <c r="D21" i="6"/>
  <c r="D20" i="6"/>
  <c r="N9" i="2" l="1"/>
  <c r="N10" i="2"/>
  <c r="N11" i="2"/>
  <c r="N12" i="2"/>
  <c r="N13" i="2"/>
  <c r="N14" i="2"/>
  <c r="N15" i="2"/>
  <c r="N16" i="2"/>
  <c r="N17" i="2"/>
  <c r="N18" i="2"/>
  <c r="F29" i="15" l="1"/>
  <c r="F30" i="15" l="1"/>
  <c r="F31" i="15"/>
  <c r="F32" i="15"/>
  <c r="F33" i="15"/>
  <c r="F34" i="15"/>
  <c r="F35" i="15"/>
  <c r="F36" i="15"/>
  <c r="F37" i="15"/>
  <c r="F38" i="15"/>
  <c r="K8" i="2" l="1"/>
  <c r="N8" i="2" s="1"/>
  <c r="K9" i="2"/>
  <c r="K10" i="2"/>
  <c r="K11" i="2"/>
  <c r="K12" i="2"/>
  <c r="M12" i="2" s="1"/>
  <c r="K13" i="2"/>
  <c r="K14" i="2"/>
  <c r="M14" i="2" s="1"/>
  <c r="K15" i="2"/>
  <c r="K16" i="2"/>
  <c r="M16" i="2" s="1"/>
  <c r="K17" i="2"/>
  <c r="K18" i="2"/>
  <c r="M18" i="2" s="1"/>
  <c r="M9" i="2"/>
  <c r="M10" i="2"/>
  <c r="M11" i="2"/>
  <c r="M13" i="2"/>
  <c r="M15" i="2"/>
  <c r="M17" i="2"/>
  <c r="O36" i="3"/>
  <c r="O37" i="3"/>
  <c r="E6" i="4"/>
  <c r="G6" i="4" s="1"/>
  <c r="E6" i="5"/>
  <c r="G6" i="5" s="1"/>
  <c r="E7" i="5"/>
  <c r="G7" i="5" s="1"/>
  <c r="G11" i="6"/>
  <c r="I7" i="7"/>
  <c r="K6" i="8"/>
  <c r="M6" i="8" s="1"/>
  <c r="K7" i="8"/>
  <c r="M7" i="8" s="1"/>
  <c r="K8" i="8"/>
  <c r="M8" i="8" s="1"/>
  <c r="K9" i="8"/>
  <c r="M9" i="8" s="1"/>
  <c r="K10" i="8"/>
  <c r="M10" i="8" s="1"/>
  <c r="K11" i="8"/>
  <c r="M11" i="8" s="1"/>
  <c r="K12" i="8"/>
  <c r="M12" i="8" s="1"/>
  <c r="K13" i="8"/>
  <c r="M13" i="8" s="1"/>
  <c r="K14" i="8"/>
  <c r="M14" i="8" s="1"/>
  <c r="K15" i="8"/>
  <c r="M15" i="8" s="1"/>
  <c r="K16" i="8"/>
  <c r="M16" i="8" s="1"/>
  <c r="K17" i="8"/>
  <c r="M17" i="8" s="1"/>
  <c r="K5" i="9"/>
  <c r="M5" i="9" s="1"/>
  <c r="K6" i="9"/>
  <c r="M6" i="9" s="1"/>
  <c r="K7" i="9"/>
  <c r="M7" i="9" s="1"/>
  <c r="K8" i="9"/>
  <c r="M8" i="9" s="1"/>
  <c r="K9" i="9"/>
  <c r="M9" i="9" s="1"/>
  <c r="K10" i="9"/>
  <c r="M10" i="9" s="1"/>
  <c r="K11" i="9"/>
  <c r="M11" i="9" s="1"/>
  <c r="K12" i="9"/>
  <c r="M12" i="9" s="1"/>
  <c r="K13" i="9"/>
  <c r="M13" i="9" s="1"/>
  <c r="K14" i="9"/>
  <c r="M14" i="9" s="1"/>
  <c r="K15" i="9"/>
  <c r="M15" i="9" s="1"/>
  <c r="K16" i="9"/>
  <c r="M16" i="9" s="1"/>
  <c r="I9" i="10"/>
  <c r="I10" i="10"/>
  <c r="I11" i="10"/>
  <c r="I12" i="10"/>
  <c r="I13" i="10"/>
  <c r="I14" i="10"/>
  <c r="I15" i="10"/>
  <c r="I16" i="10"/>
  <c r="I17" i="10"/>
  <c r="I18" i="10"/>
  <c r="I19" i="10"/>
  <c r="I20" i="10"/>
  <c r="I21" i="10"/>
  <c r="I22" i="10"/>
  <c r="I23" i="10"/>
  <c r="I24" i="10"/>
  <c r="I25" i="10"/>
  <c r="G7" i="13"/>
  <c r="F13" i="12"/>
  <c r="F14" i="12"/>
  <c r="F15" i="12"/>
  <c r="F16" i="12"/>
  <c r="F17" i="12"/>
  <c r="F18" i="12"/>
  <c r="F19" i="12"/>
  <c r="F20" i="12"/>
  <c r="F21" i="12"/>
  <c r="F22" i="12"/>
  <c r="F23" i="12"/>
  <c r="F24" i="12"/>
  <c r="F25" i="12"/>
  <c r="F26" i="12"/>
  <c r="F27" i="12"/>
  <c r="F28" i="12"/>
  <c r="F29" i="12"/>
  <c r="F30" i="12"/>
  <c r="F31" i="12"/>
  <c r="F12" i="12"/>
  <c r="H26" i="11"/>
  <c r="H27" i="11"/>
  <c r="H25" i="11"/>
  <c r="E12" i="11"/>
  <c r="E13" i="11"/>
  <c r="E14" i="11"/>
  <c r="E15" i="11"/>
  <c r="E16" i="11"/>
  <c r="E17" i="11"/>
  <c r="E18" i="11"/>
  <c r="E19" i="11"/>
  <c r="E20" i="11"/>
  <c r="E11" i="11"/>
  <c r="E8" i="7"/>
  <c r="E9" i="7"/>
  <c r="E10" i="7"/>
  <c r="E11" i="7"/>
  <c r="E12" i="7"/>
  <c r="E13" i="7"/>
  <c r="E14" i="7"/>
  <c r="E15" i="7"/>
  <c r="E16" i="7"/>
  <c r="E17" i="7"/>
  <c r="E18" i="7"/>
  <c r="E19" i="7"/>
  <c r="E20" i="7"/>
  <c r="E21" i="7"/>
  <c r="E22" i="7"/>
  <c r="E7" i="7"/>
  <c r="N36" i="3"/>
  <c r="N37" i="3"/>
  <c r="M38" i="3"/>
  <c r="O38" i="3" s="1"/>
  <c r="M39" i="3"/>
  <c r="O39" i="3" s="1"/>
  <c r="M40" i="3"/>
  <c r="O40" i="3" s="1"/>
  <c r="M41" i="3"/>
  <c r="O41" i="3" s="1"/>
  <c r="M42" i="3"/>
  <c r="O42" i="3" s="1"/>
  <c r="M43" i="3"/>
  <c r="O43" i="3" s="1"/>
  <c r="M44" i="3"/>
  <c r="O44" i="3" s="1"/>
  <c r="M45" i="3"/>
  <c r="O45" i="3" s="1"/>
  <c r="M46" i="3"/>
  <c r="O46" i="3" s="1"/>
  <c r="M47" i="3"/>
  <c r="O47" i="3" s="1"/>
  <c r="M48" i="3"/>
  <c r="O48" i="3" s="1"/>
  <c r="M49" i="3"/>
  <c r="O49" i="3" s="1"/>
  <c r="M50" i="3"/>
  <c r="O50" i="3" s="1"/>
  <c r="M51" i="3"/>
  <c r="O51" i="3" s="1"/>
  <c r="M52" i="3"/>
  <c r="O52" i="3" s="1"/>
  <c r="L38" i="3"/>
  <c r="L39" i="3"/>
  <c r="N39" i="3" s="1"/>
  <c r="L40" i="3"/>
  <c r="L41" i="3"/>
  <c r="N41" i="3" s="1"/>
  <c r="L42" i="3"/>
  <c r="L43" i="3"/>
  <c r="N43" i="3" s="1"/>
  <c r="L44" i="3"/>
  <c r="L45" i="3"/>
  <c r="N45" i="3" s="1"/>
  <c r="L46" i="3"/>
  <c r="N46" i="3" s="1"/>
  <c r="L47" i="3"/>
  <c r="N47" i="3" s="1"/>
  <c r="L48" i="3"/>
  <c r="N48" i="3" s="1"/>
  <c r="L49" i="3"/>
  <c r="N49" i="3" s="1"/>
  <c r="L50" i="3"/>
  <c r="N50" i="3" s="1"/>
  <c r="L51" i="3"/>
  <c r="N51" i="3" s="1"/>
  <c r="L52" i="3"/>
  <c r="N52" i="3" s="1"/>
  <c r="J37" i="3"/>
  <c r="K37" i="3" s="1"/>
  <c r="J38" i="3"/>
  <c r="K38" i="3" s="1"/>
  <c r="J39" i="3"/>
  <c r="K39" i="3" s="1"/>
  <c r="J40" i="3"/>
  <c r="K40" i="3" s="1"/>
  <c r="J41" i="3"/>
  <c r="K41" i="3" s="1"/>
  <c r="J42" i="3"/>
  <c r="K42" i="3" s="1"/>
  <c r="J43" i="3"/>
  <c r="K43" i="3" s="1"/>
  <c r="J44" i="3"/>
  <c r="K44" i="3" s="1"/>
  <c r="J45" i="3"/>
  <c r="K45" i="3" s="1"/>
  <c r="J46" i="3"/>
  <c r="K46" i="3" s="1"/>
  <c r="J47" i="3"/>
  <c r="K47" i="3" s="1"/>
  <c r="J48" i="3"/>
  <c r="K48" i="3" s="1"/>
  <c r="J49" i="3"/>
  <c r="K49" i="3" s="1"/>
  <c r="J50" i="3"/>
  <c r="K50" i="3" s="1"/>
  <c r="J51" i="3"/>
  <c r="K51" i="3" s="1"/>
  <c r="J52" i="3"/>
  <c r="K52" i="3" s="1"/>
  <c r="I43" i="3"/>
  <c r="I44" i="3"/>
  <c r="I45" i="3"/>
  <c r="I46" i="3"/>
  <c r="I47" i="3"/>
  <c r="I48" i="3"/>
  <c r="I49" i="3"/>
  <c r="I50" i="3"/>
  <c r="I51" i="3"/>
  <c r="I52" i="3"/>
  <c r="I37" i="3"/>
  <c r="I38" i="3"/>
  <c r="I39" i="3"/>
  <c r="I40" i="3"/>
  <c r="I41" i="3"/>
  <c r="I42" i="3"/>
  <c r="J36" i="3"/>
  <c r="K36" i="3" s="1"/>
  <c r="I36" i="3"/>
  <c r="E52" i="3"/>
  <c r="F52" i="3" s="1"/>
  <c r="E37" i="3"/>
  <c r="F37" i="3" s="1"/>
  <c r="E38" i="3"/>
  <c r="F38" i="3" s="1"/>
  <c r="E39" i="3"/>
  <c r="F39" i="3" s="1"/>
  <c r="E40" i="3"/>
  <c r="F40" i="3" s="1"/>
  <c r="E41" i="3"/>
  <c r="F41" i="3" s="1"/>
  <c r="E42" i="3"/>
  <c r="F42" i="3" s="1"/>
  <c r="E43" i="3"/>
  <c r="F43" i="3" s="1"/>
  <c r="E44" i="3"/>
  <c r="F44" i="3" s="1"/>
  <c r="E45" i="3"/>
  <c r="F45" i="3" s="1"/>
  <c r="E46" i="3"/>
  <c r="F46" i="3" s="1"/>
  <c r="E47" i="3"/>
  <c r="F47" i="3" s="1"/>
  <c r="E48" i="3"/>
  <c r="F48" i="3" s="1"/>
  <c r="E49" i="3"/>
  <c r="F49" i="3" s="1"/>
  <c r="E50" i="3"/>
  <c r="F50" i="3" s="1"/>
  <c r="E51" i="3"/>
  <c r="F51" i="3" s="1"/>
  <c r="D37" i="3"/>
  <c r="D38" i="3"/>
  <c r="D39" i="3"/>
  <c r="D40" i="3"/>
  <c r="D41" i="3"/>
  <c r="D42" i="3"/>
  <c r="D43" i="3"/>
  <c r="D44" i="3"/>
  <c r="D45" i="3"/>
  <c r="D46" i="3"/>
  <c r="D47" i="3"/>
  <c r="D48" i="3"/>
  <c r="D49" i="3"/>
  <c r="D50" i="3"/>
  <c r="D51" i="3"/>
  <c r="D52" i="3"/>
  <c r="E36" i="3"/>
  <c r="F36" i="3" s="1"/>
  <c r="D36" i="3"/>
  <c r="E8" i="3"/>
  <c r="F8" i="3" s="1"/>
  <c r="E9" i="3"/>
  <c r="F9" i="3" s="1"/>
  <c r="E10" i="3"/>
  <c r="F10" i="3" s="1"/>
  <c r="E11" i="3"/>
  <c r="F11" i="3" s="1"/>
  <c r="E12" i="3"/>
  <c r="F12" i="3" s="1"/>
  <c r="E13" i="3"/>
  <c r="F13" i="3" s="1"/>
  <c r="E14" i="3"/>
  <c r="F14" i="3" s="1"/>
  <c r="E15" i="3"/>
  <c r="F15" i="3" s="1"/>
  <c r="E16" i="3"/>
  <c r="F16" i="3" s="1"/>
  <c r="E17" i="3"/>
  <c r="F17" i="3" s="1"/>
  <c r="E18" i="3"/>
  <c r="F18" i="3" s="1"/>
  <c r="E19" i="3"/>
  <c r="F19" i="3" s="1"/>
  <c r="E20" i="3"/>
  <c r="F20" i="3" s="1"/>
  <c r="E21" i="3"/>
  <c r="F21" i="3" s="1"/>
  <c r="E22" i="3"/>
  <c r="F22" i="3" s="1"/>
  <c r="E23" i="3"/>
  <c r="F23" i="3" s="1"/>
  <c r="E24" i="3"/>
  <c r="F24" i="3" s="1"/>
  <c r="E25" i="3"/>
  <c r="F25" i="3" s="1"/>
  <c r="D8" i="3"/>
  <c r="D9" i="3"/>
  <c r="D10" i="3"/>
  <c r="D11" i="3"/>
  <c r="D12" i="3"/>
  <c r="D13" i="3"/>
  <c r="D14" i="3"/>
  <c r="D15" i="3"/>
  <c r="D16" i="3"/>
  <c r="D17" i="3"/>
  <c r="D18" i="3"/>
  <c r="D19" i="3"/>
  <c r="D20" i="3"/>
  <c r="D21" i="3"/>
  <c r="D22" i="3"/>
  <c r="D23" i="3"/>
  <c r="D24" i="3"/>
  <c r="D25" i="3"/>
  <c r="I22" i="3"/>
  <c r="I23" i="3"/>
  <c r="I24" i="3"/>
  <c r="I25" i="3"/>
  <c r="I8" i="3"/>
  <c r="I9" i="3"/>
  <c r="I10" i="3"/>
  <c r="I11" i="3"/>
  <c r="I12" i="3"/>
  <c r="I13" i="3"/>
  <c r="I14" i="3"/>
  <c r="I15" i="3"/>
  <c r="I16" i="3"/>
  <c r="I17" i="3"/>
  <c r="I18" i="3"/>
  <c r="I19" i="3"/>
  <c r="I20" i="3"/>
  <c r="I21" i="3"/>
  <c r="J19" i="3"/>
  <c r="J20" i="3"/>
  <c r="J21" i="3"/>
  <c r="J22" i="3"/>
  <c r="J23" i="3"/>
  <c r="J24" i="3"/>
  <c r="J25" i="3"/>
  <c r="J8" i="3"/>
  <c r="J9" i="3"/>
  <c r="J10" i="3"/>
  <c r="J11" i="3"/>
  <c r="J12" i="3"/>
  <c r="J13" i="3"/>
  <c r="J14" i="3"/>
  <c r="J15" i="3"/>
  <c r="J16" i="3"/>
  <c r="J17" i="3"/>
  <c r="J18" i="3"/>
  <c r="K19" i="3"/>
  <c r="K20" i="3"/>
  <c r="K21" i="3"/>
  <c r="K22" i="3"/>
  <c r="K23" i="3"/>
  <c r="K24" i="3"/>
  <c r="K25" i="3"/>
  <c r="K8" i="3"/>
  <c r="K9" i="3"/>
  <c r="K10" i="3"/>
  <c r="K11" i="3"/>
  <c r="K12" i="3"/>
  <c r="K13" i="3"/>
  <c r="K14" i="3"/>
  <c r="K15" i="3"/>
  <c r="K16" i="3"/>
  <c r="K17" i="3"/>
  <c r="K18" i="3"/>
  <c r="J7" i="3"/>
  <c r="K7" i="3"/>
  <c r="I7" i="3"/>
  <c r="O8" i="3"/>
  <c r="P8" i="3" s="1"/>
  <c r="O9" i="3"/>
  <c r="O10" i="3"/>
  <c r="P10" i="3" s="1"/>
  <c r="O11" i="3"/>
  <c r="O12" i="3"/>
  <c r="P12" i="3" s="1"/>
  <c r="O13" i="3"/>
  <c r="O14" i="3"/>
  <c r="P14" i="3" s="1"/>
  <c r="O15" i="3"/>
  <c r="O16" i="3"/>
  <c r="P16" i="3" s="1"/>
  <c r="O17" i="3"/>
  <c r="O18" i="3"/>
  <c r="P18" i="3" s="1"/>
  <c r="O19" i="3"/>
  <c r="O20" i="3"/>
  <c r="P20" i="3" s="1"/>
  <c r="O21" i="3"/>
  <c r="O22" i="3"/>
  <c r="P22" i="3" s="1"/>
  <c r="O23" i="3"/>
  <c r="O24" i="3"/>
  <c r="P24" i="3" s="1"/>
  <c r="O25" i="3"/>
  <c r="P17" i="3"/>
  <c r="P19" i="3"/>
  <c r="P21" i="3"/>
  <c r="P23" i="3"/>
  <c r="P25" i="3"/>
  <c r="P9" i="3"/>
  <c r="P11" i="3"/>
  <c r="P13" i="3"/>
  <c r="P15" i="3"/>
  <c r="O7" i="3"/>
  <c r="P7" i="3" s="1"/>
  <c r="N24" i="3"/>
  <c r="N25" i="3"/>
  <c r="N8" i="3"/>
  <c r="N9" i="3"/>
  <c r="N10" i="3"/>
  <c r="N11" i="3"/>
  <c r="N12" i="3"/>
  <c r="N13" i="3"/>
  <c r="N14" i="3"/>
  <c r="N15" i="3"/>
  <c r="N16" i="3"/>
  <c r="N17" i="3"/>
  <c r="N18" i="3"/>
  <c r="N19" i="3"/>
  <c r="N20" i="3"/>
  <c r="N21" i="3"/>
  <c r="N22" i="3"/>
  <c r="N23" i="3"/>
  <c r="N7" i="3"/>
  <c r="E7" i="3"/>
  <c r="F7" i="3"/>
  <c r="F32" i="12"/>
  <c r="C22" i="17" s="1"/>
  <c r="E16" i="5"/>
  <c r="G16" i="5" s="1"/>
  <c r="I8" i="7"/>
  <c r="E22" i="4"/>
  <c r="E21" i="4"/>
  <c r="E20" i="4"/>
  <c r="E19" i="4"/>
  <c r="E18" i="4"/>
  <c r="E17" i="4"/>
  <c r="E16" i="4"/>
  <c r="G16" i="4" s="1"/>
  <c r="E15" i="4"/>
  <c r="G15" i="4" s="1"/>
  <c r="E14" i="4"/>
  <c r="G14" i="4" s="1"/>
  <c r="E13" i="4"/>
  <c r="G13" i="4" s="1"/>
  <c r="E12" i="4"/>
  <c r="G12" i="4" s="1"/>
  <c r="E11" i="4"/>
  <c r="G11" i="4" s="1"/>
  <c r="E10" i="4"/>
  <c r="G10" i="4" s="1"/>
  <c r="E9" i="4"/>
  <c r="G9" i="4" s="1"/>
  <c r="E8" i="4"/>
  <c r="G8" i="4" s="1"/>
  <c r="E7" i="4"/>
  <c r="G7" i="4" s="1"/>
  <c r="E21" i="5"/>
  <c r="G21" i="5" s="1"/>
  <c r="E20" i="5"/>
  <c r="G20" i="5" s="1"/>
  <c r="E19" i="5"/>
  <c r="G19" i="5" s="1"/>
  <c r="E18" i="5"/>
  <c r="G18" i="5" s="1"/>
  <c r="E17" i="5"/>
  <c r="G17" i="5" s="1"/>
  <c r="E15" i="5"/>
  <c r="G15" i="5" s="1"/>
  <c r="E14" i="5"/>
  <c r="G14" i="5" s="1"/>
  <c r="E13" i="5"/>
  <c r="G13" i="5" s="1"/>
  <c r="E12" i="5"/>
  <c r="G12" i="5" s="1"/>
  <c r="E11" i="5"/>
  <c r="G11" i="5" s="1"/>
  <c r="E10" i="5"/>
  <c r="G10" i="5" s="1"/>
  <c r="E9" i="5"/>
  <c r="G9" i="5" s="1"/>
  <c r="E8" i="5"/>
  <c r="G8" i="5" s="1"/>
  <c r="G15" i="6"/>
  <c r="G14" i="6"/>
  <c r="G13" i="6"/>
  <c r="G12" i="6"/>
  <c r="L14" i="14"/>
  <c r="L13" i="14"/>
  <c r="L12" i="14"/>
  <c r="L11" i="14"/>
  <c r="L10" i="14"/>
  <c r="L9" i="14"/>
  <c r="L8" i="14"/>
  <c r="L7" i="14"/>
  <c r="L6" i="14"/>
  <c r="L15" i="14" s="1"/>
  <c r="C20" i="17" s="1"/>
  <c r="L5" i="14"/>
  <c r="K17" i="9"/>
  <c r="J18" i="8"/>
  <c r="I18" i="8"/>
  <c r="H18" i="8"/>
  <c r="G18" i="8"/>
  <c r="F18" i="8"/>
  <c r="E18" i="8"/>
  <c r="D18" i="8"/>
  <c r="C18" i="8"/>
  <c r="G17" i="4"/>
  <c r="I22" i="7"/>
  <c r="I21" i="7"/>
  <c r="I20" i="7"/>
  <c r="I19" i="7"/>
  <c r="I18" i="7"/>
  <c r="I17" i="7"/>
  <c r="I16" i="7"/>
  <c r="I15" i="7"/>
  <c r="I14" i="7"/>
  <c r="I13" i="7"/>
  <c r="I12" i="7"/>
  <c r="I11" i="7"/>
  <c r="I10" i="7"/>
  <c r="I9" i="7"/>
  <c r="G22" i="13"/>
  <c r="G21" i="13"/>
  <c r="G20" i="13"/>
  <c r="G19" i="13"/>
  <c r="G18" i="13"/>
  <c r="G17" i="13"/>
  <c r="G16" i="13"/>
  <c r="G15" i="13"/>
  <c r="G14" i="13"/>
  <c r="G13" i="13"/>
  <c r="G12" i="13"/>
  <c r="G11" i="13"/>
  <c r="G10" i="13"/>
  <c r="G9" i="13"/>
  <c r="G8" i="13"/>
  <c r="D7" i="3"/>
  <c r="K18" i="8"/>
  <c r="E21" i="11" l="1"/>
  <c r="G16" i="6"/>
  <c r="G23" i="13"/>
  <c r="C19" i="17" s="1"/>
  <c r="H30" i="11"/>
  <c r="I26" i="10"/>
  <c r="C18" i="17" s="1"/>
  <c r="D39" i="15"/>
  <c r="I23" i="7"/>
  <c r="C15" i="17" s="1"/>
  <c r="L53" i="3"/>
  <c r="N19" i="2"/>
  <c r="C10" i="17" s="1"/>
  <c r="H32" i="11"/>
  <c r="C21" i="17" s="1"/>
  <c r="M18" i="9"/>
  <c r="C17" i="17" s="1"/>
  <c r="M19" i="8"/>
  <c r="C16" i="17" s="1"/>
  <c r="G22" i="5"/>
  <c r="C13" i="17" s="1"/>
  <c r="G23" i="4"/>
  <c r="C12" i="17" s="1"/>
  <c r="O53" i="3"/>
  <c r="C11" i="17" s="1"/>
  <c r="N44" i="3"/>
  <c r="N42" i="3"/>
  <c r="N40" i="3"/>
  <c r="N38" i="3"/>
  <c r="M53" i="3"/>
  <c r="D26" i="6" l="1"/>
  <c r="C14" i="17" s="1"/>
  <c r="C28" i="17"/>
  <c r="N53" i="3"/>
  <c r="C25" i="17"/>
  <c r="C30" i="17" l="1"/>
  <c r="E28" i="17" s="1"/>
</calcChain>
</file>

<file path=xl/comments1.xml><?xml version="1.0" encoding="utf-8"?>
<comments xmlns="http://schemas.openxmlformats.org/spreadsheetml/2006/main">
  <authors>
    <author>schurack</author>
  </authors>
  <commentList>
    <comment ref="C1" authorId="0">
      <text>
        <r>
          <rPr>
            <sz val="8"/>
            <color indexed="81"/>
            <rFont val="Tahoma"/>
            <family val="2"/>
          </rPr>
          <t xml:space="preserve">Prior approval is needed for travel and registration fees for attending meetings and conferences devoted solely to the CACFP
</t>
        </r>
      </text>
    </comment>
    <comment ref="D1" authorId="0">
      <text>
        <r>
          <rPr>
            <sz val="8"/>
            <color indexed="81"/>
            <rFont val="Tahoma"/>
            <family val="2"/>
          </rPr>
          <t xml:space="preserve">Specific Prior Written (SPWA) is needed to prorate a share of travel and registration fees when the CACFP is only a portion of a larger CACFP related agenda
</t>
        </r>
      </text>
    </comment>
  </commentList>
</comments>
</file>

<file path=xl/comments2.xml><?xml version="1.0" encoding="utf-8"?>
<comments xmlns="http://schemas.openxmlformats.org/spreadsheetml/2006/main">
  <authors>
    <author>schurack</author>
  </authors>
  <commentList>
    <comment ref="D1" authorId="0">
      <text>
        <r>
          <rPr>
            <sz val="8"/>
            <color indexed="81"/>
            <rFont val="Tahoma"/>
            <family val="2"/>
          </rPr>
          <t>Prior approval is needed for travel and registration fees for attending meetings and conferences devoted solely to the CACFP. Specific Prior Written approval is needed to prorate a share of travel and registration fees when the CACFP is only a protion of a larger CACFP related agenda</t>
        </r>
      </text>
    </comment>
  </commentList>
</comments>
</file>

<file path=xl/comments3.xml><?xml version="1.0" encoding="utf-8"?>
<comments xmlns="http://schemas.openxmlformats.org/spreadsheetml/2006/main">
  <authors>
    <author>DEBRAH</author>
  </authors>
  <commentList>
    <comment ref="A3" authorId="0">
      <text>
        <r>
          <rPr>
            <sz val="10"/>
            <color indexed="81"/>
            <rFont val="Tahoma"/>
            <family val="2"/>
          </rPr>
          <t xml:space="preserve">Costs to pursue administrative and judicial recovery of funds requires specific prior written approval
</t>
        </r>
      </text>
    </comment>
    <comment ref="A5" authorId="0">
      <text>
        <r>
          <rPr>
            <b/>
            <sz val="10"/>
            <color indexed="81"/>
            <rFont val="Tahoma"/>
            <family val="2"/>
          </rPr>
          <t>Costs for services performed by individuals who are not officers, employees or member of the institution requires specific prior written approval</t>
        </r>
      </text>
    </comment>
    <comment ref="A6" authorId="0">
      <text>
        <r>
          <rPr>
            <sz val="10"/>
            <color indexed="81"/>
            <rFont val="Tahoma"/>
            <family val="2"/>
          </rPr>
          <t xml:space="preserve">"Stop payment" Charges and Program account reconciliation and analysis fees must have specific prior written approval.
</t>
        </r>
      </text>
    </comment>
    <comment ref="A7" authorId="0">
      <text>
        <r>
          <rPr>
            <sz val="10"/>
            <color indexed="81"/>
            <rFont val="Tahoma"/>
            <family val="2"/>
          </rPr>
          <t xml:space="preserve">the costs of studies directly related to the program requires specific prior approval.
</t>
        </r>
      </text>
    </comment>
  </commentList>
</comments>
</file>

<file path=xl/comments4.xml><?xml version="1.0" encoding="utf-8"?>
<comments xmlns="http://schemas.openxmlformats.org/spreadsheetml/2006/main">
  <authors>
    <author>schurack</author>
  </authors>
  <commentList>
    <comment ref="A1" authorId="0">
      <text>
        <r>
          <rPr>
            <sz val="8"/>
            <color indexed="81"/>
            <rFont val="Tahoma"/>
            <family val="2"/>
          </rPr>
          <t xml:space="preserve">Prior approval is needed for travel and registration fees for attending meetings and conferences devoted solely to the CACFP
</t>
        </r>
      </text>
    </comment>
    <comment ref="D1" authorId="0">
      <text>
        <r>
          <rPr>
            <sz val="8"/>
            <color indexed="81"/>
            <rFont val="Tahoma"/>
            <family val="2"/>
          </rPr>
          <t>Specific prior Written approval is needed to prorate a share of travel and registration fees when the CACFP is only a potion of a larger CACFP  related agenda</t>
        </r>
      </text>
    </comment>
  </commentList>
</comments>
</file>

<file path=xl/comments5.xml><?xml version="1.0" encoding="utf-8"?>
<comments xmlns="http://schemas.openxmlformats.org/spreadsheetml/2006/main">
  <authors>
    <author>schurack</author>
  </authors>
  <commentList>
    <comment ref="A24" authorId="0">
      <text>
        <r>
          <rPr>
            <sz val="8"/>
            <color indexed="81"/>
            <rFont val="Tahoma"/>
            <family val="2"/>
          </rPr>
          <t xml:space="preserve">
The costs of insurance required by the State agency that are identified in the insitution's program agreement and maintained pursuant to that program agreement requires Specific Prior Written Approval (SPWA)</t>
        </r>
      </text>
    </comment>
  </commentList>
</comments>
</file>

<file path=xl/comments6.xml><?xml version="1.0" encoding="utf-8"?>
<comments xmlns="http://schemas.openxmlformats.org/spreadsheetml/2006/main">
  <authors>
    <author>DEBRAH</author>
  </authors>
  <commentList>
    <comment ref="A12" authorId="0">
      <text>
        <r>
          <rPr>
            <sz val="10"/>
            <color indexed="81"/>
            <rFont val="Tahoma"/>
            <family val="2"/>
          </rPr>
          <t xml:space="preserve">Public relation costs which are costs for pamphlets, news releases and other information service must have prior approval.
</t>
        </r>
      </text>
    </comment>
    <comment ref="A17" authorId="0">
      <text>
        <r>
          <rPr>
            <sz val="10"/>
            <color indexed="81"/>
            <rFont val="Tahoma"/>
            <family val="2"/>
          </rPr>
          <t xml:space="preserve">Cell Phones leased or owned by the insitution must have prior approval. List line item for each phone or number of phones for a particular position title. Example 7-Monitors
</t>
        </r>
      </text>
    </comment>
    <comment ref="A18" authorId="0">
      <text>
        <r>
          <rPr>
            <sz val="10"/>
            <color indexed="81"/>
            <rFont val="Tahoma"/>
            <family val="2"/>
          </rPr>
          <t xml:space="preserve">Cell Phones leased or owned by the insitution must have prior approval.
</t>
        </r>
      </text>
    </comment>
    <comment ref="A19" authorId="0">
      <text>
        <r>
          <rPr>
            <sz val="10"/>
            <color indexed="81"/>
            <rFont val="Tahoma"/>
            <family val="2"/>
          </rPr>
          <t xml:space="preserve">Cell Phones leased or owned by the insitution must have prior approval.
</t>
        </r>
      </text>
    </comment>
    <comment ref="A20" authorId="0">
      <text>
        <r>
          <rPr>
            <b/>
            <sz val="10"/>
            <color indexed="81"/>
            <rFont val="Tahoma"/>
            <family val="2"/>
          </rPr>
          <t>The costs of public and not for profit insitution memberships in civic or community organizaitons would need specific prior written approval of FNSRO</t>
        </r>
      </text>
    </comment>
  </commentList>
</comments>
</file>

<file path=xl/sharedStrings.xml><?xml version="1.0" encoding="utf-8"?>
<sst xmlns="http://schemas.openxmlformats.org/spreadsheetml/2006/main" count="335" uniqueCount="284">
  <si>
    <t>Salaries</t>
  </si>
  <si>
    <t>Benefits</t>
  </si>
  <si>
    <t>Supplies</t>
  </si>
  <si>
    <t>Printing</t>
  </si>
  <si>
    <t>Equipment</t>
  </si>
  <si>
    <t>Depreciation</t>
  </si>
  <si>
    <t>Staff Training</t>
  </si>
  <si>
    <t>Provider Training</t>
  </si>
  <si>
    <t>Contracted Services</t>
  </si>
  <si>
    <t>Occupancy</t>
  </si>
  <si>
    <t>Communications</t>
  </si>
  <si>
    <t>In-State Travel</t>
  </si>
  <si>
    <t>Out state travel</t>
  </si>
  <si>
    <t>Sponsor Name:</t>
  </si>
  <si>
    <t>Sponsor ID:</t>
  </si>
  <si>
    <t>Fiscal Year:</t>
  </si>
  <si>
    <t>Employee Name</t>
  </si>
  <si>
    <t>Mileage</t>
  </si>
  <si>
    <t>Lodging</t>
  </si>
  <si>
    <t>Meals</t>
  </si>
  <si>
    <t>Total IN-STATE Travel</t>
  </si>
  <si>
    <t>Purpose of Travel</t>
  </si>
  <si>
    <t>Travel Purpose</t>
  </si>
  <si>
    <t>Airfare</t>
  </si>
  <si>
    <t xml:space="preserve"> Total OUT-STATE Travel</t>
  </si>
  <si>
    <t>Registration Fee can be included in training budget</t>
  </si>
  <si>
    <t>Taxes</t>
  </si>
  <si>
    <t>Provide information for ALL CACFP-related employees.</t>
  </si>
  <si>
    <t>Health Insurance</t>
  </si>
  <si>
    <t>Dental Insurance</t>
  </si>
  <si>
    <t>Life Insurance</t>
  </si>
  <si>
    <t>Retirement</t>
  </si>
  <si>
    <t>Type of Service</t>
  </si>
  <si>
    <t>% Allocated to CACFP</t>
  </si>
  <si>
    <t>Total Contracted Services</t>
  </si>
  <si>
    <t>Company Name</t>
  </si>
  <si>
    <t>Total Annual Cost to CACFP</t>
  </si>
  <si>
    <t>Mileage Rate</t>
  </si>
  <si>
    <t>Ground Transport</t>
  </si>
  <si>
    <t>Total Annual Cost</t>
  </si>
  <si>
    <t>Include the following types of communication-related expenses</t>
  </si>
  <si>
    <t>•  Dues, subscription, memberships, etc.</t>
  </si>
  <si>
    <t>•  Advertising media, ie, newspapers, magazines, radio, television, direct mail and similar goods</t>
  </si>
  <si>
    <t>•  Telephone expenses, ie, monthly service charges, long distance charges, cell phones, pagers, Internet charges, etc.</t>
  </si>
  <si>
    <t>•  Postage charges, ie, stamps, bulk mailings, certified mail charges, monthly postage meter costs, etc.  The cost of</t>
  </si>
  <si>
    <t xml:space="preserve">    the postage meter should be listed with leased equipment.</t>
  </si>
  <si>
    <t>Item</t>
  </si>
  <si>
    <t xml:space="preserve">Purpose (indicate if </t>
  </si>
  <si>
    <t>Quantity</t>
  </si>
  <si>
    <t>Total annual Cost</t>
  </si>
  <si>
    <t>for a group or individual)</t>
  </si>
  <si>
    <t>to CACFP</t>
  </si>
  <si>
    <t>Advertising</t>
  </si>
  <si>
    <t>Telephone</t>
  </si>
  <si>
    <t>Internet Service</t>
  </si>
  <si>
    <t>Cell Phone</t>
  </si>
  <si>
    <t>Postage</t>
  </si>
  <si>
    <t>Shipping (UPS, FedEx, etc)</t>
  </si>
  <si>
    <t>Other (Specify)</t>
  </si>
  <si>
    <t xml:space="preserve">    Monthly  Service Charge</t>
  </si>
  <si>
    <t xml:space="preserve">    Long Distance Charge</t>
  </si>
  <si>
    <t>Total Cost to CACFP</t>
  </si>
  <si>
    <t>Utilities/Office Space</t>
  </si>
  <si>
    <t>Annual Cost to CACFP</t>
  </si>
  <si>
    <t>Cleaning Cost</t>
  </si>
  <si>
    <t>Utilities</t>
  </si>
  <si>
    <t>*Office Rental Lease (Rented Facility)</t>
  </si>
  <si>
    <t xml:space="preserve">**Other (Specify) </t>
  </si>
  <si>
    <t>Sub-Total Utilities/Office Space</t>
  </si>
  <si>
    <t>lawn mowing</t>
  </si>
  <si>
    <t>Snow removal</t>
  </si>
  <si>
    <t>*Office Rental Depreciation (Owned Facility)</t>
  </si>
  <si>
    <t>Insurance</t>
  </si>
  <si>
    <t>Type of Insurance</t>
  </si>
  <si>
    <t>Policy Number</t>
  </si>
  <si>
    <t>Monthly Amt to Organization</t>
  </si>
  <si>
    <t>Total Amount to CACFP</t>
  </si>
  <si>
    <t>Property/Casualty</t>
  </si>
  <si>
    <t>Liability</t>
  </si>
  <si>
    <t>Sub-Total Insurance</t>
  </si>
  <si>
    <t>Total Occupancy</t>
  </si>
  <si>
    <t>BENEFITS Continued</t>
  </si>
  <si>
    <t>Effective Date</t>
  </si>
  <si>
    <t>Cost/Unit</t>
  </si>
  <si>
    <t>Purchase Date</t>
  </si>
  <si>
    <t xml:space="preserve">List any item with a unit value of under $5,000 or a life expectancy of one year or less is considered a supply.  Include paper forms, </t>
  </si>
  <si>
    <t xml:space="preserve"> office supplies, computer software, equipment such as desks, chairs, file cabinets, fax machines, computers, copiers.</t>
  </si>
  <si>
    <t xml:space="preserve">List cost of printing services.  </t>
  </si>
  <si>
    <t>Total PRINTING</t>
  </si>
  <si>
    <t xml:space="preserve">Do NOT include cost of  copying (cost of copying should be listed under "Supplies") </t>
  </si>
  <si>
    <t xml:space="preserve">Printing costs are services paid for printing forms, brochures, monitoring forms and newsletters.   </t>
  </si>
  <si>
    <t>Purchased Equipment</t>
  </si>
  <si>
    <t>Rented/Leased Equipment</t>
  </si>
  <si>
    <t>List all rented/leased equipment.  Attach or send copies of all equipment leases.</t>
  </si>
  <si>
    <t>Total Cost</t>
  </si>
  <si>
    <t>Sub-Total Rented/Leased Equipment</t>
  </si>
  <si>
    <t xml:space="preserve"> Total EQUIPMENT</t>
  </si>
  <si>
    <t>life of more than one year and an acquisition cost of $5,000 or more per unit.</t>
  </si>
  <si>
    <t>Bank charges may be listed here.  Include a copy of bank agreement of applicable charges to be placed in the management plan with FNS.</t>
  </si>
  <si>
    <t>If position is hourly place an "X" in this box</t>
  </si>
  <si>
    <t>Daily work hours (include beginning &amp; end times)</t>
  </si>
  <si>
    <t>For Hourly Employees</t>
  </si>
  <si>
    <t>Gross Hourly rate (before deductions)</t>
  </si>
  <si>
    <t>Nature of Increase</t>
  </si>
  <si>
    <t>Total Work Hours per month</t>
  </si>
  <si>
    <t>Total Work Hours for CACFP per month</t>
  </si>
  <si>
    <t>Percent of Total Work Hours for CACFP</t>
  </si>
  <si>
    <t>Total Required Employer Taxes per month*</t>
  </si>
  <si>
    <t xml:space="preserve">Total Annual Cost to CACFP ** * </t>
  </si>
  <si>
    <t>*  Include Worker's Compensation, Unemployment Insurance, Social Security Tax, and any other required tax.</t>
  </si>
  <si>
    <t>Include a copy of newinsurance policies or renewed  insurance policies.</t>
  </si>
  <si>
    <t>Enter the above totals into your sponsor application in CLiCS</t>
  </si>
  <si>
    <t xml:space="preserve"> Total Staff Training </t>
  </si>
  <si>
    <t xml:space="preserve"> Total Provider Training </t>
  </si>
  <si>
    <t># of months service will be provided</t>
  </si>
  <si>
    <t>CACFP % Paid</t>
  </si>
  <si>
    <t>Total Monthly Amt Paid by CACFP</t>
  </si>
  <si>
    <t>Total Annual Cost CACFP</t>
  </si>
  <si>
    <t xml:space="preserve"> Cost Facility Rental</t>
  </si>
  <si>
    <t>Cost Training Supplies</t>
  </si>
  <si>
    <t xml:space="preserve">Cost Equipment </t>
  </si>
  <si>
    <t>Cost Meals</t>
  </si>
  <si>
    <t>Cost Registation Fees</t>
  </si>
  <si>
    <t>Cost  Milage</t>
  </si>
  <si>
    <t xml:space="preserve"> Cost Lodging</t>
  </si>
  <si>
    <t>Cost Other</t>
  </si>
  <si>
    <t>Annual Cost</t>
  </si>
  <si>
    <t xml:space="preserve"> Monthly Amount Paid by CACFP*</t>
  </si>
  <si>
    <t xml:space="preserve">Other </t>
  </si>
  <si>
    <t>Total Supplies</t>
  </si>
  <si>
    <t>Expected Purchase Date</t>
  </si>
  <si>
    <t xml:space="preserve">Total Annual Cost to CACFP </t>
  </si>
  <si>
    <t>Printing Item</t>
  </si>
  <si>
    <t>Total  Cost to CACFP</t>
  </si>
  <si>
    <t xml:space="preserve">Cost for contracted services may be charged over the period of the contract.  </t>
  </si>
  <si>
    <t>Total Cost Provider Training</t>
  </si>
  <si>
    <t>Total Cost Staff Training</t>
  </si>
  <si>
    <t>Annual Costs</t>
  </si>
  <si>
    <t>* Note: Total cost (see equation) does not include the amount for Registration Fee</t>
  </si>
  <si>
    <t>Type of Equipment Purchased</t>
  </si>
  <si>
    <t xml:space="preserve">Company Name </t>
  </si>
  <si>
    <t>Total  CACFP Salaries</t>
  </si>
  <si>
    <t xml:space="preserve"> Supply Item</t>
  </si>
  <si>
    <t>Indicate the following information regarding office space:</t>
  </si>
  <si>
    <t>COL</t>
  </si>
  <si>
    <t>Total</t>
  </si>
  <si>
    <t>GRAND Total of CACFP Administrative Budget</t>
  </si>
  <si>
    <t>Budget Detail Worksheet and contracts are to be placed in section V8 of your management plan binder</t>
  </si>
  <si>
    <t xml:space="preserve">Submit a copy of this entire budget detail worksheet electronically to FNS </t>
  </si>
  <si>
    <t xml:space="preserve"> Monthly Cost</t>
  </si>
  <si>
    <t xml:space="preserve">Monthly Cost Paid by employee </t>
  </si>
  <si>
    <t>Employee % Paid</t>
  </si>
  <si>
    <t>Total Monthly Costs</t>
  </si>
  <si>
    <t>Total Monthly amount paid by Employee</t>
  </si>
  <si>
    <t>Totals</t>
  </si>
  <si>
    <t>Source or Company Name</t>
  </si>
  <si>
    <t>Printing Company Name</t>
  </si>
  <si>
    <t xml:space="preserve">Quantity </t>
  </si>
  <si>
    <t>% of cost allocated to CACFP</t>
  </si>
  <si>
    <t>Complete Description of Equipment or Item to Depreciate (Specify model #)</t>
  </si>
  <si>
    <t>Cost per Item</t>
  </si>
  <si>
    <t>Total Annual DEPRECIATION</t>
  </si>
  <si>
    <t>List all equipment that your sponsorship owns or will purchase with other funds and is not directly expensing that is considered nonexpendable property with a useful</t>
  </si>
  <si>
    <t>Number or Letter for each contract listed for FNS Matching purposes</t>
  </si>
  <si>
    <t xml:space="preserve">List below all contracted or paid services for administrative and operating functions not performed by any organization personnel.  </t>
  </si>
  <si>
    <t xml:space="preserve">Total Monthly Cost </t>
  </si>
  <si>
    <t>Number of Months</t>
  </si>
  <si>
    <t>Monthly cost</t>
  </si>
  <si>
    <t>Dues/Memberships:</t>
  </si>
  <si>
    <t>Subscription(s):</t>
  </si>
  <si>
    <t>FDCH Detail Budget Worsheet Summary - to be transcribed into CLiCS</t>
  </si>
  <si>
    <t>Instructions:</t>
  </si>
  <si>
    <t>Family Day Care Home Budget Worksheet</t>
  </si>
  <si>
    <t xml:space="preserve">Edit check for "other funding" values </t>
  </si>
  <si>
    <t xml:space="preserve">CACFP Admin Costs for Reimbursement </t>
  </si>
  <si>
    <t>Identification of other funding sources. Please list other funding sources below:</t>
  </si>
  <si>
    <t>Position Title</t>
  </si>
  <si>
    <t>Merit</t>
  </si>
  <si>
    <t>Assign a number or letter to each contract to be placed in the management plan behind tab V8. Clearly display the number or letter on the copy of the contract for matching purposes.</t>
  </si>
  <si>
    <t xml:space="preserve">Copies of all contracts must be on file at FNS. Sponsors are responsible to ensure updated copies are submitted to FNS annually or whenever the contract is revised or renewed.   </t>
  </si>
  <si>
    <t>Contracted services must be directly related to the CACFP or the expense will be disallowed.</t>
  </si>
  <si>
    <t>Contract Begin Date</t>
  </si>
  <si>
    <t>Contract End Date</t>
  </si>
  <si>
    <t xml:space="preserve"> Contract/Policy Number if Applicable </t>
  </si>
  <si>
    <t>Employee: First and Last name</t>
  </si>
  <si>
    <t>Employee Name: First and Last</t>
  </si>
  <si>
    <t xml:space="preserve"> Monthly Amount Paid by CACFP</t>
  </si>
  <si>
    <t xml:space="preserve">Monthly Cost Paid by Employee </t>
  </si>
  <si>
    <t xml:space="preserve">Attach a copy of the retirement plan.  Indicate what percentage of the plan is paid by CACFP funds.  </t>
  </si>
  <si>
    <t>List expenses incurred for program monitoring and all other program-related activities.</t>
  </si>
  <si>
    <t>Include mileage for facility reviews and other local travel required to manage the program.</t>
  </si>
  <si>
    <t>Maximum allowable rate is current state rate.</t>
  </si>
  <si>
    <t xml:space="preserve">Quanity of Purchase Units </t>
  </si>
  <si>
    <t>Annual Cost of Supply</t>
  </si>
  <si>
    <t>Durable Supplies Purchased over $5000</t>
  </si>
  <si>
    <t>Life Expectancy of Equipment (Years)</t>
  </si>
  <si>
    <t xml:space="preserve"> Cost of Equipment</t>
  </si>
  <si>
    <t>Type of Equipment Rented/Leased</t>
  </si>
  <si>
    <t>Estimated Total Annual Cost</t>
  </si>
  <si>
    <t>Life Expectancy (Years)</t>
  </si>
  <si>
    <t>Annual Amount to Depreciate</t>
  </si>
  <si>
    <t>Facility Rental</t>
  </si>
  <si>
    <t>Training Supplies</t>
  </si>
  <si>
    <t>Registation Fees</t>
  </si>
  <si>
    <t>Other</t>
  </si>
  <si>
    <t xml:space="preserve">Include travel related costs for attendance at staff training as well as any costs incurred to conduct training. </t>
  </si>
  <si>
    <t xml:space="preserve">Attach copies of training report forms and agendas when required training is held. The records will maintained in your organization's management plan. </t>
  </si>
  <si>
    <t>Examples of training supplies include paper, brochures, folders, handouts, etc.</t>
  </si>
  <si>
    <t>Milage Cost</t>
  </si>
  <si>
    <t>Equipment Costs</t>
  </si>
  <si>
    <t>Date(s) of Training</t>
  </si>
  <si>
    <t>Title and Description of Training Session</t>
  </si>
  <si>
    <t>STAFF TRAINING</t>
  </si>
  <si>
    <t>List each training separately using the same title as the corresponding training form provided for inclusion in the management plan.</t>
  </si>
  <si>
    <t>Travel and transportation costs for daycare home providers are not allowable administrative costs to CACFP.</t>
  </si>
  <si>
    <t xml:space="preserve">Provider Training Title and Description </t>
  </si>
  <si>
    <t>Cost of living increases in pay must be based on current, generally acepted statistical data. Provide explanation in cost allocation plan.</t>
  </si>
  <si>
    <t>Provide information for all CACFP-related employees.  If you have employees that are not paid based on a monthly salary or hourly rate, please attach additional information (i.e., dollar rate per home).</t>
  </si>
  <si>
    <t xml:space="preserve">For all employees, if salaries are increased since last year provide the following for each applicable employee: Date increase is effective; percentage and nature of increase. </t>
  </si>
  <si>
    <t>For Salaried Employees</t>
  </si>
  <si>
    <t>Gross Monthly Rate (before deductions)</t>
  </si>
  <si>
    <t>Annual Percentage of Increase</t>
  </si>
  <si>
    <t>(Cost-of-living or Merit)</t>
  </si>
  <si>
    <t xml:space="preserve">Total Employer Taxes Paid Per month by CACFP.             </t>
  </si>
  <si>
    <t>BENEFITS</t>
  </si>
  <si>
    <t>SUPPLIES</t>
  </si>
  <si>
    <t>PRINTING</t>
  </si>
  <si>
    <t>EQUIPMENT</t>
  </si>
  <si>
    <t>DEPRECIATION</t>
  </si>
  <si>
    <t>PROVIDER TRAINING</t>
  </si>
  <si>
    <t>CONTRACTED SERVICES</t>
  </si>
  <si>
    <t>IN-STATE TRAVEL</t>
  </si>
  <si>
    <t>OCCUPANCY</t>
  </si>
  <si>
    <t>COMMUNICATIONS</t>
  </si>
  <si>
    <t>Health insurance. Dental insurance, Life insurance, retirement and other</t>
  </si>
  <si>
    <t xml:space="preserve"> OUT-OF-STATE TRAVEL </t>
  </si>
  <si>
    <t>SALARIES</t>
  </si>
  <si>
    <t>100000___________</t>
  </si>
  <si>
    <t xml:space="preserve">List the  current and projected alternate funding source should you exceed the CACFP adminstrative funds allocated to your organization  </t>
  </si>
  <si>
    <t>Amount</t>
  </si>
  <si>
    <t>Alternate Funding Source</t>
  </si>
  <si>
    <t>Make sure that the items listed below are not already accounted for in any other area of the FDCH budget.</t>
  </si>
  <si>
    <t xml:space="preserve">List the costs that will be paid for with an alternate funding source should you exceed the CACFP adminstrative funds allocated to your organization  </t>
  </si>
  <si>
    <t xml:space="preserve">The total cost of these funds should match the amount of $$ identified by CACFP Reimbursement (including carry forward amounts) minus </t>
  </si>
  <si>
    <t>expenditures</t>
  </si>
  <si>
    <t>Make sure that the items listed below are not already accounted for in any other area of the budget.</t>
  </si>
  <si>
    <t>allocation % (if applicable)</t>
  </si>
  <si>
    <t>Total cost for operation of CACFP usnig other funding source</t>
  </si>
  <si>
    <t xml:space="preserve">Expenditures of ALTERNATE FUNDING SOURCE for CACFP Admin </t>
  </si>
  <si>
    <t>ALTERNATE FUNDING SOURCE Description</t>
  </si>
  <si>
    <t>Carry Over</t>
  </si>
  <si>
    <t>Identify the item of Cost</t>
  </si>
  <si>
    <t>List the Sources of the Alternate Funding Source or unrestricted fund</t>
  </si>
  <si>
    <t>Activities supported by funding source</t>
  </si>
  <si>
    <t>% Allocated to FDCH Admin Costs</t>
  </si>
  <si>
    <t>FDCH Admin Amount</t>
  </si>
  <si>
    <t>MINNESOTA DEPARTMENT OF EDUCATION</t>
  </si>
  <si>
    <t>Food &amp; Nutrition Services</t>
  </si>
  <si>
    <t>Calculation of FDCA Sponsor Administrative Expense Carryforward</t>
  </si>
  <si>
    <t>For the Federal Year Ending September 30, 2013</t>
  </si>
  <si>
    <t xml:space="preserve">Do Not Enter values in any field that is shaded Yellow. These fields are calculated based on detailed entries. Only make entries to the tabbed </t>
  </si>
  <si>
    <t>worksheets. Be sure to remove any sample cost items.</t>
  </si>
  <si>
    <t>bids/quotes and justification of need for each item.  If you are a private organization and plan on purchasing equipment over $100,000,</t>
  </si>
  <si>
    <t>additional procurement steps must be followed (see procurement worksheet in management plan binder).  If you are a public</t>
  </si>
  <si>
    <t>organization, state threshold requirements and procedures must be followed.</t>
  </si>
  <si>
    <t>2.  For all items you intend to purchase later, which are not included here, please provide a written request.  Certain expenditures</t>
  </si>
  <si>
    <t>require specific prior written approval.</t>
  </si>
  <si>
    <t>1.  List any equipment over $5,000 that you intend to purchase in the upcoming fiscal year and maintain documentation of three</t>
  </si>
  <si>
    <t>Mileage
Total</t>
  </si>
  <si>
    <t>Mileage
Rate</t>
  </si>
  <si>
    <t>Total Annual
Cost to CACFP</t>
  </si>
  <si>
    <t>Ending Dates</t>
  </si>
  <si>
    <t xml:space="preserve">Beginning
Dates </t>
  </si>
  <si>
    <t xml:space="preserve">Note:  Cell Phones leased or owned by the insitution must have prior approval. List a line item for each phone or indicate </t>
  </si>
  <si>
    <t>number of phones for a particular position title. Example 7-Monitors and then the total cost for all 7 monitoring phones.</t>
  </si>
  <si>
    <t>Frequency of funding (weekly, monthly)</t>
  </si>
  <si>
    <t>relationship of lessor to lessee, contact information, length of agreement, beginning and ending dates of agreement, total square footage of office space, and, if office space is utilized for non-CACFP</t>
  </si>
  <si>
    <t>purposes, description of allocation method.</t>
  </si>
  <si>
    <t>* If office space is partially or fully owned by the organization or its administrative personnel. Attach an explanation that details the method for determining the monthly use fee.  NOTE: Costs</t>
  </si>
  <si>
    <t>associated with less than arms lengths lease arrangements are limited to depreciation or use allowance.</t>
  </si>
  <si>
    <t>* If office maintenance is included in rental or lease agreement.</t>
  </si>
  <si>
    <t>* If utilities are included in rental or lease agreement.</t>
  </si>
  <si>
    <t>* If office space is rented or leased. If more than one office is rented/leased, provide information on all offices. Attach a copy of each new or renewal lease agreement that includes name of lessor,</t>
  </si>
  <si>
    <t xml:space="preserve"> Quantity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</si>
</sst>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7" formatCode="&quot;$&quot;#,##0.00_);\(&quot;$&quot;#,##0.00\)"/>
    <numFmt numFmtId="8" formatCode="&quot;$&quot;#,##0.00_);[Red]\(&quot;$&quot;#,##0.00\)"/>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00%"/>
    <numFmt numFmtId="167" formatCode="_(&quot;$&quot;* #,##0.00_);_(&quot;$&quot;* \(#,##0.00\);_(&quot;$&quot;* &quot;-&quot;_);_(@_)"/>
    <numFmt numFmtId="168" formatCode="&quot;$&quot;#,##0.00"/>
    <numFmt numFmtId="169" formatCode="@*."/>
  </numFmts>
  <fonts count="44">
    <font>
      <sz val="11"/>
      <color theme="1"/>
      <name val="Gill Sans MT"/>
      <family val="2"/>
    </font>
    <font>
      <sz val="9"/>
      <name val="Geneva"/>
    </font>
    <font>
      <u/>
      <sz val="9"/>
      <color indexed="12"/>
      <name val="Geneva"/>
    </font>
    <font>
      <sz val="12"/>
      <name val="Times New Roman"/>
      <family val="1"/>
    </font>
    <font>
      <sz val="9"/>
      <name val="Times New Roman"/>
      <family val="1"/>
    </font>
    <font>
      <b/>
      <sz val="12"/>
      <name val="Times New Roman"/>
      <family val="1"/>
    </font>
    <font>
      <sz val="10"/>
      <name val="Times New Roman"/>
      <family val="1"/>
    </font>
    <font>
      <sz val="9"/>
      <name val="Bookman Old Style"/>
      <family val="1"/>
    </font>
    <font>
      <b/>
      <sz val="9"/>
      <name val="Times New Roman"/>
      <family val="1"/>
    </font>
    <font>
      <b/>
      <sz val="14"/>
      <name val="Times New Roman"/>
      <family val="1"/>
    </font>
    <font>
      <sz val="10"/>
      <color indexed="81"/>
      <name val="Tahoma"/>
      <family val="2"/>
    </font>
    <font>
      <b/>
      <sz val="10"/>
      <color indexed="81"/>
      <name val="Tahoma"/>
      <family val="2"/>
    </font>
    <font>
      <sz val="14"/>
      <name val="Times New Roman"/>
      <family val="1"/>
    </font>
    <font>
      <sz val="9"/>
      <color indexed="8"/>
      <name val="Gill Sans MT"/>
      <family val="2"/>
    </font>
    <font>
      <sz val="11"/>
      <name val="Gill Sans MT"/>
      <family val="2"/>
    </font>
    <font>
      <sz val="8"/>
      <color indexed="81"/>
      <name val="Tahoma"/>
      <family val="2"/>
    </font>
    <font>
      <b/>
      <sz val="11"/>
      <color indexed="8"/>
      <name val="Times New Roman"/>
      <family val="1"/>
    </font>
    <font>
      <sz val="14"/>
      <color indexed="8"/>
      <name val="Gill Sans MT"/>
      <family val="2"/>
    </font>
    <font>
      <b/>
      <sz val="10"/>
      <name val="Times New Roman"/>
      <family val="1"/>
    </font>
    <font>
      <sz val="9"/>
      <color indexed="8"/>
      <name val="Times New Roman"/>
      <family val="1"/>
    </font>
    <font>
      <sz val="11"/>
      <color indexed="8"/>
      <name val="Times New Roman"/>
      <family val="1"/>
    </font>
    <font>
      <sz val="11"/>
      <color indexed="8"/>
      <name val="Gill Sans MT"/>
      <family val="2"/>
    </font>
    <font>
      <sz val="8"/>
      <name val="Gill Sans MT"/>
      <family val="2"/>
    </font>
    <font>
      <sz val="11"/>
      <name val="Times New Roman"/>
      <family val="1"/>
    </font>
    <font>
      <sz val="11"/>
      <color indexed="8"/>
      <name val="Gill Sans MT"/>
      <family val="2"/>
    </font>
    <font>
      <sz val="14"/>
      <color indexed="8"/>
      <name val="Times New Roman"/>
      <family val="1"/>
    </font>
    <font>
      <b/>
      <sz val="9"/>
      <color indexed="8"/>
      <name val="Times New Roman"/>
      <family val="1"/>
    </font>
    <font>
      <b/>
      <sz val="11"/>
      <color indexed="8"/>
      <name val="Gill Sans MT"/>
      <family val="2"/>
    </font>
    <font>
      <b/>
      <sz val="12"/>
      <color indexed="53"/>
      <name val="Times New Roman"/>
      <family val="1"/>
    </font>
    <font>
      <sz val="11"/>
      <color indexed="8"/>
      <name val="Gill Sans MT"/>
      <family val="2"/>
    </font>
    <font>
      <sz val="12"/>
      <color indexed="8"/>
      <name val="Times New Roman"/>
      <family val="1"/>
    </font>
    <font>
      <b/>
      <sz val="12"/>
      <color indexed="8"/>
      <name val="Times New Roman"/>
      <family val="1"/>
    </font>
    <font>
      <b/>
      <sz val="12"/>
      <color indexed="10"/>
      <name val="Times New Roman"/>
      <family val="1"/>
    </font>
    <font>
      <u/>
      <sz val="12"/>
      <color indexed="12"/>
      <name val="Times New Roman"/>
      <family val="1"/>
    </font>
    <font>
      <b/>
      <sz val="14"/>
      <color indexed="8"/>
      <name val="Times New Roman"/>
      <family val="1"/>
    </font>
    <font>
      <b/>
      <sz val="12"/>
      <color indexed="12"/>
      <name val="Times New Roman"/>
      <family val="1"/>
    </font>
    <font>
      <sz val="12"/>
      <color indexed="10"/>
      <name val="Times New Roman"/>
      <family val="1"/>
    </font>
    <font>
      <sz val="11"/>
      <color indexed="9"/>
      <name val="Times New Roman"/>
      <family val="1"/>
    </font>
    <font>
      <sz val="11"/>
      <color indexed="8"/>
      <name val="Gill Sans MT"/>
      <family val="2"/>
    </font>
    <font>
      <b/>
      <sz val="11"/>
      <name val="Times New Roman"/>
      <family val="1"/>
    </font>
    <font>
      <sz val="11"/>
      <color theme="1"/>
      <name val="Gill Sans MT"/>
      <family val="2"/>
    </font>
    <font>
      <b/>
      <sz val="10"/>
      <name val="Arial"/>
      <family val="2"/>
    </font>
    <font>
      <b/>
      <sz val="10"/>
      <color rgb="FFFF0000"/>
      <name val="Arial"/>
      <family val="2"/>
    </font>
    <font>
      <sz val="8"/>
      <name val="Tahoma"/>
      <family val="2"/>
    </font>
  </fonts>
  <fills count="17">
    <fill>
      <patternFill patternType="none"/>
    </fill>
    <fill>
      <patternFill patternType="gray125"/>
    </fill>
    <fill>
      <patternFill patternType="solid">
        <fgColor indexed="47"/>
        <bgColor indexed="64"/>
      </patternFill>
    </fill>
    <fill>
      <patternFill patternType="solid">
        <fgColor indexed="53"/>
        <bgColor indexed="64"/>
      </patternFill>
    </fill>
    <fill>
      <patternFill patternType="solid">
        <fgColor indexed="49"/>
        <bgColor indexed="64"/>
      </patternFill>
    </fill>
    <fill>
      <patternFill patternType="solid">
        <fgColor indexed="29"/>
        <bgColor indexed="64"/>
      </patternFill>
    </fill>
    <fill>
      <patternFill patternType="solid">
        <fgColor indexed="51"/>
        <bgColor indexed="64"/>
      </patternFill>
    </fill>
    <fill>
      <patternFill patternType="solid">
        <fgColor indexed="43"/>
        <bgColor indexed="64"/>
      </patternFill>
    </fill>
    <fill>
      <patternFill patternType="solid">
        <fgColor indexed="55"/>
        <bgColor indexed="64"/>
      </patternFill>
    </fill>
    <fill>
      <patternFill patternType="solid">
        <fgColor indexed="27"/>
        <bgColor indexed="64"/>
      </patternFill>
    </fill>
    <fill>
      <patternFill patternType="solid">
        <fgColor indexed="8"/>
        <bgColor indexed="64"/>
      </patternFill>
    </fill>
    <fill>
      <patternFill patternType="solid">
        <fgColor indexed="13"/>
        <bgColor indexed="64"/>
      </patternFill>
    </fill>
    <fill>
      <patternFill patternType="solid">
        <fgColor indexed="22"/>
        <bgColor indexed="64"/>
      </patternFill>
    </fill>
    <fill>
      <patternFill patternType="solid">
        <fgColor indexed="6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99"/>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top style="medium">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style="thin">
        <color indexed="64"/>
      </left>
      <right/>
      <top/>
      <bottom/>
      <diagonal/>
    </border>
    <border>
      <left style="thin">
        <color indexed="64"/>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s>
  <cellStyleXfs count="12">
    <xf numFmtId="0" fontId="0" fillId="0" borderId="0"/>
    <xf numFmtId="43" fontId="1" fillId="0" borderId="0" applyFont="0" applyFill="0" applyBorder="0" applyAlignment="0" applyProtection="0"/>
    <xf numFmtId="44" fontId="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0" fontId="2" fillId="0" borderId="0" applyNumberFormat="0" applyFill="0" applyBorder="0" applyAlignment="0" applyProtection="0">
      <alignment vertical="top"/>
      <protection locked="0"/>
    </xf>
    <xf numFmtId="0" fontId="1" fillId="0" borderId="0"/>
    <xf numFmtId="0" fontId="40" fillId="0" borderId="0"/>
    <xf numFmtId="9" fontId="29" fillId="0" borderId="0" applyFont="0" applyFill="0" applyBorder="0" applyAlignment="0" applyProtection="0"/>
    <xf numFmtId="9" fontId="1" fillId="0" borderId="0" applyFont="0" applyFill="0" applyBorder="0" applyAlignment="0" applyProtection="0"/>
    <xf numFmtId="44" fontId="40" fillId="0" borderId="0" applyFont="0" applyFill="0" applyBorder="0" applyAlignment="0" applyProtection="0"/>
    <xf numFmtId="169" fontId="43" fillId="0" borderId="0">
      <alignment horizontal="left" indent="1"/>
    </xf>
  </cellStyleXfs>
  <cellXfs count="570">
    <xf numFmtId="0" fontId="0" fillId="0" borderId="0" xfId="0"/>
    <xf numFmtId="0" fontId="5" fillId="0" borderId="0" xfId="6" applyFont="1"/>
    <xf numFmtId="44" fontId="6" fillId="0" borderId="1" xfId="2" applyFont="1" applyFill="1" applyBorder="1"/>
    <xf numFmtId="164" fontId="6" fillId="0" borderId="1" xfId="1" applyNumberFormat="1" applyFont="1" applyFill="1" applyBorder="1"/>
    <xf numFmtId="44" fontId="4" fillId="0" borderId="1" xfId="2" applyFont="1" applyFill="1" applyBorder="1"/>
    <xf numFmtId="44" fontId="6" fillId="0" borderId="2" xfId="2" applyFont="1" applyFill="1" applyBorder="1"/>
    <xf numFmtId="164" fontId="6" fillId="0" borderId="3" xfId="1" applyNumberFormat="1" applyFont="1" applyFill="1" applyBorder="1"/>
    <xf numFmtId="165" fontId="5" fillId="0" borderId="0" xfId="6" applyNumberFormat="1" applyFont="1" applyBorder="1"/>
    <xf numFmtId="0" fontId="0" fillId="0" borderId="1" xfId="0" applyBorder="1"/>
    <xf numFmtId="0" fontId="4" fillId="0" borderId="0" xfId="0" applyFont="1"/>
    <xf numFmtId="0" fontId="7" fillId="0" borderId="0" xfId="0" applyFont="1"/>
    <xf numFmtId="0" fontId="4" fillId="0" borderId="0" xfId="0" applyFont="1" applyBorder="1"/>
    <xf numFmtId="0" fontId="4" fillId="0" borderId="1" xfId="0" applyFont="1" applyBorder="1"/>
    <xf numFmtId="44" fontId="4" fillId="0" borderId="1" xfId="2" applyFont="1" applyBorder="1"/>
    <xf numFmtId="0" fontId="5" fillId="0" borderId="1" xfId="0" applyFont="1" applyBorder="1"/>
    <xf numFmtId="0" fontId="6" fillId="0" borderId="0" xfId="0" applyFont="1" applyBorder="1"/>
    <xf numFmtId="0" fontId="3" fillId="0" borderId="4" xfId="0" applyFont="1" applyBorder="1"/>
    <xf numFmtId="0" fontId="0" fillId="0" borderId="0" xfId="0" applyBorder="1"/>
    <xf numFmtId="0" fontId="0" fillId="0" borderId="5" xfId="0" applyBorder="1"/>
    <xf numFmtId="0" fontId="0" fillId="0" borderId="6" xfId="0" applyBorder="1"/>
    <xf numFmtId="44" fontId="4" fillId="0" borderId="1" xfId="0" applyNumberFormat="1" applyFont="1" applyBorder="1"/>
    <xf numFmtId="0" fontId="9" fillId="0" borderId="0" xfId="0" applyFont="1"/>
    <xf numFmtId="0" fontId="4" fillId="0" borderId="7" xfId="0" applyFont="1" applyBorder="1"/>
    <xf numFmtId="0" fontId="4" fillId="0" borderId="8" xfId="0" applyFont="1" applyBorder="1"/>
    <xf numFmtId="0" fontId="9" fillId="0" borderId="8" xfId="0" applyFont="1" applyBorder="1"/>
    <xf numFmtId="44" fontId="4" fillId="0" borderId="3" xfId="2" applyFont="1" applyBorder="1"/>
    <xf numFmtId="44" fontId="4" fillId="0" borderId="8" xfId="2" applyFont="1" applyBorder="1"/>
    <xf numFmtId="43" fontId="4" fillId="0" borderId="8" xfId="1" applyNumberFormat="1" applyFont="1" applyBorder="1"/>
    <xf numFmtId="9" fontId="4" fillId="0" borderId="8" xfId="9" applyFont="1" applyBorder="1"/>
    <xf numFmtId="0" fontId="6" fillId="0" borderId="0" xfId="0" applyFont="1"/>
    <xf numFmtId="44" fontId="6" fillId="0" borderId="9" xfId="2" applyFont="1" applyBorder="1"/>
    <xf numFmtId="44" fontId="9" fillId="0" borderId="9" xfId="2" applyFont="1" applyBorder="1"/>
    <xf numFmtId="44" fontId="9" fillId="0" borderId="0" xfId="2" applyFont="1" applyBorder="1"/>
    <xf numFmtId="44" fontId="6" fillId="0" borderId="0" xfId="2" applyFont="1" applyBorder="1"/>
    <xf numFmtId="44" fontId="9" fillId="0" borderId="7" xfId="2" applyFont="1" applyBorder="1"/>
    <xf numFmtId="44" fontId="5" fillId="0" borderId="10" xfId="2" applyFont="1" applyBorder="1"/>
    <xf numFmtId="0" fontId="3" fillId="0" borderId="4" xfId="6" applyFont="1" applyBorder="1"/>
    <xf numFmtId="0" fontId="3" fillId="0" borderId="9" xfId="6" applyFont="1" applyBorder="1"/>
    <xf numFmtId="44" fontId="3" fillId="0" borderId="9" xfId="2" applyFont="1" applyBorder="1"/>
    <xf numFmtId="0" fontId="3" fillId="0" borderId="5" xfId="6" applyFont="1" applyBorder="1"/>
    <xf numFmtId="0" fontId="3" fillId="0" borderId="6" xfId="6" applyFont="1" applyBorder="1"/>
    <xf numFmtId="9" fontId="3" fillId="0" borderId="6" xfId="9" applyFont="1" applyBorder="1"/>
    <xf numFmtId="0" fontId="4" fillId="0" borderId="2" xfId="0" applyFont="1" applyBorder="1"/>
    <xf numFmtId="0" fontId="3" fillId="0" borderId="0" xfId="0" applyFont="1"/>
    <xf numFmtId="0" fontId="3" fillId="0" borderId="1" xfId="0" applyFont="1" applyBorder="1"/>
    <xf numFmtId="0" fontId="3" fillId="0" borderId="11" xfId="0" applyFont="1" applyBorder="1"/>
    <xf numFmtId="0" fontId="3" fillId="0" borderId="9" xfId="0" applyFont="1" applyBorder="1"/>
    <xf numFmtId="0" fontId="3" fillId="0" borderId="5" xfId="0" applyFont="1" applyBorder="1"/>
    <xf numFmtId="0" fontId="3" fillId="0" borderId="6" xfId="0" applyFont="1" applyBorder="1"/>
    <xf numFmtId="44" fontId="3" fillId="0" borderId="6" xfId="2" applyFont="1" applyBorder="1"/>
    <xf numFmtId="0" fontId="4" fillId="0" borderId="12" xfId="0" applyFont="1" applyBorder="1"/>
    <xf numFmtId="0" fontId="4" fillId="0" borderId="13" xfId="0" applyFont="1" applyBorder="1"/>
    <xf numFmtId="9" fontId="4" fillId="0" borderId="1" xfId="6" applyNumberFormat="1" applyFont="1" applyBorder="1"/>
    <xf numFmtId="0" fontId="12" fillId="0" borderId="0" xfId="6" applyFont="1" applyBorder="1"/>
    <xf numFmtId="0" fontId="6" fillId="0" borderId="0" xfId="6" applyFont="1"/>
    <xf numFmtId="0" fontId="4" fillId="0" borderId="0" xfId="6" applyFont="1"/>
    <xf numFmtId="0" fontId="4" fillId="0" borderId="6" xfId="6" applyFont="1" applyBorder="1"/>
    <xf numFmtId="0" fontId="3" fillId="0" borderId="0" xfId="6" applyFont="1"/>
    <xf numFmtId="0" fontId="5" fillId="0" borderId="9" xfId="6" applyFont="1" applyBorder="1"/>
    <xf numFmtId="0" fontId="9" fillId="0" borderId="0" xfId="6" applyFont="1"/>
    <xf numFmtId="0" fontId="4" fillId="0" borderId="12" xfId="0" applyFont="1" applyBorder="1" applyAlignment="1">
      <alignment wrapText="1"/>
    </xf>
    <xf numFmtId="0" fontId="5" fillId="0" borderId="0" xfId="6" applyFont="1" applyBorder="1"/>
    <xf numFmtId="0" fontId="8" fillId="0" borderId="0" xfId="6" applyFont="1" applyBorder="1"/>
    <xf numFmtId="0" fontId="3" fillId="0" borderId="0" xfId="0" applyFont="1" applyBorder="1"/>
    <xf numFmtId="0" fontId="14" fillId="0" borderId="0" xfId="0" applyFont="1"/>
    <xf numFmtId="0" fontId="4" fillId="0" borderId="0" xfId="6" applyFont="1" applyBorder="1"/>
    <xf numFmtId="0" fontId="12" fillId="0" borderId="0" xfId="6" applyFont="1"/>
    <xf numFmtId="44" fontId="6" fillId="0" borderId="0" xfId="2" applyFont="1"/>
    <xf numFmtId="0" fontId="0" fillId="0" borderId="4" xfId="0" applyBorder="1"/>
    <xf numFmtId="0" fontId="4" fillId="2" borderId="11" xfId="0" applyFont="1" applyFill="1" applyBorder="1" applyAlignment="1">
      <alignment horizontal="center"/>
    </xf>
    <xf numFmtId="0" fontId="8" fillId="2" borderId="11" xfId="0" applyFont="1" applyFill="1" applyBorder="1" applyAlignment="1">
      <alignment horizontal="center"/>
    </xf>
    <xf numFmtId="0" fontId="4" fillId="2" borderId="3" xfId="0" applyFont="1" applyFill="1" applyBorder="1" applyAlignment="1">
      <alignment vertical="top"/>
    </xf>
    <xf numFmtId="0" fontId="4" fillId="2" borderId="3" xfId="0" applyFont="1" applyFill="1" applyBorder="1" applyAlignment="1">
      <alignment vertical="top" wrapText="1"/>
    </xf>
    <xf numFmtId="0" fontId="4" fillId="2" borderId="3" xfId="0" applyFont="1" applyFill="1" applyBorder="1" applyAlignment="1">
      <alignment horizontal="left" vertical="top" wrapText="1"/>
    </xf>
    <xf numFmtId="0" fontId="4" fillId="2" borderId="3" xfId="0" applyFont="1" applyFill="1" applyBorder="1" applyAlignment="1">
      <alignment vertical="top" wrapText="1" shrinkToFit="1"/>
    </xf>
    <xf numFmtId="0" fontId="4" fillId="0" borderId="7" xfId="6" applyFont="1" applyBorder="1"/>
    <xf numFmtId="0" fontId="4" fillId="0" borderId="12" xfId="6" applyFont="1" applyBorder="1"/>
    <xf numFmtId="0" fontId="4" fillId="2" borderId="3" xfId="0" applyFont="1" applyFill="1" applyBorder="1" applyAlignment="1">
      <alignment wrapText="1"/>
    </xf>
    <xf numFmtId="0" fontId="8" fillId="2" borderId="3" xfId="0" applyFont="1" applyFill="1" applyBorder="1" applyAlignment="1">
      <alignment vertical="top" wrapText="1"/>
    </xf>
    <xf numFmtId="0" fontId="4" fillId="3" borderId="3" xfId="0" applyFont="1" applyFill="1" applyBorder="1"/>
    <xf numFmtId="0" fontId="6" fillId="4" borderId="15" xfId="0" applyFont="1" applyFill="1" applyBorder="1"/>
    <xf numFmtId="0" fontId="6" fillId="4" borderId="11" xfId="0" applyFont="1" applyFill="1" applyBorder="1"/>
    <xf numFmtId="44" fontId="4" fillId="4" borderId="0" xfId="2" applyFont="1" applyFill="1" applyBorder="1" applyAlignment="1">
      <alignment horizontal="center" wrapText="1"/>
    </xf>
    <xf numFmtId="0" fontId="4" fillId="4" borderId="15" xfId="0" applyFont="1" applyFill="1" applyBorder="1"/>
    <xf numFmtId="0" fontId="4" fillId="5" borderId="3" xfId="6" applyFont="1" applyFill="1" applyBorder="1" applyAlignment="1">
      <alignment vertical="center"/>
    </xf>
    <xf numFmtId="0" fontId="4" fillId="5" borderId="3" xfId="6" applyFont="1" applyFill="1" applyBorder="1" applyAlignment="1">
      <alignment vertical="center" wrapText="1"/>
    </xf>
    <xf numFmtId="0" fontId="4" fillId="5" borderId="3" xfId="6" applyFont="1" applyFill="1" applyBorder="1" applyAlignment="1">
      <alignment wrapText="1"/>
    </xf>
    <xf numFmtId="0" fontId="4" fillId="3" borderId="2" xfId="0" applyFont="1" applyFill="1" applyBorder="1" applyAlignment="1">
      <alignment wrapText="1"/>
    </xf>
    <xf numFmtId="0" fontId="4" fillId="3" borderId="2" xfId="0" applyFont="1" applyFill="1" applyBorder="1" applyAlignment="1">
      <alignment horizontal="center" vertical="center" wrapText="1"/>
    </xf>
    <xf numFmtId="0" fontId="4" fillId="3" borderId="1" xfId="6" applyFont="1" applyFill="1" applyBorder="1" applyAlignment="1">
      <alignment vertical="center" wrapText="1"/>
    </xf>
    <xf numFmtId="0" fontId="4" fillId="3" borderId="1" xfId="6" applyFont="1" applyFill="1" applyBorder="1" applyAlignment="1">
      <alignment horizontal="center" vertical="center" wrapText="1"/>
    </xf>
    <xf numFmtId="0" fontId="4" fillId="3" borderId="15" xfId="0" applyFont="1" applyFill="1" applyBorder="1"/>
    <xf numFmtId="0" fontId="4" fillId="3" borderId="11" xfId="0" applyFont="1" applyFill="1" applyBorder="1"/>
    <xf numFmtId="0" fontId="4" fillId="3" borderId="11" xfId="0" applyFont="1" applyFill="1" applyBorder="1" applyAlignment="1">
      <alignment wrapText="1"/>
    </xf>
    <xf numFmtId="0" fontId="3" fillId="3" borderId="13" xfId="0" applyFont="1" applyFill="1" applyBorder="1"/>
    <xf numFmtId="0" fontId="6" fillId="6" borderId="11" xfId="0" applyFont="1" applyFill="1" applyBorder="1" applyAlignment="1">
      <alignment vertical="center"/>
    </xf>
    <xf numFmtId="0" fontId="6" fillId="6" borderId="17" xfId="0" applyFont="1" applyFill="1" applyBorder="1" applyAlignment="1">
      <alignment vertical="center"/>
    </xf>
    <xf numFmtId="0" fontId="6" fillId="6" borderId="11" xfId="0" applyFont="1" applyFill="1" applyBorder="1" applyAlignment="1">
      <alignment wrapText="1"/>
    </xf>
    <xf numFmtId="0" fontId="6" fillId="6" borderId="16" xfId="0" applyFont="1" applyFill="1" applyBorder="1" applyAlignment="1">
      <alignment vertical="center"/>
    </xf>
    <xf numFmtId="0" fontId="6" fillId="6" borderId="16" xfId="0" applyFont="1" applyFill="1" applyBorder="1" applyAlignment="1">
      <alignment horizontal="center" vertical="center"/>
    </xf>
    <xf numFmtId="0" fontId="6" fillId="6" borderId="16" xfId="0" applyFont="1" applyFill="1" applyBorder="1" applyAlignment="1">
      <alignment wrapText="1"/>
    </xf>
    <xf numFmtId="0" fontId="4" fillId="0" borderId="3" xfId="0" applyFont="1" applyFill="1" applyBorder="1"/>
    <xf numFmtId="44" fontId="4" fillId="0" borderId="3" xfId="2" applyFont="1" applyFill="1" applyBorder="1"/>
    <xf numFmtId="9" fontId="4" fillId="0" borderId="3" xfId="9" applyFont="1" applyFill="1" applyBorder="1"/>
    <xf numFmtId="166" fontId="4" fillId="0" borderId="3" xfId="9" applyNumberFormat="1" applyFont="1" applyFill="1" applyBorder="1"/>
    <xf numFmtId="4" fontId="4" fillId="0" borderId="3" xfId="0" applyNumberFormat="1" applyFont="1" applyFill="1" applyBorder="1"/>
    <xf numFmtId="4" fontId="4" fillId="0" borderId="3" xfId="1" applyNumberFormat="1" applyFont="1" applyFill="1" applyBorder="1"/>
    <xf numFmtId="0" fontId="4" fillId="0" borderId="1" xfId="0" applyFont="1" applyFill="1" applyBorder="1"/>
    <xf numFmtId="0" fontId="4" fillId="0" borderId="11" xfId="0" applyFont="1" applyFill="1" applyBorder="1"/>
    <xf numFmtId="0" fontId="4" fillId="0" borderId="18" xfId="0" applyFont="1" applyFill="1" applyBorder="1"/>
    <xf numFmtId="166" fontId="4" fillId="0" borderId="18" xfId="9" applyNumberFormat="1" applyFont="1" applyFill="1" applyBorder="1"/>
    <xf numFmtId="0" fontId="3" fillId="0" borderId="1" xfId="6" applyFont="1" applyFill="1" applyBorder="1"/>
    <xf numFmtId="44" fontId="3" fillId="0" borderId="1" xfId="2" applyFont="1" applyFill="1" applyBorder="1"/>
    <xf numFmtId="44" fontId="3" fillId="0" borderId="11" xfId="2" applyFont="1" applyFill="1" applyBorder="1"/>
    <xf numFmtId="0" fontId="3" fillId="0" borderId="19" xfId="6" applyFont="1" applyFill="1" applyBorder="1"/>
    <xf numFmtId="0" fontId="3" fillId="0" borderId="11" xfId="6" applyFont="1" applyFill="1" applyBorder="1"/>
    <xf numFmtId="44" fontId="3" fillId="0" borderId="19" xfId="2" applyFont="1" applyFill="1" applyBorder="1"/>
    <xf numFmtId="10" fontId="4" fillId="0" borderId="3" xfId="2" applyNumberFormat="1" applyFont="1" applyFill="1" applyBorder="1"/>
    <xf numFmtId="10" fontId="4" fillId="0" borderId="1" xfId="2" applyNumberFormat="1" applyFont="1" applyFill="1" applyBorder="1"/>
    <xf numFmtId="0" fontId="3" fillId="0" borderId="1" xfId="0" applyFont="1" applyFill="1" applyBorder="1"/>
    <xf numFmtId="14" fontId="3" fillId="0" borderId="1" xfId="0" applyNumberFormat="1" applyFont="1" applyFill="1" applyBorder="1"/>
    <xf numFmtId="44" fontId="3" fillId="0" borderId="1" xfId="0" applyNumberFormat="1" applyFont="1" applyFill="1" applyBorder="1"/>
    <xf numFmtId="9" fontId="3" fillId="0" borderId="1" xfId="9" applyFont="1" applyFill="1" applyBorder="1"/>
    <xf numFmtId="0" fontId="3" fillId="0" borderId="1" xfId="2" applyNumberFormat="1" applyFont="1" applyFill="1" applyBorder="1"/>
    <xf numFmtId="0" fontId="3" fillId="0" borderId="11" xfId="0" applyFont="1" applyFill="1" applyBorder="1"/>
    <xf numFmtId="44" fontId="3" fillId="0" borderId="11" xfId="0" applyNumberFormat="1" applyFont="1" applyFill="1" applyBorder="1"/>
    <xf numFmtId="9" fontId="4" fillId="0" borderId="1" xfId="9" applyFont="1" applyFill="1" applyBorder="1"/>
    <xf numFmtId="9" fontId="4" fillId="0" borderId="19" xfId="9" applyFont="1" applyFill="1" applyBorder="1"/>
    <xf numFmtId="0" fontId="3" fillId="0" borderId="13" xfId="6" applyFont="1" applyFill="1" applyBorder="1"/>
    <xf numFmtId="0" fontId="4" fillId="0" borderId="3" xfId="9" applyNumberFormat="1" applyFont="1" applyFill="1" applyBorder="1"/>
    <xf numFmtId="0" fontId="4" fillId="0" borderId="1" xfId="9" applyNumberFormat="1" applyFont="1" applyFill="1" applyBorder="1"/>
    <xf numFmtId="0" fontId="4" fillId="0" borderId="11" xfId="9" applyNumberFormat="1" applyFont="1" applyFill="1" applyBorder="1"/>
    <xf numFmtId="44" fontId="4" fillId="0" borderId="19" xfId="2" applyFont="1" applyFill="1" applyBorder="1"/>
    <xf numFmtId="0" fontId="4" fillId="0" borderId="1" xfId="6" applyFont="1" applyFill="1" applyBorder="1"/>
    <xf numFmtId="0" fontId="4" fillId="0" borderId="11" xfId="6" applyFont="1" applyFill="1" applyBorder="1"/>
    <xf numFmtId="44" fontId="4" fillId="0" borderId="11" xfId="2" applyFont="1" applyFill="1" applyBorder="1"/>
    <xf numFmtId="0" fontId="4" fillId="0" borderId="20" xfId="6" applyFont="1" applyBorder="1"/>
    <xf numFmtId="44" fontId="4" fillId="0" borderId="11" xfId="6" applyNumberFormat="1" applyFont="1" applyBorder="1"/>
    <xf numFmtId="44" fontId="6" fillId="0" borderId="11" xfId="2" applyFont="1" applyFill="1" applyBorder="1"/>
    <xf numFmtId="0" fontId="4" fillId="0" borderId="12" xfId="6" applyFont="1" applyFill="1" applyBorder="1"/>
    <xf numFmtId="0" fontId="4" fillId="7" borderId="11" xfId="6" applyFont="1" applyFill="1" applyBorder="1"/>
    <xf numFmtId="0" fontId="4" fillId="7" borderId="1" xfId="6" applyFont="1" applyFill="1" applyBorder="1" applyAlignment="1">
      <alignment wrapText="1"/>
    </xf>
    <xf numFmtId="0" fontId="4" fillId="7" borderId="1" xfId="6" applyFont="1" applyFill="1" applyBorder="1" applyAlignment="1">
      <alignment wrapText="1" shrinkToFit="1"/>
    </xf>
    <xf numFmtId="44" fontId="4" fillId="0" borderId="8" xfId="0" applyNumberFormat="1" applyFont="1" applyBorder="1"/>
    <xf numFmtId="44" fontId="6" fillId="0" borderId="1" xfId="2" applyFont="1" applyBorder="1"/>
    <xf numFmtId="44" fontId="5" fillId="0" borderId="8" xfId="0" applyNumberFormat="1" applyFont="1" applyBorder="1"/>
    <xf numFmtId="0" fontId="6" fillId="8" borderId="11" xfId="0" applyFont="1" applyFill="1" applyBorder="1" applyAlignment="1">
      <alignment vertical="center" wrapText="1"/>
    </xf>
    <xf numFmtId="0" fontId="6" fillId="8" borderId="17" xfId="0" applyFont="1" applyFill="1" applyBorder="1" applyAlignment="1">
      <alignment vertical="center" wrapText="1"/>
    </xf>
    <xf numFmtId="0" fontId="6" fillId="8" borderId="1" xfId="0" applyFont="1" applyFill="1" applyBorder="1" applyAlignment="1">
      <alignment vertical="center" wrapText="1"/>
    </xf>
    <xf numFmtId="0" fontId="6" fillId="8" borderId="16" xfId="0" applyFont="1" applyFill="1" applyBorder="1" applyAlignment="1">
      <alignment vertical="center" wrapText="1"/>
    </xf>
    <xf numFmtId="0" fontId="4" fillId="0" borderId="19" xfId="9" applyNumberFormat="1" applyFont="1" applyFill="1" applyBorder="1"/>
    <xf numFmtId="44" fontId="6" fillId="0" borderId="19" xfId="2" applyFont="1" applyFill="1" applyBorder="1"/>
    <xf numFmtId="0" fontId="4" fillId="0" borderId="19" xfId="0" applyFont="1" applyFill="1" applyBorder="1"/>
    <xf numFmtId="0" fontId="6" fillId="8" borderId="16" xfId="0" applyFont="1" applyFill="1" applyBorder="1" applyAlignment="1">
      <alignment horizontal="center" vertical="center" wrapText="1"/>
    </xf>
    <xf numFmtId="44" fontId="6" fillId="9" borderId="1" xfId="2" applyFont="1" applyFill="1" applyBorder="1"/>
    <xf numFmtId="44" fontId="6" fillId="0" borderId="0" xfId="2" applyFont="1" applyFill="1" applyBorder="1"/>
    <xf numFmtId="44" fontId="6" fillId="9" borderId="19" xfId="2" applyFont="1" applyFill="1" applyBorder="1"/>
    <xf numFmtId="0" fontId="6" fillId="0" borderId="12" xfId="0" applyFont="1" applyFill="1" applyBorder="1"/>
    <xf numFmtId="0" fontId="6" fillId="4" borderId="22" xfId="0" applyFont="1" applyFill="1" applyBorder="1"/>
    <xf numFmtId="0" fontId="6" fillId="4" borderId="23" xfId="0" applyFont="1" applyFill="1" applyBorder="1"/>
    <xf numFmtId="44" fontId="4" fillId="4" borderId="24" xfId="2" applyFont="1" applyFill="1" applyBorder="1" applyAlignment="1">
      <alignment horizontal="center" vertical="center" wrapText="1"/>
    </xf>
    <xf numFmtId="44" fontId="4" fillId="0" borderId="25" xfId="2" applyFont="1" applyFill="1" applyBorder="1"/>
    <xf numFmtId="44" fontId="4" fillId="0" borderId="26" xfId="2" applyFont="1" applyFill="1" applyBorder="1"/>
    <xf numFmtId="44" fontId="6" fillId="0" borderId="25" xfId="2" applyFont="1" applyFill="1" applyBorder="1"/>
    <xf numFmtId="0" fontId="6" fillId="0" borderId="20" xfId="0" applyFont="1" applyFill="1" applyBorder="1"/>
    <xf numFmtId="0" fontId="6" fillId="4" borderId="17" xfId="0" applyFont="1" applyFill="1" applyBorder="1"/>
    <xf numFmtId="44" fontId="4" fillId="9" borderId="25" xfId="2" applyFont="1" applyFill="1" applyBorder="1"/>
    <xf numFmtId="44" fontId="4" fillId="9" borderId="26" xfId="2" applyFont="1" applyFill="1" applyBorder="1"/>
    <xf numFmtId="0" fontId="4" fillId="9" borderId="19" xfId="0" applyFont="1" applyFill="1" applyBorder="1"/>
    <xf numFmtId="44" fontId="4" fillId="9" borderId="27" xfId="2" applyFont="1" applyFill="1" applyBorder="1"/>
    <xf numFmtId="44" fontId="6" fillId="9" borderId="3" xfId="2" applyFont="1" applyFill="1" applyBorder="1"/>
    <xf numFmtId="44" fontId="4" fillId="4" borderId="3" xfId="2" applyFont="1" applyFill="1" applyBorder="1" applyAlignment="1">
      <alignment wrapText="1"/>
    </xf>
    <xf numFmtId="44" fontId="6" fillId="0" borderId="3" xfId="2" applyFont="1" applyFill="1" applyBorder="1"/>
    <xf numFmtId="44" fontId="4" fillId="4" borderId="14" xfId="2" applyFont="1" applyFill="1" applyBorder="1" applyAlignment="1">
      <alignment wrapText="1"/>
    </xf>
    <xf numFmtId="0" fontId="13" fillId="0" borderId="0" xfId="0" applyFont="1"/>
    <xf numFmtId="44" fontId="4" fillId="0" borderId="0" xfId="2" applyFont="1"/>
    <xf numFmtId="0" fontId="4" fillId="0" borderId="3" xfId="6" applyFont="1" applyFill="1" applyBorder="1" applyAlignment="1">
      <alignment wrapText="1"/>
    </xf>
    <xf numFmtId="0" fontId="0" fillId="0" borderId="0" xfId="0" applyFill="1"/>
    <xf numFmtId="14" fontId="4" fillId="0" borderId="3" xfId="6" applyNumberFormat="1" applyFont="1" applyFill="1" applyBorder="1"/>
    <xf numFmtId="2" fontId="4" fillId="0" borderId="3" xfId="6" applyNumberFormat="1" applyFont="1" applyFill="1" applyBorder="1"/>
    <xf numFmtId="14" fontId="4" fillId="0" borderId="1" xfId="6" applyNumberFormat="1" applyFont="1" applyFill="1" applyBorder="1"/>
    <xf numFmtId="2" fontId="4" fillId="0" borderId="1" xfId="6" applyNumberFormat="1" applyFont="1" applyFill="1" applyBorder="1"/>
    <xf numFmtId="2" fontId="4" fillId="0" borderId="11" xfId="6" applyNumberFormat="1" applyFont="1" applyFill="1" applyBorder="1"/>
    <xf numFmtId="10" fontId="19" fillId="0" borderId="28" xfId="0" applyNumberFormat="1" applyFont="1" applyFill="1" applyBorder="1" applyAlignment="1">
      <alignment wrapText="1"/>
    </xf>
    <xf numFmtId="44" fontId="4" fillId="0" borderId="3" xfId="6" applyNumberFormat="1" applyFont="1" applyFill="1" applyBorder="1" applyAlignment="1">
      <alignment wrapText="1"/>
    </xf>
    <xf numFmtId="0" fontId="13" fillId="0" borderId="28" xfId="0" applyFont="1" applyBorder="1"/>
    <xf numFmtId="14" fontId="4" fillId="0" borderId="3" xfId="6" applyNumberFormat="1" applyFont="1" applyFill="1" applyBorder="1" applyAlignment="1">
      <alignment wrapText="1"/>
    </xf>
    <xf numFmtId="14" fontId="4" fillId="0" borderId="11" xfId="6" applyNumberFormat="1" applyFont="1" applyFill="1" applyBorder="1"/>
    <xf numFmtId="0" fontId="3" fillId="0" borderId="1" xfId="6" applyNumberFormat="1" applyFont="1" applyFill="1" applyBorder="1"/>
    <xf numFmtId="0" fontId="3" fillId="0" borderId="11" xfId="6" applyNumberFormat="1" applyFont="1" applyFill="1" applyBorder="1"/>
    <xf numFmtId="0" fontId="0" fillId="0" borderId="28" xfId="0" applyBorder="1"/>
    <xf numFmtId="14" fontId="3" fillId="0" borderId="3" xfId="6" applyNumberFormat="1" applyFont="1" applyFill="1" applyBorder="1"/>
    <xf numFmtId="14" fontId="3" fillId="0" borderId="1" xfId="6" applyNumberFormat="1" applyFont="1" applyFill="1" applyBorder="1"/>
    <xf numFmtId="14" fontId="3" fillId="0" borderId="11" xfId="6" applyNumberFormat="1" applyFont="1" applyFill="1" applyBorder="1"/>
    <xf numFmtId="0" fontId="3" fillId="0" borderId="3" xfId="6" applyNumberFormat="1" applyFont="1" applyFill="1" applyBorder="1" applyAlignment="1">
      <alignment horizontal="center"/>
    </xf>
    <xf numFmtId="0" fontId="3" fillId="0" borderId="1" xfId="6" applyNumberFormat="1" applyFont="1" applyFill="1" applyBorder="1" applyAlignment="1">
      <alignment horizontal="center"/>
    </xf>
    <xf numFmtId="0" fontId="3" fillId="0" borderId="11" xfId="2" applyNumberFormat="1" applyFont="1" applyFill="1" applyBorder="1"/>
    <xf numFmtId="0" fontId="9" fillId="0" borderId="8" xfId="6" applyFont="1" applyBorder="1"/>
    <xf numFmtId="0" fontId="3" fillId="0" borderId="11" xfId="6" applyNumberFormat="1" applyFont="1" applyFill="1" applyBorder="1" applyAlignment="1">
      <alignment horizontal="center"/>
    </xf>
    <xf numFmtId="0" fontId="0" fillId="0" borderId="7" xfId="0" applyBorder="1"/>
    <xf numFmtId="0" fontId="3" fillId="0" borderId="8" xfId="6" applyFont="1" applyBorder="1"/>
    <xf numFmtId="0" fontId="3" fillId="0" borderId="3" xfId="2" applyNumberFormat="1" applyFont="1" applyFill="1" applyBorder="1"/>
    <xf numFmtId="0" fontId="20" fillId="0" borderId="0" xfId="0" applyFont="1"/>
    <xf numFmtId="10" fontId="6" fillId="0" borderId="1" xfId="2" applyNumberFormat="1" applyFont="1" applyFill="1" applyBorder="1"/>
    <xf numFmtId="0" fontId="5" fillId="0" borderId="6" xfId="6" applyFont="1" applyBorder="1"/>
    <xf numFmtId="44" fontId="6" fillId="0" borderId="21" xfId="2" applyFont="1" applyFill="1" applyBorder="1"/>
    <xf numFmtId="164" fontId="6" fillId="0" borderId="19" xfId="1" applyNumberFormat="1" applyFont="1" applyFill="1" applyBorder="1"/>
    <xf numFmtId="0" fontId="19" fillId="0" borderId="0" xfId="0" applyFont="1"/>
    <xf numFmtId="44" fontId="4" fillId="10" borderId="29" xfId="0" applyNumberFormat="1" applyFont="1" applyFill="1" applyBorder="1"/>
    <xf numFmtId="0" fontId="6" fillId="0" borderId="1" xfId="1" applyNumberFormat="1" applyFont="1" applyFill="1" applyBorder="1"/>
    <xf numFmtId="0" fontId="6" fillId="0" borderId="1" xfId="2" applyNumberFormat="1" applyFont="1" applyFill="1" applyBorder="1"/>
    <xf numFmtId="0" fontId="4" fillId="0" borderId="1" xfId="0" applyNumberFormat="1" applyFont="1" applyBorder="1"/>
    <xf numFmtId="10" fontId="6" fillId="0" borderId="1" xfId="9" applyNumberFormat="1" applyFont="1" applyFill="1" applyBorder="1"/>
    <xf numFmtId="10" fontId="4" fillId="0" borderId="1" xfId="0" applyNumberFormat="1" applyFont="1" applyBorder="1"/>
    <xf numFmtId="44" fontId="6" fillId="0" borderId="1" xfId="2" applyNumberFormat="1" applyFont="1" applyFill="1" applyBorder="1"/>
    <xf numFmtId="0" fontId="9" fillId="0" borderId="9" xfId="6" applyFont="1" applyBorder="1"/>
    <xf numFmtId="44" fontId="6" fillId="0" borderId="2" xfId="2" applyFont="1" applyFill="1" applyBorder="1" applyAlignment="1">
      <alignment horizontal="center"/>
    </xf>
    <xf numFmtId="8" fontId="4" fillId="0" borderId="2" xfId="2" applyNumberFormat="1" applyFont="1" applyFill="1" applyBorder="1"/>
    <xf numFmtId="44" fontId="4" fillId="0" borderId="16" xfId="2" applyFont="1" applyFill="1" applyBorder="1"/>
    <xf numFmtId="44" fontId="4" fillId="0" borderId="17" xfId="2" applyFont="1" applyFill="1" applyBorder="1"/>
    <xf numFmtId="44" fontId="4" fillId="0" borderId="17" xfId="6" applyNumberFormat="1" applyFont="1" applyBorder="1"/>
    <xf numFmtId="0" fontId="17" fillId="0" borderId="0" xfId="0" applyFont="1" applyBorder="1" applyAlignment="1">
      <alignment horizontal="center"/>
    </xf>
    <xf numFmtId="0" fontId="4" fillId="0" borderId="11" xfId="0" applyFont="1" applyBorder="1"/>
    <xf numFmtId="10" fontId="4" fillId="0" borderId="11" xfId="0" applyNumberFormat="1" applyFont="1" applyBorder="1"/>
    <xf numFmtId="44" fontId="6" fillId="0" borderId="11" xfId="2" applyFont="1" applyBorder="1"/>
    <xf numFmtId="0" fontId="5" fillId="0" borderId="7" xfId="0" applyFont="1" applyBorder="1"/>
    <xf numFmtId="44" fontId="4" fillId="0" borderId="30" xfId="0" applyNumberFormat="1" applyFont="1" applyBorder="1"/>
    <xf numFmtId="44" fontId="4" fillId="0" borderId="2" xfId="2" applyFont="1" applyFill="1" applyBorder="1"/>
    <xf numFmtId="44" fontId="6" fillId="0" borderId="31" xfId="2" applyFont="1" applyFill="1" applyBorder="1"/>
    <xf numFmtId="44" fontId="6" fillId="0" borderId="12" xfId="2" applyFont="1" applyFill="1" applyBorder="1"/>
    <xf numFmtId="44" fontId="6" fillId="0" borderId="15" xfId="2" applyFont="1" applyFill="1" applyBorder="1"/>
    <xf numFmtId="44" fontId="4" fillId="0" borderId="32" xfId="0" applyNumberFormat="1" applyFont="1" applyBorder="1"/>
    <xf numFmtId="0" fontId="6" fillId="0" borderId="33" xfId="0" applyFont="1" applyFill="1" applyBorder="1"/>
    <xf numFmtId="0" fontId="0" fillId="0" borderId="31" xfId="0" applyBorder="1"/>
    <xf numFmtId="0" fontId="13" fillId="3" borderId="1" xfId="0" applyFont="1" applyFill="1" applyBorder="1" applyAlignment="1">
      <alignment wrapText="1"/>
    </xf>
    <xf numFmtId="8" fontId="13" fillId="0" borderId="1" xfId="0" applyNumberFormat="1" applyFont="1" applyBorder="1"/>
    <xf numFmtId="8" fontId="13" fillId="0" borderId="16" xfId="0" applyNumberFormat="1" applyFont="1" applyBorder="1"/>
    <xf numFmtId="0" fontId="8" fillId="0" borderId="8" xfId="0" applyFont="1" applyBorder="1" applyAlignment="1"/>
    <xf numFmtId="44" fontId="4" fillId="0" borderId="1" xfId="6" applyNumberFormat="1" applyFont="1" applyBorder="1"/>
    <xf numFmtId="0" fontId="4" fillId="0" borderId="1" xfId="6" applyFont="1" applyBorder="1"/>
    <xf numFmtId="0" fontId="8" fillId="0" borderId="0" xfId="6" applyFont="1"/>
    <xf numFmtId="9" fontId="19" fillId="0" borderId="28" xfId="0" applyNumberFormat="1" applyFont="1" applyFill="1" applyBorder="1" applyAlignment="1">
      <alignment wrapText="1"/>
    </xf>
    <xf numFmtId="0" fontId="3" fillId="0" borderId="1" xfId="6" applyFont="1" applyFill="1" applyBorder="1" applyAlignment="1">
      <alignment wrapText="1"/>
    </xf>
    <xf numFmtId="0" fontId="3" fillId="0" borderId="3" xfId="6" applyFont="1" applyFill="1" applyBorder="1" applyAlignment="1">
      <alignment wrapText="1"/>
    </xf>
    <xf numFmtId="0" fontId="3" fillId="0" borderId="1" xfId="9" applyNumberFormat="1" applyFont="1" applyFill="1" applyBorder="1"/>
    <xf numFmtId="0" fontId="3" fillId="0" borderId="11" xfId="9" applyNumberFormat="1" applyFont="1" applyFill="1" applyBorder="1"/>
    <xf numFmtId="14" fontId="4" fillId="0" borderId="1" xfId="2" applyNumberFormat="1" applyFont="1" applyFill="1" applyBorder="1"/>
    <xf numFmtId="14" fontId="4" fillId="0" borderId="18" xfId="2" applyNumberFormat="1" applyFont="1" applyBorder="1"/>
    <xf numFmtId="14" fontId="4" fillId="0" borderId="1" xfId="2" applyNumberFormat="1" applyFont="1" applyBorder="1"/>
    <xf numFmtId="2" fontId="4" fillId="0" borderId="1" xfId="2" applyNumberFormat="1" applyFont="1" applyBorder="1"/>
    <xf numFmtId="2" fontId="6" fillId="0" borderId="1" xfId="9" applyNumberFormat="1" applyFont="1" applyFill="1" applyBorder="1"/>
    <xf numFmtId="9" fontId="4" fillId="0" borderId="2" xfId="2" applyNumberFormat="1" applyFont="1" applyBorder="1"/>
    <xf numFmtId="9" fontId="6" fillId="0" borderId="1" xfId="9" applyNumberFormat="1" applyFont="1" applyFill="1" applyBorder="1"/>
    <xf numFmtId="0" fontId="19" fillId="2" borderId="3" xfId="0" quotePrefix="1" applyFont="1" applyFill="1" applyBorder="1" applyAlignment="1">
      <alignment vertical="top" wrapText="1" shrinkToFit="1"/>
    </xf>
    <xf numFmtId="44" fontId="6" fillId="0" borderId="26" xfId="2" applyFont="1" applyFill="1" applyBorder="1"/>
    <xf numFmtId="0" fontId="23" fillId="0" borderId="0" xfId="6" applyFont="1" applyBorder="1"/>
    <xf numFmtId="0" fontId="23" fillId="0" borderId="0" xfId="6" applyFont="1"/>
    <xf numFmtId="0" fontId="23" fillId="0" borderId="0" xfId="0" applyFont="1"/>
    <xf numFmtId="0" fontId="24" fillId="0" borderId="0" xfId="0" applyFont="1"/>
    <xf numFmtId="0" fontId="25" fillId="0" borderId="0" xfId="0" applyFont="1"/>
    <xf numFmtId="9" fontId="3" fillId="0" borderId="1" xfId="9" applyNumberFormat="1" applyFont="1" applyFill="1" applyBorder="1"/>
    <xf numFmtId="9" fontId="3" fillId="0" borderId="1" xfId="2" applyNumberFormat="1" applyFont="1" applyFill="1" applyBorder="1"/>
    <xf numFmtId="9" fontId="3" fillId="0" borderId="11" xfId="2" applyNumberFormat="1" applyFont="1" applyFill="1" applyBorder="1"/>
    <xf numFmtId="0" fontId="3" fillId="0" borderId="1" xfId="0" applyNumberFormat="1" applyFont="1" applyFill="1" applyBorder="1"/>
    <xf numFmtId="0" fontId="3" fillId="0" borderId="19" xfId="0" applyNumberFormat="1" applyFont="1" applyFill="1" applyBorder="1"/>
    <xf numFmtId="9" fontId="6" fillId="0" borderId="1" xfId="2" applyNumberFormat="1" applyFont="1" applyFill="1" applyBorder="1"/>
    <xf numFmtId="9" fontId="6" fillId="0" borderId="11" xfId="2" applyNumberFormat="1" applyFont="1" applyFill="1" applyBorder="1"/>
    <xf numFmtId="0" fontId="6" fillId="0" borderId="34" xfId="0" applyFont="1" applyBorder="1" applyAlignment="1">
      <alignment horizontal="left" vertical="top"/>
    </xf>
    <xf numFmtId="0" fontId="20" fillId="0" borderId="2" xfId="0" applyFont="1" applyBorder="1" applyAlignment="1"/>
    <xf numFmtId="0" fontId="3" fillId="0" borderId="19" xfId="2" applyNumberFormat="1" applyFont="1" applyFill="1" applyBorder="1"/>
    <xf numFmtId="44" fontId="28" fillId="0" borderId="0" xfId="2" applyFont="1" applyFill="1" applyBorder="1" applyAlignment="1"/>
    <xf numFmtId="0" fontId="6" fillId="0" borderId="35" xfId="0" applyFont="1" applyBorder="1" applyAlignment="1">
      <alignment horizontal="center"/>
    </xf>
    <xf numFmtId="0" fontId="4" fillId="3" borderId="12" xfId="6" applyFont="1" applyFill="1" applyBorder="1" applyAlignment="1">
      <alignment horizontal="center" vertical="center" wrapText="1"/>
    </xf>
    <xf numFmtId="0" fontId="4" fillId="0" borderId="0" xfId="0" applyFont="1" applyAlignment="1"/>
    <xf numFmtId="44" fontId="4" fillId="4" borderId="13" xfId="2" applyFont="1" applyFill="1" applyBorder="1" applyAlignment="1">
      <alignment wrapText="1"/>
    </xf>
    <xf numFmtId="0" fontId="6" fillId="4" borderId="16" xfId="0" applyFont="1" applyFill="1" applyBorder="1"/>
    <xf numFmtId="44" fontId="6" fillId="9" borderId="2" xfId="2" applyFont="1" applyFill="1" applyBorder="1"/>
    <xf numFmtId="44" fontId="6" fillId="9" borderId="21" xfId="2" applyFont="1" applyFill="1" applyBorder="1"/>
    <xf numFmtId="0" fontId="6" fillId="0" borderId="36" xfId="0" applyFont="1" applyBorder="1" applyAlignment="1">
      <alignment horizontal="center"/>
    </xf>
    <xf numFmtId="0" fontId="6" fillId="4" borderId="37" xfId="0" applyFont="1" applyFill="1" applyBorder="1"/>
    <xf numFmtId="44" fontId="4" fillId="4" borderId="38" xfId="2" applyFont="1" applyFill="1" applyBorder="1" applyAlignment="1">
      <alignment wrapText="1"/>
    </xf>
    <xf numFmtId="10" fontId="6" fillId="0" borderId="0" xfId="2" applyNumberFormat="1" applyFont="1" applyBorder="1"/>
    <xf numFmtId="0" fontId="4" fillId="0" borderId="21" xfId="0" applyFont="1" applyFill="1" applyBorder="1"/>
    <xf numFmtId="44" fontId="6" fillId="0" borderId="16" xfId="2" applyFont="1" applyFill="1" applyBorder="1"/>
    <xf numFmtId="44" fontId="4" fillId="4" borderId="39" xfId="2" applyFont="1" applyFill="1" applyBorder="1" applyAlignment="1">
      <alignment wrapText="1"/>
    </xf>
    <xf numFmtId="9" fontId="4" fillId="7" borderId="3" xfId="9" applyFont="1" applyFill="1" applyBorder="1"/>
    <xf numFmtId="44" fontId="4" fillId="7" borderId="1" xfId="9" applyNumberFormat="1" applyFont="1" applyFill="1" applyBorder="1"/>
    <xf numFmtId="9" fontId="4" fillId="7" borderId="40" xfId="9" applyFont="1" applyFill="1" applyBorder="1"/>
    <xf numFmtId="9" fontId="6" fillId="7" borderId="3" xfId="8" applyFont="1" applyFill="1" applyBorder="1"/>
    <xf numFmtId="168" fontId="4" fillId="7" borderId="3" xfId="9" applyNumberFormat="1" applyFont="1" applyFill="1" applyBorder="1"/>
    <xf numFmtId="10" fontId="6" fillId="7" borderId="41" xfId="2" applyNumberFormat="1" applyFont="1" applyFill="1" applyBorder="1"/>
    <xf numFmtId="10" fontId="4" fillId="7" borderId="3" xfId="9" applyNumberFormat="1" applyFont="1" applyFill="1" applyBorder="1"/>
    <xf numFmtId="44" fontId="4" fillId="7" borderId="0" xfId="8" applyNumberFormat="1" applyFont="1" applyFill="1" applyBorder="1"/>
    <xf numFmtId="10" fontId="4" fillId="7" borderId="40" xfId="8" applyNumberFormat="1" applyFont="1" applyFill="1" applyBorder="1"/>
    <xf numFmtId="44" fontId="4" fillId="7" borderId="1" xfId="8" applyNumberFormat="1" applyFont="1" applyFill="1" applyBorder="1"/>
    <xf numFmtId="44" fontId="6" fillId="7" borderId="42" xfId="2" applyNumberFormat="1" applyFont="1" applyFill="1" applyBorder="1"/>
    <xf numFmtId="9" fontId="6" fillId="7" borderId="28" xfId="2" applyNumberFormat="1" applyFont="1" applyFill="1" applyBorder="1"/>
    <xf numFmtId="44" fontId="4" fillId="7" borderId="13" xfId="9" applyNumberFormat="1" applyFont="1" applyFill="1" applyBorder="1"/>
    <xf numFmtId="10" fontId="6" fillId="7" borderId="42" xfId="2" applyNumberFormat="1" applyFont="1" applyFill="1" applyBorder="1"/>
    <xf numFmtId="44" fontId="4" fillId="4" borderId="28" xfId="2" applyFont="1" applyFill="1" applyBorder="1" applyAlignment="1">
      <alignment wrapText="1"/>
    </xf>
    <xf numFmtId="44" fontId="6" fillId="7" borderId="14" xfId="2" applyFont="1" applyFill="1" applyBorder="1"/>
    <xf numFmtId="44" fontId="6" fillId="7" borderId="3" xfId="2" applyFont="1" applyFill="1" applyBorder="1"/>
    <xf numFmtId="44" fontId="0" fillId="7" borderId="43" xfId="0" applyNumberFormat="1" applyFill="1" applyBorder="1"/>
    <xf numFmtId="44" fontId="8" fillId="4" borderId="3" xfId="2" applyFont="1" applyFill="1" applyBorder="1" applyAlignment="1">
      <alignment wrapText="1"/>
    </xf>
    <xf numFmtId="44" fontId="27" fillId="7" borderId="43" xfId="0" applyNumberFormat="1" applyFont="1" applyFill="1" applyBorder="1"/>
    <xf numFmtId="44" fontId="4" fillId="7" borderId="3" xfId="6" applyNumberFormat="1" applyFont="1" applyFill="1" applyBorder="1" applyAlignment="1">
      <alignment wrapText="1"/>
    </xf>
    <xf numFmtId="44" fontId="4" fillId="7" borderId="1" xfId="2" applyFont="1" applyFill="1" applyBorder="1"/>
    <xf numFmtId="44" fontId="4" fillId="7" borderId="11" xfId="2" applyFont="1" applyFill="1" applyBorder="1"/>
    <xf numFmtId="44" fontId="5" fillId="7" borderId="44" xfId="2" applyNumberFormat="1" applyFont="1" applyFill="1" applyBorder="1"/>
    <xf numFmtId="44" fontId="3" fillId="7" borderId="1" xfId="2" applyFont="1" applyFill="1" applyBorder="1"/>
    <xf numFmtId="44" fontId="3" fillId="7" borderId="1" xfId="2" applyNumberFormat="1" applyFont="1" applyFill="1" applyBorder="1"/>
    <xf numFmtId="44" fontId="5" fillId="7" borderId="45" xfId="2" applyNumberFormat="1" applyFont="1" applyFill="1" applyBorder="1"/>
    <xf numFmtId="44" fontId="4" fillId="0" borderId="0" xfId="2" applyFont="1" applyFill="1" applyBorder="1"/>
    <xf numFmtId="168" fontId="3" fillId="0" borderId="1" xfId="0" applyNumberFormat="1" applyFont="1" applyFill="1" applyBorder="1"/>
    <xf numFmtId="44" fontId="3" fillId="7" borderId="47" xfId="2" applyFont="1" applyFill="1" applyBorder="1"/>
    <xf numFmtId="0" fontId="3" fillId="0" borderId="1" xfId="1" applyNumberFormat="1" applyFont="1" applyFill="1" applyBorder="1" applyAlignment="1">
      <alignment horizontal="center"/>
    </xf>
    <xf numFmtId="0" fontId="3" fillId="0" borderId="1" xfId="2" applyNumberFormat="1" applyFont="1" applyFill="1" applyBorder="1" applyAlignment="1">
      <alignment horizontal="center"/>
    </xf>
    <xf numFmtId="0" fontId="3" fillId="0" borderId="47" xfId="2" applyNumberFormat="1" applyFont="1" applyFill="1" applyBorder="1" applyAlignment="1">
      <alignment horizontal="center"/>
    </xf>
    <xf numFmtId="168" fontId="3" fillId="0" borderId="19" xfId="0" applyNumberFormat="1" applyFont="1" applyFill="1" applyBorder="1"/>
    <xf numFmtId="44" fontId="6" fillId="7" borderId="1" xfId="2" applyFont="1" applyFill="1" applyBorder="1"/>
    <xf numFmtId="44" fontId="4" fillId="7" borderId="48" xfId="0" applyNumberFormat="1" applyFont="1" applyFill="1" applyBorder="1"/>
    <xf numFmtId="44" fontId="20" fillId="7" borderId="49" xfId="0" applyNumberFormat="1" applyFont="1" applyFill="1" applyBorder="1"/>
    <xf numFmtId="44" fontId="4" fillId="7" borderId="8" xfId="0" applyNumberFormat="1" applyFont="1" applyFill="1" applyBorder="1"/>
    <xf numFmtId="0" fontId="9" fillId="0" borderId="0" xfId="0" applyFont="1" applyAlignment="1"/>
    <xf numFmtId="0" fontId="19" fillId="0" borderId="0" xfId="0" applyFont="1" applyAlignment="1"/>
    <xf numFmtId="0" fontId="3" fillId="0" borderId="13" xfId="6" applyFont="1" applyFill="1" applyBorder="1" applyAlignment="1">
      <alignment wrapText="1"/>
    </xf>
    <xf numFmtId="44" fontId="3" fillId="11" borderId="1" xfId="2" applyFont="1" applyFill="1" applyBorder="1"/>
    <xf numFmtId="44" fontId="5" fillId="11" borderId="44" xfId="2" applyNumberFormat="1" applyFont="1" applyFill="1" applyBorder="1"/>
    <xf numFmtId="44" fontId="6" fillId="11" borderId="1" xfId="2" applyFont="1" applyFill="1" applyBorder="1"/>
    <xf numFmtId="44" fontId="6" fillId="11" borderId="19" xfId="2" applyFont="1" applyFill="1" applyBorder="1"/>
    <xf numFmtId="44" fontId="5" fillId="11" borderId="50" xfId="6" applyNumberFormat="1" applyFont="1" applyFill="1" applyBorder="1"/>
    <xf numFmtId="44" fontId="4" fillId="7" borderId="1" xfId="0" applyNumberFormat="1" applyFont="1" applyFill="1" applyBorder="1"/>
    <xf numFmtId="167" fontId="8" fillId="7" borderId="45" xfId="2" applyNumberFormat="1" applyFont="1" applyFill="1" applyBorder="1"/>
    <xf numFmtId="1" fontId="4" fillId="0" borderId="1" xfId="6" applyNumberFormat="1" applyFont="1" applyBorder="1"/>
    <xf numFmtId="1" fontId="4" fillId="0" borderId="11" xfId="6" applyNumberFormat="1" applyFont="1" applyBorder="1"/>
    <xf numFmtId="1" fontId="4" fillId="0" borderId="17" xfId="6" applyNumberFormat="1" applyFont="1" applyBorder="1"/>
    <xf numFmtId="0" fontId="13" fillId="0" borderId="34" xfId="0" applyFont="1" applyBorder="1"/>
    <xf numFmtId="0" fontId="8" fillId="0" borderId="1" xfId="6" applyFont="1" applyBorder="1"/>
    <xf numFmtId="44" fontId="8" fillId="0" borderId="1" xfId="2" applyFont="1" applyBorder="1"/>
    <xf numFmtId="8" fontId="26" fillId="0" borderId="1" xfId="0" applyNumberFormat="1" applyFont="1" applyBorder="1"/>
    <xf numFmtId="0" fontId="5" fillId="0" borderId="8" xfId="6" applyFont="1" applyBorder="1"/>
    <xf numFmtId="44" fontId="31" fillId="0" borderId="43" xfId="0" applyNumberFormat="1" applyFont="1" applyBorder="1"/>
    <xf numFmtId="0" fontId="5" fillId="0" borderId="0" xfId="0" applyFont="1" applyBorder="1"/>
    <xf numFmtId="0" fontId="3" fillId="3" borderId="14" xfId="0" applyFont="1" applyFill="1" applyBorder="1"/>
    <xf numFmtId="0" fontId="3" fillId="3" borderId="3" xfId="0" applyFont="1" applyFill="1" applyBorder="1"/>
    <xf numFmtId="165" fontId="5" fillId="0" borderId="45" xfId="2" applyNumberFormat="1" applyFont="1" applyBorder="1"/>
    <xf numFmtId="44" fontId="3" fillId="7" borderId="0" xfId="2" applyFont="1" applyFill="1" applyBorder="1" applyAlignment="1"/>
    <xf numFmtId="44" fontId="3" fillId="7" borderId="0" xfId="6" applyNumberFormat="1" applyFont="1" applyFill="1" applyBorder="1"/>
    <xf numFmtId="44" fontId="3" fillId="7" borderId="0" xfId="2" applyNumberFormat="1" applyFont="1" applyFill="1" applyBorder="1" applyAlignment="1"/>
    <xf numFmtId="0" fontId="30" fillId="0" borderId="4" xfId="0" applyFont="1" applyBorder="1"/>
    <xf numFmtId="0" fontId="30" fillId="0" borderId="9" xfId="0" applyFont="1" applyBorder="1"/>
    <xf numFmtId="0" fontId="30" fillId="0" borderId="51" xfId="0" applyFont="1" applyBorder="1"/>
    <xf numFmtId="0" fontId="30" fillId="0" borderId="0" xfId="7" applyFont="1" applyBorder="1"/>
    <xf numFmtId="0" fontId="30" fillId="0" borderId="52" xfId="0" applyFont="1" applyBorder="1"/>
    <xf numFmtId="0" fontId="30" fillId="0" borderId="0" xfId="7" applyFont="1"/>
    <xf numFmtId="0" fontId="30" fillId="0" borderId="0" xfId="0" applyFont="1"/>
    <xf numFmtId="43" fontId="33" fillId="0" borderId="0" xfId="5" applyNumberFormat="1" applyFont="1" applyFill="1" applyBorder="1" applyAlignment="1" applyProtection="1"/>
    <xf numFmtId="0" fontId="33" fillId="0" borderId="0" xfId="5" applyFont="1" applyAlignment="1" applyProtection="1"/>
    <xf numFmtId="0" fontId="30" fillId="7" borderId="0" xfId="0" applyFont="1" applyFill="1"/>
    <xf numFmtId="0" fontId="28" fillId="0" borderId="0" xfId="7" applyFont="1"/>
    <xf numFmtId="0" fontId="28" fillId="0" borderId="0" xfId="0" applyFont="1"/>
    <xf numFmtId="0" fontId="28" fillId="7" borderId="0" xfId="0" applyFont="1" applyFill="1"/>
    <xf numFmtId="0" fontId="28" fillId="7" borderId="0" xfId="7" applyFont="1" applyFill="1"/>
    <xf numFmtId="44" fontId="31" fillId="7" borderId="2" xfId="7" applyNumberFormat="1" applyFont="1" applyFill="1" applyBorder="1"/>
    <xf numFmtId="0" fontId="34" fillId="0" borderId="0" xfId="7" applyFont="1"/>
    <xf numFmtId="0" fontId="28" fillId="0" borderId="15" xfId="7" applyFont="1" applyBorder="1"/>
    <xf numFmtId="0" fontId="28" fillId="0" borderId="17" xfId="7" applyFont="1" applyBorder="1"/>
    <xf numFmtId="0" fontId="28" fillId="0" borderId="17" xfId="0" applyFont="1" applyBorder="1"/>
    <xf numFmtId="0" fontId="28" fillId="0" borderId="16" xfId="0" applyFont="1" applyBorder="1"/>
    <xf numFmtId="44" fontId="28" fillId="0" borderId="13" xfId="7" applyNumberFormat="1" applyFont="1" applyBorder="1"/>
    <xf numFmtId="0" fontId="28" fillId="0" borderId="28" xfId="7" applyFont="1" applyBorder="1"/>
    <xf numFmtId="0" fontId="28" fillId="0" borderId="28" xfId="0" applyFont="1" applyBorder="1"/>
    <xf numFmtId="0" fontId="28" fillId="0" borderId="14" xfId="0" applyFont="1" applyBorder="1"/>
    <xf numFmtId="0" fontId="35" fillId="0" borderId="12" xfId="7" applyFont="1" applyBorder="1" applyAlignment="1">
      <alignment wrapText="1"/>
    </xf>
    <xf numFmtId="0" fontId="31" fillId="0" borderId="53" xfId="7" applyFont="1" applyBorder="1" applyAlignment="1">
      <alignment vertical="center" wrapText="1"/>
    </xf>
    <xf numFmtId="0" fontId="30" fillId="0" borderId="12" xfId="7" applyFont="1" applyBorder="1" applyAlignment="1">
      <alignment wrapText="1"/>
    </xf>
    <xf numFmtId="0" fontId="32" fillId="0" borderId="0" xfId="0" applyFont="1"/>
    <xf numFmtId="0" fontId="36" fillId="0" borderId="0" xfId="0" applyFont="1"/>
    <xf numFmtId="0" fontId="30" fillId="0" borderId="1" xfId="0" applyFont="1" applyBorder="1"/>
    <xf numFmtId="0" fontId="30" fillId="0" borderId="0" xfId="0" applyFont="1" applyBorder="1"/>
    <xf numFmtId="0" fontId="30" fillId="0" borderId="1" xfId="0" applyFont="1" applyBorder="1" applyAlignment="1">
      <alignment horizontal="center"/>
    </xf>
    <xf numFmtId="44" fontId="8" fillId="7" borderId="3" xfId="2" applyNumberFormat="1" applyFont="1" applyFill="1" applyBorder="1"/>
    <xf numFmtId="44" fontId="8" fillId="7" borderId="54" xfId="2" applyNumberFormat="1" applyFont="1" applyFill="1" applyBorder="1"/>
    <xf numFmtId="0" fontId="20" fillId="11" borderId="1" xfId="0" applyFont="1" applyFill="1" applyBorder="1" applyAlignment="1">
      <alignment wrapText="1"/>
    </xf>
    <xf numFmtId="0" fontId="23" fillId="11" borderId="12" xfId="6" applyFont="1" applyFill="1" applyBorder="1"/>
    <xf numFmtId="0" fontId="23" fillId="11" borderId="12" xfId="6" applyFont="1" applyFill="1" applyBorder="1" applyAlignment="1">
      <alignment wrapText="1"/>
    </xf>
    <xf numFmtId="0" fontId="23" fillId="11" borderId="1" xfId="6" applyFont="1" applyFill="1" applyBorder="1" applyAlignment="1">
      <alignment wrapText="1"/>
    </xf>
    <xf numFmtId="0" fontId="24" fillId="0" borderId="0" xfId="0" applyFont="1"/>
    <xf numFmtId="0" fontId="6" fillId="4" borderId="39" xfId="0" applyFont="1" applyFill="1" applyBorder="1" applyAlignment="1">
      <alignment wrapText="1"/>
    </xf>
    <xf numFmtId="0" fontId="23" fillId="6" borderId="1" xfId="6" applyFont="1" applyFill="1" applyBorder="1" applyAlignment="1">
      <alignment horizontal="center" wrapText="1"/>
    </xf>
    <xf numFmtId="0" fontId="23" fillId="6" borderId="1" xfId="6" applyFont="1" applyFill="1" applyBorder="1" applyAlignment="1">
      <alignment wrapText="1"/>
    </xf>
    <xf numFmtId="0" fontId="20" fillId="6" borderId="28" xfId="0" applyFont="1" applyFill="1" applyBorder="1" applyAlignment="1">
      <alignment wrapText="1"/>
    </xf>
    <xf numFmtId="0" fontId="23" fillId="6" borderId="11" xfId="6" applyFont="1" applyFill="1" applyBorder="1" applyAlignment="1">
      <alignment wrapText="1"/>
    </xf>
    <xf numFmtId="0" fontId="23" fillId="7" borderId="1" xfId="6" applyFont="1" applyFill="1" applyBorder="1" applyAlignment="1">
      <alignment wrapText="1"/>
    </xf>
    <xf numFmtId="0" fontId="23" fillId="7" borderId="3" xfId="6" applyFont="1" applyFill="1" applyBorder="1" applyAlignment="1">
      <alignment wrapText="1"/>
    </xf>
    <xf numFmtId="0" fontId="20" fillId="7" borderId="28" xfId="0" applyFont="1" applyFill="1" applyBorder="1" applyAlignment="1">
      <alignment wrapText="1"/>
    </xf>
    <xf numFmtId="0" fontId="23" fillId="7" borderId="11" xfId="6" applyFont="1" applyFill="1" applyBorder="1" applyAlignment="1">
      <alignment wrapText="1"/>
    </xf>
    <xf numFmtId="7" fontId="5" fillId="7" borderId="45" xfId="2" applyNumberFormat="1" applyFont="1" applyFill="1" applyBorder="1"/>
    <xf numFmtId="44" fontId="5" fillId="0" borderId="44" xfId="2" applyNumberFormat="1" applyFont="1" applyBorder="1"/>
    <xf numFmtId="9" fontId="3" fillId="0" borderId="9" xfId="9" applyFont="1" applyBorder="1"/>
    <xf numFmtId="44" fontId="5" fillId="0" borderId="9" xfId="2" applyFont="1" applyBorder="1"/>
    <xf numFmtId="0" fontId="0" fillId="0" borderId="9" xfId="0" applyBorder="1"/>
    <xf numFmtId="0" fontId="4" fillId="2" borderId="1" xfId="0" applyFont="1" applyFill="1" applyBorder="1" applyAlignment="1">
      <alignment vertical="top" wrapText="1"/>
    </xf>
    <xf numFmtId="0" fontId="4" fillId="2" borderId="1" xfId="0" applyFont="1" applyFill="1" applyBorder="1" applyAlignment="1">
      <alignment wrapText="1"/>
    </xf>
    <xf numFmtId="0" fontId="4" fillId="2" borderId="1" xfId="0" applyFont="1" applyFill="1" applyBorder="1"/>
    <xf numFmtId="0" fontId="37" fillId="13" borderId="11" xfId="0" applyFont="1" applyFill="1" applyBorder="1" applyAlignment="1">
      <alignment vertical="center" wrapText="1"/>
    </xf>
    <xf numFmtId="0" fontId="37" fillId="13" borderId="16" xfId="0" applyFont="1" applyFill="1" applyBorder="1" applyAlignment="1">
      <alignment horizontal="center" vertical="center" wrapText="1"/>
    </xf>
    <xf numFmtId="0" fontId="37" fillId="13" borderId="1" xfId="0" applyFont="1" applyFill="1" applyBorder="1" applyAlignment="1">
      <alignment vertical="center" wrapText="1"/>
    </xf>
    <xf numFmtId="0" fontId="37" fillId="13" borderId="17" xfId="0" applyFont="1" applyFill="1" applyBorder="1" applyAlignment="1">
      <alignment vertical="center" wrapText="1"/>
    </xf>
    <xf numFmtId="0" fontId="37" fillId="13" borderId="11" xfId="0" applyFont="1" applyFill="1" applyBorder="1" applyAlignment="1">
      <alignment wrapText="1"/>
    </xf>
    <xf numFmtId="0" fontId="37" fillId="13" borderId="16" xfId="0" applyFont="1" applyFill="1" applyBorder="1" applyAlignment="1">
      <alignment vertical="center" wrapText="1"/>
    </xf>
    <xf numFmtId="0" fontId="37" fillId="13" borderId="16" xfId="0" applyFont="1" applyFill="1" applyBorder="1" applyAlignment="1">
      <alignment wrapText="1"/>
    </xf>
    <xf numFmtId="44" fontId="23" fillId="0" borderId="1" xfId="2" applyFont="1" applyFill="1" applyBorder="1"/>
    <xf numFmtId="44" fontId="23" fillId="7" borderId="1" xfId="2" applyFont="1" applyFill="1" applyBorder="1"/>
    <xf numFmtId="9" fontId="23" fillId="0" borderId="1" xfId="2" applyNumberFormat="1" applyFont="1" applyFill="1" applyBorder="1"/>
    <xf numFmtId="44" fontId="23" fillId="0" borderId="11" xfId="2" applyFont="1" applyFill="1" applyBorder="1"/>
    <xf numFmtId="44" fontId="23" fillId="0" borderId="19" xfId="2" applyFont="1" applyFill="1" applyBorder="1"/>
    <xf numFmtId="9" fontId="23" fillId="0" borderId="11" xfId="2" applyNumberFormat="1" applyFont="1" applyFill="1" applyBorder="1"/>
    <xf numFmtId="0" fontId="24" fillId="0" borderId="4" xfId="0" applyFont="1" applyBorder="1"/>
    <xf numFmtId="44" fontId="23" fillId="7" borderId="7" xfId="0" applyNumberFormat="1" applyFont="1" applyFill="1" applyBorder="1"/>
    <xf numFmtId="44" fontId="23" fillId="7" borderId="8" xfId="0" applyNumberFormat="1" applyFont="1" applyFill="1" applyBorder="1"/>
    <xf numFmtId="44" fontId="23" fillId="0" borderId="8" xfId="0" applyNumberFormat="1" applyFont="1" applyBorder="1"/>
    <xf numFmtId="44" fontId="23" fillId="7" borderId="8" xfId="2" applyFont="1" applyFill="1" applyBorder="1"/>
    <xf numFmtId="44" fontId="23" fillId="10" borderId="2" xfId="0" applyNumberFormat="1" applyFont="1" applyFill="1" applyBorder="1"/>
    <xf numFmtId="0" fontId="24" fillId="0" borderId="5" xfId="0" applyFont="1" applyBorder="1"/>
    <xf numFmtId="0" fontId="24" fillId="0" borderId="6" xfId="0" applyFont="1" applyBorder="1"/>
    <xf numFmtId="44" fontId="16" fillId="7" borderId="45" xfId="0" applyNumberFormat="1" applyFont="1" applyFill="1" applyBorder="1"/>
    <xf numFmtId="44" fontId="23" fillId="10" borderId="62" xfId="0" applyNumberFormat="1" applyFont="1" applyFill="1" applyBorder="1"/>
    <xf numFmtId="0" fontId="6" fillId="8" borderId="63" xfId="0" applyFont="1" applyFill="1" applyBorder="1" applyAlignment="1">
      <alignment vertical="center" wrapText="1"/>
    </xf>
    <xf numFmtId="0" fontId="0" fillId="0" borderId="63" xfId="0" applyBorder="1"/>
    <xf numFmtId="0" fontId="37" fillId="13" borderId="63" xfId="0" applyFont="1" applyFill="1" applyBorder="1" applyAlignment="1">
      <alignment vertical="center" wrapText="1"/>
    </xf>
    <xf numFmtId="0" fontId="38" fillId="0" borderId="0" xfId="0" applyFont="1"/>
    <xf numFmtId="0" fontId="0" fillId="0" borderId="0" xfId="0" applyAlignment="1">
      <alignment vertical="center"/>
    </xf>
    <xf numFmtId="0" fontId="4" fillId="0" borderId="0" xfId="0" applyFont="1" applyAlignment="1">
      <alignment vertical="center"/>
    </xf>
    <xf numFmtId="0" fontId="4" fillId="2" borderId="11" xfId="0" applyFont="1" applyFill="1" applyBorder="1" applyAlignment="1">
      <alignment vertical="center" wrapText="1"/>
    </xf>
    <xf numFmtId="0" fontId="4" fillId="2" borderId="11" xfId="0" applyFont="1" applyFill="1" applyBorder="1" applyAlignment="1">
      <alignment vertical="center"/>
    </xf>
    <xf numFmtId="44" fontId="4" fillId="7" borderId="3" xfId="2" applyFont="1" applyFill="1" applyBorder="1"/>
    <xf numFmtId="0" fontId="9" fillId="0" borderId="0" xfId="6" applyFont="1" applyBorder="1"/>
    <xf numFmtId="0" fontId="9" fillId="0" borderId="0" xfId="0" applyFont="1"/>
    <xf numFmtId="0" fontId="2" fillId="0" borderId="12" xfId="5" applyBorder="1" applyAlignment="1" applyProtection="1">
      <alignment vertical="top" wrapText="1"/>
    </xf>
    <xf numFmtId="0" fontId="31" fillId="0" borderId="0" xfId="0" applyFont="1"/>
    <xf numFmtId="0" fontId="30" fillId="12" borderId="1" xfId="0" applyFont="1" applyFill="1" applyBorder="1" applyAlignment="1">
      <alignment horizontal="center" vertical="center" wrapText="1"/>
    </xf>
    <xf numFmtId="0" fontId="30" fillId="0" borderId="0" xfId="0" applyFont="1"/>
    <xf numFmtId="0" fontId="30" fillId="14" borderId="1" xfId="0" applyFont="1" applyFill="1" applyBorder="1" applyAlignment="1">
      <alignment wrapText="1"/>
    </xf>
    <xf numFmtId="0" fontId="30" fillId="14" borderId="1" xfId="0" applyFont="1" applyFill="1" applyBorder="1"/>
    <xf numFmtId="0" fontId="30" fillId="14" borderId="1" xfId="0" applyFont="1" applyFill="1" applyBorder="1" applyAlignment="1">
      <alignment horizontal="center" vertical="center"/>
    </xf>
    <xf numFmtId="8" fontId="30" fillId="0" borderId="1" xfId="0" applyNumberFormat="1" applyFont="1" applyBorder="1"/>
    <xf numFmtId="44" fontId="30" fillId="7" borderId="0" xfId="10" applyFont="1" applyFill="1"/>
    <xf numFmtId="0" fontId="30" fillId="12" borderId="1" xfId="0" applyFont="1" applyFill="1" applyBorder="1" applyAlignment="1">
      <alignment vertical="center" wrapText="1"/>
    </xf>
    <xf numFmtId="168" fontId="30" fillId="11" borderId="12" xfId="0" applyNumberFormat="1" applyFont="1" applyFill="1" applyBorder="1"/>
    <xf numFmtId="168" fontId="30" fillId="11" borderId="7" xfId="0" applyNumberFormat="1" applyFont="1" applyFill="1" applyBorder="1"/>
    <xf numFmtId="168" fontId="30" fillId="15" borderId="1" xfId="0" applyNumberFormat="1" applyFont="1" applyFill="1" applyBorder="1"/>
    <xf numFmtId="168" fontId="30" fillId="15" borderId="11" xfId="0" applyNumberFormat="1" applyFont="1" applyFill="1" applyBorder="1"/>
    <xf numFmtId="168" fontId="30" fillId="15" borderId="30" xfId="0" applyNumberFormat="1" applyFont="1" applyFill="1" applyBorder="1"/>
    <xf numFmtId="9" fontId="30" fillId="15" borderId="1" xfId="8" applyFont="1" applyFill="1" applyBorder="1"/>
    <xf numFmtId="9" fontId="30" fillId="15" borderId="11" xfId="8" applyFont="1" applyFill="1" applyBorder="1"/>
    <xf numFmtId="0" fontId="41" fillId="0" borderId="0" xfId="0" applyFont="1" applyBorder="1"/>
    <xf numFmtId="0" fontId="41" fillId="0" borderId="0" xfId="0" applyFont="1" applyBorder="1" applyAlignment="1">
      <alignment horizontal="right"/>
    </xf>
    <xf numFmtId="14" fontId="42" fillId="0" borderId="0" xfId="0" applyNumberFormat="1" applyFont="1" applyBorder="1" applyAlignment="1">
      <alignment horizontal="center"/>
    </xf>
    <xf numFmtId="0" fontId="42" fillId="0" borderId="0" xfId="0" applyFont="1" applyBorder="1" applyAlignment="1">
      <alignment horizontal="center"/>
    </xf>
    <xf numFmtId="0" fontId="41" fillId="0" borderId="6" xfId="0" applyFont="1" applyBorder="1"/>
    <xf numFmtId="0" fontId="4" fillId="0" borderId="0" xfId="0" applyFont="1" applyAlignment="1"/>
    <xf numFmtId="0" fontId="0" fillId="0" borderId="0" xfId="0" applyAlignment="1"/>
    <xf numFmtId="0" fontId="4" fillId="0" borderId="28" xfId="0" applyFont="1" applyBorder="1" applyAlignment="1"/>
    <xf numFmtId="0" fontId="0" fillId="0" borderId="28" xfId="0" applyBorder="1" applyAlignment="1"/>
    <xf numFmtId="0" fontId="4" fillId="0" borderId="0" xfId="0" applyFont="1" applyAlignment="1">
      <alignment vertical="center"/>
    </xf>
    <xf numFmtId="0" fontId="4" fillId="0" borderId="0" xfId="0" applyFont="1" applyAlignment="1">
      <alignment horizontal="left"/>
    </xf>
    <xf numFmtId="0" fontId="6" fillId="0" borderId="0" xfId="0" applyFont="1" applyBorder="1" applyAlignment="1">
      <alignment horizontal="center"/>
    </xf>
    <xf numFmtId="0" fontId="4" fillId="0" borderId="57" xfId="6" applyFont="1" applyFill="1" applyBorder="1"/>
    <xf numFmtId="0" fontId="4" fillId="0" borderId="56" xfId="6" applyFont="1" applyFill="1" applyBorder="1"/>
    <xf numFmtId="0" fontId="4" fillId="0" borderId="57" xfId="6" applyFont="1" applyFill="1" applyBorder="1" applyAlignment="1">
      <alignment horizontal="left" wrapText="1"/>
    </xf>
    <xf numFmtId="0" fontId="4" fillId="0" borderId="0" xfId="6" applyFont="1"/>
    <xf numFmtId="0" fontId="23" fillId="6" borderId="59" xfId="6" applyFont="1" applyFill="1" applyBorder="1" applyAlignment="1">
      <alignment horizontal="left" wrapText="1"/>
    </xf>
    <xf numFmtId="0" fontId="4" fillId="0" borderId="55" xfId="6" applyFont="1" applyFill="1" applyBorder="1"/>
    <xf numFmtId="0" fontId="3" fillId="0" borderId="56" xfId="6" applyFont="1" applyFill="1" applyBorder="1"/>
    <xf numFmtId="0" fontId="23" fillId="7" borderId="59" xfId="6" applyFont="1" applyFill="1" applyBorder="1" applyAlignment="1">
      <alignment horizontal="left" wrapText="1"/>
    </xf>
    <xf numFmtId="0" fontId="3" fillId="0" borderId="55" xfId="6" applyFont="1" applyFill="1" applyBorder="1"/>
    <xf numFmtId="0" fontId="3" fillId="0" borderId="57" xfId="6" applyFont="1" applyFill="1" applyBorder="1"/>
    <xf numFmtId="0" fontId="5" fillId="0" borderId="0" xfId="0" applyFont="1" applyBorder="1" applyAlignment="1"/>
    <xf numFmtId="0" fontId="0" fillId="0" borderId="0" xfId="0" applyBorder="1" applyAlignment="1"/>
    <xf numFmtId="0" fontId="0" fillId="0" borderId="52" xfId="0" applyBorder="1" applyAlignment="1"/>
    <xf numFmtId="0" fontId="20" fillId="0" borderId="12" xfId="0" applyFont="1" applyBorder="1"/>
    <xf numFmtId="0" fontId="37" fillId="13" borderId="15" xfId="0" applyFont="1" applyFill="1" applyBorder="1" applyAlignment="1">
      <alignment horizontal="center" vertical="center" wrapText="1"/>
    </xf>
    <xf numFmtId="0" fontId="23" fillId="0" borderId="13" xfId="0" applyFont="1" applyBorder="1" applyAlignment="1">
      <alignment horizontal="left" vertical="top"/>
    </xf>
    <xf numFmtId="0" fontId="24" fillId="0" borderId="20" xfId="0" applyFont="1" applyBorder="1"/>
    <xf numFmtId="0" fontId="0" fillId="0" borderId="12" xfId="0" applyBorder="1"/>
    <xf numFmtId="0" fontId="20" fillId="0" borderId="0" xfId="0" applyFont="1" applyAlignment="1"/>
    <xf numFmtId="0" fontId="0" fillId="0" borderId="20" xfId="0" applyBorder="1"/>
    <xf numFmtId="0" fontId="6" fillId="8" borderId="12" xfId="0" applyFont="1" applyFill="1" applyBorder="1" applyAlignment="1">
      <alignment horizontal="center" vertical="center" wrapText="1"/>
    </xf>
    <xf numFmtId="0" fontId="18" fillId="0" borderId="4" xfId="0" applyFont="1" applyBorder="1" applyAlignment="1">
      <alignment horizontal="center"/>
    </xf>
    <xf numFmtId="0" fontId="6" fillId="0" borderId="12" xfId="0" applyFont="1" applyBorder="1" applyAlignment="1">
      <alignment horizontal="left" vertical="top"/>
    </xf>
    <xf numFmtId="0" fontId="6" fillId="0" borderId="12" xfId="0" applyFont="1" applyBorder="1" applyAlignment="1">
      <alignment horizontal="center" vertical="top"/>
    </xf>
    <xf numFmtId="0" fontId="23" fillId="4" borderId="11" xfId="6" applyFont="1" applyFill="1" applyBorder="1" applyAlignment="1">
      <alignment vertical="center" wrapText="1"/>
    </xf>
    <xf numFmtId="0" fontId="23" fillId="4" borderId="15" xfId="6" applyFont="1" applyFill="1" applyBorder="1" applyAlignment="1">
      <alignment vertical="center" wrapText="1"/>
    </xf>
    <xf numFmtId="0" fontId="4" fillId="0" borderId="12" xfId="6" applyFont="1" applyBorder="1" applyAlignment="1">
      <alignment wrapText="1"/>
    </xf>
    <xf numFmtId="0" fontId="4" fillId="0" borderId="12" xfId="6" applyFont="1" applyBorder="1" applyAlignment="1"/>
    <xf numFmtId="0" fontId="4" fillId="0" borderId="2" xfId="6" applyFont="1" applyBorder="1" applyAlignment="1"/>
    <xf numFmtId="0" fontId="9" fillId="0" borderId="0" xfId="0" applyFont="1" applyBorder="1"/>
    <xf numFmtId="0" fontId="4" fillId="3" borderId="12" xfId="6" applyFont="1" applyFill="1" applyBorder="1" applyAlignment="1">
      <alignment vertical="center" wrapText="1"/>
    </xf>
    <xf numFmtId="0" fontId="4" fillId="0" borderId="15" xfId="6" applyFont="1" applyBorder="1" applyAlignment="1">
      <alignment wrapText="1"/>
    </xf>
    <xf numFmtId="0" fontId="4" fillId="0" borderId="12" xfId="0" applyFont="1" applyBorder="1" applyAlignment="1">
      <alignment wrapText="1"/>
    </xf>
    <xf numFmtId="9" fontId="30" fillId="0" borderId="12" xfId="8" applyFont="1" applyBorder="1" applyAlignment="1">
      <alignment horizontal="center"/>
    </xf>
    <xf numFmtId="0" fontId="30" fillId="0" borderId="12" xfId="0" applyFont="1" applyBorder="1" applyAlignment="1">
      <alignment horizontal="center"/>
    </xf>
    <xf numFmtId="0" fontId="30" fillId="0" borderId="0" xfId="0" applyFont="1"/>
    <xf numFmtId="0" fontId="30" fillId="12" borderId="12" xfId="0" applyFont="1" applyFill="1" applyBorder="1" applyAlignment="1">
      <alignment horizontal="center" vertical="center"/>
    </xf>
    <xf numFmtId="0" fontId="30" fillId="0" borderId="5" xfId="7" applyFont="1" applyBorder="1" applyAlignment="1"/>
    <xf numFmtId="0" fontId="30" fillId="0" borderId="6" xfId="7" applyFont="1" applyBorder="1" applyAlignment="1"/>
    <xf numFmtId="0" fontId="30" fillId="0" borderId="49" xfId="7" applyFont="1" applyBorder="1" applyAlignment="1"/>
    <xf numFmtId="0" fontId="3" fillId="0" borderId="58" xfId="7" applyFont="1" applyBorder="1" applyAlignment="1"/>
    <xf numFmtId="0" fontId="3" fillId="0" borderId="0" xfId="7" applyFont="1" applyBorder="1" applyAlignment="1"/>
    <xf numFmtId="0" fontId="5" fillId="0" borderId="6" xfId="6" applyFont="1" applyFill="1" applyBorder="1" applyAlignment="1"/>
    <xf numFmtId="0" fontId="5" fillId="0" borderId="8" xfId="6" applyFont="1" applyFill="1" applyBorder="1" applyAlignment="1">
      <alignment horizontal="centerContinuous"/>
    </xf>
    <xf numFmtId="0" fontId="5" fillId="0" borderId="0" xfId="6" applyFont="1" applyFill="1" applyAlignment="1"/>
    <xf numFmtId="0" fontId="5" fillId="0" borderId="9" xfId="6" applyFont="1" applyFill="1" applyBorder="1" applyAlignment="1"/>
    <xf numFmtId="0" fontId="32" fillId="7" borderId="4" xfId="6" applyFont="1" applyFill="1" applyBorder="1" applyAlignment="1">
      <alignment vertical="center"/>
    </xf>
    <xf numFmtId="0" fontId="0" fillId="16" borderId="9" xfId="0" applyFill="1" applyBorder="1" applyAlignment="1"/>
    <xf numFmtId="0" fontId="30" fillId="7" borderId="51" xfId="0" applyFont="1" applyFill="1" applyBorder="1"/>
    <xf numFmtId="0" fontId="32" fillId="7" borderId="5" xfId="6" applyFont="1" applyFill="1" applyBorder="1" applyAlignment="1">
      <alignment vertical="center"/>
    </xf>
    <xf numFmtId="0" fontId="0" fillId="16" borderId="6" xfId="0" applyFill="1" applyBorder="1" applyAlignment="1"/>
    <xf numFmtId="0" fontId="30" fillId="7" borderId="49" xfId="0" applyFont="1" applyFill="1" applyBorder="1"/>
    <xf numFmtId="0" fontId="6" fillId="0" borderId="59" xfId="0" applyFont="1" applyBorder="1" applyAlignment="1">
      <alignment horizontal="centerContinuous"/>
    </xf>
    <xf numFmtId="0" fontId="6" fillId="0" borderId="35" xfId="0" applyFont="1" applyBorder="1" applyAlignment="1">
      <alignment horizontal="centerContinuous"/>
    </xf>
    <xf numFmtId="0" fontId="6" fillId="0" borderId="60" xfId="0" applyFont="1" applyBorder="1" applyAlignment="1">
      <alignment horizontal="centerContinuous"/>
    </xf>
    <xf numFmtId="0" fontId="9" fillId="0" borderId="9" xfId="6" applyFont="1" applyBorder="1" applyAlignment="1"/>
    <xf numFmtId="0" fontId="9" fillId="0" borderId="51" xfId="6" applyFont="1" applyBorder="1" applyAlignment="1"/>
    <xf numFmtId="0" fontId="4" fillId="0" borderId="0" xfId="6" applyFont="1" applyAlignment="1"/>
    <xf numFmtId="0" fontId="4" fillId="0" borderId="0" xfId="6" applyFont="1" applyAlignment="1">
      <alignment vertical="top"/>
    </xf>
    <xf numFmtId="0" fontId="16" fillId="0" borderId="0" xfId="0" applyFont="1" applyBorder="1" applyAlignment="1"/>
    <xf numFmtId="0" fontId="9" fillId="0" borderId="8" xfId="6" applyFont="1" applyBorder="1" applyAlignment="1"/>
    <xf numFmtId="0" fontId="19" fillId="0" borderId="28" xfId="0" applyFont="1" applyBorder="1" applyAlignment="1"/>
    <xf numFmtId="0" fontId="39" fillId="0" borderId="6" xfId="0" applyFont="1" applyBorder="1" applyAlignment="1">
      <alignment horizontal="centerContinuous"/>
    </xf>
    <xf numFmtId="0" fontId="9" fillId="0" borderId="0" xfId="6" applyFont="1" applyBorder="1" applyAlignment="1"/>
    <xf numFmtId="0" fontId="9" fillId="0" borderId="8" xfId="0" applyFont="1" applyBorder="1" applyAlignment="1">
      <alignment horizontal="centerContinuous"/>
    </xf>
    <xf numFmtId="0" fontId="20" fillId="0" borderId="1" xfId="0" applyFont="1" applyBorder="1"/>
    <xf numFmtId="0" fontId="20" fillId="0" borderId="19" xfId="0" applyFont="1" applyBorder="1"/>
    <xf numFmtId="0" fontId="23" fillId="4" borderId="17" xfId="6" applyFont="1" applyFill="1" applyBorder="1" applyAlignment="1">
      <alignment wrapText="1"/>
    </xf>
    <xf numFmtId="0" fontId="23" fillId="4" borderId="11" xfId="6" applyFont="1" applyFill="1" applyBorder="1" applyAlignment="1">
      <alignment wrapText="1"/>
    </xf>
    <xf numFmtId="0" fontId="23" fillId="4" borderId="17" xfId="6" applyFont="1" applyFill="1" applyBorder="1" applyAlignment="1">
      <alignment vertical="top"/>
    </xf>
    <xf numFmtId="0" fontId="23" fillId="4" borderId="11" xfId="6" applyFont="1" applyFill="1" applyBorder="1" applyAlignment="1">
      <alignment vertical="top"/>
    </xf>
    <xf numFmtId="0" fontId="20" fillId="0" borderId="12" xfId="0" applyFont="1" applyBorder="1" applyAlignment="1">
      <alignment horizontal="centerContinuous"/>
    </xf>
    <xf numFmtId="0" fontId="20" fillId="0" borderId="61" xfId="0" applyFont="1" applyBorder="1" applyAlignment="1">
      <alignment horizontal="centerContinuous"/>
    </xf>
    <xf numFmtId="0" fontId="20" fillId="0" borderId="2" xfId="0" applyFont="1" applyBorder="1" applyAlignment="1">
      <alignment horizontal="centerContinuous"/>
    </xf>
    <xf numFmtId="0" fontId="25" fillId="0" borderId="0" xfId="0" applyFont="1" applyBorder="1" applyAlignment="1">
      <alignment horizontal="left"/>
    </xf>
    <xf numFmtId="0" fontId="6" fillId="0" borderId="3" xfId="0" applyFont="1" applyBorder="1" applyAlignment="1">
      <alignment horizontal="left" vertical="top"/>
    </xf>
    <xf numFmtId="0" fontId="20" fillId="0" borderId="1" xfId="0" applyFont="1" applyBorder="1" applyAlignment="1">
      <alignment horizontal="left" vertical="top"/>
    </xf>
    <xf numFmtId="0" fontId="20" fillId="0" borderId="1" xfId="0" applyFont="1" applyBorder="1" applyAlignment="1">
      <alignment horizontal="left"/>
    </xf>
    <xf numFmtId="14" fontId="4" fillId="0" borderId="3" xfId="2" applyNumberFormat="1" applyFont="1" applyBorder="1"/>
    <xf numFmtId="0" fontId="6" fillId="6" borderId="12" xfId="0" applyFont="1" applyFill="1" applyBorder="1" applyAlignment="1">
      <alignment horizontal="center" vertical="center"/>
    </xf>
    <xf numFmtId="0" fontId="6" fillId="6" borderId="1" xfId="0" applyFont="1" applyFill="1" applyBorder="1" applyAlignment="1">
      <alignment vertical="center"/>
    </xf>
    <xf numFmtId="0" fontId="6" fillId="6" borderId="2" xfId="0" applyFont="1" applyFill="1" applyBorder="1" applyAlignment="1">
      <alignment vertical="center"/>
    </xf>
    <xf numFmtId="0" fontId="6" fillId="6" borderId="1" xfId="0" applyFont="1" applyFill="1" applyBorder="1" applyAlignment="1">
      <alignment vertical="center" wrapText="1"/>
    </xf>
    <xf numFmtId="0" fontId="20" fillId="0" borderId="28" xfId="0" applyFont="1" applyBorder="1" applyAlignment="1"/>
    <xf numFmtId="0" fontId="8" fillId="3" borderId="1" xfId="0" applyFont="1" applyFill="1" applyBorder="1"/>
    <xf numFmtId="0" fontId="5" fillId="0" borderId="7" xfId="6" applyFont="1" applyBorder="1" applyAlignment="1"/>
    <xf numFmtId="0" fontId="5" fillId="0" borderId="43" xfId="6" applyFont="1" applyBorder="1" applyAlignment="1"/>
    <xf numFmtId="0" fontId="4" fillId="0" borderId="1" xfId="6" applyFont="1" applyBorder="1" applyAlignment="1"/>
    <xf numFmtId="0" fontId="4" fillId="0" borderId="0" xfId="6" applyFont="1" applyBorder="1" applyAlignment="1"/>
    <xf numFmtId="0" fontId="4" fillId="0" borderId="0" xfId="6" applyFont="1" applyBorder="1" applyAlignment="1">
      <alignment vertical="top"/>
    </xf>
    <xf numFmtId="0" fontId="23" fillId="7" borderId="1" xfId="6" applyFont="1" applyFill="1" applyBorder="1" applyAlignment="1">
      <alignment horizontal="center" wrapText="1"/>
    </xf>
    <xf numFmtId="0" fontId="4" fillId="7" borderId="12" xfId="6" applyFont="1" applyFill="1" applyBorder="1" applyAlignment="1">
      <alignment wrapText="1"/>
    </xf>
    <xf numFmtId="0" fontId="8" fillId="0" borderId="46" xfId="6" applyFont="1" applyBorder="1"/>
    <xf numFmtId="0" fontId="4" fillId="0" borderId="46" xfId="6" applyFont="1" applyBorder="1"/>
    <xf numFmtId="44" fontId="4" fillId="7" borderId="45" xfId="2" applyFont="1" applyFill="1" applyBorder="1"/>
    <xf numFmtId="0" fontId="0" fillId="0" borderId="43" xfId="0" applyBorder="1"/>
    <xf numFmtId="168" fontId="4" fillId="0" borderId="2" xfId="2" applyNumberFormat="1" applyFont="1" applyFill="1" applyBorder="1" applyAlignment="1"/>
    <xf numFmtId="168" fontId="4" fillId="0" borderId="2" xfId="6" applyNumberFormat="1" applyFont="1" applyFill="1" applyBorder="1" applyAlignment="1"/>
    <xf numFmtId="168" fontId="4" fillId="0" borderId="1" xfId="2" applyNumberFormat="1" applyFont="1" applyFill="1" applyBorder="1" applyAlignment="1"/>
    <xf numFmtId="168" fontId="4" fillId="0" borderId="1" xfId="6" applyNumberFormat="1" applyFont="1" applyFill="1" applyBorder="1" applyAlignment="1"/>
    <xf numFmtId="0" fontId="30" fillId="0" borderId="0" xfId="0" applyFont="1" applyAlignment="1"/>
    <xf numFmtId="9" fontId="30" fillId="15" borderId="64" xfId="8" applyFont="1" applyFill="1" applyBorder="1"/>
  </cellXfs>
  <cellStyles count="12">
    <cellStyle name="Comma 2" xfId="1"/>
    <cellStyle name="Currency" xfId="10" builtinId="4"/>
    <cellStyle name="Currency 2" xfId="2"/>
    <cellStyle name="Currency 3" xfId="3"/>
    <cellStyle name="Currency 3 2" xfId="4"/>
    <cellStyle name="Description" xfId="11"/>
    <cellStyle name="Hyperlink" xfId="5" builtinId="8"/>
    <cellStyle name="Normal" xfId="0" builtinId="0"/>
    <cellStyle name="Normal 2" xfId="6"/>
    <cellStyle name="Normal 3" xfId="7"/>
    <cellStyle name="Percent" xfId="8" builtinId="5"/>
    <cellStyle name="Percent 2" xfId="9"/>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olstice">
  <a:themeElements>
    <a:clrScheme name="Solstice">
      <a:dk1>
        <a:sysClr val="windowText" lastClr="000000"/>
      </a:dk1>
      <a:lt1>
        <a:sysClr val="window" lastClr="FFFFFF"/>
      </a:lt1>
      <a:dk2>
        <a:srgbClr val="4F271C"/>
      </a:dk2>
      <a:lt2>
        <a:srgbClr val="E7DEC9"/>
      </a:lt2>
      <a:accent1>
        <a:srgbClr val="3891A7"/>
      </a:accent1>
      <a:accent2>
        <a:srgbClr val="FEB80A"/>
      </a:accent2>
      <a:accent3>
        <a:srgbClr val="C32D2E"/>
      </a:accent3>
      <a:accent4>
        <a:srgbClr val="84AA33"/>
      </a:accent4>
      <a:accent5>
        <a:srgbClr val="964305"/>
      </a:accent5>
      <a:accent6>
        <a:srgbClr val="475A8D"/>
      </a:accent6>
      <a:hlink>
        <a:srgbClr val="8DC765"/>
      </a:hlink>
      <a:folHlink>
        <a:srgbClr val="AA8A14"/>
      </a:folHlink>
    </a:clrScheme>
    <a:fontScheme name="Solstice">
      <a:majorFont>
        <a:latin typeface="Gill Sans MT"/>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Gill Sans MT"/>
        <a:ea typeface=""/>
        <a:cs typeface=""/>
        <a:font script="Grek" typeface="Corbel"/>
        <a:font script="Cyrl" typeface="Corbel"/>
        <a:font script="Jpan" typeface="HGｺﾞｼｯｸE"/>
        <a:font script="Hang" typeface="HY엽서L"/>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inorFont>
    </a:fontScheme>
    <a:fmtScheme name="Solstice">
      <a:fillStyleLst>
        <a:solidFill>
          <a:schemeClr val="phClr"/>
        </a:solidFill>
        <a:gradFill rotWithShape="1">
          <a:gsLst>
            <a:gs pos="0">
              <a:schemeClr val="phClr">
                <a:tint val="35000"/>
                <a:satMod val="253000"/>
              </a:schemeClr>
            </a:gs>
            <a:gs pos="50000">
              <a:schemeClr val="phClr">
                <a:tint val="42000"/>
                <a:satMod val="255000"/>
              </a:schemeClr>
            </a:gs>
            <a:gs pos="97000">
              <a:schemeClr val="phClr">
                <a:tint val="53000"/>
                <a:satMod val="260000"/>
              </a:schemeClr>
            </a:gs>
            <a:gs pos="100000">
              <a:schemeClr val="phClr">
                <a:tint val="56000"/>
                <a:satMod val="275000"/>
              </a:schemeClr>
            </a:gs>
          </a:gsLst>
          <a:path path="circle">
            <a:fillToRect l="50000" t="50000" r="50000" b="50000"/>
          </a:path>
        </a:gradFill>
        <a:gradFill rotWithShape="1">
          <a:gsLst>
            <a:gs pos="0">
              <a:schemeClr val="phClr">
                <a:tint val="92000"/>
                <a:satMod val="170000"/>
              </a:schemeClr>
            </a:gs>
            <a:gs pos="15000">
              <a:schemeClr val="phClr">
                <a:tint val="92000"/>
                <a:shade val="99000"/>
                <a:satMod val="170000"/>
              </a:schemeClr>
            </a:gs>
            <a:gs pos="62000">
              <a:schemeClr val="phClr">
                <a:tint val="96000"/>
                <a:shade val="80000"/>
                <a:satMod val="170000"/>
              </a:schemeClr>
            </a:gs>
            <a:gs pos="97000">
              <a:schemeClr val="phClr">
                <a:tint val="98000"/>
                <a:shade val="63000"/>
                <a:satMod val="170000"/>
              </a:schemeClr>
            </a:gs>
            <a:gs pos="100000">
              <a:schemeClr val="phClr">
                <a:shade val="62000"/>
                <a:satMod val="170000"/>
              </a:schemeClr>
            </a:gs>
          </a:gsLst>
          <a:path path="circle">
            <a:fillToRect l="50000" t="50000" r="50000" b="50000"/>
          </a:path>
        </a:gradFill>
      </a:fillStyleLst>
      <a:lnStyleLst>
        <a:ln w="9525" cap="flat" cmpd="sng" algn="ctr">
          <a:solidFill>
            <a:schemeClr val="phClr"/>
          </a:solidFill>
          <a:prstDash val="solid"/>
        </a:ln>
        <a:ln w="254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5400000" rotWithShape="0">
              <a:srgbClr val="000000">
                <a:alpha val="43137"/>
              </a:srgbClr>
            </a:outerShdw>
          </a:effectLst>
        </a:effectStyle>
        <a:effectStyle>
          <a:effectLst>
            <a:outerShdw blurRad="63500" dist="25400" dir="5400000" rotWithShape="0">
              <a:srgbClr val="000000">
                <a:alpha val="43137"/>
              </a:srgbClr>
            </a:outerShdw>
          </a:effectLst>
          <a:scene3d>
            <a:camera prst="orthographicFront" fov="0">
              <a:rot lat="0" lon="0" rev="0"/>
            </a:camera>
            <a:lightRig rig="brightRoom" dir="tl">
              <a:rot lat="0" lon="0" rev="8700000"/>
            </a:lightRig>
          </a:scene3d>
          <a:sp3d contourW="12700">
            <a:bevelT w="0" h="0"/>
            <a:contourClr>
              <a:schemeClr val="phClr">
                <a:shade val="80000"/>
              </a:schemeClr>
            </a:contourClr>
          </a:sp3d>
        </a:effectStyle>
        <a:effectStyle>
          <a:effectLst>
            <a:outerShdw blurRad="63500" dist="25400" dir="5400000" rotWithShape="0">
              <a:srgbClr val="000000">
                <a:alpha val="43137"/>
              </a:srgbClr>
            </a:outerShdw>
          </a:effectLst>
          <a:scene3d>
            <a:camera prst="orthographicFront" fov="0">
              <a:rot lat="0" lon="0" rev="0"/>
            </a:camera>
            <a:lightRig rig="brightRoom" dir="tl">
              <a:rot lat="0" lon="0" rev="5400000"/>
            </a:lightRig>
          </a:scene3d>
          <a:sp3d contourW="12700">
            <a:bevelT w="25400" h="50800" prst="angle"/>
            <a:contourClr>
              <a:schemeClr val="phClr"/>
            </a:contourClr>
          </a:sp3d>
        </a:effectStyle>
      </a:effectStyleLst>
      <a:bgFillStyleLst>
        <a:solidFill>
          <a:schemeClr val="phClr"/>
        </a:solidFill>
        <a:gradFill rotWithShape="1">
          <a:gsLst>
            <a:gs pos="0">
              <a:schemeClr val="phClr">
                <a:tint val="60000"/>
                <a:satMod val="355000"/>
              </a:schemeClr>
            </a:gs>
            <a:gs pos="40000">
              <a:schemeClr val="phClr">
                <a:tint val="85000"/>
                <a:satMod val="320000"/>
              </a:schemeClr>
            </a:gs>
            <a:gs pos="100000">
              <a:schemeClr val="phClr">
                <a:shade val="55000"/>
                <a:satMod val="300000"/>
              </a:schemeClr>
            </a:gs>
          </a:gsLst>
          <a:path path="circle">
            <a:fillToRect l="-24500" t="-20000" r="124500" b="120000"/>
          </a:path>
        </a:gradFill>
        <a:blipFill>
          <a:blip xmlns:r="http://schemas.openxmlformats.org/officeDocument/2006/relationships" r:embed="rId1">
            <a:duotone>
              <a:schemeClr val="phClr">
                <a:shade val="9000"/>
                <a:satMod val="300000"/>
              </a:schemeClr>
              <a:schemeClr val="phClr">
                <a:tint val="90000"/>
                <a:satMod val="225000"/>
              </a:schemeClr>
            </a:duotone>
          </a:blip>
          <a:tile tx="0" ty="0" sx="90000" sy="90000" flip="xy"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zoomScaleNormal="100" workbookViewId="0"/>
  </sheetViews>
  <sheetFormatPr defaultRowHeight="15.75"/>
  <cols>
    <col min="1" max="1" width="9.125" style="355" bestFit="1" customWidth="1"/>
    <col min="2" max="2" width="22.5" style="355" customWidth="1"/>
    <col min="3" max="3" width="20" style="355" customWidth="1"/>
    <col min="4" max="4" width="35.375" style="355" customWidth="1"/>
    <col min="5" max="5" width="15.25" style="355" customWidth="1"/>
    <col min="6" max="16384" width="9" style="355"/>
  </cols>
  <sheetData>
    <row r="1" spans="1:9" ht="18.75">
      <c r="A1" s="354"/>
      <c r="B1" s="354"/>
      <c r="C1" s="354"/>
      <c r="D1" s="364" t="s">
        <v>172</v>
      </c>
      <c r="E1" s="354"/>
      <c r="F1" s="354"/>
    </row>
    <row r="2" spans="1:9" ht="18.75">
      <c r="A2" s="354"/>
      <c r="B2" s="354"/>
      <c r="C2" s="354"/>
      <c r="D2" s="364" t="s">
        <v>15</v>
      </c>
      <c r="E2" s="354"/>
      <c r="F2" s="354"/>
    </row>
    <row r="3" spans="1:9" ht="16.5" thickBot="1">
      <c r="A3" s="354"/>
      <c r="B3" s="1" t="s">
        <v>13</v>
      </c>
      <c r="C3" s="510"/>
      <c r="D3" s="510"/>
      <c r="E3" s="57"/>
      <c r="F3" s="57"/>
    </row>
    <row r="4" spans="1:9" ht="16.5" thickBot="1">
      <c r="A4" s="354"/>
      <c r="B4" s="1" t="s">
        <v>14</v>
      </c>
      <c r="C4" s="511" t="s">
        <v>237</v>
      </c>
      <c r="D4" s="511"/>
      <c r="E4" s="57"/>
      <c r="F4" s="57"/>
    </row>
    <row r="5" spans="1:9" ht="16.5" thickBot="1">
      <c r="A5" s="354"/>
      <c r="B5" s="1" t="s">
        <v>15</v>
      </c>
      <c r="C5" s="513"/>
      <c r="D5" s="513"/>
      <c r="E5" s="57"/>
      <c r="F5" s="57"/>
    </row>
    <row r="6" spans="1:9" ht="16.5" customHeight="1">
      <c r="A6" s="354"/>
      <c r="B6" s="514" t="s">
        <v>260</v>
      </c>
      <c r="C6" s="515"/>
      <c r="D6" s="515"/>
      <c r="E6" s="515"/>
      <c r="F6" s="515"/>
      <c r="G6" s="515"/>
      <c r="H6" s="515"/>
      <c r="I6" s="516"/>
    </row>
    <row r="7" spans="1:9" s="503" customFormat="1" ht="16.5" customHeight="1" thickBot="1">
      <c r="A7" s="354"/>
      <c r="B7" s="517" t="s">
        <v>261</v>
      </c>
      <c r="C7" s="518"/>
      <c r="D7" s="518"/>
      <c r="E7" s="518"/>
      <c r="F7" s="518"/>
      <c r="G7" s="518"/>
      <c r="H7" s="518"/>
      <c r="I7" s="519"/>
    </row>
    <row r="8" spans="1:9">
      <c r="A8" s="354"/>
      <c r="B8" s="512" t="s">
        <v>170</v>
      </c>
      <c r="C8" s="512"/>
      <c r="D8" s="512"/>
      <c r="E8" s="354"/>
      <c r="F8" s="354"/>
    </row>
    <row r="9" spans="1:9">
      <c r="A9" s="354"/>
      <c r="B9" s="354"/>
      <c r="C9" s="354"/>
      <c r="D9" s="354"/>
      <c r="E9" s="354"/>
      <c r="F9" s="354"/>
    </row>
    <row r="10" spans="1:9">
      <c r="A10" s="354"/>
      <c r="B10" s="356" t="s">
        <v>0</v>
      </c>
      <c r="C10" s="346">
        <f>Salaries!N19</f>
        <v>0</v>
      </c>
      <c r="D10" s="357"/>
      <c r="E10" s="352"/>
      <c r="F10" s="352"/>
      <c r="G10" s="379"/>
    </row>
    <row r="11" spans="1:9">
      <c r="A11" s="354"/>
      <c r="B11" s="356" t="s">
        <v>1</v>
      </c>
      <c r="C11" s="346">
        <f>Benefits!O53</f>
        <v>0</v>
      </c>
      <c r="D11" s="354"/>
      <c r="E11" s="352"/>
      <c r="F11" s="352"/>
      <c r="G11" s="379"/>
    </row>
    <row r="12" spans="1:9">
      <c r="A12" s="354"/>
      <c r="B12" s="356" t="s">
        <v>2</v>
      </c>
      <c r="C12" s="346">
        <f>Supplies!G23</f>
        <v>0</v>
      </c>
      <c r="D12" s="354"/>
      <c r="E12" s="352"/>
      <c r="F12" s="352"/>
      <c r="G12" s="379"/>
    </row>
    <row r="13" spans="1:9">
      <c r="A13" s="354"/>
      <c r="B13" s="356" t="s">
        <v>3</v>
      </c>
      <c r="C13" s="346">
        <f>Printing!G22</f>
        <v>0</v>
      </c>
      <c r="D13" s="354"/>
      <c r="E13" s="352"/>
      <c r="F13" s="352"/>
      <c r="G13" s="379"/>
    </row>
    <row r="14" spans="1:9">
      <c r="A14" s="354"/>
      <c r="B14" s="356" t="s">
        <v>4</v>
      </c>
      <c r="C14" s="346">
        <f>Equipment!D26</f>
        <v>0</v>
      </c>
      <c r="D14" s="354"/>
      <c r="E14" s="352"/>
      <c r="F14" s="352"/>
      <c r="G14" s="379"/>
    </row>
    <row r="15" spans="1:9">
      <c r="A15" s="354"/>
      <c r="B15" s="356" t="s">
        <v>5</v>
      </c>
      <c r="C15" s="346">
        <f>Depreciation!I23</f>
        <v>0</v>
      </c>
      <c r="D15" s="354"/>
      <c r="E15" s="352"/>
      <c r="F15" s="352"/>
      <c r="G15" s="379"/>
    </row>
    <row r="16" spans="1:9">
      <c r="A16" s="354"/>
      <c r="B16" s="356" t="s">
        <v>6</v>
      </c>
      <c r="C16" s="346">
        <f>'Staff Training'!M19</f>
        <v>0</v>
      </c>
      <c r="D16" s="354"/>
      <c r="E16" s="352"/>
      <c r="F16" s="352"/>
      <c r="G16" s="379"/>
    </row>
    <row r="17" spans="1:8">
      <c r="A17" s="354"/>
      <c r="B17" s="356" t="s">
        <v>7</v>
      </c>
      <c r="C17" s="346">
        <f>'Provider Training'!M18</f>
        <v>0</v>
      </c>
      <c r="D17" s="354"/>
      <c r="E17" s="352"/>
      <c r="F17" s="352"/>
      <c r="G17" s="379"/>
    </row>
    <row r="18" spans="1:8">
      <c r="A18" s="354"/>
      <c r="B18" s="356" t="s">
        <v>8</v>
      </c>
      <c r="C18" s="346">
        <f>'Contracted Services'!I26</f>
        <v>0</v>
      </c>
      <c r="D18" s="354"/>
      <c r="E18" s="352"/>
      <c r="F18" s="352"/>
      <c r="G18" s="379"/>
    </row>
    <row r="19" spans="1:8">
      <c r="A19" s="354"/>
      <c r="B19" s="356" t="s">
        <v>11</v>
      </c>
      <c r="C19" s="347">
        <f>'In-State Travel'!$G$23</f>
        <v>0</v>
      </c>
      <c r="D19" s="354"/>
      <c r="E19" s="352"/>
      <c r="F19" s="352"/>
      <c r="G19" s="379"/>
    </row>
    <row r="20" spans="1:8">
      <c r="A20" s="354"/>
      <c r="B20" s="356" t="s">
        <v>12</v>
      </c>
      <c r="C20" s="346">
        <f>'Out-State Travel'!$L$15</f>
        <v>0</v>
      </c>
      <c r="D20" s="354"/>
      <c r="E20" s="354"/>
      <c r="F20" s="354"/>
    </row>
    <row r="21" spans="1:8">
      <c r="A21" s="354"/>
      <c r="B21" s="356" t="s">
        <v>9</v>
      </c>
      <c r="C21" s="348">
        <f>Occupancy!H32</f>
        <v>0</v>
      </c>
      <c r="D21" s="354"/>
      <c r="E21" s="354"/>
      <c r="F21" s="354"/>
    </row>
    <row r="22" spans="1:8">
      <c r="A22" s="354"/>
      <c r="B22" s="356" t="s">
        <v>10</v>
      </c>
      <c r="C22" s="346">
        <f>Communications!F32</f>
        <v>0</v>
      </c>
      <c r="D22" s="354"/>
      <c r="E22" s="354"/>
      <c r="F22" s="354"/>
    </row>
    <row r="23" spans="1:8">
      <c r="B23" s="357" t="s">
        <v>250</v>
      </c>
      <c r="C23" s="447">
        <v>0</v>
      </c>
    </row>
    <row r="24" spans="1:8">
      <c r="C24" s="358"/>
    </row>
    <row r="25" spans="1:8" ht="31.5">
      <c r="A25" s="354"/>
      <c r="B25" s="373" t="s">
        <v>174</v>
      </c>
      <c r="C25" s="363">
        <f>C10+C11+C12+C13+C14+C15+C16+C17+C18+C19+C20+C21+C22</f>
        <v>0</v>
      </c>
      <c r="D25" s="359"/>
      <c r="E25" s="359"/>
      <c r="F25" s="359"/>
      <c r="G25" s="360"/>
      <c r="H25" s="360"/>
    </row>
    <row r="26" spans="1:8">
      <c r="B26" s="360"/>
      <c r="C26" s="361"/>
      <c r="D26" s="360"/>
      <c r="E26" s="360"/>
      <c r="F26" s="360"/>
      <c r="G26" s="360"/>
      <c r="H26" s="360"/>
    </row>
    <row r="27" spans="1:8">
      <c r="A27" s="354"/>
      <c r="B27" s="359"/>
      <c r="C27" s="362"/>
      <c r="D27" s="270"/>
      <c r="E27" s="365" t="s">
        <v>173</v>
      </c>
      <c r="F27" s="366"/>
      <c r="G27" s="367"/>
      <c r="H27" s="368"/>
    </row>
    <row r="28" spans="1:8" ht="32.25" thickBot="1">
      <c r="A28" s="354"/>
      <c r="B28" s="439" t="s">
        <v>240</v>
      </c>
      <c r="C28" s="363">
        <f>'Alt Funding Source'!D39</f>
        <v>0</v>
      </c>
      <c r="D28" s="374" t="s">
        <v>175</v>
      </c>
      <c r="E28" s="369">
        <f>C30-C25</f>
        <v>0</v>
      </c>
      <c r="F28" s="370"/>
      <c r="G28" s="371"/>
      <c r="H28" s="372"/>
    </row>
    <row r="29" spans="1:8" ht="16.5" thickTop="1">
      <c r="C29" s="358"/>
    </row>
    <row r="30" spans="1:8" ht="31.5">
      <c r="A30" s="354"/>
      <c r="B30" s="375" t="s">
        <v>146</v>
      </c>
      <c r="C30" s="363">
        <f>C28+C25</f>
        <v>0</v>
      </c>
      <c r="D30" s="354"/>
      <c r="E30" s="354"/>
      <c r="F30" s="354"/>
    </row>
    <row r="31" spans="1:8" ht="16.5" thickBot="1"/>
    <row r="32" spans="1:8">
      <c r="B32" s="349" t="s">
        <v>171</v>
      </c>
      <c r="C32" s="350"/>
      <c r="D32" s="350"/>
      <c r="E32" s="350"/>
      <c r="F32" s="350"/>
      <c r="G32" s="351"/>
    </row>
    <row r="33" spans="1:7">
      <c r="A33" s="354"/>
      <c r="B33" s="508" t="s">
        <v>111</v>
      </c>
      <c r="C33" s="509"/>
      <c r="D33" s="509"/>
      <c r="E33" s="509"/>
      <c r="F33" s="352"/>
      <c r="G33" s="353"/>
    </row>
    <row r="34" spans="1:7">
      <c r="B34" s="508" t="s">
        <v>148</v>
      </c>
      <c r="C34" s="509"/>
      <c r="D34" s="509"/>
      <c r="E34" s="509"/>
      <c r="F34" s="509"/>
      <c r="G34" s="353"/>
    </row>
    <row r="35" spans="1:7" ht="16.5" thickBot="1">
      <c r="B35" s="505" t="s">
        <v>147</v>
      </c>
      <c r="C35" s="506"/>
      <c r="D35" s="506"/>
      <c r="E35" s="506"/>
      <c r="F35" s="506"/>
      <c r="G35" s="507"/>
    </row>
  </sheetData>
  <phoneticPr fontId="22" type="noConversion"/>
  <hyperlinks>
    <hyperlink ref="B10" location="Salaries!A1" display="Salaries"/>
    <hyperlink ref="B11" location="Benefits!A1" display="Benefits"/>
    <hyperlink ref="B16" location="'Staff Training'!A1" display="Staff Trainihng"/>
    <hyperlink ref="B17" location="'Provider Training'!A1" display="Provider Training"/>
    <hyperlink ref="B13" location="Printing!A1" display="Printing"/>
    <hyperlink ref="B14" location="Equipment!A1" display="Equipment"/>
    <hyperlink ref="B15" location="Depreciation!A1" display="Depreciation"/>
    <hyperlink ref="B18" location="'Contracted Services'!A1" display="Contracted Services"/>
    <hyperlink ref="B21" location="Occupancy!A1" display="Occupancy"/>
    <hyperlink ref="B22" location="Communications!A1" display="Communications"/>
    <hyperlink ref="B19" location="'In-State Travel'!A1" display="In-State Travel"/>
    <hyperlink ref="B20" location="'Out-State Travel'!A1" display="Out state travel"/>
    <hyperlink ref="B12" location="Supplies!A1" display="Supplies"/>
    <hyperlink ref="B28" location="'Alt Funding Source'!A1" display="CACFP expenses Funded by another funding Source"/>
    <hyperlink ref="B23" location="'Carry Over'!A1" display="Carry Over"/>
  </hyperlinks>
  <pageMargins left="0.7" right="0.7" top="0.75" bottom="0.75" header="0.3" footer="0.3"/>
  <pageSetup scale="8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1:N20"/>
  <sheetViews>
    <sheetView zoomScaleNormal="100" workbookViewId="0"/>
  </sheetViews>
  <sheetFormatPr defaultRowHeight="17.25"/>
  <cols>
    <col min="1" max="1" width="26.375" customWidth="1"/>
    <col min="2" max="2" width="18.75" customWidth="1"/>
    <col min="3" max="3" width="7.625" customWidth="1"/>
    <col min="4" max="4" width="11.25" customWidth="1"/>
    <col min="5" max="5" width="7.875" customWidth="1"/>
    <col min="6" max="6" width="7.625" customWidth="1"/>
    <col min="7" max="7" width="7" customWidth="1"/>
    <col min="8" max="8" width="10.5" customWidth="1"/>
    <col min="9" max="9" width="9.5" customWidth="1"/>
    <col min="10" max="10" width="6.75" customWidth="1"/>
    <col min="11" max="11" width="6.375" customWidth="1"/>
    <col min="12" max="12" width="10" customWidth="1"/>
    <col min="14" max="14" width="11.25" customWidth="1"/>
  </cols>
  <sheetData>
    <row r="1" spans="1:14" ht="19.5">
      <c r="A1" s="438" t="s">
        <v>236</v>
      </c>
      <c r="B1" s="21"/>
      <c r="C1" s="9"/>
      <c r="D1" s="9"/>
      <c r="E1" s="9"/>
      <c r="F1" s="9"/>
      <c r="G1" s="9"/>
      <c r="H1" s="9"/>
      <c r="I1" s="9"/>
      <c r="J1" s="9"/>
      <c r="K1" s="9"/>
      <c r="L1" s="9"/>
      <c r="M1" s="9"/>
      <c r="N1" s="9"/>
    </row>
    <row r="2" spans="1:14">
      <c r="A2" s="466" t="s">
        <v>217</v>
      </c>
      <c r="B2" s="466"/>
      <c r="C2" s="466"/>
      <c r="D2" s="466"/>
      <c r="E2" s="466"/>
      <c r="F2" s="466"/>
      <c r="G2" s="466"/>
      <c r="H2" s="466"/>
      <c r="I2" s="466"/>
      <c r="J2" s="466"/>
      <c r="K2" s="466"/>
      <c r="L2" s="466"/>
      <c r="M2" s="462"/>
      <c r="N2" s="9"/>
    </row>
    <row r="3" spans="1:14" s="432" customFormat="1" ht="15" customHeight="1">
      <c r="A3" s="465" t="s">
        <v>218</v>
      </c>
      <c r="B3" s="465"/>
      <c r="C3" s="465"/>
      <c r="D3" s="465"/>
      <c r="E3" s="465"/>
      <c r="F3" s="465"/>
      <c r="G3" s="465"/>
      <c r="H3" s="465"/>
      <c r="I3" s="465"/>
      <c r="J3" s="465"/>
      <c r="K3" s="465"/>
      <c r="L3" s="433"/>
      <c r="M3" s="433"/>
      <c r="N3" s="433"/>
    </row>
    <row r="4" spans="1:14">
      <c r="A4" s="461" t="s">
        <v>216</v>
      </c>
      <c r="B4" s="462"/>
      <c r="C4" s="462"/>
      <c r="D4" s="462"/>
      <c r="E4" s="462"/>
      <c r="F4" s="462"/>
      <c r="G4" s="462"/>
      <c r="H4" s="462"/>
      <c r="I4" s="462"/>
      <c r="J4" s="462"/>
      <c r="K4" s="462"/>
      <c r="L4" s="462"/>
      <c r="M4" s="9"/>
      <c r="N4" s="9"/>
    </row>
    <row r="5" spans="1:14">
      <c r="A5" s="463"/>
      <c r="B5" s="464"/>
      <c r="C5" s="464"/>
      <c r="D5" s="464"/>
      <c r="E5" s="464"/>
      <c r="F5" s="464"/>
      <c r="G5" s="464"/>
      <c r="H5" s="464"/>
      <c r="I5" s="464"/>
      <c r="J5" s="464"/>
      <c r="K5" s="464"/>
      <c r="L5" s="464"/>
      <c r="M5" s="9"/>
      <c r="N5" s="9"/>
    </row>
    <row r="6" spans="1:14" ht="36">
      <c r="A6" s="69"/>
      <c r="B6" s="69"/>
      <c r="C6" s="69"/>
      <c r="D6" s="69"/>
      <c r="E6" s="434" t="s">
        <v>219</v>
      </c>
      <c r="F6" s="434" t="s">
        <v>101</v>
      </c>
      <c r="G6" s="435"/>
      <c r="H6" s="434" t="s">
        <v>103</v>
      </c>
      <c r="I6" s="69"/>
      <c r="J6" s="69"/>
      <c r="K6" s="69"/>
      <c r="L6" s="69"/>
      <c r="M6" s="69"/>
      <c r="N6" s="70"/>
    </row>
    <row r="7" spans="1:14" ht="74.25">
      <c r="A7" s="71" t="s">
        <v>185</v>
      </c>
      <c r="B7" s="71" t="s">
        <v>176</v>
      </c>
      <c r="C7" s="72" t="s">
        <v>99</v>
      </c>
      <c r="D7" s="73" t="s">
        <v>100</v>
      </c>
      <c r="E7" s="72" t="s">
        <v>220</v>
      </c>
      <c r="F7" s="72" t="s">
        <v>102</v>
      </c>
      <c r="G7" s="74" t="s">
        <v>221</v>
      </c>
      <c r="H7" s="253" t="s">
        <v>222</v>
      </c>
      <c r="I7" s="72" t="s">
        <v>104</v>
      </c>
      <c r="J7" s="77" t="s">
        <v>105</v>
      </c>
      <c r="K7" s="72" t="s">
        <v>106</v>
      </c>
      <c r="L7" s="72" t="s">
        <v>107</v>
      </c>
      <c r="M7" s="72" t="s">
        <v>223</v>
      </c>
      <c r="N7" s="78" t="s">
        <v>108</v>
      </c>
    </row>
    <row r="8" spans="1:14">
      <c r="A8" s="101"/>
      <c r="B8" s="101"/>
      <c r="C8" s="101"/>
      <c r="D8" s="101"/>
      <c r="E8" s="4">
        <v>0</v>
      </c>
      <c r="F8" s="102">
        <v>0</v>
      </c>
      <c r="G8" s="103">
        <v>0</v>
      </c>
      <c r="H8" s="104" t="s">
        <v>144</v>
      </c>
      <c r="I8" s="105">
        <v>1</v>
      </c>
      <c r="J8" s="106">
        <v>0</v>
      </c>
      <c r="K8" s="285">
        <f t="shared" ref="K8:K18" si="0">J8/I8</f>
        <v>0</v>
      </c>
      <c r="L8" s="25"/>
      <c r="M8" s="436">
        <v>0</v>
      </c>
      <c r="N8" s="381">
        <f>IF(C8="X",F8*J8*12*(1+G8)+(M8*12),E8*K8*12*(1+G8)+(M8*12))</f>
        <v>0</v>
      </c>
    </row>
    <row r="9" spans="1:14">
      <c r="A9" s="107"/>
      <c r="B9" s="101"/>
      <c r="C9" s="101"/>
      <c r="D9" s="101"/>
      <c r="E9" s="4">
        <v>0</v>
      </c>
      <c r="F9" s="102">
        <v>0</v>
      </c>
      <c r="G9" s="103">
        <v>0</v>
      </c>
      <c r="H9" s="104" t="s">
        <v>177</v>
      </c>
      <c r="I9" s="105">
        <v>1</v>
      </c>
      <c r="J9" s="106">
        <v>0</v>
      </c>
      <c r="K9" s="285">
        <f t="shared" si="0"/>
        <v>0</v>
      </c>
      <c r="L9" s="25"/>
      <c r="M9" s="436">
        <f t="shared" ref="M9:M18" si="1">K9*L9</f>
        <v>0</v>
      </c>
      <c r="N9" s="381">
        <f t="shared" ref="N9:N18" si="2">IF(C9="X",F9*J9*12*(1+G9)+(M9*12),E9*K9*12*(1+G9)+(M9*12))</f>
        <v>0</v>
      </c>
    </row>
    <row r="10" spans="1:14">
      <c r="A10" s="107"/>
      <c r="B10" s="101"/>
      <c r="C10" s="101"/>
      <c r="D10" s="101"/>
      <c r="E10" s="4">
        <v>0</v>
      </c>
      <c r="F10" s="102">
        <v>0</v>
      </c>
      <c r="G10" s="103">
        <v>0</v>
      </c>
      <c r="H10" s="104"/>
      <c r="I10" s="105">
        <v>1</v>
      </c>
      <c r="J10" s="106">
        <v>0</v>
      </c>
      <c r="K10" s="285">
        <f t="shared" si="0"/>
        <v>0</v>
      </c>
      <c r="L10" s="25"/>
      <c r="M10" s="436">
        <f t="shared" si="1"/>
        <v>0</v>
      </c>
      <c r="N10" s="381">
        <f t="shared" si="2"/>
        <v>0</v>
      </c>
    </row>
    <row r="11" spans="1:14">
      <c r="A11" s="107"/>
      <c r="B11" s="101"/>
      <c r="C11" s="101"/>
      <c r="D11" s="101"/>
      <c r="E11" s="4">
        <v>0</v>
      </c>
      <c r="F11" s="102">
        <v>0</v>
      </c>
      <c r="G11" s="103">
        <v>0</v>
      </c>
      <c r="H11" s="104"/>
      <c r="I11" s="105">
        <v>1</v>
      </c>
      <c r="J11" s="106">
        <v>0</v>
      </c>
      <c r="K11" s="285">
        <f t="shared" si="0"/>
        <v>0</v>
      </c>
      <c r="L11" s="25"/>
      <c r="M11" s="436">
        <f t="shared" si="1"/>
        <v>0</v>
      </c>
      <c r="N11" s="381">
        <f t="shared" si="2"/>
        <v>0</v>
      </c>
    </row>
    <row r="12" spans="1:14">
      <c r="A12" s="107"/>
      <c r="B12" s="101"/>
      <c r="C12" s="101"/>
      <c r="D12" s="101"/>
      <c r="E12" s="4">
        <v>0</v>
      </c>
      <c r="F12" s="102">
        <v>0</v>
      </c>
      <c r="G12" s="103">
        <v>0</v>
      </c>
      <c r="H12" s="104"/>
      <c r="I12" s="105">
        <v>1</v>
      </c>
      <c r="J12" s="106">
        <v>0</v>
      </c>
      <c r="K12" s="285">
        <f t="shared" si="0"/>
        <v>0</v>
      </c>
      <c r="L12" s="25"/>
      <c r="M12" s="436">
        <f t="shared" si="1"/>
        <v>0</v>
      </c>
      <c r="N12" s="381">
        <f t="shared" si="2"/>
        <v>0</v>
      </c>
    </row>
    <row r="13" spans="1:14">
      <c r="A13" s="107"/>
      <c r="B13" s="101"/>
      <c r="C13" s="101"/>
      <c r="D13" s="101"/>
      <c r="E13" s="4">
        <v>0</v>
      </c>
      <c r="F13" s="102">
        <v>0</v>
      </c>
      <c r="G13" s="103">
        <v>0</v>
      </c>
      <c r="H13" s="104"/>
      <c r="I13" s="105">
        <v>1</v>
      </c>
      <c r="J13" s="106">
        <v>0</v>
      </c>
      <c r="K13" s="285">
        <f t="shared" si="0"/>
        <v>0</v>
      </c>
      <c r="L13" s="25"/>
      <c r="M13" s="436">
        <f t="shared" si="1"/>
        <v>0</v>
      </c>
      <c r="N13" s="381">
        <f t="shared" si="2"/>
        <v>0</v>
      </c>
    </row>
    <row r="14" spans="1:14">
      <c r="A14" s="107"/>
      <c r="B14" s="101"/>
      <c r="C14" s="101"/>
      <c r="D14" s="101"/>
      <c r="E14" s="4">
        <v>0</v>
      </c>
      <c r="F14" s="102">
        <v>0</v>
      </c>
      <c r="G14" s="103">
        <v>0</v>
      </c>
      <c r="H14" s="104"/>
      <c r="I14" s="105">
        <v>1</v>
      </c>
      <c r="J14" s="106">
        <v>0</v>
      </c>
      <c r="K14" s="285">
        <f t="shared" si="0"/>
        <v>0</v>
      </c>
      <c r="L14" s="25"/>
      <c r="M14" s="436">
        <f t="shared" si="1"/>
        <v>0</v>
      </c>
      <c r="N14" s="381">
        <f t="shared" si="2"/>
        <v>0</v>
      </c>
    </row>
    <row r="15" spans="1:14">
      <c r="A15" s="107"/>
      <c r="B15" s="101"/>
      <c r="C15" s="101"/>
      <c r="D15" s="101"/>
      <c r="E15" s="4">
        <v>0</v>
      </c>
      <c r="F15" s="102">
        <v>0</v>
      </c>
      <c r="G15" s="103">
        <v>0</v>
      </c>
      <c r="H15" s="104"/>
      <c r="I15" s="105">
        <v>1</v>
      </c>
      <c r="J15" s="106">
        <v>0</v>
      </c>
      <c r="K15" s="285">
        <f t="shared" si="0"/>
        <v>0</v>
      </c>
      <c r="L15" s="25"/>
      <c r="M15" s="436">
        <f t="shared" si="1"/>
        <v>0</v>
      </c>
      <c r="N15" s="381">
        <f t="shared" si="2"/>
        <v>0</v>
      </c>
    </row>
    <row r="16" spans="1:14">
      <c r="A16" s="107"/>
      <c r="B16" s="107"/>
      <c r="C16" s="107"/>
      <c r="D16" s="101"/>
      <c r="E16" s="4">
        <v>0</v>
      </c>
      <c r="F16" s="102">
        <v>0</v>
      </c>
      <c r="G16" s="103">
        <v>0</v>
      </c>
      <c r="H16" s="104"/>
      <c r="I16" s="105">
        <v>1</v>
      </c>
      <c r="J16" s="106">
        <v>0</v>
      </c>
      <c r="K16" s="285">
        <f t="shared" si="0"/>
        <v>0</v>
      </c>
      <c r="L16" s="25"/>
      <c r="M16" s="436">
        <f t="shared" si="1"/>
        <v>0</v>
      </c>
      <c r="N16" s="381">
        <f t="shared" si="2"/>
        <v>0</v>
      </c>
    </row>
    <row r="17" spans="1:14">
      <c r="A17" s="107"/>
      <c r="B17" s="107"/>
      <c r="C17" s="107"/>
      <c r="D17" s="101"/>
      <c r="E17" s="4">
        <v>0</v>
      </c>
      <c r="F17" s="102">
        <v>0</v>
      </c>
      <c r="G17" s="103">
        <v>0</v>
      </c>
      <c r="H17" s="104"/>
      <c r="I17" s="105">
        <v>1</v>
      </c>
      <c r="J17" s="106">
        <v>0</v>
      </c>
      <c r="K17" s="285">
        <f t="shared" si="0"/>
        <v>0</v>
      </c>
      <c r="L17" s="25"/>
      <c r="M17" s="436">
        <f t="shared" si="1"/>
        <v>0</v>
      </c>
      <c r="N17" s="381">
        <f t="shared" si="2"/>
        <v>0</v>
      </c>
    </row>
    <row r="18" spans="1:14" ht="18" thickBot="1">
      <c r="A18" s="108"/>
      <c r="B18" s="108"/>
      <c r="C18" s="108"/>
      <c r="D18" s="109"/>
      <c r="E18" s="4">
        <v>0</v>
      </c>
      <c r="F18" s="102">
        <v>0</v>
      </c>
      <c r="G18" s="103">
        <v>0</v>
      </c>
      <c r="H18" s="110"/>
      <c r="I18" s="105">
        <v>1</v>
      </c>
      <c r="J18" s="106">
        <v>0</v>
      </c>
      <c r="K18" s="285">
        <f t="shared" si="0"/>
        <v>0</v>
      </c>
      <c r="L18" s="25"/>
      <c r="M18" s="436">
        <f t="shared" si="1"/>
        <v>0</v>
      </c>
      <c r="N18" s="381">
        <f t="shared" si="2"/>
        <v>0</v>
      </c>
    </row>
    <row r="19" spans="1:14" ht="20.25" thickBot="1">
      <c r="A19" s="22"/>
      <c r="B19" s="23"/>
      <c r="C19" s="23"/>
      <c r="D19" s="23"/>
      <c r="E19" s="26"/>
      <c r="F19" s="23"/>
      <c r="G19" s="23"/>
      <c r="H19" s="23"/>
      <c r="I19" s="24" t="s">
        <v>141</v>
      </c>
      <c r="J19" s="27"/>
      <c r="K19" s="28"/>
      <c r="L19" s="26"/>
      <c r="M19" s="26"/>
      <c r="N19" s="382">
        <f>SUM(N8:N18)</f>
        <v>0</v>
      </c>
    </row>
    <row r="20" spans="1:14">
      <c r="A20" s="11" t="s">
        <v>109</v>
      </c>
      <c r="B20" s="11"/>
      <c r="C20" s="11"/>
      <c r="D20" s="11"/>
      <c r="E20" s="11"/>
      <c r="F20" s="11"/>
      <c r="G20" s="11"/>
    </row>
  </sheetData>
  <phoneticPr fontId="22" type="noConversion"/>
  <pageMargins left="0.7" right="0.7" top="0.75" bottom="0.75" header="0.3" footer="0.3"/>
  <pageSetup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R54"/>
  <sheetViews>
    <sheetView zoomScaleNormal="100" workbookViewId="0"/>
  </sheetViews>
  <sheetFormatPr defaultRowHeight="17.25"/>
  <cols>
    <col min="1" max="1" width="14.625" customWidth="1"/>
    <col min="2" max="2" width="9.625" customWidth="1"/>
    <col min="3" max="3" width="11.25" customWidth="1"/>
    <col min="7" max="7" width="8.5" customWidth="1"/>
    <col min="8" max="8" width="8.625" customWidth="1"/>
    <col min="9" max="9" width="7" customWidth="1"/>
    <col min="10" max="10" width="8.375" customWidth="1"/>
    <col min="12" max="12" width="10.875" customWidth="1"/>
    <col min="13" max="14" width="9.25" customWidth="1"/>
    <col min="15" max="15" width="15.125" customWidth="1"/>
    <col min="16" max="16" width="11" customWidth="1"/>
  </cols>
  <sheetData>
    <row r="1" spans="1:18" ht="19.5">
      <c r="A1" s="323" t="s">
        <v>224</v>
      </c>
      <c r="B1" s="323"/>
      <c r="C1" s="29"/>
      <c r="D1" s="29"/>
      <c r="E1" s="29"/>
      <c r="F1" s="29"/>
      <c r="G1" s="29"/>
      <c r="H1" s="29"/>
      <c r="I1" s="29"/>
      <c r="J1" s="29"/>
      <c r="K1" s="29"/>
      <c r="L1" s="67"/>
      <c r="M1" s="67"/>
      <c r="N1" s="67"/>
      <c r="O1" s="67"/>
      <c r="P1" s="67"/>
      <c r="Q1" s="67"/>
      <c r="R1" s="67"/>
    </row>
    <row r="2" spans="1:18">
      <c r="A2" s="9" t="s">
        <v>27</v>
      </c>
      <c r="B2" s="9"/>
      <c r="C2" s="9"/>
      <c r="D2" s="461" t="s">
        <v>234</v>
      </c>
      <c r="E2" s="461"/>
      <c r="F2" s="461"/>
      <c r="G2" s="461"/>
      <c r="H2" s="461"/>
      <c r="I2" s="461"/>
      <c r="J2" s="461"/>
      <c r="K2" s="461"/>
      <c r="L2" s="461"/>
      <c r="M2" s="175"/>
      <c r="N2" s="175"/>
      <c r="O2" s="175"/>
      <c r="P2" s="67"/>
      <c r="Q2" s="67"/>
      <c r="R2" s="67"/>
    </row>
    <row r="3" spans="1:18" ht="18" thickBot="1">
      <c r="A3" s="461" t="s">
        <v>188</v>
      </c>
      <c r="B3" s="461"/>
      <c r="C3" s="461"/>
      <c r="D3" s="461"/>
      <c r="E3" s="461"/>
      <c r="F3" s="461"/>
      <c r="G3" s="461"/>
      <c r="H3" s="461"/>
      <c r="I3" s="461"/>
      <c r="J3" s="461"/>
      <c r="K3" s="461"/>
      <c r="L3" s="461"/>
      <c r="M3" s="461"/>
      <c r="N3" s="461"/>
      <c r="O3" s="461"/>
      <c r="P3" s="29"/>
    </row>
    <row r="4" spans="1:18" ht="18" thickTop="1">
      <c r="A4" s="29"/>
      <c r="B4" s="520" t="s">
        <v>28</v>
      </c>
      <c r="C4" s="521"/>
      <c r="D4" s="521"/>
      <c r="E4" s="521"/>
      <c r="F4" s="278"/>
      <c r="G4" s="521" t="s">
        <v>29</v>
      </c>
      <c r="H4" s="521"/>
      <c r="I4" s="521"/>
      <c r="J4" s="521"/>
      <c r="K4" s="522"/>
      <c r="L4" s="520" t="s">
        <v>30</v>
      </c>
      <c r="M4" s="521"/>
      <c r="N4" s="521"/>
      <c r="O4" s="521"/>
      <c r="P4" s="522"/>
    </row>
    <row r="5" spans="1:18">
      <c r="A5" s="80">
        <v>1</v>
      </c>
      <c r="B5" s="158">
        <v>2</v>
      </c>
      <c r="C5" s="80">
        <v>3</v>
      </c>
      <c r="D5" s="81">
        <v>4</v>
      </c>
      <c r="E5" s="80">
        <v>5</v>
      </c>
      <c r="F5" s="279">
        <v>6</v>
      </c>
      <c r="G5" s="275">
        <v>7</v>
      </c>
      <c r="H5" s="80">
        <v>8</v>
      </c>
      <c r="I5" s="81">
        <v>9</v>
      </c>
      <c r="J5" s="80">
        <v>10</v>
      </c>
      <c r="K5" s="159">
        <v>11</v>
      </c>
      <c r="L5" s="158">
        <v>12</v>
      </c>
      <c r="M5" s="80">
        <v>13</v>
      </c>
      <c r="N5" s="80">
        <v>14</v>
      </c>
      <c r="O5" s="81">
        <v>15</v>
      </c>
      <c r="P5" s="159">
        <v>16</v>
      </c>
    </row>
    <row r="6" spans="1:18" ht="54" customHeight="1">
      <c r="A6" s="388" t="s">
        <v>185</v>
      </c>
      <c r="B6" s="160" t="s">
        <v>149</v>
      </c>
      <c r="C6" s="82" t="s">
        <v>186</v>
      </c>
      <c r="D6" s="171" t="s">
        <v>115</v>
      </c>
      <c r="E6" s="274" t="s">
        <v>187</v>
      </c>
      <c r="F6" s="280" t="s">
        <v>151</v>
      </c>
      <c r="G6" s="160" t="s">
        <v>149</v>
      </c>
      <c r="H6" s="82" t="s">
        <v>127</v>
      </c>
      <c r="I6" s="171" t="s">
        <v>115</v>
      </c>
      <c r="J6" s="284" t="s">
        <v>187</v>
      </c>
      <c r="K6" s="280" t="s">
        <v>151</v>
      </c>
      <c r="L6" s="160" t="s">
        <v>149</v>
      </c>
      <c r="M6" s="82" t="s">
        <v>127</v>
      </c>
      <c r="N6" s="171" t="s">
        <v>115</v>
      </c>
      <c r="O6" s="274" t="s">
        <v>150</v>
      </c>
      <c r="P6" s="280" t="s">
        <v>151</v>
      </c>
    </row>
    <row r="7" spans="1:18">
      <c r="A7" s="157"/>
      <c r="B7" s="161"/>
      <c r="C7" s="2"/>
      <c r="D7" s="291" t="e">
        <f t="shared" ref="D7:D25" si="0">IF(C7/B7=0,0,C7/B7)</f>
        <v>#DIV/0!</v>
      </c>
      <c r="E7" s="292">
        <f>B7-C7</f>
        <v>0</v>
      </c>
      <c r="F7" s="293" t="e">
        <f>E7/B7</f>
        <v>#DIV/0!</v>
      </c>
      <c r="G7" s="276"/>
      <c r="H7" s="154"/>
      <c r="I7" s="285" t="e">
        <f>H7/G7</f>
        <v>#DIV/0!</v>
      </c>
      <c r="J7" s="286">
        <f>G7-H7</f>
        <v>0</v>
      </c>
      <c r="K7" s="287" t="e">
        <f>J7/G7</f>
        <v>#DIV/0!</v>
      </c>
      <c r="L7" s="5"/>
      <c r="M7" s="2"/>
      <c r="N7" s="288" t="e">
        <f>M7/L7</f>
        <v>#DIV/0!</v>
      </c>
      <c r="O7" s="289">
        <f>L7-M7</f>
        <v>0</v>
      </c>
      <c r="P7" s="290" t="e">
        <f>O7/L7</f>
        <v>#DIV/0!</v>
      </c>
    </row>
    <row r="8" spans="1:18">
      <c r="A8" s="157"/>
      <c r="B8" s="161"/>
      <c r="C8" s="2">
        <v>0</v>
      </c>
      <c r="D8" s="291" t="e">
        <f t="shared" si="0"/>
        <v>#DIV/0!</v>
      </c>
      <c r="E8" s="294">
        <f t="shared" ref="E8:E25" si="1">B8-C8</f>
        <v>0</v>
      </c>
      <c r="F8" s="293" t="e">
        <f t="shared" ref="F8:F24" si="2">E8/B8</f>
        <v>#DIV/0!</v>
      </c>
      <c r="G8" s="276"/>
      <c r="H8" s="154"/>
      <c r="I8" s="285" t="e">
        <f t="shared" ref="I8:I25" si="3">H8/G8</f>
        <v>#DIV/0!</v>
      </c>
      <c r="J8" s="286">
        <f t="shared" ref="J8:J25" si="4">G8-H8</f>
        <v>0</v>
      </c>
      <c r="K8" s="287" t="e">
        <f t="shared" ref="K8:K25" si="5">J8/G8</f>
        <v>#DIV/0!</v>
      </c>
      <c r="L8" s="5"/>
      <c r="M8" s="2"/>
      <c r="N8" s="288" t="e">
        <f t="shared" ref="N8:N25" si="6">M8/L8</f>
        <v>#DIV/0!</v>
      </c>
      <c r="O8" s="289">
        <f t="shared" ref="O8:O25" si="7">L8-M8</f>
        <v>0</v>
      </c>
      <c r="P8" s="290" t="e">
        <f t="shared" ref="P8:P25" si="8">O8/L8</f>
        <v>#DIV/0!</v>
      </c>
    </row>
    <row r="9" spans="1:18">
      <c r="A9" s="157"/>
      <c r="B9" s="161"/>
      <c r="C9" s="2">
        <v>0</v>
      </c>
      <c r="D9" s="291" t="e">
        <f t="shared" si="0"/>
        <v>#DIV/0!</v>
      </c>
      <c r="E9" s="294">
        <f t="shared" si="1"/>
        <v>0</v>
      </c>
      <c r="F9" s="293" t="e">
        <f t="shared" si="2"/>
        <v>#DIV/0!</v>
      </c>
      <c r="G9" s="276"/>
      <c r="H9" s="154"/>
      <c r="I9" s="285" t="e">
        <f t="shared" si="3"/>
        <v>#DIV/0!</v>
      </c>
      <c r="J9" s="286">
        <f t="shared" si="4"/>
        <v>0</v>
      </c>
      <c r="K9" s="287" t="e">
        <f t="shared" si="5"/>
        <v>#DIV/0!</v>
      </c>
      <c r="L9" s="5"/>
      <c r="M9" s="2"/>
      <c r="N9" s="288" t="e">
        <f t="shared" si="6"/>
        <v>#DIV/0!</v>
      </c>
      <c r="O9" s="289">
        <f t="shared" si="7"/>
        <v>0</v>
      </c>
      <c r="P9" s="290" t="e">
        <f t="shared" si="8"/>
        <v>#DIV/0!</v>
      </c>
    </row>
    <row r="10" spans="1:18">
      <c r="A10" s="157"/>
      <c r="B10" s="161"/>
      <c r="C10" s="2">
        <v>0</v>
      </c>
      <c r="D10" s="291" t="e">
        <f t="shared" si="0"/>
        <v>#DIV/0!</v>
      </c>
      <c r="E10" s="294">
        <f t="shared" si="1"/>
        <v>0</v>
      </c>
      <c r="F10" s="293" t="e">
        <f t="shared" si="2"/>
        <v>#DIV/0!</v>
      </c>
      <c r="G10" s="276"/>
      <c r="H10" s="154"/>
      <c r="I10" s="285" t="e">
        <f t="shared" si="3"/>
        <v>#DIV/0!</v>
      </c>
      <c r="J10" s="286">
        <f t="shared" si="4"/>
        <v>0</v>
      </c>
      <c r="K10" s="287" t="e">
        <f t="shared" si="5"/>
        <v>#DIV/0!</v>
      </c>
      <c r="L10" s="5"/>
      <c r="M10" s="2"/>
      <c r="N10" s="288" t="e">
        <f t="shared" si="6"/>
        <v>#DIV/0!</v>
      </c>
      <c r="O10" s="289">
        <f t="shared" si="7"/>
        <v>0</v>
      </c>
      <c r="P10" s="290" t="e">
        <f t="shared" si="8"/>
        <v>#DIV/0!</v>
      </c>
    </row>
    <row r="11" spans="1:18">
      <c r="A11" s="157"/>
      <c r="B11" s="161"/>
      <c r="C11" s="2">
        <v>0</v>
      </c>
      <c r="D11" s="291" t="e">
        <f t="shared" si="0"/>
        <v>#DIV/0!</v>
      </c>
      <c r="E11" s="294">
        <f t="shared" si="1"/>
        <v>0</v>
      </c>
      <c r="F11" s="293" t="e">
        <f t="shared" si="2"/>
        <v>#DIV/0!</v>
      </c>
      <c r="G11" s="276"/>
      <c r="H11" s="154"/>
      <c r="I11" s="285" t="e">
        <f t="shared" si="3"/>
        <v>#DIV/0!</v>
      </c>
      <c r="J11" s="286">
        <f t="shared" si="4"/>
        <v>0</v>
      </c>
      <c r="K11" s="287" t="e">
        <f t="shared" si="5"/>
        <v>#DIV/0!</v>
      </c>
      <c r="L11" s="5"/>
      <c r="M11" s="2"/>
      <c r="N11" s="288" t="e">
        <f t="shared" si="6"/>
        <v>#DIV/0!</v>
      </c>
      <c r="O11" s="289">
        <f t="shared" si="7"/>
        <v>0</v>
      </c>
      <c r="P11" s="290" t="e">
        <f t="shared" si="8"/>
        <v>#DIV/0!</v>
      </c>
    </row>
    <row r="12" spans="1:18">
      <c r="A12" s="157"/>
      <c r="B12" s="161"/>
      <c r="C12" s="2">
        <v>0</v>
      </c>
      <c r="D12" s="291" t="e">
        <f t="shared" si="0"/>
        <v>#DIV/0!</v>
      </c>
      <c r="E12" s="294">
        <f t="shared" si="1"/>
        <v>0</v>
      </c>
      <c r="F12" s="293" t="e">
        <f t="shared" si="2"/>
        <v>#DIV/0!</v>
      </c>
      <c r="G12" s="276"/>
      <c r="H12" s="154"/>
      <c r="I12" s="285" t="e">
        <f t="shared" si="3"/>
        <v>#DIV/0!</v>
      </c>
      <c r="J12" s="286">
        <f t="shared" si="4"/>
        <v>0</v>
      </c>
      <c r="K12" s="287" t="e">
        <f t="shared" si="5"/>
        <v>#DIV/0!</v>
      </c>
      <c r="L12" s="5"/>
      <c r="M12" s="2"/>
      <c r="N12" s="288" t="e">
        <f t="shared" si="6"/>
        <v>#DIV/0!</v>
      </c>
      <c r="O12" s="289">
        <f t="shared" si="7"/>
        <v>0</v>
      </c>
      <c r="P12" s="290" t="e">
        <f t="shared" si="8"/>
        <v>#DIV/0!</v>
      </c>
    </row>
    <row r="13" spans="1:18">
      <c r="A13" s="157"/>
      <c r="B13" s="161"/>
      <c r="C13" s="2">
        <v>0</v>
      </c>
      <c r="D13" s="291" t="e">
        <f t="shared" si="0"/>
        <v>#DIV/0!</v>
      </c>
      <c r="E13" s="294">
        <f t="shared" si="1"/>
        <v>0</v>
      </c>
      <c r="F13" s="293" t="e">
        <f t="shared" si="2"/>
        <v>#DIV/0!</v>
      </c>
      <c r="G13" s="276"/>
      <c r="H13" s="154"/>
      <c r="I13" s="285" t="e">
        <f t="shared" si="3"/>
        <v>#DIV/0!</v>
      </c>
      <c r="J13" s="286">
        <f t="shared" si="4"/>
        <v>0</v>
      </c>
      <c r="K13" s="287" t="e">
        <f t="shared" si="5"/>
        <v>#DIV/0!</v>
      </c>
      <c r="L13" s="5"/>
      <c r="M13" s="2"/>
      <c r="N13" s="288" t="e">
        <f t="shared" si="6"/>
        <v>#DIV/0!</v>
      </c>
      <c r="O13" s="289">
        <f t="shared" si="7"/>
        <v>0</v>
      </c>
      <c r="P13" s="290" t="e">
        <f t="shared" si="8"/>
        <v>#DIV/0!</v>
      </c>
    </row>
    <row r="14" spans="1:18">
      <c r="A14" s="157"/>
      <c r="B14" s="161"/>
      <c r="C14" s="2">
        <v>0</v>
      </c>
      <c r="D14" s="291" t="e">
        <f t="shared" si="0"/>
        <v>#DIV/0!</v>
      </c>
      <c r="E14" s="294">
        <f t="shared" si="1"/>
        <v>0</v>
      </c>
      <c r="F14" s="293" t="e">
        <f t="shared" si="2"/>
        <v>#DIV/0!</v>
      </c>
      <c r="G14" s="276"/>
      <c r="H14" s="154"/>
      <c r="I14" s="285" t="e">
        <f t="shared" si="3"/>
        <v>#DIV/0!</v>
      </c>
      <c r="J14" s="286">
        <f t="shared" si="4"/>
        <v>0</v>
      </c>
      <c r="K14" s="287" t="e">
        <f t="shared" si="5"/>
        <v>#DIV/0!</v>
      </c>
      <c r="L14" s="5"/>
      <c r="M14" s="2"/>
      <c r="N14" s="288" t="e">
        <f t="shared" si="6"/>
        <v>#DIV/0!</v>
      </c>
      <c r="O14" s="289">
        <f t="shared" si="7"/>
        <v>0</v>
      </c>
      <c r="P14" s="290" t="e">
        <f t="shared" si="8"/>
        <v>#DIV/0!</v>
      </c>
    </row>
    <row r="15" spans="1:18">
      <c r="A15" s="157"/>
      <c r="B15" s="161"/>
      <c r="C15" s="2">
        <v>0</v>
      </c>
      <c r="D15" s="291" t="e">
        <f t="shared" si="0"/>
        <v>#DIV/0!</v>
      </c>
      <c r="E15" s="294">
        <f t="shared" si="1"/>
        <v>0</v>
      </c>
      <c r="F15" s="293" t="e">
        <f t="shared" si="2"/>
        <v>#DIV/0!</v>
      </c>
      <c r="G15" s="276"/>
      <c r="H15" s="154"/>
      <c r="I15" s="285" t="e">
        <f t="shared" si="3"/>
        <v>#DIV/0!</v>
      </c>
      <c r="J15" s="286">
        <f t="shared" si="4"/>
        <v>0</v>
      </c>
      <c r="K15" s="287" t="e">
        <f t="shared" si="5"/>
        <v>#DIV/0!</v>
      </c>
      <c r="L15" s="5"/>
      <c r="M15" s="2"/>
      <c r="N15" s="288" t="e">
        <f t="shared" si="6"/>
        <v>#DIV/0!</v>
      </c>
      <c r="O15" s="289">
        <f t="shared" si="7"/>
        <v>0</v>
      </c>
      <c r="P15" s="290" t="e">
        <f t="shared" si="8"/>
        <v>#DIV/0!</v>
      </c>
    </row>
    <row r="16" spans="1:18">
      <c r="A16" s="157"/>
      <c r="B16" s="161"/>
      <c r="C16" s="2">
        <v>0</v>
      </c>
      <c r="D16" s="291" t="e">
        <f t="shared" si="0"/>
        <v>#DIV/0!</v>
      </c>
      <c r="E16" s="294">
        <f t="shared" si="1"/>
        <v>0</v>
      </c>
      <c r="F16" s="293" t="e">
        <f t="shared" si="2"/>
        <v>#DIV/0!</v>
      </c>
      <c r="G16" s="276"/>
      <c r="H16" s="154"/>
      <c r="I16" s="285" t="e">
        <f t="shared" si="3"/>
        <v>#DIV/0!</v>
      </c>
      <c r="J16" s="286">
        <f t="shared" si="4"/>
        <v>0</v>
      </c>
      <c r="K16" s="287" t="e">
        <f t="shared" si="5"/>
        <v>#DIV/0!</v>
      </c>
      <c r="L16" s="5"/>
      <c r="M16" s="2"/>
      <c r="N16" s="288" t="e">
        <f t="shared" si="6"/>
        <v>#DIV/0!</v>
      </c>
      <c r="O16" s="289">
        <f t="shared" si="7"/>
        <v>0</v>
      </c>
      <c r="P16" s="290" t="e">
        <f t="shared" si="8"/>
        <v>#DIV/0!</v>
      </c>
    </row>
    <row r="17" spans="1:16">
      <c r="A17" s="157"/>
      <c r="B17" s="161"/>
      <c r="C17" s="2">
        <v>0</v>
      </c>
      <c r="D17" s="291" t="e">
        <f t="shared" si="0"/>
        <v>#DIV/0!</v>
      </c>
      <c r="E17" s="294">
        <f t="shared" si="1"/>
        <v>0</v>
      </c>
      <c r="F17" s="293" t="e">
        <f t="shared" si="2"/>
        <v>#DIV/0!</v>
      </c>
      <c r="G17" s="276"/>
      <c r="H17" s="154"/>
      <c r="I17" s="285" t="e">
        <f t="shared" si="3"/>
        <v>#DIV/0!</v>
      </c>
      <c r="J17" s="286">
        <f t="shared" si="4"/>
        <v>0</v>
      </c>
      <c r="K17" s="287" t="e">
        <f t="shared" si="5"/>
        <v>#DIV/0!</v>
      </c>
      <c r="L17" s="5"/>
      <c r="M17" s="2"/>
      <c r="N17" s="288" t="e">
        <f t="shared" si="6"/>
        <v>#DIV/0!</v>
      </c>
      <c r="O17" s="289">
        <f t="shared" si="7"/>
        <v>0</v>
      </c>
      <c r="P17" s="290" t="e">
        <f>O17/L17</f>
        <v>#DIV/0!</v>
      </c>
    </row>
    <row r="18" spans="1:16">
      <c r="A18" s="157"/>
      <c r="B18" s="161"/>
      <c r="C18" s="2">
        <v>0</v>
      </c>
      <c r="D18" s="291" t="e">
        <f t="shared" si="0"/>
        <v>#DIV/0!</v>
      </c>
      <c r="E18" s="294">
        <f t="shared" si="1"/>
        <v>0</v>
      </c>
      <c r="F18" s="293" t="e">
        <f t="shared" si="2"/>
        <v>#DIV/0!</v>
      </c>
      <c r="G18" s="276"/>
      <c r="H18" s="154"/>
      <c r="I18" s="285" t="e">
        <f t="shared" si="3"/>
        <v>#DIV/0!</v>
      </c>
      <c r="J18" s="286">
        <f t="shared" si="4"/>
        <v>0</v>
      </c>
      <c r="K18" s="287" t="e">
        <f t="shared" si="5"/>
        <v>#DIV/0!</v>
      </c>
      <c r="L18" s="5"/>
      <c r="M18" s="2"/>
      <c r="N18" s="288" t="e">
        <f t="shared" si="6"/>
        <v>#DIV/0!</v>
      </c>
      <c r="O18" s="289">
        <f t="shared" si="7"/>
        <v>0</v>
      </c>
      <c r="P18" s="290" t="e">
        <f t="shared" si="8"/>
        <v>#DIV/0!</v>
      </c>
    </row>
    <row r="19" spans="1:16">
      <c r="A19" s="157"/>
      <c r="B19" s="161"/>
      <c r="C19" s="2">
        <v>0</v>
      </c>
      <c r="D19" s="291" t="e">
        <f t="shared" si="0"/>
        <v>#DIV/0!</v>
      </c>
      <c r="E19" s="294">
        <f t="shared" si="1"/>
        <v>0</v>
      </c>
      <c r="F19" s="293" t="e">
        <f t="shared" si="2"/>
        <v>#DIV/0!</v>
      </c>
      <c r="G19" s="276"/>
      <c r="H19" s="154"/>
      <c r="I19" s="285" t="e">
        <f t="shared" si="3"/>
        <v>#DIV/0!</v>
      </c>
      <c r="J19" s="286">
        <f>G19-H19</f>
        <v>0</v>
      </c>
      <c r="K19" s="287" t="e">
        <f>J19/G19</f>
        <v>#DIV/0!</v>
      </c>
      <c r="L19" s="5"/>
      <c r="M19" s="2"/>
      <c r="N19" s="288" t="e">
        <f t="shared" si="6"/>
        <v>#DIV/0!</v>
      </c>
      <c r="O19" s="289">
        <f t="shared" si="7"/>
        <v>0</v>
      </c>
      <c r="P19" s="290" t="e">
        <f t="shared" si="8"/>
        <v>#DIV/0!</v>
      </c>
    </row>
    <row r="20" spans="1:16">
      <c r="A20" s="157"/>
      <c r="B20" s="161"/>
      <c r="C20" s="2">
        <v>0</v>
      </c>
      <c r="D20" s="291" t="e">
        <f t="shared" si="0"/>
        <v>#DIV/0!</v>
      </c>
      <c r="E20" s="294">
        <f t="shared" si="1"/>
        <v>0</v>
      </c>
      <c r="F20" s="293" t="e">
        <f t="shared" si="2"/>
        <v>#DIV/0!</v>
      </c>
      <c r="G20" s="276"/>
      <c r="H20" s="154"/>
      <c r="I20" s="285" t="e">
        <f t="shared" si="3"/>
        <v>#DIV/0!</v>
      </c>
      <c r="J20" s="286">
        <f t="shared" si="4"/>
        <v>0</v>
      </c>
      <c r="K20" s="287" t="e">
        <f t="shared" si="5"/>
        <v>#DIV/0!</v>
      </c>
      <c r="L20" s="5"/>
      <c r="M20" s="2"/>
      <c r="N20" s="288" t="e">
        <f t="shared" si="6"/>
        <v>#DIV/0!</v>
      </c>
      <c r="O20" s="289">
        <f t="shared" si="7"/>
        <v>0</v>
      </c>
      <c r="P20" s="290" t="e">
        <f t="shared" si="8"/>
        <v>#DIV/0!</v>
      </c>
    </row>
    <row r="21" spans="1:16">
      <c r="A21" s="157"/>
      <c r="B21" s="161"/>
      <c r="C21" s="2">
        <v>0</v>
      </c>
      <c r="D21" s="291" t="e">
        <f t="shared" si="0"/>
        <v>#DIV/0!</v>
      </c>
      <c r="E21" s="294">
        <f t="shared" si="1"/>
        <v>0</v>
      </c>
      <c r="F21" s="293" t="e">
        <f t="shared" si="2"/>
        <v>#DIV/0!</v>
      </c>
      <c r="G21" s="276"/>
      <c r="H21" s="154"/>
      <c r="I21" s="285" t="e">
        <f t="shared" si="3"/>
        <v>#DIV/0!</v>
      </c>
      <c r="J21" s="286">
        <f t="shared" si="4"/>
        <v>0</v>
      </c>
      <c r="K21" s="287" t="e">
        <f t="shared" si="5"/>
        <v>#DIV/0!</v>
      </c>
      <c r="L21" s="5"/>
      <c r="M21" s="2"/>
      <c r="N21" s="288" t="e">
        <f t="shared" si="6"/>
        <v>#DIV/0!</v>
      </c>
      <c r="O21" s="289">
        <f t="shared" si="7"/>
        <v>0</v>
      </c>
      <c r="P21" s="290" t="e">
        <f t="shared" si="8"/>
        <v>#DIV/0!</v>
      </c>
    </row>
    <row r="22" spans="1:16">
      <c r="A22" s="157"/>
      <c r="B22" s="161"/>
      <c r="C22" s="2">
        <v>0</v>
      </c>
      <c r="D22" s="291" t="e">
        <f t="shared" si="0"/>
        <v>#DIV/0!</v>
      </c>
      <c r="E22" s="294">
        <f t="shared" si="1"/>
        <v>0</v>
      </c>
      <c r="F22" s="293" t="e">
        <f t="shared" si="2"/>
        <v>#DIV/0!</v>
      </c>
      <c r="G22" s="276"/>
      <c r="H22" s="154"/>
      <c r="I22" s="285" t="e">
        <f>H22/G22</f>
        <v>#DIV/0!</v>
      </c>
      <c r="J22" s="286">
        <f t="shared" si="4"/>
        <v>0</v>
      </c>
      <c r="K22" s="287" t="e">
        <f t="shared" si="5"/>
        <v>#DIV/0!</v>
      </c>
      <c r="L22" s="5"/>
      <c r="M22" s="2"/>
      <c r="N22" s="288" t="e">
        <f t="shared" si="6"/>
        <v>#DIV/0!</v>
      </c>
      <c r="O22" s="289">
        <f t="shared" si="7"/>
        <v>0</v>
      </c>
      <c r="P22" s="290" t="e">
        <f t="shared" si="8"/>
        <v>#DIV/0!</v>
      </c>
    </row>
    <row r="23" spans="1:16">
      <c r="A23" s="157"/>
      <c r="B23" s="161"/>
      <c r="C23" s="2">
        <v>0</v>
      </c>
      <c r="D23" s="291" t="e">
        <f t="shared" si="0"/>
        <v>#DIV/0!</v>
      </c>
      <c r="E23" s="294">
        <f t="shared" si="1"/>
        <v>0</v>
      </c>
      <c r="F23" s="293" t="e">
        <f t="shared" si="2"/>
        <v>#DIV/0!</v>
      </c>
      <c r="G23" s="276"/>
      <c r="H23" s="154"/>
      <c r="I23" s="285" t="e">
        <f t="shared" si="3"/>
        <v>#DIV/0!</v>
      </c>
      <c r="J23" s="286">
        <f t="shared" si="4"/>
        <v>0</v>
      </c>
      <c r="K23" s="287" t="e">
        <f t="shared" si="5"/>
        <v>#DIV/0!</v>
      </c>
      <c r="L23" s="5"/>
      <c r="M23" s="2"/>
      <c r="N23" s="288" t="e">
        <f t="shared" si="6"/>
        <v>#DIV/0!</v>
      </c>
      <c r="O23" s="289">
        <f t="shared" si="7"/>
        <v>0</v>
      </c>
      <c r="P23" s="290" t="e">
        <f t="shared" si="8"/>
        <v>#DIV/0!</v>
      </c>
    </row>
    <row r="24" spans="1:16">
      <c r="A24" s="157"/>
      <c r="B24" s="161"/>
      <c r="C24" s="2">
        <v>0</v>
      </c>
      <c r="D24" s="291" t="e">
        <f t="shared" si="0"/>
        <v>#DIV/0!</v>
      </c>
      <c r="E24" s="294">
        <f t="shared" si="1"/>
        <v>0</v>
      </c>
      <c r="F24" s="293" t="e">
        <f t="shared" si="2"/>
        <v>#DIV/0!</v>
      </c>
      <c r="G24" s="276"/>
      <c r="H24" s="154"/>
      <c r="I24" s="285" t="e">
        <f t="shared" si="3"/>
        <v>#DIV/0!</v>
      </c>
      <c r="J24" s="286">
        <f t="shared" si="4"/>
        <v>0</v>
      </c>
      <c r="K24" s="287" t="e">
        <f t="shared" si="5"/>
        <v>#DIV/0!</v>
      </c>
      <c r="L24" s="283"/>
      <c r="M24" s="138"/>
      <c r="N24" s="288" t="e">
        <f>M24/L24</f>
        <v>#DIV/0!</v>
      </c>
      <c r="O24" s="289">
        <f t="shared" si="7"/>
        <v>0</v>
      </c>
      <c r="P24" s="290" t="e">
        <f t="shared" si="8"/>
        <v>#DIV/0!</v>
      </c>
    </row>
    <row r="25" spans="1:16" ht="18" thickBot="1">
      <c r="A25" s="232"/>
      <c r="B25" s="162"/>
      <c r="C25" s="151">
        <v>0</v>
      </c>
      <c r="D25" s="291" t="e">
        <f t="shared" si="0"/>
        <v>#DIV/0!</v>
      </c>
      <c r="E25" s="294">
        <f t="shared" si="1"/>
        <v>0</v>
      </c>
      <c r="F25" s="293" t="e">
        <f>E25/B25</f>
        <v>#DIV/0!</v>
      </c>
      <c r="G25" s="277"/>
      <c r="H25" s="156"/>
      <c r="I25" s="285" t="e">
        <f t="shared" si="3"/>
        <v>#DIV/0!</v>
      </c>
      <c r="J25" s="286">
        <f t="shared" si="4"/>
        <v>0</v>
      </c>
      <c r="K25" s="287" t="e">
        <f t="shared" si="5"/>
        <v>#DIV/0!</v>
      </c>
      <c r="L25" s="282"/>
      <c r="M25" s="152"/>
      <c r="N25" s="288" t="e">
        <f t="shared" si="6"/>
        <v>#DIV/0!</v>
      </c>
      <c r="O25" s="289">
        <f t="shared" si="7"/>
        <v>0</v>
      </c>
      <c r="P25" s="290" t="e">
        <f t="shared" si="8"/>
        <v>#DIV/0!</v>
      </c>
    </row>
    <row r="26" spans="1:16" ht="19.5">
      <c r="A26" s="15"/>
      <c r="B26" s="33"/>
      <c r="C26" s="33"/>
      <c r="D26" s="33"/>
      <c r="E26" s="33"/>
      <c r="F26" s="33"/>
      <c r="G26" s="33"/>
      <c r="H26" s="33"/>
      <c r="I26" s="33"/>
      <c r="J26" s="33"/>
      <c r="K26" s="33"/>
      <c r="L26" s="33"/>
      <c r="O26" s="32"/>
      <c r="P26" s="31"/>
    </row>
    <row r="27" spans="1:16" ht="19.5">
      <c r="A27" s="15"/>
      <c r="B27" s="33"/>
      <c r="C27" s="33"/>
      <c r="D27" s="33"/>
      <c r="E27" s="33"/>
      <c r="F27" s="281"/>
      <c r="G27" s="33"/>
      <c r="H27" s="33"/>
      <c r="I27" s="33"/>
      <c r="J27" s="33"/>
      <c r="K27" s="33"/>
      <c r="L27" s="33"/>
      <c r="O27" s="32"/>
      <c r="P27" s="32"/>
    </row>
    <row r="28" spans="1:16" ht="19.5">
      <c r="A28" s="15"/>
      <c r="B28" s="33"/>
      <c r="C28" s="33"/>
      <c r="D28" s="33"/>
      <c r="E28" s="33"/>
      <c r="F28" s="33"/>
      <c r="G28" s="33"/>
      <c r="H28" s="33"/>
      <c r="I28" s="33"/>
      <c r="J28" s="33"/>
      <c r="K28" s="33"/>
      <c r="L28" s="33"/>
      <c r="O28" s="32"/>
      <c r="P28" s="32"/>
    </row>
    <row r="29" spans="1:16">
      <c r="A29" s="15"/>
      <c r="B29" s="33"/>
      <c r="C29" s="33"/>
      <c r="D29" s="33"/>
      <c r="E29" s="33"/>
      <c r="F29" s="33"/>
      <c r="G29" s="33"/>
      <c r="H29" s="33"/>
      <c r="I29" s="33"/>
      <c r="J29" s="33"/>
      <c r="K29" s="33"/>
      <c r="L29" s="33"/>
      <c r="M29" s="33"/>
      <c r="N29" s="33"/>
      <c r="O29" s="33"/>
      <c r="P29" s="33"/>
    </row>
    <row r="30" spans="1:16" ht="19.5">
      <c r="A30" s="21" t="s">
        <v>81</v>
      </c>
      <c r="B30" s="29"/>
      <c r="C30" s="29"/>
      <c r="D30" s="29"/>
      <c r="E30" s="29"/>
      <c r="F30" s="29"/>
      <c r="G30" s="29"/>
      <c r="H30" s="29"/>
      <c r="I30" s="29"/>
      <c r="J30" s="29"/>
      <c r="K30" s="29"/>
      <c r="L30" s="29"/>
      <c r="M30" s="29"/>
      <c r="N30" s="29"/>
      <c r="O30" s="29"/>
    </row>
    <row r="31" spans="1:16">
      <c r="A31" s="29" t="s">
        <v>27</v>
      </c>
      <c r="B31" s="29"/>
      <c r="C31" s="29"/>
      <c r="D31" s="29"/>
      <c r="E31" s="29"/>
      <c r="F31" s="29"/>
      <c r="G31" s="29"/>
      <c r="H31" s="29"/>
      <c r="I31" s="29"/>
      <c r="J31" s="29"/>
      <c r="K31" s="29"/>
      <c r="L31" s="29"/>
      <c r="M31" s="29"/>
      <c r="N31" s="29"/>
      <c r="O31" s="29"/>
    </row>
    <row r="32" spans="1:16" ht="18" thickBot="1">
      <c r="A32" s="29"/>
      <c r="B32" s="29"/>
      <c r="C32" s="29"/>
      <c r="D32" s="29"/>
      <c r="E32" s="29"/>
      <c r="F32" s="29"/>
      <c r="G32" s="29"/>
      <c r="H32" s="29"/>
      <c r="I32" s="29"/>
      <c r="J32" s="29"/>
      <c r="K32" s="29"/>
      <c r="L32" s="29"/>
      <c r="M32" s="29"/>
      <c r="N32" s="29"/>
      <c r="O32" s="29"/>
    </row>
    <row r="33" spans="1:15">
      <c r="A33" s="29"/>
      <c r="B33" s="520" t="s">
        <v>31</v>
      </c>
      <c r="C33" s="521"/>
      <c r="D33" s="521"/>
      <c r="E33" s="522"/>
      <c r="F33" s="271"/>
      <c r="G33" s="520" t="s">
        <v>128</v>
      </c>
      <c r="H33" s="521"/>
      <c r="I33" s="521"/>
      <c r="J33" s="521"/>
      <c r="K33" s="522"/>
      <c r="L33" s="467"/>
      <c r="M33" s="467"/>
      <c r="N33" s="467"/>
      <c r="O33" s="467"/>
    </row>
    <row r="34" spans="1:15">
      <c r="A34" s="80">
        <v>16</v>
      </c>
      <c r="B34" s="158">
        <v>17</v>
      </c>
      <c r="C34" s="80">
        <v>18</v>
      </c>
      <c r="D34" s="81">
        <v>19</v>
      </c>
      <c r="E34" s="159">
        <v>20</v>
      </c>
      <c r="F34" s="165">
        <v>21</v>
      </c>
      <c r="G34" s="158">
        <v>22</v>
      </c>
      <c r="H34" s="80">
        <v>23</v>
      </c>
      <c r="I34" s="81">
        <v>24</v>
      </c>
      <c r="J34" s="80">
        <v>25</v>
      </c>
      <c r="K34" s="159">
        <v>26</v>
      </c>
      <c r="L34" s="165">
        <v>23</v>
      </c>
      <c r="M34" s="83">
        <v>24</v>
      </c>
      <c r="N34" s="83"/>
      <c r="O34" s="81">
        <v>25</v>
      </c>
    </row>
    <row r="35" spans="1:15" ht="50.25">
      <c r="A35" s="388" t="s">
        <v>184</v>
      </c>
      <c r="B35" s="160" t="s">
        <v>149</v>
      </c>
      <c r="C35" s="82" t="s">
        <v>127</v>
      </c>
      <c r="D35" s="171" t="s">
        <v>115</v>
      </c>
      <c r="E35" s="274" t="s">
        <v>187</v>
      </c>
      <c r="F35" s="280" t="s">
        <v>151</v>
      </c>
      <c r="G35" s="160" t="s">
        <v>149</v>
      </c>
      <c r="H35" s="82" t="s">
        <v>127</v>
      </c>
      <c r="I35" s="171" t="s">
        <v>115</v>
      </c>
      <c r="J35" s="274" t="s">
        <v>187</v>
      </c>
      <c r="K35" s="280" t="s">
        <v>151</v>
      </c>
      <c r="L35" s="173" t="s">
        <v>152</v>
      </c>
      <c r="M35" s="299" t="s">
        <v>116</v>
      </c>
      <c r="N35" s="171" t="s">
        <v>153</v>
      </c>
      <c r="O35" s="303" t="s">
        <v>117</v>
      </c>
    </row>
    <row r="36" spans="1:15">
      <c r="A36" s="157"/>
      <c r="B36" s="163"/>
      <c r="C36" s="172"/>
      <c r="D36" s="285" t="e">
        <f>C36/B36</f>
        <v>#DIV/0!</v>
      </c>
      <c r="E36" s="295">
        <f>B36-C36</f>
        <v>0</v>
      </c>
      <c r="F36" s="296" t="e">
        <f>E36/B36</f>
        <v>#DIV/0!</v>
      </c>
      <c r="G36" s="169"/>
      <c r="H36" s="170"/>
      <c r="I36" s="285" t="e">
        <f>H36/G36</f>
        <v>#DIV/0!</v>
      </c>
      <c r="J36" s="297">
        <f>G36-H36</f>
        <v>0</v>
      </c>
      <c r="K36" s="298" t="e">
        <f>J36/G36</f>
        <v>#DIV/0!</v>
      </c>
      <c r="L36" s="300"/>
      <c r="M36" s="301"/>
      <c r="N36" s="301">
        <f>L36-M36</f>
        <v>0</v>
      </c>
      <c r="O36" s="301">
        <f>M36*12</f>
        <v>0</v>
      </c>
    </row>
    <row r="37" spans="1:15">
      <c r="A37" s="157"/>
      <c r="B37" s="163"/>
      <c r="C37" s="2"/>
      <c r="D37" s="285" t="e">
        <f t="shared" ref="D37:D52" si="9">C37/B37</f>
        <v>#DIV/0!</v>
      </c>
      <c r="E37" s="295">
        <f t="shared" ref="E37:E52" si="10">B37-C37</f>
        <v>0</v>
      </c>
      <c r="F37" s="296" t="e">
        <f t="shared" ref="F37:F52" si="11">E37/B37</f>
        <v>#DIV/0!</v>
      </c>
      <c r="G37" s="166">
        <v>0</v>
      </c>
      <c r="H37" s="154">
        <v>0</v>
      </c>
      <c r="I37" s="285" t="e">
        <f t="shared" ref="I37:I52" si="12">H37/G37</f>
        <v>#DIV/0!</v>
      </c>
      <c r="J37" s="297">
        <f t="shared" ref="J37:J52" si="13">G37-H37</f>
        <v>0</v>
      </c>
      <c r="K37" s="298" t="e">
        <f t="shared" ref="K37:K52" si="14">J37/G37</f>
        <v>#DIV/0!</v>
      </c>
      <c r="L37" s="300"/>
      <c r="M37" s="301"/>
      <c r="N37" s="301">
        <f t="shared" ref="N37:N52" si="15">L37-M37</f>
        <v>0</v>
      </c>
      <c r="O37" s="301">
        <f t="shared" ref="O37:O52" si="16">M37*12</f>
        <v>0</v>
      </c>
    </row>
    <row r="38" spans="1:15">
      <c r="A38" s="157"/>
      <c r="B38" s="163"/>
      <c r="C38" s="2"/>
      <c r="D38" s="285" t="e">
        <f t="shared" si="9"/>
        <v>#DIV/0!</v>
      </c>
      <c r="E38" s="295">
        <f t="shared" si="10"/>
        <v>0</v>
      </c>
      <c r="F38" s="296" t="e">
        <f t="shared" si="11"/>
        <v>#DIV/0!</v>
      </c>
      <c r="G38" s="166">
        <v>0</v>
      </c>
      <c r="H38" s="154"/>
      <c r="I38" s="285" t="e">
        <f t="shared" si="12"/>
        <v>#DIV/0!</v>
      </c>
      <c r="J38" s="297">
        <f t="shared" si="13"/>
        <v>0</v>
      </c>
      <c r="K38" s="298" t="e">
        <f t="shared" si="14"/>
        <v>#DIV/0!</v>
      </c>
      <c r="L38" s="300">
        <f t="shared" ref="L38:L52" si="17">G38+B38+L9+G9+B9</f>
        <v>0</v>
      </c>
      <c r="M38" s="301">
        <f t="shared" ref="M38:M52" si="18">H38+C38+C9+H9+M9</f>
        <v>0</v>
      </c>
      <c r="N38" s="301">
        <f t="shared" si="15"/>
        <v>0</v>
      </c>
      <c r="O38" s="301">
        <f t="shared" si="16"/>
        <v>0</v>
      </c>
    </row>
    <row r="39" spans="1:15">
      <c r="A39" s="157"/>
      <c r="B39" s="163"/>
      <c r="C39" s="2"/>
      <c r="D39" s="285" t="e">
        <f t="shared" si="9"/>
        <v>#DIV/0!</v>
      </c>
      <c r="E39" s="295">
        <f t="shared" si="10"/>
        <v>0</v>
      </c>
      <c r="F39" s="296" t="e">
        <f t="shared" si="11"/>
        <v>#DIV/0!</v>
      </c>
      <c r="G39" s="166">
        <v>0</v>
      </c>
      <c r="H39" s="154"/>
      <c r="I39" s="285" t="e">
        <f t="shared" si="12"/>
        <v>#DIV/0!</v>
      </c>
      <c r="J39" s="297">
        <f t="shared" si="13"/>
        <v>0</v>
      </c>
      <c r="K39" s="298" t="e">
        <f t="shared" si="14"/>
        <v>#DIV/0!</v>
      </c>
      <c r="L39" s="300">
        <f t="shared" si="17"/>
        <v>0</v>
      </c>
      <c r="M39" s="301">
        <f t="shared" si="18"/>
        <v>0</v>
      </c>
      <c r="N39" s="301">
        <f t="shared" si="15"/>
        <v>0</v>
      </c>
      <c r="O39" s="301">
        <f t="shared" si="16"/>
        <v>0</v>
      </c>
    </row>
    <row r="40" spans="1:15">
      <c r="A40" s="157"/>
      <c r="B40" s="163"/>
      <c r="C40" s="2"/>
      <c r="D40" s="285" t="e">
        <f t="shared" si="9"/>
        <v>#DIV/0!</v>
      </c>
      <c r="E40" s="295">
        <f t="shared" si="10"/>
        <v>0</v>
      </c>
      <c r="F40" s="296" t="e">
        <f t="shared" si="11"/>
        <v>#DIV/0!</v>
      </c>
      <c r="G40" s="166">
        <v>0</v>
      </c>
      <c r="H40" s="154"/>
      <c r="I40" s="285" t="e">
        <f t="shared" si="12"/>
        <v>#DIV/0!</v>
      </c>
      <c r="J40" s="297">
        <f t="shared" si="13"/>
        <v>0</v>
      </c>
      <c r="K40" s="298" t="e">
        <f t="shared" si="14"/>
        <v>#DIV/0!</v>
      </c>
      <c r="L40" s="300">
        <f t="shared" si="17"/>
        <v>0</v>
      </c>
      <c r="M40" s="301">
        <f t="shared" si="18"/>
        <v>0</v>
      </c>
      <c r="N40" s="301">
        <f t="shared" si="15"/>
        <v>0</v>
      </c>
      <c r="O40" s="301">
        <f t="shared" si="16"/>
        <v>0</v>
      </c>
    </row>
    <row r="41" spans="1:15">
      <c r="A41" s="157"/>
      <c r="B41" s="163"/>
      <c r="C41" s="2"/>
      <c r="D41" s="285" t="e">
        <f t="shared" si="9"/>
        <v>#DIV/0!</v>
      </c>
      <c r="E41" s="295">
        <f t="shared" si="10"/>
        <v>0</v>
      </c>
      <c r="F41" s="296" t="e">
        <f t="shared" si="11"/>
        <v>#DIV/0!</v>
      </c>
      <c r="G41" s="166">
        <v>0</v>
      </c>
      <c r="H41" s="154"/>
      <c r="I41" s="285" t="e">
        <f t="shared" si="12"/>
        <v>#DIV/0!</v>
      </c>
      <c r="J41" s="297">
        <f t="shared" si="13"/>
        <v>0</v>
      </c>
      <c r="K41" s="298" t="e">
        <f t="shared" si="14"/>
        <v>#DIV/0!</v>
      </c>
      <c r="L41" s="300">
        <f t="shared" si="17"/>
        <v>0</v>
      </c>
      <c r="M41" s="301">
        <f t="shared" si="18"/>
        <v>0</v>
      </c>
      <c r="N41" s="301">
        <f t="shared" si="15"/>
        <v>0</v>
      </c>
      <c r="O41" s="301">
        <f t="shared" si="16"/>
        <v>0</v>
      </c>
    </row>
    <row r="42" spans="1:15">
      <c r="A42" s="157"/>
      <c r="B42" s="163"/>
      <c r="C42" s="2"/>
      <c r="D42" s="285" t="e">
        <f t="shared" si="9"/>
        <v>#DIV/0!</v>
      </c>
      <c r="E42" s="295">
        <f t="shared" si="10"/>
        <v>0</v>
      </c>
      <c r="F42" s="296" t="e">
        <f t="shared" si="11"/>
        <v>#DIV/0!</v>
      </c>
      <c r="G42" s="166">
        <v>0</v>
      </c>
      <c r="H42" s="154"/>
      <c r="I42" s="285" t="e">
        <f t="shared" si="12"/>
        <v>#DIV/0!</v>
      </c>
      <c r="J42" s="297">
        <f t="shared" si="13"/>
        <v>0</v>
      </c>
      <c r="K42" s="298" t="e">
        <f t="shared" si="14"/>
        <v>#DIV/0!</v>
      </c>
      <c r="L42" s="300">
        <f t="shared" si="17"/>
        <v>0</v>
      </c>
      <c r="M42" s="301">
        <f t="shared" si="18"/>
        <v>0</v>
      </c>
      <c r="N42" s="301">
        <f t="shared" si="15"/>
        <v>0</v>
      </c>
      <c r="O42" s="301">
        <f t="shared" si="16"/>
        <v>0</v>
      </c>
    </row>
    <row r="43" spans="1:15">
      <c r="A43" s="157"/>
      <c r="B43" s="163"/>
      <c r="C43" s="2"/>
      <c r="D43" s="285" t="e">
        <f t="shared" si="9"/>
        <v>#DIV/0!</v>
      </c>
      <c r="E43" s="295">
        <f t="shared" si="10"/>
        <v>0</v>
      </c>
      <c r="F43" s="296" t="e">
        <f t="shared" si="11"/>
        <v>#DIV/0!</v>
      </c>
      <c r="G43" s="166">
        <v>0</v>
      </c>
      <c r="H43" s="154"/>
      <c r="I43" s="285" t="e">
        <f t="shared" si="12"/>
        <v>#DIV/0!</v>
      </c>
      <c r="J43" s="297">
        <f t="shared" si="13"/>
        <v>0</v>
      </c>
      <c r="K43" s="298" t="e">
        <f t="shared" si="14"/>
        <v>#DIV/0!</v>
      </c>
      <c r="L43" s="300">
        <f t="shared" si="17"/>
        <v>0</v>
      </c>
      <c r="M43" s="301">
        <f t="shared" si="18"/>
        <v>0</v>
      </c>
      <c r="N43" s="301">
        <f t="shared" si="15"/>
        <v>0</v>
      </c>
      <c r="O43" s="301">
        <f t="shared" si="16"/>
        <v>0</v>
      </c>
    </row>
    <row r="44" spans="1:15">
      <c r="A44" s="157"/>
      <c r="B44" s="163"/>
      <c r="C44" s="2"/>
      <c r="D44" s="285" t="e">
        <f t="shared" si="9"/>
        <v>#DIV/0!</v>
      </c>
      <c r="E44" s="295">
        <f t="shared" si="10"/>
        <v>0</v>
      </c>
      <c r="F44" s="296" t="e">
        <f t="shared" si="11"/>
        <v>#DIV/0!</v>
      </c>
      <c r="G44" s="166">
        <v>0</v>
      </c>
      <c r="H44" s="154"/>
      <c r="I44" s="285" t="e">
        <f t="shared" si="12"/>
        <v>#DIV/0!</v>
      </c>
      <c r="J44" s="297">
        <f t="shared" si="13"/>
        <v>0</v>
      </c>
      <c r="K44" s="298" t="e">
        <f t="shared" si="14"/>
        <v>#DIV/0!</v>
      </c>
      <c r="L44" s="300">
        <f t="shared" si="17"/>
        <v>0</v>
      </c>
      <c r="M44" s="301">
        <f t="shared" si="18"/>
        <v>0</v>
      </c>
      <c r="N44" s="301">
        <f t="shared" si="15"/>
        <v>0</v>
      </c>
      <c r="O44" s="301">
        <f t="shared" si="16"/>
        <v>0</v>
      </c>
    </row>
    <row r="45" spans="1:15">
      <c r="A45" s="157"/>
      <c r="B45" s="163"/>
      <c r="C45" s="2"/>
      <c r="D45" s="285" t="e">
        <f t="shared" si="9"/>
        <v>#DIV/0!</v>
      </c>
      <c r="E45" s="295">
        <f t="shared" si="10"/>
        <v>0</v>
      </c>
      <c r="F45" s="296" t="e">
        <f t="shared" si="11"/>
        <v>#DIV/0!</v>
      </c>
      <c r="G45" s="166">
        <v>0</v>
      </c>
      <c r="H45" s="154"/>
      <c r="I45" s="285" t="e">
        <f t="shared" si="12"/>
        <v>#DIV/0!</v>
      </c>
      <c r="J45" s="297">
        <f t="shared" si="13"/>
        <v>0</v>
      </c>
      <c r="K45" s="298" t="e">
        <f t="shared" si="14"/>
        <v>#DIV/0!</v>
      </c>
      <c r="L45" s="300">
        <f t="shared" si="17"/>
        <v>0</v>
      </c>
      <c r="M45" s="301">
        <f t="shared" si="18"/>
        <v>0</v>
      </c>
      <c r="N45" s="301">
        <f t="shared" si="15"/>
        <v>0</v>
      </c>
      <c r="O45" s="301">
        <f t="shared" si="16"/>
        <v>0</v>
      </c>
    </row>
    <row r="46" spans="1:15">
      <c r="A46" s="157"/>
      <c r="B46" s="163"/>
      <c r="C46" s="2"/>
      <c r="D46" s="285" t="e">
        <f t="shared" si="9"/>
        <v>#DIV/0!</v>
      </c>
      <c r="E46" s="295">
        <f t="shared" si="10"/>
        <v>0</v>
      </c>
      <c r="F46" s="296" t="e">
        <f t="shared" si="11"/>
        <v>#DIV/0!</v>
      </c>
      <c r="G46" s="166">
        <v>0</v>
      </c>
      <c r="H46" s="154"/>
      <c r="I46" s="285" t="e">
        <f t="shared" si="12"/>
        <v>#DIV/0!</v>
      </c>
      <c r="J46" s="297">
        <f t="shared" si="13"/>
        <v>0</v>
      </c>
      <c r="K46" s="298" t="e">
        <f t="shared" si="14"/>
        <v>#DIV/0!</v>
      </c>
      <c r="L46" s="300">
        <f t="shared" si="17"/>
        <v>0</v>
      </c>
      <c r="M46" s="301">
        <f t="shared" si="18"/>
        <v>0</v>
      </c>
      <c r="N46" s="301">
        <f>L46-M46</f>
        <v>0</v>
      </c>
      <c r="O46" s="301">
        <f t="shared" si="16"/>
        <v>0</v>
      </c>
    </row>
    <row r="47" spans="1:15">
      <c r="A47" s="157"/>
      <c r="B47" s="163"/>
      <c r="C47" s="2"/>
      <c r="D47" s="285" t="e">
        <f t="shared" si="9"/>
        <v>#DIV/0!</v>
      </c>
      <c r="E47" s="295">
        <f t="shared" si="10"/>
        <v>0</v>
      </c>
      <c r="F47" s="296" t="e">
        <f t="shared" si="11"/>
        <v>#DIV/0!</v>
      </c>
      <c r="G47" s="166">
        <v>0</v>
      </c>
      <c r="H47" s="154"/>
      <c r="I47" s="285" t="e">
        <f t="shared" si="12"/>
        <v>#DIV/0!</v>
      </c>
      <c r="J47" s="297">
        <f t="shared" si="13"/>
        <v>0</v>
      </c>
      <c r="K47" s="298" t="e">
        <f t="shared" si="14"/>
        <v>#DIV/0!</v>
      </c>
      <c r="L47" s="300">
        <f t="shared" si="17"/>
        <v>0</v>
      </c>
      <c r="M47" s="301">
        <f t="shared" si="18"/>
        <v>0</v>
      </c>
      <c r="N47" s="301">
        <f t="shared" si="15"/>
        <v>0</v>
      </c>
      <c r="O47" s="301">
        <f t="shared" si="16"/>
        <v>0</v>
      </c>
    </row>
    <row r="48" spans="1:15">
      <c r="A48" s="157"/>
      <c r="B48" s="163"/>
      <c r="C48" s="2"/>
      <c r="D48" s="285" t="e">
        <f t="shared" si="9"/>
        <v>#DIV/0!</v>
      </c>
      <c r="E48" s="295">
        <f t="shared" si="10"/>
        <v>0</v>
      </c>
      <c r="F48" s="296" t="e">
        <f t="shared" si="11"/>
        <v>#DIV/0!</v>
      </c>
      <c r="G48" s="166">
        <v>0</v>
      </c>
      <c r="H48" s="154"/>
      <c r="I48" s="285" t="e">
        <f t="shared" si="12"/>
        <v>#DIV/0!</v>
      </c>
      <c r="J48" s="297">
        <f t="shared" si="13"/>
        <v>0</v>
      </c>
      <c r="K48" s="298" t="e">
        <f t="shared" si="14"/>
        <v>#DIV/0!</v>
      </c>
      <c r="L48" s="300">
        <f t="shared" si="17"/>
        <v>0</v>
      </c>
      <c r="M48" s="301">
        <f t="shared" si="18"/>
        <v>0</v>
      </c>
      <c r="N48" s="301">
        <f t="shared" si="15"/>
        <v>0</v>
      </c>
      <c r="O48" s="301">
        <f t="shared" si="16"/>
        <v>0</v>
      </c>
    </row>
    <row r="49" spans="1:15">
      <c r="A49" s="157"/>
      <c r="B49" s="163"/>
      <c r="C49" s="2"/>
      <c r="D49" s="285" t="e">
        <f t="shared" si="9"/>
        <v>#DIV/0!</v>
      </c>
      <c r="E49" s="295">
        <f t="shared" si="10"/>
        <v>0</v>
      </c>
      <c r="F49" s="296" t="e">
        <f t="shared" si="11"/>
        <v>#DIV/0!</v>
      </c>
      <c r="G49" s="166">
        <v>0</v>
      </c>
      <c r="H49" s="154"/>
      <c r="I49" s="285" t="e">
        <f t="shared" si="12"/>
        <v>#DIV/0!</v>
      </c>
      <c r="J49" s="297">
        <f t="shared" si="13"/>
        <v>0</v>
      </c>
      <c r="K49" s="298" t="e">
        <f t="shared" si="14"/>
        <v>#DIV/0!</v>
      </c>
      <c r="L49" s="300">
        <f t="shared" si="17"/>
        <v>0</v>
      </c>
      <c r="M49" s="301">
        <f t="shared" si="18"/>
        <v>0</v>
      </c>
      <c r="N49" s="301">
        <f t="shared" si="15"/>
        <v>0</v>
      </c>
      <c r="O49" s="301">
        <f t="shared" si="16"/>
        <v>0</v>
      </c>
    </row>
    <row r="50" spans="1:15">
      <c r="A50" s="157"/>
      <c r="B50" s="163"/>
      <c r="C50" s="2"/>
      <c r="D50" s="285" t="e">
        <f t="shared" si="9"/>
        <v>#DIV/0!</v>
      </c>
      <c r="E50" s="295">
        <f t="shared" si="10"/>
        <v>0</v>
      </c>
      <c r="F50" s="296" t="e">
        <f t="shared" si="11"/>
        <v>#DIV/0!</v>
      </c>
      <c r="G50" s="166">
        <v>0</v>
      </c>
      <c r="H50" s="154"/>
      <c r="I50" s="285" t="e">
        <f t="shared" si="12"/>
        <v>#DIV/0!</v>
      </c>
      <c r="J50" s="297">
        <f t="shared" si="13"/>
        <v>0</v>
      </c>
      <c r="K50" s="298" t="e">
        <f t="shared" si="14"/>
        <v>#DIV/0!</v>
      </c>
      <c r="L50" s="300">
        <f t="shared" si="17"/>
        <v>0</v>
      </c>
      <c r="M50" s="301">
        <f t="shared" si="18"/>
        <v>0</v>
      </c>
      <c r="N50" s="301">
        <f t="shared" si="15"/>
        <v>0</v>
      </c>
      <c r="O50" s="301">
        <f t="shared" si="16"/>
        <v>0</v>
      </c>
    </row>
    <row r="51" spans="1:15">
      <c r="A51" s="157"/>
      <c r="B51" s="163"/>
      <c r="C51" s="2"/>
      <c r="D51" s="285" t="e">
        <f t="shared" si="9"/>
        <v>#DIV/0!</v>
      </c>
      <c r="E51" s="295">
        <f t="shared" si="10"/>
        <v>0</v>
      </c>
      <c r="F51" s="296" t="e">
        <f t="shared" si="11"/>
        <v>#DIV/0!</v>
      </c>
      <c r="G51" s="166">
        <v>0</v>
      </c>
      <c r="H51" s="154"/>
      <c r="I51" s="285" t="e">
        <f t="shared" si="12"/>
        <v>#DIV/0!</v>
      </c>
      <c r="J51" s="297">
        <f t="shared" si="13"/>
        <v>0</v>
      </c>
      <c r="K51" s="298" t="e">
        <f t="shared" si="14"/>
        <v>#DIV/0!</v>
      </c>
      <c r="L51" s="300">
        <f t="shared" si="17"/>
        <v>0</v>
      </c>
      <c r="M51" s="301">
        <f t="shared" si="18"/>
        <v>0</v>
      </c>
      <c r="N51" s="301">
        <f t="shared" si="15"/>
        <v>0</v>
      </c>
      <c r="O51" s="301">
        <f t="shared" si="16"/>
        <v>0</v>
      </c>
    </row>
    <row r="52" spans="1:15" ht="18" thickBot="1">
      <c r="A52" s="164"/>
      <c r="B52" s="254"/>
      <c r="C52" s="151"/>
      <c r="D52" s="285" t="e">
        <f t="shared" si="9"/>
        <v>#DIV/0!</v>
      </c>
      <c r="E52" s="295">
        <f t="shared" si="10"/>
        <v>0</v>
      </c>
      <c r="F52" s="296" t="e">
        <f t="shared" si="11"/>
        <v>#DIV/0!</v>
      </c>
      <c r="G52" s="167">
        <v>0</v>
      </c>
      <c r="H52" s="168"/>
      <c r="I52" s="285" t="e">
        <f t="shared" si="12"/>
        <v>#DIV/0!</v>
      </c>
      <c r="J52" s="297">
        <f t="shared" si="13"/>
        <v>0</v>
      </c>
      <c r="K52" s="298" t="e">
        <f t="shared" si="14"/>
        <v>#DIV/0!</v>
      </c>
      <c r="L52" s="300">
        <f t="shared" si="17"/>
        <v>0</v>
      </c>
      <c r="M52" s="301">
        <f t="shared" si="18"/>
        <v>0</v>
      </c>
      <c r="N52" s="301">
        <f t="shared" si="15"/>
        <v>0</v>
      </c>
      <c r="O52" s="301">
        <f t="shared" si="16"/>
        <v>0</v>
      </c>
    </row>
    <row r="53" spans="1:15" ht="20.25" thickBot="1">
      <c r="A53" s="15"/>
      <c r="B53" s="155"/>
      <c r="C53" s="155"/>
      <c r="D53" s="155"/>
      <c r="E53" s="155"/>
      <c r="F53" s="155"/>
      <c r="G53" s="30"/>
      <c r="H53" s="30"/>
      <c r="I53" s="30"/>
      <c r="J53" s="30"/>
      <c r="K53" s="34" t="s">
        <v>154</v>
      </c>
      <c r="L53" s="302">
        <f>SUM(L36:L52)</f>
        <v>0</v>
      </c>
      <c r="M53" s="302">
        <f>SUM(M36:M52)</f>
        <v>0</v>
      </c>
      <c r="N53" s="302">
        <f>SUM(N36:N52)</f>
        <v>0</v>
      </c>
      <c r="O53" s="304">
        <f>SUM(O36:O52)</f>
        <v>0</v>
      </c>
    </row>
    <row r="54" spans="1:15" ht="19.5">
      <c r="A54" s="32"/>
      <c r="B54" s="32"/>
    </row>
  </sheetData>
  <phoneticPr fontId="22" type="noConversion"/>
  <pageMargins left="0.7" right="0.7" top="0.75" bottom="0.75" header="0.3" footer="0.3"/>
  <pageSetup scale="78" orientation="landscape" r:id="rId1"/>
  <rowBreaks count="1" manualBreakCount="1">
    <brk id="2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24"/>
  <sheetViews>
    <sheetView zoomScaleNormal="100" workbookViewId="0"/>
  </sheetViews>
  <sheetFormatPr defaultRowHeight="17.25"/>
  <cols>
    <col min="1" max="1" width="25.125" customWidth="1"/>
    <col min="2" max="2" width="14.125" customWidth="1"/>
    <col min="3" max="4" width="12.125" customWidth="1"/>
    <col min="6" max="6" width="11" customWidth="1"/>
    <col min="7" max="7" width="11.625" customWidth="1"/>
    <col min="8" max="11" width="9" hidden="1" customWidth="1"/>
  </cols>
  <sheetData>
    <row r="1" spans="1:7" ht="19.5">
      <c r="A1" s="59" t="s">
        <v>225</v>
      </c>
      <c r="B1" s="55"/>
      <c r="C1" s="55"/>
      <c r="D1" s="55"/>
      <c r="E1" s="55"/>
      <c r="F1" s="55"/>
      <c r="G1" s="174"/>
    </row>
    <row r="2" spans="1:7" ht="15.75" customHeight="1">
      <c r="A2" s="525" t="s">
        <v>85</v>
      </c>
      <c r="B2" s="525"/>
      <c r="C2" s="525"/>
      <c r="D2" s="525"/>
      <c r="E2" s="525"/>
      <c r="F2" s="525"/>
      <c r="G2" s="525"/>
    </row>
    <row r="3" spans="1:7" ht="15.75" customHeight="1">
      <c r="A3" s="525" t="s">
        <v>86</v>
      </c>
      <c r="B3" s="525"/>
      <c r="C3" s="525"/>
      <c r="D3" s="525"/>
      <c r="E3" s="525"/>
      <c r="F3" s="525"/>
      <c r="G3" s="525"/>
    </row>
    <row r="4" spans="1:7" ht="18" thickBot="1">
      <c r="A4" s="174"/>
      <c r="B4" s="174"/>
      <c r="C4" s="174"/>
      <c r="D4" s="174"/>
      <c r="E4" s="174"/>
      <c r="F4" s="185"/>
      <c r="G4" s="174"/>
    </row>
    <row r="5" spans="1:7" s="387" customFormat="1" ht="55.5" customHeight="1">
      <c r="A5" s="472" t="s">
        <v>142</v>
      </c>
      <c r="B5" s="389" t="s">
        <v>155</v>
      </c>
      <c r="C5" s="389" t="s">
        <v>192</v>
      </c>
      <c r="D5" s="389" t="s">
        <v>83</v>
      </c>
      <c r="E5" s="390" t="s">
        <v>193</v>
      </c>
      <c r="F5" s="391" t="s">
        <v>33</v>
      </c>
      <c r="G5" s="392" t="s">
        <v>36</v>
      </c>
    </row>
    <row r="6" spans="1:7" s="177" customFormat="1">
      <c r="A6" s="470"/>
      <c r="B6" s="186"/>
      <c r="C6" s="176"/>
      <c r="D6" s="184">
        <v>0</v>
      </c>
      <c r="E6" s="305">
        <f t="shared" ref="E6:E22" si="0">D6*C6</f>
        <v>0</v>
      </c>
      <c r="F6" s="241"/>
      <c r="G6" s="306">
        <f t="shared" ref="G6:G17" si="1">E6*F6</f>
        <v>0</v>
      </c>
    </row>
    <row r="7" spans="1:7" s="177" customFormat="1">
      <c r="A7" s="470"/>
      <c r="B7" s="186"/>
      <c r="C7" s="176"/>
      <c r="D7" s="184">
        <v>0</v>
      </c>
      <c r="E7" s="305">
        <f t="shared" si="0"/>
        <v>0</v>
      </c>
      <c r="F7" s="241"/>
      <c r="G7" s="306">
        <f t="shared" si="1"/>
        <v>0</v>
      </c>
    </row>
    <row r="8" spans="1:7" s="177" customFormat="1">
      <c r="A8" s="470"/>
      <c r="B8" s="186"/>
      <c r="C8" s="176"/>
      <c r="D8" s="184">
        <v>0</v>
      </c>
      <c r="E8" s="305">
        <f t="shared" si="0"/>
        <v>0</v>
      </c>
      <c r="F8" s="183"/>
      <c r="G8" s="306">
        <f t="shared" si="1"/>
        <v>0</v>
      </c>
    </row>
    <row r="9" spans="1:7" s="177" customFormat="1">
      <c r="A9" s="470"/>
      <c r="B9" s="186"/>
      <c r="C9" s="176"/>
      <c r="D9" s="184">
        <v>0</v>
      </c>
      <c r="E9" s="305">
        <f t="shared" si="0"/>
        <v>0</v>
      </c>
      <c r="F9" s="183"/>
      <c r="G9" s="306">
        <f t="shared" si="1"/>
        <v>0</v>
      </c>
    </row>
    <row r="10" spans="1:7" s="177" customFormat="1">
      <c r="A10" s="470"/>
      <c r="B10" s="186"/>
      <c r="C10" s="176"/>
      <c r="D10" s="184">
        <v>0</v>
      </c>
      <c r="E10" s="305">
        <f t="shared" si="0"/>
        <v>0</v>
      </c>
      <c r="F10" s="183"/>
      <c r="G10" s="306">
        <f t="shared" si="1"/>
        <v>0</v>
      </c>
    </row>
    <row r="11" spans="1:7" s="177" customFormat="1">
      <c r="A11" s="470"/>
      <c r="B11" s="186"/>
      <c r="C11" s="176"/>
      <c r="D11" s="184">
        <v>0</v>
      </c>
      <c r="E11" s="305">
        <f t="shared" si="0"/>
        <v>0</v>
      </c>
      <c r="F11" s="183"/>
      <c r="G11" s="306">
        <f t="shared" si="1"/>
        <v>0</v>
      </c>
    </row>
    <row r="12" spans="1:7" s="177" customFormat="1">
      <c r="A12" s="470"/>
      <c r="B12" s="186"/>
      <c r="C12" s="176"/>
      <c r="D12" s="184">
        <v>0</v>
      </c>
      <c r="E12" s="305">
        <f t="shared" si="0"/>
        <v>0</v>
      </c>
      <c r="F12" s="183"/>
      <c r="G12" s="306">
        <f t="shared" si="1"/>
        <v>0</v>
      </c>
    </row>
    <row r="13" spans="1:7" s="177" customFormat="1">
      <c r="A13" s="470"/>
      <c r="B13" s="186"/>
      <c r="C13" s="176"/>
      <c r="D13" s="184">
        <v>0</v>
      </c>
      <c r="E13" s="305">
        <f t="shared" si="0"/>
        <v>0</v>
      </c>
      <c r="F13" s="183"/>
      <c r="G13" s="306">
        <f t="shared" si="1"/>
        <v>0</v>
      </c>
    </row>
    <row r="14" spans="1:7" s="177" customFormat="1">
      <c r="A14" s="470"/>
      <c r="B14" s="186"/>
      <c r="C14" s="176"/>
      <c r="D14" s="184">
        <v>0</v>
      </c>
      <c r="E14" s="305">
        <f t="shared" si="0"/>
        <v>0</v>
      </c>
      <c r="F14" s="183"/>
      <c r="G14" s="306">
        <f t="shared" si="1"/>
        <v>0</v>
      </c>
    </row>
    <row r="15" spans="1:7" s="177" customFormat="1">
      <c r="A15" s="470"/>
      <c r="B15" s="186"/>
      <c r="C15" s="176"/>
      <c r="D15" s="184">
        <v>0</v>
      </c>
      <c r="E15" s="305">
        <f t="shared" si="0"/>
        <v>0</v>
      </c>
      <c r="F15" s="183"/>
      <c r="G15" s="306">
        <f t="shared" si="1"/>
        <v>0</v>
      </c>
    </row>
    <row r="16" spans="1:7" s="177" customFormat="1">
      <c r="A16" s="470"/>
      <c r="B16" s="186"/>
      <c r="C16" s="176"/>
      <c r="D16" s="184">
        <v>0</v>
      </c>
      <c r="E16" s="305">
        <f t="shared" si="0"/>
        <v>0</v>
      </c>
      <c r="F16" s="183"/>
      <c r="G16" s="306">
        <f t="shared" si="1"/>
        <v>0</v>
      </c>
    </row>
    <row r="17" spans="1:7">
      <c r="A17" s="473"/>
      <c r="B17" s="178"/>
      <c r="C17" s="179"/>
      <c r="D17" s="184">
        <v>0</v>
      </c>
      <c r="E17" s="305">
        <f t="shared" si="0"/>
        <v>0</v>
      </c>
      <c r="F17" s="117"/>
      <c r="G17" s="306">
        <f t="shared" si="1"/>
        <v>0</v>
      </c>
    </row>
    <row r="18" spans="1:7">
      <c r="A18" s="468"/>
      <c r="B18" s="180"/>
      <c r="C18" s="181"/>
      <c r="D18" s="184">
        <v>0</v>
      </c>
      <c r="E18" s="305">
        <f t="shared" si="0"/>
        <v>0</v>
      </c>
      <c r="F18" s="118"/>
      <c r="G18" s="306">
        <v>0</v>
      </c>
    </row>
    <row r="19" spans="1:7">
      <c r="A19" s="468"/>
      <c r="B19" s="180"/>
      <c r="C19" s="181"/>
      <c r="D19" s="184">
        <v>0</v>
      </c>
      <c r="E19" s="305">
        <f t="shared" si="0"/>
        <v>0</v>
      </c>
      <c r="F19" s="118"/>
      <c r="G19" s="306">
        <v>0</v>
      </c>
    </row>
    <row r="20" spans="1:7">
      <c r="A20" s="468"/>
      <c r="B20" s="180"/>
      <c r="C20" s="181"/>
      <c r="D20" s="184">
        <v>0</v>
      </c>
      <c r="E20" s="305">
        <f t="shared" si="0"/>
        <v>0</v>
      </c>
      <c r="F20" s="118"/>
      <c r="G20" s="306">
        <v>0</v>
      </c>
    </row>
    <row r="21" spans="1:7">
      <c r="A21" s="468"/>
      <c r="B21" s="180"/>
      <c r="C21" s="181"/>
      <c r="D21" s="184">
        <v>0</v>
      </c>
      <c r="E21" s="305">
        <f t="shared" si="0"/>
        <v>0</v>
      </c>
      <c r="F21" s="118"/>
      <c r="G21" s="306">
        <v>0</v>
      </c>
    </row>
    <row r="22" spans="1:7" ht="18" thickBot="1">
      <c r="A22" s="469"/>
      <c r="B22" s="187"/>
      <c r="C22" s="182"/>
      <c r="D22" s="184">
        <v>0</v>
      </c>
      <c r="E22" s="305">
        <f t="shared" si="0"/>
        <v>0</v>
      </c>
      <c r="F22" s="135"/>
      <c r="G22" s="307">
        <v>0</v>
      </c>
    </row>
    <row r="23" spans="1:7" ht="19.5">
      <c r="A23" s="68"/>
      <c r="B23" s="37"/>
      <c r="C23" s="37"/>
      <c r="D23" s="37"/>
      <c r="E23" s="523" t="s">
        <v>129</v>
      </c>
      <c r="F23" s="524"/>
      <c r="G23" s="308">
        <f>SUM(G6:G22)</f>
        <v>0</v>
      </c>
    </row>
    <row r="24" spans="1:7" ht="18" thickBot="1">
      <c r="A24" s="18"/>
      <c r="B24" s="40"/>
      <c r="C24" s="40"/>
      <c r="D24" s="40"/>
      <c r="E24" s="40"/>
      <c r="F24" s="40"/>
      <c r="G24" s="35"/>
    </row>
  </sheetData>
  <phoneticPr fontId="22" type="noConversion"/>
  <pageMargins left="0.7" right="0.7" top="0.75" bottom="0.75" header="0.3" footer="0.3"/>
  <pageSetup scale="9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pageSetUpPr fitToPage="1"/>
  </sheetPr>
  <dimension ref="A1:H23"/>
  <sheetViews>
    <sheetView zoomScaleNormal="100" workbookViewId="0"/>
  </sheetViews>
  <sheetFormatPr defaultRowHeight="17.25"/>
  <cols>
    <col min="1" max="1" width="19.625" customWidth="1"/>
    <col min="2" max="2" width="19" customWidth="1"/>
    <col min="3" max="3" width="8.875" customWidth="1"/>
    <col min="5" max="5" width="10.375" customWidth="1"/>
    <col min="7" max="7" width="18.125" customWidth="1"/>
  </cols>
  <sheetData>
    <row r="1" spans="1:8" ht="19.5">
      <c r="A1" s="59" t="s">
        <v>226</v>
      </c>
      <c r="B1" s="57"/>
      <c r="C1" s="57"/>
      <c r="D1" s="57"/>
      <c r="E1" s="57"/>
      <c r="F1" s="57"/>
      <c r="G1" s="57"/>
      <c r="H1" s="55"/>
    </row>
    <row r="2" spans="1:8">
      <c r="A2" s="54" t="s">
        <v>87</v>
      </c>
      <c r="B2" s="57"/>
      <c r="C2" s="57"/>
      <c r="D2" s="57"/>
      <c r="E2" s="57"/>
      <c r="F2" s="57"/>
      <c r="G2" s="57"/>
      <c r="H2" s="55"/>
    </row>
    <row r="3" spans="1:8">
      <c r="A3" s="55" t="s">
        <v>90</v>
      </c>
      <c r="B3" s="57"/>
      <c r="C3" s="57"/>
      <c r="D3" s="57"/>
      <c r="E3" s="57"/>
      <c r="F3" s="57"/>
      <c r="G3" s="57"/>
      <c r="H3" s="55"/>
    </row>
    <row r="4" spans="1:8" ht="18" thickBot="1">
      <c r="A4" s="56" t="s">
        <v>89</v>
      </c>
      <c r="B4" s="40"/>
      <c r="C4" s="40"/>
      <c r="D4" s="40"/>
      <c r="E4" s="40"/>
      <c r="F4" s="40"/>
      <c r="G4" s="40"/>
      <c r="H4" s="55"/>
    </row>
    <row r="5" spans="1:8" ht="41.25" customHeight="1">
      <c r="A5" s="84" t="s">
        <v>132</v>
      </c>
      <c r="B5" s="85" t="s">
        <v>156</v>
      </c>
      <c r="C5" s="85" t="s">
        <v>157</v>
      </c>
      <c r="D5" s="84" t="s">
        <v>83</v>
      </c>
      <c r="E5" s="85" t="s">
        <v>126</v>
      </c>
      <c r="F5" s="85" t="s">
        <v>33</v>
      </c>
      <c r="G5" s="86" t="s">
        <v>36</v>
      </c>
      <c r="H5" s="55"/>
    </row>
    <row r="6" spans="1:8">
      <c r="A6" s="111"/>
      <c r="B6" s="192"/>
      <c r="C6" s="188"/>
      <c r="D6" s="112">
        <v>0</v>
      </c>
      <c r="E6" s="309">
        <f>D6*C6</f>
        <v>0</v>
      </c>
      <c r="F6" s="260">
        <v>0</v>
      </c>
      <c r="G6" s="310">
        <f>F6*E6</f>
        <v>0</v>
      </c>
      <c r="H6" s="55"/>
    </row>
    <row r="7" spans="1:8">
      <c r="A7" s="111"/>
      <c r="B7" s="242"/>
      <c r="C7" s="188"/>
      <c r="D7" s="112">
        <v>0</v>
      </c>
      <c r="E7" s="309">
        <f>D7*C7</f>
        <v>0</v>
      </c>
      <c r="F7" s="260">
        <v>0</v>
      </c>
      <c r="G7" s="310">
        <f t="shared" ref="G7:G21" si="0">F7*E7</f>
        <v>0</v>
      </c>
      <c r="H7" s="55"/>
    </row>
    <row r="8" spans="1:8">
      <c r="A8" s="111"/>
      <c r="B8" s="111"/>
      <c r="C8" s="188"/>
      <c r="D8" s="112">
        <v>0</v>
      </c>
      <c r="E8" s="309">
        <f t="shared" ref="E8:E21" si="1">D8*C8</f>
        <v>0</v>
      </c>
      <c r="F8" s="260">
        <v>0</v>
      </c>
      <c r="G8" s="310">
        <f t="shared" si="0"/>
        <v>0</v>
      </c>
      <c r="H8" s="55"/>
    </row>
    <row r="9" spans="1:8">
      <c r="A9" s="111"/>
      <c r="B9" s="111"/>
      <c r="C9" s="188"/>
      <c r="D9" s="112">
        <v>0</v>
      </c>
      <c r="E9" s="309">
        <f t="shared" si="1"/>
        <v>0</v>
      </c>
      <c r="F9" s="260">
        <v>0</v>
      </c>
      <c r="G9" s="310">
        <f t="shared" si="0"/>
        <v>0</v>
      </c>
      <c r="H9" s="55"/>
    </row>
    <row r="10" spans="1:8">
      <c r="A10" s="111"/>
      <c r="B10" s="111"/>
      <c r="C10" s="188"/>
      <c r="D10" s="112">
        <v>0</v>
      </c>
      <c r="E10" s="309">
        <f t="shared" si="1"/>
        <v>0</v>
      </c>
      <c r="F10" s="260">
        <v>0</v>
      </c>
      <c r="G10" s="310">
        <f t="shared" si="0"/>
        <v>0</v>
      </c>
      <c r="H10" s="55"/>
    </row>
    <row r="11" spans="1:8">
      <c r="A11" s="111"/>
      <c r="B11" s="111"/>
      <c r="C11" s="188"/>
      <c r="D11" s="112">
        <v>0</v>
      </c>
      <c r="E11" s="309">
        <f t="shared" si="1"/>
        <v>0</v>
      </c>
      <c r="F11" s="260">
        <v>0</v>
      </c>
      <c r="G11" s="310">
        <f t="shared" si="0"/>
        <v>0</v>
      </c>
      <c r="H11" s="55"/>
    </row>
    <row r="12" spans="1:8">
      <c r="A12" s="111"/>
      <c r="B12" s="111"/>
      <c r="C12" s="188"/>
      <c r="D12" s="112">
        <v>0</v>
      </c>
      <c r="E12" s="309">
        <f t="shared" si="1"/>
        <v>0</v>
      </c>
      <c r="F12" s="260">
        <v>0</v>
      </c>
      <c r="G12" s="310">
        <f t="shared" si="0"/>
        <v>0</v>
      </c>
      <c r="H12" s="55"/>
    </row>
    <row r="13" spans="1:8">
      <c r="A13" s="111"/>
      <c r="B13" s="111"/>
      <c r="C13" s="188"/>
      <c r="D13" s="112">
        <v>0</v>
      </c>
      <c r="E13" s="309">
        <f t="shared" si="1"/>
        <v>0</v>
      </c>
      <c r="F13" s="260">
        <v>0</v>
      </c>
      <c r="G13" s="310">
        <f t="shared" si="0"/>
        <v>0</v>
      </c>
      <c r="H13" s="55"/>
    </row>
    <row r="14" spans="1:8">
      <c r="A14" s="111"/>
      <c r="B14" s="111"/>
      <c r="C14" s="188"/>
      <c r="D14" s="112">
        <v>0</v>
      </c>
      <c r="E14" s="309">
        <f t="shared" si="1"/>
        <v>0</v>
      </c>
      <c r="F14" s="260">
        <v>0</v>
      </c>
      <c r="G14" s="310">
        <f t="shared" si="0"/>
        <v>0</v>
      </c>
      <c r="H14" s="55"/>
    </row>
    <row r="15" spans="1:8">
      <c r="A15" s="111"/>
      <c r="B15" s="111"/>
      <c r="C15" s="188"/>
      <c r="D15" s="112">
        <v>0</v>
      </c>
      <c r="E15" s="309">
        <f t="shared" si="1"/>
        <v>0</v>
      </c>
      <c r="F15" s="260">
        <v>0</v>
      </c>
      <c r="G15" s="310">
        <f t="shared" si="0"/>
        <v>0</v>
      </c>
      <c r="H15" s="55"/>
    </row>
    <row r="16" spans="1:8">
      <c r="A16" s="111"/>
      <c r="B16" s="111"/>
      <c r="C16" s="188"/>
      <c r="D16" s="112">
        <v>0</v>
      </c>
      <c r="E16" s="309">
        <f t="shared" si="1"/>
        <v>0</v>
      </c>
      <c r="F16" s="260">
        <v>0</v>
      </c>
      <c r="G16" s="310">
        <f t="shared" si="0"/>
        <v>0</v>
      </c>
      <c r="H16" s="55"/>
    </row>
    <row r="17" spans="1:8">
      <c r="A17" s="111"/>
      <c r="B17" s="111"/>
      <c r="C17" s="188"/>
      <c r="D17" s="112">
        <v>0</v>
      </c>
      <c r="E17" s="309">
        <f t="shared" si="1"/>
        <v>0</v>
      </c>
      <c r="F17" s="260">
        <v>0</v>
      </c>
      <c r="G17" s="310">
        <f t="shared" si="0"/>
        <v>0</v>
      </c>
      <c r="H17" s="55"/>
    </row>
    <row r="18" spans="1:8">
      <c r="A18" s="111"/>
      <c r="B18" s="111"/>
      <c r="C18" s="188"/>
      <c r="D18" s="112">
        <v>0</v>
      </c>
      <c r="E18" s="309">
        <f t="shared" si="1"/>
        <v>0</v>
      </c>
      <c r="F18" s="260">
        <v>0</v>
      </c>
      <c r="G18" s="310">
        <f t="shared" si="0"/>
        <v>0</v>
      </c>
      <c r="H18" s="55"/>
    </row>
    <row r="19" spans="1:8">
      <c r="A19" s="111"/>
      <c r="B19" s="111"/>
      <c r="C19" s="188"/>
      <c r="D19" s="112">
        <v>0</v>
      </c>
      <c r="E19" s="309">
        <f t="shared" si="1"/>
        <v>0</v>
      </c>
      <c r="F19" s="260">
        <v>0</v>
      </c>
      <c r="G19" s="310">
        <f t="shared" si="0"/>
        <v>0</v>
      </c>
      <c r="H19" s="55"/>
    </row>
    <row r="20" spans="1:8">
      <c r="A20" s="111"/>
      <c r="B20" s="111"/>
      <c r="C20" s="188"/>
      <c r="D20" s="112">
        <v>0</v>
      </c>
      <c r="E20" s="309">
        <f t="shared" si="1"/>
        <v>0</v>
      </c>
      <c r="F20" s="260">
        <v>0</v>
      </c>
      <c r="G20" s="310">
        <f>F20*E20</f>
        <v>0</v>
      </c>
      <c r="H20" s="55"/>
    </row>
    <row r="21" spans="1:8" ht="18" thickBot="1">
      <c r="A21" s="114"/>
      <c r="B21" s="115"/>
      <c r="C21" s="189"/>
      <c r="D21" s="112">
        <v>0</v>
      </c>
      <c r="E21" s="309">
        <f t="shared" si="1"/>
        <v>0</v>
      </c>
      <c r="F21" s="260">
        <v>0</v>
      </c>
      <c r="G21" s="310">
        <f t="shared" si="0"/>
        <v>0</v>
      </c>
      <c r="H21" s="55"/>
    </row>
    <row r="22" spans="1:8">
      <c r="A22" s="36"/>
      <c r="B22" s="37"/>
      <c r="C22" s="37"/>
      <c r="D22" s="58" t="s">
        <v>88</v>
      </c>
      <c r="E22" s="55"/>
      <c r="F22" s="38"/>
      <c r="G22" s="308">
        <f>SUM(G6:G21)</f>
        <v>0</v>
      </c>
      <c r="H22" s="55"/>
    </row>
    <row r="23" spans="1:8" ht="18" thickBot="1">
      <c r="A23" s="39"/>
      <c r="B23" s="40"/>
      <c r="C23" s="40"/>
      <c r="D23" s="40"/>
      <c r="E23" s="49"/>
      <c r="F23" s="41"/>
      <c r="G23" s="35"/>
      <c r="H23" s="55"/>
    </row>
  </sheetData>
  <phoneticPr fontId="22" type="noConversion"/>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G26"/>
  <sheetViews>
    <sheetView zoomScaleNormal="100" workbookViewId="0"/>
  </sheetViews>
  <sheetFormatPr defaultRowHeight="17.25"/>
  <cols>
    <col min="1" max="1" width="30.875" customWidth="1"/>
    <col min="2" max="2" width="11.625" customWidth="1"/>
    <col min="3" max="3" width="14.375" customWidth="1"/>
    <col min="4" max="4" width="14.625" customWidth="1"/>
    <col min="5" max="5" width="17" customWidth="1"/>
    <col min="6" max="6" width="10.75" customWidth="1"/>
    <col min="7" max="7" width="21.625" customWidth="1"/>
  </cols>
  <sheetData>
    <row r="1" spans="1:7" ht="19.5">
      <c r="A1" s="59" t="s">
        <v>227</v>
      </c>
      <c r="B1" s="57"/>
      <c r="C1" s="57"/>
      <c r="D1" s="57"/>
      <c r="E1" s="55"/>
    </row>
    <row r="2" spans="1:7">
      <c r="A2" s="1" t="s">
        <v>91</v>
      </c>
      <c r="B2" s="57"/>
      <c r="C2" s="57"/>
      <c r="D2" s="57"/>
      <c r="E2" s="55"/>
    </row>
    <row r="3" spans="1:7">
      <c r="A3" s="471" t="s">
        <v>267</v>
      </c>
      <c r="B3" s="57"/>
      <c r="C3" s="57"/>
      <c r="D3" s="57"/>
      <c r="E3" s="471"/>
    </row>
    <row r="4" spans="1:7">
      <c r="A4" s="526" t="s">
        <v>262</v>
      </c>
      <c r="B4" s="526"/>
      <c r="C4" s="526"/>
      <c r="D4" s="526"/>
      <c r="E4" s="526"/>
    </row>
    <row r="5" spans="1:7">
      <c r="A5" s="526" t="s">
        <v>263</v>
      </c>
      <c r="B5" s="526"/>
      <c r="C5" s="526"/>
      <c r="D5" s="526"/>
      <c r="E5" s="526"/>
    </row>
    <row r="6" spans="1:7">
      <c r="A6" s="526" t="s">
        <v>264</v>
      </c>
      <c r="B6" s="526"/>
      <c r="C6" s="526"/>
      <c r="D6" s="526"/>
      <c r="E6" s="526"/>
    </row>
    <row r="7" spans="1:7">
      <c r="A7" s="526" t="s">
        <v>265</v>
      </c>
      <c r="B7" s="526"/>
      <c r="C7" s="526"/>
      <c r="D7" s="526"/>
      <c r="E7" s="526"/>
    </row>
    <row r="8" spans="1:7">
      <c r="A8" s="526" t="s">
        <v>266</v>
      </c>
      <c r="B8" s="526"/>
      <c r="C8" s="526"/>
      <c r="D8" s="526"/>
      <c r="E8" s="526"/>
    </row>
    <row r="9" spans="1:7" ht="18" thickBot="1">
      <c r="A9" s="527" t="s">
        <v>194</v>
      </c>
      <c r="B9" s="527"/>
      <c r="C9" s="527"/>
      <c r="D9" s="190"/>
      <c r="E9" s="190"/>
      <c r="F9" s="190"/>
    </row>
    <row r="10" spans="1:7" s="387" customFormat="1" ht="47.25" customHeight="1">
      <c r="A10" s="475" t="s">
        <v>139</v>
      </c>
      <c r="B10" s="393" t="s">
        <v>130</v>
      </c>
      <c r="C10" s="558" t="s">
        <v>283</v>
      </c>
      <c r="D10" s="393" t="s">
        <v>195</v>
      </c>
      <c r="E10" s="394" t="s">
        <v>196</v>
      </c>
      <c r="F10" s="395" t="s">
        <v>158</v>
      </c>
      <c r="G10" s="396" t="s">
        <v>131</v>
      </c>
    </row>
    <row r="11" spans="1:7">
      <c r="A11" s="476"/>
      <c r="B11" s="191"/>
      <c r="C11" s="194"/>
      <c r="D11" s="201"/>
      <c r="E11" s="112">
        <v>0</v>
      </c>
      <c r="F11" s="261">
        <v>0</v>
      </c>
      <c r="G11" s="309">
        <f>F11*E11</f>
        <v>0</v>
      </c>
    </row>
    <row r="12" spans="1:7">
      <c r="A12" s="477"/>
      <c r="B12" s="192"/>
      <c r="C12" s="195"/>
      <c r="D12" s="123"/>
      <c r="E12" s="112">
        <v>0</v>
      </c>
      <c r="F12" s="261">
        <v>0</v>
      </c>
      <c r="G12" s="309">
        <f>F12*E12</f>
        <v>0</v>
      </c>
    </row>
    <row r="13" spans="1:7">
      <c r="A13" s="477"/>
      <c r="B13" s="192"/>
      <c r="C13" s="195"/>
      <c r="D13" s="123"/>
      <c r="E13" s="112">
        <v>0</v>
      </c>
      <c r="F13" s="261">
        <v>0</v>
      </c>
      <c r="G13" s="309">
        <f>F13*E13</f>
        <v>0</v>
      </c>
    </row>
    <row r="14" spans="1:7">
      <c r="A14" s="477"/>
      <c r="B14" s="192"/>
      <c r="C14" s="195"/>
      <c r="D14" s="123"/>
      <c r="E14" s="112">
        <v>0</v>
      </c>
      <c r="F14" s="261">
        <v>0</v>
      </c>
      <c r="G14" s="309">
        <f>F14*E14</f>
        <v>0</v>
      </c>
    </row>
    <row r="15" spans="1:7" ht="18" thickBot="1">
      <c r="A15" s="474"/>
      <c r="B15" s="193"/>
      <c r="C15" s="198"/>
      <c r="D15" s="196"/>
      <c r="E15" s="113">
        <v>0</v>
      </c>
      <c r="F15" s="262">
        <v>0</v>
      </c>
      <c r="G15" s="309">
        <f>F15*E15</f>
        <v>0</v>
      </c>
    </row>
    <row r="16" spans="1:7" ht="20.25" thickBot="1">
      <c r="A16" s="199"/>
      <c r="B16" s="200"/>
      <c r="C16" s="200"/>
      <c r="D16" s="197"/>
      <c r="E16" s="197"/>
      <c r="F16" s="197"/>
      <c r="G16" s="311">
        <f>SUM(G11:G15)</f>
        <v>0</v>
      </c>
    </row>
    <row r="17" spans="1:5">
      <c r="A17" s="61" t="s">
        <v>92</v>
      </c>
      <c r="B17" s="55"/>
      <c r="C17" s="55"/>
      <c r="D17" s="55"/>
      <c r="E17" s="55"/>
    </row>
    <row r="18" spans="1:5">
      <c r="A18" s="62" t="s">
        <v>93</v>
      </c>
      <c r="B18" s="55"/>
      <c r="C18" s="55"/>
      <c r="D18" s="55"/>
      <c r="E18" s="55"/>
    </row>
    <row r="19" spans="1:5" ht="36.75" customHeight="1">
      <c r="A19" s="140" t="s">
        <v>197</v>
      </c>
      <c r="B19" s="559" t="s">
        <v>198</v>
      </c>
      <c r="C19" s="141" t="s">
        <v>33</v>
      </c>
      <c r="D19" s="142" t="s">
        <v>63</v>
      </c>
    </row>
    <row r="20" spans="1:5">
      <c r="A20" s="139"/>
      <c r="B20" s="566"/>
      <c r="C20" s="564"/>
      <c r="D20" s="306">
        <f>B20*C20</f>
        <v>0</v>
      </c>
    </row>
    <row r="21" spans="1:5">
      <c r="A21" s="139"/>
      <c r="B21" s="566"/>
      <c r="C21" s="564"/>
      <c r="D21" s="306">
        <f t="shared" ref="D21:D23" si="0">B21*C21</f>
        <v>0</v>
      </c>
      <c r="E21" s="17"/>
    </row>
    <row r="22" spans="1:5">
      <c r="A22" s="139"/>
      <c r="B22" s="566"/>
      <c r="C22" s="564"/>
      <c r="D22" s="306">
        <f t="shared" si="0"/>
        <v>0</v>
      </c>
    </row>
    <row r="23" spans="1:5" ht="18" thickBot="1">
      <c r="A23" s="139"/>
      <c r="B23" s="567"/>
      <c r="C23" s="565"/>
      <c r="D23" s="307">
        <f t="shared" si="0"/>
        <v>0</v>
      </c>
    </row>
    <row r="24" spans="1:5" ht="18" thickBot="1">
      <c r="A24" s="136"/>
      <c r="B24" s="560" t="s">
        <v>95</v>
      </c>
      <c r="C24" s="561"/>
      <c r="D24" s="562">
        <f>SUM(D20:D23)</f>
        <v>0</v>
      </c>
    </row>
    <row r="25" spans="1:5" ht="18" thickBot="1">
      <c r="A25" s="56"/>
      <c r="B25" s="65"/>
      <c r="C25" s="65"/>
      <c r="D25" s="312"/>
    </row>
    <row r="26" spans="1:5" ht="20.25" thickBot="1">
      <c r="A26" s="75"/>
      <c r="B26" s="528" t="s">
        <v>96</v>
      </c>
      <c r="C26" s="563"/>
      <c r="D26" s="397">
        <f>G16+D24</f>
        <v>0</v>
      </c>
    </row>
  </sheetData>
  <phoneticPr fontId="22" type="noConversion"/>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I24"/>
  <sheetViews>
    <sheetView zoomScaleNormal="100" workbookViewId="0"/>
  </sheetViews>
  <sheetFormatPr defaultRowHeight="17.25"/>
  <cols>
    <col min="1" max="1" width="44.375" customWidth="1"/>
    <col min="2" max="3" width="12.5" customWidth="1"/>
    <col min="5" max="5" width="13.75" customWidth="1"/>
    <col min="6" max="6" width="14.75" customWidth="1"/>
    <col min="7" max="7" width="12.625" customWidth="1"/>
    <col min="8" max="8" width="8.875" customWidth="1"/>
    <col min="9" max="9" width="28.125" customWidth="1"/>
  </cols>
  <sheetData>
    <row r="1" spans="1:9" ht="19.5">
      <c r="A1" s="323" t="s">
        <v>228</v>
      </c>
      <c r="B1" s="323"/>
      <c r="C1" s="21"/>
      <c r="D1" s="59"/>
      <c r="E1" s="43"/>
      <c r="F1" s="43"/>
      <c r="G1" s="43"/>
      <c r="H1" s="43"/>
      <c r="I1" s="43"/>
    </row>
    <row r="2" spans="1:9">
      <c r="A2" s="43"/>
      <c r="B2" s="43"/>
      <c r="C2" s="43"/>
      <c r="D2" s="43"/>
      <c r="E2" s="43"/>
      <c r="F2" s="43"/>
      <c r="G2" s="43"/>
      <c r="H2" s="43"/>
      <c r="I2" s="43"/>
    </row>
    <row r="3" spans="1:9">
      <c r="A3" s="9" t="s">
        <v>162</v>
      </c>
      <c r="B3" s="43"/>
      <c r="C3" s="43"/>
      <c r="D3" s="43"/>
      <c r="E3" s="43"/>
      <c r="F3" s="43"/>
      <c r="G3" s="43"/>
      <c r="H3" s="43"/>
      <c r="I3" s="43"/>
    </row>
    <row r="4" spans="1:9">
      <c r="A4" s="9" t="s">
        <v>97</v>
      </c>
      <c r="B4" s="43"/>
      <c r="C4" s="43"/>
      <c r="D4" s="43"/>
      <c r="E4" s="43"/>
      <c r="F4" s="43"/>
      <c r="G4" s="43"/>
      <c r="H4" s="43"/>
      <c r="I4" s="43"/>
    </row>
    <row r="5" spans="1:9">
      <c r="A5" s="9"/>
      <c r="B5" s="43"/>
      <c r="C5" s="43"/>
      <c r="D5" s="43"/>
      <c r="E5" s="43"/>
      <c r="F5" s="43"/>
      <c r="G5" s="43"/>
      <c r="H5" s="43"/>
      <c r="I5" s="43"/>
    </row>
    <row r="6" spans="1:9" ht="42" customHeight="1">
      <c r="A6" s="403" t="s">
        <v>159</v>
      </c>
      <c r="B6" s="404" t="s">
        <v>84</v>
      </c>
      <c r="C6" s="404" t="s">
        <v>160</v>
      </c>
      <c r="D6" s="404" t="s">
        <v>48</v>
      </c>
      <c r="E6" s="404" t="s">
        <v>94</v>
      </c>
      <c r="F6" s="404" t="s">
        <v>199</v>
      </c>
      <c r="G6" s="403" t="s">
        <v>200</v>
      </c>
      <c r="H6" s="402" t="s">
        <v>33</v>
      </c>
      <c r="I6" s="403" t="s">
        <v>36</v>
      </c>
    </row>
    <row r="7" spans="1:9">
      <c r="A7" s="119"/>
      <c r="B7" s="120"/>
      <c r="C7" s="313"/>
      <c r="D7" s="263"/>
      <c r="E7" s="309">
        <f>D7*C7</f>
        <v>0</v>
      </c>
      <c r="F7" s="315"/>
      <c r="G7" s="112"/>
      <c r="H7" s="122">
        <v>1</v>
      </c>
      <c r="I7" s="309">
        <f>G7*H7</f>
        <v>0</v>
      </c>
    </row>
    <row r="8" spans="1:9">
      <c r="A8" s="119"/>
      <c r="B8" s="121"/>
      <c r="C8" s="313"/>
      <c r="D8" s="263"/>
      <c r="E8" s="309">
        <f t="shared" ref="E8:E22" si="0">D8*C8</f>
        <v>0</v>
      </c>
      <c r="F8" s="315"/>
      <c r="G8" s="112">
        <v>0</v>
      </c>
      <c r="H8" s="122"/>
      <c r="I8" s="309">
        <f>G8*H8</f>
        <v>0</v>
      </c>
    </row>
    <row r="9" spans="1:9">
      <c r="A9" s="119"/>
      <c r="B9" s="121"/>
      <c r="C9" s="313"/>
      <c r="D9" s="263"/>
      <c r="E9" s="309">
        <f t="shared" si="0"/>
        <v>0</v>
      </c>
      <c r="F9" s="315"/>
      <c r="G9" s="112">
        <v>0</v>
      </c>
      <c r="H9" s="122"/>
      <c r="I9" s="309">
        <f>G9*H9</f>
        <v>0</v>
      </c>
    </row>
    <row r="10" spans="1:9">
      <c r="A10" s="119"/>
      <c r="B10" s="121"/>
      <c r="C10" s="313"/>
      <c r="D10" s="263"/>
      <c r="E10" s="309">
        <f t="shared" si="0"/>
        <v>0</v>
      </c>
      <c r="F10" s="316"/>
      <c r="G10" s="112">
        <v>0</v>
      </c>
      <c r="H10" s="122"/>
      <c r="I10" s="309">
        <f>G10*H10</f>
        <v>0</v>
      </c>
    </row>
    <row r="11" spans="1:9">
      <c r="A11" s="119"/>
      <c r="B11" s="121"/>
      <c r="C11" s="313"/>
      <c r="D11" s="263"/>
      <c r="E11" s="309">
        <f t="shared" si="0"/>
        <v>0</v>
      </c>
      <c r="F11" s="316"/>
      <c r="G11" s="112">
        <v>0</v>
      </c>
      <c r="H11" s="122"/>
      <c r="I11" s="309">
        <f t="shared" ref="I11:I22" si="1">G11*H11</f>
        <v>0</v>
      </c>
    </row>
    <row r="12" spans="1:9">
      <c r="A12" s="119"/>
      <c r="B12" s="121"/>
      <c r="C12" s="313"/>
      <c r="D12" s="263"/>
      <c r="E12" s="309">
        <f t="shared" si="0"/>
        <v>0</v>
      </c>
      <c r="F12" s="316"/>
      <c r="G12" s="112">
        <v>0</v>
      </c>
      <c r="H12" s="122"/>
      <c r="I12" s="309">
        <f t="shared" si="1"/>
        <v>0</v>
      </c>
    </row>
    <row r="13" spans="1:9">
      <c r="A13" s="119"/>
      <c r="B13" s="121"/>
      <c r="C13" s="313"/>
      <c r="D13" s="263"/>
      <c r="E13" s="309">
        <f t="shared" si="0"/>
        <v>0</v>
      </c>
      <c r="F13" s="316"/>
      <c r="G13" s="112">
        <v>0</v>
      </c>
      <c r="H13" s="122"/>
      <c r="I13" s="309">
        <f t="shared" si="1"/>
        <v>0</v>
      </c>
    </row>
    <row r="14" spans="1:9">
      <c r="A14" s="119"/>
      <c r="B14" s="121"/>
      <c r="C14" s="313"/>
      <c r="D14" s="263"/>
      <c r="E14" s="309">
        <f t="shared" si="0"/>
        <v>0</v>
      </c>
      <c r="F14" s="316"/>
      <c r="G14" s="112">
        <v>0</v>
      </c>
      <c r="H14" s="122"/>
      <c r="I14" s="309">
        <f t="shared" si="1"/>
        <v>0</v>
      </c>
    </row>
    <row r="15" spans="1:9">
      <c r="A15" s="119"/>
      <c r="B15" s="121"/>
      <c r="C15" s="313"/>
      <c r="D15" s="263"/>
      <c r="E15" s="309">
        <f t="shared" si="0"/>
        <v>0</v>
      </c>
      <c r="F15" s="316"/>
      <c r="G15" s="112">
        <v>0</v>
      </c>
      <c r="H15" s="122"/>
      <c r="I15" s="309">
        <f t="shared" si="1"/>
        <v>0</v>
      </c>
    </row>
    <row r="16" spans="1:9">
      <c r="A16" s="119"/>
      <c r="B16" s="121"/>
      <c r="C16" s="313"/>
      <c r="D16" s="263"/>
      <c r="E16" s="309">
        <f t="shared" si="0"/>
        <v>0</v>
      </c>
      <c r="F16" s="316"/>
      <c r="G16" s="112">
        <v>0</v>
      </c>
      <c r="H16" s="122"/>
      <c r="I16" s="309">
        <f t="shared" si="1"/>
        <v>0</v>
      </c>
    </row>
    <row r="17" spans="1:9">
      <c r="A17" s="119"/>
      <c r="B17" s="121"/>
      <c r="C17" s="313"/>
      <c r="D17" s="263"/>
      <c r="E17" s="309">
        <f t="shared" si="0"/>
        <v>0</v>
      </c>
      <c r="F17" s="316"/>
      <c r="G17" s="112">
        <v>0</v>
      </c>
      <c r="H17" s="122"/>
      <c r="I17" s="309">
        <f t="shared" si="1"/>
        <v>0</v>
      </c>
    </row>
    <row r="18" spans="1:9">
      <c r="A18" s="119"/>
      <c r="B18" s="121"/>
      <c r="C18" s="313"/>
      <c r="D18" s="263"/>
      <c r="E18" s="309">
        <f t="shared" si="0"/>
        <v>0</v>
      </c>
      <c r="F18" s="316"/>
      <c r="G18" s="112">
        <v>0</v>
      </c>
      <c r="H18" s="122"/>
      <c r="I18" s="309">
        <f t="shared" si="1"/>
        <v>0</v>
      </c>
    </row>
    <row r="19" spans="1:9">
      <c r="A19" s="119"/>
      <c r="B19" s="121"/>
      <c r="C19" s="313"/>
      <c r="D19" s="263"/>
      <c r="E19" s="309">
        <f t="shared" si="0"/>
        <v>0</v>
      </c>
      <c r="F19" s="316"/>
      <c r="G19" s="112">
        <v>0</v>
      </c>
      <c r="H19" s="122"/>
      <c r="I19" s="309">
        <f t="shared" si="1"/>
        <v>0</v>
      </c>
    </row>
    <row r="20" spans="1:9">
      <c r="A20" s="119"/>
      <c r="B20" s="121"/>
      <c r="C20" s="313"/>
      <c r="D20" s="263"/>
      <c r="E20" s="309">
        <f t="shared" si="0"/>
        <v>0</v>
      </c>
      <c r="F20" s="316"/>
      <c r="G20" s="112">
        <v>0</v>
      </c>
      <c r="H20" s="122"/>
      <c r="I20" s="309">
        <f t="shared" si="1"/>
        <v>0</v>
      </c>
    </row>
    <row r="21" spans="1:9">
      <c r="A21" s="119"/>
      <c r="B21" s="121"/>
      <c r="C21" s="313"/>
      <c r="D21" s="263"/>
      <c r="E21" s="309">
        <f t="shared" si="0"/>
        <v>0</v>
      </c>
      <c r="F21" s="316"/>
      <c r="G21" s="112">
        <v>0</v>
      </c>
      <c r="H21" s="122"/>
      <c r="I21" s="309">
        <f t="shared" si="1"/>
        <v>0</v>
      </c>
    </row>
    <row r="22" spans="1:9" ht="18" thickBot="1">
      <c r="A22" s="124"/>
      <c r="B22" s="125"/>
      <c r="C22" s="318"/>
      <c r="D22" s="264"/>
      <c r="E22" s="314">
        <f t="shared" si="0"/>
        <v>0</v>
      </c>
      <c r="F22" s="317"/>
      <c r="G22" s="112">
        <v>0</v>
      </c>
      <c r="H22" s="122"/>
      <c r="I22" s="309">
        <f t="shared" si="1"/>
        <v>0</v>
      </c>
    </row>
    <row r="23" spans="1:9" ht="18" thickBot="1">
      <c r="A23" s="16"/>
      <c r="B23" s="46"/>
      <c r="C23" s="63"/>
      <c r="D23" s="63"/>
      <c r="E23" s="9"/>
      <c r="F23" s="478" t="s">
        <v>161</v>
      </c>
      <c r="G23" s="479"/>
      <c r="H23" s="480"/>
      <c r="I23" s="398">
        <f>SUM(I7:I22)</f>
        <v>0</v>
      </c>
    </row>
    <row r="24" spans="1:9" s="401" customFormat="1">
      <c r="A24" s="46"/>
      <c r="B24" s="46"/>
      <c r="C24" s="46"/>
      <c r="D24" s="46"/>
      <c r="E24" s="46"/>
      <c r="F24" s="38"/>
      <c r="G24" s="38"/>
      <c r="H24" s="399"/>
      <c r="I24" s="400"/>
    </row>
  </sheetData>
  <phoneticPr fontId="22" type="noConversion"/>
  <pageMargins left="0.7" right="0.7" top="0.75" bottom="0.75" header="0.3" footer="0.3"/>
  <pageSetup scale="73"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P19"/>
  <sheetViews>
    <sheetView zoomScaleNormal="100" workbookViewId="0"/>
  </sheetViews>
  <sheetFormatPr defaultRowHeight="17.25"/>
  <cols>
    <col min="1" max="1" width="9.125" customWidth="1"/>
    <col min="2" max="2" width="28.125" customWidth="1"/>
    <col min="3" max="3" width="9.375" customWidth="1"/>
    <col min="4" max="4" width="9.25" customWidth="1"/>
    <col min="5" max="5" width="9.625" customWidth="1"/>
    <col min="6" max="6" width="10.5" customWidth="1"/>
    <col min="7" max="7" width="7" customWidth="1"/>
    <col min="8" max="8" width="7.75" customWidth="1"/>
    <col min="9" max="9" width="7.25" customWidth="1"/>
    <col min="13" max="13" width="11.375" customWidth="1"/>
  </cols>
  <sheetData>
    <row r="1" spans="1:16" ht="19.5">
      <c r="A1" s="437" t="s">
        <v>212</v>
      </c>
      <c r="C1" s="66"/>
      <c r="D1" s="55"/>
      <c r="E1" s="55"/>
    </row>
    <row r="2" spans="1:16" s="202" customFormat="1" ht="15">
      <c r="A2" s="324" t="s">
        <v>205</v>
      </c>
      <c r="B2" s="324"/>
      <c r="C2" s="324"/>
      <c r="D2" s="324"/>
      <c r="E2" s="324"/>
      <c r="F2" s="324"/>
      <c r="G2" s="324"/>
      <c r="H2" s="324"/>
      <c r="I2" s="324"/>
      <c r="J2" s="324"/>
      <c r="K2" s="207"/>
    </row>
    <row r="3" spans="1:16" s="202" customFormat="1" ht="15">
      <c r="A3" s="324" t="s">
        <v>206</v>
      </c>
      <c r="B3" s="324"/>
      <c r="C3" s="324"/>
      <c r="D3" s="324"/>
      <c r="E3" s="324"/>
      <c r="F3" s="324"/>
      <c r="G3" s="324"/>
      <c r="H3" s="324"/>
      <c r="I3" s="324"/>
      <c r="J3" s="324"/>
      <c r="K3" s="324"/>
    </row>
    <row r="4" spans="1:16" s="202" customFormat="1" ht="15">
      <c r="A4" s="529" t="s">
        <v>207</v>
      </c>
      <c r="B4" s="529"/>
      <c r="C4" s="529"/>
      <c r="D4" s="529"/>
      <c r="E4" s="529"/>
      <c r="F4" s="529"/>
      <c r="G4" s="529"/>
      <c r="H4" s="529"/>
      <c r="I4" s="529"/>
      <c r="J4" s="207"/>
      <c r="K4" s="207"/>
      <c r="N4" s="529"/>
      <c r="O4" s="529"/>
      <c r="P4" s="529"/>
    </row>
    <row r="5" spans="1:16" s="431" customFormat="1" ht="45" customHeight="1">
      <c r="A5" s="430" t="s">
        <v>210</v>
      </c>
      <c r="B5" s="482" t="s">
        <v>211</v>
      </c>
      <c r="C5" s="405" t="s">
        <v>201</v>
      </c>
      <c r="D5" s="407" t="s">
        <v>202</v>
      </c>
      <c r="E5" s="408" t="s">
        <v>209</v>
      </c>
      <c r="F5" s="409" t="s">
        <v>203</v>
      </c>
      <c r="G5" s="405" t="s">
        <v>208</v>
      </c>
      <c r="H5" s="410" t="s">
        <v>18</v>
      </c>
      <c r="I5" s="406" t="s">
        <v>19</v>
      </c>
      <c r="J5" s="410" t="s">
        <v>204</v>
      </c>
      <c r="K5" s="410" t="s">
        <v>136</v>
      </c>
      <c r="L5" s="411" t="s">
        <v>33</v>
      </c>
      <c r="M5" s="411" t="s">
        <v>133</v>
      </c>
    </row>
    <row r="6" spans="1:16">
      <c r="A6" s="429"/>
      <c r="B6" s="483"/>
      <c r="C6" s="412">
        <v>0</v>
      </c>
      <c r="D6" s="412">
        <v>0</v>
      </c>
      <c r="E6" s="412">
        <v>0</v>
      </c>
      <c r="F6" s="412">
        <v>0</v>
      </c>
      <c r="G6" s="412">
        <v>0</v>
      </c>
      <c r="H6" s="412">
        <v>0</v>
      </c>
      <c r="I6" s="412">
        <v>0</v>
      </c>
      <c r="J6" s="412">
        <v>0</v>
      </c>
      <c r="K6" s="413">
        <f>J6+I6+H6+G6+F6+E6+D6+C6</f>
        <v>0</v>
      </c>
      <c r="L6" s="414">
        <v>0</v>
      </c>
      <c r="M6" s="413">
        <f>L6*K6</f>
        <v>0</v>
      </c>
    </row>
    <row r="7" spans="1:16">
      <c r="A7" s="429"/>
      <c r="B7" s="481"/>
      <c r="C7" s="412">
        <v>0</v>
      </c>
      <c r="D7" s="412">
        <v>0</v>
      </c>
      <c r="E7" s="412">
        <v>0</v>
      </c>
      <c r="F7" s="412">
        <v>0</v>
      </c>
      <c r="G7" s="412">
        <v>0</v>
      </c>
      <c r="H7" s="412">
        <v>0</v>
      </c>
      <c r="I7" s="412">
        <v>0</v>
      </c>
      <c r="J7" s="412">
        <v>0</v>
      </c>
      <c r="K7" s="413">
        <f t="shared" ref="K7:K17" si="0">J7+I7+H7+G7+F7+E7+D7+C7</f>
        <v>0</v>
      </c>
      <c r="L7" s="414">
        <v>0</v>
      </c>
      <c r="M7" s="413">
        <f t="shared" ref="M7:M17" si="1">L7*K7</f>
        <v>0</v>
      </c>
    </row>
    <row r="8" spans="1:16">
      <c r="A8" s="429"/>
      <c r="B8" s="481"/>
      <c r="C8" s="412">
        <v>0</v>
      </c>
      <c r="D8" s="412">
        <v>0</v>
      </c>
      <c r="E8" s="412">
        <v>0</v>
      </c>
      <c r="F8" s="412">
        <v>0</v>
      </c>
      <c r="G8" s="412">
        <v>0</v>
      </c>
      <c r="H8" s="412">
        <v>0</v>
      </c>
      <c r="I8" s="412">
        <v>0</v>
      </c>
      <c r="J8" s="412">
        <v>0</v>
      </c>
      <c r="K8" s="413">
        <f t="shared" si="0"/>
        <v>0</v>
      </c>
      <c r="L8" s="414">
        <v>0</v>
      </c>
      <c r="M8" s="413">
        <f t="shared" si="1"/>
        <v>0</v>
      </c>
    </row>
    <row r="9" spans="1:16">
      <c r="A9" s="429"/>
      <c r="B9" s="481"/>
      <c r="C9" s="412">
        <v>0</v>
      </c>
      <c r="D9" s="412">
        <v>0</v>
      </c>
      <c r="E9" s="412">
        <v>0</v>
      </c>
      <c r="F9" s="412">
        <v>0</v>
      </c>
      <c r="G9" s="412">
        <v>0</v>
      </c>
      <c r="H9" s="412">
        <v>0</v>
      </c>
      <c r="I9" s="412">
        <v>0</v>
      </c>
      <c r="J9" s="412">
        <v>0</v>
      </c>
      <c r="K9" s="413">
        <f t="shared" si="0"/>
        <v>0</v>
      </c>
      <c r="L9" s="414">
        <v>0</v>
      </c>
      <c r="M9" s="413">
        <f t="shared" si="1"/>
        <v>0</v>
      </c>
    </row>
    <row r="10" spans="1:16">
      <c r="A10" s="429"/>
      <c r="B10" s="481"/>
      <c r="C10" s="412">
        <v>0</v>
      </c>
      <c r="D10" s="412">
        <v>0</v>
      </c>
      <c r="E10" s="412">
        <v>0</v>
      </c>
      <c r="F10" s="412">
        <v>0</v>
      </c>
      <c r="G10" s="412">
        <v>0</v>
      </c>
      <c r="H10" s="412">
        <v>0</v>
      </c>
      <c r="I10" s="412">
        <v>0</v>
      </c>
      <c r="J10" s="412">
        <v>0</v>
      </c>
      <c r="K10" s="413">
        <f t="shared" si="0"/>
        <v>0</v>
      </c>
      <c r="L10" s="414">
        <v>0</v>
      </c>
      <c r="M10" s="413">
        <f t="shared" si="1"/>
        <v>0</v>
      </c>
    </row>
    <row r="11" spans="1:16">
      <c r="A11" s="429"/>
      <c r="B11" s="481"/>
      <c r="C11" s="412">
        <v>0</v>
      </c>
      <c r="D11" s="412">
        <v>0</v>
      </c>
      <c r="E11" s="412">
        <v>0</v>
      </c>
      <c r="F11" s="412">
        <v>0</v>
      </c>
      <c r="G11" s="412">
        <v>0</v>
      </c>
      <c r="H11" s="412">
        <v>0</v>
      </c>
      <c r="I11" s="412">
        <v>0</v>
      </c>
      <c r="J11" s="412">
        <v>0</v>
      </c>
      <c r="K11" s="413">
        <f t="shared" si="0"/>
        <v>0</v>
      </c>
      <c r="L11" s="414">
        <v>0</v>
      </c>
      <c r="M11" s="413">
        <f t="shared" si="1"/>
        <v>0</v>
      </c>
    </row>
    <row r="12" spans="1:16">
      <c r="A12" s="429"/>
      <c r="B12" s="481"/>
      <c r="C12" s="412">
        <v>0</v>
      </c>
      <c r="D12" s="412">
        <v>0</v>
      </c>
      <c r="E12" s="412">
        <v>0</v>
      </c>
      <c r="F12" s="412">
        <v>0</v>
      </c>
      <c r="G12" s="412">
        <v>0</v>
      </c>
      <c r="H12" s="412">
        <v>0</v>
      </c>
      <c r="I12" s="412">
        <v>0</v>
      </c>
      <c r="J12" s="412">
        <v>0</v>
      </c>
      <c r="K12" s="413">
        <f t="shared" si="0"/>
        <v>0</v>
      </c>
      <c r="L12" s="414">
        <v>0</v>
      </c>
      <c r="M12" s="413">
        <f t="shared" si="1"/>
        <v>0</v>
      </c>
    </row>
    <row r="13" spans="1:16">
      <c r="A13" s="429"/>
      <c r="B13" s="481"/>
      <c r="C13" s="412">
        <v>0</v>
      </c>
      <c r="D13" s="412">
        <v>0</v>
      </c>
      <c r="E13" s="412">
        <v>0</v>
      </c>
      <c r="F13" s="412">
        <v>0</v>
      </c>
      <c r="G13" s="412">
        <v>0</v>
      </c>
      <c r="H13" s="412">
        <v>0</v>
      </c>
      <c r="I13" s="412">
        <v>0</v>
      </c>
      <c r="J13" s="412">
        <v>0</v>
      </c>
      <c r="K13" s="413">
        <f t="shared" si="0"/>
        <v>0</v>
      </c>
      <c r="L13" s="414">
        <v>0</v>
      </c>
      <c r="M13" s="413">
        <f t="shared" si="1"/>
        <v>0</v>
      </c>
    </row>
    <row r="14" spans="1:16">
      <c r="A14" s="429"/>
      <c r="B14" s="481"/>
      <c r="C14" s="412">
        <v>0</v>
      </c>
      <c r="D14" s="412">
        <v>0</v>
      </c>
      <c r="E14" s="412">
        <v>0</v>
      </c>
      <c r="F14" s="412">
        <v>0</v>
      </c>
      <c r="G14" s="412">
        <v>0</v>
      </c>
      <c r="H14" s="412">
        <v>0</v>
      </c>
      <c r="I14" s="412">
        <v>0</v>
      </c>
      <c r="J14" s="412">
        <v>0</v>
      </c>
      <c r="K14" s="413">
        <f t="shared" si="0"/>
        <v>0</v>
      </c>
      <c r="L14" s="414">
        <v>0</v>
      </c>
      <c r="M14" s="413">
        <f t="shared" si="1"/>
        <v>0</v>
      </c>
    </row>
    <row r="15" spans="1:16">
      <c r="A15" s="429"/>
      <c r="B15" s="481"/>
      <c r="C15" s="412">
        <v>0</v>
      </c>
      <c r="D15" s="412">
        <v>0</v>
      </c>
      <c r="E15" s="412">
        <v>0</v>
      </c>
      <c r="F15" s="412">
        <v>0</v>
      </c>
      <c r="G15" s="412">
        <v>0</v>
      </c>
      <c r="H15" s="412">
        <v>0</v>
      </c>
      <c r="I15" s="412">
        <v>0</v>
      </c>
      <c r="J15" s="412">
        <v>0</v>
      </c>
      <c r="K15" s="413">
        <f t="shared" si="0"/>
        <v>0</v>
      </c>
      <c r="L15" s="414">
        <v>0</v>
      </c>
      <c r="M15" s="413">
        <f t="shared" si="1"/>
        <v>0</v>
      </c>
    </row>
    <row r="16" spans="1:16">
      <c r="A16" s="429"/>
      <c r="B16" s="481"/>
      <c r="C16" s="412">
        <v>0</v>
      </c>
      <c r="D16" s="412">
        <v>0</v>
      </c>
      <c r="E16" s="412">
        <v>0</v>
      </c>
      <c r="F16" s="412">
        <v>0</v>
      </c>
      <c r="G16" s="412">
        <v>0</v>
      </c>
      <c r="H16" s="412">
        <v>0</v>
      </c>
      <c r="I16" s="412">
        <v>0</v>
      </c>
      <c r="J16" s="412">
        <v>0</v>
      </c>
      <c r="K16" s="413">
        <f t="shared" si="0"/>
        <v>0</v>
      </c>
      <c r="L16" s="414">
        <v>0</v>
      </c>
      <c r="M16" s="413">
        <f t="shared" si="1"/>
        <v>0</v>
      </c>
    </row>
    <row r="17" spans="1:13" ht="18" thickBot="1">
      <c r="A17" s="429"/>
      <c r="B17" s="484"/>
      <c r="C17" s="415">
        <v>0</v>
      </c>
      <c r="D17" s="416">
        <v>0</v>
      </c>
      <c r="E17" s="415">
        <v>0</v>
      </c>
      <c r="F17" s="415">
        <v>0</v>
      </c>
      <c r="G17" s="415">
        <v>0</v>
      </c>
      <c r="H17" s="415">
        <v>0</v>
      </c>
      <c r="I17" s="415">
        <v>0</v>
      </c>
      <c r="J17" s="416">
        <v>0</v>
      </c>
      <c r="K17" s="413">
        <f t="shared" si="0"/>
        <v>0</v>
      </c>
      <c r="L17" s="417">
        <v>0</v>
      </c>
      <c r="M17" s="413">
        <f t="shared" si="1"/>
        <v>0</v>
      </c>
    </row>
    <row r="18" spans="1:13" ht="18" thickBot="1">
      <c r="A18" s="387"/>
      <c r="B18" s="418"/>
      <c r="C18" s="419">
        <f t="shared" ref="C18:K18" si="2">SUM(C6:C17)</f>
        <v>0</v>
      </c>
      <c r="D18" s="420">
        <f t="shared" si="2"/>
        <v>0</v>
      </c>
      <c r="E18" s="420">
        <f t="shared" si="2"/>
        <v>0</v>
      </c>
      <c r="F18" s="421">
        <f t="shared" si="2"/>
        <v>0</v>
      </c>
      <c r="G18" s="420">
        <f t="shared" si="2"/>
        <v>0</v>
      </c>
      <c r="H18" s="421">
        <f t="shared" si="2"/>
        <v>0</v>
      </c>
      <c r="I18" s="421">
        <f t="shared" si="2"/>
        <v>0</v>
      </c>
      <c r="J18" s="421">
        <f t="shared" si="2"/>
        <v>0</v>
      </c>
      <c r="K18" s="422">
        <f t="shared" si="2"/>
        <v>0</v>
      </c>
      <c r="L18" s="423"/>
      <c r="M18" s="427"/>
    </row>
    <row r="19" spans="1:13" ht="20.25" customHeight="1" thickBot="1">
      <c r="A19" s="387"/>
      <c r="B19" s="424"/>
      <c r="C19" s="425"/>
      <c r="D19" s="425"/>
      <c r="E19" s="425"/>
      <c r="F19" s="425"/>
      <c r="G19" s="425"/>
      <c r="H19" s="425"/>
      <c r="I19" s="530" t="s">
        <v>112</v>
      </c>
      <c r="J19" s="530"/>
      <c r="K19" s="530"/>
      <c r="L19" s="530"/>
      <c r="M19" s="426">
        <f>SUM(M6:M17)</f>
        <v>0</v>
      </c>
    </row>
  </sheetData>
  <phoneticPr fontId="22" type="noConversion"/>
  <pageMargins left="0.7" right="0.7" top="0.75" bottom="0.75" header="0.3" footer="0.3"/>
  <pageSetup scale="87"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pageSetUpPr fitToPage="1"/>
  </sheetPr>
  <dimension ref="A1:M20"/>
  <sheetViews>
    <sheetView zoomScaleNormal="100" workbookViewId="0"/>
  </sheetViews>
  <sheetFormatPr defaultRowHeight="17.25"/>
  <cols>
    <col min="1" max="1" width="7.5" customWidth="1"/>
    <col min="2" max="2" width="23.875" customWidth="1"/>
    <col min="3" max="4" width="10.25" customWidth="1"/>
    <col min="5" max="5" width="10.625" customWidth="1"/>
  </cols>
  <sheetData>
    <row r="1" spans="1:13" ht="19.5">
      <c r="A1" s="531" t="s">
        <v>229</v>
      </c>
      <c r="B1" s="531"/>
      <c r="C1" s="531"/>
      <c r="D1" s="55"/>
      <c r="E1" s="55"/>
    </row>
    <row r="2" spans="1:13">
      <c r="A2" s="486" t="s">
        <v>213</v>
      </c>
      <c r="B2" s="486"/>
      <c r="C2" s="486"/>
      <c r="D2" s="486"/>
      <c r="E2" s="462"/>
      <c r="F2" s="462"/>
      <c r="G2" s="462"/>
      <c r="H2" s="462"/>
      <c r="I2" s="462"/>
      <c r="J2" s="462"/>
    </row>
    <row r="3" spans="1:13" s="258" customFormat="1">
      <c r="A3" s="255" t="s">
        <v>214</v>
      </c>
      <c r="B3" s="256"/>
      <c r="C3" s="256"/>
      <c r="D3" s="256"/>
      <c r="E3" s="257"/>
      <c r="F3" s="257"/>
      <c r="G3" s="257"/>
      <c r="H3" s="257"/>
      <c r="I3" s="257"/>
      <c r="J3" s="257"/>
      <c r="K3" s="257"/>
    </row>
    <row r="4" spans="1:13" s="432" customFormat="1" ht="114" customHeight="1">
      <c r="A4" s="428" t="s">
        <v>210</v>
      </c>
      <c r="B4" s="488" t="s">
        <v>215</v>
      </c>
      <c r="C4" s="146" t="s">
        <v>118</v>
      </c>
      <c r="D4" s="148" t="s">
        <v>119</v>
      </c>
      <c r="E4" s="147" t="s">
        <v>120</v>
      </c>
      <c r="F4" s="146" t="s">
        <v>122</v>
      </c>
      <c r="G4" s="146" t="s">
        <v>123</v>
      </c>
      <c r="H4" s="149" t="s">
        <v>124</v>
      </c>
      <c r="I4" s="153" t="s">
        <v>121</v>
      </c>
      <c r="J4" s="149" t="s">
        <v>125</v>
      </c>
      <c r="K4" s="149" t="s">
        <v>135</v>
      </c>
      <c r="L4" s="149" t="s">
        <v>33</v>
      </c>
      <c r="M4" s="149" t="s">
        <v>61</v>
      </c>
    </row>
    <row r="5" spans="1:13">
      <c r="A5" s="429"/>
      <c r="B5" s="490"/>
      <c r="C5" s="229">
        <v>0</v>
      </c>
      <c r="D5" s="2">
        <v>0</v>
      </c>
      <c r="E5" s="2">
        <v>0</v>
      </c>
      <c r="F5" s="2">
        <v>0</v>
      </c>
      <c r="G5" s="2">
        <v>0</v>
      </c>
      <c r="H5" s="2">
        <v>0</v>
      </c>
      <c r="I5" s="2">
        <v>0</v>
      </c>
      <c r="J5" s="2">
        <v>0</v>
      </c>
      <c r="K5" s="319">
        <f>SUM(C5:J5)</f>
        <v>0</v>
      </c>
      <c r="L5" s="265">
        <v>0</v>
      </c>
      <c r="M5" s="319">
        <f>L5*K5</f>
        <v>0</v>
      </c>
    </row>
    <row r="6" spans="1:13">
      <c r="A6" s="429"/>
      <c r="B6" s="491"/>
      <c r="C6" s="229">
        <v>0</v>
      </c>
      <c r="D6" s="2">
        <v>0</v>
      </c>
      <c r="E6" s="2">
        <v>0</v>
      </c>
      <c r="F6" s="2">
        <v>0</v>
      </c>
      <c r="G6" s="2">
        <v>0</v>
      </c>
      <c r="H6" s="2">
        <v>0</v>
      </c>
      <c r="I6" s="2">
        <v>0</v>
      </c>
      <c r="J6" s="2">
        <v>0</v>
      </c>
      <c r="K6" s="319">
        <f>SUM(C6:J6)</f>
        <v>0</v>
      </c>
      <c r="L6" s="265">
        <v>0</v>
      </c>
      <c r="M6" s="319">
        <f t="shared" ref="M6:M16" si="0">L6*K6</f>
        <v>0</v>
      </c>
    </row>
    <row r="7" spans="1:13">
      <c r="A7" s="429"/>
      <c r="B7" s="485"/>
      <c r="C7" s="229">
        <v>0</v>
      </c>
      <c r="D7" s="2">
        <v>0</v>
      </c>
      <c r="E7" s="2">
        <v>0</v>
      </c>
      <c r="F7" s="2">
        <v>0</v>
      </c>
      <c r="G7" s="2">
        <v>0</v>
      </c>
      <c r="H7" s="2">
        <v>0</v>
      </c>
      <c r="I7" s="2">
        <v>0</v>
      </c>
      <c r="J7" s="2">
        <v>0</v>
      </c>
      <c r="K7" s="319">
        <f t="shared" ref="K7:K16" si="1">SUM(C7:J7)</f>
        <v>0</v>
      </c>
      <c r="L7" s="265">
        <v>0</v>
      </c>
      <c r="M7" s="319">
        <f t="shared" si="0"/>
        <v>0</v>
      </c>
    </row>
    <row r="8" spans="1:13">
      <c r="A8" s="429"/>
      <c r="B8" s="485"/>
      <c r="C8" s="229">
        <v>0</v>
      </c>
      <c r="D8" s="2">
        <v>0</v>
      </c>
      <c r="E8" s="2">
        <v>0</v>
      </c>
      <c r="F8" s="2">
        <v>0</v>
      </c>
      <c r="G8" s="2">
        <v>0</v>
      </c>
      <c r="H8" s="2">
        <v>0</v>
      </c>
      <c r="I8" s="2">
        <v>0</v>
      </c>
      <c r="J8" s="2">
        <v>0</v>
      </c>
      <c r="K8" s="319">
        <f t="shared" si="1"/>
        <v>0</v>
      </c>
      <c r="L8" s="265">
        <v>0</v>
      </c>
      <c r="M8" s="319">
        <f t="shared" si="0"/>
        <v>0</v>
      </c>
    </row>
    <row r="9" spans="1:13">
      <c r="A9" s="429"/>
      <c r="B9" s="485"/>
      <c r="C9" s="229">
        <v>0</v>
      </c>
      <c r="D9" s="2">
        <v>0</v>
      </c>
      <c r="E9" s="2">
        <v>0</v>
      </c>
      <c r="F9" s="2">
        <v>0</v>
      </c>
      <c r="G9" s="2">
        <v>0</v>
      </c>
      <c r="H9" s="2">
        <v>0</v>
      </c>
      <c r="I9" s="2">
        <v>0</v>
      </c>
      <c r="J9" s="2">
        <v>0</v>
      </c>
      <c r="K9" s="319">
        <f t="shared" si="1"/>
        <v>0</v>
      </c>
      <c r="L9" s="265">
        <v>0</v>
      </c>
      <c r="M9" s="319">
        <f t="shared" si="0"/>
        <v>0</v>
      </c>
    </row>
    <row r="10" spans="1:13">
      <c r="A10" s="429"/>
      <c r="B10" s="485"/>
      <c r="C10" s="229">
        <v>0</v>
      </c>
      <c r="D10" s="2">
        <v>0</v>
      </c>
      <c r="E10" s="2">
        <v>0</v>
      </c>
      <c r="F10" s="2">
        <v>0</v>
      </c>
      <c r="G10" s="2">
        <v>0</v>
      </c>
      <c r="H10" s="2">
        <v>0</v>
      </c>
      <c r="I10" s="2">
        <v>0</v>
      </c>
      <c r="J10" s="2">
        <v>0</v>
      </c>
      <c r="K10" s="319">
        <f t="shared" si="1"/>
        <v>0</v>
      </c>
      <c r="L10" s="265">
        <v>0</v>
      </c>
      <c r="M10" s="319">
        <f t="shared" si="0"/>
        <v>0</v>
      </c>
    </row>
    <row r="11" spans="1:13">
      <c r="A11" s="429"/>
      <c r="B11" s="485"/>
      <c r="C11" s="229">
        <v>0</v>
      </c>
      <c r="D11" s="2">
        <v>0</v>
      </c>
      <c r="E11" s="2">
        <v>0</v>
      </c>
      <c r="F11" s="2">
        <v>0</v>
      </c>
      <c r="G11" s="2">
        <v>0</v>
      </c>
      <c r="H11" s="2">
        <v>0</v>
      </c>
      <c r="I11" s="2">
        <v>0</v>
      </c>
      <c r="J11" s="2">
        <v>0</v>
      </c>
      <c r="K11" s="319">
        <f t="shared" si="1"/>
        <v>0</v>
      </c>
      <c r="L11" s="265">
        <v>0</v>
      </c>
      <c r="M11" s="319">
        <f t="shared" si="0"/>
        <v>0</v>
      </c>
    </row>
    <row r="12" spans="1:13">
      <c r="A12" s="429"/>
      <c r="B12" s="485"/>
      <c r="C12" s="229">
        <v>0</v>
      </c>
      <c r="D12" s="2">
        <v>0</v>
      </c>
      <c r="E12" s="2">
        <v>0</v>
      </c>
      <c r="F12" s="2">
        <v>0</v>
      </c>
      <c r="G12" s="2">
        <v>0</v>
      </c>
      <c r="H12" s="2">
        <v>0</v>
      </c>
      <c r="I12" s="2">
        <v>0</v>
      </c>
      <c r="J12" s="2">
        <v>0</v>
      </c>
      <c r="K12" s="319">
        <f t="shared" si="1"/>
        <v>0</v>
      </c>
      <c r="L12" s="265">
        <v>0</v>
      </c>
      <c r="M12" s="319">
        <f t="shared" si="0"/>
        <v>0</v>
      </c>
    </row>
    <row r="13" spans="1:13">
      <c r="A13" s="429"/>
      <c r="B13" s="485"/>
      <c r="C13" s="229">
        <v>0</v>
      </c>
      <c r="D13" s="2">
        <v>0</v>
      </c>
      <c r="E13" s="2">
        <v>0</v>
      </c>
      <c r="F13" s="2">
        <v>0</v>
      </c>
      <c r="G13" s="2">
        <v>0</v>
      </c>
      <c r="H13" s="2">
        <v>0</v>
      </c>
      <c r="I13" s="2">
        <v>0</v>
      </c>
      <c r="J13" s="2">
        <v>0</v>
      </c>
      <c r="K13" s="319">
        <f t="shared" si="1"/>
        <v>0</v>
      </c>
      <c r="L13" s="265">
        <v>0</v>
      </c>
      <c r="M13" s="319">
        <f t="shared" si="0"/>
        <v>0</v>
      </c>
    </row>
    <row r="14" spans="1:13">
      <c r="A14" s="429"/>
      <c r="B14" s="485"/>
      <c r="C14" s="229">
        <v>0</v>
      </c>
      <c r="D14" s="2">
        <v>0</v>
      </c>
      <c r="E14" s="2">
        <v>0</v>
      </c>
      <c r="F14" s="2">
        <v>0</v>
      </c>
      <c r="G14" s="2">
        <v>0</v>
      </c>
      <c r="H14" s="2">
        <v>0</v>
      </c>
      <c r="I14" s="2">
        <v>0</v>
      </c>
      <c r="J14" s="2">
        <v>0</v>
      </c>
      <c r="K14" s="319">
        <f t="shared" si="1"/>
        <v>0</v>
      </c>
      <c r="L14" s="265">
        <v>0</v>
      </c>
      <c r="M14" s="319">
        <f t="shared" si="0"/>
        <v>0</v>
      </c>
    </row>
    <row r="15" spans="1:13">
      <c r="A15" s="429"/>
      <c r="B15" s="485"/>
      <c r="C15" s="230">
        <v>0</v>
      </c>
      <c r="D15" s="2">
        <v>0</v>
      </c>
      <c r="E15" s="2">
        <v>0</v>
      </c>
      <c r="F15" s="2">
        <v>0</v>
      </c>
      <c r="G15" s="2">
        <v>0</v>
      </c>
      <c r="H15" s="2">
        <v>0</v>
      </c>
      <c r="I15" s="2">
        <v>0</v>
      </c>
      <c r="J15" s="2">
        <v>0</v>
      </c>
      <c r="K15" s="319">
        <f t="shared" si="1"/>
        <v>0</v>
      </c>
      <c r="L15" s="265">
        <v>0</v>
      </c>
      <c r="M15" s="319">
        <f t="shared" si="0"/>
        <v>0</v>
      </c>
    </row>
    <row r="16" spans="1:13" ht="18" thickBot="1">
      <c r="A16" s="429"/>
      <c r="B16" s="487"/>
      <c r="C16" s="228">
        <v>0</v>
      </c>
      <c r="D16" s="151">
        <v>0</v>
      </c>
      <c r="E16" s="138">
        <v>0</v>
      </c>
      <c r="F16" s="138">
        <v>0</v>
      </c>
      <c r="G16" s="138">
        <v>0</v>
      </c>
      <c r="H16" s="138">
        <v>0</v>
      </c>
      <c r="I16" s="138">
        <v>0</v>
      </c>
      <c r="J16" s="138">
        <v>0</v>
      </c>
      <c r="K16" s="319">
        <f t="shared" si="1"/>
        <v>0</v>
      </c>
      <c r="L16" s="266">
        <v>0</v>
      </c>
      <c r="M16" s="319">
        <f t="shared" si="0"/>
        <v>0</v>
      </c>
    </row>
    <row r="17" spans="2:13" ht="18" thickBot="1">
      <c r="B17" s="489"/>
      <c r="C17" s="231">
        <v>0</v>
      </c>
      <c r="D17" s="143">
        <v>0</v>
      </c>
      <c r="E17" s="143">
        <v>0</v>
      </c>
      <c r="F17" s="143">
        <v>0</v>
      </c>
      <c r="G17" s="145">
        <v>0</v>
      </c>
      <c r="H17" s="143">
        <v>0</v>
      </c>
      <c r="I17" s="143">
        <v>0</v>
      </c>
      <c r="J17" s="143">
        <v>0</v>
      </c>
      <c r="K17" s="322">
        <f>SUM(K5:K16)</f>
        <v>0</v>
      </c>
      <c r="L17" s="208"/>
      <c r="M17" s="320"/>
    </row>
    <row r="18" spans="2:13" ht="20.25" thickBot="1">
      <c r="B18" s="18"/>
      <c r="C18" s="19"/>
      <c r="D18" s="19"/>
      <c r="E18" s="19"/>
      <c r="F18" s="19"/>
      <c r="G18" s="19"/>
      <c r="H18" s="19"/>
      <c r="I18" s="532" t="s">
        <v>113</v>
      </c>
      <c r="J18" s="532"/>
      <c r="K18" s="532"/>
      <c r="L18" s="532"/>
      <c r="M18" s="321">
        <f>SUM(M5:M17)</f>
        <v>0</v>
      </c>
    </row>
    <row r="20" spans="2:13">
      <c r="B20" s="64"/>
      <c r="C20" s="64"/>
      <c r="D20" s="64"/>
      <c r="E20" s="64"/>
      <c r="F20" s="64"/>
    </row>
  </sheetData>
  <phoneticPr fontId="22" type="noConversion"/>
  <pageMargins left="0.7" right="0.7" top="0.75" bottom="0.75" header="0.3" footer="0.3"/>
  <pageSetup scale="92"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27"/>
  <sheetViews>
    <sheetView zoomScaleNormal="100" workbookViewId="0"/>
  </sheetViews>
  <sheetFormatPr defaultRowHeight="17.25"/>
  <cols>
    <col min="1" max="1" width="18.875" customWidth="1"/>
    <col min="2" max="2" width="28.875" customWidth="1"/>
    <col min="3" max="3" width="24.5" customWidth="1"/>
    <col min="4" max="5" width="12.625" customWidth="1"/>
    <col min="6" max="6" width="18.5" customWidth="1"/>
    <col min="7" max="7" width="14" customWidth="1"/>
    <col min="8" max="8" width="11.375" customWidth="1"/>
    <col min="9" max="9" width="11.5" customWidth="1"/>
  </cols>
  <sheetData>
    <row r="1" spans="1:10" ht="19.5">
      <c r="A1" s="323" t="s">
        <v>230</v>
      </c>
      <c r="B1" s="323"/>
      <c r="C1" s="323"/>
      <c r="D1" s="21"/>
      <c r="E1" s="21"/>
      <c r="F1" s="21"/>
      <c r="G1" s="43"/>
    </row>
    <row r="2" spans="1:10">
      <c r="A2" s="273" t="s">
        <v>178</v>
      </c>
      <c r="B2" s="273"/>
      <c r="C2" s="273"/>
      <c r="D2" s="9"/>
      <c r="E2" s="9"/>
      <c r="F2" s="9"/>
      <c r="G2" s="9"/>
      <c r="H2" s="174"/>
    </row>
    <row r="3" spans="1:10">
      <c r="A3" s="273" t="s">
        <v>164</v>
      </c>
      <c r="B3" s="273"/>
      <c r="C3" s="273"/>
      <c r="D3" s="9"/>
      <c r="E3" s="9"/>
      <c r="F3" s="9"/>
      <c r="G3" s="9"/>
      <c r="H3" s="207"/>
      <c r="I3" s="207"/>
      <c r="J3" s="207"/>
    </row>
    <row r="4" spans="1:10">
      <c r="A4" s="273" t="s">
        <v>134</v>
      </c>
      <c r="B4" s="273"/>
      <c r="C4" s="273"/>
      <c r="D4" s="9"/>
      <c r="E4" s="9"/>
      <c r="F4" s="9"/>
      <c r="G4" s="9"/>
      <c r="H4" s="207"/>
      <c r="I4" s="207"/>
      <c r="J4" s="207"/>
    </row>
    <row r="5" spans="1:10">
      <c r="A5" s="324" t="s">
        <v>179</v>
      </c>
      <c r="B5" s="273"/>
      <c r="C5" s="273"/>
      <c r="D5" s="9"/>
      <c r="E5" s="9"/>
      <c r="F5" s="9"/>
      <c r="G5" s="9"/>
      <c r="H5" s="207"/>
      <c r="I5" s="207"/>
      <c r="J5" s="207"/>
    </row>
    <row r="6" spans="1:10">
      <c r="A6" s="324" t="s">
        <v>98</v>
      </c>
      <c r="B6" s="273"/>
      <c r="C6" s="273"/>
      <c r="D6" s="9"/>
      <c r="E6" s="9"/>
      <c r="F6" s="9"/>
      <c r="G6" s="9"/>
      <c r="H6" s="207"/>
      <c r="I6" s="207"/>
      <c r="J6" s="207"/>
    </row>
    <row r="7" spans="1:10">
      <c r="A7" s="273" t="s">
        <v>180</v>
      </c>
      <c r="B7" s="273"/>
      <c r="C7" s="273"/>
      <c r="D7" s="9"/>
      <c r="E7" s="9"/>
      <c r="F7" s="9"/>
      <c r="G7" s="9"/>
      <c r="H7" s="207"/>
      <c r="I7" s="207"/>
      <c r="J7" s="207"/>
    </row>
    <row r="8" spans="1:10" s="387" customFormat="1" ht="46.5">
      <c r="A8" s="383" t="s">
        <v>163</v>
      </c>
      <c r="B8" s="384" t="s">
        <v>32</v>
      </c>
      <c r="C8" s="385" t="s">
        <v>140</v>
      </c>
      <c r="D8" s="386" t="s">
        <v>181</v>
      </c>
      <c r="E8" s="386" t="s">
        <v>182</v>
      </c>
      <c r="F8" s="385" t="s">
        <v>183</v>
      </c>
      <c r="G8" s="386" t="s">
        <v>63</v>
      </c>
      <c r="H8" s="386" t="s">
        <v>33</v>
      </c>
      <c r="I8" s="386" t="s">
        <v>36</v>
      </c>
    </row>
    <row r="9" spans="1:10">
      <c r="A9" s="8"/>
      <c r="B9" s="128"/>
      <c r="C9" s="128"/>
      <c r="D9" s="243"/>
      <c r="E9" s="325"/>
      <c r="F9" s="128"/>
      <c r="G9" s="102">
        <v>0</v>
      </c>
      <c r="H9" s="126">
        <v>0</v>
      </c>
      <c r="I9" s="326">
        <f>H9*G9</f>
        <v>0</v>
      </c>
    </row>
    <row r="10" spans="1:10">
      <c r="A10" s="8"/>
      <c r="B10" s="111"/>
      <c r="C10" s="111"/>
      <c r="D10" s="243"/>
      <c r="E10" s="243"/>
      <c r="F10" s="111"/>
      <c r="G10" s="4">
        <v>0</v>
      </c>
      <c r="H10" s="126">
        <v>0</v>
      </c>
      <c r="I10" s="326">
        <f t="shared" ref="I10:I25" si="0">H10*G10</f>
        <v>0</v>
      </c>
    </row>
    <row r="11" spans="1:10">
      <c r="A11" s="8"/>
      <c r="B11" s="111"/>
      <c r="C11" s="111"/>
      <c r="D11" s="244"/>
      <c r="E11" s="244"/>
      <c r="F11" s="111"/>
      <c r="G11" s="4">
        <v>0</v>
      </c>
      <c r="H11" s="126">
        <v>0</v>
      </c>
      <c r="I11" s="326">
        <f t="shared" si="0"/>
        <v>0</v>
      </c>
    </row>
    <row r="12" spans="1:10">
      <c r="A12" s="8"/>
      <c r="B12" s="111"/>
      <c r="C12" s="111"/>
      <c r="D12" s="244"/>
      <c r="E12" s="244"/>
      <c r="F12" s="111"/>
      <c r="G12" s="4">
        <v>0</v>
      </c>
      <c r="H12" s="126">
        <v>0</v>
      </c>
      <c r="I12" s="326">
        <f t="shared" si="0"/>
        <v>0</v>
      </c>
    </row>
    <row r="13" spans="1:10">
      <c r="A13" s="8"/>
      <c r="B13" s="111"/>
      <c r="C13" s="111"/>
      <c r="D13" s="244"/>
      <c r="E13" s="244"/>
      <c r="F13" s="111"/>
      <c r="G13" s="4">
        <v>0</v>
      </c>
      <c r="H13" s="126">
        <v>0</v>
      </c>
      <c r="I13" s="326">
        <f t="shared" si="0"/>
        <v>0</v>
      </c>
    </row>
    <row r="14" spans="1:10">
      <c r="A14" s="8"/>
      <c r="B14" s="111"/>
      <c r="C14" s="111"/>
      <c r="D14" s="244"/>
      <c r="E14" s="244"/>
      <c r="F14" s="111"/>
      <c r="G14" s="4">
        <v>0</v>
      </c>
      <c r="H14" s="126">
        <v>0</v>
      </c>
      <c r="I14" s="326">
        <f t="shared" si="0"/>
        <v>0</v>
      </c>
    </row>
    <row r="15" spans="1:10">
      <c r="A15" s="8"/>
      <c r="B15" s="111"/>
      <c r="C15" s="111"/>
      <c r="D15" s="244"/>
      <c r="E15" s="244"/>
      <c r="F15" s="111"/>
      <c r="G15" s="4">
        <v>0</v>
      </c>
      <c r="H15" s="126">
        <v>0</v>
      </c>
      <c r="I15" s="326">
        <f t="shared" si="0"/>
        <v>0</v>
      </c>
    </row>
    <row r="16" spans="1:10">
      <c r="A16" s="8"/>
      <c r="B16" s="111"/>
      <c r="C16" s="111"/>
      <c r="D16" s="244"/>
      <c r="E16" s="244"/>
      <c r="F16" s="111"/>
      <c r="G16" s="4">
        <v>0</v>
      </c>
      <c r="H16" s="126">
        <v>0</v>
      </c>
      <c r="I16" s="326">
        <f t="shared" si="0"/>
        <v>0</v>
      </c>
    </row>
    <row r="17" spans="1:9">
      <c r="A17" s="8"/>
      <c r="B17" s="111"/>
      <c r="C17" s="111"/>
      <c r="D17" s="244"/>
      <c r="E17" s="244"/>
      <c r="F17" s="111"/>
      <c r="G17" s="4">
        <v>0</v>
      </c>
      <c r="H17" s="126">
        <v>0</v>
      </c>
      <c r="I17" s="326">
        <f t="shared" si="0"/>
        <v>0</v>
      </c>
    </row>
    <row r="18" spans="1:9">
      <c r="A18" s="8"/>
      <c r="B18" s="111"/>
      <c r="C18" s="111"/>
      <c r="D18" s="244"/>
      <c r="E18" s="244"/>
      <c r="F18" s="111"/>
      <c r="G18" s="4">
        <v>0</v>
      </c>
      <c r="H18" s="126">
        <v>0</v>
      </c>
      <c r="I18" s="326">
        <f t="shared" si="0"/>
        <v>0</v>
      </c>
    </row>
    <row r="19" spans="1:9">
      <c r="A19" s="8"/>
      <c r="B19" s="111"/>
      <c r="C19" s="111"/>
      <c r="D19" s="244"/>
      <c r="E19" s="244"/>
      <c r="F19" s="111"/>
      <c r="G19" s="4">
        <v>0</v>
      </c>
      <c r="H19" s="126">
        <v>0</v>
      </c>
      <c r="I19" s="326">
        <f t="shared" si="0"/>
        <v>0</v>
      </c>
    </row>
    <row r="20" spans="1:9">
      <c r="A20" s="8"/>
      <c r="B20" s="111"/>
      <c r="C20" s="111"/>
      <c r="D20" s="244"/>
      <c r="E20" s="244"/>
      <c r="F20" s="111"/>
      <c r="G20" s="4">
        <v>0</v>
      </c>
      <c r="H20" s="126">
        <v>0</v>
      </c>
      <c r="I20" s="326">
        <f t="shared" si="0"/>
        <v>0</v>
      </c>
    </row>
    <row r="21" spans="1:9">
      <c r="A21" s="8"/>
      <c r="B21" s="111"/>
      <c r="C21" s="111"/>
      <c r="D21" s="244"/>
      <c r="E21" s="244"/>
      <c r="F21" s="111"/>
      <c r="G21" s="4">
        <v>0</v>
      </c>
      <c r="H21" s="126">
        <v>0</v>
      </c>
      <c r="I21" s="326">
        <f t="shared" si="0"/>
        <v>0</v>
      </c>
    </row>
    <row r="22" spans="1:9">
      <c r="A22" s="8"/>
      <c r="B22" s="111"/>
      <c r="C22" s="111"/>
      <c r="D22" s="244"/>
      <c r="E22" s="244"/>
      <c r="F22" s="111"/>
      <c r="G22" s="4">
        <v>0</v>
      </c>
      <c r="H22" s="126">
        <v>0</v>
      </c>
      <c r="I22" s="326">
        <f t="shared" si="0"/>
        <v>0</v>
      </c>
    </row>
    <row r="23" spans="1:9">
      <c r="A23" s="8"/>
      <c r="B23" s="111"/>
      <c r="C23" s="111"/>
      <c r="D23" s="244"/>
      <c r="E23" s="244"/>
      <c r="F23" s="111"/>
      <c r="G23" s="4">
        <v>0</v>
      </c>
      <c r="H23" s="126">
        <v>0</v>
      </c>
      <c r="I23" s="326">
        <f t="shared" si="0"/>
        <v>0</v>
      </c>
    </row>
    <row r="24" spans="1:9">
      <c r="A24" s="8"/>
      <c r="B24" s="111"/>
      <c r="C24" s="111"/>
      <c r="D24" s="244"/>
      <c r="E24" s="244"/>
      <c r="F24" s="111"/>
      <c r="G24" s="4">
        <v>0</v>
      </c>
      <c r="H24" s="126">
        <v>0</v>
      </c>
      <c r="I24" s="326">
        <f t="shared" si="0"/>
        <v>0</v>
      </c>
    </row>
    <row r="25" spans="1:9" ht="18" thickBot="1">
      <c r="A25" s="8"/>
      <c r="B25" s="115"/>
      <c r="C25" s="115"/>
      <c r="D25" s="245"/>
      <c r="E25" s="245"/>
      <c r="F25" s="115"/>
      <c r="G25" s="4">
        <v>0</v>
      </c>
      <c r="H25" s="126">
        <v>0</v>
      </c>
      <c r="I25" s="326">
        <f t="shared" si="0"/>
        <v>0</v>
      </c>
    </row>
    <row r="26" spans="1:9" ht="19.5">
      <c r="B26" s="36"/>
      <c r="C26" s="37"/>
      <c r="D26" s="37"/>
      <c r="E26" s="37"/>
      <c r="F26" s="215" t="s">
        <v>34</v>
      </c>
      <c r="H26" s="38"/>
      <c r="I26" s="327">
        <f>SUM(I9:I25)</f>
        <v>0</v>
      </c>
    </row>
    <row r="27" spans="1:9" ht="18" thickBot="1">
      <c r="B27" s="39"/>
      <c r="C27" s="40"/>
      <c r="D27" s="40"/>
      <c r="E27" s="40"/>
      <c r="F27" s="40"/>
      <c r="G27" s="40"/>
      <c r="H27" s="41"/>
      <c r="I27" s="35"/>
    </row>
  </sheetData>
  <phoneticPr fontId="22" type="noConversion"/>
  <pageMargins left="0.7" right="0.7" top="0.75" bottom="0.75" header="0.3" footer="0.3"/>
  <pageSetup scale="81"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23"/>
  <sheetViews>
    <sheetView zoomScaleNormal="100" workbookViewId="0"/>
  </sheetViews>
  <sheetFormatPr defaultRowHeight="17.25"/>
  <cols>
    <col min="1" max="1" width="25.125" customWidth="1"/>
    <col min="2" max="2" width="16" customWidth="1"/>
    <col min="4" max="4" width="8.125" customWidth="1"/>
    <col min="7" max="7" width="14.75" customWidth="1"/>
  </cols>
  <sheetData>
    <row r="1" spans="1:7" s="202" customFormat="1" ht="18.75">
      <c r="A1" s="259" t="s">
        <v>231</v>
      </c>
    </row>
    <row r="2" spans="1:7">
      <c r="A2" s="486" t="s">
        <v>189</v>
      </c>
      <c r="B2" s="486"/>
      <c r="C2" s="486"/>
      <c r="D2" s="486"/>
      <c r="E2" s="486"/>
      <c r="F2" s="462"/>
    </row>
    <row r="3" spans="1:7">
      <c r="A3" s="486" t="s">
        <v>190</v>
      </c>
      <c r="B3" s="486"/>
      <c r="C3" s="486"/>
      <c r="D3" s="486"/>
      <c r="E3" s="486"/>
      <c r="F3" s="486"/>
    </row>
    <row r="4" spans="1:7">
      <c r="A4" s="486" t="s">
        <v>191</v>
      </c>
      <c r="B4" s="486"/>
      <c r="C4" s="486"/>
      <c r="D4" s="202"/>
      <c r="E4" s="202"/>
      <c r="F4" s="202"/>
    </row>
    <row r="5" spans="1:7">
      <c r="C5" s="539" t="s">
        <v>137</v>
      </c>
      <c r="D5" s="540"/>
      <c r="E5" s="540"/>
      <c r="F5" s="540"/>
      <c r="G5" s="541"/>
    </row>
    <row r="6" spans="1:7" s="387" customFormat="1" ht="34.5" customHeight="1">
      <c r="A6" s="493" t="s">
        <v>16</v>
      </c>
      <c r="B6" s="492" t="s">
        <v>21</v>
      </c>
      <c r="C6" s="535" t="s">
        <v>268</v>
      </c>
      <c r="D6" s="536" t="s">
        <v>269</v>
      </c>
      <c r="E6" s="537" t="s">
        <v>18</v>
      </c>
      <c r="F6" s="538" t="s">
        <v>19</v>
      </c>
      <c r="G6" s="536" t="s">
        <v>270</v>
      </c>
    </row>
    <row r="7" spans="1:7">
      <c r="A7" s="481"/>
      <c r="B7" s="2"/>
      <c r="C7" s="3">
        <v>0</v>
      </c>
      <c r="D7" s="4">
        <v>0</v>
      </c>
      <c r="E7" s="2">
        <v>0</v>
      </c>
      <c r="F7" s="2">
        <v>0</v>
      </c>
      <c r="G7" s="328">
        <f>(C7*D7)+E7+F7</f>
        <v>0</v>
      </c>
    </row>
    <row r="8" spans="1:7">
      <c r="A8" s="533"/>
      <c r="B8" s="5"/>
      <c r="C8" s="6">
        <v>0</v>
      </c>
      <c r="D8" s="4">
        <v>0</v>
      </c>
      <c r="E8" s="2">
        <v>0</v>
      </c>
      <c r="F8" s="2">
        <v>0</v>
      </c>
      <c r="G8" s="328">
        <f t="shared" ref="G8:G22" si="0">(C8*D8)+E8+F8</f>
        <v>0</v>
      </c>
    </row>
    <row r="9" spans="1:7">
      <c r="A9" s="533"/>
      <c r="B9" s="5"/>
      <c r="C9" s="3">
        <v>0</v>
      </c>
      <c r="D9" s="4">
        <v>0</v>
      </c>
      <c r="E9" s="2">
        <v>0</v>
      </c>
      <c r="F9" s="2">
        <v>0</v>
      </c>
      <c r="G9" s="328">
        <f t="shared" si="0"/>
        <v>0</v>
      </c>
    </row>
    <row r="10" spans="1:7">
      <c r="A10" s="533"/>
      <c r="B10" s="5"/>
      <c r="C10" s="3">
        <v>0</v>
      </c>
      <c r="D10" s="4">
        <v>0</v>
      </c>
      <c r="E10" s="2">
        <v>0</v>
      </c>
      <c r="F10" s="2">
        <v>0</v>
      </c>
      <c r="G10" s="328">
        <f t="shared" si="0"/>
        <v>0</v>
      </c>
    </row>
    <row r="11" spans="1:7">
      <c r="A11" s="533"/>
      <c r="B11" s="5"/>
      <c r="C11" s="3">
        <v>0</v>
      </c>
      <c r="D11" s="4">
        <v>0</v>
      </c>
      <c r="E11" s="2">
        <v>0</v>
      </c>
      <c r="F11" s="2">
        <v>0</v>
      </c>
      <c r="G11" s="328">
        <f t="shared" si="0"/>
        <v>0</v>
      </c>
    </row>
    <row r="12" spans="1:7">
      <c r="A12" s="533"/>
      <c r="B12" s="5"/>
      <c r="C12" s="3">
        <v>0</v>
      </c>
      <c r="D12" s="4">
        <v>0</v>
      </c>
      <c r="E12" s="2">
        <v>0</v>
      </c>
      <c r="F12" s="2">
        <v>0</v>
      </c>
      <c r="G12" s="328">
        <f t="shared" si="0"/>
        <v>0</v>
      </c>
    </row>
    <row r="13" spans="1:7">
      <c r="A13" s="533"/>
      <c r="B13" s="5"/>
      <c r="C13" s="3">
        <v>0</v>
      </c>
      <c r="D13" s="4">
        <v>0</v>
      </c>
      <c r="E13" s="2">
        <v>0</v>
      </c>
      <c r="F13" s="2">
        <v>0</v>
      </c>
      <c r="G13" s="328">
        <f t="shared" si="0"/>
        <v>0</v>
      </c>
    </row>
    <row r="14" spans="1:7">
      <c r="A14" s="533"/>
      <c r="B14" s="5"/>
      <c r="C14" s="3">
        <v>0</v>
      </c>
      <c r="D14" s="4">
        <v>0</v>
      </c>
      <c r="E14" s="2">
        <v>0</v>
      </c>
      <c r="F14" s="2">
        <v>0</v>
      </c>
      <c r="G14" s="328">
        <f t="shared" si="0"/>
        <v>0</v>
      </c>
    </row>
    <row r="15" spans="1:7">
      <c r="A15" s="533"/>
      <c r="B15" s="5"/>
      <c r="C15" s="3">
        <v>0</v>
      </c>
      <c r="D15" s="4">
        <v>0</v>
      </c>
      <c r="E15" s="2">
        <v>0</v>
      </c>
      <c r="F15" s="2">
        <v>0</v>
      </c>
      <c r="G15" s="328">
        <f t="shared" si="0"/>
        <v>0</v>
      </c>
    </row>
    <row r="16" spans="1:7">
      <c r="A16" s="533"/>
      <c r="B16" s="5"/>
      <c r="C16" s="3">
        <v>0</v>
      </c>
      <c r="D16" s="4">
        <v>0</v>
      </c>
      <c r="E16" s="2">
        <v>0</v>
      </c>
      <c r="F16" s="2">
        <v>0</v>
      </c>
      <c r="G16" s="328">
        <f t="shared" si="0"/>
        <v>0</v>
      </c>
    </row>
    <row r="17" spans="1:8">
      <c r="A17" s="533"/>
      <c r="B17" s="5"/>
      <c r="C17" s="3">
        <v>0</v>
      </c>
      <c r="D17" s="4">
        <v>0</v>
      </c>
      <c r="E17" s="2">
        <v>0</v>
      </c>
      <c r="F17" s="2">
        <v>0</v>
      </c>
      <c r="G17" s="328">
        <f t="shared" si="0"/>
        <v>0</v>
      </c>
    </row>
    <row r="18" spans="1:8">
      <c r="A18" s="533"/>
      <c r="B18" s="5"/>
      <c r="C18" s="3">
        <v>0</v>
      </c>
      <c r="D18" s="4">
        <v>0</v>
      </c>
      <c r="E18" s="2">
        <v>0</v>
      </c>
      <c r="F18" s="2">
        <v>0</v>
      </c>
      <c r="G18" s="328">
        <f t="shared" si="0"/>
        <v>0</v>
      </c>
    </row>
    <row r="19" spans="1:8">
      <c r="A19" s="533"/>
      <c r="B19" s="5"/>
      <c r="C19" s="3">
        <v>0</v>
      </c>
      <c r="D19" s="4">
        <v>0</v>
      </c>
      <c r="E19" s="2">
        <v>0</v>
      </c>
      <c r="F19" s="2">
        <v>0</v>
      </c>
      <c r="G19" s="328">
        <f t="shared" si="0"/>
        <v>0</v>
      </c>
    </row>
    <row r="20" spans="1:8">
      <c r="A20" s="533"/>
      <c r="B20" s="5"/>
      <c r="C20" s="3">
        <v>0</v>
      </c>
      <c r="D20" s="4">
        <v>0</v>
      </c>
      <c r="E20" s="2">
        <v>0</v>
      </c>
      <c r="F20" s="2">
        <v>0</v>
      </c>
      <c r="G20" s="328">
        <f t="shared" si="0"/>
        <v>0</v>
      </c>
    </row>
    <row r="21" spans="1:8">
      <c r="A21" s="533"/>
      <c r="B21" s="5"/>
      <c r="C21" s="3">
        <v>0</v>
      </c>
      <c r="D21" s="4">
        <v>0</v>
      </c>
      <c r="E21" s="2">
        <v>0</v>
      </c>
      <c r="F21" s="2">
        <v>0</v>
      </c>
      <c r="G21" s="328">
        <f t="shared" si="0"/>
        <v>0</v>
      </c>
    </row>
    <row r="22" spans="1:8" ht="18" thickBot="1">
      <c r="A22" s="534"/>
      <c r="B22" s="205"/>
      <c r="C22" s="206">
        <v>0</v>
      </c>
      <c r="D22" s="132">
        <v>0</v>
      </c>
      <c r="E22" s="151">
        <v>0</v>
      </c>
      <c r="F22" s="151">
        <v>0</v>
      </c>
      <c r="G22" s="329">
        <f t="shared" si="0"/>
        <v>0</v>
      </c>
    </row>
    <row r="23" spans="1:8" ht="18" thickBot="1">
      <c r="A23" s="233"/>
      <c r="B23" s="56"/>
      <c r="C23" s="56"/>
      <c r="D23" s="204" t="s">
        <v>20</v>
      </c>
      <c r="E23" s="56"/>
      <c r="F23" s="56"/>
      <c r="G23" s="330">
        <f>SUM(G7:G22)</f>
        <v>0</v>
      </c>
      <c r="H23" s="7"/>
    </row>
  </sheetData>
  <phoneticPr fontId="22" type="noConversion"/>
  <pageMargins left="0.7" right="0.7"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249977111117893"/>
  </sheetPr>
  <dimension ref="A1:L16"/>
  <sheetViews>
    <sheetView zoomScaleNormal="100" workbookViewId="0"/>
  </sheetViews>
  <sheetFormatPr defaultRowHeight="17.25"/>
  <cols>
    <col min="1" max="1" width="15.875" customWidth="1"/>
    <col min="2" max="2" width="12.125" customWidth="1"/>
    <col min="3" max="3" width="8.375" customWidth="1"/>
    <col min="4" max="4" width="11.125" customWidth="1"/>
    <col min="5" max="5" width="8.125" customWidth="1"/>
    <col min="9" max="9" width="9.125" customWidth="1"/>
    <col min="10" max="10" width="10.625" customWidth="1"/>
    <col min="12" max="12" width="10.75" customWidth="1"/>
  </cols>
  <sheetData>
    <row r="1" spans="1:12" ht="21.75">
      <c r="A1" s="542" t="s">
        <v>235</v>
      </c>
      <c r="B1" s="542"/>
      <c r="C1" s="221"/>
    </row>
    <row r="2" spans="1:12" ht="21.75" customHeight="1">
      <c r="A2" s="461" t="s">
        <v>138</v>
      </c>
      <c r="B2" s="461"/>
      <c r="C2" s="461"/>
      <c r="D2" s="461"/>
      <c r="E2" s="461"/>
    </row>
    <row r="3" spans="1:12" ht="21.75" customHeight="1">
      <c r="A3" s="551" t="s">
        <v>25</v>
      </c>
      <c r="B3" s="551"/>
      <c r="C3" s="551"/>
      <c r="D3" s="551"/>
    </row>
    <row r="4" spans="1:12" ht="40.5">
      <c r="A4" s="547" t="s">
        <v>16</v>
      </c>
      <c r="B4" s="548" t="s">
        <v>22</v>
      </c>
      <c r="C4" s="550" t="s">
        <v>272</v>
      </c>
      <c r="D4" s="549" t="s">
        <v>271</v>
      </c>
      <c r="E4" s="96" t="s">
        <v>17</v>
      </c>
      <c r="F4" s="97" t="s">
        <v>37</v>
      </c>
      <c r="G4" s="95" t="s">
        <v>23</v>
      </c>
      <c r="H4" s="98" t="s">
        <v>18</v>
      </c>
      <c r="I4" s="99" t="s">
        <v>19</v>
      </c>
      <c r="J4" s="100" t="s">
        <v>38</v>
      </c>
      <c r="K4" s="100" t="s">
        <v>33</v>
      </c>
      <c r="L4" s="100" t="s">
        <v>39</v>
      </c>
    </row>
    <row r="5" spans="1:12">
      <c r="A5" s="543"/>
      <c r="B5" s="267"/>
      <c r="C5" s="248">
        <v>40804</v>
      </c>
      <c r="D5" s="546">
        <v>40808</v>
      </c>
      <c r="E5" s="249">
        <v>0</v>
      </c>
      <c r="F5" s="214">
        <v>0.5</v>
      </c>
      <c r="G5" s="13">
        <v>0</v>
      </c>
      <c r="H5" s="13">
        <v>0</v>
      </c>
      <c r="I5" s="13">
        <v>0</v>
      </c>
      <c r="J5" s="13">
        <v>0</v>
      </c>
      <c r="K5" s="251">
        <v>0</v>
      </c>
      <c r="L5" s="144">
        <f>(E5*F5)+(G5+H5+I5+J5)*K5</f>
        <v>0</v>
      </c>
    </row>
    <row r="6" spans="1:12">
      <c r="A6" s="544"/>
      <c r="B6" s="268"/>
      <c r="C6" s="247"/>
      <c r="D6" s="247"/>
      <c r="E6" s="250">
        <v>0</v>
      </c>
      <c r="F6" s="214">
        <v>0.5</v>
      </c>
      <c r="G6" s="2">
        <v>0</v>
      </c>
      <c r="H6" s="2">
        <v>0</v>
      </c>
      <c r="I6" s="2">
        <v>0</v>
      </c>
      <c r="J6" s="2">
        <v>0</v>
      </c>
      <c r="K6" s="252">
        <v>0</v>
      </c>
      <c r="L6" s="144">
        <f t="shared" ref="L6:L14" si="0">(E6*F6)+(G6+H6+I6+J6)*K6</f>
        <v>0</v>
      </c>
    </row>
    <row r="7" spans="1:12">
      <c r="A7" s="545"/>
      <c r="B7" s="268"/>
      <c r="C7" s="5"/>
      <c r="D7" s="3"/>
      <c r="E7" s="209"/>
      <c r="F7" s="214"/>
      <c r="G7" s="2"/>
      <c r="H7" s="2"/>
      <c r="I7" s="2"/>
      <c r="J7" s="2"/>
      <c r="K7" s="212"/>
      <c r="L7" s="144">
        <f t="shared" si="0"/>
        <v>0</v>
      </c>
    </row>
    <row r="8" spans="1:12">
      <c r="A8" s="545"/>
      <c r="B8" s="268"/>
      <c r="C8" s="5"/>
      <c r="D8" s="3"/>
      <c r="E8" s="210"/>
      <c r="F8" s="214"/>
      <c r="G8" s="2"/>
      <c r="H8" s="2"/>
      <c r="I8" s="2"/>
      <c r="J8" s="2"/>
      <c r="K8" s="212"/>
      <c r="L8" s="144">
        <f t="shared" si="0"/>
        <v>0</v>
      </c>
    </row>
    <row r="9" spans="1:12">
      <c r="A9" s="545"/>
      <c r="B9" s="268"/>
      <c r="C9" s="216"/>
      <c r="D9" s="3"/>
      <c r="E9" s="210"/>
      <c r="F9" s="214"/>
      <c r="G9" s="2"/>
      <c r="H9" s="2"/>
      <c r="I9" s="2"/>
      <c r="J9" s="2"/>
      <c r="K9" s="203"/>
      <c r="L9" s="144">
        <f t="shared" si="0"/>
        <v>0</v>
      </c>
    </row>
    <row r="10" spans="1:12">
      <c r="A10" s="545"/>
      <c r="B10" s="268"/>
      <c r="C10" s="42"/>
      <c r="D10" s="12"/>
      <c r="E10" s="211"/>
      <c r="F10" s="20"/>
      <c r="G10" s="14"/>
      <c r="H10" s="12"/>
      <c r="I10" s="12"/>
      <c r="J10" s="12"/>
      <c r="K10" s="213"/>
      <c r="L10" s="144">
        <f t="shared" si="0"/>
        <v>0</v>
      </c>
    </row>
    <row r="11" spans="1:12">
      <c r="A11" s="545"/>
      <c r="B11" s="268"/>
      <c r="C11" s="42"/>
      <c r="D11" s="12"/>
      <c r="E11" s="211"/>
      <c r="F11" s="20"/>
      <c r="G11" s="14"/>
      <c r="H11" s="12"/>
      <c r="I11" s="12"/>
      <c r="J11" s="12"/>
      <c r="K11" s="213"/>
      <c r="L11" s="144">
        <f t="shared" si="0"/>
        <v>0</v>
      </c>
    </row>
    <row r="12" spans="1:12">
      <c r="A12" s="545"/>
      <c r="B12" s="268"/>
      <c r="C12" s="42"/>
      <c r="D12" s="12"/>
      <c r="E12" s="211"/>
      <c r="F12" s="20"/>
      <c r="G12" s="14"/>
      <c r="H12" s="12"/>
      <c r="I12" s="12"/>
      <c r="J12" s="12"/>
      <c r="K12" s="213"/>
      <c r="L12" s="144">
        <f t="shared" si="0"/>
        <v>0</v>
      </c>
    </row>
    <row r="13" spans="1:12">
      <c r="A13" s="545"/>
      <c r="B13" s="268"/>
      <c r="C13" s="42"/>
      <c r="D13" s="12"/>
      <c r="E13" s="211"/>
      <c r="F13" s="20"/>
      <c r="G13" s="14"/>
      <c r="H13" s="12"/>
      <c r="I13" s="12"/>
      <c r="J13" s="12"/>
      <c r="K13" s="213"/>
      <c r="L13" s="144">
        <f t="shared" si="0"/>
        <v>0</v>
      </c>
    </row>
    <row r="14" spans="1:12" ht="18" thickBot="1">
      <c r="A14" s="545"/>
      <c r="B14" s="268"/>
      <c r="C14" s="42"/>
      <c r="D14" s="12"/>
      <c r="E14" s="211"/>
      <c r="F14" s="20"/>
      <c r="G14" s="222"/>
      <c r="H14" s="222"/>
      <c r="I14" s="222"/>
      <c r="J14" s="222"/>
      <c r="K14" s="223"/>
      <c r="L14" s="224">
        <f t="shared" si="0"/>
        <v>0</v>
      </c>
    </row>
    <row r="15" spans="1:12" ht="18" thickBot="1">
      <c r="A15" s="17"/>
      <c r="B15" s="11"/>
      <c r="C15" s="9"/>
      <c r="D15" s="9"/>
      <c r="E15" s="9"/>
      <c r="F15" s="9"/>
      <c r="G15" s="225" t="s">
        <v>24</v>
      </c>
      <c r="H15" s="23"/>
      <c r="I15" s="23"/>
      <c r="J15" s="23"/>
      <c r="K15" s="23"/>
      <c r="L15" s="226">
        <f>SUM(L5:L14)</f>
        <v>0</v>
      </c>
    </row>
    <row r="16" spans="1:12">
      <c r="B16" s="10"/>
      <c r="C16" s="10"/>
      <c r="D16" s="10"/>
      <c r="E16" s="10"/>
      <c r="F16" s="10"/>
      <c r="G16" s="10"/>
      <c r="H16" s="10"/>
      <c r="I16" s="10"/>
      <c r="J16" s="10"/>
      <c r="K16" s="10"/>
      <c r="L16" s="10"/>
    </row>
  </sheetData>
  <phoneticPr fontId="22" type="noConversion"/>
  <pageMargins left="0.7" right="0.7" top="0.75" bottom="0.75" header="0.3" footer="0.3"/>
  <pageSetup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249977111117893"/>
  </sheetPr>
  <dimension ref="A1:I35"/>
  <sheetViews>
    <sheetView zoomScaleNormal="100" workbookViewId="0"/>
  </sheetViews>
  <sheetFormatPr defaultRowHeight="17.25"/>
  <cols>
    <col min="1" max="1" width="32.25" customWidth="1"/>
    <col min="2" max="2" width="10.75" customWidth="1"/>
    <col min="3" max="3" width="10.5" customWidth="1"/>
    <col min="4" max="4" width="11.75" customWidth="1"/>
    <col min="5" max="5" width="12.75" customWidth="1"/>
    <col min="8" max="8" width="14.375" customWidth="1"/>
  </cols>
  <sheetData>
    <row r="1" spans="1:9" ht="19.5">
      <c r="A1" s="497" t="s">
        <v>232</v>
      </c>
    </row>
    <row r="2" spans="1:9">
      <c r="A2" s="556" t="s">
        <v>143</v>
      </c>
      <c r="B2" s="556"/>
      <c r="C2" s="556"/>
      <c r="D2" s="556"/>
      <c r="E2" s="556"/>
    </row>
    <row r="3" spans="1:9">
      <c r="A3" s="557" t="s">
        <v>282</v>
      </c>
      <c r="B3" s="557"/>
      <c r="C3" s="557"/>
      <c r="D3" s="557"/>
      <c r="E3" s="557"/>
      <c r="F3" s="557"/>
      <c r="G3" s="557"/>
      <c r="H3" s="557"/>
      <c r="I3" s="557"/>
    </row>
    <row r="4" spans="1:9" ht="17.25" customHeight="1">
      <c r="A4" s="557" t="s">
        <v>276</v>
      </c>
      <c r="B4" s="557"/>
      <c r="C4" s="557"/>
      <c r="D4" s="557"/>
      <c r="E4" s="557"/>
      <c r="F4" s="557"/>
      <c r="G4" s="557"/>
      <c r="H4" s="557"/>
      <c r="I4" s="557"/>
    </row>
    <row r="5" spans="1:9">
      <c r="A5" s="557" t="s">
        <v>277</v>
      </c>
      <c r="B5" s="557"/>
      <c r="C5" s="557"/>
      <c r="D5" s="557"/>
      <c r="E5" s="557"/>
      <c r="F5" s="557"/>
      <c r="G5" s="557"/>
      <c r="H5" s="557"/>
      <c r="I5" s="557"/>
    </row>
    <row r="6" spans="1:9">
      <c r="A6" s="557" t="s">
        <v>278</v>
      </c>
      <c r="B6" s="557"/>
      <c r="C6" s="557"/>
      <c r="D6" s="557"/>
      <c r="E6" s="557"/>
      <c r="F6" s="557"/>
      <c r="G6" s="557"/>
      <c r="H6" s="557"/>
      <c r="I6" s="557"/>
    </row>
    <row r="7" spans="1:9">
      <c r="A7" s="557" t="s">
        <v>279</v>
      </c>
      <c r="B7" s="557"/>
      <c r="C7" s="557"/>
      <c r="D7" s="557"/>
      <c r="E7" s="557"/>
      <c r="F7" s="557"/>
      <c r="G7" s="557"/>
      <c r="H7" s="557"/>
      <c r="I7" s="557"/>
    </row>
    <row r="8" spans="1:9">
      <c r="A8" s="557" t="s">
        <v>280</v>
      </c>
      <c r="B8" s="557"/>
      <c r="C8" s="557"/>
      <c r="D8" s="557"/>
      <c r="E8" s="557"/>
      <c r="F8" s="557"/>
      <c r="G8" s="557"/>
      <c r="H8" s="557"/>
      <c r="I8" s="557"/>
    </row>
    <row r="9" spans="1:9">
      <c r="A9" s="557" t="s">
        <v>281</v>
      </c>
      <c r="B9" s="557"/>
      <c r="C9" s="557"/>
      <c r="D9" s="557"/>
      <c r="E9" s="557"/>
      <c r="F9" s="557"/>
      <c r="G9" s="557"/>
      <c r="H9" s="557"/>
      <c r="I9" s="557"/>
    </row>
    <row r="10" spans="1:9" ht="38.25">
      <c r="A10" s="552" t="s">
        <v>62</v>
      </c>
      <c r="B10" s="87" t="s">
        <v>114</v>
      </c>
      <c r="C10" s="87" t="s">
        <v>165</v>
      </c>
      <c r="D10" s="87" t="s">
        <v>33</v>
      </c>
      <c r="E10" s="88" t="s">
        <v>63</v>
      </c>
      <c r="F10" s="174"/>
      <c r="G10" s="174"/>
      <c r="H10" s="174"/>
    </row>
    <row r="11" spans="1:9">
      <c r="A11" s="50" t="s">
        <v>64</v>
      </c>
      <c r="B11" s="129"/>
      <c r="C11" s="4">
        <v>0</v>
      </c>
      <c r="D11" s="103">
        <v>1</v>
      </c>
      <c r="E11" s="331">
        <f>(D11*C11)*B11</f>
        <v>0</v>
      </c>
      <c r="F11" s="174"/>
      <c r="G11" s="174"/>
      <c r="H11" s="174"/>
    </row>
    <row r="12" spans="1:9">
      <c r="A12" s="51" t="s">
        <v>65</v>
      </c>
      <c r="B12" s="130"/>
      <c r="C12" s="4"/>
      <c r="D12" s="103"/>
      <c r="E12" s="331">
        <f t="shared" ref="E12:E20" si="0">(D12*C12)*B12</f>
        <v>0</v>
      </c>
      <c r="F12" s="174"/>
      <c r="G12" s="174"/>
      <c r="H12" s="174"/>
    </row>
    <row r="13" spans="1:9">
      <c r="A13" s="51" t="s">
        <v>2</v>
      </c>
      <c r="B13" s="130"/>
      <c r="C13" s="4"/>
      <c r="D13" s="103"/>
      <c r="E13" s="331">
        <f t="shared" si="0"/>
        <v>0</v>
      </c>
      <c r="F13" s="174"/>
      <c r="G13" s="174"/>
      <c r="H13" s="174"/>
    </row>
    <row r="14" spans="1:9" ht="17.25" customHeight="1">
      <c r="A14" s="500" t="s">
        <v>70</v>
      </c>
      <c r="B14" s="130"/>
      <c r="C14" s="4"/>
      <c r="D14" s="103"/>
      <c r="E14" s="331">
        <f t="shared" si="0"/>
        <v>0</v>
      </c>
      <c r="F14" s="174"/>
      <c r="G14" s="174"/>
      <c r="H14" s="174"/>
    </row>
    <row r="15" spans="1:9" ht="15.75" customHeight="1">
      <c r="A15" s="500" t="s">
        <v>69</v>
      </c>
      <c r="B15" s="130"/>
      <c r="C15" s="4"/>
      <c r="D15" s="103"/>
      <c r="E15" s="331">
        <f t="shared" si="0"/>
        <v>0</v>
      </c>
      <c r="F15" s="174"/>
      <c r="G15" s="174"/>
      <c r="H15" s="174"/>
    </row>
    <row r="16" spans="1:9" ht="15.75" customHeight="1">
      <c r="A16" s="60" t="s">
        <v>26</v>
      </c>
      <c r="B16" s="130"/>
      <c r="C16" s="4"/>
      <c r="D16" s="103"/>
      <c r="E16" s="331">
        <f t="shared" si="0"/>
        <v>0</v>
      </c>
      <c r="F16" s="174"/>
      <c r="G16" s="174"/>
      <c r="H16" s="174"/>
    </row>
    <row r="17" spans="1:8" ht="25.5" customHeight="1">
      <c r="A17" s="500" t="s">
        <v>71</v>
      </c>
      <c r="B17" s="130"/>
      <c r="C17" s="4"/>
      <c r="D17" s="103"/>
      <c r="E17" s="331">
        <f t="shared" si="0"/>
        <v>0</v>
      </c>
      <c r="F17" s="174"/>
      <c r="G17" s="174"/>
      <c r="H17" s="174"/>
    </row>
    <row r="18" spans="1:8" ht="25.5" customHeight="1">
      <c r="A18" s="500" t="s">
        <v>66</v>
      </c>
      <c r="B18" s="130"/>
      <c r="C18" s="4"/>
      <c r="D18" s="103"/>
      <c r="E18" s="331">
        <f t="shared" si="0"/>
        <v>0</v>
      </c>
      <c r="F18" s="174"/>
      <c r="G18" s="174"/>
      <c r="H18" s="174"/>
    </row>
    <row r="19" spans="1:8">
      <c r="A19" s="50" t="s">
        <v>65</v>
      </c>
      <c r="B19" s="131"/>
      <c r="C19" s="4"/>
      <c r="D19" s="103"/>
      <c r="E19" s="331">
        <f t="shared" si="0"/>
        <v>0</v>
      </c>
      <c r="F19" s="174"/>
      <c r="G19" s="174"/>
      <c r="H19" s="174"/>
    </row>
    <row r="20" spans="1:8" ht="18" thickBot="1">
      <c r="A20" s="50" t="s">
        <v>67</v>
      </c>
      <c r="B20" s="150"/>
      <c r="C20" s="132"/>
      <c r="D20" s="127"/>
      <c r="E20" s="331">
        <f t="shared" si="0"/>
        <v>0</v>
      </c>
      <c r="F20" s="174"/>
      <c r="G20" s="174"/>
      <c r="H20" s="174"/>
    </row>
    <row r="21" spans="1:8" ht="18" thickBot="1">
      <c r="A21" s="22"/>
      <c r="B21" s="23"/>
      <c r="C21" s="237" t="s">
        <v>68</v>
      </c>
      <c r="D21" s="23"/>
      <c r="E21" s="332">
        <f>SUM(E11:E20)</f>
        <v>0</v>
      </c>
      <c r="F21" s="174"/>
      <c r="G21" s="174"/>
      <c r="H21" s="174"/>
    </row>
    <row r="22" spans="1:8">
      <c r="A22" s="240" t="s">
        <v>72</v>
      </c>
      <c r="B22" s="55"/>
      <c r="C22" s="240"/>
      <c r="D22" s="55"/>
      <c r="E22" s="55"/>
      <c r="F22" s="174"/>
      <c r="G22" s="174"/>
      <c r="H22" s="174"/>
    </row>
    <row r="23" spans="1:8">
      <c r="A23" s="55" t="s">
        <v>110</v>
      </c>
      <c r="B23" s="55"/>
      <c r="C23" s="55"/>
      <c r="D23" s="55"/>
      <c r="E23" s="55"/>
      <c r="F23" s="174"/>
      <c r="G23" s="174"/>
      <c r="H23" s="174"/>
    </row>
    <row r="24" spans="1:8" ht="38.25">
      <c r="A24" s="498" t="s">
        <v>73</v>
      </c>
      <c r="B24" s="89" t="s">
        <v>82</v>
      </c>
      <c r="C24" s="272" t="s">
        <v>35</v>
      </c>
      <c r="D24" s="89" t="s">
        <v>74</v>
      </c>
      <c r="E24" s="90" t="s">
        <v>75</v>
      </c>
      <c r="F24" s="90" t="s">
        <v>33</v>
      </c>
      <c r="G24" s="87" t="s">
        <v>114</v>
      </c>
      <c r="H24" s="234" t="s">
        <v>76</v>
      </c>
    </row>
    <row r="25" spans="1:8" ht="15" customHeight="1">
      <c r="A25" s="494" t="s">
        <v>77</v>
      </c>
      <c r="B25" s="246"/>
      <c r="C25" s="555"/>
      <c r="D25" s="496"/>
      <c r="E25" s="217">
        <v>0</v>
      </c>
      <c r="F25" s="52">
        <v>0</v>
      </c>
      <c r="G25" s="333">
        <v>12</v>
      </c>
      <c r="H25" s="235">
        <f>(F25*E25)*G25</f>
        <v>0</v>
      </c>
    </row>
    <row r="26" spans="1:8">
      <c r="A26" s="76" t="s">
        <v>78</v>
      </c>
      <c r="B26" s="133"/>
      <c r="C26" s="555"/>
      <c r="D26" s="496"/>
      <c r="E26" s="227"/>
      <c r="F26" s="238"/>
      <c r="G26" s="333"/>
      <c r="H26" s="235">
        <f>(F26*E26)*G26</f>
        <v>0</v>
      </c>
    </row>
    <row r="27" spans="1:8" ht="15.75" customHeight="1">
      <c r="A27" s="499" t="s">
        <v>58</v>
      </c>
      <c r="B27" s="134"/>
      <c r="C27" s="555"/>
      <c r="D27" s="496"/>
      <c r="E27" s="218"/>
      <c r="F27" s="137"/>
      <c r="G27" s="334"/>
      <c r="H27" s="235">
        <f>(F27*E27)*G27</f>
        <v>0</v>
      </c>
    </row>
    <row r="28" spans="1:8" ht="15.75" customHeight="1">
      <c r="A28" s="494"/>
      <c r="B28" s="133"/>
      <c r="C28" s="555"/>
      <c r="D28" s="496"/>
      <c r="E28" s="219"/>
      <c r="F28" s="220"/>
      <c r="G28" s="335"/>
      <c r="H28" s="236"/>
    </row>
    <row r="29" spans="1:8" ht="15.75" customHeight="1">
      <c r="A29" s="495"/>
      <c r="B29" s="239"/>
      <c r="C29" s="555"/>
      <c r="D29" s="496"/>
      <c r="E29" s="219"/>
      <c r="F29" s="220"/>
      <c r="G29" s="335"/>
      <c r="H29" s="236"/>
    </row>
    <row r="30" spans="1:8">
      <c r="A30" s="174"/>
      <c r="B30" s="174"/>
      <c r="C30" s="174"/>
      <c r="D30" s="174"/>
      <c r="E30" s="337" t="s">
        <v>79</v>
      </c>
      <c r="F30" s="338"/>
      <c r="G30" s="338"/>
      <c r="H30" s="339">
        <f>SUM(H25:H28)</f>
        <v>0</v>
      </c>
    </row>
    <row r="31" spans="1:8" ht="18" thickBot="1">
      <c r="A31" s="65"/>
      <c r="B31" s="65"/>
      <c r="C31" s="65"/>
      <c r="D31" s="65"/>
      <c r="E31" s="65"/>
      <c r="F31" s="65"/>
      <c r="G31" s="65"/>
      <c r="H31" s="336"/>
    </row>
    <row r="32" spans="1:8" ht="18" thickBot="1">
      <c r="A32" s="65"/>
      <c r="B32" s="65"/>
      <c r="C32" s="65"/>
      <c r="D32" s="65"/>
      <c r="E32" s="553" t="s">
        <v>80</v>
      </c>
      <c r="F32" s="554"/>
      <c r="G32" s="340"/>
      <c r="H32" s="341">
        <f>E21+H30</f>
        <v>0</v>
      </c>
    </row>
    <row r="35" spans="6:7" ht="19.5">
      <c r="F35" s="53"/>
      <c r="G35" s="53"/>
    </row>
  </sheetData>
  <phoneticPr fontId="22" type="noConversion"/>
  <pageMargins left="0.7" right="0.7" top="0.75" bottom="0.75" header="0.3" footer="0.3"/>
  <pageSetup scale="90"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249977111117893"/>
  </sheetPr>
  <dimension ref="A1:G37"/>
  <sheetViews>
    <sheetView zoomScaleNormal="100" workbookViewId="0"/>
  </sheetViews>
  <sheetFormatPr defaultRowHeight="17.25"/>
  <cols>
    <col min="1" max="1" width="26" customWidth="1"/>
    <col min="2" max="2" width="17.625" customWidth="1"/>
    <col min="3" max="3" width="7.25" customWidth="1"/>
    <col min="4" max="4" width="10.125" customWidth="1"/>
    <col min="5" max="5" width="10.75" customWidth="1"/>
    <col min="6" max="6" width="14" customWidth="1"/>
  </cols>
  <sheetData>
    <row r="1" spans="1:6" ht="19.5">
      <c r="A1" s="323" t="s">
        <v>233</v>
      </c>
      <c r="B1" s="323"/>
      <c r="C1" s="43"/>
      <c r="D1" s="43"/>
      <c r="E1" s="43"/>
      <c r="F1" s="43"/>
    </row>
    <row r="2" spans="1:6">
      <c r="A2" s="43"/>
      <c r="B2" s="43"/>
      <c r="C2" s="43"/>
      <c r="D2" s="43"/>
      <c r="E2" s="43"/>
      <c r="F2" s="43"/>
    </row>
    <row r="3" spans="1:6">
      <c r="A3" s="9" t="s">
        <v>40</v>
      </c>
      <c r="B3" s="43"/>
      <c r="C3" s="43"/>
      <c r="D3" s="43"/>
      <c r="E3" s="43"/>
      <c r="F3" s="43"/>
    </row>
    <row r="4" spans="1:6">
      <c r="A4" s="461" t="s">
        <v>41</v>
      </c>
      <c r="B4" s="461"/>
      <c r="C4" s="461"/>
      <c r="D4" s="461"/>
      <c r="E4" s="461"/>
      <c r="F4" s="43"/>
    </row>
    <row r="5" spans="1:6">
      <c r="A5" s="461" t="s">
        <v>42</v>
      </c>
      <c r="B5" s="461"/>
      <c r="C5" s="461"/>
      <c r="D5" s="461"/>
      <c r="E5" s="461"/>
      <c r="F5" s="43"/>
    </row>
    <row r="6" spans="1:6">
      <c r="A6" s="461" t="s">
        <v>43</v>
      </c>
      <c r="B6" s="461"/>
      <c r="C6" s="461"/>
      <c r="D6" s="461"/>
      <c r="E6" s="461"/>
      <c r="F6" s="43"/>
    </row>
    <row r="7" spans="1:6">
      <c r="A7" s="461" t="s">
        <v>44</v>
      </c>
      <c r="B7" s="461"/>
      <c r="C7" s="461"/>
      <c r="D7" s="461"/>
      <c r="E7" s="461"/>
      <c r="F7" s="43"/>
    </row>
    <row r="8" spans="1:6">
      <c r="A8" s="9" t="s">
        <v>45</v>
      </c>
      <c r="B8" s="43"/>
      <c r="C8" s="43"/>
      <c r="D8" s="43"/>
      <c r="E8" s="43"/>
      <c r="F8" s="43"/>
    </row>
    <row r="9" spans="1:6">
      <c r="A9" s="9"/>
      <c r="B9" s="43"/>
      <c r="C9" s="43"/>
      <c r="D9" s="43"/>
      <c r="E9" s="43"/>
      <c r="F9" s="43"/>
    </row>
    <row r="10" spans="1:6" ht="38.25">
      <c r="A10" s="91" t="s">
        <v>46</v>
      </c>
      <c r="B10" s="92" t="s">
        <v>47</v>
      </c>
      <c r="C10" s="93" t="s">
        <v>166</v>
      </c>
      <c r="D10" s="93" t="s">
        <v>167</v>
      </c>
      <c r="E10" s="93" t="s">
        <v>33</v>
      </c>
      <c r="F10" s="92" t="s">
        <v>49</v>
      </c>
    </row>
    <row r="11" spans="1:6">
      <c r="A11" s="94"/>
      <c r="B11" s="79" t="s">
        <v>50</v>
      </c>
      <c r="C11" s="344"/>
      <c r="D11" s="343"/>
      <c r="E11" s="79"/>
      <c r="F11" s="79" t="s">
        <v>51</v>
      </c>
    </row>
    <row r="12" spans="1:6">
      <c r="A12" s="44" t="s">
        <v>52</v>
      </c>
      <c r="B12" s="119"/>
      <c r="C12" s="201"/>
      <c r="D12" s="112">
        <v>0</v>
      </c>
      <c r="E12" s="103">
        <v>0</v>
      </c>
      <c r="F12" s="310">
        <f>(D12*E12)*C12</f>
        <v>0</v>
      </c>
    </row>
    <row r="13" spans="1:6">
      <c r="A13" s="44" t="s">
        <v>53</v>
      </c>
      <c r="B13" s="119"/>
      <c r="C13" s="123"/>
      <c r="D13" s="112">
        <v>0</v>
      </c>
      <c r="E13" s="103">
        <v>0</v>
      </c>
      <c r="F13" s="310">
        <f t="shared" ref="F13:F31" si="0">(D13*E13)*C13</f>
        <v>0</v>
      </c>
    </row>
    <row r="14" spans="1:6">
      <c r="A14" s="44" t="s">
        <v>59</v>
      </c>
      <c r="B14" s="119"/>
      <c r="C14" s="123"/>
      <c r="D14" s="112">
        <v>0</v>
      </c>
      <c r="E14" s="103">
        <v>0</v>
      </c>
      <c r="F14" s="310">
        <f t="shared" si="0"/>
        <v>0</v>
      </c>
    </row>
    <row r="15" spans="1:6">
      <c r="A15" s="44" t="s">
        <v>60</v>
      </c>
      <c r="B15" s="119"/>
      <c r="C15" s="123"/>
      <c r="D15" s="112">
        <v>0</v>
      </c>
      <c r="E15" s="103">
        <v>0</v>
      </c>
      <c r="F15" s="310">
        <f t="shared" si="0"/>
        <v>0</v>
      </c>
    </row>
    <row r="16" spans="1:6">
      <c r="A16" s="44" t="s">
        <v>54</v>
      </c>
      <c r="B16" s="119"/>
      <c r="C16" s="123"/>
      <c r="D16" s="112">
        <v>0</v>
      </c>
      <c r="E16" s="103">
        <v>0</v>
      </c>
      <c r="F16" s="310">
        <f t="shared" si="0"/>
        <v>0</v>
      </c>
    </row>
    <row r="17" spans="1:6">
      <c r="A17" s="44" t="s">
        <v>55</v>
      </c>
      <c r="B17" s="119"/>
      <c r="C17" s="123"/>
      <c r="D17" s="112">
        <v>0</v>
      </c>
      <c r="E17" s="103">
        <v>0</v>
      </c>
      <c r="F17" s="310">
        <f t="shared" si="0"/>
        <v>0</v>
      </c>
    </row>
    <row r="18" spans="1:6">
      <c r="A18" s="44" t="s">
        <v>55</v>
      </c>
      <c r="B18" s="119"/>
      <c r="C18" s="123"/>
      <c r="D18" s="112">
        <v>0</v>
      </c>
      <c r="E18" s="103">
        <v>0</v>
      </c>
      <c r="F18" s="310">
        <f t="shared" si="0"/>
        <v>0</v>
      </c>
    </row>
    <row r="19" spans="1:6">
      <c r="A19" s="44" t="s">
        <v>55</v>
      </c>
      <c r="B19" s="119"/>
      <c r="C19" s="123"/>
      <c r="D19" s="112">
        <v>0</v>
      </c>
      <c r="E19" s="103">
        <v>0</v>
      </c>
      <c r="F19" s="310">
        <f t="shared" si="0"/>
        <v>0</v>
      </c>
    </row>
    <row r="20" spans="1:6">
      <c r="A20" s="44" t="s">
        <v>168</v>
      </c>
      <c r="B20" s="119"/>
      <c r="C20" s="123"/>
      <c r="D20" s="112">
        <v>0</v>
      </c>
      <c r="E20" s="103">
        <v>0</v>
      </c>
      <c r="F20" s="310">
        <f t="shared" si="0"/>
        <v>0</v>
      </c>
    </row>
    <row r="21" spans="1:6">
      <c r="A21" s="44"/>
      <c r="B21" s="119"/>
      <c r="C21" s="123"/>
      <c r="D21" s="112"/>
      <c r="E21" s="103"/>
      <c r="F21" s="310">
        <f t="shared" si="0"/>
        <v>0</v>
      </c>
    </row>
    <row r="22" spans="1:6">
      <c r="A22" s="44"/>
      <c r="B22" s="119"/>
      <c r="C22" s="123"/>
      <c r="D22" s="112"/>
      <c r="E22" s="103"/>
      <c r="F22" s="310">
        <f t="shared" si="0"/>
        <v>0</v>
      </c>
    </row>
    <row r="23" spans="1:6">
      <c r="A23" s="44" t="s">
        <v>169</v>
      </c>
      <c r="B23" s="119"/>
      <c r="C23" s="123"/>
      <c r="D23" s="112">
        <v>0</v>
      </c>
      <c r="E23" s="103">
        <v>0</v>
      </c>
      <c r="F23" s="310">
        <f t="shared" si="0"/>
        <v>0</v>
      </c>
    </row>
    <row r="24" spans="1:6">
      <c r="A24" s="44"/>
      <c r="B24" s="119"/>
      <c r="C24" s="123"/>
      <c r="D24" s="112"/>
      <c r="E24" s="103"/>
      <c r="F24" s="310">
        <f t="shared" si="0"/>
        <v>0</v>
      </c>
    </row>
    <row r="25" spans="1:6">
      <c r="A25" s="44"/>
      <c r="B25" s="119"/>
      <c r="C25" s="123"/>
      <c r="D25" s="112"/>
      <c r="E25" s="103"/>
      <c r="F25" s="310">
        <f t="shared" si="0"/>
        <v>0</v>
      </c>
    </row>
    <row r="26" spans="1:6">
      <c r="A26" s="44" t="s">
        <v>56</v>
      </c>
      <c r="B26" s="119"/>
      <c r="C26" s="123"/>
      <c r="D26" s="112">
        <v>0</v>
      </c>
      <c r="E26" s="103">
        <v>0</v>
      </c>
      <c r="F26" s="310">
        <f t="shared" si="0"/>
        <v>0</v>
      </c>
    </row>
    <row r="27" spans="1:6">
      <c r="A27" s="44" t="s">
        <v>57</v>
      </c>
      <c r="B27" s="119"/>
      <c r="C27" s="123"/>
      <c r="D27" s="112">
        <v>0</v>
      </c>
      <c r="E27" s="103">
        <v>0</v>
      </c>
      <c r="F27" s="310">
        <f t="shared" si="0"/>
        <v>0</v>
      </c>
    </row>
    <row r="28" spans="1:6">
      <c r="A28" s="44" t="s">
        <v>58</v>
      </c>
      <c r="B28" s="119"/>
      <c r="C28" s="123"/>
      <c r="D28" s="112">
        <v>0</v>
      </c>
      <c r="E28" s="103">
        <v>0</v>
      </c>
      <c r="F28" s="310">
        <f t="shared" si="0"/>
        <v>0</v>
      </c>
    </row>
    <row r="29" spans="1:6">
      <c r="A29" s="44"/>
      <c r="B29" s="119"/>
      <c r="D29" s="112">
        <v>0</v>
      </c>
      <c r="E29" s="103"/>
      <c r="F29" s="310">
        <f t="shared" si="0"/>
        <v>0</v>
      </c>
    </row>
    <row r="30" spans="1:6">
      <c r="A30" s="44"/>
      <c r="B30" s="119"/>
      <c r="C30" s="123"/>
      <c r="D30" s="112">
        <v>0</v>
      </c>
      <c r="E30" s="103"/>
      <c r="F30" s="310">
        <f t="shared" si="0"/>
        <v>0</v>
      </c>
    </row>
    <row r="31" spans="1:6" ht="18" thickBot="1">
      <c r="A31" s="45"/>
      <c r="B31" s="124"/>
      <c r="C31" s="269"/>
      <c r="D31" s="116">
        <v>0</v>
      </c>
      <c r="E31" s="103"/>
      <c r="F31" s="310">
        <f t="shared" si="0"/>
        <v>0</v>
      </c>
    </row>
    <row r="32" spans="1:6" ht="18" thickBot="1">
      <c r="A32" s="16"/>
      <c r="B32" s="46"/>
      <c r="C32" s="342"/>
      <c r="D32" s="9"/>
      <c r="E32" s="38"/>
      <c r="F32" s="345">
        <f>SUM(F12:F31)</f>
        <v>0</v>
      </c>
    </row>
    <row r="33" spans="1:7" ht="18" thickBot="1">
      <c r="A33" s="47"/>
      <c r="B33" s="48"/>
      <c r="C33" s="48"/>
      <c r="D33" s="49"/>
      <c r="E33" s="41"/>
      <c r="F33" s="35"/>
    </row>
    <row r="36" spans="1:7" ht="17.25" customHeight="1">
      <c r="A36" s="462" t="s">
        <v>273</v>
      </c>
      <c r="B36" s="462"/>
      <c r="C36" s="462"/>
      <c r="D36" s="462"/>
      <c r="E36" s="462"/>
      <c r="F36" s="462"/>
      <c r="G36" s="462"/>
    </row>
    <row r="37" spans="1:7">
      <c r="A37" t="s">
        <v>274</v>
      </c>
    </row>
  </sheetData>
  <phoneticPr fontId="22" type="noConversion"/>
  <pageMargins left="0.7" right="0.7" top="0.75" bottom="0.75" header="0.3" footer="0.3"/>
  <pageSetup scale="79"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zoomScaleNormal="100" workbookViewId="0"/>
  </sheetViews>
  <sheetFormatPr defaultRowHeight="15.75"/>
  <cols>
    <col min="1" max="1" width="19.25" style="355" customWidth="1"/>
    <col min="2" max="2" width="12.5" style="355" customWidth="1"/>
    <col min="3" max="3" width="42.375" style="355" customWidth="1"/>
    <col min="4" max="4" width="18.875" style="355" customWidth="1"/>
    <col min="5" max="16384" width="9" style="355"/>
  </cols>
  <sheetData>
    <row r="1" spans="1:4" s="442" customFormat="1">
      <c r="A1" s="442" t="s">
        <v>248</v>
      </c>
    </row>
    <row r="2" spans="1:4" s="442" customFormat="1"/>
    <row r="3" spans="1:4" s="442" customFormat="1">
      <c r="A3" s="442" t="s">
        <v>242</v>
      </c>
    </row>
    <row r="4" spans="1:4" s="442" customFormat="1"/>
    <row r="5" spans="1:4" s="442" customFormat="1">
      <c r="A5" s="442" t="s">
        <v>243</v>
      </c>
    </row>
    <row r="6" spans="1:4" s="442" customFormat="1">
      <c r="A6" s="442" t="s">
        <v>244</v>
      </c>
    </row>
    <row r="7" spans="1:4" s="442" customFormat="1">
      <c r="A7" s="442" t="s">
        <v>245</v>
      </c>
    </row>
    <row r="8" spans="1:4" s="442" customFormat="1"/>
    <row r="9" spans="1:4" s="442" customFormat="1" ht="47.25">
      <c r="A9" s="444" t="s">
        <v>251</v>
      </c>
      <c r="B9" s="445" t="s">
        <v>48</v>
      </c>
      <c r="C9" s="444" t="s">
        <v>246</v>
      </c>
      <c r="D9" s="443" t="s">
        <v>247</v>
      </c>
    </row>
    <row r="10" spans="1:4" s="442" customFormat="1">
      <c r="A10" s="378"/>
      <c r="B10" s="378"/>
      <c r="C10" s="378"/>
      <c r="D10" s="446">
        <v>0</v>
      </c>
    </row>
    <row r="11" spans="1:4" s="442" customFormat="1">
      <c r="A11" s="378"/>
      <c r="B11" s="378"/>
      <c r="C11" s="378"/>
      <c r="D11" s="446">
        <v>0</v>
      </c>
    </row>
    <row r="12" spans="1:4" s="442" customFormat="1">
      <c r="A12" s="378"/>
      <c r="B12" s="378"/>
      <c r="C12" s="378"/>
      <c r="D12" s="446">
        <v>0</v>
      </c>
    </row>
    <row r="13" spans="1:4" s="442" customFormat="1">
      <c r="A13" s="378"/>
      <c r="B13" s="378"/>
      <c r="C13" s="378"/>
      <c r="D13" s="446">
        <v>0</v>
      </c>
    </row>
    <row r="14" spans="1:4" s="442" customFormat="1">
      <c r="A14" s="378"/>
      <c r="B14" s="378"/>
      <c r="C14" s="378"/>
      <c r="D14" s="446">
        <v>0</v>
      </c>
    </row>
    <row r="15" spans="1:4" s="442" customFormat="1">
      <c r="A15" s="378"/>
      <c r="B15" s="378"/>
      <c r="C15" s="378"/>
      <c r="D15" s="446">
        <v>0</v>
      </c>
    </row>
    <row r="16" spans="1:4" s="442" customFormat="1">
      <c r="A16" s="378"/>
      <c r="B16" s="378"/>
      <c r="C16" s="378"/>
      <c r="D16" s="446">
        <v>0</v>
      </c>
    </row>
    <row r="17" spans="1:7" s="442" customFormat="1">
      <c r="A17" s="378"/>
      <c r="B17" s="378"/>
      <c r="C17" s="378"/>
      <c r="D17" s="446">
        <v>0</v>
      </c>
    </row>
    <row r="18" spans="1:7" s="442" customFormat="1">
      <c r="A18" s="378"/>
      <c r="B18" s="378"/>
      <c r="C18" s="378"/>
      <c r="D18" s="446">
        <v>0</v>
      </c>
    </row>
    <row r="19" spans="1:7" s="442" customFormat="1">
      <c r="A19" s="378"/>
      <c r="B19" s="378"/>
      <c r="C19" s="378"/>
      <c r="D19" s="446">
        <v>0</v>
      </c>
    </row>
    <row r="20" spans="1:7" s="442" customFormat="1">
      <c r="A20" s="378" t="s">
        <v>145</v>
      </c>
      <c r="B20" s="378"/>
      <c r="C20" s="378"/>
      <c r="D20" s="446">
        <v>0</v>
      </c>
    </row>
    <row r="21" spans="1:7" s="442" customFormat="1"/>
    <row r="22" spans="1:7">
      <c r="A22" s="440" t="s">
        <v>249</v>
      </c>
      <c r="B22" s="442"/>
      <c r="C22" s="442"/>
      <c r="D22" s="442"/>
      <c r="E22" s="442"/>
      <c r="F22" s="442"/>
    </row>
    <row r="24" spans="1:7">
      <c r="A24" s="568" t="s">
        <v>238</v>
      </c>
      <c r="B24" s="568"/>
      <c r="C24" s="568"/>
      <c r="D24" s="568"/>
      <c r="E24" s="568"/>
      <c r="F24" s="568"/>
    </row>
    <row r="26" spans="1:7">
      <c r="A26" s="376" t="s">
        <v>241</v>
      </c>
      <c r="B26" s="377"/>
      <c r="C26" s="377"/>
      <c r="D26" s="377"/>
      <c r="E26" s="442"/>
      <c r="F26" s="442"/>
    </row>
    <row r="27" spans="1:7">
      <c r="A27" s="377"/>
      <c r="B27" s="377"/>
      <c r="C27" s="377"/>
      <c r="D27" s="377"/>
      <c r="E27" s="442"/>
      <c r="F27" s="442"/>
    </row>
    <row r="28" spans="1:7" ht="78.75">
      <c r="A28" s="448" t="s">
        <v>252</v>
      </c>
      <c r="B28" s="448" t="s">
        <v>275</v>
      </c>
      <c r="C28" s="504" t="s">
        <v>253</v>
      </c>
      <c r="D28" s="441" t="s">
        <v>239</v>
      </c>
      <c r="E28" s="443" t="s">
        <v>254</v>
      </c>
      <c r="F28" s="443" t="s">
        <v>255</v>
      </c>
    </row>
    <row r="29" spans="1:7">
      <c r="A29" s="378"/>
      <c r="B29" s="380"/>
      <c r="C29" s="501"/>
      <c r="D29" s="449">
        <v>0</v>
      </c>
      <c r="E29" s="454">
        <v>0</v>
      </c>
      <c r="F29" s="451">
        <f>E29*D29</f>
        <v>0</v>
      </c>
      <c r="G29" s="379"/>
    </row>
    <row r="30" spans="1:7">
      <c r="A30" s="378"/>
      <c r="B30" s="380"/>
      <c r="C30" s="501"/>
      <c r="D30" s="449">
        <v>0</v>
      </c>
      <c r="E30" s="454">
        <v>0</v>
      </c>
      <c r="F30" s="451">
        <f t="shared" ref="F30:F38" si="0">E30*D30</f>
        <v>0</v>
      </c>
      <c r="G30" s="379"/>
    </row>
    <row r="31" spans="1:7">
      <c r="A31" s="378"/>
      <c r="B31" s="380"/>
      <c r="C31" s="501"/>
      <c r="D31" s="449">
        <v>0</v>
      </c>
      <c r="E31" s="454">
        <v>0</v>
      </c>
      <c r="F31" s="451">
        <f t="shared" si="0"/>
        <v>0</v>
      </c>
      <c r="G31" s="379"/>
    </row>
    <row r="32" spans="1:7">
      <c r="A32" s="378"/>
      <c r="B32" s="380"/>
      <c r="C32" s="501"/>
      <c r="D32" s="449">
        <v>0</v>
      </c>
      <c r="E32" s="454">
        <v>0</v>
      </c>
      <c r="F32" s="451">
        <f t="shared" si="0"/>
        <v>0</v>
      </c>
      <c r="G32" s="379"/>
    </row>
    <row r="33" spans="1:7">
      <c r="A33" s="378"/>
      <c r="B33" s="380"/>
      <c r="C33" s="501"/>
      <c r="D33" s="449">
        <v>0</v>
      </c>
      <c r="E33" s="454">
        <v>0</v>
      </c>
      <c r="F33" s="451">
        <f t="shared" si="0"/>
        <v>0</v>
      </c>
      <c r="G33" s="379"/>
    </row>
    <row r="34" spans="1:7">
      <c r="A34" s="378"/>
      <c r="B34" s="380"/>
      <c r="C34" s="501"/>
      <c r="D34" s="449">
        <v>0</v>
      </c>
      <c r="E34" s="454">
        <v>0</v>
      </c>
      <c r="F34" s="451">
        <f t="shared" si="0"/>
        <v>0</v>
      </c>
      <c r="G34" s="379"/>
    </row>
    <row r="35" spans="1:7">
      <c r="A35" s="378"/>
      <c r="B35" s="380"/>
      <c r="C35" s="501"/>
      <c r="D35" s="449">
        <v>0</v>
      </c>
      <c r="E35" s="454">
        <v>0</v>
      </c>
      <c r="F35" s="451">
        <f t="shared" si="0"/>
        <v>0</v>
      </c>
      <c r="G35" s="379"/>
    </row>
    <row r="36" spans="1:7">
      <c r="A36" s="378"/>
      <c r="B36" s="380"/>
      <c r="C36" s="501"/>
      <c r="D36" s="449">
        <v>0</v>
      </c>
      <c r="E36" s="454">
        <v>0</v>
      </c>
      <c r="F36" s="451">
        <f t="shared" si="0"/>
        <v>0</v>
      </c>
      <c r="G36" s="379"/>
    </row>
    <row r="37" spans="1:7">
      <c r="A37" s="378"/>
      <c r="B37" s="380"/>
      <c r="C37" s="501"/>
      <c r="D37" s="449">
        <v>0</v>
      </c>
      <c r="E37" s="454">
        <v>0</v>
      </c>
      <c r="F37" s="451">
        <f t="shared" si="0"/>
        <v>0</v>
      </c>
      <c r="G37" s="379"/>
    </row>
    <row r="38" spans="1:7" ht="16.5" thickBot="1">
      <c r="A38" s="378"/>
      <c r="B38" s="380"/>
      <c r="C38" s="501"/>
      <c r="D38" s="449">
        <v>0</v>
      </c>
      <c r="E38" s="455">
        <v>0</v>
      </c>
      <c r="F38" s="452">
        <f t="shared" si="0"/>
        <v>0</v>
      </c>
      <c r="G38" s="379"/>
    </row>
    <row r="39" spans="1:7" ht="16.5" thickBot="1">
      <c r="A39" s="378" t="s">
        <v>145</v>
      </c>
      <c r="B39" s="378"/>
      <c r="C39" s="502"/>
      <c r="D39" s="450">
        <f>SUM(D29:D38)</f>
        <v>0</v>
      </c>
      <c r="E39" s="569">
        <f>SUM(E29:E38)</f>
        <v>0</v>
      </c>
      <c r="F39" s="453">
        <f>SUM(F29:F38)</f>
        <v>0</v>
      </c>
      <c r="G39" s="379"/>
    </row>
  </sheetData>
  <phoneticPr fontId="22" type="noConversion"/>
  <pageMargins left="0.7" right="0.7" top="0.75" bottom="0.75" header="0.3" footer="0.3"/>
  <pageSetup scale="9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heetViews>
  <sheetFormatPr defaultRowHeight="17.25"/>
  <cols>
    <col min="1" max="1" width="19.125" customWidth="1"/>
    <col min="3" max="3" width="14.5" customWidth="1"/>
    <col min="4" max="4" width="13.25" customWidth="1"/>
    <col min="5" max="5" width="12.25" customWidth="1"/>
    <col min="6" max="6" width="11.875" customWidth="1"/>
  </cols>
  <sheetData>
    <row r="1" spans="1:8">
      <c r="A1" s="456" t="s">
        <v>256</v>
      </c>
      <c r="B1" s="456"/>
      <c r="C1" s="456"/>
      <c r="D1" s="457"/>
      <c r="E1" s="458"/>
    </row>
    <row r="2" spans="1:8">
      <c r="A2" s="456" t="s">
        <v>257</v>
      </c>
      <c r="B2" s="456"/>
      <c r="C2" s="456"/>
      <c r="D2" s="457"/>
      <c r="E2" s="459"/>
    </row>
    <row r="3" spans="1:8">
      <c r="A3" s="456" t="s">
        <v>258</v>
      </c>
      <c r="B3" s="456"/>
      <c r="C3" s="456"/>
      <c r="D3" s="456"/>
      <c r="E3" s="456"/>
    </row>
    <row r="4" spans="1:8" ht="18" thickBot="1">
      <c r="A4" s="460" t="s">
        <v>259</v>
      </c>
      <c r="B4" s="460"/>
      <c r="C4" s="460"/>
      <c r="D4" s="460"/>
      <c r="E4" s="460"/>
      <c r="F4" s="460"/>
      <c r="G4" s="460"/>
      <c r="H4" s="46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6</vt:i4>
      </vt:variant>
    </vt:vector>
  </HeadingPairs>
  <TitlesOfParts>
    <vt:vector size="22" baseType="lpstr">
      <vt:lpstr>Index &amp; Totals</vt:lpstr>
      <vt:lpstr>Salaries</vt:lpstr>
      <vt:lpstr>Benefits</vt:lpstr>
      <vt:lpstr>Supplies</vt:lpstr>
      <vt:lpstr>Printing</vt:lpstr>
      <vt:lpstr>Equipment</vt:lpstr>
      <vt:lpstr>Depreciation</vt:lpstr>
      <vt:lpstr>Staff Training</vt:lpstr>
      <vt:lpstr>Provider Training</vt:lpstr>
      <vt:lpstr>Contracted Services</vt:lpstr>
      <vt:lpstr>In-State Travel</vt:lpstr>
      <vt:lpstr>Out-State Travel</vt:lpstr>
      <vt:lpstr>Occupancy</vt:lpstr>
      <vt:lpstr>Communications</vt:lpstr>
      <vt:lpstr>Alt Funding Source</vt:lpstr>
      <vt:lpstr>Carry Over</vt:lpstr>
      <vt:lpstr>'Alt Funding Source'!Print_Area</vt:lpstr>
      <vt:lpstr>Communications!Print_Area</vt:lpstr>
      <vt:lpstr>'Index &amp; Totals'!Print_Area</vt:lpstr>
      <vt:lpstr>Salaries!Print_Area</vt:lpstr>
      <vt:lpstr>'Staff Training'!Print_Area</vt:lpstr>
      <vt:lpstr>Supplies!Print_Area</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Family Day Care Home Budget Detail Worsheet - 2014</dc:title>
  <dc:creator>schurack/Jackie</dc:creator>
  <cp:lastModifiedBy>Jaros, Sharon</cp:lastModifiedBy>
  <cp:lastPrinted>2013-07-10T13:33:23Z</cp:lastPrinted>
  <dcterms:created xsi:type="dcterms:W3CDTF">2011-05-14T23:29:21Z</dcterms:created>
  <dcterms:modified xsi:type="dcterms:W3CDTF">2013-07-11T15:59:03Z</dcterms:modified>
</cp:coreProperties>
</file>