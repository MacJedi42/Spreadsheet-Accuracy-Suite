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75" windowWidth="18060" windowHeight="9090"/>
  </bookViews>
  <sheets>
    <sheet name="sample table" sheetId="1" r:id="rId1"/>
  </sheets>
  <calcPr calcId="125725"/>
</workbook>
</file>

<file path=xl/calcChain.xml><?xml version="1.0" encoding="utf-8"?>
<calcChain xmlns="http://schemas.openxmlformats.org/spreadsheetml/2006/main">
  <c r="U83" i="1"/>
  <c r="T83"/>
  <c r="S83"/>
  <c r="R83"/>
  <c r="Q83"/>
  <c r="P83"/>
  <c r="U82"/>
  <c r="T82"/>
  <c r="S82"/>
  <c r="R82"/>
  <c r="Q82"/>
  <c r="P82"/>
  <c r="U81"/>
  <c r="T81"/>
  <c r="S81"/>
  <c r="R81"/>
  <c r="Q81"/>
  <c r="P81"/>
  <c r="U80"/>
  <c r="T80"/>
  <c r="S80"/>
  <c r="R80"/>
  <c r="Q80"/>
  <c r="P80"/>
  <c r="U79"/>
  <c r="T79"/>
  <c r="S79"/>
  <c r="R79"/>
  <c r="Q79"/>
  <c r="P79"/>
  <c r="U78"/>
  <c r="T78"/>
  <c r="S78"/>
  <c r="R78"/>
  <c r="Q78"/>
  <c r="P78"/>
  <c r="U77"/>
  <c r="T77"/>
  <c r="S77"/>
  <c r="R77"/>
  <c r="Q77"/>
  <c r="P77"/>
  <c r="U76"/>
  <c r="T76"/>
  <c r="S76"/>
  <c r="R76"/>
  <c r="Q76"/>
  <c r="P76"/>
  <c r="U75"/>
  <c r="T75"/>
  <c r="S75"/>
  <c r="R75"/>
  <c r="Q75"/>
  <c r="P75"/>
  <c r="U74"/>
  <c r="T74"/>
  <c r="S74"/>
  <c r="R74"/>
  <c r="Q74"/>
  <c r="P74"/>
  <c r="U73"/>
  <c r="T73"/>
  <c r="S73"/>
  <c r="R73"/>
  <c r="Q73"/>
  <c r="P73"/>
  <c r="U72"/>
  <c r="T72"/>
  <c r="S72"/>
  <c r="R72"/>
  <c r="Q72"/>
  <c r="P72"/>
  <c r="U71"/>
  <c r="T71"/>
  <c r="S71"/>
  <c r="R71"/>
  <c r="Q71"/>
  <c r="P71"/>
  <c r="U70"/>
  <c r="T70"/>
  <c r="S70"/>
  <c r="R70"/>
  <c r="Q70"/>
  <c r="P70"/>
  <c r="U69"/>
  <c r="T69"/>
  <c r="S69"/>
  <c r="R69"/>
  <c r="Q69"/>
  <c r="P69"/>
  <c r="U68"/>
  <c r="T68"/>
  <c r="S68"/>
  <c r="R68"/>
  <c r="Q68"/>
  <c r="P68"/>
  <c r="U67"/>
  <c r="T67"/>
  <c r="S67"/>
  <c r="R67"/>
  <c r="Q67"/>
  <c r="P67"/>
  <c r="U66"/>
  <c r="T66"/>
  <c r="S66"/>
  <c r="R66"/>
  <c r="Q66"/>
  <c r="P66"/>
  <c r="U65"/>
  <c r="T65"/>
  <c r="S65"/>
  <c r="R65"/>
  <c r="Q65"/>
  <c r="P65"/>
  <c r="U64"/>
  <c r="T64"/>
  <c r="S64"/>
  <c r="R64"/>
  <c r="Q64"/>
  <c r="P64"/>
  <c r="U63"/>
  <c r="T63"/>
  <c r="S63"/>
  <c r="R63"/>
  <c r="Q63"/>
  <c r="P63"/>
  <c r="U62"/>
  <c r="T62"/>
  <c r="S62"/>
  <c r="R62"/>
  <c r="Q62"/>
  <c r="P62"/>
  <c r="U61"/>
  <c r="T61"/>
  <c r="S61"/>
  <c r="R61"/>
  <c r="Q61"/>
  <c r="P61"/>
  <c r="U60"/>
  <c r="T60"/>
  <c r="S60"/>
  <c r="R60"/>
  <c r="Q60"/>
  <c r="P60"/>
  <c r="U59"/>
  <c r="T59"/>
  <c r="S59"/>
  <c r="R59"/>
  <c r="Q59"/>
  <c r="P59"/>
  <c r="U58"/>
  <c r="T58"/>
  <c r="S58"/>
  <c r="R58"/>
  <c r="Q58"/>
  <c r="P58"/>
  <c r="U57"/>
  <c r="T57"/>
  <c r="S57"/>
  <c r="R57"/>
  <c r="Q57"/>
  <c r="P57"/>
  <c r="U56"/>
  <c r="T56"/>
  <c r="S56"/>
  <c r="R56"/>
  <c r="Q56"/>
  <c r="P56"/>
  <c r="U55"/>
  <c r="T55"/>
  <c r="S55"/>
  <c r="R55"/>
  <c r="Q55"/>
  <c r="P55"/>
  <c r="U54"/>
  <c r="T54"/>
  <c r="S54"/>
  <c r="R54"/>
  <c r="Q54"/>
  <c r="P54"/>
  <c r="U53"/>
  <c r="T53"/>
  <c r="S53"/>
  <c r="R53"/>
  <c r="Q53"/>
  <c r="P53"/>
  <c r="U52"/>
  <c r="T52"/>
  <c r="S52"/>
  <c r="R52"/>
  <c r="Q52"/>
  <c r="P52"/>
  <c r="U51"/>
  <c r="T51"/>
  <c r="S51"/>
  <c r="R51"/>
  <c r="Q51"/>
  <c r="P51"/>
  <c r="U50"/>
  <c r="T50"/>
  <c r="S50"/>
  <c r="R50"/>
  <c r="Q50"/>
  <c r="P50"/>
  <c r="U49"/>
  <c r="T49"/>
  <c r="S49"/>
  <c r="R49"/>
  <c r="Q49"/>
  <c r="P49"/>
  <c r="U48"/>
  <c r="T48"/>
  <c r="S48"/>
  <c r="R48"/>
  <c r="Q48"/>
  <c r="P48"/>
  <c r="U47"/>
  <c r="T47"/>
  <c r="S47"/>
  <c r="R47"/>
  <c r="Q47"/>
  <c r="P47"/>
  <c r="U46"/>
  <c r="T46"/>
  <c r="S46"/>
  <c r="R46"/>
  <c r="Q46"/>
  <c r="P46"/>
  <c r="U45"/>
  <c r="T45"/>
  <c r="S45"/>
  <c r="R45"/>
  <c r="Q45"/>
  <c r="P45"/>
  <c r="U44"/>
  <c r="T44"/>
  <c r="S44"/>
  <c r="R44"/>
  <c r="Q44"/>
  <c r="P44"/>
  <c r="U43"/>
  <c r="T43"/>
  <c r="S43"/>
  <c r="R43"/>
  <c r="Q43"/>
  <c r="P43"/>
  <c r="U42"/>
  <c r="T42"/>
  <c r="S42"/>
  <c r="R42"/>
  <c r="Q42"/>
  <c r="P42"/>
  <c r="U41"/>
  <c r="T41"/>
  <c r="S41"/>
  <c r="R41"/>
  <c r="Q41"/>
  <c r="P41"/>
  <c r="U40"/>
  <c r="T40"/>
  <c r="S40"/>
  <c r="R40"/>
  <c r="Q40"/>
  <c r="P40"/>
  <c r="U39"/>
  <c r="T39"/>
  <c r="S39"/>
  <c r="R39"/>
  <c r="Q39"/>
  <c r="P39"/>
  <c r="U38"/>
  <c r="T38"/>
  <c r="S38"/>
  <c r="R38"/>
  <c r="Q38"/>
  <c r="P38"/>
  <c r="U37"/>
  <c r="T37"/>
  <c r="S37"/>
  <c r="R37"/>
  <c r="Q37"/>
  <c r="P37"/>
  <c r="U36"/>
  <c r="T36"/>
  <c r="S36"/>
  <c r="R36"/>
  <c r="Q36"/>
  <c r="P36"/>
  <c r="U35"/>
  <c r="T35"/>
  <c r="S35"/>
  <c r="R35"/>
  <c r="Q35"/>
  <c r="P35"/>
  <c r="U34"/>
  <c r="T34"/>
  <c r="S34"/>
  <c r="R34"/>
  <c r="Q34"/>
  <c r="P34"/>
  <c r="U33"/>
  <c r="T33"/>
  <c r="S33"/>
  <c r="R33"/>
  <c r="Q33"/>
  <c r="P33"/>
  <c r="U32"/>
  <c r="T32"/>
  <c r="S32"/>
  <c r="R32"/>
  <c r="Q32"/>
  <c r="P32"/>
  <c r="U31"/>
  <c r="T31"/>
  <c r="S31"/>
  <c r="R31"/>
  <c r="Q31"/>
  <c r="P31"/>
  <c r="U30"/>
  <c r="T30"/>
  <c r="S30"/>
  <c r="R30"/>
  <c r="Q30"/>
  <c r="P30"/>
  <c r="U29"/>
  <c r="T29"/>
  <c r="S29"/>
  <c r="R29"/>
  <c r="Q29"/>
  <c r="P29"/>
  <c r="U28"/>
  <c r="T28"/>
  <c r="S28"/>
  <c r="R28"/>
  <c r="Q28"/>
  <c r="P28"/>
  <c r="U27"/>
  <c r="T27"/>
  <c r="S27"/>
  <c r="R27"/>
  <c r="Q27"/>
  <c r="P27"/>
  <c r="U26"/>
  <c r="T26"/>
  <c r="S26"/>
  <c r="R26"/>
  <c r="Q26"/>
  <c r="P26"/>
  <c r="U25"/>
  <c r="T25"/>
  <c r="S25"/>
  <c r="R25"/>
  <c r="Q25"/>
  <c r="P25"/>
  <c r="U24"/>
  <c r="T24"/>
  <c r="S24"/>
  <c r="R24"/>
  <c r="Q24"/>
  <c r="P24"/>
  <c r="U23"/>
  <c r="T23"/>
  <c r="S23"/>
  <c r="R23"/>
  <c r="Q23"/>
  <c r="P23"/>
  <c r="U22"/>
  <c r="T22"/>
  <c r="S22"/>
  <c r="R22"/>
  <c r="Q22"/>
  <c r="P22"/>
  <c r="U21"/>
  <c r="T21"/>
  <c r="S21"/>
  <c r="R21"/>
  <c r="Q21"/>
  <c r="P21"/>
  <c r="U20"/>
  <c r="T20"/>
  <c r="S20"/>
  <c r="R20"/>
  <c r="Q20"/>
  <c r="P20"/>
  <c r="U19"/>
  <c r="T19"/>
  <c r="S19"/>
  <c r="R19"/>
  <c r="Q19"/>
  <c r="P19"/>
  <c r="U18"/>
  <c r="T18"/>
  <c r="S18"/>
  <c r="R18"/>
  <c r="Q18"/>
  <c r="P18"/>
  <c r="U17"/>
  <c r="T17"/>
  <c r="S17"/>
  <c r="R17"/>
  <c r="Q17"/>
  <c r="P17"/>
  <c r="U16"/>
  <c r="T16"/>
  <c r="S16"/>
  <c r="R16"/>
  <c r="Q16"/>
  <c r="P16"/>
  <c r="U15"/>
  <c r="T15"/>
  <c r="S15"/>
  <c r="R15"/>
  <c r="Q15"/>
  <c r="P15"/>
  <c r="U14"/>
  <c r="T14"/>
  <c r="S14"/>
  <c r="R14"/>
  <c r="Q14"/>
  <c r="P14"/>
  <c r="U13"/>
  <c r="T13"/>
  <c r="S13"/>
  <c r="R13"/>
  <c r="Q13"/>
  <c r="P13"/>
  <c r="U12"/>
  <c r="T12"/>
  <c r="S12"/>
  <c r="R12"/>
  <c r="Q12"/>
  <c r="P12"/>
  <c r="U11"/>
  <c r="T11"/>
  <c r="S11"/>
  <c r="R11"/>
  <c r="Q11"/>
  <c r="P11"/>
  <c r="U10"/>
  <c r="T10"/>
  <c r="S10"/>
  <c r="R10"/>
  <c r="Q10"/>
  <c r="P10"/>
  <c r="U9"/>
  <c r="T9"/>
  <c r="S9"/>
  <c r="R9"/>
  <c r="Q9"/>
  <c r="P9"/>
  <c r="U8"/>
  <c r="T8"/>
  <c r="S8"/>
  <c r="R8"/>
  <c r="Q8"/>
  <c r="P8"/>
  <c r="U7"/>
  <c r="T7"/>
  <c r="S7"/>
  <c r="R7"/>
  <c r="Q7"/>
  <c r="P7"/>
  <c r="U6"/>
  <c r="T6"/>
  <c r="S6"/>
  <c r="R6"/>
  <c r="Q6"/>
  <c r="P6"/>
  <c r="U5"/>
  <c r="T5"/>
  <c r="S5"/>
  <c r="R5"/>
  <c r="Q5"/>
  <c r="P5"/>
  <c r="U4"/>
  <c r="T4"/>
  <c r="S4"/>
  <c r="R4"/>
  <c r="Q4"/>
  <c r="P4"/>
  <c r="U3"/>
  <c r="T3"/>
  <c r="S3"/>
  <c r="R3"/>
  <c r="Q3"/>
  <c r="P3"/>
</calcChain>
</file>

<file path=xl/sharedStrings.xml><?xml version="1.0" encoding="utf-8"?>
<sst xmlns="http://schemas.openxmlformats.org/spreadsheetml/2006/main" count="348" uniqueCount="230">
  <si>
    <t>#</t>
  </si>
  <si>
    <t>Visible?</t>
  </si>
  <si>
    <t>Starred?</t>
  </si>
  <si>
    <t>Identified Proteins (81)</t>
  </si>
  <si>
    <t>Accession Number</t>
  </si>
  <si>
    <t>Molecular Weight</t>
  </si>
  <si>
    <t>Protein Grouping Ambiguity</t>
  </si>
  <si>
    <t>Quantitative Variance</t>
  </si>
  <si>
    <t>Taxonomy</t>
  </si>
  <si>
    <t>BF2_209364</t>
  </si>
  <si>
    <t>BF3_209364</t>
  </si>
  <si>
    <t>BF1_209317</t>
  </si>
  <si>
    <t>Female Mean</t>
  </si>
  <si>
    <t>Female St Dev</t>
  </si>
  <si>
    <t>BM2_209364</t>
  </si>
  <si>
    <t>BM3_209364</t>
  </si>
  <si>
    <t>BM1_209317</t>
  </si>
  <si>
    <t>Male Mean</t>
  </si>
  <si>
    <t>Male St Dev</t>
  </si>
  <si>
    <t>16.5 kDa submandibular gland glycoprotein</t>
  </si>
  <si>
    <t>IPI00113710</t>
  </si>
  <si>
    <t>15 kDa</t>
  </si>
  <si>
    <t>unknown</t>
  </si>
  <si>
    <t>Acidic mammalian chitinase</t>
  </si>
  <si>
    <t>IPI00346516</t>
  </si>
  <si>
    <t>52 kDa</t>
  </si>
  <si>
    <t>Alpha-amylase 1</t>
  </si>
  <si>
    <t>IPI00315893</t>
  </si>
  <si>
    <t>58 kDa</t>
  </si>
  <si>
    <t>Androgen binding protein alpha</t>
  </si>
  <si>
    <t>IPI00127933</t>
  </si>
  <si>
    <t>10 kDa</t>
  </si>
  <si>
    <t>androgen binding protein gamma</t>
  </si>
  <si>
    <t>IPI00170392</t>
  </si>
  <si>
    <t>13 kDa</t>
  </si>
  <si>
    <t>angiotensinogen</t>
  </si>
  <si>
    <t>IPI00654069</t>
  </si>
  <si>
    <t>53 kDa</t>
  </si>
  <si>
    <t>Carbonic anhydrase 6</t>
  </si>
  <si>
    <t>IPI00114881</t>
  </si>
  <si>
    <t>36 kDa</t>
  </si>
  <si>
    <t>carbonic anhydrase VI precursor</t>
  </si>
  <si>
    <t>IPI00420184</t>
  </si>
  <si>
    <t>Chitinase-3-like protein 4</t>
  </si>
  <si>
    <t>IPI00314910</t>
  </si>
  <si>
    <t>45 kDa</t>
  </si>
  <si>
    <t>Cysteine-rich secretory protein 1</t>
  </si>
  <si>
    <t>IPI00132195</t>
  </si>
  <si>
    <t>28 kDa</t>
  </si>
  <si>
    <t>Dcpp2 protein</t>
  </si>
  <si>
    <t>IPI00420775</t>
  </si>
  <si>
    <t>16 kDa</t>
  </si>
  <si>
    <t>DD72 protein</t>
  </si>
  <si>
    <t>IPI00124867</t>
  </si>
  <si>
    <t>demilune cell and parotid protein</t>
  </si>
  <si>
    <t>IPI00118977</t>
  </si>
  <si>
    <t>19 kDa</t>
  </si>
  <si>
    <t>demilune cell and parotid protein 2</t>
  </si>
  <si>
    <t>IPI00662097</t>
  </si>
  <si>
    <t>demilune cell and parotid protein 3</t>
  </si>
  <si>
    <t>IPI00469417</t>
  </si>
  <si>
    <t>Deoxyribonuclease-1</t>
  </si>
  <si>
    <t>IPI00308684</t>
  </si>
  <si>
    <t>32 kDa</t>
  </si>
  <si>
    <t>E3 SUMO-protein ligase RanBP2</t>
  </si>
  <si>
    <t>IPI00337844</t>
  </si>
  <si>
    <t>341 kDa</t>
  </si>
  <si>
    <t>Epidermal growth factor-binding protein type B</t>
  </si>
  <si>
    <t>IPI00121818</t>
  </si>
  <si>
    <t>29 kDa</t>
  </si>
  <si>
    <t>Extracellular peptidase inhibitor</t>
  </si>
  <si>
    <t>IPI00126104</t>
  </si>
  <si>
    <t>8 kDa</t>
  </si>
  <si>
    <t>gamma-glutamyl hydrolase precursor</t>
  </si>
  <si>
    <t>IPI00828662</t>
  </si>
  <si>
    <t>35 kDa</t>
  </si>
  <si>
    <t>granulin</t>
  </si>
  <si>
    <t>IPI00124640</t>
  </si>
  <si>
    <t>65 kDa</t>
  </si>
  <si>
    <t>hypothetical protein LOC381819</t>
  </si>
  <si>
    <t>IPI00918176</t>
  </si>
  <si>
    <t>12 kDa</t>
  </si>
  <si>
    <t>Isoform 1 of Vomeromodulin</t>
  </si>
  <si>
    <t>IPI00349521</t>
  </si>
  <si>
    <t>62 kDa</t>
  </si>
  <si>
    <t>Isoform 2 of Myosin-XVIIIa</t>
  </si>
  <si>
    <t>IPI00407425</t>
  </si>
  <si>
    <t>196 kDa</t>
  </si>
  <si>
    <t>Isoform 2 of Submandibular gland protein C</t>
  </si>
  <si>
    <t>IPI00405006</t>
  </si>
  <si>
    <t>74 kDa</t>
  </si>
  <si>
    <t>Isoform 7 of Inositol 1,4,5-trisphosphate receptor type 1</t>
  </si>
  <si>
    <t>IPI00117630</t>
  </si>
  <si>
    <t>309 kDa</t>
  </si>
  <si>
    <t>Isoform I of Gamma-glutamyl hydrolase</t>
  </si>
  <si>
    <t>IPI00129243</t>
  </si>
  <si>
    <t>Kallikrein 1-related peptidase b1</t>
  </si>
  <si>
    <t>IPI00134580</t>
  </si>
  <si>
    <t>Kallikrein 1-related peptidase b11</t>
  </si>
  <si>
    <t>IPI00136034</t>
  </si>
  <si>
    <t>Kallikrein 1-related peptidase b16</t>
  </si>
  <si>
    <t>IPI00113575</t>
  </si>
  <si>
    <t>Kallikrein 1-related peptidase b21</t>
  </si>
  <si>
    <t>IPI00124822</t>
  </si>
  <si>
    <t>Kallikrein 1-related peptidase b22</t>
  </si>
  <si>
    <t>IPI00136038</t>
  </si>
  <si>
    <t>Kallikrein 1-related peptidase b24</t>
  </si>
  <si>
    <t>IPI00124804</t>
  </si>
  <si>
    <t>Kallikrein 1-related peptidase b26</t>
  </si>
  <si>
    <t>IPI00121821</t>
  </si>
  <si>
    <t>Kallikrein 1-related peptidase b27</t>
  </si>
  <si>
    <t>IPI00124824</t>
  </si>
  <si>
    <t>Kallikrein 1-related peptidase b3</t>
  </si>
  <si>
    <t>IPI00134582</t>
  </si>
  <si>
    <t>Kallikrein 1-related peptidase b5</t>
  </si>
  <si>
    <t>IPI00136033</t>
  </si>
  <si>
    <t>Kallikrein 1-related peptidase b8</t>
  </si>
  <si>
    <t>IPI00130801</t>
  </si>
  <si>
    <t>Kallikrein 1-related peptidase b9</t>
  </si>
  <si>
    <t>IPI00136040</t>
  </si>
  <si>
    <t>Kallikrein 1-related peptidase-like b4</t>
  </si>
  <si>
    <t>IPI00316234</t>
  </si>
  <si>
    <t>Kallikrein-1</t>
  </si>
  <si>
    <t>IPI00323869</t>
  </si>
  <si>
    <t>Keratin intermediate filament 16a</t>
  </si>
  <si>
    <t>IPI00131209</t>
  </si>
  <si>
    <t>Keratin, type II cytoskeletal 5</t>
  </si>
  <si>
    <t>IPI00139301</t>
  </si>
  <si>
    <t>lactoperoxidase</t>
  </si>
  <si>
    <t>IPI00133770</t>
  </si>
  <si>
    <t>80 kDa</t>
  </si>
  <si>
    <t>Long palate, lung and nasal epithelium carcinoma-associated protein 1</t>
  </si>
  <si>
    <t>IPI00117756</t>
  </si>
  <si>
    <t>Lysosomal alpha-mannosidase</t>
  </si>
  <si>
    <t>IPI00381303</t>
  </si>
  <si>
    <t>115 kDa</t>
  </si>
  <si>
    <t>Major urinary protein 5</t>
  </si>
  <si>
    <t>IPI00115243</t>
  </si>
  <si>
    <t>21 kDa</t>
  </si>
  <si>
    <t>Mannosyl-oligosaccharide 1,2-alpha-mannosidase IA</t>
  </si>
  <si>
    <t>IPI00132493</t>
  </si>
  <si>
    <t>73 kDa</t>
  </si>
  <si>
    <t>mucin 10</t>
  </si>
  <si>
    <t>IPI00116916</t>
  </si>
  <si>
    <t>34 kDa</t>
  </si>
  <si>
    <t>Mucin-19</t>
  </si>
  <si>
    <t>IPI00464259</t>
  </si>
  <si>
    <t>694 kDa</t>
  </si>
  <si>
    <t>nerve growth factor, beta isoform A</t>
  </si>
  <si>
    <t>IPI00336602</t>
  </si>
  <si>
    <t>Nucleobindin-2</t>
  </si>
  <si>
    <t>IPI00309704</t>
  </si>
  <si>
    <t>50 kDa</t>
  </si>
  <si>
    <t>Olfactory receptor Olfr460</t>
  </si>
  <si>
    <t>IPI00125039</t>
  </si>
  <si>
    <t>Ovostatin homolog</t>
  </si>
  <si>
    <t>IPI00169490</t>
  </si>
  <si>
    <t>162 kDa</t>
  </si>
  <si>
    <t>Pancreatic alpha-amylase</t>
  </si>
  <si>
    <t>IPI00133544</t>
  </si>
  <si>
    <t>57 kDa</t>
  </si>
  <si>
    <t>END OF FILE1</t>
  </si>
  <si>
    <t>Parotid secretory protein</t>
  </si>
  <si>
    <t>IPI00131763</t>
  </si>
  <si>
    <t>25 kDa</t>
  </si>
  <si>
    <t>IPI00881015</t>
  </si>
  <si>
    <t>22 kDa</t>
  </si>
  <si>
    <t>Polymeric immunoglobulin receptor</t>
  </si>
  <si>
    <t>IPI00310059</t>
  </si>
  <si>
    <t>85 kDa</t>
  </si>
  <si>
    <t>Pro-epidermal growth factor</t>
  </si>
  <si>
    <t>IPI00132121</t>
  </si>
  <si>
    <t>133 kDa</t>
  </si>
  <si>
    <t>Prolactin-inducible protein homolog</t>
  </si>
  <si>
    <t>IPI00113711</t>
  </si>
  <si>
    <t>17 kDa</t>
  </si>
  <si>
    <t>Proline rich protein</t>
  </si>
  <si>
    <t>IPI00276972</t>
  </si>
  <si>
    <t>31 kDa</t>
  </si>
  <si>
    <t>Proline-rich protein BstNI subfamily 1</t>
  </si>
  <si>
    <t>IPI00378614</t>
  </si>
  <si>
    <t>proline-rich protein MP5</t>
  </si>
  <si>
    <t>IPI00378976</t>
  </si>
  <si>
    <t>Protein hairless</t>
  </si>
  <si>
    <t>IPI00123616</t>
  </si>
  <si>
    <t>127 kDa</t>
  </si>
  <si>
    <t>Putative uncharacterized protein</t>
  </si>
  <si>
    <t>IPI00136226</t>
  </si>
  <si>
    <t>IPI00404881</t>
  </si>
  <si>
    <t>44 kDa</t>
  </si>
  <si>
    <t>IPI00112184</t>
  </si>
  <si>
    <t>IPI00136222</t>
  </si>
  <si>
    <t>Salivary androgen-binding protein beta subunit</t>
  </si>
  <si>
    <t>IPI00153363</t>
  </si>
  <si>
    <t>salivary protein 1 precursor</t>
  </si>
  <si>
    <t>IPI00655076</t>
  </si>
  <si>
    <t>Serum albumin</t>
  </si>
  <si>
    <t>IPI00131695</t>
  </si>
  <si>
    <t>69 kDa</t>
  </si>
  <si>
    <t>similar to Predicted gene, EG381818</t>
  </si>
  <si>
    <t>IPI00421224</t>
  </si>
  <si>
    <t>Sublingual parotid tongue-1 salivary protein</t>
  </si>
  <si>
    <t>IPI00154104</t>
  </si>
  <si>
    <t>18 kDa</t>
  </si>
  <si>
    <t>Submaxillary gland androgen-regulated protein 3A</t>
  </si>
  <si>
    <t>IPI00127277</t>
  </si>
  <si>
    <t>titin isoform N2-A</t>
  </si>
  <si>
    <t>IPI00604969</t>
  </si>
  <si>
    <t>3716 kDa</t>
  </si>
  <si>
    <t>Transcobalamin-2</t>
  </si>
  <si>
    <t>IPI00136556</t>
  </si>
  <si>
    <t>48 kDa</t>
  </si>
  <si>
    <t>Tripartite motif-containing 45</t>
  </si>
  <si>
    <t>IPI00886053</t>
  </si>
  <si>
    <t>70 kDa</t>
  </si>
  <si>
    <t>trypsinogen 7</t>
  </si>
  <si>
    <t>IPI00131674</t>
  </si>
  <si>
    <t>26 kDa</t>
  </si>
  <si>
    <t>Uncharacterized protein C6orf58 homolog</t>
  </si>
  <si>
    <t>IPI00471102</t>
  </si>
  <si>
    <t>38 kDa</t>
  </si>
  <si>
    <t>WAP four-disulfide core domain protein 12</t>
  </si>
  <si>
    <t>IPI00120005</t>
  </si>
  <si>
    <t>Zinc finger homeobox protein 3</t>
  </si>
  <si>
    <t>IPI00119958</t>
  </si>
  <si>
    <t>407 kDa</t>
  </si>
  <si>
    <t>END OF FILE</t>
  </si>
  <si>
    <t>Total Mean</t>
  </si>
  <si>
    <t>Total St Dev</t>
  </si>
  <si>
    <t>Table S3.  Mouse sample report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</si>
</sst>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2" fontId="0" fillId="0" borderId="10" xfId="0" applyNumberFormat="1" applyBorder="1"/>
    <xf numFmtId="2" fontId="0" fillId="0" borderId="0" xfId="0" applyNumberFormat="1" applyBorder="1"/>
    <xf numFmtId="2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3"/>
  <sheetViews>
    <sheetView tabSelected="1" topLeftCell="D1" workbookViewId="0">
      <selection activeCell="D1" sqref="D1"/>
    </sheetView>
  </sheetViews>
  <sheetFormatPr defaultRowHeight="15"/>
  <cols>
    <col min="1" max="1" width="12.42578125" hidden="1" customWidth="1"/>
    <col min="2" max="2" width="8.140625" hidden="1" customWidth="1"/>
    <col min="3" max="3" width="8.42578125" hidden="1" customWidth="1"/>
    <col min="4" max="4" width="40.42578125" customWidth="1"/>
    <col min="5" max="5" width="17.7109375" bestFit="1" customWidth="1"/>
    <col min="6" max="6" width="10.140625" customWidth="1"/>
    <col min="7" max="7" width="26.28515625" hidden="1" customWidth="1"/>
    <col min="8" max="8" width="20.5703125" hidden="1" customWidth="1"/>
    <col min="9" max="9" width="10.140625" hidden="1" customWidth="1"/>
    <col min="10" max="12" width="11.140625" bestFit="1" customWidth="1"/>
    <col min="13" max="15" width="11.85546875" bestFit="1" customWidth="1"/>
    <col min="16" max="16" width="13.140625" style="2" bestFit="1" customWidth="1"/>
    <col min="17" max="17" width="10.85546875" style="3" bestFit="1" customWidth="1"/>
    <col min="18" max="18" width="11.5703125" style="4" customWidth="1"/>
    <col min="19" max="19" width="13.7109375" style="2" bestFit="1" customWidth="1"/>
    <col min="20" max="20" width="11.42578125" style="3" bestFit="1" customWidth="1"/>
    <col min="21" max="21" width="13.42578125" style="4" customWidth="1"/>
  </cols>
  <sheetData>
    <row r="1" spans="1:21">
      <c r="A1" t="s">
        <v>0</v>
      </c>
      <c r="B1" t="s">
        <v>1</v>
      </c>
      <c r="C1" t="s">
        <v>2</v>
      </c>
      <c r="D1" t="s">
        <v>229</v>
      </c>
    </row>
    <row r="2" spans="1:21">
      <c r="A2">
        <v>35</v>
      </c>
      <c r="B2" t="b">
        <v>1</v>
      </c>
      <c r="C2" t="b">
        <v>0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11</v>
      </c>
      <c r="K2" t="s">
        <v>9</v>
      </c>
      <c r="L2" t="s">
        <v>10</v>
      </c>
      <c r="M2" t="s">
        <v>16</v>
      </c>
      <c r="N2" t="s">
        <v>14</v>
      </c>
      <c r="O2" t="s">
        <v>15</v>
      </c>
      <c r="P2" s="2" t="s">
        <v>12</v>
      </c>
      <c r="Q2" s="3" t="s">
        <v>17</v>
      </c>
      <c r="R2" s="4" t="s">
        <v>227</v>
      </c>
      <c r="S2" s="2" t="s">
        <v>13</v>
      </c>
      <c r="T2" s="3" t="s">
        <v>18</v>
      </c>
      <c r="U2" s="4" t="s">
        <v>228</v>
      </c>
    </row>
    <row r="3" spans="1:21">
      <c r="A3">
        <v>5</v>
      </c>
      <c r="B3" t="b">
        <v>1</v>
      </c>
      <c r="C3" t="b">
        <v>0</v>
      </c>
      <c r="D3" t="s">
        <v>19</v>
      </c>
      <c r="E3" t="s">
        <v>20</v>
      </c>
      <c r="F3" t="s">
        <v>21</v>
      </c>
      <c r="G3" t="b">
        <v>1</v>
      </c>
      <c r="I3" t="s">
        <v>22</v>
      </c>
      <c r="J3">
        <v>6.01</v>
      </c>
      <c r="K3">
        <v>5.56</v>
      </c>
      <c r="L3">
        <v>6.4</v>
      </c>
      <c r="M3">
        <v>24.91</v>
      </c>
      <c r="N3">
        <v>13.17</v>
      </c>
      <c r="O3">
        <v>26.83</v>
      </c>
      <c r="P3" s="2">
        <f>AVERAGE(J3:L3)</f>
        <v>5.9899999999999993</v>
      </c>
      <c r="Q3" s="3">
        <f>AVERAGE(M3:O3)</f>
        <v>21.636666666666667</v>
      </c>
      <c r="R3" s="4">
        <f>AVERAGE(J3:O3)</f>
        <v>13.813333333333333</v>
      </c>
      <c r="S3" s="2">
        <f>STDEV(J3:L3)</f>
        <v>0.42035699113968705</v>
      </c>
      <c r="T3" s="3">
        <f>STDEV(M3:O3)</f>
        <v>7.3949261884979851</v>
      </c>
      <c r="U3" s="4">
        <f>STDEV(J3:O3)</f>
        <v>9.7667858923325781</v>
      </c>
    </row>
    <row r="4" spans="1:21">
      <c r="A4">
        <v>2</v>
      </c>
      <c r="B4" t="b">
        <v>1</v>
      </c>
      <c r="C4" t="b">
        <v>0</v>
      </c>
      <c r="D4" t="s">
        <v>23</v>
      </c>
      <c r="E4" t="s">
        <v>24</v>
      </c>
      <c r="F4" t="s">
        <v>25</v>
      </c>
      <c r="G4" t="b">
        <v>1</v>
      </c>
      <c r="I4" t="s">
        <v>22</v>
      </c>
      <c r="J4">
        <v>711</v>
      </c>
      <c r="K4">
        <v>709.95</v>
      </c>
      <c r="L4">
        <v>577.5</v>
      </c>
      <c r="M4">
        <v>458.98</v>
      </c>
      <c r="N4">
        <v>613.94000000000005</v>
      </c>
      <c r="O4">
        <v>602.16999999999996</v>
      </c>
      <c r="P4" s="2">
        <f t="shared" ref="P4:P67" si="0">AVERAGE(J4:L4)</f>
        <v>666.15</v>
      </c>
      <c r="Q4" s="3">
        <f t="shared" ref="Q4:Q67" si="1">AVERAGE(M4:O4)</f>
        <v>558.36333333333334</v>
      </c>
      <c r="R4" s="4">
        <f t="shared" ref="R4:R67" si="2">AVERAGE(J4:O4)</f>
        <v>612.25666666666677</v>
      </c>
      <c r="S4" s="2">
        <f t="shared" ref="S4:S67" si="3">STDEV(J4:L4)</f>
        <v>76.774947085621349</v>
      </c>
      <c r="T4" s="3">
        <f t="shared" ref="T4:T67" si="4">STDEV(M4:O4)</f>
        <v>86.269452492369652</v>
      </c>
      <c r="U4" s="4">
        <f t="shared" ref="U4:U67" si="5">STDEV(J4:O4)</f>
        <v>93.915462127737655</v>
      </c>
    </row>
    <row r="5" spans="1:21">
      <c r="A5">
        <v>10</v>
      </c>
      <c r="B5" t="b">
        <v>1</v>
      </c>
      <c r="C5" t="b">
        <v>0</v>
      </c>
      <c r="D5" t="s">
        <v>26</v>
      </c>
      <c r="E5" t="s">
        <v>27</v>
      </c>
      <c r="F5" t="s">
        <v>28</v>
      </c>
      <c r="G5" t="b">
        <v>1</v>
      </c>
      <c r="I5" t="s">
        <v>22</v>
      </c>
      <c r="J5" s="1">
        <v>2023.86</v>
      </c>
      <c r="K5">
        <v>716.89</v>
      </c>
      <c r="L5">
        <v>613.36</v>
      </c>
      <c r="M5" s="1">
        <v>1186.1400000000001</v>
      </c>
      <c r="N5">
        <v>536.58000000000004</v>
      </c>
      <c r="O5">
        <v>504.79</v>
      </c>
      <c r="P5" s="2">
        <f t="shared" si="0"/>
        <v>1118.0366666666666</v>
      </c>
      <c r="Q5" s="3">
        <f t="shared" si="1"/>
        <v>742.50333333333344</v>
      </c>
      <c r="R5" s="4">
        <f t="shared" si="2"/>
        <v>930.27</v>
      </c>
      <c r="S5" s="2">
        <f t="shared" si="3"/>
        <v>786.17208589044469</v>
      </c>
      <c r="T5" s="3">
        <f t="shared" si="4"/>
        <v>384.52928371365095</v>
      </c>
      <c r="U5" s="4">
        <f t="shared" si="5"/>
        <v>590.49073896209404</v>
      </c>
    </row>
    <row r="6" spans="1:21">
      <c r="A6">
        <v>14</v>
      </c>
      <c r="B6" t="b">
        <v>1</v>
      </c>
      <c r="C6" t="b">
        <v>0</v>
      </c>
      <c r="D6" t="s">
        <v>29</v>
      </c>
      <c r="E6" t="s">
        <v>30</v>
      </c>
      <c r="F6" t="s">
        <v>31</v>
      </c>
      <c r="G6" t="b">
        <v>1</v>
      </c>
      <c r="I6" t="s">
        <v>22</v>
      </c>
      <c r="J6">
        <v>335.47</v>
      </c>
      <c r="K6">
        <v>282.02999999999997</v>
      </c>
      <c r="L6">
        <v>248.42</v>
      </c>
      <c r="M6">
        <v>130.91</v>
      </c>
      <c r="N6">
        <v>362.11</v>
      </c>
      <c r="O6">
        <v>181.84</v>
      </c>
      <c r="P6" s="2">
        <f t="shared" si="0"/>
        <v>288.64</v>
      </c>
      <c r="Q6" s="3">
        <f t="shared" si="1"/>
        <v>224.95333333333335</v>
      </c>
      <c r="R6" s="4">
        <f t="shared" si="2"/>
        <v>256.79666666666668</v>
      </c>
      <c r="S6" s="2">
        <f t="shared" si="3"/>
        <v>43.899825739973295</v>
      </c>
      <c r="T6" s="3">
        <f t="shared" si="4"/>
        <v>121.48016148052048</v>
      </c>
      <c r="U6" s="4">
        <f t="shared" si="5"/>
        <v>88.829314905985186</v>
      </c>
    </row>
    <row r="7" spans="1:21">
      <c r="A7">
        <v>54</v>
      </c>
      <c r="B7" t="b">
        <v>1</v>
      </c>
      <c r="C7" t="b">
        <v>0</v>
      </c>
      <c r="D7" t="s">
        <v>32</v>
      </c>
      <c r="E7" t="s">
        <v>33</v>
      </c>
      <c r="F7" t="s">
        <v>34</v>
      </c>
      <c r="I7" t="s">
        <v>22</v>
      </c>
      <c r="J7">
        <v>340.48</v>
      </c>
      <c r="K7">
        <v>218.12</v>
      </c>
      <c r="L7">
        <v>218.96</v>
      </c>
      <c r="M7">
        <v>176.49</v>
      </c>
      <c r="N7">
        <v>153.07</v>
      </c>
      <c r="O7">
        <v>182.84</v>
      </c>
      <c r="P7" s="2">
        <f t="shared" si="0"/>
        <v>259.18666666666667</v>
      </c>
      <c r="Q7" s="3">
        <f t="shared" si="1"/>
        <v>170.79999999999998</v>
      </c>
      <c r="R7" s="4">
        <f t="shared" si="2"/>
        <v>214.99333333333334</v>
      </c>
      <c r="S7" s="2">
        <f t="shared" si="3"/>
        <v>70.403344617520261</v>
      </c>
      <c r="T7" s="3">
        <f t="shared" si="4"/>
        <v>15.6794547099067</v>
      </c>
      <c r="U7" s="4">
        <f t="shared" si="5"/>
        <v>66.51805278769568</v>
      </c>
    </row>
    <row r="8" spans="1:21">
      <c r="A8">
        <v>7</v>
      </c>
      <c r="B8" t="b">
        <v>1</v>
      </c>
      <c r="C8" t="b">
        <v>0</v>
      </c>
      <c r="D8" t="s">
        <v>35</v>
      </c>
      <c r="E8" t="s">
        <v>36</v>
      </c>
      <c r="F8" t="s">
        <v>37</v>
      </c>
      <c r="I8" t="s">
        <v>22</v>
      </c>
      <c r="J8">
        <v>16.02</v>
      </c>
      <c r="K8">
        <v>11.11</v>
      </c>
      <c r="L8">
        <v>3.84</v>
      </c>
      <c r="M8">
        <v>3.71</v>
      </c>
      <c r="N8">
        <v>0</v>
      </c>
      <c r="O8">
        <v>2.98</v>
      </c>
      <c r="P8" s="2">
        <f t="shared" si="0"/>
        <v>10.323333333333332</v>
      </c>
      <c r="Q8" s="3">
        <f t="shared" si="1"/>
        <v>2.23</v>
      </c>
      <c r="R8" s="4">
        <f t="shared" si="2"/>
        <v>6.2766666666666664</v>
      </c>
      <c r="S8" s="2">
        <f t="shared" si="3"/>
        <v>6.1279877066891508</v>
      </c>
      <c r="T8" s="3">
        <f t="shared" si="4"/>
        <v>1.9654261624390779</v>
      </c>
      <c r="U8" s="4">
        <f t="shared" si="5"/>
        <v>6.0180284700777777</v>
      </c>
    </row>
    <row r="9" spans="1:21">
      <c r="A9">
        <v>18</v>
      </c>
      <c r="B9" t="b">
        <v>1</v>
      </c>
      <c r="C9" t="b">
        <v>0</v>
      </c>
      <c r="D9" t="s">
        <v>38</v>
      </c>
      <c r="E9" t="s">
        <v>39</v>
      </c>
      <c r="F9" t="s">
        <v>40</v>
      </c>
      <c r="G9" t="b">
        <v>1</v>
      </c>
      <c r="I9" t="s">
        <v>22</v>
      </c>
      <c r="J9">
        <v>575.80999999999995</v>
      </c>
      <c r="K9">
        <v>230.63</v>
      </c>
      <c r="L9">
        <v>250.98</v>
      </c>
      <c r="M9">
        <v>428.77</v>
      </c>
      <c r="N9">
        <v>125.09</v>
      </c>
      <c r="O9">
        <v>153.03</v>
      </c>
      <c r="P9" s="2">
        <f t="shared" si="0"/>
        <v>352.4733333333333</v>
      </c>
      <c r="Q9" s="3">
        <f t="shared" si="1"/>
        <v>235.63</v>
      </c>
      <c r="R9" s="4">
        <f t="shared" si="2"/>
        <v>294.05166666666662</v>
      </c>
      <c r="S9" s="2">
        <f t="shared" si="3"/>
        <v>193.68268026164176</v>
      </c>
      <c r="T9" s="3">
        <f t="shared" si="4"/>
        <v>167.84652394375047</v>
      </c>
      <c r="U9" s="4">
        <f t="shared" si="5"/>
        <v>174.269572377586</v>
      </c>
    </row>
    <row r="10" spans="1:21">
      <c r="A10">
        <v>60</v>
      </c>
      <c r="B10" t="b">
        <v>1</v>
      </c>
      <c r="C10" t="b">
        <v>0</v>
      </c>
      <c r="D10" t="s">
        <v>41</v>
      </c>
      <c r="E10" t="s">
        <v>42</v>
      </c>
      <c r="F10" t="s">
        <v>40</v>
      </c>
      <c r="G10" t="b">
        <v>1</v>
      </c>
      <c r="I10" t="s">
        <v>22</v>
      </c>
      <c r="J10">
        <v>693.98</v>
      </c>
      <c r="K10">
        <v>200.06</v>
      </c>
      <c r="L10">
        <v>229.21</v>
      </c>
      <c r="M10">
        <v>426.65</v>
      </c>
      <c r="N10">
        <v>133.32</v>
      </c>
      <c r="O10">
        <v>126.2</v>
      </c>
      <c r="P10" s="2">
        <f t="shared" si="0"/>
        <v>374.41666666666669</v>
      </c>
      <c r="Q10" s="3">
        <f t="shared" si="1"/>
        <v>228.72333333333336</v>
      </c>
      <c r="R10" s="4">
        <f t="shared" si="2"/>
        <v>301.57</v>
      </c>
      <c r="S10" s="2">
        <f t="shared" si="3"/>
        <v>277.13349424660561</v>
      </c>
      <c r="T10" s="3">
        <f t="shared" si="4"/>
        <v>171.44648620876811</v>
      </c>
      <c r="U10" s="4">
        <f t="shared" si="5"/>
        <v>221.01292432796774</v>
      </c>
    </row>
    <row r="11" spans="1:21">
      <c r="A11">
        <v>26</v>
      </c>
      <c r="B11" t="b">
        <v>1</v>
      </c>
      <c r="C11" t="b">
        <v>0</v>
      </c>
      <c r="D11" t="s">
        <v>43</v>
      </c>
      <c r="E11" t="s">
        <v>44</v>
      </c>
      <c r="F11" t="s">
        <v>45</v>
      </c>
      <c r="G11" t="b">
        <v>1</v>
      </c>
      <c r="I11" t="s">
        <v>22</v>
      </c>
      <c r="J11">
        <v>0</v>
      </c>
      <c r="K11">
        <v>0</v>
      </c>
      <c r="L11">
        <v>1.28</v>
      </c>
      <c r="M11">
        <v>0</v>
      </c>
      <c r="N11">
        <v>0</v>
      </c>
      <c r="O11">
        <v>2.98</v>
      </c>
      <c r="P11" s="2">
        <f t="shared" si="0"/>
        <v>0.42666666666666669</v>
      </c>
      <c r="Q11" s="3">
        <f t="shared" si="1"/>
        <v>0.99333333333333329</v>
      </c>
      <c r="R11" s="4">
        <f t="shared" si="2"/>
        <v>0.71</v>
      </c>
      <c r="S11" s="2">
        <f t="shared" si="3"/>
        <v>0.73900834456272102</v>
      </c>
      <c r="T11" s="3">
        <f t="shared" si="4"/>
        <v>1.7205038021850847</v>
      </c>
      <c r="U11" s="4">
        <f t="shared" si="5"/>
        <v>1.2242712117827488</v>
      </c>
    </row>
    <row r="12" spans="1:21">
      <c r="A12">
        <v>47</v>
      </c>
      <c r="B12" t="b">
        <v>1</v>
      </c>
      <c r="C12" t="b">
        <v>0</v>
      </c>
      <c r="D12" t="s">
        <v>46</v>
      </c>
      <c r="E12" t="s">
        <v>47</v>
      </c>
      <c r="F12" t="s">
        <v>48</v>
      </c>
      <c r="G12" t="b">
        <v>1</v>
      </c>
      <c r="I12" t="s">
        <v>22</v>
      </c>
      <c r="J12">
        <v>68.099999999999994</v>
      </c>
      <c r="K12">
        <v>9.73</v>
      </c>
      <c r="L12">
        <v>8.9600000000000009</v>
      </c>
      <c r="M12">
        <v>41.87</v>
      </c>
      <c r="N12">
        <v>11.52</v>
      </c>
      <c r="O12">
        <v>1.99</v>
      </c>
      <c r="P12" s="2">
        <f t="shared" si="0"/>
        <v>28.929999999999996</v>
      </c>
      <c r="Q12" s="3">
        <f t="shared" si="1"/>
        <v>18.46</v>
      </c>
      <c r="R12" s="4">
        <f t="shared" si="2"/>
        <v>23.695000000000004</v>
      </c>
      <c r="S12" s="2">
        <f t="shared" si="3"/>
        <v>33.924399773614269</v>
      </c>
      <c r="T12" s="3">
        <f t="shared" si="4"/>
        <v>20.826096609782635</v>
      </c>
      <c r="U12" s="4">
        <f t="shared" si="5"/>
        <v>25.820975000956096</v>
      </c>
    </row>
    <row r="13" spans="1:21">
      <c r="A13">
        <v>32</v>
      </c>
      <c r="B13" t="b">
        <v>1</v>
      </c>
      <c r="C13" t="b">
        <v>0</v>
      </c>
      <c r="D13" t="s">
        <v>49</v>
      </c>
      <c r="E13" t="s">
        <v>50</v>
      </c>
      <c r="F13" t="s">
        <v>51</v>
      </c>
      <c r="G13" t="b">
        <v>1</v>
      </c>
      <c r="I13" t="s">
        <v>22</v>
      </c>
      <c r="J13">
        <v>0</v>
      </c>
      <c r="K13">
        <v>9.73</v>
      </c>
      <c r="L13">
        <v>10.24</v>
      </c>
      <c r="M13">
        <v>261.82</v>
      </c>
      <c r="N13">
        <v>27.98</v>
      </c>
      <c r="O13">
        <v>13.91</v>
      </c>
      <c r="P13" s="2">
        <f t="shared" si="0"/>
        <v>6.6566666666666663</v>
      </c>
      <c r="Q13" s="3">
        <f t="shared" si="1"/>
        <v>101.23666666666668</v>
      </c>
      <c r="R13" s="4">
        <f t="shared" si="2"/>
        <v>53.946666666666665</v>
      </c>
      <c r="S13" s="2">
        <f t="shared" si="3"/>
        <v>5.7704794717019272</v>
      </c>
      <c r="T13" s="3">
        <f t="shared" si="4"/>
        <v>139.24706974774489</v>
      </c>
      <c r="U13" s="4">
        <f t="shared" si="5"/>
        <v>102.23908678517557</v>
      </c>
    </row>
    <row r="14" spans="1:21">
      <c r="A14">
        <v>6</v>
      </c>
      <c r="B14" t="b">
        <v>1</v>
      </c>
      <c r="C14" t="b">
        <v>0</v>
      </c>
      <c r="D14" t="s">
        <v>52</v>
      </c>
      <c r="E14" t="s">
        <v>53</v>
      </c>
      <c r="F14" t="s">
        <v>51</v>
      </c>
      <c r="I14" t="s">
        <v>22</v>
      </c>
      <c r="J14">
        <v>27.04</v>
      </c>
      <c r="K14">
        <v>36.119999999999997</v>
      </c>
      <c r="L14">
        <v>24.33</v>
      </c>
      <c r="M14">
        <v>20.67</v>
      </c>
      <c r="N14">
        <v>11.52</v>
      </c>
      <c r="O14">
        <v>4.97</v>
      </c>
      <c r="P14" s="2">
        <f t="shared" si="0"/>
        <v>29.16333333333333</v>
      </c>
      <c r="Q14" s="3">
        <f t="shared" si="1"/>
        <v>12.386666666666665</v>
      </c>
      <c r="R14" s="4">
        <f t="shared" si="2"/>
        <v>20.774999999999999</v>
      </c>
      <c r="S14" s="2">
        <f t="shared" si="3"/>
        <v>6.1751464220156924</v>
      </c>
      <c r="T14" s="3">
        <f t="shared" si="4"/>
        <v>7.8857994733148882</v>
      </c>
      <c r="U14" s="4">
        <f t="shared" si="5"/>
        <v>11.160836438188669</v>
      </c>
    </row>
    <row r="15" spans="1:21">
      <c r="A15">
        <v>15</v>
      </c>
      <c r="B15" t="b">
        <v>1</v>
      </c>
      <c r="C15" t="b">
        <v>0</v>
      </c>
      <c r="D15" t="s">
        <v>54</v>
      </c>
      <c r="E15" t="s">
        <v>55</v>
      </c>
      <c r="F15" t="s">
        <v>56</v>
      </c>
      <c r="G15" t="b">
        <v>1</v>
      </c>
      <c r="I15" t="s">
        <v>22</v>
      </c>
      <c r="J15">
        <v>314.44</v>
      </c>
      <c r="K15">
        <v>215.35</v>
      </c>
      <c r="L15">
        <v>145.97999999999999</v>
      </c>
      <c r="M15">
        <v>484.95</v>
      </c>
      <c r="N15">
        <v>182.7</v>
      </c>
      <c r="O15">
        <v>673.72</v>
      </c>
      <c r="P15" s="2">
        <f t="shared" si="0"/>
        <v>225.25666666666666</v>
      </c>
      <c r="Q15" s="3">
        <f t="shared" si="1"/>
        <v>447.12333333333328</v>
      </c>
      <c r="R15" s="4">
        <f t="shared" si="2"/>
        <v>336.19</v>
      </c>
      <c r="S15" s="2">
        <f t="shared" si="3"/>
        <v>84.665810297506354</v>
      </c>
      <c r="T15" s="3">
        <f t="shared" si="4"/>
        <v>247.68589510372493</v>
      </c>
      <c r="U15" s="4">
        <f t="shared" si="5"/>
        <v>205.36330285618209</v>
      </c>
    </row>
    <row r="16" spans="1:21">
      <c r="A16">
        <v>17</v>
      </c>
      <c r="B16" t="b">
        <v>1</v>
      </c>
      <c r="C16" t="b">
        <v>0</v>
      </c>
      <c r="D16" t="s">
        <v>57</v>
      </c>
      <c r="E16" t="s">
        <v>58</v>
      </c>
      <c r="F16" t="s">
        <v>56</v>
      </c>
      <c r="G16" t="b">
        <v>1</v>
      </c>
      <c r="I16" t="s">
        <v>22</v>
      </c>
      <c r="J16">
        <v>223.32</v>
      </c>
      <c r="K16">
        <v>120.87</v>
      </c>
      <c r="L16">
        <v>56.34</v>
      </c>
      <c r="M16">
        <v>403.33</v>
      </c>
      <c r="N16">
        <v>121.8</v>
      </c>
      <c r="O16">
        <v>282.20999999999998</v>
      </c>
      <c r="P16" s="2">
        <f t="shared" si="0"/>
        <v>133.51</v>
      </c>
      <c r="Q16" s="3">
        <f t="shared" si="1"/>
        <v>269.11333333333329</v>
      </c>
      <c r="R16" s="4">
        <f t="shared" si="2"/>
        <v>201.31166666666664</v>
      </c>
      <c r="S16" s="2">
        <f t="shared" si="3"/>
        <v>84.20455629002511</v>
      </c>
      <c r="T16" s="3">
        <f t="shared" si="4"/>
        <v>141.22119965973005</v>
      </c>
      <c r="U16" s="4">
        <f t="shared" si="5"/>
        <v>127.78893933618306</v>
      </c>
    </row>
    <row r="17" spans="1:21">
      <c r="A17">
        <v>8</v>
      </c>
      <c r="B17" t="b">
        <v>1</v>
      </c>
      <c r="C17" t="b">
        <v>0</v>
      </c>
      <c r="D17" t="s">
        <v>59</v>
      </c>
      <c r="E17" t="s">
        <v>60</v>
      </c>
      <c r="F17" t="s">
        <v>56</v>
      </c>
      <c r="G17" t="b">
        <v>1</v>
      </c>
      <c r="I17" t="s">
        <v>22</v>
      </c>
      <c r="J17">
        <v>206.29</v>
      </c>
      <c r="K17">
        <v>77.8</v>
      </c>
      <c r="L17">
        <v>46.1</v>
      </c>
      <c r="M17">
        <v>349.27</v>
      </c>
      <c r="N17">
        <v>134.97</v>
      </c>
      <c r="O17">
        <v>118.25</v>
      </c>
      <c r="P17" s="2">
        <f t="shared" si="0"/>
        <v>110.06333333333333</v>
      </c>
      <c r="Q17" s="3">
        <f t="shared" si="1"/>
        <v>200.83</v>
      </c>
      <c r="R17" s="4">
        <f t="shared" si="2"/>
        <v>155.44666666666669</v>
      </c>
      <c r="S17" s="2">
        <f t="shared" si="3"/>
        <v>84.828656911054125</v>
      </c>
      <c r="T17" s="3">
        <f t="shared" si="4"/>
        <v>128.82435639272566</v>
      </c>
      <c r="U17" s="4">
        <f t="shared" si="5"/>
        <v>109.49074237882699</v>
      </c>
    </row>
    <row r="18" spans="1:21">
      <c r="A18">
        <v>67</v>
      </c>
      <c r="B18" t="b">
        <v>1</v>
      </c>
      <c r="C18" t="b">
        <v>0</v>
      </c>
      <c r="D18" t="s">
        <v>61</v>
      </c>
      <c r="E18" t="s">
        <v>62</v>
      </c>
      <c r="F18" t="s">
        <v>63</v>
      </c>
      <c r="I18" t="s">
        <v>22</v>
      </c>
      <c r="J18">
        <v>525.74</v>
      </c>
      <c r="K18">
        <v>605.75</v>
      </c>
      <c r="L18">
        <v>291.95</v>
      </c>
      <c r="M18">
        <v>192.92</v>
      </c>
      <c r="N18">
        <v>329.19</v>
      </c>
      <c r="O18">
        <v>471.01</v>
      </c>
      <c r="P18" s="2">
        <f t="shared" si="0"/>
        <v>474.48</v>
      </c>
      <c r="Q18" s="3">
        <f t="shared" si="1"/>
        <v>331.04</v>
      </c>
      <c r="R18" s="4">
        <f t="shared" si="2"/>
        <v>402.76000000000005</v>
      </c>
      <c r="S18" s="2">
        <f t="shared" si="3"/>
        <v>163.05919385302983</v>
      </c>
      <c r="T18" s="3">
        <f t="shared" si="4"/>
        <v>139.05423006870376</v>
      </c>
      <c r="U18" s="4">
        <f t="shared" si="5"/>
        <v>156.65970100826789</v>
      </c>
    </row>
    <row r="19" spans="1:21">
      <c r="A19">
        <v>24</v>
      </c>
      <c r="B19" t="b">
        <v>1</v>
      </c>
      <c r="C19" t="b">
        <v>0</v>
      </c>
      <c r="D19" t="s">
        <v>64</v>
      </c>
      <c r="E19" t="s">
        <v>65</v>
      </c>
      <c r="F19" t="s">
        <v>66</v>
      </c>
      <c r="I19" t="s">
        <v>22</v>
      </c>
      <c r="J19">
        <v>0</v>
      </c>
      <c r="K19">
        <v>1.39</v>
      </c>
      <c r="L19">
        <v>0</v>
      </c>
      <c r="M19">
        <v>0</v>
      </c>
      <c r="N19">
        <v>0</v>
      </c>
      <c r="O19">
        <v>2.98</v>
      </c>
      <c r="P19" s="2">
        <f t="shared" si="0"/>
        <v>0.46333333333333332</v>
      </c>
      <c r="Q19" s="3">
        <f t="shared" si="1"/>
        <v>0.99333333333333329</v>
      </c>
      <c r="R19" s="4">
        <f t="shared" si="2"/>
        <v>0.72833333333333339</v>
      </c>
      <c r="S19" s="2">
        <f t="shared" si="3"/>
        <v>0.80251687417357975</v>
      </c>
      <c r="T19" s="3">
        <f t="shared" si="4"/>
        <v>1.7205038021850847</v>
      </c>
      <c r="U19" s="4">
        <f t="shared" si="5"/>
        <v>1.2352880905548578</v>
      </c>
    </row>
    <row r="20" spans="1:21">
      <c r="A20">
        <v>40</v>
      </c>
      <c r="B20" t="b">
        <v>1</v>
      </c>
      <c r="C20" t="b">
        <v>0</v>
      </c>
      <c r="D20" t="s">
        <v>67</v>
      </c>
      <c r="E20" t="s">
        <v>68</v>
      </c>
      <c r="F20" t="s">
        <v>69</v>
      </c>
      <c r="G20" t="b">
        <v>1</v>
      </c>
      <c r="I20" t="s">
        <v>22</v>
      </c>
      <c r="J20">
        <v>6.01</v>
      </c>
      <c r="K20">
        <v>9.73</v>
      </c>
      <c r="L20">
        <v>2.56</v>
      </c>
      <c r="M20">
        <v>112.89</v>
      </c>
      <c r="N20">
        <v>95.47</v>
      </c>
      <c r="O20">
        <v>61.61</v>
      </c>
      <c r="P20" s="2">
        <f t="shared" si="0"/>
        <v>6.1000000000000005</v>
      </c>
      <c r="Q20" s="3">
        <f t="shared" si="1"/>
        <v>89.990000000000009</v>
      </c>
      <c r="R20" s="4">
        <f t="shared" si="2"/>
        <v>48.044999999999995</v>
      </c>
      <c r="S20" s="2">
        <f t="shared" si="3"/>
        <v>3.5858471802350964</v>
      </c>
      <c r="T20" s="3">
        <f t="shared" si="4"/>
        <v>26.075513417764107</v>
      </c>
      <c r="U20" s="4">
        <f t="shared" si="5"/>
        <v>48.871012983158018</v>
      </c>
    </row>
    <row r="21" spans="1:21">
      <c r="A21">
        <v>74</v>
      </c>
      <c r="B21" t="b">
        <v>1</v>
      </c>
      <c r="C21" t="b">
        <v>0</v>
      </c>
      <c r="D21" t="s">
        <v>70</v>
      </c>
      <c r="E21" t="s">
        <v>71</v>
      </c>
      <c r="F21" t="s">
        <v>72</v>
      </c>
      <c r="I21" t="s">
        <v>22</v>
      </c>
      <c r="J21">
        <v>5.01</v>
      </c>
      <c r="K21">
        <v>8.34</v>
      </c>
      <c r="L21">
        <v>1.28</v>
      </c>
      <c r="M21">
        <v>11.13</v>
      </c>
      <c r="N21">
        <v>8.23</v>
      </c>
      <c r="O21">
        <v>5.96</v>
      </c>
      <c r="P21" s="2">
        <f t="shared" si="0"/>
        <v>4.876666666666666</v>
      </c>
      <c r="Q21" s="3">
        <f t="shared" si="1"/>
        <v>8.44</v>
      </c>
      <c r="R21" s="4">
        <f t="shared" si="2"/>
        <v>6.6583333333333323</v>
      </c>
      <c r="S21" s="2">
        <f t="shared" si="3"/>
        <v>3.531888069196607</v>
      </c>
      <c r="T21" s="3">
        <f t="shared" si="4"/>
        <v>2.5913895886184335</v>
      </c>
      <c r="U21" s="4">
        <f t="shared" si="5"/>
        <v>3.3889550995353543</v>
      </c>
    </row>
    <row r="22" spans="1:21">
      <c r="A22">
        <v>65</v>
      </c>
      <c r="B22" t="b">
        <v>1</v>
      </c>
      <c r="C22" t="b">
        <v>0</v>
      </c>
      <c r="D22" t="s">
        <v>73</v>
      </c>
      <c r="E22" t="s">
        <v>74</v>
      </c>
      <c r="F22" t="s">
        <v>75</v>
      </c>
      <c r="G22" t="b">
        <v>1</v>
      </c>
      <c r="I22" t="s">
        <v>22</v>
      </c>
      <c r="J22">
        <v>0</v>
      </c>
      <c r="K22">
        <v>130.6</v>
      </c>
      <c r="L22">
        <v>113.96</v>
      </c>
      <c r="M22">
        <v>0</v>
      </c>
      <c r="N22">
        <v>0</v>
      </c>
      <c r="O22">
        <v>36.770000000000003</v>
      </c>
      <c r="P22" s="2">
        <f t="shared" si="0"/>
        <v>81.52</v>
      </c>
      <c r="Q22" s="3">
        <f t="shared" si="1"/>
        <v>12.256666666666668</v>
      </c>
      <c r="R22" s="4">
        <f t="shared" si="2"/>
        <v>46.888333333333328</v>
      </c>
      <c r="S22" s="2">
        <f t="shared" si="3"/>
        <v>71.086955202765552</v>
      </c>
      <c r="T22" s="3">
        <f t="shared" si="4"/>
        <v>21.229169398102538</v>
      </c>
      <c r="U22" s="4">
        <f t="shared" si="5"/>
        <v>60.339339875960405</v>
      </c>
    </row>
    <row r="23" spans="1:21">
      <c r="A23">
        <v>29</v>
      </c>
      <c r="B23" t="b">
        <v>1</v>
      </c>
      <c r="C23" t="b">
        <v>0</v>
      </c>
      <c r="D23" t="s">
        <v>76</v>
      </c>
      <c r="E23" t="s">
        <v>77</v>
      </c>
      <c r="F23" t="s">
        <v>78</v>
      </c>
      <c r="G23" t="b">
        <v>1</v>
      </c>
      <c r="I23" t="s">
        <v>22</v>
      </c>
      <c r="J23">
        <v>2</v>
      </c>
      <c r="K23">
        <v>0</v>
      </c>
      <c r="L23">
        <v>0</v>
      </c>
      <c r="M23">
        <v>5.3</v>
      </c>
      <c r="N23">
        <v>4.9400000000000004</v>
      </c>
      <c r="O23">
        <v>2.98</v>
      </c>
      <c r="P23" s="2">
        <f t="shared" si="0"/>
        <v>0.66666666666666663</v>
      </c>
      <c r="Q23" s="3">
        <f t="shared" si="1"/>
        <v>4.4066666666666672</v>
      </c>
      <c r="R23" s="4">
        <f t="shared" si="2"/>
        <v>2.5366666666666666</v>
      </c>
      <c r="S23" s="2">
        <f t="shared" si="3"/>
        <v>1.1547005383792517</v>
      </c>
      <c r="T23" s="3">
        <f t="shared" si="4"/>
        <v>1.2485725182516763</v>
      </c>
      <c r="U23" s="4">
        <f t="shared" si="5"/>
        <v>2.3136954567675212</v>
      </c>
    </row>
    <row r="24" spans="1:21">
      <c r="A24">
        <v>70</v>
      </c>
      <c r="B24" t="b">
        <v>1</v>
      </c>
      <c r="C24" t="b">
        <v>0</v>
      </c>
      <c r="D24" t="s">
        <v>79</v>
      </c>
      <c r="E24" t="s">
        <v>80</v>
      </c>
      <c r="F24" t="s">
        <v>81</v>
      </c>
      <c r="I24" t="s">
        <v>22</v>
      </c>
      <c r="J24">
        <v>56.08</v>
      </c>
      <c r="K24">
        <v>18.059999999999999</v>
      </c>
      <c r="L24">
        <v>34.57</v>
      </c>
      <c r="M24">
        <v>22.79</v>
      </c>
      <c r="N24">
        <v>16.46</v>
      </c>
      <c r="O24">
        <v>11.92</v>
      </c>
      <c r="P24" s="2">
        <f t="shared" si="0"/>
        <v>36.236666666666672</v>
      </c>
      <c r="Q24" s="3">
        <f t="shared" si="1"/>
        <v>17.056666666666668</v>
      </c>
      <c r="R24" s="4">
        <f t="shared" si="2"/>
        <v>26.646666666666665</v>
      </c>
      <c r="S24" s="2">
        <f t="shared" si="3"/>
        <v>19.064716974907675</v>
      </c>
      <c r="T24" s="3">
        <f t="shared" si="4"/>
        <v>5.4595085248887827</v>
      </c>
      <c r="U24" s="4">
        <f t="shared" si="5"/>
        <v>16.36061082804266</v>
      </c>
    </row>
    <row r="25" spans="1:21">
      <c r="A25">
        <v>80</v>
      </c>
      <c r="B25" t="b">
        <v>1</v>
      </c>
      <c r="C25" t="b">
        <v>0</v>
      </c>
      <c r="D25" t="s">
        <v>82</v>
      </c>
      <c r="E25" t="s">
        <v>83</v>
      </c>
      <c r="F25" t="s">
        <v>84</v>
      </c>
      <c r="I25" t="s">
        <v>22</v>
      </c>
      <c r="J25">
        <v>0</v>
      </c>
      <c r="K25">
        <v>0</v>
      </c>
      <c r="L25">
        <v>0</v>
      </c>
      <c r="M25">
        <v>0</v>
      </c>
      <c r="N25">
        <v>19.75</v>
      </c>
      <c r="O25">
        <v>0</v>
      </c>
      <c r="P25" s="2">
        <f t="shared" si="0"/>
        <v>0</v>
      </c>
      <c r="Q25" s="3">
        <f t="shared" si="1"/>
        <v>6.583333333333333</v>
      </c>
      <c r="R25" s="4">
        <f t="shared" si="2"/>
        <v>3.2916666666666665</v>
      </c>
      <c r="S25" s="2">
        <f t="shared" si="3"/>
        <v>0</v>
      </c>
      <c r="T25" s="3">
        <f t="shared" si="4"/>
        <v>11.402667816495107</v>
      </c>
      <c r="U25" s="4">
        <f t="shared" si="5"/>
        <v>8.0629037366612941</v>
      </c>
    </row>
    <row r="26" spans="1:21">
      <c r="A26">
        <v>39</v>
      </c>
      <c r="B26" t="b">
        <v>1</v>
      </c>
      <c r="C26" t="b">
        <v>0</v>
      </c>
      <c r="D26" t="s">
        <v>85</v>
      </c>
      <c r="E26" t="s">
        <v>86</v>
      </c>
      <c r="F26" t="s">
        <v>87</v>
      </c>
      <c r="I26" t="s">
        <v>22</v>
      </c>
      <c r="J26">
        <v>0</v>
      </c>
      <c r="K26">
        <v>0</v>
      </c>
      <c r="L26">
        <v>0</v>
      </c>
      <c r="M26">
        <v>0</v>
      </c>
      <c r="N26">
        <v>0</v>
      </c>
      <c r="O26">
        <v>2.98</v>
      </c>
      <c r="P26" s="2">
        <f t="shared" si="0"/>
        <v>0</v>
      </c>
      <c r="Q26" s="3">
        <f t="shared" si="1"/>
        <v>0.99333333333333329</v>
      </c>
      <c r="R26" s="4">
        <f t="shared" si="2"/>
        <v>0.49666666666666665</v>
      </c>
      <c r="S26" s="2">
        <f t="shared" si="3"/>
        <v>0</v>
      </c>
      <c r="T26" s="3">
        <f t="shared" si="4"/>
        <v>1.7205038021850847</v>
      </c>
      <c r="U26" s="4">
        <f t="shared" si="5"/>
        <v>1.2165799055823119</v>
      </c>
    </row>
    <row r="27" spans="1:21">
      <c r="A27">
        <v>75</v>
      </c>
      <c r="B27" t="b">
        <v>1</v>
      </c>
      <c r="C27" t="b">
        <v>0</v>
      </c>
      <c r="D27" t="s">
        <v>88</v>
      </c>
      <c r="E27" t="s">
        <v>89</v>
      </c>
      <c r="F27" t="s">
        <v>90</v>
      </c>
      <c r="G27" t="b">
        <v>1</v>
      </c>
      <c r="I27" t="s">
        <v>22</v>
      </c>
      <c r="J27">
        <v>58.08</v>
      </c>
      <c r="K27">
        <v>38.9</v>
      </c>
      <c r="L27">
        <v>17.93</v>
      </c>
      <c r="M27">
        <v>0</v>
      </c>
      <c r="N27">
        <v>0</v>
      </c>
      <c r="O27">
        <v>0</v>
      </c>
      <c r="P27" s="2">
        <f t="shared" si="0"/>
        <v>38.303333333333335</v>
      </c>
      <c r="Q27" s="3">
        <f t="shared" si="1"/>
        <v>0</v>
      </c>
      <c r="R27" s="4">
        <f t="shared" si="2"/>
        <v>19.151666666666667</v>
      </c>
      <c r="S27" s="2">
        <f t="shared" si="3"/>
        <v>20.081649168664757</v>
      </c>
      <c r="T27" s="3">
        <f t="shared" si="4"/>
        <v>0</v>
      </c>
      <c r="U27" s="4">
        <f t="shared" si="5"/>
        <v>24.524531731853042</v>
      </c>
    </row>
    <row r="28" spans="1:21">
      <c r="A28">
        <v>19</v>
      </c>
      <c r="B28" t="b">
        <v>1</v>
      </c>
      <c r="C28" t="b">
        <v>0</v>
      </c>
      <c r="D28" t="s">
        <v>91</v>
      </c>
      <c r="E28" t="s">
        <v>92</v>
      </c>
      <c r="F28" t="s">
        <v>93</v>
      </c>
      <c r="G28" t="b">
        <v>1</v>
      </c>
      <c r="I28" t="s">
        <v>22</v>
      </c>
      <c r="J28">
        <v>0</v>
      </c>
      <c r="K28">
        <v>1.39</v>
      </c>
      <c r="L28">
        <v>3.84</v>
      </c>
      <c r="M28">
        <v>0</v>
      </c>
      <c r="N28">
        <v>1.65</v>
      </c>
      <c r="O28">
        <v>0</v>
      </c>
      <c r="P28" s="2">
        <f t="shared" si="0"/>
        <v>1.7433333333333332</v>
      </c>
      <c r="Q28" s="3">
        <f t="shared" si="1"/>
        <v>0.54999999999999993</v>
      </c>
      <c r="R28" s="4">
        <f t="shared" si="2"/>
        <v>1.1466666666666665</v>
      </c>
      <c r="S28" s="2">
        <f t="shared" si="3"/>
        <v>1.9442307819117908</v>
      </c>
      <c r="T28" s="3">
        <f t="shared" si="4"/>
        <v>0.95262794416288255</v>
      </c>
      <c r="U28" s="4">
        <f t="shared" si="5"/>
        <v>1.5173090214806828</v>
      </c>
    </row>
    <row r="29" spans="1:21">
      <c r="A29">
        <v>28</v>
      </c>
      <c r="B29" t="b">
        <v>1</v>
      </c>
      <c r="C29" t="b">
        <v>0</v>
      </c>
      <c r="D29" t="s">
        <v>94</v>
      </c>
      <c r="E29" t="s">
        <v>95</v>
      </c>
      <c r="F29" t="s">
        <v>75</v>
      </c>
      <c r="G29" t="b">
        <v>1</v>
      </c>
      <c r="I29" t="s">
        <v>22</v>
      </c>
      <c r="J29">
        <v>79.11</v>
      </c>
      <c r="K29">
        <v>170.89</v>
      </c>
      <c r="L29">
        <v>138.29</v>
      </c>
      <c r="M29">
        <v>38.159999999999997</v>
      </c>
      <c r="N29">
        <v>82.3</v>
      </c>
      <c r="O29">
        <v>51.67</v>
      </c>
      <c r="P29" s="2">
        <f t="shared" si="0"/>
        <v>129.42999999999998</v>
      </c>
      <c r="Q29" s="3">
        <f t="shared" si="1"/>
        <v>57.376666666666665</v>
      </c>
      <c r="R29" s="4">
        <f t="shared" si="2"/>
        <v>93.403333333333322</v>
      </c>
      <c r="S29" s="2">
        <f t="shared" si="3"/>
        <v>46.527054495207459</v>
      </c>
      <c r="T29" s="3">
        <f t="shared" si="4"/>
        <v>22.616574305878704</v>
      </c>
      <c r="U29" s="4">
        <f t="shared" si="5"/>
        <v>51.264172154309357</v>
      </c>
    </row>
    <row r="30" spans="1:21">
      <c r="A30">
        <v>30</v>
      </c>
      <c r="B30" t="b">
        <v>1</v>
      </c>
      <c r="C30" t="b">
        <v>0</v>
      </c>
      <c r="D30" t="s">
        <v>96</v>
      </c>
      <c r="E30" t="s">
        <v>97</v>
      </c>
      <c r="F30" t="s">
        <v>69</v>
      </c>
      <c r="G30" t="b">
        <v>1</v>
      </c>
      <c r="I30" t="s">
        <v>22</v>
      </c>
      <c r="J30">
        <v>0</v>
      </c>
      <c r="K30">
        <v>6.95</v>
      </c>
      <c r="L30">
        <v>1.28</v>
      </c>
      <c r="M30">
        <v>130.91</v>
      </c>
      <c r="N30">
        <v>144.84</v>
      </c>
      <c r="O30">
        <v>78.5</v>
      </c>
      <c r="P30" s="2">
        <f t="shared" si="0"/>
        <v>2.7433333333333336</v>
      </c>
      <c r="Q30" s="3">
        <f t="shared" si="1"/>
        <v>118.08333333333333</v>
      </c>
      <c r="R30" s="4">
        <f t="shared" si="2"/>
        <v>60.413333333333334</v>
      </c>
      <c r="S30" s="2">
        <f t="shared" si="3"/>
        <v>3.6988691965698561</v>
      </c>
      <c r="T30" s="3">
        <f t="shared" si="4"/>
        <v>34.980586520716464</v>
      </c>
      <c r="U30" s="4">
        <f t="shared" si="5"/>
        <v>66.97704014561009</v>
      </c>
    </row>
    <row r="31" spans="1:21">
      <c r="A31">
        <v>27</v>
      </c>
      <c r="B31" t="b">
        <v>1</v>
      </c>
      <c r="C31" t="b">
        <v>0</v>
      </c>
      <c r="D31" t="s">
        <v>98</v>
      </c>
      <c r="E31" t="s">
        <v>99</v>
      </c>
      <c r="F31" t="s">
        <v>69</v>
      </c>
      <c r="G31" t="b">
        <v>1</v>
      </c>
      <c r="I31" t="s">
        <v>22</v>
      </c>
      <c r="J31">
        <v>0</v>
      </c>
      <c r="K31">
        <v>0</v>
      </c>
      <c r="L31">
        <v>0</v>
      </c>
      <c r="M31">
        <v>87.45</v>
      </c>
      <c r="N31">
        <v>62.55</v>
      </c>
      <c r="O31">
        <v>65.58</v>
      </c>
      <c r="P31" s="2">
        <f t="shared" si="0"/>
        <v>0</v>
      </c>
      <c r="Q31" s="3">
        <f t="shared" si="1"/>
        <v>71.86</v>
      </c>
      <c r="R31" s="4">
        <f t="shared" si="2"/>
        <v>35.93</v>
      </c>
      <c r="S31" s="2">
        <f t="shared" si="3"/>
        <v>0</v>
      </c>
      <c r="T31" s="3">
        <f t="shared" si="4"/>
        <v>13.586070071952435</v>
      </c>
      <c r="U31" s="4">
        <f t="shared" si="5"/>
        <v>40.286355010102369</v>
      </c>
    </row>
    <row r="32" spans="1:21">
      <c r="A32">
        <v>45</v>
      </c>
      <c r="B32" t="b">
        <v>1</v>
      </c>
      <c r="C32" t="b">
        <v>0</v>
      </c>
      <c r="D32" t="s">
        <v>100</v>
      </c>
      <c r="E32" t="s">
        <v>101</v>
      </c>
      <c r="F32" t="s">
        <v>69</v>
      </c>
      <c r="G32" t="b">
        <v>1</v>
      </c>
      <c r="I32" t="s">
        <v>22</v>
      </c>
      <c r="J32">
        <v>0</v>
      </c>
      <c r="K32">
        <v>1.39</v>
      </c>
      <c r="L32">
        <v>0</v>
      </c>
      <c r="M32">
        <v>53</v>
      </c>
      <c r="N32">
        <v>75.709999999999994</v>
      </c>
      <c r="O32">
        <v>50.68</v>
      </c>
      <c r="P32" s="2">
        <f t="shared" si="0"/>
        <v>0.46333333333333332</v>
      </c>
      <c r="Q32" s="3">
        <f t="shared" si="1"/>
        <v>59.79666666666666</v>
      </c>
      <c r="R32" s="4">
        <f t="shared" si="2"/>
        <v>30.13</v>
      </c>
      <c r="S32" s="2">
        <f t="shared" si="3"/>
        <v>0.80251687417357975</v>
      </c>
      <c r="T32" s="3">
        <f t="shared" si="4"/>
        <v>13.830084357419294</v>
      </c>
      <c r="U32" s="4">
        <f t="shared" si="5"/>
        <v>33.658571568027071</v>
      </c>
    </row>
    <row r="33" spans="1:21">
      <c r="A33">
        <v>23</v>
      </c>
      <c r="B33" t="b">
        <v>1</v>
      </c>
      <c r="C33" t="b">
        <v>0</v>
      </c>
      <c r="D33" t="s">
        <v>102</v>
      </c>
      <c r="E33" t="s">
        <v>103</v>
      </c>
      <c r="F33" t="s">
        <v>69</v>
      </c>
      <c r="G33" t="b">
        <v>1</v>
      </c>
      <c r="I33" t="s">
        <v>22</v>
      </c>
      <c r="J33">
        <v>2</v>
      </c>
      <c r="K33">
        <v>0</v>
      </c>
      <c r="L33">
        <v>0</v>
      </c>
      <c r="M33">
        <v>29.68</v>
      </c>
      <c r="N33">
        <v>29.63</v>
      </c>
      <c r="O33">
        <v>13.91</v>
      </c>
      <c r="P33" s="2">
        <f t="shared" si="0"/>
        <v>0.66666666666666663</v>
      </c>
      <c r="Q33" s="3">
        <f t="shared" si="1"/>
        <v>24.406666666666666</v>
      </c>
      <c r="R33" s="4">
        <f t="shared" si="2"/>
        <v>12.536666666666667</v>
      </c>
      <c r="S33" s="2">
        <f t="shared" si="3"/>
        <v>1.1547005383792517</v>
      </c>
      <c r="T33" s="3">
        <f t="shared" si="4"/>
        <v>9.0904143653264402</v>
      </c>
      <c r="U33" s="4">
        <f t="shared" si="5"/>
        <v>14.236005994191864</v>
      </c>
    </row>
    <row r="34" spans="1:21">
      <c r="A34">
        <v>48</v>
      </c>
      <c r="B34" t="b">
        <v>1</v>
      </c>
      <c r="C34" t="b">
        <v>0</v>
      </c>
      <c r="D34" t="s">
        <v>104</v>
      </c>
      <c r="E34" t="s">
        <v>105</v>
      </c>
      <c r="F34" t="s">
        <v>48</v>
      </c>
      <c r="G34" t="b">
        <v>1</v>
      </c>
      <c r="I34" t="s">
        <v>22</v>
      </c>
      <c r="J34">
        <v>0</v>
      </c>
      <c r="K34">
        <v>0</v>
      </c>
      <c r="L34">
        <v>0</v>
      </c>
      <c r="M34">
        <v>71.02</v>
      </c>
      <c r="N34">
        <v>87.24</v>
      </c>
      <c r="O34">
        <v>64.59</v>
      </c>
      <c r="P34" s="2">
        <f t="shared" si="0"/>
        <v>0</v>
      </c>
      <c r="Q34" s="3">
        <f t="shared" si="1"/>
        <v>74.283333333333331</v>
      </c>
      <c r="R34" s="4">
        <f t="shared" si="2"/>
        <v>37.141666666666666</v>
      </c>
      <c r="S34" s="2">
        <f t="shared" si="3"/>
        <v>0</v>
      </c>
      <c r="T34" s="3">
        <f t="shared" si="4"/>
        <v>11.672301972333191</v>
      </c>
      <c r="U34" s="4">
        <f t="shared" si="5"/>
        <v>41.350950855653451</v>
      </c>
    </row>
    <row r="35" spans="1:21">
      <c r="A35">
        <v>52</v>
      </c>
      <c r="B35" t="b">
        <v>1</v>
      </c>
      <c r="C35" t="b">
        <v>0</v>
      </c>
      <c r="D35" t="s">
        <v>106</v>
      </c>
      <c r="E35" t="s">
        <v>107</v>
      </c>
      <c r="F35" t="s">
        <v>69</v>
      </c>
      <c r="G35" t="b">
        <v>1</v>
      </c>
      <c r="I35" t="s">
        <v>22</v>
      </c>
      <c r="J35">
        <v>0</v>
      </c>
      <c r="K35">
        <v>0</v>
      </c>
      <c r="L35">
        <v>0</v>
      </c>
      <c r="M35">
        <v>18.02</v>
      </c>
      <c r="N35">
        <v>16.46</v>
      </c>
      <c r="O35">
        <v>29.81</v>
      </c>
      <c r="P35" s="2">
        <f t="shared" si="0"/>
        <v>0</v>
      </c>
      <c r="Q35" s="3">
        <f t="shared" si="1"/>
        <v>21.430000000000003</v>
      </c>
      <c r="R35" s="4">
        <f t="shared" si="2"/>
        <v>10.715000000000002</v>
      </c>
      <c r="S35" s="2">
        <f t="shared" si="3"/>
        <v>0</v>
      </c>
      <c r="T35" s="3">
        <f t="shared" si="4"/>
        <v>7.2990889842500133</v>
      </c>
      <c r="U35" s="4">
        <f t="shared" si="5"/>
        <v>12.612856536090465</v>
      </c>
    </row>
    <row r="36" spans="1:21">
      <c r="A36">
        <v>36</v>
      </c>
      <c r="B36" t="b">
        <v>1</v>
      </c>
      <c r="C36" t="b">
        <v>0</v>
      </c>
      <c r="D36" t="s">
        <v>108</v>
      </c>
      <c r="E36" t="s">
        <v>109</v>
      </c>
      <c r="F36" t="s">
        <v>48</v>
      </c>
      <c r="G36" t="b">
        <v>1</v>
      </c>
      <c r="I36" t="s">
        <v>22</v>
      </c>
      <c r="J36">
        <v>8.01</v>
      </c>
      <c r="K36">
        <v>0</v>
      </c>
      <c r="L36">
        <v>0</v>
      </c>
      <c r="M36">
        <v>115.01</v>
      </c>
      <c r="N36">
        <v>0</v>
      </c>
      <c r="O36">
        <v>39.75</v>
      </c>
      <c r="P36" s="2">
        <f t="shared" si="0"/>
        <v>2.67</v>
      </c>
      <c r="Q36" s="3">
        <f t="shared" si="1"/>
        <v>51.586666666666666</v>
      </c>
      <c r="R36" s="4">
        <f t="shared" si="2"/>
        <v>27.128333333333334</v>
      </c>
      <c r="S36" s="2">
        <f t="shared" si="3"/>
        <v>4.6245756562089024</v>
      </c>
      <c r="T36" s="3">
        <f t="shared" si="4"/>
        <v>58.411514561200462</v>
      </c>
      <c r="U36" s="4">
        <f t="shared" si="5"/>
        <v>45.729298886672936</v>
      </c>
    </row>
    <row r="37" spans="1:21">
      <c r="A37">
        <v>46</v>
      </c>
      <c r="B37" t="b">
        <v>1</v>
      </c>
      <c r="C37" t="b">
        <v>0</v>
      </c>
      <c r="D37" t="s">
        <v>110</v>
      </c>
      <c r="E37" t="s">
        <v>111</v>
      </c>
      <c r="F37" t="s">
        <v>69</v>
      </c>
      <c r="G37" t="b">
        <v>1</v>
      </c>
      <c r="I37" t="s">
        <v>22</v>
      </c>
      <c r="J37">
        <v>0</v>
      </c>
      <c r="K37">
        <v>0</v>
      </c>
      <c r="L37">
        <v>0</v>
      </c>
      <c r="M37">
        <v>34.979999999999997</v>
      </c>
      <c r="N37">
        <v>31.27</v>
      </c>
      <c r="O37">
        <v>18.88</v>
      </c>
      <c r="P37" s="2">
        <f t="shared" si="0"/>
        <v>0</v>
      </c>
      <c r="Q37" s="3">
        <f t="shared" si="1"/>
        <v>28.376666666666665</v>
      </c>
      <c r="R37" s="4">
        <f t="shared" si="2"/>
        <v>14.188333333333333</v>
      </c>
      <c r="S37" s="2">
        <f t="shared" si="3"/>
        <v>0</v>
      </c>
      <c r="T37" s="3">
        <f t="shared" si="4"/>
        <v>8.4309568456571622</v>
      </c>
      <c r="U37" s="4">
        <f t="shared" si="5"/>
        <v>16.431767301987534</v>
      </c>
    </row>
    <row r="38" spans="1:21">
      <c r="A38">
        <v>22</v>
      </c>
      <c r="B38" t="b">
        <v>1</v>
      </c>
      <c r="C38" t="b">
        <v>0</v>
      </c>
      <c r="D38" t="s">
        <v>112</v>
      </c>
      <c r="E38" t="s">
        <v>113</v>
      </c>
      <c r="F38" t="s">
        <v>69</v>
      </c>
      <c r="G38" t="b">
        <v>1</v>
      </c>
      <c r="I38" t="s">
        <v>22</v>
      </c>
      <c r="J38">
        <v>0</v>
      </c>
      <c r="K38">
        <v>0</v>
      </c>
      <c r="L38">
        <v>0</v>
      </c>
      <c r="M38">
        <v>77.91</v>
      </c>
      <c r="N38">
        <v>36.21</v>
      </c>
      <c r="O38">
        <v>22.85</v>
      </c>
      <c r="P38" s="2">
        <f t="shared" si="0"/>
        <v>0</v>
      </c>
      <c r="Q38" s="3">
        <f t="shared" si="1"/>
        <v>45.656666666666666</v>
      </c>
      <c r="R38" s="4">
        <f t="shared" si="2"/>
        <v>22.828333333333333</v>
      </c>
      <c r="S38" s="2">
        <f t="shared" si="3"/>
        <v>0</v>
      </c>
      <c r="T38" s="3">
        <f t="shared" si="4"/>
        <v>28.719863045170207</v>
      </c>
      <c r="U38" s="4">
        <f t="shared" si="5"/>
        <v>30.907791520370175</v>
      </c>
    </row>
    <row r="39" spans="1:21">
      <c r="A39">
        <v>41</v>
      </c>
      <c r="B39" t="b">
        <v>1</v>
      </c>
      <c r="C39" t="b">
        <v>0</v>
      </c>
      <c r="D39" t="s">
        <v>114</v>
      </c>
      <c r="E39" t="s">
        <v>115</v>
      </c>
      <c r="F39" t="s">
        <v>69</v>
      </c>
      <c r="G39" t="b">
        <v>1</v>
      </c>
      <c r="I39" t="s">
        <v>22</v>
      </c>
      <c r="J39">
        <v>51.07</v>
      </c>
      <c r="K39">
        <v>58.35</v>
      </c>
      <c r="L39">
        <v>94.76</v>
      </c>
      <c r="M39">
        <v>36.57</v>
      </c>
      <c r="N39">
        <v>37.86</v>
      </c>
      <c r="O39">
        <v>16.89</v>
      </c>
      <c r="P39" s="2">
        <f t="shared" si="0"/>
        <v>68.06</v>
      </c>
      <c r="Q39" s="3">
        <f t="shared" si="1"/>
        <v>30.44</v>
      </c>
      <c r="R39" s="4">
        <f t="shared" si="2"/>
        <v>49.25</v>
      </c>
      <c r="S39" s="2">
        <f t="shared" si="3"/>
        <v>23.407629098223524</v>
      </c>
      <c r="T39" s="3">
        <f t="shared" si="4"/>
        <v>11.752357210364215</v>
      </c>
      <c r="U39" s="4">
        <f t="shared" si="5"/>
        <v>26.438481802100512</v>
      </c>
    </row>
    <row r="40" spans="1:21">
      <c r="A40">
        <v>20</v>
      </c>
      <c r="B40" t="b">
        <v>1</v>
      </c>
      <c r="C40" t="b">
        <v>0</v>
      </c>
      <c r="D40" t="s">
        <v>116</v>
      </c>
      <c r="E40" t="s">
        <v>117</v>
      </c>
      <c r="F40" t="s">
        <v>69</v>
      </c>
      <c r="G40" t="b">
        <v>1</v>
      </c>
      <c r="I40" t="s">
        <v>22</v>
      </c>
      <c r="J40">
        <v>0</v>
      </c>
      <c r="K40">
        <v>0</v>
      </c>
      <c r="L40">
        <v>2.56</v>
      </c>
      <c r="M40">
        <v>73.14</v>
      </c>
      <c r="N40">
        <v>52.67</v>
      </c>
      <c r="O40">
        <v>34.78</v>
      </c>
      <c r="P40" s="2">
        <f t="shared" si="0"/>
        <v>0.85333333333333339</v>
      </c>
      <c r="Q40" s="3">
        <f t="shared" si="1"/>
        <v>53.53</v>
      </c>
      <c r="R40" s="4">
        <f t="shared" si="2"/>
        <v>27.191666666666666</v>
      </c>
      <c r="S40" s="2">
        <f t="shared" si="3"/>
        <v>1.478016689125442</v>
      </c>
      <c r="T40" s="3">
        <f t="shared" si="4"/>
        <v>19.194454928442223</v>
      </c>
      <c r="U40" s="4">
        <f t="shared" si="5"/>
        <v>31.316034497788301</v>
      </c>
    </row>
    <row r="41" spans="1:21">
      <c r="A41">
        <v>43</v>
      </c>
      <c r="B41" t="b">
        <v>1</v>
      </c>
      <c r="C41" t="b">
        <v>0</v>
      </c>
      <c r="D41" t="s">
        <v>118</v>
      </c>
      <c r="E41" t="s">
        <v>119</v>
      </c>
      <c r="F41" t="s">
        <v>69</v>
      </c>
      <c r="G41" t="b">
        <v>1</v>
      </c>
      <c r="I41" t="s">
        <v>22</v>
      </c>
      <c r="J41">
        <v>9.01</v>
      </c>
      <c r="K41">
        <v>0</v>
      </c>
      <c r="L41">
        <v>0</v>
      </c>
      <c r="M41">
        <v>194.51</v>
      </c>
      <c r="N41">
        <v>105.34</v>
      </c>
      <c r="O41">
        <v>49.68</v>
      </c>
      <c r="P41" s="2">
        <f t="shared" si="0"/>
        <v>3.0033333333333334</v>
      </c>
      <c r="Q41" s="3">
        <f t="shared" si="1"/>
        <v>116.51</v>
      </c>
      <c r="R41" s="4">
        <f t="shared" si="2"/>
        <v>59.756666666666668</v>
      </c>
      <c r="S41" s="2">
        <f t="shared" si="3"/>
        <v>5.2019259253985277</v>
      </c>
      <c r="T41" s="3">
        <f t="shared" si="4"/>
        <v>73.058256891332917</v>
      </c>
      <c r="U41" s="4">
        <f t="shared" si="5"/>
        <v>77.530359128967433</v>
      </c>
    </row>
    <row r="42" spans="1:21">
      <c r="A42">
        <v>33</v>
      </c>
      <c r="B42" t="b">
        <v>1</v>
      </c>
      <c r="C42" t="b">
        <v>0</v>
      </c>
      <c r="D42" t="s">
        <v>120</v>
      </c>
      <c r="E42" t="s">
        <v>121</v>
      </c>
      <c r="F42" t="s">
        <v>69</v>
      </c>
      <c r="G42" t="b">
        <v>1</v>
      </c>
      <c r="I42" t="s">
        <v>22</v>
      </c>
      <c r="J42">
        <v>0</v>
      </c>
      <c r="K42">
        <v>0</v>
      </c>
      <c r="L42">
        <v>0</v>
      </c>
      <c r="M42">
        <v>12.19</v>
      </c>
      <c r="N42">
        <v>39.5</v>
      </c>
      <c r="O42">
        <v>35.770000000000003</v>
      </c>
      <c r="P42" s="2">
        <f t="shared" si="0"/>
        <v>0</v>
      </c>
      <c r="Q42" s="3">
        <f t="shared" si="1"/>
        <v>29.153333333333336</v>
      </c>
      <c r="R42" s="4">
        <f t="shared" si="2"/>
        <v>14.576666666666668</v>
      </c>
      <c r="S42" s="2">
        <f t="shared" si="3"/>
        <v>0</v>
      </c>
      <c r="T42" s="3">
        <f t="shared" si="4"/>
        <v>14.80858647316931</v>
      </c>
      <c r="U42" s="4">
        <f t="shared" si="5"/>
        <v>18.511962258676594</v>
      </c>
    </row>
    <row r="43" spans="1:21">
      <c r="A43">
        <v>12</v>
      </c>
      <c r="B43" t="b">
        <v>1</v>
      </c>
      <c r="C43" t="b">
        <v>0</v>
      </c>
      <c r="D43" t="s">
        <v>122</v>
      </c>
      <c r="E43" t="s">
        <v>123</v>
      </c>
      <c r="F43" t="s">
        <v>69</v>
      </c>
      <c r="G43" t="b">
        <v>1</v>
      </c>
      <c r="I43" t="s">
        <v>22</v>
      </c>
      <c r="J43">
        <v>70.099999999999994</v>
      </c>
      <c r="K43">
        <v>76.41</v>
      </c>
      <c r="L43">
        <v>102.44</v>
      </c>
      <c r="M43">
        <v>29.68</v>
      </c>
      <c r="N43">
        <v>36.21</v>
      </c>
      <c r="O43">
        <v>21.86</v>
      </c>
      <c r="P43" s="2">
        <f t="shared" si="0"/>
        <v>82.983333333333334</v>
      </c>
      <c r="Q43" s="3">
        <f t="shared" si="1"/>
        <v>29.25</v>
      </c>
      <c r="R43" s="4">
        <f t="shared" si="2"/>
        <v>56.116666666666667</v>
      </c>
      <c r="S43" s="2">
        <f t="shared" si="3"/>
        <v>17.142795376872836</v>
      </c>
      <c r="T43" s="3">
        <f t="shared" si="4"/>
        <v>7.1846572639200987</v>
      </c>
      <c r="U43" s="4">
        <f t="shared" si="5"/>
        <v>31.691942614277629</v>
      </c>
    </row>
    <row r="44" spans="1:21">
      <c r="A44">
        <v>77</v>
      </c>
      <c r="B44" t="b">
        <v>1</v>
      </c>
      <c r="C44" t="b">
        <v>0</v>
      </c>
      <c r="D44" t="s">
        <v>124</v>
      </c>
      <c r="E44" t="s">
        <v>125</v>
      </c>
      <c r="F44" t="s">
        <v>25</v>
      </c>
      <c r="G44" t="b">
        <v>1</v>
      </c>
      <c r="I44" t="s">
        <v>22</v>
      </c>
      <c r="J44">
        <v>0</v>
      </c>
      <c r="K44">
        <v>16.670000000000002</v>
      </c>
      <c r="L44">
        <v>10.24</v>
      </c>
      <c r="M44">
        <v>0</v>
      </c>
      <c r="N44">
        <v>44.44</v>
      </c>
      <c r="O44">
        <v>6.96</v>
      </c>
      <c r="P44" s="2">
        <f t="shared" si="0"/>
        <v>8.9700000000000006</v>
      </c>
      <c r="Q44" s="3">
        <f t="shared" si="1"/>
        <v>17.133333333333333</v>
      </c>
      <c r="R44" s="4">
        <f t="shared" si="2"/>
        <v>13.051666666666664</v>
      </c>
      <c r="S44" s="2">
        <f t="shared" si="3"/>
        <v>8.4072528212252529</v>
      </c>
      <c r="T44" s="3">
        <f t="shared" si="4"/>
        <v>23.902948214254522</v>
      </c>
      <c r="U44" s="4">
        <f t="shared" si="5"/>
        <v>16.637461845686282</v>
      </c>
    </row>
    <row r="45" spans="1:21">
      <c r="A45">
        <v>25</v>
      </c>
      <c r="B45" t="b">
        <v>1</v>
      </c>
      <c r="C45" t="b">
        <v>0</v>
      </c>
      <c r="D45" t="s">
        <v>126</v>
      </c>
      <c r="E45" t="s">
        <v>127</v>
      </c>
      <c r="F45" t="s">
        <v>84</v>
      </c>
      <c r="I45" t="s">
        <v>22</v>
      </c>
      <c r="J45">
        <v>2</v>
      </c>
      <c r="K45">
        <v>0</v>
      </c>
      <c r="L45">
        <v>1.28</v>
      </c>
      <c r="M45">
        <v>1.06</v>
      </c>
      <c r="N45">
        <v>3.29</v>
      </c>
      <c r="O45">
        <v>0</v>
      </c>
      <c r="P45" s="2">
        <f t="shared" si="0"/>
        <v>1.0933333333333335</v>
      </c>
      <c r="Q45" s="3">
        <f t="shared" si="1"/>
        <v>1.45</v>
      </c>
      <c r="R45" s="4">
        <f t="shared" si="2"/>
        <v>1.2716666666666667</v>
      </c>
      <c r="S45" s="2">
        <f t="shared" si="3"/>
        <v>1.0129823953718706</v>
      </c>
      <c r="T45" s="3">
        <f t="shared" si="4"/>
        <v>1.6793153366774212</v>
      </c>
      <c r="U45" s="4">
        <f t="shared" si="5"/>
        <v>1.2556498981271282</v>
      </c>
    </row>
    <row r="46" spans="1:21">
      <c r="A46">
        <v>76</v>
      </c>
      <c r="B46" t="b">
        <v>1</v>
      </c>
      <c r="C46" t="b">
        <v>0</v>
      </c>
      <c r="D46" t="s">
        <v>128</v>
      </c>
      <c r="E46" t="s">
        <v>129</v>
      </c>
      <c r="F46" t="s">
        <v>130</v>
      </c>
      <c r="I46" t="s">
        <v>22</v>
      </c>
      <c r="J46">
        <v>42.06</v>
      </c>
      <c r="K46">
        <v>34.729999999999997</v>
      </c>
      <c r="L46">
        <v>23.05</v>
      </c>
      <c r="M46">
        <v>31.27</v>
      </c>
      <c r="N46">
        <v>26.34</v>
      </c>
      <c r="O46">
        <v>27.82</v>
      </c>
      <c r="P46" s="2">
        <f t="shared" si="0"/>
        <v>33.279999999999994</v>
      </c>
      <c r="Q46" s="3">
        <f t="shared" si="1"/>
        <v>28.47666666666667</v>
      </c>
      <c r="R46" s="4">
        <f t="shared" si="2"/>
        <v>30.87833333333333</v>
      </c>
      <c r="S46" s="2">
        <f t="shared" si="3"/>
        <v>9.5875909382910418</v>
      </c>
      <c r="T46" s="3">
        <f t="shared" si="4"/>
        <v>2.5297496582335941</v>
      </c>
      <c r="U46" s="4">
        <f t="shared" si="5"/>
        <v>6.8007511839992407</v>
      </c>
    </row>
    <row r="47" spans="1:21">
      <c r="A47">
        <v>72</v>
      </c>
      <c r="B47" t="b">
        <v>1</v>
      </c>
      <c r="C47" t="b">
        <v>0</v>
      </c>
      <c r="D47" t="s">
        <v>131</v>
      </c>
      <c r="E47" t="s">
        <v>132</v>
      </c>
      <c r="F47" t="s">
        <v>25</v>
      </c>
      <c r="I47" t="s">
        <v>22</v>
      </c>
      <c r="J47">
        <v>0</v>
      </c>
      <c r="K47">
        <v>0</v>
      </c>
      <c r="L47">
        <v>0</v>
      </c>
      <c r="M47">
        <v>0</v>
      </c>
      <c r="N47">
        <v>4.9400000000000004</v>
      </c>
      <c r="O47">
        <v>7.95</v>
      </c>
      <c r="P47" s="2">
        <f t="shared" si="0"/>
        <v>0</v>
      </c>
      <c r="Q47" s="3">
        <f t="shared" si="1"/>
        <v>4.2966666666666669</v>
      </c>
      <c r="R47" s="4">
        <f t="shared" si="2"/>
        <v>2.1483333333333334</v>
      </c>
      <c r="S47" s="2">
        <f t="shared" si="3"/>
        <v>0</v>
      </c>
      <c r="T47" s="3">
        <f t="shared" si="4"/>
        <v>4.0138551709464219</v>
      </c>
      <c r="U47" s="4">
        <f t="shared" si="5"/>
        <v>3.4616205260927524</v>
      </c>
    </row>
    <row r="48" spans="1:21">
      <c r="A48">
        <v>42</v>
      </c>
      <c r="B48" t="b">
        <v>1</v>
      </c>
      <c r="C48" t="b">
        <v>0</v>
      </c>
      <c r="D48" t="s">
        <v>133</v>
      </c>
      <c r="E48" t="s">
        <v>134</v>
      </c>
      <c r="F48" t="s">
        <v>135</v>
      </c>
      <c r="I48" t="s">
        <v>22</v>
      </c>
      <c r="J48">
        <v>0</v>
      </c>
      <c r="K48">
        <v>0</v>
      </c>
      <c r="L48">
        <v>0</v>
      </c>
      <c r="M48">
        <v>3.18</v>
      </c>
      <c r="N48">
        <v>1.65</v>
      </c>
      <c r="O48">
        <v>5.96</v>
      </c>
      <c r="P48" s="2">
        <f t="shared" si="0"/>
        <v>0</v>
      </c>
      <c r="Q48" s="3">
        <f t="shared" si="1"/>
        <v>3.5966666666666662</v>
      </c>
      <c r="R48" s="4">
        <f t="shared" si="2"/>
        <v>1.7983333333333331</v>
      </c>
      <c r="S48" s="2">
        <f t="shared" si="3"/>
        <v>0</v>
      </c>
      <c r="T48" s="3">
        <f t="shared" si="4"/>
        <v>2.1850019069404345</v>
      </c>
      <c r="U48" s="4">
        <f t="shared" si="5"/>
        <v>2.4063450847014165</v>
      </c>
    </row>
    <row r="49" spans="1:21">
      <c r="A49">
        <v>81</v>
      </c>
      <c r="B49" t="b">
        <v>1</v>
      </c>
      <c r="C49" t="b">
        <v>0</v>
      </c>
      <c r="D49" t="s">
        <v>136</v>
      </c>
      <c r="E49" t="s">
        <v>137</v>
      </c>
      <c r="F49" t="s">
        <v>138</v>
      </c>
      <c r="I49" t="s">
        <v>22</v>
      </c>
      <c r="J49">
        <v>0</v>
      </c>
      <c r="K49">
        <v>6.95</v>
      </c>
      <c r="L49">
        <v>1.28</v>
      </c>
      <c r="M49">
        <v>4.24</v>
      </c>
      <c r="N49">
        <v>18.11</v>
      </c>
      <c r="O49">
        <v>48.69</v>
      </c>
      <c r="P49" s="2">
        <f t="shared" si="0"/>
        <v>2.7433333333333336</v>
      </c>
      <c r="Q49" s="3">
        <f t="shared" si="1"/>
        <v>23.679999999999996</v>
      </c>
      <c r="R49" s="4">
        <f t="shared" si="2"/>
        <v>13.211666666666666</v>
      </c>
      <c r="S49" s="2">
        <f t="shared" si="3"/>
        <v>3.6988691965698561</v>
      </c>
      <c r="T49" s="3">
        <f t="shared" si="4"/>
        <v>22.742455892009556</v>
      </c>
      <c r="U49" s="4">
        <f t="shared" si="5"/>
        <v>18.543558899700635</v>
      </c>
    </row>
    <row r="50" spans="1:21">
      <c r="A50">
        <v>16</v>
      </c>
      <c r="B50" t="b">
        <v>1</v>
      </c>
      <c r="C50" t="b">
        <v>0</v>
      </c>
      <c r="D50" t="s">
        <v>139</v>
      </c>
      <c r="E50" t="s">
        <v>140</v>
      </c>
      <c r="F50" t="s">
        <v>141</v>
      </c>
      <c r="I50" t="s">
        <v>22</v>
      </c>
      <c r="J50">
        <v>0</v>
      </c>
      <c r="K50">
        <v>0</v>
      </c>
      <c r="L50">
        <v>0</v>
      </c>
      <c r="M50">
        <v>0</v>
      </c>
      <c r="N50">
        <v>0</v>
      </c>
      <c r="O50">
        <v>2.98</v>
      </c>
      <c r="P50" s="2">
        <f t="shared" si="0"/>
        <v>0</v>
      </c>
      <c r="Q50" s="3">
        <f t="shared" si="1"/>
        <v>0.99333333333333329</v>
      </c>
      <c r="R50" s="4">
        <f t="shared" si="2"/>
        <v>0.49666666666666665</v>
      </c>
      <c r="S50" s="2">
        <f t="shared" si="3"/>
        <v>0</v>
      </c>
      <c r="T50" s="3">
        <f t="shared" si="4"/>
        <v>1.7205038021850847</v>
      </c>
      <c r="U50" s="4">
        <f t="shared" si="5"/>
        <v>1.2165799055823119</v>
      </c>
    </row>
    <row r="51" spans="1:21">
      <c r="A51">
        <v>69</v>
      </c>
      <c r="B51" t="b">
        <v>1</v>
      </c>
      <c r="C51" t="b">
        <v>0</v>
      </c>
      <c r="D51" t="s">
        <v>142</v>
      </c>
      <c r="E51" t="s">
        <v>143</v>
      </c>
      <c r="F51" t="s">
        <v>144</v>
      </c>
      <c r="I51" t="s">
        <v>22</v>
      </c>
      <c r="J51">
        <v>195.28</v>
      </c>
      <c r="K51">
        <v>61.13</v>
      </c>
      <c r="L51">
        <v>42.26</v>
      </c>
      <c r="M51">
        <v>3.18</v>
      </c>
      <c r="N51">
        <v>14.81</v>
      </c>
      <c r="O51">
        <v>7.95</v>
      </c>
      <c r="P51" s="2">
        <f t="shared" si="0"/>
        <v>99.556666666666672</v>
      </c>
      <c r="Q51" s="3">
        <f t="shared" si="1"/>
        <v>8.6466666666666665</v>
      </c>
      <c r="R51" s="4">
        <f t="shared" si="2"/>
        <v>54.101666666666667</v>
      </c>
      <c r="S51" s="2">
        <f t="shared" si="3"/>
        <v>83.434025633031354</v>
      </c>
      <c r="T51" s="3">
        <f t="shared" si="4"/>
        <v>5.846215299946909</v>
      </c>
      <c r="U51" s="4">
        <f t="shared" si="5"/>
        <v>72.646778157511335</v>
      </c>
    </row>
    <row r="52" spans="1:21">
      <c r="A52">
        <v>61</v>
      </c>
      <c r="B52" t="b">
        <v>1</v>
      </c>
      <c r="C52" t="b">
        <v>0</v>
      </c>
      <c r="D52" t="s">
        <v>145</v>
      </c>
      <c r="E52" t="s">
        <v>146</v>
      </c>
      <c r="F52" t="s">
        <v>147</v>
      </c>
      <c r="I52" t="s">
        <v>22</v>
      </c>
      <c r="J52">
        <v>0</v>
      </c>
      <c r="K52">
        <v>4.17</v>
      </c>
      <c r="L52">
        <v>0</v>
      </c>
      <c r="M52">
        <v>0</v>
      </c>
      <c r="N52">
        <v>3.29</v>
      </c>
      <c r="O52">
        <v>0</v>
      </c>
      <c r="P52" s="2">
        <f t="shared" si="0"/>
        <v>1.39</v>
      </c>
      <c r="Q52" s="3">
        <f t="shared" si="1"/>
        <v>1.0966666666666667</v>
      </c>
      <c r="R52" s="4">
        <f t="shared" si="2"/>
        <v>1.2433333333333334</v>
      </c>
      <c r="S52" s="2">
        <f t="shared" si="3"/>
        <v>2.4075506225207395</v>
      </c>
      <c r="T52" s="3">
        <f t="shared" si="4"/>
        <v>1.8994823856338687</v>
      </c>
      <c r="U52" s="4">
        <f t="shared" si="5"/>
        <v>1.9461620350491546</v>
      </c>
    </row>
    <row r="53" spans="1:21">
      <c r="A53">
        <v>50</v>
      </c>
      <c r="B53" t="b">
        <v>1</v>
      </c>
      <c r="C53" t="b">
        <v>0</v>
      </c>
      <c r="D53" t="s">
        <v>148</v>
      </c>
      <c r="E53" t="s">
        <v>149</v>
      </c>
      <c r="F53" t="s">
        <v>144</v>
      </c>
      <c r="I53" t="s">
        <v>22</v>
      </c>
      <c r="J53">
        <v>0</v>
      </c>
      <c r="K53">
        <v>0</v>
      </c>
      <c r="L53">
        <v>0</v>
      </c>
      <c r="M53">
        <v>3.71</v>
      </c>
      <c r="N53">
        <v>6.58</v>
      </c>
      <c r="O53">
        <v>2.98</v>
      </c>
      <c r="P53" s="2">
        <f t="shared" si="0"/>
        <v>0</v>
      </c>
      <c r="Q53" s="3">
        <f t="shared" si="1"/>
        <v>4.4233333333333329</v>
      </c>
      <c r="R53" s="4">
        <f t="shared" si="2"/>
        <v>2.2116666666666664</v>
      </c>
      <c r="S53" s="2">
        <f t="shared" si="3"/>
        <v>0</v>
      </c>
      <c r="T53" s="3">
        <f t="shared" si="4"/>
        <v>1.9030589411085868</v>
      </c>
      <c r="U53" s="4">
        <f t="shared" si="5"/>
        <v>2.7052572274492985</v>
      </c>
    </row>
    <row r="54" spans="1:21">
      <c r="A54">
        <v>79</v>
      </c>
      <c r="B54" t="b">
        <v>1</v>
      </c>
      <c r="C54" t="b">
        <v>0</v>
      </c>
      <c r="D54" t="s">
        <v>150</v>
      </c>
      <c r="E54" t="s">
        <v>151</v>
      </c>
      <c r="F54" t="s">
        <v>152</v>
      </c>
      <c r="I54" t="s">
        <v>22</v>
      </c>
      <c r="J54">
        <v>8.01</v>
      </c>
      <c r="K54">
        <v>13.89</v>
      </c>
      <c r="L54">
        <v>1.28</v>
      </c>
      <c r="M54">
        <v>4.7699999999999996</v>
      </c>
      <c r="N54">
        <v>4.9400000000000004</v>
      </c>
      <c r="O54">
        <v>12.92</v>
      </c>
      <c r="P54" s="2">
        <f t="shared" si="0"/>
        <v>7.7266666666666666</v>
      </c>
      <c r="Q54" s="3">
        <f t="shared" si="1"/>
        <v>7.5433333333333339</v>
      </c>
      <c r="R54" s="4">
        <f t="shared" si="2"/>
        <v>7.6350000000000007</v>
      </c>
      <c r="S54" s="2">
        <f t="shared" si="3"/>
        <v>6.3097728432435147</v>
      </c>
      <c r="T54" s="3">
        <f t="shared" si="4"/>
        <v>4.6571056820017853</v>
      </c>
      <c r="U54" s="4">
        <f t="shared" si="5"/>
        <v>4.9609303562940692</v>
      </c>
    </row>
    <row r="55" spans="1:21">
      <c r="A55">
        <v>55</v>
      </c>
      <c r="B55" t="b">
        <v>1</v>
      </c>
      <c r="C55" t="b">
        <v>0</v>
      </c>
      <c r="D55" t="s">
        <v>153</v>
      </c>
      <c r="E55" t="s">
        <v>154</v>
      </c>
      <c r="F55" t="s">
        <v>75</v>
      </c>
      <c r="I55" t="s">
        <v>22</v>
      </c>
      <c r="J55">
        <v>0</v>
      </c>
      <c r="K55">
        <v>2.78</v>
      </c>
      <c r="L55">
        <v>0</v>
      </c>
      <c r="M55">
        <v>0</v>
      </c>
      <c r="N55">
        <v>0</v>
      </c>
      <c r="O55">
        <v>0</v>
      </c>
      <c r="P55" s="2">
        <f t="shared" si="0"/>
        <v>0.92666666666666664</v>
      </c>
      <c r="Q55" s="3">
        <f t="shared" si="1"/>
        <v>0</v>
      </c>
      <c r="R55" s="4">
        <f t="shared" si="2"/>
        <v>0.46333333333333332</v>
      </c>
      <c r="S55" s="2">
        <f t="shared" si="3"/>
        <v>1.6050337483471595</v>
      </c>
      <c r="T55" s="3">
        <f t="shared" si="4"/>
        <v>0</v>
      </c>
      <c r="U55" s="4">
        <f t="shared" si="5"/>
        <v>1.1349302474895391</v>
      </c>
    </row>
    <row r="56" spans="1:21">
      <c r="A56">
        <v>11</v>
      </c>
      <c r="B56" t="b">
        <v>1</v>
      </c>
      <c r="C56" t="b">
        <v>0</v>
      </c>
      <c r="D56" t="s">
        <v>155</v>
      </c>
      <c r="E56" t="s">
        <v>156</v>
      </c>
      <c r="F56" t="s">
        <v>157</v>
      </c>
      <c r="I56" t="s">
        <v>22</v>
      </c>
      <c r="J56">
        <v>8.01</v>
      </c>
      <c r="K56">
        <v>8.34</v>
      </c>
      <c r="L56">
        <v>6.4</v>
      </c>
      <c r="M56">
        <v>1.59</v>
      </c>
      <c r="N56">
        <v>3.29</v>
      </c>
      <c r="O56">
        <v>3.97</v>
      </c>
      <c r="P56" s="2">
        <f t="shared" si="0"/>
        <v>7.583333333333333</v>
      </c>
      <c r="Q56" s="3">
        <f t="shared" si="1"/>
        <v>2.9499999999999997</v>
      </c>
      <c r="R56" s="4">
        <f t="shared" si="2"/>
        <v>5.2666666666666666</v>
      </c>
      <c r="S56" s="2">
        <f t="shared" si="3"/>
        <v>1.0379948619012194</v>
      </c>
      <c r="T56" s="3">
        <f t="shared" si="4"/>
        <v>1.2258874336577574</v>
      </c>
      <c r="U56" s="4">
        <f t="shared" si="5"/>
        <v>2.7335739731469983</v>
      </c>
    </row>
    <row r="57" spans="1:21">
      <c r="A57" t="s">
        <v>161</v>
      </c>
      <c r="B57" t="b">
        <v>1</v>
      </c>
      <c r="C57" t="b">
        <v>0</v>
      </c>
      <c r="D57" t="s">
        <v>158</v>
      </c>
      <c r="E57" t="s">
        <v>159</v>
      </c>
      <c r="F57" t="s">
        <v>160</v>
      </c>
      <c r="G57" t="b">
        <v>1</v>
      </c>
      <c r="I57" t="s">
        <v>22</v>
      </c>
      <c r="J57">
        <v>682.96</v>
      </c>
      <c r="K57">
        <v>522.39</v>
      </c>
      <c r="L57">
        <v>316.27999999999997</v>
      </c>
      <c r="M57">
        <v>306.87</v>
      </c>
      <c r="N57">
        <v>230.43</v>
      </c>
      <c r="O57">
        <v>220.6</v>
      </c>
      <c r="P57" s="2">
        <f t="shared" si="0"/>
        <v>507.21</v>
      </c>
      <c r="Q57" s="3">
        <f t="shared" si="1"/>
        <v>252.63333333333333</v>
      </c>
      <c r="R57" s="4">
        <f t="shared" si="2"/>
        <v>379.92166666666662</v>
      </c>
      <c r="S57" s="2">
        <f t="shared" si="3"/>
        <v>183.81071758741399</v>
      </c>
      <c r="T57" s="3">
        <f t="shared" si="4"/>
        <v>47.226785125957342</v>
      </c>
      <c r="U57" s="4">
        <f t="shared" si="5"/>
        <v>183.98229104092246</v>
      </c>
    </row>
    <row r="58" spans="1:21">
      <c r="A58">
        <v>71</v>
      </c>
      <c r="B58" t="b">
        <v>1</v>
      </c>
      <c r="C58" t="b">
        <v>0</v>
      </c>
      <c r="D58" t="s">
        <v>162</v>
      </c>
      <c r="E58" t="s">
        <v>163</v>
      </c>
      <c r="F58" t="s">
        <v>164</v>
      </c>
      <c r="G58" t="b">
        <v>1</v>
      </c>
      <c r="I58" t="s">
        <v>22</v>
      </c>
      <c r="J58" s="1">
        <v>1688.38</v>
      </c>
      <c r="K58" s="1">
        <v>3032.9</v>
      </c>
      <c r="L58" s="1">
        <v>3887.59</v>
      </c>
      <c r="M58" s="1">
        <v>1237.02</v>
      </c>
      <c r="N58" s="1">
        <v>2966.02</v>
      </c>
      <c r="O58" s="1">
        <v>3349.71</v>
      </c>
      <c r="P58" s="2">
        <f t="shared" si="0"/>
        <v>2869.6233333333334</v>
      </c>
      <c r="Q58" s="3">
        <f t="shared" si="1"/>
        <v>2517.5833333333335</v>
      </c>
      <c r="R58" s="4">
        <f t="shared" si="2"/>
        <v>2693.6033333333339</v>
      </c>
      <c r="S58" s="2">
        <f t="shared" si="3"/>
        <v>1108.6593743947383</v>
      </c>
      <c r="T58" s="3">
        <f t="shared" si="4"/>
        <v>1125.4716087193556</v>
      </c>
      <c r="U58" s="4">
        <f t="shared" si="5"/>
        <v>1017.5973804342576</v>
      </c>
    </row>
    <row r="59" spans="1:21">
      <c r="A59">
        <v>63</v>
      </c>
      <c r="B59" t="b">
        <v>1</v>
      </c>
      <c r="C59" t="b">
        <v>0</v>
      </c>
      <c r="D59" t="s">
        <v>162</v>
      </c>
      <c r="E59" t="s">
        <v>165</v>
      </c>
      <c r="F59" t="s">
        <v>166</v>
      </c>
      <c r="G59" t="b">
        <v>1</v>
      </c>
      <c r="I59" t="s">
        <v>22</v>
      </c>
      <c r="J59">
        <v>0</v>
      </c>
      <c r="K59" s="1">
        <v>1016.99</v>
      </c>
      <c r="L59" s="1">
        <v>1505.86</v>
      </c>
      <c r="M59">
        <v>0</v>
      </c>
      <c r="N59" s="1">
        <v>1608.1</v>
      </c>
      <c r="O59" s="1">
        <v>1143.73</v>
      </c>
      <c r="P59" s="2">
        <f t="shared" si="0"/>
        <v>840.94999999999993</v>
      </c>
      <c r="Q59" s="3">
        <f t="shared" si="1"/>
        <v>917.27666666666664</v>
      </c>
      <c r="R59" s="4">
        <f t="shared" si="2"/>
        <v>879.11333333333334</v>
      </c>
      <c r="S59" s="2">
        <f t="shared" si="3"/>
        <v>768.20970190436924</v>
      </c>
      <c r="T59" s="3">
        <f t="shared" si="4"/>
        <v>827.62143316454365</v>
      </c>
      <c r="U59" s="4">
        <f t="shared" si="5"/>
        <v>715.39435356079412</v>
      </c>
    </row>
    <row r="60" spans="1:21">
      <c r="A60">
        <v>58</v>
      </c>
      <c r="B60" t="b">
        <v>1</v>
      </c>
      <c r="C60" t="b">
        <v>0</v>
      </c>
      <c r="D60" t="s">
        <v>167</v>
      </c>
      <c r="E60" t="s">
        <v>168</v>
      </c>
      <c r="F60" t="s">
        <v>169</v>
      </c>
      <c r="I60" t="s">
        <v>22</v>
      </c>
      <c r="J60">
        <v>6.01</v>
      </c>
      <c r="K60">
        <v>6.95</v>
      </c>
      <c r="L60">
        <v>3.84</v>
      </c>
      <c r="M60">
        <v>0</v>
      </c>
      <c r="N60">
        <v>3.29</v>
      </c>
      <c r="O60">
        <v>4.97</v>
      </c>
      <c r="P60" s="2">
        <f t="shared" si="0"/>
        <v>5.6000000000000005</v>
      </c>
      <c r="Q60" s="3">
        <f t="shared" si="1"/>
        <v>2.7533333333333334</v>
      </c>
      <c r="R60" s="4">
        <f t="shared" si="2"/>
        <v>4.1766666666666667</v>
      </c>
      <c r="S60" s="2">
        <f t="shared" si="3"/>
        <v>1.5950235107985087</v>
      </c>
      <c r="T60" s="3">
        <f t="shared" si="4"/>
        <v>2.5280888697459458</v>
      </c>
      <c r="U60" s="4">
        <f t="shared" si="5"/>
        <v>2.4505482379799561</v>
      </c>
    </row>
    <row r="61" spans="1:21">
      <c r="A61">
        <v>3</v>
      </c>
      <c r="B61" t="b">
        <v>1</v>
      </c>
      <c r="C61" t="b">
        <v>0</v>
      </c>
      <c r="D61" t="s">
        <v>170</v>
      </c>
      <c r="E61" t="s">
        <v>171</v>
      </c>
      <c r="F61" t="s">
        <v>172</v>
      </c>
      <c r="I61" t="s">
        <v>22</v>
      </c>
      <c r="J61">
        <v>0</v>
      </c>
      <c r="K61">
        <v>0</v>
      </c>
      <c r="L61">
        <v>0</v>
      </c>
      <c r="M61">
        <v>5.3</v>
      </c>
      <c r="N61">
        <v>11.52</v>
      </c>
      <c r="O61">
        <v>6.96</v>
      </c>
      <c r="P61" s="2">
        <f t="shared" si="0"/>
        <v>0</v>
      </c>
      <c r="Q61" s="3">
        <f t="shared" si="1"/>
        <v>7.9266666666666667</v>
      </c>
      <c r="R61" s="4">
        <f t="shared" si="2"/>
        <v>3.9633333333333334</v>
      </c>
      <c r="S61" s="2">
        <f t="shared" si="3"/>
        <v>0</v>
      </c>
      <c r="T61" s="3">
        <f t="shared" si="4"/>
        <v>3.2207038568197048</v>
      </c>
      <c r="U61" s="4">
        <f t="shared" si="5"/>
        <v>4.7957050228998304</v>
      </c>
    </row>
    <row r="62" spans="1:21">
      <c r="A62">
        <v>62</v>
      </c>
      <c r="B62" t="b">
        <v>1</v>
      </c>
      <c r="C62" t="b">
        <v>0</v>
      </c>
      <c r="D62" t="s">
        <v>173</v>
      </c>
      <c r="E62" t="s">
        <v>174</v>
      </c>
      <c r="F62" t="s">
        <v>175</v>
      </c>
      <c r="I62" t="s">
        <v>22</v>
      </c>
      <c r="J62">
        <v>410.58</v>
      </c>
      <c r="K62">
        <v>853.05</v>
      </c>
      <c r="L62">
        <v>925.8</v>
      </c>
      <c r="M62">
        <v>531.05999999999995</v>
      </c>
      <c r="N62">
        <v>885.53</v>
      </c>
      <c r="O62">
        <v>973.81</v>
      </c>
      <c r="P62" s="2">
        <f t="shared" si="0"/>
        <v>729.81</v>
      </c>
      <c r="Q62" s="3">
        <f t="shared" si="1"/>
        <v>796.79999999999984</v>
      </c>
      <c r="R62" s="4">
        <f t="shared" si="2"/>
        <v>763.30499999999995</v>
      </c>
      <c r="S62" s="2">
        <f t="shared" si="3"/>
        <v>278.84401607350333</v>
      </c>
      <c r="T62" s="3">
        <f t="shared" si="4"/>
        <v>234.33235009276933</v>
      </c>
      <c r="U62" s="4">
        <f t="shared" si="5"/>
        <v>233.26498294857731</v>
      </c>
    </row>
    <row r="63" spans="1:21">
      <c r="A63">
        <v>53</v>
      </c>
      <c r="B63" t="b">
        <v>1</v>
      </c>
      <c r="C63" t="b">
        <v>0</v>
      </c>
      <c r="D63" t="s">
        <v>176</v>
      </c>
      <c r="E63" t="s">
        <v>177</v>
      </c>
      <c r="F63" t="s">
        <v>178</v>
      </c>
      <c r="I63" t="s">
        <v>22</v>
      </c>
      <c r="J63">
        <v>0</v>
      </c>
      <c r="K63">
        <v>0</v>
      </c>
      <c r="L63">
        <v>0</v>
      </c>
      <c r="M63">
        <v>6.89</v>
      </c>
      <c r="N63">
        <v>6.58</v>
      </c>
      <c r="O63">
        <v>2.98</v>
      </c>
      <c r="P63" s="2">
        <f t="shared" si="0"/>
        <v>0</v>
      </c>
      <c r="Q63" s="3">
        <f t="shared" si="1"/>
        <v>5.4833333333333334</v>
      </c>
      <c r="R63" s="4">
        <f t="shared" si="2"/>
        <v>2.7416666666666667</v>
      </c>
      <c r="S63" s="2">
        <f t="shared" si="3"/>
        <v>0</v>
      </c>
      <c r="T63" s="3">
        <f t="shared" si="4"/>
        <v>2.173484146096615</v>
      </c>
      <c r="U63" s="4">
        <f t="shared" si="5"/>
        <v>3.302982995213064</v>
      </c>
    </row>
    <row r="64" spans="1:21">
      <c r="A64">
        <v>34</v>
      </c>
      <c r="B64" t="b">
        <v>1</v>
      </c>
      <c r="C64" t="b">
        <v>0</v>
      </c>
      <c r="D64" t="s">
        <v>179</v>
      </c>
      <c r="E64" t="s">
        <v>180</v>
      </c>
      <c r="F64" t="s">
        <v>25</v>
      </c>
      <c r="I64" t="s">
        <v>22</v>
      </c>
      <c r="J64">
        <v>2</v>
      </c>
      <c r="K64">
        <v>2.78</v>
      </c>
      <c r="L64">
        <v>0</v>
      </c>
      <c r="M64">
        <v>2.65</v>
      </c>
      <c r="N64">
        <v>9.8800000000000008</v>
      </c>
      <c r="O64">
        <v>5.96</v>
      </c>
      <c r="P64" s="2">
        <f t="shared" si="0"/>
        <v>1.593333333333333</v>
      </c>
      <c r="Q64" s="3">
        <f t="shared" si="1"/>
        <v>6.163333333333334</v>
      </c>
      <c r="R64" s="4">
        <f t="shared" si="2"/>
        <v>3.8783333333333339</v>
      </c>
      <c r="S64" s="2">
        <f t="shared" si="3"/>
        <v>1.4339223595904116</v>
      </c>
      <c r="T64" s="3">
        <f t="shared" si="4"/>
        <v>3.6192863016530379</v>
      </c>
      <c r="U64" s="4">
        <f t="shared" si="5"/>
        <v>3.5110705869672665</v>
      </c>
    </row>
    <row r="65" spans="1:21">
      <c r="A65">
        <v>78</v>
      </c>
      <c r="B65" t="b">
        <v>1</v>
      </c>
      <c r="C65" t="b">
        <v>0</v>
      </c>
      <c r="D65" t="s">
        <v>181</v>
      </c>
      <c r="E65" t="s">
        <v>182</v>
      </c>
      <c r="F65" t="s">
        <v>178</v>
      </c>
      <c r="G65" t="b">
        <v>1</v>
      </c>
      <c r="I65" t="s">
        <v>22</v>
      </c>
      <c r="J65">
        <v>29.04</v>
      </c>
      <c r="K65">
        <v>11.11</v>
      </c>
      <c r="L65">
        <v>10.24</v>
      </c>
      <c r="M65">
        <v>33.92</v>
      </c>
      <c r="N65">
        <v>16.46</v>
      </c>
      <c r="O65">
        <v>10.93</v>
      </c>
      <c r="P65" s="2">
        <f t="shared" si="0"/>
        <v>16.796666666666667</v>
      </c>
      <c r="Q65" s="3">
        <f t="shared" si="1"/>
        <v>20.436666666666667</v>
      </c>
      <c r="R65" s="4">
        <f t="shared" si="2"/>
        <v>18.616666666666671</v>
      </c>
      <c r="S65" s="2">
        <f t="shared" si="3"/>
        <v>10.611957092512828</v>
      </c>
      <c r="T65" s="3">
        <f t="shared" si="4"/>
        <v>11.999809720713628</v>
      </c>
      <c r="U65" s="4">
        <f t="shared" si="5"/>
        <v>10.325623790680474</v>
      </c>
    </row>
    <row r="66" spans="1:21">
      <c r="A66">
        <v>49</v>
      </c>
      <c r="B66" t="b">
        <v>1</v>
      </c>
      <c r="C66" t="b">
        <v>0</v>
      </c>
      <c r="D66" t="s">
        <v>183</v>
      </c>
      <c r="E66" t="s">
        <v>184</v>
      </c>
      <c r="F66" t="s">
        <v>185</v>
      </c>
      <c r="I66" t="s">
        <v>22</v>
      </c>
      <c r="J66">
        <v>0</v>
      </c>
      <c r="K66">
        <v>1.39</v>
      </c>
      <c r="L66">
        <v>2.56</v>
      </c>
      <c r="M66">
        <v>0</v>
      </c>
      <c r="N66">
        <v>0</v>
      </c>
      <c r="O66">
        <v>0</v>
      </c>
      <c r="P66" s="2">
        <f t="shared" si="0"/>
        <v>1.3166666666666667</v>
      </c>
      <c r="Q66" s="3">
        <f t="shared" si="1"/>
        <v>0</v>
      </c>
      <c r="R66" s="4">
        <f t="shared" si="2"/>
        <v>0.65833333333333333</v>
      </c>
      <c r="S66" s="2">
        <f t="shared" si="3"/>
        <v>1.2815745523898845</v>
      </c>
      <c r="T66" s="3">
        <f t="shared" si="4"/>
        <v>0</v>
      </c>
      <c r="U66" s="4">
        <f t="shared" si="5"/>
        <v>1.0849224242620605</v>
      </c>
    </row>
    <row r="67" spans="1:21">
      <c r="A67">
        <v>59</v>
      </c>
      <c r="B67" t="b">
        <v>1</v>
      </c>
      <c r="C67" t="b">
        <v>0</v>
      </c>
      <c r="D67" t="s">
        <v>186</v>
      </c>
      <c r="E67" t="s">
        <v>187</v>
      </c>
      <c r="F67" t="s">
        <v>56</v>
      </c>
      <c r="I67" t="s">
        <v>22</v>
      </c>
      <c r="J67">
        <v>14.02</v>
      </c>
      <c r="K67">
        <v>4.17</v>
      </c>
      <c r="L67">
        <v>5.12</v>
      </c>
      <c r="M67">
        <v>12.19</v>
      </c>
      <c r="N67">
        <v>13.17</v>
      </c>
      <c r="O67">
        <v>6.96</v>
      </c>
      <c r="P67" s="2">
        <f t="shared" si="0"/>
        <v>7.77</v>
      </c>
      <c r="Q67" s="3">
        <f t="shared" si="1"/>
        <v>10.773333333333333</v>
      </c>
      <c r="R67" s="4">
        <f t="shared" si="2"/>
        <v>9.2716666666666665</v>
      </c>
      <c r="S67" s="2">
        <f t="shared" si="3"/>
        <v>5.4334611436910087</v>
      </c>
      <c r="T67" s="3">
        <f t="shared" si="4"/>
        <v>3.3385975099333702</v>
      </c>
      <c r="U67" s="4">
        <f t="shared" si="5"/>
        <v>4.3558577417848099</v>
      </c>
    </row>
    <row r="68" spans="1:21">
      <c r="A68">
        <v>64</v>
      </c>
      <c r="B68" t="b">
        <v>1</v>
      </c>
      <c r="C68" t="b">
        <v>0</v>
      </c>
      <c r="D68" t="s">
        <v>186</v>
      </c>
      <c r="E68" t="s">
        <v>188</v>
      </c>
      <c r="F68" t="s">
        <v>189</v>
      </c>
      <c r="I68" t="s">
        <v>22</v>
      </c>
      <c r="J68">
        <v>0</v>
      </c>
      <c r="K68">
        <v>2.78</v>
      </c>
      <c r="L68">
        <v>0</v>
      </c>
      <c r="M68">
        <v>0</v>
      </c>
      <c r="N68">
        <v>0</v>
      </c>
      <c r="O68">
        <v>1.99</v>
      </c>
      <c r="P68" s="2">
        <f t="shared" ref="P68:P83" si="6">AVERAGE(J68:L68)</f>
        <v>0.92666666666666664</v>
      </c>
      <c r="Q68" s="3">
        <f t="shared" ref="Q68:Q83" si="7">AVERAGE(M68:O68)</f>
        <v>0.66333333333333333</v>
      </c>
      <c r="R68" s="4">
        <f t="shared" ref="R68:R83" si="8">AVERAGE(J68:O68)</f>
        <v>0.79499999999999993</v>
      </c>
      <c r="S68" s="2">
        <f t="shared" ref="S68:S83" si="9">STDEV(J68:L68)</f>
        <v>1.6050337483471595</v>
      </c>
      <c r="T68" s="3">
        <f t="shared" ref="T68:T83" si="10">STDEV(M68:O68)</f>
        <v>1.1489270356873553</v>
      </c>
      <c r="U68" s="4">
        <f t="shared" ref="U68:U83" si="11">STDEV(J68:O68)</f>
        <v>1.2566900970406347</v>
      </c>
    </row>
    <row r="69" spans="1:21">
      <c r="A69">
        <v>68</v>
      </c>
      <c r="B69" t="b">
        <v>1</v>
      </c>
      <c r="C69" t="b">
        <v>0</v>
      </c>
      <c r="D69" t="s">
        <v>186</v>
      </c>
      <c r="E69" t="s">
        <v>190</v>
      </c>
      <c r="F69" t="s">
        <v>34</v>
      </c>
      <c r="G69" t="b">
        <v>1</v>
      </c>
      <c r="I69" t="s">
        <v>22</v>
      </c>
      <c r="J69">
        <v>0</v>
      </c>
      <c r="K69">
        <v>0</v>
      </c>
      <c r="L69">
        <v>0</v>
      </c>
      <c r="M69">
        <v>0</v>
      </c>
      <c r="N69">
        <v>26.34</v>
      </c>
      <c r="O69">
        <v>12.92</v>
      </c>
      <c r="P69" s="2">
        <f t="shared" si="6"/>
        <v>0</v>
      </c>
      <c r="Q69" s="3">
        <f t="shared" si="7"/>
        <v>13.086666666666666</v>
      </c>
      <c r="R69" s="4">
        <f t="shared" si="8"/>
        <v>6.543333333333333</v>
      </c>
      <c r="S69" s="2">
        <f t="shared" si="9"/>
        <v>0</v>
      </c>
      <c r="T69" s="3">
        <f t="shared" si="10"/>
        <v>13.17079091525385</v>
      </c>
      <c r="U69" s="4">
        <f t="shared" si="11"/>
        <v>10.989365162131373</v>
      </c>
    </row>
    <row r="70" spans="1:21">
      <c r="A70">
        <v>13</v>
      </c>
      <c r="B70" t="b">
        <v>1</v>
      </c>
      <c r="C70" t="b">
        <v>0</v>
      </c>
      <c r="D70" t="s">
        <v>186</v>
      </c>
      <c r="E70" t="s">
        <v>191</v>
      </c>
      <c r="F70" t="s">
        <v>56</v>
      </c>
      <c r="I70" t="s">
        <v>22</v>
      </c>
      <c r="J70">
        <v>8.01</v>
      </c>
      <c r="K70">
        <v>1.39</v>
      </c>
      <c r="L70">
        <v>0</v>
      </c>
      <c r="M70">
        <v>3.18</v>
      </c>
      <c r="N70">
        <v>4.9400000000000004</v>
      </c>
      <c r="O70">
        <v>2.98</v>
      </c>
      <c r="P70" s="2">
        <f t="shared" si="6"/>
        <v>3.1333333333333333</v>
      </c>
      <c r="Q70" s="3">
        <f t="shared" si="7"/>
        <v>3.7000000000000006</v>
      </c>
      <c r="R70" s="4">
        <f t="shared" si="8"/>
        <v>3.4166666666666665</v>
      </c>
      <c r="S70" s="2">
        <f t="shared" si="9"/>
        <v>4.28012071480856</v>
      </c>
      <c r="T70" s="3">
        <f t="shared" si="10"/>
        <v>1.0785175010170194</v>
      </c>
      <c r="U70" s="4">
        <f t="shared" si="11"/>
        <v>2.8088052026914694</v>
      </c>
    </row>
    <row r="71" spans="1:21">
      <c r="A71">
        <v>44</v>
      </c>
      <c r="B71" t="b">
        <v>1</v>
      </c>
      <c r="C71" t="b">
        <v>0</v>
      </c>
      <c r="D71" t="s">
        <v>192</v>
      </c>
      <c r="E71" t="s">
        <v>193</v>
      </c>
      <c r="F71" t="s">
        <v>81</v>
      </c>
      <c r="G71" t="b">
        <v>1</v>
      </c>
      <c r="I71" t="s">
        <v>22</v>
      </c>
      <c r="J71">
        <v>119.17</v>
      </c>
      <c r="K71">
        <v>219.51</v>
      </c>
      <c r="L71">
        <v>147.26</v>
      </c>
      <c r="M71">
        <v>130.38</v>
      </c>
      <c r="N71">
        <v>217.27</v>
      </c>
      <c r="O71">
        <v>113.28</v>
      </c>
      <c r="P71" s="2">
        <f t="shared" si="6"/>
        <v>161.97999999999999</v>
      </c>
      <c r="Q71" s="3">
        <f t="shared" si="7"/>
        <v>153.64333333333332</v>
      </c>
      <c r="R71" s="4">
        <f t="shared" si="8"/>
        <v>157.81166666666664</v>
      </c>
      <c r="S71" s="2">
        <f t="shared" si="9"/>
        <v>51.764251177815765</v>
      </c>
      <c r="T71" s="3">
        <f t="shared" si="10"/>
        <v>55.7616986230992</v>
      </c>
      <c r="U71" s="4">
        <f t="shared" si="11"/>
        <v>48.336444807894949</v>
      </c>
    </row>
    <row r="72" spans="1:21">
      <c r="A72">
        <v>57</v>
      </c>
      <c r="B72" t="b">
        <v>1</v>
      </c>
      <c r="C72" t="b">
        <v>0</v>
      </c>
      <c r="D72" t="s">
        <v>194</v>
      </c>
      <c r="E72" t="s">
        <v>195</v>
      </c>
      <c r="F72" t="s">
        <v>21</v>
      </c>
      <c r="G72" t="b">
        <v>1</v>
      </c>
      <c r="I72" t="s">
        <v>22</v>
      </c>
      <c r="J72">
        <v>0</v>
      </c>
      <c r="K72">
        <v>0</v>
      </c>
      <c r="L72">
        <v>0</v>
      </c>
      <c r="M72">
        <v>3.18</v>
      </c>
      <c r="N72">
        <v>0</v>
      </c>
      <c r="O72">
        <v>0</v>
      </c>
      <c r="P72" s="2">
        <f t="shared" si="6"/>
        <v>0</v>
      </c>
      <c r="Q72" s="3">
        <f t="shared" si="7"/>
        <v>1.06</v>
      </c>
      <c r="R72" s="4">
        <f t="shared" si="8"/>
        <v>0.53</v>
      </c>
      <c r="S72" s="2">
        <f t="shared" si="9"/>
        <v>0</v>
      </c>
      <c r="T72" s="3">
        <f t="shared" si="10"/>
        <v>1.8359738560230099</v>
      </c>
      <c r="U72" s="4">
        <f t="shared" si="11"/>
        <v>1.2982295636750845</v>
      </c>
    </row>
    <row r="73" spans="1:21">
      <c r="A73">
        <v>73</v>
      </c>
      <c r="B73" t="b">
        <v>1</v>
      </c>
      <c r="C73" t="b">
        <v>0</v>
      </c>
      <c r="D73" t="s">
        <v>196</v>
      </c>
      <c r="E73" t="s">
        <v>197</v>
      </c>
      <c r="F73" t="s">
        <v>198</v>
      </c>
      <c r="G73" t="b">
        <v>1</v>
      </c>
      <c r="I73" t="s">
        <v>22</v>
      </c>
      <c r="J73">
        <v>6.01</v>
      </c>
      <c r="K73">
        <v>2.78</v>
      </c>
      <c r="L73">
        <v>1.28</v>
      </c>
      <c r="M73">
        <v>0</v>
      </c>
      <c r="N73">
        <v>4.9400000000000004</v>
      </c>
      <c r="O73">
        <v>4.97</v>
      </c>
      <c r="P73" s="2">
        <f t="shared" si="6"/>
        <v>3.356666666666666</v>
      </c>
      <c r="Q73" s="3">
        <f t="shared" si="7"/>
        <v>3.3033333333333332</v>
      </c>
      <c r="R73" s="4">
        <f t="shared" si="8"/>
        <v>3.3299999999999996</v>
      </c>
      <c r="S73" s="2">
        <f t="shared" si="9"/>
        <v>2.4171539738571348</v>
      </c>
      <c r="T73" s="3">
        <f t="shared" si="10"/>
        <v>2.8608099086331014</v>
      </c>
      <c r="U73" s="4">
        <f t="shared" si="11"/>
        <v>2.3688815926508444</v>
      </c>
    </row>
    <row r="74" spans="1:21">
      <c r="A74">
        <v>56</v>
      </c>
      <c r="B74" t="b">
        <v>1</v>
      </c>
      <c r="C74" t="b">
        <v>0</v>
      </c>
      <c r="D74" t="s">
        <v>199</v>
      </c>
      <c r="E74" t="s">
        <v>200</v>
      </c>
      <c r="F74" t="s">
        <v>45</v>
      </c>
      <c r="I74" t="s">
        <v>22</v>
      </c>
      <c r="J74">
        <v>4.01</v>
      </c>
      <c r="K74">
        <v>1.39</v>
      </c>
      <c r="L74">
        <v>0</v>
      </c>
      <c r="M74">
        <v>4.24</v>
      </c>
      <c r="N74">
        <v>0</v>
      </c>
      <c r="O74">
        <v>0</v>
      </c>
      <c r="P74" s="2">
        <f t="shared" si="6"/>
        <v>1.7999999999999998</v>
      </c>
      <c r="Q74" s="3">
        <f t="shared" si="7"/>
        <v>1.4133333333333333</v>
      </c>
      <c r="R74" s="4">
        <f t="shared" si="8"/>
        <v>1.6066666666666667</v>
      </c>
      <c r="S74" s="2">
        <f t="shared" si="9"/>
        <v>2.0361974363995254</v>
      </c>
      <c r="T74" s="3">
        <f t="shared" si="10"/>
        <v>2.4479651413640133</v>
      </c>
      <c r="U74" s="4">
        <f t="shared" si="11"/>
        <v>2.0249213976514415</v>
      </c>
    </row>
    <row r="75" spans="1:21">
      <c r="A75">
        <v>9</v>
      </c>
      <c r="B75" t="b">
        <v>1</v>
      </c>
      <c r="C75" t="b">
        <v>0</v>
      </c>
      <c r="D75" t="s">
        <v>201</v>
      </c>
      <c r="E75" t="s">
        <v>202</v>
      </c>
      <c r="F75" t="s">
        <v>203</v>
      </c>
      <c r="G75" t="b">
        <v>1</v>
      </c>
      <c r="I75" t="s">
        <v>22</v>
      </c>
      <c r="J75">
        <v>15.02</v>
      </c>
      <c r="K75">
        <v>25.01</v>
      </c>
      <c r="L75">
        <v>24.33</v>
      </c>
      <c r="M75">
        <v>81.62</v>
      </c>
      <c r="N75">
        <v>0</v>
      </c>
      <c r="O75">
        <v>9.94</v>
      </c>
      <c r="P75" s="2">
        <f t="shared" si="6"/>
        <v>21.453333333333333</v>
      </c>
      <c r="Q75" s="3">
        <f t="shared" si="7"/>
        <v>30.52</v>
      </c>
      <c r="R75" s="4">
        <f t="shared" si="8"/>
        <v>25.986666666666668</v>
      </c>
      <c r="S75" s="2">
        <f t="shared" si="9"/>
        <v>5.5817948129014212</v>
      </c>
      <c r="T75" s="3">
        <f t="shared" si="10"/>
        <v>44.532105272488522</v>
      </c>
      <c r="U75" s="4">
        <f t="shared" si="11"/>
        <v>28.816093882875009</v>
      </c>
    </row>
    <row r="76" spans="1:21">
      <c r="A76">
        <v>38</v>
      </c>
      <c r="B76" t="b">
        <v>1</v>
      </c>
      <c r="C76" t="b">
        <v>0</v>
      </c>
      <c r="D76" t="s">
        <v>204</v>
      </c>
      <c r="E76" t="s">
        <v>205</v>
      </c>
      <c r="F76" t="s">
        <v>51</v>
      </c>
      <c r="I76" t="s">
        <v>22</v>
      </c>
      <c r="J76">
        <v>94.13</v>
      </c>
      <c r="K76">
        <v>482.1</v>
      </c>
      <c r="L76">
        <v>395.67</v>
      </c>
      <c r="M76">
        <v>84.27</v>
      </c>
      <c r="N76">
        <v>427.95</v>
      </c>
      <c r="O76">
        <v>415.36</v>
      </c>
      <c r="P76" s="2">
        <f t="shared" si="6"/>
        <v>323.9666666666667</v>
      </c>
      <c r="Q76" s="3">
        <f t="shared" si="7"/>
        <v>309.19333333333333</v>
      </c>
      <c r="R76" s="4">
        <f t="shared" si="8"/>
        <v>316.58</v>
      </c>
      <c r="S76" s="2">
        <f t="shared" si="9"/>
        <v>203.68162959219788</v>
      </c>
      <c r="T76" s="3">
        <f t="shared" si="10"/>
        <v>194.8910116791775</v>
      </c>
      <c r="U76" s="4">
        <f t="shared" si="11"/>
        <v>178.47397703867085</v>
      </c>
    </row>
    <row r="77" spans="1:21">
      <c r="A77">
        <v>31</v>
      </c>
      <c r="B77" t="b">
        <v>1</v>
      </c>
      <c r="C77" t="b">
        <v>0</v>
      </c>
      <c r="D77" t="s">
        <v>206</v>
      </c>
      <c r="E77" t="s">
        <v>207</v>
      </c>
      <c r="F77" t="s">
        <v>208</v>
      </c>
      <c r="G77" t="b">
        <v>1</v>
      </c>
      <c r="I77" t="s">
        <v>22</v>
      </c>
      <c r="J77">
        <v>2</v>
      </c>
      <c r="K77">
        <v>0</v>
      </c>
      <c r="L77">
        <v>0</v>
      </c>
      <c r="M77">
        <v>0</v>
      </c>
      <c r="N77">
        <v>3.29</v>
      </c>
      <c r="O77">
        <v>1.99</v>
      </c>
      <c r="P77" s="2">
        <f t="shared" si="6"/>
        <v>0.66666666666666663</v>
      </c>
      <c r="Q77" s="3">
        <f t="shared" si="7"/>
        <v>1.76</v>
      </c>
      <c r="R77" s="4">
        <f t="shared" si="8"/>
        <v>1.2133333333333334</v>
      </c>
      <c r="S77" s="2">
        <f t="shared" si="9"/>
        <v>1.1547005383792517</v>
      </c>
      <c r="T77" s="3">
        <f t="shared" si="10"/>
        <v>1.6570153891862318</v>
      </c>
      <c r="U77" s="4">
        <f t="shared" si="11"/>
        <v>1.4107539355488845</v>
      </c>
    </row>
    <row r="78" spans="1:21">
      <c r="A78">
        <v>37</v>
      </c>
      <c r="B78" t="b">
        <v>1</v>
      </c>
      <c r="C78" t="b">
        <v>0</v>
      </c>
      <c r="D78" t="s">
        <v>209</v>
      </c>
      <c r="E78" t="s">
        <v>210</v>
      </c>
      <c r="F78" t="s">
        <v>211</v>
      </c>
      <c r="I78" t="s">
        <v>22</v>
      </c>
      <c r="J78">
        <v>15.02</v>
      </c>
      <c r="K78">
        <v>37.51</v>
      </c>
      <c r="L78">
        <v>21.77</v>
      </c>
      <c r="M78">
        <v>24.38</v>
      </c>
      <c r="N78">
        <v>37.86</v>
      </c>
      <c r="O78">
        <v>20.87</v>
      </c>
      <c r="P78" s="2">
        <f t="shared" si="6"/>
        <v>24.766666666666666</v>
      </c>
      <c r="Q78" s="3">
        <f t="shared" si="7"/>
        <v>27.703333333333333</v>
      </c>
      <c r="R78" s="4">
        <f t="shared" si="8"/>
        <v>26.234999999999999</v>
      </c>
      <c r="S78" s="2">
        <f t="shared" si="9"/>
        <v>11.54058201882961</v>
      </c>
      <c r="T78" s="3">
        <f t="shared" si="10"/>
        <v>8.9693050641247147</v>
      </c>
      <c r="U78" s="4">
        <f t="shared" si="11"/>
        <v>9.3829947245002643</v>
      </c>
    </row>
    <row r="79" spans="1:21">
      <c r="A79">
        <v>66</v>
      </c>
      <c r="B79" t="b">
        <v>1</v>
      </c>
      <c r="C79" t="b">
        <v>0</v>
      </c>
      <c r="D79" t="s">
        <v>212</v>
      </c>
      <c r="E79" t="s">
        <v>213</v>
      </c>
      <c r="F79" t="s">
        <v>214</v>
      </c>
      <c r="I79" t="s">
        <v>22</v>
      </c>
      <c r="J79">
        <v>0</v>
      </c>
      <c r="K79">
        <v>77.8</v>
      </c>
      <c r="L79">
        <v>21.77</v>
      </c>
      <c r="M79">
        <v>0</v>
      </c>
      <c r="N79">
        <v>24.69</v>
      </c>
      <c r="O79">
        <v>15.9</v>
      </c>
      <c r="P79" s="2">
        <f t="shared" si="6"/>
        <v>33.19</v>
      </c>
      <c r="Q79" s="3">
        <f t="shared" si="7"/>
        <v>13.530000000000001</v>
      </c>
      <c r="R79" s="4">
        <f t="shared" si="8"/>
        <v>23.36</v>
      </c>
      <c r="S79" s="2">
        <f t="shared" si="9"/>
        <v>40.137542276527093</v>
      </c>
      <c r="T79" s="3">
        <f t="shared" si="10"/>
        <v>12.514459636756197</v>
      </c>
      <c r="U79" s="4">
        <f t="shared" si="11"/>
        <v>28.688120886527226</v>
      </c>
    </row>
    <row r="80" spans="1:21">
      <c r="A80">
        <v>4</v>
      </c>
      <c r="B80" t="b">
        <v>1</v>
      </c>
      <c r="C80" t="b">
        <v>0</v>
      </c>
      <c r="D80" t="s">
        <v>215</v>
      </c>
      <c r="E80" t="s">
        <v>216</v>
      </c>
      <c r="F80" t="s">
        <v>217</v>
      </c>
      <c r="G80" t="b">
        <v>1</v>
      </c>
      <c r="I80" t="s">
        <v>22</v>
      </c>
      <c r="J80">
        <v>0</v>
      </c>
      <c r="K80">
        <v>4.17</v>
      </c>
      <c r="L80">
        <v>1.28</v>
      </c>
      <c r="M80">
        <v>0</v>
      </c>
      <c r="N80">
        <v>4.9400000000000004</v>
      </c>
      <c r="O80">
        <v>2.98</v>
      </c>
      <c r="P80" s="2">
        <f t="shared" si="6"/>
        <v>1.8166666666666667</v>
      </c>
      <c r="Q80" s="3">
        <f t="shared" si="7"/>
        <v>2.64</v>
      </c>
      <c r="R80" s="4">
        <f t="shared" si="8"/>
        <v>2.2283333333333335</v>
      </c>
      <c r="S80" s="2">
        <f t="shared" si="9"/>
        <v>2.1361725897813906</v>
      </c>
      <c r="T80" s="3">
        <f t="shared" si="10"/>
        <v>2.4874886934416414</v>
      </c>
      <c r="U80" s="4">
        <f t="shared" si="11"/>
        <v>2.1221914773805564</v>
      </c>
    </row>
    <row r="81" spans="1:21">
      <c r="A81">
        <v>21</v>
      </c>
      <c r="B81" t="b">
        <v>1</v>
      </c>
      <c r="C81" t="b">
        <v>0</v>
      </c>
      <c r="D81" t="s">
        <v>218</v>
      </c>
      <c r="E81" t="s">
        <v>219</v>
      </c>
      <c r="F81" t="s">
        <v>220</v>
      </c>
      <c r="I81" t="s">
        <v>22</v>
      </c>
      <c r="J81">
        <v>700.99</v>
      </c>
      <c r="K81">
        <v>145.88</v>
      </c>
      <c r="L81">
        <v>110.12</v>
      </c>
      <c r="M81" s="1">
        <v>1637.18</v>
      </c>
      <c r="N81">
        <v>57.61</v>
      </c>
      <c r="O81">
        <v>245.44</v>
      </c>
      <c r="P81" s="2">
        <f t="shared" si="6"/>
        <v>318.99666666666667</v>
      </c>
      <c r="Q81" s="3">
        <f t="shared" si="7"/>
        <v>646.74333333333334</v>
      </c>
      <c r="R81" s="4">
        <f t="shared" si="8"/>
        <v>482.87000000000006</v>
      </c>
      <c r="S81" s="2">
        <f t="shared" si="9"/>
        <v>331.29876913947828</v>
      </c>
      <c r="T81" s="3">
        <f t="shared" si="10"/>
        <v>862.86941088054186</v>
      </c>
      <c r="U81" s="4">
        <f t="shared" si="11"/>
        <v>611.51153801052681</v>
      </c>
    </row>
    <row r="82" spans="1:21">
      <c r="A82">
        <v>51</v>
      </c>
      <c r="B82" t="b">
        <v>1</v>
      </c>
      <c r="C82" t="b">
        <v>0</v>
      </c>
      <c r="D82" t="s">
        <v>221</v>
      </c>
      <c r="E82" t="s">
        <v>222</v>
      </c>
      <c r="F82" t="s">
        <v>31</v>
      </c>
      <c r="I82" t="s">
        <v>22</v>
      </c>
      <c r="J82">
        <v>11.02</v>
      </c>
      <c r="K82">
        <v>8.34</v>
      </c>
      <c r="L82">
        <v>10.24</v>
      </c>
      <c r="M82">
        <v>30.74</v>
      </c>
      <c r="N82">
        <v>46.09</v>
      </c>
      <c r="O82">
        <v>42.73</v>
      </c>
      <c r="P82" s="2">
        <f t="shared" si="6"/>
        <v>9.8666666666666671</v>
      </c>
      <c r="Q82" s="3">
        <f t="shared" si="7"/>
        <v>39.853333333333332</v>
      </c>
      <c r="R82" s="4">
        <f t="shared" si="8"/>
        <v>24.86</v>
      </c>
      <c r="S82" s="2">
        <f t="shared" si="9"/>
        <v>1.3784532394438758</v>
      </c>
      <c r="T82" s="3">
        <f t="shared" si="10"/>
        <v>8.0692027693777355</v>
      </c>
      <c r="U82" s="4">
        <f t="shared" si="11"/>
        <v>17.221060362242504</v>
      </c>
    </row>
    <row r="83" spans="1:21">
      <c r="A83" t="s">
        <v>226</v>
      </c>
      <c r="D83" t="s">
        <v>223</v>
      </c>
      <c r="E83" t="s">
        <v>224</v>
      </c>
      <c r="F83" t="s">
        <v>225</v>
      </c>
      <c r="G83" t="b">
        <v>1</v>
      </c>
      <c r="I83" t="s">
        <v>22</v>
      </c>
      <c r="J83">
        <v>4.01</v>
      </c>
      <c r="K83">
        <v>5.56</v>
      </c>
      <c r="L83">
        <v>6.4</v>
      </c>
      <c r="M83">
        <v>0</v>
      </c>
      <c r="N83">
        <v>0</v>
      </c>
      <c r="O83">
        <v>0</v>
      </c>
      <c r="P83" s="2">
        <f t="shared" si="6"/>
        <v>5.3233333333333333</v>
      </c>
      <c r="Q83" s="3">
        <f t="shared" si="7"/>
        <v>0</v>
      </c>
      <c r="R83" s="4">
        <f t="shared" si="8"/>
        <v>2.6616666666666666</v>
      </c>
      <c r="S83" s="2">
        <f t="shared" si="9"/>
        <v>1.212449311655265</v>
      </c>
      <c r="T83" s="3">
        <f t="shared" si="10"/>
        <v>0</v>
      </c>
      <c r="U83" s="4">
        <f t="shared" si="11"/>
        <v>3.0148593112559441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rkarn</cp:lastModifiedBy>
  <cp:lastPrinted>2011-04-25T17:22:40Z</cp:lastPrinted>
  <dcterms:created xsi:type="dcterms:W3CDTF">2011-02-28T22:04:12Z</dcterms:created>
  <dcterms:modified xsi:type="dcterms:W3CDTF">2011-05-23T22:38:19Z</dcterms:modified>
</cp:coreProperties>
</file>