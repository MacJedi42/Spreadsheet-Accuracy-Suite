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3.1" sheetId="1" r:id="rId1"/>
  </sheets>
  <externalReferences>
    <externalReference r:id="rId2"/>
    <externalReference r:id="rId3"/>
  </externalReferences>
  <definedNames>
    <definedName name="_xlnm.Print_Area" localSheetId="0">'Table 3.1'!$A$3:$L$62</definedName>
  </definedNames>
  <calcPr calcId="145621"/>
</workbook>
</file>

<file path=xl/calcChain.xml><?xml version="1.0" encoding="utf-8"?>
<calcChain xmlns="http://schemas.openxmlformats.org/spreadsheetml/2006/main">
  <c r="I61" i="1" l="1"/>
  <c r="E52" i="1"/>
  <c r="D52" i="1"/>
  <c r="C52" i="1"/>
  <c r="B52" i="1"/>
  <c r="E50" i="1"/>
  <c r="D50" i="1"/>
  <c r="C50" i="1"/>
  <c r="B50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E36" i="1"/>
  <c r="D36" i="1"/>
  <c r="C36" i="1"/>
  <c r="B36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E27" i="1"/>
  <c r="D27" i="1"/>
  <c r="C27" i="1"/>
  <c r="B27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<sst xmlns="http://schemas.openxmlformats.org/spreadsheetml/2006/main" count="32" uniqueCount="18">
  <si>
    <t>Monthly Statistical Bulletin</t>
  </si>
  <si>
    <t>3.1 Gross domestic product</t>
  </si>
  <si>
    <t>Quarter</t>
  </si>
  <si>
    <t>Current prices (a) – $ million</t>
  </si>
  <si>
    <t>September</t>
  </si>
  <si>
    <t>December</t>
  </si>
  <si>
    <t>March</t>
  </si>
  <si>
    <t>June</t>
  </si>
  <si>
    <t>Annual</t>
  </si>
  <si>
    <t>Chain volume measures (a) (b) – $ million</t>
  </si>
  <si>
    <t>Quarterly change (a) (c) – per cent</t>
  </si>
  <si>
    <t>Annual change (a) (c) – per cent</t>
  </si>
  <si>
    <t>(a) Quarterly figures are seasonally adjusted.</t>
  </si>
  <si>
    <t>(b) Reference year for chain volume measures is 2009–10.</t>
  </si>
  <si>
    <t xml:space="preserve">(c)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</si>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</sst>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166" fontId="8" fillId="0" borderId="0" xfId="0" applyNumberFormat="1" applyFont="1" applyBorder="1"/>
    <xf numFmtId="0" fontId="9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quotePrefix="1" applyFont="1" applyAlignment="1">
      <alignment horizontal="left"/>
    </xf>
    <xf numFmtId="0" fontId="16" fillId="0" borderId="0" xfId="0" applyFont="1"/>
    <xf numFmtId="167" fontId="11" fillId="0" borderId="0" xfId="0" quotePrefix="1" applyNumberFormat="1" applyFont="1" applyAlignment="1">
      <alignment horizontal="left"/>
    </xf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0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sz="900" b="1"/>
              <a:t>Annual change –  per cent</a:t>
            </a:r>
          </a:p>
        </c:rich>
      </c:tx>
      <c:layout>
        <c:manualLayout>
          <c:xMode val="edge"/>
          <c:yMode val="edge"/>
          <c:x val="1.7156627133767095E-2"/>
          <c:y val="2.11268467766617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3.1'!$A$198:$A$219</c:f>
              <c:numCache>
                <c:formatCode>mmm\ yy</c:formatCode>
                <c:ptCount val="22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3.1'!$H$198:$H$219</c:f>
              <c:numCache>
                <c:formatCode>0.00</c:formatCode>
                <c:ptCount val="22"/>
                <c:pt idx="0">
                  <c:v>2.9326056355419405</c:v>
                </c:pt>
                <c:pt idx="1">
                  <c:v>2.8672418915649089</c:v>
                </c:pt>
                <c:pt idx="2">
                  <c:v>1.519866037448625</c:v>
                </c:pt>
                <c:pt idx="3">
                  <c:v>1.2738738521897108</c:v>
                </c:pt>
                <c:pt idx="4">
                  <c:v>0.95368337711878581</c:v>
                </c:pt>
                <c:pt idx="5">
                  <c:v>0.94687382757367988</c:v>
                </c:pt>
                <c:pt idx="6">
                  <c:v>2.5047834405983682</c:v>
                </c:pt>
                <c:pt idx="7">
                  <c:v>2.094436819308032</c:v>
                </c:pt>
                <c:pt idx="8">
                  <c:v>2.8052069965302628</c:v>
                </c:pt>
                <c:pt idx="9">
                  <c:v>2.7729763850133704</c:v>
                </c:pt>
                <c:pt idx="10">
                  <c:v>2.7926177756192327</c:v>
                </c:pt>
                <c:pt idx="11">
                  <c:v>1.7785227087552702</c:v>
                </c:pt>
                <c:pt idx="12">
                  <c:v>2.3957788520720058</c:v>
                </c:pt>
                <c:pt idx="13">
                  <c:v>2.9073855629507817</c:v>
                </c:pt>
                <c:pt idx="14">
                  <c:v>2.6527086375267128</c:v>
                </c:pt>
                <c:pt idx="15">
                  <c:v>4.3700395690857929</c:v>
                </c:pt>
                <c:pt idx="16">
                  <c:v>3.6844095519220632</c:v>
                </c:pt>
                <c:pt idx="17">
                  <c:v>3.1373325561353527</c:v>
                </c:pt>
                <c:pt idx="18">
                  <c:v>3.1459079074693808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43200"/>
        <c:axId val="150244736"/>
      </c:lineChart>
      <c:catAx>
        <c:axId val="15024320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24473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5024473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24320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133350</xdr:rowOff>
        </xdr:from>
        <xdr:to>
          <xdr:col>11</xdr:col>
          <xdr:colOff>0</xdr:colOff>
          <xdr:row>58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>
        <row r="198">
          <cell r="A198">
            <v>39600</v>
          </cell>
          <cell r="H198">
            <v>2.9326056355419405</v>
          </cell>
        </row>
        <row r="199">
          <cell r="A199">
            <v>39692</v>
          </cell>
          <cell r="B199">
            <v>315486</v>
          </cell>
          <cell r="C199">
            <v>335842</v>
          </cell>
          <cell r="D199">
            <v>1254293</v>
          </cell>
          <cell r="E199">
            <v>1342514</v>
          </cell>
          <cell r="F199" t="str">
            <v>2008–09</v>
          </cell>
          <cell r="G199">
            <v>0.71916123846882396</v>
          </cell>
          <cell r="H199">
            <v>2.8672418915649089</v>
          </cell>
          <cell r="I199">
            <v>1.6481594492809393</v>
          </cell>
        </row>
        <row r="200">
          <cell r="A200">
            <v>39783</v>
          </cell>
          <cell r="B200">
            <v>316384</v>
          </cell>
          <cell r="C200">
            <v>333442</v>
          </cell>
          <cell r="G200">
            <v>-0.71462175665938377</v>
          </cell>
          <cell r="H200">
            <v>1.519866037448625</v>
          </cell>
        </row>
        <row r="201">
          <cell r="A201">
            <v>39873</v>
          </cell>
          <cell r="B201">
            <v>315580</v>
          </cell>
          <cell r="C201">
            <v>336606</v>
          </cell>
          <cell r="G201">
            <v>0.94889066164429714</v>
          </cell>
          <cell r="H201">
            <v>1.2738738521897108</v>
          </cell>
        </row>
        <row r="202">
          <cell r="A202">
            <v>39965</v>
          </cell>
          <cell r="B202">
            <v>308899</v>
          </cell>
          <cell r="C202">
            <v>336624</v>
          </cell>
          <cell r="G202">
            <v>5.3474982620649314E-3</v>
          </cell>
          <cell r="H202">
            <v>0.95368337711878581</v>
          </cell>
        </row>
        <row r="203">
          <cell r="A203">
            <v>40057</v>
          </cell>
          <cell r="B203">
            <v>311493</v>
          </cell>
          <cell r="C203">
            <v>339022</v>
          </cell>
          <cell r="D203">
            <v>1292315</v>
          </cell>
          <cell r="E203">
            <v>1370539</v>
          </cell>
          <cell r="F203" t="str">
            <v>2009–10</v>
          </cell>
          <cell r="G203">
            <v>0.71236750796139781</v>
          </cell>
          <cell r="H203">
            <v>0.94687382757367988</v>
          </cell>
          <cell r="I203">
            <v>2.0875015083641646</v>
          </cell>
        </row>
        <row r="204">
          <cell r="A204">
            <v>40148</v>
          </cell>
          <cell r="B204">
            <v>318589</v>
          </cell>
          <cell r="C204">
            <v>341794</v>
          </cell>
          <cell r="G204">
            <v>0.81764605246856803</v>
          </cell>
          <cell r="H204">
            <v>2.5047834405983682</v>
          </cell>
        </row>
        <row r="205">
          <cell r="A205">
            <v>40238</v>
          </cell>
          <cell r="B205">
            <v>326064</v>
          </cell>
          <cell r="C205">
            <v>343656</v>
          </cell>
          <cell r="G205">
            <v>0.54477258231566683</v>
          </cell>
          <cell r="H205">
            <v>2.094436819308032</v>
          </cell>
        </row>
        <row r="206">
          <cell r="A206">
            <v>40330</v>
          </cell>
          <cell r="B206">
            <v>337759</v>
          </cell>
          <cell r="C206">
            <v>346067</v>
          </cell>
          <cell r="G206">
            <v>0.70157366668994747</v>
          </cell>
          <cell r="H206">
            <v>2.8052069965302628</v>
          </cell>
        </row>
        <row r="207">
          <cell r="A207">
            <v>40422</v>
          </cell>
          <cell r="B207">
            <v>343732</v>
          </cell>
          <cell r="C207">
            <v>348423</v>
          </cell>
          <cell r="D207">
            <v>1403889</v>
          </cell>
          <cell r="E207">
            <v>1403889</v>
          </cell>
          <cell r="F207" t="str">
            <v>2010–11</v>
          </cell>
          <cell r="G207">
            <v>0.68079302562797928</v>
          </cell>
          <cell r="H207">
            <v>2.7729763850133704</v>
          </cell>
          <cell r="I207">
            <v>2.4333492151627834</v>
          </cell>
        </row>
        <row r="208">
          <cell r="A208">
            <v>40513</v>
          </cell>
          <cell r="B208">
            <v>348412</v>
          </cell>
          <cell r="C208">
            <v>351339</v>
          </cell>
          <cell r="G208">
            <v>0.83691375138839064</v>
          </cell>
          <cell r="H208">
            <v>2.7926177756192327</v>
          </cell>
        </row>
        <row r="209">
          <cell r="A209">
            <v>40603</v>
          </cell>
          <cell r="B209">
            <v>351681</v>
          </cell>
          <cell r="C209">
            <v>349768</v>
          </cell>
          <cell r="G209">
            <v>-0.44714648814961899</v>
          </cell>
          <cell r="H209">
            <v>1.7785227087552702</v>
          </cell>
        </row>
        <row r="210">
          <cell r="A210">
            <v>40695</v>
          </cell>
          <cell r="B210">
            <v>359917</v>
          </cell>
          <cell r="C210">
            <v>354358</v>
          </cell>
          <cell r="G210">
            <v>1.3122984378216351</v>
          </cell>
          <cell r="H210">
            <v>2.3957788520720058</v>
          </cell>
        </row>
        <row r="211">
          <cell r="A211">
            <v>40787</v>
          </cell>
          <cell r="B211">
            <v>365876</v>
          </cell>
          <cell r="C211">
            <v>358553</v>
          </cell>
          <cell r="D211">
            <v>1474685</v>
          </cell>
          <cell r="E211">
            <v>1451679</v>
          </cell>
          <cell r="F211" t="str">
            <v>2011–12</v>
          </cell>
          <cell r="G211">
            <v>1.183831040924721</v>
          </cell>
          <cell r="H211">
            <v>2.9073855629507817</v>
          </cell>
          <cell r="I211">
            <v>3.4041152826185028</v>
          </cell>
        </row>
        <row r="212">
          <cell r="A212">
            <v>40878</v>
          </cell>
          <cell r="B212">
            <v>367106</v>
          </cell>
          <cell r="C212">
            <v>360659</v>
          </cell>
          <cell r="G212">
            <v>0.58736086436315116</v>
          </cell>
          <cell r="H212">
            <v>2.6527086375267128</v>
          </cell>
        </row>
        <row r="213">
          <cell r="A213">
            <v>40969</v>
          </cell>
          <cell r="B213">
            <v>368566</v>
          </cell>
          <cell r="C213">
            <v>365053</v>
          </cell>
          <cell r="G213">
            <v>1.2183253433298402</v>
          </cell>
          <cell r="H213">
            <v>4.3700395690857929</v>
          </cell>
        </row>
        <row r="214">
          <cell r="A214">
            <v>41061</v>
          </cell>
          <cell r="B214">
            <v>372875</v>
          </cell>
          <cell r="C214">
            <v>367414</v>
          </cell>
          <cell r="G214">
            <v>0.64675540264016451</v>
          </cell>
          <cell r="H214">
            <v>3.6844095519220632</v>
          </cell>
        </row>
        <row r="215">
          <cell r="A215">
            <v>41153</v>
          </cell>
          <cell r="B215">
            <v>372468</v>
          </cell>
          <cell r="C215">
            <v>369802</v>
          </cell>
          <cell r="F215" t="str">
            <v>2012-13</v>
          </cell>
          <cell r="G215">
            <v>0.64994801504569821</v>
          </cell>
          <cell r="H215">
            <v>3.1373325561353527</v>
          </cell>
        </row>
        <row r="216">
          <cell r="A216">
            <v>41244</v>
          </cell>
          <cell r="B216">
            <v>374403</v>
          </cell>
          <cell r="C216">
            <v>372005</v>
          </cell>
          <cell r="G216">
            <v>0.59572419835478563</v>
          </cell>
          <cell r="H216">
            <v>3.1459079074693808</v>
          </cell>
        </row>
        <row r="217">
          <cell r="A217">
            <v>41334</v>
          </cell>
        </row>
        <row r="218">
          <cell r="A218">
            <v>41426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a Table - Current"/>
      <sheetName val="3.1b Table - Chain volume"/>
      <sheetName val="3.1c Table - Quarterly change"/>
      <sheetName val="3.1d Table - Annual change"/>
      <sheetName val="3.1 Graph"/>
      <sheetName val="3.1 Data"/>
      <sheetName val="Sheet1"/>
    </sheetNames>
    <sheetDataSet>
      <sheetData sheetId="0">
        <row r="62">
          <cell r="B62">
            <v>41430</v>
          </cell>
        </row>
      </sheetData>
      <sheetData sheetId="1"/>
      <sheetData sheetId="2"/>
      <sheetData sheetId="3"/>
      <sheetData sheetId="4" refreshError="1"/>
      <sheetData sheetId="5">
        <row r="3">
          <cell r="B3">
            <v>3979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tr">
        <f>'[1]Data 3.1'!F199</f>
        <v>2008–09</v>
      </c>
      <c r="C19" s="9" t="str">
        <f>'[1]Data 3.1'!F203</f>
        <v>2009–10</v>
      </c>
      <c r="D19" s="9" t="str">
        <f>'[1]Data 3.1'!F207</f>
        <v>2010–11</v>
      </c>
      <c r="E19" s="9" t="str">
        <f>'[1]Data 3.1'!F211</f>
        <v>2011–12</v>
      </c>
      <c r="F19" s="9" t="str">
        <f>'[1]Data 3.1'!F215</f>
        <v>2012-13</v>
      </c>
      <c r="H19" s="7"/>
    </row>
    <row r="20" spans="1:8" ht="19.899999999999999" customHeight="1" x14ac:dyDescent="0.2">
      <c r="A20" s="10" t="s">
        <v>3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4</v>
      </c>
      <c r="B22" s="13">
        <f>IF('[1]Data 3.1'!$B199=0, " ",'[1]Data 3.1'!$B199)</f>
        <v>315486</v>
      </c>
      <c r="C22" s="13">
        <f>IF('[1]Data 3.1'!$B203=0, " ",'[1]Data 3.1'!$B203)</f>
        <v>311493</v>
      </c>
      <c r="D22" s="13">
        <f>IF('[1]Data 3.1'!$B207=0, " ",'[1]Data 3.1'!$B207)</f>
        <v>343732</v>
      </c>
      <c r="E22" s="13">
        <f>IF('[1]Data 3.1'!$B211=0, " ",'[1]Data 3.1'!$B211)</f>
        <v>365876</v>
      </c>
      <c r="F22" s="13">
        <f>IF('[1]Data 3.1'!$B215=0, " ",'[1]Data 3.1'!$B215)</f>
        <v>372468</v>
      </c>
      <c r="H22" s="7"/>
    </row>
    <row r="23" spans="1:8" ht="11.1" customHeight="1" x14ac:dyDescent="0.2">
      <c r="A23" s="12" t="s">
        <v>5</v>
      </c>
      <c r="B23" s="13">
        <f>IF('[1]Data 3.1'!$B200=0, " ",'[1]Data 3.1'!$B200)</f>
        <v>316384</v>
      </c>
      <c r="C23" s="13">
        <f>IF('[1]Data 3.1'!$B204=0, " ",'[1]Data 3.1'!$B204)</f>
        <v>318589</v>
      </c>
      <c r="D23" s="13">
        <f>IF('[1]Data 3.1'!$B208=0, " ",'[1]Data 3.1'!$B208)</f>
        <v>348412</v>
      </c>
      <c r="E23" s="13">
        <f>IF('[1]Data 3.1'!$B212=0, " ",'[1]Data 3.1'!$B212)</f>
        <v>367106</v>
      </c>
      <c r="F23" s="13">
        <f>IF('[1]Data 3.1'!$B216=0, " ",'[1]Data 3.1'!$B216)</f>
        <v>374403</v>
      </c>
      <c r="H23" s="7"/>
    </row>
    <row r="24" spans="1:8" ht="11.1" customHeight="1" x14ac:dyDescent="0.2">
      <c r="A24" s="12" t="s">
        <v>6</v>
      </c>
      <c r="B24" s="13">
        <f>IF('[1]Data 3.1'!$B201=0, " ",'[1]Data 3.1'!$B201)</f>
        <v>315580</v>
      </c>
      <c r="C24" s="13">
        <f>IF('[1]Data 3.1'!$B205=0, " ",'[1]Data 3.1'!$B205)</f>
        <v>326064</v>
      </c>
      <c r="D24" s="13">
        <f>IF('[1]Data 3.1'!$B209=0, " ",'[1]Data 3.1'!$B209)</f>
        <v>351681</v>
      </c>
      <c r="E24" s="13">
        <f>IF('[1]Data 3.1'!$B213=0, " ",'[1]Data 3.1'!$B213)</f>
        <v>368566</v>
      </c>
      <c r="F24" s="13" t="str">
        <f>IF('[1]Data 3.1'!$B217=0, " ",'[1]Data 3.1'!$B217)</f>
        <v xml:space="preserve"> </v>
      </c>
      <c r="H24" s="7"/>
    </row>
    <row r="25" spans="1:8" ht="11.1" customHeight="1" x14ac:dyDescent="0.2">
      <c r="A25" s="12" t="s">
        <v>7</v>
      </c>
      <c r="B25" s="13">
        <f>IF('[1]Data 3.1'!$B202=0, " ",'[1]Data 3.1'!$B202)</f>
        <v>308899</v>
      </c>
      <c r="C25" s="13">
        <f>IF('[1]Data 3.1'!$B206=0, " ",'[1]Data 3.1'!$B206)</f>
        <v>337759</v>
      </c>
      <c r="D25" s="13">
        <f>IF('[1]Data 3.1'!$B210=0, " ",'[1]Data 3.1'!$B210)</f>
        <v>359917</v>
      </c>
      <c r="E25" s="13">
        <f>IF('[1]Data 3.1'!$B214=0, " ",'[1]Data 3.1'!$B214)</f>
        <v>372875</v>
      </c>
      <c r="F25" s="13" t="str">
        <f>IF('[1]Data 3.1'!$B218=0, " ",'[1]Data 3.1'!$B218)</f>
        <v xml:space="preserve"> </v>
      </c>
      <c r="H25" s="7"/>
    </row>
    <row r="26" spans="1:8" ht="11.1" customHeight="1" x14ac:dyDescent="0.2">
      <c r="A26" s="12"/>
      <c r="B26" s="14"/>
      <c r="C26" s="14"/>
      <c r="D26" s="14"/>
      <c r="H26" s="7"/>
    </row>
    <row r="27" spans="1:8" ht="11.1" customHeight="1" x14ac:dyDescent="0.2">
      <c r="A27" s="12" t="s">
        <v>8</v>
      </c>
      <c r="B27" s="15">
        <f>IF('[1]Data 3.1'!$B202=0," ",'[1]Data 3.1'!$D199)</f>
        <v>1254293</v>
      </c>
      <c r="C27" s="15">
        <f>IF('[1]Data 3.1'!$B206=0," ",'[1]Data 3.1'!$D203)</f>
        <v>1292315</v>
      </c>
      <c r="D27" s="15">
        <f>IF('[1]Data 3.1'!$B210=0," ",'[1]Data 3.1'!$D207)</f>
        <v>1403889</v>
      </c>
      <c r="E27" s="15">
        <f>IF('[1]Data 3.1'!$B214=0," ",'[1]Data 3.1'!$D211)</f>
        <v>1474685</v>
      </c>
      <c r="F27" s="15"/>
      <c r="H27" s="7"/>
    </row>
    <row r="28" spans="1:8" ht="10.15" customHeight="1" x14ac:dyDescent="0.2">
      <c r="A28" s="16"/>
      <c r="B28" s="17"/>
      <c r="C28" s="18"/>
      <c r="D28" s="18"/>
      <c r="E28" s="18"/>
      <c r="F28" s="18"/>
      <c r="H28" s="7"/>
    </row>
    <row r="29" spans="1:8" ht="19.899999999999999" customHeight="1" x14ac:dyDescent="0.2">
      <c r="A29" s="19" t="s">
        <v>9</v>
      </c>
      <c r="B29" s="20"/>
      <c r="C29" s="21"/>
      <c r="D29" s="21"/>
      <c r="E29" s="21"/>
      <c r="F29" s="21"/>
      <c r="H29" s="7"/>
    </row>
    <row r="30" spans="1:8" ht="3" customHeight="1" x14ac:dyDescent="0.2">
      <c r="A30" s="22"/>
      <c r="B30" s="20"/>
      <c r="C30" s="14"/>
      <c r="D30" s="14"/>
      <c r="E30" s="14"/>
      <c r="F30" s="14"/>
      <c r="H30" s="7"/>
    </row>
    <row r="31" spans="1:8" ht="11.1" customHeight="1" x14ac:dyDescent="0.2">
      <c r="A31" s="12" t="s">
        <v>4</v>
      </c>
      <c r="B31" s="15">
        <f>IF('[1]Data 3.1'!$C199=0," ",'[1]Data 3.1'!$C199)</f>
        <v>335842</v>
      </c>
      <c r="C31" s="15">
        <f>IF('[1]Data 3.1'!$C203=0," ",'[1]Data 3.1'!$C203)</f>
        <v>339022</v>
      </c>
      <c r="D31" s="15">
        <f>IF('[1]Data 3.1'!$C207=0," ",'[1]Data 3.1'!$C207)</f>
        <v>348423</v>
      </c>
      <c r="E31" s="15">
        <f>IF('[1]Data 3.1'!$C211=0," ",'[1]Data 3.1'!$C211)</f>
        <v>358553</v>
      </c>
      <c r="F31" s="15">
        <f>IF('[1]Data 3.1'!$C215=0," ",'[1]Data 3.1'!$C215)</f>
        <v>369802</v>
      </c>
      <c r="H31" s="7"/>
    </row>
    <row r="32" spans="1:8" ht="11.1" customHeight="1" x14ac:dyDescent="0.2">
      <c r="A32" s="12" t="s">
        <v>5</v>
      </c>
      <c r="B32" s="15">
        <f>IF('[1]Data 3.1'!$C200=0," ",'[1]Data 3.1'!$C200)</f>
        <v>333442</v>
      </c>
      <c r="C32" s="15">
        <f>IF('[1]Data 3.1'!$C204=0," ",'[1]Data 3.1'!$C204)</f>
        <v>341794</v>
      </c>
      <c r="D32" s="15">
        <f>IF('[1]Data 3.1'!$C208=0," ",'[1]Data 3.1'!$C208)</f>
        <v>351339</v>
      </c>
      <c r="E32" s="15">
        <f>IF('[1]Data 3.1'!$C212=0," ",'[1]Data 3.1'!$C212)</f>
        <v>360659</v>
      </c>
      <c r="F32" s="15">
        <f>IF('[1]Data 3.1'!$C216=0," ",'[1]Data 3.1'!$C216)</f>
        <v>372005</v>
      </c>
      <c r="H32" s="7"/>
    </row>
    <row r="33" spans="1:8" ht="11.1" customHeight="1" x14ac:dyDescent="0.2">
      <c r="A33" s="12" t="s">
        <v>6</v>
      </c>
      <c r="B33" s="15">
        <f>IF('[1]Data 3.1'!$C201=0," ",'[1]Data 3.1'!$C201)</f>
        <v>336606</v>
      </c>
      <c r="C33" s="15">
        <f>IF('[1]Data 3.1'!$C205=0," ",'[1]Data 3.1'!$C205)</f>
        <v>343656</v>
      </c>
      <c r="D33" s="15">
        <f>IF('[1]Data 3.1'!$C209=0," ",'[1]Data 3.1'!$C209)</f>
        <v>349768</v>
      </c>
      <c r="E33" s="15">
        <f>IF('[1]Data 3.1'!$C213=0," ",'[1]Data 3.1'!$C213)</f>
        <v>365053</v>
      </c>
      <c r="F33" s="15" t="str">
        <f>IF('[1]Data 3.1'!$C217=0," ",'[1]Data 3.1'!$C217)</f>
        <v xml:space="preserve"> </v>
      </c>
      <c r="H33" s="7"/>
    </row>
    <row r="34" spans="1:8" ht="11.1" customHeight="1" x14ac:dyDescent="0.2">
      <c r="A34" s="12" t="s">
        <v>7</v>
      </c>
      <c r="B34" s="15">
        <f>IF('[1]Data 3.1'!$C202=0," ",'[1]Data 3.1'!$C202)</f>
        <v>336624</v>
      </c>
      <c r="C34" s="15">
        <f>IF('[1]Data 3.1'!$C206=0," ",'[1]Data 3.1'!$C206)</f>
        <v>346067</v>
      </c>
      <c r="D34" s="15">
        <f>IF('[1]Data 3.1'!$C210=0," ",'[1]Data 3.1'!$C210)</f>
        <v>354358</v>
      </c>
      <c r="E34" s="15">
        <f>IF('[1]Data 3.1'!$C214=0," ",'[1]Data 3.1'!$C214)</f>
        <v>367414</v>
      </c>
      <c r="F34" s="15" t="str">
        <f>IF('[1]Data 3.1'!$C218=0," ",'[1]Data 3.1'!$C218)</f>
        <v xml:space="preserve"> </v>
      </c>
      <c r="H34" s="7"/>
    </row>
    <row r="35" spans="1:8" ht="11.1" customHeight="1" x14ac:dyDescent="0.2">
      <c r="A35" s="12"/>
      <c r="B35" s="14"/>
      <c r="C35" s="14"/>
      <c r="D35" s="14"/>
      <c r="H35" s="7"/>
    </row>
    <row r="36" spans="1:8" ht="11.1" customHeight="1" x14ac:dyDescent="0.2">
      <c r="A36" s="12" t="s">
        <v>8</v>
      </c>
      <c r="B36" s="15">
        <f>IF('[1]Data 3.1'!$C202=0," ",'[1]Data 3.1'!$E199)</f>
        <v>1342514</v>
      </c>
      <c r="C36" s="15">
        <f>IF('[1]Data 3.1'!$C206=0," ",'[1]Data 3.1'!$E203)</f>
        <v>1370539</v>
      </c>
      <c r="D36" s="15">
        <f>IF('[1]Data 3.1'!$C210=0," ",'[1]Data 3.1'!$E207)</f>
        <v>1403889</v>
      </c>
      <c r="E36" s="15">
        <f>IF('[1]Data 3.1'!$C214=0," ",'[1]Data 3.1'!$E211)</f>
        <v>1451679</v>
      </c>
      <c r="H36" s="7"/>
    </row>
    <row r="37" spans="1:8" ht="10.15" customHeight="1" x14ac:dyDescent="0.2">
      <c r="A37" s="16"/>
      <c r="B37" s="23"/>
      <c r="C37" s="17"/>
      <c r="D37" s="17"/>
      <c r="E37" s="17"/>
      <c r="F37" s="17"/>
      <c r="H37" s="7"/>
    </row>
    <row r="38" spans="1:8" ht="19.899999999999999" customHeight="1" x14ac:dyDescent="0.2">
      <c r="A38" s="24" t="s">
        <v>10</v>
      </c>
      <c r="B38" s="25"/>
      <c r="C38" s="20"/>
      <c r="D38" s="20"/>
      <c r="E38" s="20"/>
      <c r="F38" s="20"/>
      <c r="H38" s="7"/>
    </row>
    <row r="39" spans="1:8" ht="3" customHeight="1" x14ac:dyDescent="0.2">
      <c r="A39" s="22"/>
      <c r="B39" s="25"/>
      <c r="H39" s="7"/>
    </row>
    <row r="40" spans="1:8" ht="11.1" customHeight="1" x14ac:dyDescent="0.2">
      <c r="A40" s="12" t="s">
        <v>4</v>
      </c>
      <c r="B40" s="26">
        <f>IF('[1]Data 3.1'!$G199=0," ",'[1]Data 3.1'!$G199)</f>
        <v>0.71916123846882396</v>
      </c>
      <c r="C40" s="26">
        <f>IF('[1]Data 3.1'!$G203=0," ",'[1]Data 3.1'!$G203)</f>
        <v>0.71236750796139781</v>
      </c>
      <c r="D40" s="26">
        <f>IF('[1]Data 3.1'!$G207=0," ",'[1]Data 3.1'!$G207)</f>
        <v>0.68079302562797928</v>
      </c>
      <c r="E40" s="26">
        <f>IF('[1]Data 3.1'!$G211=0," ",'[1]Data 3.1'!$G211)</f>
        <v>1.183831040924721</v>
      </c>
      <c r="F40" s="26">
        <f>IF('[1]Data 3.1'!$G215=0," ",'[1]Data 3.1'!$G215)</f>
        <v>0.64994801504569821</v>
      </c>
      <c r="H40" s="7"/>
    </row>
    <row r="41" spans="1:8" ht="11.1" customHeight="1" x14ac:dyDescent="0.2">
      <c r="A41" s="12" t="s">
        <v>5</v>
      </c>
      <c r="B41" s="26">
        <f>IF('[1]Data 3.1'!$G200=0," ",'[1]Data 3.1'!$G200)</f>
        <v>-0.71462175665938377</v>
      </c>
      <c r="C41" s="26">
        <f>IF('[1]Data 3.1'!$G204=0," ",'[1]Data 3.1'!$G204)</f>
        <v>0.81764605246856803</v>
      </c>
      <c r="D41" s="26">
        <f>IF('[1]Data 3.1'!$G208=0," ",'[1]Data 3.1'!$G208)</f>
        <v>0.83691375138839064</v>
      </c>
      <c r="E41" s="26">
        <f>IF('[1]Data 3.1'!$G212=0," ",'[1]Data 3.1'!$G212)</f>
        <v>0.58736086436315116</v>
      </c>
      <c r="F41" s="26">
        <f>IF('[1]Data 3.1'!$G216=0," ",'[1]Data 3.1'!$G216)</f>
        <v>0.59572419835478563</v>
      </c>
      <c r="H41" s="7"/>
    </row>
    <row r="42" spans="1:8" ht="11.1" customHeight="1" x14ac:dyDescent="0.2">
      <c r="A42" s="12" t="s">
        <v>6</v>
      </c>
      <c r="B42" s="26">
        <f>IF('[1]Data 3.1'!$G201=0," ",'[1]Data 3.1'!$G201)</f>
        <v>0.94889066164429714</v>
      </c>
      <c r="C42" s="26">
        <f>IF('[1]Data 3.1'!$G205=0," ",'[1]Data 3.1'!$G205)</f>
        <v>0.54477258231566683</v>
      </c>
      <c r="D42" s="26">
        <f>IF('[1]Data 3.1'!$G209=0," ",'[1]Data 3.1'!$G209)</f>
        <v>-0.44714648814961899</v>
      </c>
      <c r="E42" s="26">
        <f>IF('[1]Data 3.1'!$G213=0," ",'[1]Data 3.1'!$G213)</f>
        <v>1.2183253433298402</v>
      </c>
      <c r="F42" s="26" t="str">
        <f>IF('[1]Data 3.1'!$G217=0," ",'[1]Data 3.1'!$G217)</f>
        <v xml:space="preserve"> </v>
      </c>
      <c r="H42" s="7"/>
    </row>
    <row r="43" spans="1:8" ht="11.1" customHeight="1" x14ac:dyDescent="0.2">
      <c r="A43" s="12" t="s">
        <v>7</v>
      </c>
      <c r="B43" s="26">
        <f>IF('[1]Data 3.1'!$G202=0," ",'[1]Data 3.1'!$G202)</f>
        <v>5.3474982620649314E-3</v>
      </c>
      <c r="C43" s="26">
        <f>IF('[1]Data 3.1'!$G206=0," ",'[1]Data 3.1'!$G206)</f>
        <v>0.70157366668994747</v>
      </c>
      <c r="D43" s="26">
        <f>IF('[1]Data 3.1'!$G210=0," ",'[1]Data 3.1'!$G210)</f>
        <v>1.3122984378216351</v>
      </c>
      <c r="E43" s="26">
        <f>IF('[1]Data 3.1'!$G214=0," ",'[1]Data 3.1'!$G214)</f>
        <v>0.64675540264016451</v>
      </c>
      <c r="F43" s="26" t="str">
        <f>IF('[1]Data 3.1'!$G218=0," ",'[1]Data 3.1'!$G218)</f>
        <v xml:space="preserve"> </v>
      </c>
      <c r="H43" s="7"/>
    </row>
    <row r="44" spans="1:8" ht="10.15" customHeight="1" x14ac:dyDescent="0.2">
      <c r="A44" s="16"/>
      <c r="B44" s="23"/>
      <c r="C44" s="17"/>
      <c r="D44" s="17"/>
      <c r="E44" s="17"/>
      <c r="F44" s="17"/>
      <c r="H44" s="7"/>
    </row>
    <row r="45" spans="1:8" ht="19.899999999999999" customHeight="1" x14ac:dyDescent="0.2">
      <c r="A45" s="24" t="s">
        <v>11</v>
      </c>
      <c r="B45" s="25"/>
      <c r="C45" s="20"/>
      <c r="D45" s="20"/>
      <c r="E45" s="20"/>
      <c r="F45" s="20"/>
      <c r="H45" s="7"/>
    </row>
    <row r="46" spans="1:8" ht="3" customHeight="1" x14ac:dyDescent="0.2">
      <c r="A46" s="22"/>
      <c r="B46" s="25"/>
      <c r="H46" s="7"/>
    </row>
    <row r="47" spans="1:8" ht="11.1" customHeight="1" x14ac:dyDescent="0.2">
      <c r="A47" s="12" t="s">
        <v>4</v>
      </c>
      <c r="B47" s="26">
        <f>IF('[1]Data 3.1'!$H199=0," ",'[1]Data 3.1'!$H199)</f>
        <v>2.8672418915649089</v>
      </c>
      <c r="C47" s="26">
        <f>IF('[1]Data 3.1'!$H203=0," ",'[1]Data 3.1'!$H203)</f>
        <v>0.94687382757367988</v>
      </c>
      <c r="D47" s="26">
        <f>IF('[1]Data 3.1'!$H207=0," ",'[1]Data 3.1'!$H207)</f>
        <v>2.7729763850133704</v>
      </c>
      <c r="E47" s="26">
        <f>IF('[1]Data 3.1'!$H211=0," ",'[1]Data 3.1'!$H211)</f>
        <v>2.9073855629507817</v>
      </c>
      <c r="F47" s="26">
        <f>IF('[1]Data 3.1'!$H215=0," ",'[1]Data 3.1'!$H215)</f>
        <v>3.1373325561353527</v>
      </c>
      <c r="H47" s="7"/>
    </row>
    <row r="48" spans="1:8" ht="11.1" customHeight="1" x14ac:dyDescent="0.2">
      <c r="A48" s="12" t="s">
        <v>5</v>
      </c>
      <c r="B48" s="26">
        <f>IF('[1]Data 3.1'!$H200=0," ",'[1]Data 3.1'!$H200)</f>
        <v>1.519866037448625</v>
      </c>
      <c r="C48" s="26">
        <f>IF('[1]Data 3.1'!$H204=0," ",'[1]Data 3.1'!$H204)</f>
        <v>2.5047834405983682</v>
      </c>
      <c r="D48" s="26">
        <f>IF('[1]Data 3.1'!$H208=0," ",'[1]Data 3.1'!$H208)</f>
        <v>2.7926177756192327</v>
      </c>
      <c r="E48" s="26">
        <f>IF('[1]Data 3.1'!$H212=0," ",'[1]Data 3.1'!$H212)</f>
        <v>2.6527086375267128</v>
      </c>
      <c r="F48" s="26">
        <f>IF('[1]Data 3.1'!$H216=0," ",'[1]Data 3.1'!$H216)</f>
        <v>3.1459079074693808</v>
      </c>
      <c r="H48" s="7"/>
    </row>
    <row r="49" spans="1:11" ht="11.1" customHeight="1" x14ac:dyDescent="0.2">
      <c r="A49" s="12" t="s">
        <v>6</v>
      </c>
      <c r="B49" s="26">
        <f>IF('[1]Data 3.1'!$H201=0," ",'[1]Data 3.1'!$H201)</f>
        <v>1.2738738521897108</v>
      </c>
      <c r="C49" s="26">
        <f>IF('[1]Data 3.1'!$H205=0," ",'[1]Data 3.1'!$H205)</f>
        <v>2.094436819308032</v>
      </c>
      <c r="D49" s="26">
        <f>IF('[1]Data 3.1'!$H209=0," ",'[1]Data 3.1'!$H209)</f>
        <v>1.7785227087552702</v>
      </c>
      <c r="E49" s="26">
        <f>IF('[1]Data 3.1'!$H213=0," ",'[1]Data 3.1'!$H213)</f>
        <v>4.3700395690857929</v>
      </c>
      <c r="H49" s="7"/>
    </row>
    <row r="50" spans="1:11" ht="11.1" customHeight="1" x14ac:dyDescent="0.2">
      <c r="A50" s="12" t="s">
        <v>7</v>
      </c>
      <c r="B50" s="26">
        <f>IF('[1]Data 3.1'!$H202=0," ",'[1]Data 3.1'!$H202)</f>
        <v>0.95368337711878581</v>
      </c>
      <c r="C50" s="26">
        <f>IF('[1]Data 3.1'!$H206=0," ",'[1]Data 3.1'!$H206)</f>
        <v>2.8052069965302628</v>
      </c>
      <c r="D50" s="26">
        <f>IF('[1]Data 3.1'!$H210=0," ",'[1]Data 3.1'!$H210)</f>
        <v>2.3957788520720058</v>
      </c>
      <c r="E50" s="26">
        <f>IF('[1]Data 3.1'!$H214=0," ",'[1]Data 3.1'!$H214)</f>
        <v>3.6844095519220632</v>
      </c>
      <c r="H50" s="7"/>
    </row>
    <row r="51" spans="1:11" ht="11.1" customHeight="1" x14ac:dyDescent="0.2">
      <c r="A51" s="12"/>
      <c r="H51" s="7"/>
    </row>
    <row r="52" spans="1:11" ht="11.1" customHeight="1" x14ac:dyDescent="0.2">
      <c r="A52" s="27" t="s">
        <v>8</v>
      </c>
      <c r="B52" s="28">
        <f>'[1]Data 3.1'!I199</f>
        <v>1.6481594492809393</v>
      </c>
      <c r="C52" s="28">
        <f>'[1]Data 3.1'!I203</f>
        <v>2.0875015083641646</v>
      </c>
      <c r="D52" s="28">
        <f>'[1]Data 3.1'!I207</f>
        <v>2.4333492151627834</v>
      </c>
      <c r="E52" s="28">
        <f>'[1]Data 3.1'!I211</f>
        <v>3.4041152826185028</v>
      </c>
      <c r="H52" s="7"/>
    </row>
    <row r="53" spans="1:11" ht="10.5" customHeight="1" x14ac:dyDescent="0.2">
      <c r="A53" s="16"/>
      <c r="B53" s="23"/>
      <c r="C53" s="23"/>
      <c r="D53" s="23"/>
      <c r="E53" s="17"/>
      <c r="F53" s="17"/>
      <c r="H53" s="7"/>
    </row>
    <row r="54" spans="1:11" ht="7.9" customHeight="1" x14ac:dyDescent="0.2">
      <c r="A54" s="29"/>
      <c r="B54" s="27"/>
      <c r="C54" s="27"/>
      <c r="D54" s="27"/>
      <c r="E54" s="27"/>
      <c r="F54" s="27"/>
      <c r="G54" s="20"/>
      <c r="H54" s="7"/>
    </row>
    <row r="55" spans="1:11" ht="11.1" customHeight="1" x14ac:dyDescent="0.2">
      <c r="A55" s="30" t="s">
        <v>12</v>
      </c>
      <c r="B55" s="6"/>
      <c r="C55" s="6"/>
      <c r="D55" s="6"/>
      <c r="E55" s="6"/>
      <c r="F55" s="6"/>
      <c r="H55" s="7"/>
    </row>
    <row r="56" spans="1:11" ht="11.1" customHeight="1" x14ac:dyDescent="0.2">
      <c r="A56" s="30" t="s">
        <v>13</v>
      </c>
      <c r="B56" s="6"/>
      <c r="C56" s="6"/>
      <c r="D56" s="6"/>
      <c r="E56" s="6"/>
      <c r="F56" s="6"/>
      <c r="H56" s="7"/>
    </row>
    <row r="57" spans="1:11" ht="11.1" customHeight="1" x14ac:dyDescent="0.2">
      <c r="A57" s="30" t="s">
        <v>14</v>
      </c>
      <c r="B57" s="6"/>
      <c r="C57" s="6"/>
      <c r="D57" s="6"/>
      <c r="E57" s="6"/>
      <c r="F57" s="6"/>
      <c r="H57" s="7"/>
    </row>
    <row r="58" spans="1:11" ht="11.1" customHeight="1" x14ac:dyDescent="0.2">
      <c r="A58" s="31"/>
      <c r="B58" s="6"/>
      <c r="C58" s="6"/>
      <c r="D58" s="6"/>
      <c r="E58" s="6"/>
      <c r="F58" s="6"/>
      <c r="H58" s="7"/>
    </row>
    <row r="59" spans="1:11" ht="11.1" customHeight="1" x14ac:dyDescent="0.2">
      <c r="A59" s="32" t="s">
        <v>15</v>
      </c>
      <c r="B59" s="33"/>
      <c r="C59" s="33"/>
      <c r="D59" s="33"/>
      <c r="E59" s="33"/>
      <c r="F59" s="33"/>
      <c r="H59" s="7"/>
    </row>
    <row r="60" spans="1:11" ht="11.1" customHeight="1" x14ac:dyDescent="0.2">
      <c r="A60" s="34" t="s">
        <v>16</v>
      </c>
      <c r="B60" s="33"/>
      <c r="C60" s="33"/>
      <c r="D60" s="33"/>
      <c r="E60" s="33"/>
      <c r="F60" s="33"/>
      <c r="H60" s="7"/>
      <c r="I60" s="35" t="s">
        <v>17</v>
      </c>
      <c r="J60" s="36"/>
      <c r="K60" s="36"/>
    </row>
    <row r="61" spans="1:11" x14ac:dyDescent="0.2">
      <c r="H61" s="7"/>
      <c r="I61" s="37">
        <f>'[2]3.1a Table - Current'!$B$62</f>
        <v>41430</v>
      </c>
      <c r="J61" s="38"/>
      <c r="K61" s="38"/>
    </row>
    <row r="62" spans="1:11" x14ac:dyDescent="0.2">
      <c r="H62" s="39"/>
    </row>
  </sheetData>
  <mergeCells count="1">
    <mergeCell ref="I61:K61"/>
  </mergeCells>
  <hyperlinks>
    <hyperlink ref="A1" r:id="rId1"/>
    <hyperlink ref="A59:F6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14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95250</xdr:colOff>
                <xdr:row>3</xdr:row>
                <xdr:rowOff>133350</xdr:rowOff>
              </from>
              <to>
                <xdr:col>11</xdr:col>
                <xdr:colOff>0</xdr:colOff>
                <xdr:row>58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2013-04-03T21:12:44Z</dcterms:created>
  <dcterms:modified xsi:type="dcterms:W3CDTF">2013-04-03T21:12:56Z</dcterms:modified>
</cp:coreProperties>
</file>