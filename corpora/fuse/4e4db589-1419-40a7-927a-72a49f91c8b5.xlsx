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80" yWindow="0" windowWidth="11955" windowHeight="11640"/>
  </bookViews>
  <sheets>
    <sheet name="Retail" sheetId="5" r:id="rId1"/>
    <sheet name="Sheet1" sheetId="6" r:id="rId2"/>
  </sheets>
  <definedNames>
    <definedName name="_xlnm.Print_Area" localSheetId="0">Retail!$A$1:$K$84</definedName>
  </definedNames>
  <calcPr calcId="125725"/>
</workbook>
</file>

<file path=xl/calcChain.xml><?xml version="1.0" encoding="utf-8"?>
<calcChain xmlns="http://schemas.openxmlformats.org/spreadsheetml/2006/main">
  <c r="F80" i="5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L30"/>
  <c r="L32"/>
  <c r="L31"/>
  <c r="L51"/>
  <c r="L49"/>
  <c r="L59"/>
  <c r="L61"/>
  <c r="L60"/>
  <c r="F21"/>
  <c r="F22"/>
  <c r="F23"/>
  <c r="F24"/>
  <c r="F25"/>
  <c r="F26"/>
  <c r="F27"/>
  <c r="F28"/>
  <c r="F29"/>
  <c r="L57"/>
  <c r="L56"/>
  <c r="L21"/>
  <c r="L22"/>
  <c r="L23"/>
  <c r="L24"/>
  <c r="L25"/>
  <c r="L26"/>
  <c r="L27"/>
  <c r="L28"/>
  <c r="L29"/>
  <c r="L33"/>
  <c r="L34"/>
  <c r="L35"/>
  <c r="L36"/>
  <c r="L37"/>
  <c r="L38"/>
  <c r="L39"/>
  <c r="L40"/>
  <c r="L41"/>
  <c r="L42"/>
  <c r="L43"/>
  <c r="L44"/>
  <c r="L45"/>
  <c r="L46"/>
  <c r="L47"/>
  <c r="L48"/>
  <c r="L50"/>
  <c r="L52"/>
  <c r="L53"/>
  <c r="L54"/>
  <c r="L55"/>
  <c r="L58"/>
  <c r="L62"/>
  <c r="L63"/>
  <c r="L64"/>
  <c r="L65"/>
  <c r="L66"/>
  <c r="L67"/>
  <c r="L68"/>
  <c r="L69"/>
  <c r="L70"/>
  <c r="L71"/>
  <c r="L72"/>
  <c r="L73"/>
  <c r="L74"/>
  <c r="L75"/>
  <c r="L76"/>
  <c r="L77"/>
  <c r="L78"/>
  <c r="L80" l="1"/>
  <c r="K80" s="1"/>
</calcChain>
</file>

<file path=xl/sharedStrings.xml><?xml version="1.0" encoding="utf-8"?>
<sst xmlns="http://schemas.openxmlformats.org/spreadsheetml/2006/main" count="206" uniqueCount="197">
  <si>
    <t xml:space="preserve"> 550 Belted Magnum</t>
  </si>
  <si>
    <t xml:space="preserve"> 550 Rigby Magnum, Rigby based cal's up to 3.75" long</t>
  </si>
  <si>
    <t xml:space="preserve"> 527 .223 Rem</t>
  </si>
  <si>
    <t>1" Scope rings for CZ 550/ ZKK 602, 19mm dovetail</t>
  </si>
  <si>
    <t>Custom stock (fancy grade American Black Walnut)</t>
  </si>
  <si>
    <t xml:space="preserve"> 455 American  22 LR, 5-round magazine</t>
  </si>
  <si>
    <t>BRNO STOPPER O/U double rifle,  458 WinMag black receiver</t>
  </si>
  <si>
    <t xml:space="preserve"> 453 American  22 LR - SINGLE SET TRIGGER</t>
  </si>
  <si>
    <t xml:space="preserve"> 527 Carbine  7.62X39.</t>
  </si>
  <si>
    <t xml:space="preserve"> 550 American  6.5 x 55,  (scope rings incl.)</t>
  </si>
  <si>
    <t xml:space="preserve"> 550 American  9.3 x 62,  (scope rings incl.)</t>
  </si>
  <si>
    <t xml:space="preserve"> 550 American  30-06,  (scope rings incl.)</t>
  </si>
  <si>
    <t xml:space="preserve"> 550 American  270 Win., (scope rings incl.)</t>
  </si>
  <si>
    <t xml:space="preserve"> 550 Medium  7 mm Rem. Mag.</t>
  </si>
  <si>
    <t xml:space="preserve"> Ultimate Hunting Rifle  300 Wmag - rifle and rings only</t>
  </si>
  <si>
    <t xml:space="preserve"> 550 Safari Magnum  375 H&amp;H Mag.</t>
  </si>
  <si>
    <t xml:space="preserve"> 550 Safari Magnum  416 Rigby</t>
  </si>
  <si>
    <t xml:space="preserve"> 550 Safari Magnum  458 Win. Mag.</t>
  </si>
  <si>
    <t xml:space="preserve"> 550 American Safari Magnum  .458 Lott,  - Field </t>
  </si>
  <si>
    <t xml:space="preserve"> 550 American Safari Magnum  416 Rigby.  - Field </t>
  </si>
  <si>
    <t xml:space="preserve"> 550 American Safari Magnum  .458 Lott,  - Fancy </t>
  </si>
  <si>
    <t xml:space="preserve"> 550 American Safari Magnum  375 HHMag, ,  Fancy </t>
  </si>
  <si>
    <t xml:space="preserve"> 550 American Safari Magnum  416 Rigby.  - Fancy </t>
  </si>
  <si>
    <t xml:space="preserve"> 550 American Safari Magnum  .458 Wmag,  - Fancy </t>
  </si>
  <si>
    <t xml:space="preserve"> 550 American Safari Magnum  .458 Lott,  - Brown Laminate </t>
  </si>
  <si>
    <t xml:space="preserve"> 550 American Safari Magnum  375 HHMag,  - Brown Laminate </t>
  </si>
  <si>
    <t xml:space="preserve"> 550 American Safari Magnum  416 Rigby. - Brown Laminate </t>
  </si>
  <si>
    <t xml:space="preserve"> 550 American Safari Magnum  .458 Wmag,  -  Brown Laminate </t>
  </si>
  <si>
    <t xml:space="preserve"> 550 American Safari Magnum  .458 Lott,  - Kevlar </t>
  </si>
  <si>
    <t xml:space="preserve"> 550 American Safari Magnum  375 HHMag,  - Kevlar </t>
  </si>
  <si>
    <t xml:space="preserve"> 550 American Safari Magnum  416 Rigby. - Kevlar </t>
  </si>
  <si>
    <t xml:space="preserve"> 550 American Safari Magnum  .458 Wmag.  Kevlar </t>
  </si>
  <si>
    <t xml:space="preserve"> 550 Standard  .25-06, .270, 30-06 etc</t>
  </si>
  <si>
    <t>BRNO STOPPER O/U double rifle,  375 HHMag black receiver</t>
  </si>
  <si>
    <t>BRNO STOPPER O/U double rifle,  416 Rigby black receiver</t>
  </si>
  <si>
    <t>Install new recoil pad                 Length of pull:</t>
  </si>
  <si>
    <t>Shipping:  $25 per rifle</t>
  </si>
  <si>
    <t xml:space="preserve">3 position wing safety installed </t>
  </si>
  <si>
    <t xml:space="preserve"> 550 American  6.5 x 55,  (scope rings incl.) Kevlar </t>
  </si>
  <si>
    <t xml:space="preserve"> 550 American  9.3 x 62,  (scope rings incl.) Kevlar </t>
  </si>
  <si>
    <t xml:space="preserve"> 550 American  30-06,  (scope rings incl.), Kevlar </t>
  </si>
  <si>
    <t xml:space="preserve"> 550 American  270 Win.,  (scope rings incl.), Kevlar </t>
  </si>
  <si>
    <t xml:space="preserve"> 550 American Safari Magnum  375 HHMag,  - Field </t>
  </si>
  <si>
    <t xml:space="preserve"> 550 American Safari Magnum  .458 Wmag,  - Field </t>
  </si>
  <si>
    <t xml:space="preserve"> 550 American Safari Magnum  505 Gibbs,  - Field </t>
  </si>
  <si>
    <t xml:space="preserve"> 550 American Safari Magnum  375 HHMag - Field - LEFT HAND</t>
  </si>
  <si>
    <t xml:space="preserve"> 550 Medium  300 WMag., battue, quarter rib</t>
  </si>
  <si>
    <t>Safari Classics</t>
  </si>
  <si>
    <t>Safari Classics Magnum Express Rifle, 505 Gibbs,(04315 matte blue)</t>
  </si>
  <si>
    <t>Safari Classics Magnum Express Rifle,.500 Jeffery, (04323 matte blue)</t>
  </si>
  <si>
    <t>Safari Classics Magnum Express Rifle,.404 Jeffery, (04317 matte blue)</t>
  </si>
  <si>
    <t>Safari Classics Magnum Express Rifle,.450 Rigby, (04319 matte blue)</t>
  </si>
  <si>
    <t>Safari Classics Magnum Express Rifle,.300 H&amp;H, (04321 matte blue)</t>
  </si>
  <si>
    <t xml:space="preserve">Safari Classics Magnum Express Rifle,.375 H&amp;H, 20" bbl std. </t>
  </si>
  <si>
    <t xml:space="preserve">Safari Classics Magnum Express Rifle,.338 Lapua,  </t>
  </si>
  <si>
    <t xml:space="preserve">Safari Classics Magnum Express Rifle,.338 Wmag,  </t>
  </si>
  <si>
    <t xml:space="preserve">Safari Classics Magnum Express Rifle,.416 Rem,    </t>
  </si>
  <si>
    <t>Custom Services</t>
  </si>
  <si>
    <t>Glass bedding *</t>
  </si>
  <si>
    <t>Recoil reducer - install **</t>
  </si>
  <si>
    <t>Bolt jewelling</t>
  </si>
  <si>
    <t>Rust blue finish surcharge</t>
  </si>
  <si>
    <t>Barrel Band installed *</t>
  </si>
  <si>
    <t>Crossbolts installed in stock (2 pcs) *</t>
  </si>
  <si>
    <t>Thread protector for muzzle break</t>
  </si>
  <si>
    <t>Action job *</t>
  </si>
  <si>
    <t>Ebony forend tip</t>
  </si>
  <si>
    <t>Satin blue finish surcharge</t>
  </si>
  <si>
    <t>Follower jewelling</t>
  </si>
  <si>
    <t>Gloss oil finish on stock</t>
  </si>
  <si>
    <t>#</t>
  </si>
  <si>
    <t>Consumer Information</t>
  </si>
  <si>
    <t>FFL Information</t>
  </si>
  <si>
    <t>Name:</t>
  </si>
  <si>
    <t>Address:</t>
  </si>
  <si>
    <t>City State Zip:</t>
  </si>
  <si>
    <t>Phone:</t>
  </si>
  <si>
    <t>Phone</t>
  </si>
  <si>
    <t>e-mail:</t>
  </si>
  <si>
    <t>Code</t>
  </si>
  <si>
    <t>Customer #:</t>
  </si>
  <si>
    <t>PO#:</t>
  </si>
  <si>
    <t>CRM Order #:</t>
  </si>
  <si>
    <t>Description</t>
  </si>
  <si>
    <t>Retail</t>
  </si>
  <si>
    <t>Notes</t>
  </si>
  <si>
    <t>Total</t>
  </si>
  <si>
    <t>Order #</t>
  </si>
  <si>
    <t xml:space="preserve">Internal    </t>
  </si>
  <si>
    <t>use only</t>
  </si>
  <si>
    <t>Teflon Coating</t>
  </si>
  <si>
    <t>CZ-USA P.O Box 171073, Kansas City, KS 66117, 1-800-955-4486, info@safariclassics.com</t>
  </si>
  <si>
    <t>CZ Rifles</t>
  </si>
  <si>
    <t>04220</t>
  </si>
  <si>
    <t>retail help</t>
  </si>
  <si>
    <t>04104</t>
  </si>
  <si>
    <t>04105</t>
  </si>
  <si>
    <t>04106</t>
  </si>
  <si>
    <t>04200</t>
  </si>
  <si>
    <t>04201</t>
  </si>
  <si>
    <t>04202</t>
  </si>
  <si>
    <t>04210</t>
  </si>
  <si>
    <t>04211</t>
  </si>
  <si>
    <t>04212</t>
  </si>
  <si>
    <t>04213</t>
  </si>
  <si>
    <t>04214</t>
  </si>
  <si>
    <t>04310</t>
  </si>
  <si>
    <t>04311</t>
  </si>
  <si>
    <t>04312</t>
  </si>
  <si>
    <t>04313</t>
  </si>
  <si>
    <t>04314</t>
  </si>
  <si>
    <t>04316</t>
  </si>
  <si>
    <t>04318</t>
  </si>
  <si>
    <t>04320</t>
  </si>
  <si>
    <t>04322</t>
  </si>
  <si>
    <t>04324</t>
  </si>
  <si>
    <t>04330</t>
  </si>
  <si>
    <t>04331</t>
  </si>
  <si>
    <t>04332</t>
  </si>
  <si>
    <t>04410</t>
  </si>
  <si>
    <t>04411</t>
  </si>
  <si>
    <t>04412</t>
  </si>
  <si>
    <t>04413</t>
  </si>
  <si>
    <t>04710</t>
  </si>
  <si>
    <t>04711</t>
  </si>
  <si>
    <t>04712</t>
  </si>
  <si>
    <t>04713</t>
  </si>
  <si>
    <t>05008</t>
  </si>
  <si>
    <t>08001</t>
  </si>
  <si>
    <t>08002</t>
  </si>
  <si>
    <t>19003</t>
  </si>
  <si>
    <t>19006</t>
  </si>
  <si>
    <t>00020</t>
  </si>
  <si>
    <t>00025</t>
  </si>
  <si>
    <t>00022</t>
  </si>
  <si>
    <t>00024</t>
  </si>
  <si>
    <t>19130</t>
  </si>
  <si>
    <t>19131</t>
  </si>
  <si>
    <t>19132</t>
  </si>
  <si>
    <t>19133</t>
  </si>
  <si>
    <t>19134</t>
  </si>
  <si>
    <t>19135</t>
  </si>
  <si>
    <t>19136</t>
  </si>
  <si>
    <t>04111</t>
  </si>
  <si>
    <t>04115</t>
  </si>
  <si>
    <t>04116</t>
  </si>
  <si>
    <t>30mm Quick Detach Medium Gloss Scope rings for the CZ 550</t>
  </si>
  <si>
    <t>30mm Quick Detach High Matte Scope rings for the CZ 550</t>
  </si>
  <si>
    <t>30mm Quick Detach Medium Matte Scope rings for the CZ 550</t>
  </si>
  <si>
    <t>1" Quick Detach High Gloss Scope rings for the CZ 550</t>
  </si>
  <si>
    <t>1" Quick Detach Medium Gloss Scope rings for the CZ 550</t>
  </si>
  <si>
    <t>1" Quick Detach High Matte Scope rings for the CZ 550</t>
  </si>
  <si>
    <t>1" Quick Detach Medium Matte Scope rings for the CZ 550</t>
  </si>
  <si>
    <t>30 mm Scope rings for CZ 550/ ZKK 602, 19mm dovetail</t>
  </si>
  <si>
    <t>08004</t>
  </si>
  <si>
    <t>08003</t>
  </si>
  <si>
    <t>04171</t>
  </si>
  <si>
    <t>04170</t>
  </si>
  <si>
    <t>04114</t>
  </si>
  <si>
    <t>04101</t>
  </si>
  <si>
    <t>03050</t>
  </si>
  <si>
    <t>02081</t>
  </si>
  <si>
    <t>02110</t>
  </si>
  <si>
    <t xml:space="preserve">BRNO STOPPER  O/U double rifle,  458 WinMag engraved </t>
  </si>
  <si>
    <t>Rings</t>
  </si>
  <si>
    <t xml:space="preserve">   </t>
  </si>
  <si>
    <t>Brno</t>
  </si>
  <si>
    <t>Actions</t>
  </si>
  <si>
    <t>SKU</t>
  </si>
  <si>
    <t>Safari Classics Express Rifle (9.3x62, .30-06,  .270, 6.5x55)</t>
  </si>
  <si>
    <t>Safari Classics Express Rifle (425 WR, 416 Taylor, 338 Win Mag, 300 H&amp;H)</t>
  </si>
  <si>
    <t xml:space="preserve">Muzzle brake (26" bbl + brake) </t>
  </si>
  <si>
    <t>&lt;enter quantity description and pricing for additional items&gt;</t>
  </si>
  <si>
    <t>04173</t>
  </si>
  <si>
    <t>04153</t>
  </si>
  <si>
    <t>CZ 550 Carbine cal. 9.3X62, iron sights, KEVLAR STOCK</t>
  </si>
  <si>
    <t>04154</t>
  </si>
  <si>
    <t>CZ 550 Carbine cal. 30-06, iron sights, KEVLAR STOCK</t>
  </si>
  <si>
    <t xml:space="preserve">CZ 550 Medium KEVLAR cal. 7mm Rem.Mag, LPA sights, </t>
  </si>
  <si>
    <t>MC/V/D</t>
  </si>
  <si>
    <t xml:space="preserve">         Number                                                                                     Expiry</t>
  </si>
  <si>
    <t>* Standard on all Safari Classics Rifles          ** Standard on .505 Gibbs, .500 Jeffery, .338 Lapua</t>
  </si>
  <si>
    <t>2012 Safari Classics                     Retail Order Form</t>
  </si>
  <si>
    <t xml:space="preserve">Skeleton steel grip cap </t>
  </si>
  <si>
    <t>Steel grip cap</t>
  </si>
  <si>
    <t>Express sights installed</t>
  </si>
  <si>
    <t>Open sights installed (fixed or adjustable)</t>
  </si>
  <si>
    <t>Reblue (hot blue standard finish)</t>
  </si>
  <si>
    <t>Rebarrel (lap lugs, etc.  blue steel) caliber:            twist:    length:</t>
  </si>
  <si>
    <t>Alaska Arms 550 1/4 Turn QD Rings 30mm Med</t>
  </si>
  <si>
    <t>Alaska Arms 550 1/4 Turn QD Rings 1" Low</t>
  </si>
  <si>
    <t>Alaska Arms 550 1/4 Turn QD Rings 1" Med</t>
  </si>
  <si>
    <t>Alaska Arms 550 1/4 Turn QD Rings 30mm Low</t>
  </si>
  <si>
    <t>19160</t>
  </si>
  <si>
    <t>19161</t>
  </si>
  <si>
    <t>19162</t>
  </si>
  <si>
    <t>19163</t>
  </si>
</sst>
</file>

<file path=xl/styles.xml><?xml version="1.0" encoding="utf-8"?>
<styleSheet xmlns="http://schemas.openxmlformats.org/spreadsheetml/2006/main">
  <numFmts count="7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[$$-409]* #,##0.00_);_([$$-409]* \(#,##0.00\);_([$$-409]* &quot;-&quot;??_);_(@_)"/>
  </numFmts>
  <fonts count="16">
    <font>
      <sz val="11"/>
      <color theme="1"/>
      <name val="Calibri"/>
      <family val="2"/>
      <scheme val="minor"/>
    </font>
    <font>
      <u/>
      <sz val="11"/>
      <color indexed="12"/>
      <name val="Calibri"/>
      <family val="2"/>
    </font>
    <font>
      <sz val="8"/>
      <name val="Calibri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2"/>
      <color indexed="22"/>
      <name val="Arial"/>
      <family val="2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FF0000"/>
      <name val="Arial"/>
      <family val="2"/>
    </font>
    <font>
      <b/>
      <sz val="3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11">
    <xf numFmtId="0" fontId="0" fillId="0" borderId="0" xfId="0"/>
    <xf numFmtId="0" fontId="3" fillId="0" borderId="1" xfId="0" applyFont="1" applyFill="1" applyBorder="1"/>
    <xf numFmtId="0" fontId="3" fillId="0" borderId="1" xfId="0" applyFont="1" applyBorder="1"/>
    <xf numFmtId="1" fontId="3" fillId="0" borderId="2" xfId="0" applyNumberFormat="1" applyFont="1" applyBorder="1"/>
    <xf numFmtId="0" fontId="3" fillId="0" borderId="3" xfId="0" quotePrefix="1" applyFont="1" applyFill="1" applyBorder="1"/>
    <xf numFmtId="0" fontId="3" fillId="0" borderId="3" xfId="0" applyFont="1" applyFill="1" applyBorder="1"/>
    <xf numFmtId="0" fontId="4" fillId="0" borderId="1" xfId="0" applyFont="1" applyFill="1" applyBorder="1"/>
    <xf numFmtId="0" fontId="3" fillId="0" borderId="3" xfId="0" quotePrefix="1" applyFont="1" applyFill="1" applyBorder="1" applyAlignment="1">
      <alignment vertical="center"/>
    </xf>
    <xf numFmtId="0" fontId="4" fillId="0" borderId="0" xfId="0" applyFont="1" applyFill="1" applyBorder="1"/>
    <xf numFmtId="164" fontId="3" fillId="0" borderId="0" xfId="0" applyNumberFormat="1" applyFont="1" applyFill="1" applyBorder="1" applyAlignment="1" applyProtection="1">
      <alignment horizontal="center"/>
    </xf>
    <xf numFmtId="0" fontId="3" fillId="0" borderId="4" xfId="0" applyFont="1" applyFill="1" applyBorder="1"/>
    <xf numFmtId="0" fontId="3" fillId="0" borderId="5" xfId="0" applyFont="1" applyFill="1" applyBorder="1"/>
    <xf numFmtId="49" fontId="4" fillId="0" borderId="3" xfId="0" applyNumberFormat="1" applyFont="1" applyFill="1" applyBorder="1" applyAlignment="1">
      <alignment horizontal="left"/>
    </xf>
    <xf numFmtId="1" fontId="3" fillId="0" borderId="6" xfId="0" applyNumberFormat="1" applyFont="1" applyBorder="1"/>
    <xf numFmtId="43" fontId="4" fillId="2" borderId="7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0" borderId="0" xfId="0" applyFont="1"/>
    <xf numFmtId="43" fontId="4" fillId="2" borderId="8" xfId="0" applyNumberFormat="1" applyFont="1" applyFill="1" applyBorder="1" applyAlignment="1">
      <alignment vertical="center"/>
    </xf>
    <xf numFmtId="43" fontId="4" fillId="2" borderId="0" xfId="0" applyNumberFormat="1" applyFont="1" applyFill="1" applyBorder="1" applyAlignment="1">
      <alignment vertical="center"/>
    </xf>
    <xf numFmtId="0" fontId="4" fillId="0" borderId="8" xfId="0" applyFont="1" applyBorder="1" applyAlignment="1" applyProtection="1">
      <alignment vertical="center"/>
      <protection locked="0"/>
    </xf>
    <xf numFmtId="0" fontId="4" fillId="0" borderId="9" xfId="0" applyFont="1" applyBorder="1" applyAlignment="1">
      <alignment vertical="center"/>
    </xf>
    <xf numFmtId="43" fontId="4" fillId="0" borderId="0" xfId="0" applyNumberFormat="1" applyFont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9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4" fillId="0" borderId="12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43" fontId="4" fillId="2" borderId="10" xfId="0" applyNumberFormat="1" applyFont="1" applyFill="1" applyBorder="1" applyAlignment="1">
      <alignment vertical="center"/>
    </xf>
    <xf numFmtId="0" fontId="4" fillId="0" borderId="9" xfId="0" applyFont="1" applyFill="1" applyBorder="1" applyAlignment="1" applyProtection="1">
      <alignment vertical="center"/>
      <protection locked="0"/>
    </xf>
    <xf numFmtId="49" fontId="4" fillId="0" borderId="10" xfId="0" applyNumberFormat="1" applyFont="1" applyBorder="1" applyAlignment="1">
      <alignment vertical="center"/>
    </xf>
    <xf numFmtId="165" fontId="3" fillId="2" borderId="0" xfId="0" applyNumberFormat="1" applyFont="1" applyFill="1" applyBorder="1" applyAlignment="1">
      <alignment horizontal="center"/>
    </xf>
    <xf numFmtId="0" fontId="3" fillId="2" borderId="0" xfId="0" applyFont="1" applyFill="1" applyBorder="1"/>
    <xf numFmtId="0" fontId="3" fillId="0" borderId="7" xfId="0" applyFont="1" applyBorder="1"/>
    <xf numFmtId="165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49" fontId="4" fillId="0" borderId="0" xfId="0" applyNumberFormat="1" applyFont="1" applyFill="1" applyBorder="1" applyAlignment="1">
      <alignment horizontal="left"/>
    </xf>
    <xf numFmtId="7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3" fillId="0" borderId="13" xfId="0" applyFont="1" applyBorder="1"/>
    <xf numFmtId="49" fontId="4" fillId="2" borderId="0" xfId="0" applyNumberFormat="1" applyFont="1" applyFill="1" applyBorder="1" applyAlignment="1">
      <alignment vertical="center"/>
    </xf>
    <xf numFmtId="165" fontId="4" fillId="0" borderId="0" xfId="0" applyNumberFormat="1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3" fillId="2" borderId="15" xfId="0" applyFont="1" applyFill="1" applyBorder="1"/>
    <xf numFmtId="0" fontId="4" fillId="2" borderId="15" xfId="0" applyFont="1" applyFill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3" fillId="0" borderId="14" xfId="0" applyFont="1" applyBorder="1"/>
    <xf numFmtId="0" fontId="4" fillId="2" borderId="17" xfId="0" applyFont="1" applyFill="1" applyBorder="1" applyAlignment="1">
      <alignment vertical="center"/>
    </xf>
    <xf numFmtId="0" fontId="4" fillId="2" borderId="17" xfId="0" applyFont="1" applyFill="1" applyBorder="1" applyAlignment="1" applyProtection="1">
      <alignment vertical="center"/>
      <protection locked="0"/>
    </xf>
    <xf numFmtId="0" fontId="3" fillId="2" borderId="17" xfId="0" applyFont="1" applyFill="1" applyBorder="1"/>
    <xf numFmtId="0" fontId="3" fillId="2" borderId="18" xfId="0" applyFont="1" applyFill="1" applyBorder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165" fontId="3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quotePrefix="1" applyFont="1" applyFill="1" applyBorder="1"/>
    <xf numFmtId="49" fontId="4" fillId="0" borderId="1" xfId="0" applyNumberFormat="1" applyFont="1" applyFill="1" applyBorder="1" applyAlignment="1">
      <alignment horizontal="left"/>
    </xf>
    <xf numFmtId="0" fontId="3" fillId="0" borderId="19" xfId="0" applyFont="1" applyFill="1" applyBorder="1"/>
    <xf numFmtId="0" fontId="3" fillId="0" borderId="19" xfId="0" applyFont="1" applyFill="1" applyBorder="1" applyAlignment="1">
      <alignment vertical="center"/>
    </xf>
    <xf numFmtId="0" fontId="3" fillId="0" borderId="20" xfId="0" applyFont="1" applyFill="1" applyBorder="1"/>
    <xf numFmtId="49" fontId="4" fillId="0" borderId="1" xfId="0" applyNumberFormat="1" applyFont="1" applyBorder="1" applyAlignment="1">
      <alignment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6" xfId="0" applyFont="1" applyFill="1" applyBorder="1" applyAlignment="1">
      <alignment horizontal="right" vertical="center"/>
    </xf>
    <xf numFmtId="0" fontId="3" fillId="0" borderId="21" xfId="0" applyFont="1" applyBorder="1"/>
    <xf numFmtId="0" fontId="3" fillId="0" borderId="22" xfId="0" applyFont="1" applyBorder="1"/>
    <xf numFmtId="0" fontId="5" fillId="2" borderId="23" xfId="0" applyFont="1" applyFill="1" applyBorder="1" applyAlignment="1">
      <alignment vertical="center"/>
    </xf>
    <xf numFmtId="0" fontId="5" fillId="2" borderId="24" xfId="0" applyFont="1" applyFill="1" applyBorder="1" applyAlignment="1">
      <alignment vertical="center"/>
    </xf>
    <xf numFmtId="0" fontId="3" fillId="0" borderId="0" xfId="0" applyFont="1" applyFill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166" fontId="8" fillId="0" borderId="13" xfId="0" applyNumberFormat="1" applyFont="1" applyBorder="1"/>
    <xf numFmtId="166" fontId="9" fillId="0" borderId="13" xfId="0" applyNumberFormat="1" applyFont="1" applyBorder="1" applyAlignment="1">
      <alignment vertical="center"/>
    </xf>
    <xf numFmtId="0" fontId="3" fillId="0" borderId="25" xfId="0" applyFont="1" applyBorder="1"/>
    <xf numFmtId="0" fontId="4" fillId="0" borderId="26" xfId="0" applyFont="1" applyBorder="1" applyAlignment="1">
      <alignment vertical="center"/>
    </xf>
    <xf numFmtId="0" fontId="3" fillId="0" borderId="4" xfId="0" quotePrefix="1" applyFont="1" applyFill="1" applyBorder="1"/>
    <xf numFmtId="166" fontId="8" fillId="2" borderId="18" xfId="0" applyNumberFormat="1" applyFont="1" applyFill="1" applyBorder="1" applyAlignment="1">
      <alignment horizontal="center"/>
    </xf>
    <xf numFmtId="0" fontId="3" fillId="0" borderId="27" xfId="0" applyFont="1" applyFill="1" applyBorder="1"/>
    <xf numFmtId="0" fontId="3" fillId="0" borderId="28" xfId="0" applyFont="1" applyFill="1" applyBorder="1"/>
    <xf numFmtId="49" fontId="4" fillId="0" borderId="4" xfId="0" applyNumberFormat="1" applyFont="1" applyFill="1" applyBorder="1" applyAlignment="1">
      <alignment horizontal="left"/>
    </xf>
    <xf numFmtId="0" fontId="3" fillId="0" borderId="27" xfId="0" quotePrefix="1" applyFont="1" applyFill="1" applyBorder="1"/>
    <xf numFmtId="0" fontId="3" fillId="0" borderId="5" xfId="0" applyFont="1" applyBorder="1"/>
    <xf numFmtId="0" fontId="9" fillId="2" borderId="18" xfId="0" applyFont="1" applyFill="1" applyBorder="1" applyAlignment="1">
      <alignment vertical="center"/>
    </xf>
    <xf numFmtId="49" fontId="4" fillId="0" borderId="5" xfId="0" applyNumberFormat="1" applyFont="1" applyFill="1" applyBorder="1" applyAlignment="1">
      <alignment horizontal="left"/>
    </xf>
    <xf numFmtId="0" fontId="4" fillId="0" borderId="5" xfId="0" applyFont="1" applyFill="1" applyBorder="1"/>
    <xf numFmtId="49" fontId="4" fillId="0" borderId="27" xfId="0" applyNumberFormat="1" applyFont="1" applyFill="1" applyBorder="1" applyAlignment="1">
      <alignment horizontal="left"/>
    </xf>
    <xf numFmtId="0" fontId="4" fillId="0" borderId="27" xfId="0" applyFont="1" applyFill="1" applyBorder="1"/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7" fillId="2" borderId="27" xfId="0" applyFont="1" applyFill="1" applyBorder="1" applyAlignment="1">
      <alignment vertical="center"/>
    </xf>
    <xf numFmtId="0" fontId="7" fillId="2" borderId="24" xfId="0" applyFont="1" applyFill="1" applyBorder="1" applyAlignment="1">
      <alignment horizontal="left" vertical="center"/>
    </xf>
    <xf numFmtId="0" fontId="7" fillId="2" borderId="24" xfId="0" applyFont="1" applyFill="1" applyBorder="1" applyAlignment="1">
      <alignment vertical="center"/>
    </xf>
    <xf numFmtId="43" fontId="7" fillId="2" borderId="29" xfId="0" applyNumberFormat="1" applyFont="1" applyFill="1" applyBorder="1" applyAlignment="1">
      <alignment vertical="center"/>
    </xf>
    <xf numFmtId="166" fontId="8" fillId="0" borderId="30" xfId="0" applyNumberFormat="1" applyFont="1" applyBorder="1"/>
    <xf numFmtId="166" fontId="9" fillId="0" borderId="29" xfId="0" applyNumberFormat="1" applyFont="1" applyBorder="1" applyAlignment="1">
      <alignment vertical="center"/>
    </xf>
    <xf numFmtId="0" fontId="3" fillId="0" borderId="26" xfId="0" applyFont="1" applyBorder="1"/>
    <xf numFmtId="0" fontId="4" fillId="0" borderId="31" xfId="0" applyFont="1" applyBorder="1" applyAlignment="1">
      <alignment vertical="center"/>
    </xf>
    <xf numFmtId="1" fontId="3" fillId="2" borderId="32" xfId="0" applyNumberFormat="1" applyFont="1" applyFill="1" applyBorder="1"/>
    <xf numFmtId="0" fontId="3" fillId="2" borderId="33" xfId="0" applyFont="1" applyFill="1" applyBorder="1"/>
    <xf numFmtId="0" fontId="7" fillId="2" borderId="17" xfId="0" applyFont="1" applyFill="1" applyBorder="1" applyAlignment="1">
      <alignment horizontal="left" vertical="center"/>
    </xf>
    <xf numFmtId="0" fontId="7" fillId="2" borderId="17" xfId="0" applyNumberFormat="1" applyFont="1" applyFill="1" applyBorder="1" applyAlignment="1">
      <alignment horizontal="left"/>
    </xf>
    <xf numFmtId="0" fontId="6" fillId="2" borderId="17" xfId="0" applyNumberFormat="1" applyFont="1" applyFill="1" applyBorder="1" applyAlignment="1" applyProtection="1"/>
    <xf numFmtId="0" fontId="6" fillId="2" borderId="17" xfId="0" applyFont="1" applyFill="1" applyBorder="1"/>
    <xf numFmtId="44" fontId="3" fillId="0" borderId="0" xfId="0" applyNumberFormat="1" applyFont="1" applyBorder="1" applyAlignment="1">
      <alignment horizontal="center"/>
    </xf>
    <xf numFmtId="0" fontId="3" fillId="2" borderId="22" xfId="0" applyFont="1" applyFill="1" applyBorder="1"/>
    <xf numFmtId="43" fontId="4" fillId="0" borderId="11" xfId="0" applyNumberFormat="1" applyFont="1" applyBorder="1" applyAlignment="1">
      <alignment vertical="center"/>
    </xf>
    <xf numFmtId="43" fontId="4" fillId="0" borderId="34" xfId="0" applyNumberFormat="1" applyFont="1" applyBorder="1" applyAlignment="1">
      <alignment vertical="center"/>
    </xf>
    <xf numFmtId="43" fontId="7" fillId="2" borderId="35" xfId="0" applyNumberFormat="1" applyFont="1" applyFill="1" applyBorder="1" applyAlignment="1">
      <alignment vertical="center"/>
    </xf>
    <xf numFmtId="43" fontId="4" fillId="0" borderId="31" xfId="0" applyNumberFormat="1" applyFont="1" applyBorder="1" applyAlignment="1">
      <alignment vertical="center"/>
    </xf>
    <xf numFmtId="0" fontId="4" fillId="2" borderId="36" xfId="0" applyFont="1" applyFill="1" applyBorder="1" applyAlignment="1">
      <alignment vertical="center"/>
    </xf>
    <xf numFmtId="0" fontId="4" fillId="2" borderId="37" xfId="0" applyFont="1" applyFill="1" applyBorder="1" applyAlignment="1">
      <alignment vertical="center"/>
    </xf>
    <xf numFmtId="49" fontId="4" fillId="0" borderId="38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 applyProtection="1">
      <alignment vertical="center"/>
      <protection locked="0"/>
    </xf>
    <xf numFmtId="49" fontId="4" fillId="0" borderId="14" xfId="0" applyNumberFormat="1" applyFont="1" applyBorder="1" applyAlignment="1">
      <alignment vertical="center"/>
    </xf>
    <xf numFmtId="0" fontId="4" fillId="2" borderId="23" xfId="0" applyFont="1" applyFill="1" applyBorder="1" applyAlignment="1">
      <alignment horizontal="left" vertical="center"/>
    </xf>
    <xf numFmtId="43" fontId="4" fillId="2" borderId="35" xfId="0" applyNumberFormat="1" applyFont="1" applyFill="1" applyBorder="1" applyAlignment="1">
      <alignment vertical="center"/>
    </xf>
    <xf numFmtId="1" fontId="3" fillId="0" borderId="3" xfId="0" applyNumberFormat="1" applyFont="1" applyBorder="1"/>
    <xf numFmtId="0" fontId="3" fillId="2" borderId="36" xfId="0" applyFont="1" applyFill="1" applyBorder="1"/>
    <xf numFmtId="1" fontId="3" fillId="0" borderId="39" xfId="0" applyNumberFormat="1" applyFont="1" applyBorder="1"/>
    <xf numFmtId="1" fontId="3" fillId="0" borderId="4" xfId="0" applyNumberFormat="1" applyFont="1" applyBorder="1"/>
    <xf numFmtId="1" fontId="3" fillId="2" borderId="40" xfId="0" applyNumberFormat="1" applyFont="1" applyFill="1" applyBorder="1"/>
    <xf numFmtId="0" fontId="4" fillId="2" borderId="14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1" fontId="3" fillId="2" borderId="7" xfId="0" applyNumberFormat="1" applyFont="1" applyFill="1" applyBorder="1"/>
    <xf numFmtId="1" fontId="3" fillId="0" borderId="41" xfId="0" applyNumberFormat="1" applyFont="1" applyBorder="1"/>
    <xf numFmtId="0" fontId="3" fillId="0" borderId="3" xfId="0" applyFont="1" applyBorder="1"/>
    <xf numFmtId="1" fontId="3" fillId="0" borderId="3" xfId="0" applyNumberFormat="1" applyFont="1" applyFill="1" applyBorder="1"/>
    <xf numFmtId="0" fontId="3" fillId="2" borderId="14" xfId="0" applyFont="1" applyFill="1" applyBorder="1"/>
    <xf numFmtId="1" fontId="10" fillId="2" borderId="17" xfId="0" applyNumberFormat="1" applyFont="1" applyFill="1" applyBorder="1"/>
    <xf numFmtId="1" fontId="4" fillId="3" borderId="3" xfId="0" applyNumberFormat="1" applyFont="1" applyFill="1" applyBorder="1" applyAlignment="1">
      <alignment vertical="center"/>
    </xf>
    <xf numFmtId="1" fontId="4" fillId="0" borderId="3" xfId="0" applyNumberFormat="1" applyFont="1" applyBorder="1" applyAlignment="1">
      <alignment vertical="center"/>
    </xf>
    <xf numFmtId="1" fontId="4" fillId="0" borderId="6" xfId="0" applyNumberFormat="1" applyFont="1" applyBorder="1" applyAlignment="1">
      <alignment vertical="center"/>
    </xf>
    <xf numFmtId="49" fontId="4" fillId="0" borderId="42" xfId="0" applyNumberFormat="1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49" fontId="4" fillId="2" borderId="26" xfId="0" applyNumberFormat="1" applyFont="1" applyFill="1" applyBorder="1" applyAlignment="1">
      <alignment vertical="center"/>
    </xf>
    <xf numFmtId="49" fontId="4" fillId="2" borderId="14" xfId="0" applyNumberFormat="1" applyFont="1" applyFill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43" fontId="4" fillId="2" borderId="15" xfId="0" applyNumberFormat="1" applyFont="1" applyFill="1" applyBorder="1" applyAlignment="1">
      <alignment vertical="center"/>
    </xf>
    <xf numFmtId="0" fontId="4" fillId="0" borderId="15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vertical="center"/>
    </xf>
    <xf numFmtId="49" fontId="3" fillId="0" borderId="0" xfId="0" applyNumberFormat="1" applyFont="1" applyFill="1" applyAlignment="1">
      <alignment horizontal="center"/>
    </xf>
    <xf numFmtId="0" fontId="3" fillId="0" borderId="27" xfId="0" applyFont="1" applyBorder="1"/>
    <xf numFmtId="0" fontId="3" fillId="0" borderId="4" xfId="0" applyFont="1" applyBorder="1"/>
    <xf numFmtId="44" fontId="9" fillId="2" borderId="16" xfId="0" applyNumberFormat="1" applyFont="1" applyFill="1" applyBorder="1" applyAlignment="1">
      <alignment vertical="center"/>
    </xf>
    <xf numFmtId="165" fontId="3" fillId="2" borderId="7" xfId="0" applyNumberFormat="1" applyFont="1" applyFill="1" applyBorder="1" applyAlignment="1">
      <alignment horizontal="center"/>
    </xf>
    <xf numFmtId="0" fontId="4" fillId="0" borderId="4" xfId="0" applyFont="1" applyFill="1" applyBorder="1"/>
    <xf numFmtId="0" fontId="4" fillId="0" borderId="20" xfId="0" applyFont="1" applyFill="1" applyBorder="1"/>
    <xf numFmtId="1" fontId="3" fillId="0" borderId="43" xfId="0" applyNumberFormat="1" applyFont="1" applyBorder="1"/>
    <xf numFmtId="1" fontId="3" fillId="2" borderId="44" xfId="0" applyNumberFormat="1" applyFont="1" applyFill="1" applyBorder="1"/>
    <xf numFmtId="44" fontId="3" fillId="2" borderId="17" xfId="0" applyNumberFormat="1" applyFont="1" applyFill="1" applyBorder="1" applyAlignment="1">
      <alignment horizontal="center"/>
    </xf>
    <xf numFmtId="1" fontId="3" fillId="0" borderId="45" xfId="0" applyNumberFormat="1" applyFont="1" applyBorder="1"/>
    <xf numFmtId="0" fontId="3" fillId="2" borderId="44" xfId="0" applyFont="1" applyFill="1" applyBorder="1"/>
    <xf numFmtId="44" fontId="3" fillId="2" borderId="17" xfId="0" applyNumberFormat="1" applyFont="1" applyFill="1" applyBorder="1" applyAlignment="1">
      <alignment horizontal="right"/>
    </xf>
    <xf numFmtId="0" fontId="11" fillId="0" borderId="9" xfId="1" applyFont="1" applyBorder="1" applyAlignment="1" applyProtection="1">
      <alignment vertical="center"/>
    </xf>
    <xf numFmtId="165" fontId="12" fillId="0" borderId="1" xfId="0" applyNumberFormat="1" applyFont="1" applyBorder="1" applyAlignment="1">
      <alignment horizontal="center"/>
    </xf>
    <xf numFmtId="165" fontId="12" fillId="0" borderId="27" xfId="0" applyNumberFormat="1" applyFont="1" applyBorder="1" applyAlignment="1">
      <alignment horizontal="center"/>
    </xf>
    <xf numFmtId="165" fontId="12" fillId="0" borderId="46" xfId="0" applyNumberFormat="1" applyFont="1" applyBorder="1" applyAlignment="1">
      <alignment horizontal="center"/>
    </xf>
    <xf numFmtId="165" fontId="12" fillId="0" borderId="13" xfId="0" applyNumberFormat="1" applyFont="1" applyBorder="1" applyAlignment="1">
      <alignment horizontal="center"/>
    </xf>
    <xf numFmtId="165" fontId="12" fillId="0" borderId="47" xfId="0" applyNumberFormat="1" applyFont="1" applyBorder="1" applyAlignment="1">
      <alignment horizontal="center"/>
    </xf>
    <xf numFmtId="165" fontId="12" fillId="0" borderId="5" xfId="0" applyNumberFormat="1" applyFont="1" applyFill="1" applyBorder="1" applyAlignment="1">
      <alignment horizontal="center"/>
    </xf>
    <xf numFmtId="165" fontId="12" fillId="0" borderId="1" xfId="0" applyNumberFormat="1" applyFont="1" applyFill="1" applyBorder="1" applyAlignment="1">
      <alignment horizontal="center"/>
    </xf>
    <xf numFmtId="0" fontId="4" fillId="0" borderId="1" xfId="0" quotePrefix="1" applyFont="1" applyBorder="1"/>
    <xf numFmtId="0" fontId="4" fillId="0" borderId="1" xfId="0" applyFont="1" applyBorder="1"/>
    <xf numFmtId="165" fontId="4" fillId="0" borderId="1" xfId="0" applyNumberFormat="1" applyFont="1" applyBorder="1" applyAlignment="1">
      <alignment horizontal="center"/>
    </xf>
    <xf numFmtId="165" fontId="12" fillId="0" borderId="42" xfId="0" applyNumberFormat="1" applyFont="1" applyBorder="1" applyAlignment="1">
      <alignment horizontal="center"/>
    </xf>
    <xf numFmtId="165" fontId="12" fillId="0" borderId="5" xfId="0" applyNumberFormat="1" applyFont="1" applyBorder="1" applyAlignment="1">
      <alignment horizontal="center"/>
    </xf>
    <xf numFmtId="0" fontId="13" fillId="0" borderId="0" xfId="0" applyFont="1"/>
    <xf numFmtId="5" fontId="3" fillId="0" borderId="1" xfId="0" applyNumberFormat="1" applyFont="1" applyBorder="1" applyAlignment="1">
      <alignment horizontal="center"/>
    </xf>
    <xf numFmtId="165" fontId="9" fillId="0" borderId="14" xfId="0" applyNumberFormat="1" applyFont="1" applyBorder="1" applyAlignment="1">
      <alignment horizontal="center"/>
    </xf>
    <xf numFmtId="165" fontId="9" fillId="0" borderId="13" xfId="0" applyNumberFormat="1" applyFont="1" applyBorder="1" applyAlignment="1">
      <alignment horizontal="center"/>
    </xf>
    <xf numFmtId="165" fontId="9" fillId="0" borderId="13" xfId="0" applyNumberFormat="1" applyFont="1" applyFill="1" applyBorder="1" applyAlignment="1">
      <alignment horizontal="center"/>
    </xf>
    <xf numFmtId="165" fontId="8" fillId="0" borderId="13" xfId="0" applyNumberFormat="1" applyFont="1" applyBorder="1" applyAlignment="1">
      <alignment horizontal="center"/>
    </xf>
    <xf numFmtId="165" fontId="8" fillId="0" borderId="13" xfId="0" applyNumberFormat="1" applyFont="1" applyFill="1" applyBorder="1" applyAlignment="1">
      <alignment horizontal="center"/>
    </xf>
    <xf numFmtId="0" fontId="3" fillId="0" borderId="16" xfId="0" applyFont="1" applyBorder="1"/>
    <xf numFmtId="165" fontId="13" fillId="0" borderId="3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47" xfId="0" applyNumberFormat="1" applyFont="1" applyBorder="1" applyAlignment="1">
      <alignment horizontal="center"/>
    </xf>
    <xf numFmtId="0" fontId="3" fillId="0" borderId="45" xfId="0" applyFont="1" applyBorder="1"/>
    <xf numFmtId="0" fontId="3" fillId="0" borderId="30" xfId="0" applyFont="1" applyBorder="1"/>
    <xf numFmtId="0" fontId="4" fillId="2" borderId="25" xfId="0" applyFont="1" applyFill="1" applyBorder="1" applyAlignment="1">
      <alignment vertical="center"/>
    </xf>
    <xf numFmtId="0" fontId="13" fillId="0" borderId="0" xfId="0" applyFont="1" applyBorder="1"/>
    <xf numFmtId="0" fontId="4" fillId="0" borderId="29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1" fontId="3" fillId="0" borderId="32" xfId="0" applyNumberFormat="1" applyFont="1" applyBorder="1"/>
    <xf numFmtId="0" fontId="14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0" borderId="19" xfId="0" applyFont="1" applyFill="1" applyBorder="1"/>
    <xf numFmtId="0" fontId="4" fillId="0" borderId="27" xfId="0" applyFont="1" applyBorder="1"/>
    <xf numFmtId="165" fontId="13" fillId="0" borderId="29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/>
    </xf>
    <xf numFmtId="49" fontId="3" fillId="4" borderId="0" xfId="0" applyNumberFormat="1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49" fontId="4" fillId="0" borderId="48" xfId="0" applyNumberFormat="1" applyFont="1" applyFill="1" applyBorder="1" applyAlignment="1">
      <alignment horizontal="left"/>
    </xf>
    <xf numFmtId="0" fontId="3" fillId="0" borderId="42" xfId="0" applyFont="1" applyFill="1" applyBorder="1"/>
    <xf numFmtId="0" fontId="4" fillId="2" borderId="18" xfId="0" applyFont="1" applyFill="1" applyBorder="1" applyAlignment="1">
      <alignment vertical="center"/>
    </xf>
    <xf numFmtId="0" fontId="3" fillId="4" borderId="7" xfId="0" applyFont="1" applyFill="1" applyBorder="1"/>
    <xf numFmtId="0" fontId="13" fillId="0" borderId="25" xfId="0" applyFont="1" applyBorder="1"/>
    <xf numFmtId="0" fontId="13" fillId="0" borderId="22" xfId="0" applyFont="1" applyBorder="1"/>
    <xf numFmtId="0" fontId="3" fillId="4" borderId="0" xfId="0" applyFont="1" applyFill="1" applyBorder="1"/>
    <xf numFmtId="0" fontId="3" fillId="4" borderId="17" xfId="0" applyFont="1" applyFill="1" applyBorder="1"/>
    <xf numFmtId="0" fontId="3" fillId="0" borderId="49" xfId="0" applyFont="1" applyFill="1" applyBorder="1"/>
    <xf numFmtId="0" fontId="13" fillId="0" borderId="36" xfId="0" applyFont="1" applyBorder="1"/>
    <xf numFmtId="0" fontId="13" fillId="0" borderId="3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160524</xdr:colOff>
      <xdr:row>59</xdr:row>
      <xdr:rowOff>7329</xdr:rowOff>
    </xdr:from>
    <xdr:to>
      <xdr:col>10</xdr:col>
      <xdr:colOff>710265</xdr:colOff>
      <xdr:row>77</xdr:row>
      <xdr:rowOff>146539</xdr:rowOff>
    </xdr:to>
    <xdr:pic>
      <xdr:nvPicPr>
        <xdr:cNvPr id="3080" name="Picture 2" descr="safari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bg2">
              <a:shade val="45000"/>
              <a:satMod val="135000"/>
            </a:schemeClr>
            <a:prstClr val="white"/>
          </a:duotone>
          <a:lum bright="17000" contrast="2000"/>
        </a:blip>
        <a:srcRect/>
        <a:stretch>
          <a:fillRect/>
        </a:stretch>
      </xdr:blipFill>
      <xdr:spPr bwMode="auto">
        <a:xfrm>
          <a:off x="7853793" y="13356983"/>
          <a:ext cx="5766510" cy="36121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3</xdr:col>
      <xdr:colOff>4762500</xdr:colOff>
      <xdr:row>9</xdr:row>
      <xdr:rowOff>66675</xdr:rowOff>
    </xdr:to>
    <xdr:pic>
      <xdr:nvPicPr>
        <xdr:cNvPr id="3183" name="Picture 5" descr="2010_CZ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23900" y="0"/>
          <a:ext cx="548640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200"/>
  <sheetViews>
    <sheetView tabSelected="1" view="pageBreakPreview" topLeftCell="A4" zoomScale="65" zoomScaleNormal="100" zoomScaleSheetLayoutView="65" workbookViewId="0">
      <selection activeCell="K37" sqref="K37"/>
    </sheetView>
  </sheetViews>
  <sheetFormatPr defaultRowHeight="15"/>
  <cols>
    <col min="1" max="1" width="9.140625" style="168" customWidth="1"/>
    <col min="2" max="2" width="3.140625" style="16" customWidth="1"/>
    <col min="3" max="3" width="9.42578125" style="16" customWidth="1"/>
    <col min="4" max="4" width="72.140625" style="16" customWidth="1"/>
    <col min="5" max="5" width="18.42578125" style="57" customWidth="1"/>
    <col min="6" max="6" width="9.42578125" style="57" hidden="1" customWidth="1"/>
    <col min="7" max="7" width="3.140625" style="54" customWidth="1"/>
    <col min="8" max="8" width="3" style="16" customWidth="1"/>
    <col min="9" max="9" width="11" style="16" bestFit="1" customWidth="1"/>
    <col min="10" max="10" width="64.140625" style="16" customWidth="1"/>
    <col min="11" max="11" width="20" style="36" customWidth="1"/>
    <col min="12" max="12" width="11.7109375" style="16" hidden="1" customWidth="1"/>
    <col min="13" max="16384" width="9.140625" style="16"/>
  </cols>
  <sheetData>
    <row r="1" spans="1:12">
      <c r="A1" s="204"/>
      <c r="B1" s="75"/>
      <c r="C1" s="34"/>
      <c r="D1" s="34"/>
      <c r="E1" s="192" t="s">
        <v>182</v>
      </c>
      <c r="F1" s="193"/>
      <c r="G1" s="193"/>
      <c r="H1" s="193"/>
      <c r="I1" s="193"/>
      <c r="J1" s="193"/>
      <c r="K1" s="97"/>
    </row>
    <row r="2" spans="1:12">
      <c r="A2" s="205"/>
      <c r="B2" s="67"/>
      <c r="C2" s="36"/>
      <c r="D2" s="36"/>
      <c r="E2" s="194"/>
      <c r="F2" s="194"/>
      <c r="G2" s="194"/>
      <c r="H2" s="194"/>
      <c r="I2" s="194"/>
      <c r="J2" s="194"/>
      <c r="K2" s="49"/>
    </row>
    <row r="3" spans="1:12">
      <c r="A3" s="205"/>
      <c r="B3" s="67"/>
      <c r="C3" s="36"/>
      <c r="D3" s="36"/>
      <c r="E3" s="194"/>
      <c r="F3" s="194"/>
      <c r="G3" s="194"/>
      <c r="H3" s="194"/>
      <c r="I3" s="194"/>
      <c r="J3" s="194"/>
      <c r="K3" s="49"/>
    </row>
    <row r="4" spans="1:12">
      <c r="A4" s="205"/>
      <c r="B4" s="67"/>
      <c r="C4" s="36"/>
      <c r="D4" s="36"/>
      <c r="E4" s="194"/>
      <c r="F4" s="194"/>
      <c r="G4" s="194"/>
      <c r="H4" s="194"/>
      <c r="I4" s="194"/>
      <c r="J4" s="194"/>
      <c r="K4" s="49"/>
    </row>
    <row r="5" spans="1:12">
      <c r="A5" s="205"/>
      <c r="B5" s="67"/>
      <c r="C5" s="36"/>
      <c r="D5" s="36"/>
      <c r="E5" s="194"/>
      <c r="F5" s="194"/>
      <c r="G5" s="194"/>
      <c r="H5" s="194"/>
      <c r="I5" s="194"/>
      <c r="J5" s="194"/>
      <c r="K5" s="49"/>
    </row>
    <row r="6" spans="1:12">
      <c r="A6" s="205"/>
      <c r="B6" s="67"/>
      <c r="C6" s="36"/>
      <c r="D6" s="36"/>
      <c r="E6" s="194"/>
      <c r="F6" s="194"/>
      <c r="G6" s="194"/>
      <c r="H6" s="194"/>
      <c r="I6" s="194"/>
      <c r="J6" s="194"/>
      <c r="K6" s="49"/>
    </row>
    <row r="7" spans="1:12">
      <c r="A7" s="205"/>
      <c r="B7" s="67"/>
      <c r="C7" s="36"/>
      <c r="D7" s="36"/>
      <c r="E7" s="194"/>
      <c r="F7" s="194"/>
      <c r="G7" s="194"/>
      <c r="H7" s="194"/>
      <c r="I7" s="194"/>
      <c r="J7" s="194"/>
      <c r="K7" s="49"/>
    </row>
    <row r="8" spans="1:12">
      <c r="A8" s="205"/>
      <c r="B8" s="67"/>
      <c r="C8" s="36"/>
      <c r="D8" s="36"/>
      <c r="E8" s="194"/>
      <c r="F8" s="194"/>
      <c r="G8" s="194"/>
      <c r="H8" s="194"/>
      <c r="I8" s="194"/>
      <c r="J8" s="194"/>
      <c r="K8" s="49"/>
    </row>
    <row r="9" spans="1:12">
      <c r="A9" s="205"/>
      <c r="B9" s="67"/>
      <c r="C9" s="36"/>
      <c r="D9" s="36"/>
      <c r="E9" s="195"/>
      <c r="F9" s="195"/>
      <c r="G9" s="195"/>
      <c r="H9" s="195"/>
      <c r="I9" s="195"/>
      <c r="J9" s="195"/>
      <c r="K9" s="49"/>
    </row>
    <row r="10" spans="1:12" ht="16.5" customHeight="1" thickBot="1">
      <c r="A10" s="205"/>
      <c r="B10" s="66"/>
      <c r="C10" s="140"/>
      <c r="D10" s="141"/>
      <c r="E10" s="196"/>
      <c r="F10" s="196"/>
      <c r="G10" s="196"/>
      <c r="H10" s="196"/>
      <c r="I10" s="196"/>
      <c r="J10" s="196"/>
      <c r="K10" s="175"/>
      <c r="L10" s="15"/>
    </row>
    <row r="11" spans="1:12" ht="15.75" thickBot="1">
      <c r="A11" s="205"/>
      <c r="B11" s="181"/>
      <c r="C11" s="47" t="s">
        <v>71</v>
      </c>
      <c r="D11" s="47"/>
      <c r="E11" s="139"/>
      <c r="F11" s="17"/>
      <c r="G11" s="15"/>
      <c r="H11" s="15"/>
      <c r="I11" s="47" t="s">
        <v>72</v>
      </c>
      <c r="J11" s="47"/>
      <c r="K11" s="124"/>
      <c r="L11" s="15"/>
    </row>
    <row r="12" spans="1:12" ht="40.5" customHeight="1">
      <c r="A12" s="205"/>
      <c r="B12" s="111"/>
      <c r="C12" s="19" t="s">
        <v>73</v>
      </c>
      <c r="D12" s="28"/>
      <c r="E12" s="110"/>
      <c r="F12" s="21"/>
      <c r="G12" s="22"/>
      <c r="H12" s="123"/>
      <c r="I12" s="19" t="s">
        <v>73</v>
      </c>
      <c r="J12" s="28"/>
      <c r="K12" s="98"/>
      <c r="L12" s="24"/>
    </row>
    <row r="13" spans="1:12" ht="39.75" customHeight="1">
      <c r="A13" s="205"/>
      <c r="B13" s="111"/>
      <c r="C13" s="25" t="s">
        <v>74</v>
      </c>
      <c r="D13" s="20"/>
      <c r="E13" s="107"/>
      <c r="F13" s="21"/>
      <c r="G13" s="22"/>
      <c r="H13" s="123"/>
      <c r="I13" s="25" t="s">
        <v>74</v>
      </c>
      <c r="J13" s="20"/>
      <c r="K13" s="23"/>
      <c r="L13" s="24"/>
    </row>
    <row r="14" spans="1:12" ht="39.75" customHeight="1">
      <c r="A14" s="205"/>
      <c r="B14" s="111"/>
      <c r="C14" s="25" t="s">
        <v>75</v>
      </c>
      <c r="D14" s="20"/>
      <c r="E14" s="107"/>
      <c r="F14" s="21"/>
      <c r="G14" s="22"/>
      <c r="H14" s="123"/>
      <c r="I14" s="25" t="s">
        <v>75</v>
      </c>
      <c r="J14" s="20"/>
      <c r="K14" s="23"/>
      <c r="L14" s="24"/>
    </row>
    <row r="15" spans="1:12" ht="39.75" customHeight="1">
      <c r="A15" s="205"/>
      <c r="B15" s="111"/>
      <c r="C15" s="25" t="s">
        <v>76</v>
      </c>
      <c r="D15" s="20"/>
      <c r="E15" s="107"/>
      <c r="F15" s="21"/>
      <c r="G15" s="22"/>
      <c r="H15" s="123"/>
      <c r="I15" s="25" t="s">
        <v>77</v>
      </c>
      <c r="J15" s="20"/>
      <c r="K15" s="23"/>
      <c r="L15" s="24"/>
    </row>
    <row r="16" spans="1:12" ht="39.75" customHeight="1" thickBot="1">
      <c r="A16" s="205"/>
      <c r="B16" s="111"/>
      <c r="C16" s="26" t="s">
        <v>78</v>
      </c>
      <c r="D16" s="27"/>
      <c r="E16" s="108"/>
      <c r="F16" s="21"/>
      <c r="G16" s="22"/>
      <c r="H16" s="123"/>
      <c r="I16" s="26" t="s">
        <v>78</v>
      </c>
      <c r="J16" s="155"/>
      <c r="K16" s="23"/>
      <c r="L16" s="24"/>
    </row>
    <row r="17" spans="1:25" ht="21" customHeight="1" thickBot="1">
      <c r="A17" s="205"/>
      <c r="B17" s="111"/>
      <c r="C17" s="116" t="s">
        <v>179</v>
      </c>
      <c r="D17" s="51" t="s">
        <v>180</v>
      </c>
      <c r="E17" s="117" t="s">
        <v>79</v>
      </c>
      <c r="F17" s="29"/>
      <c r="G17" s="22"/>
      <c r="H17" s="123"/>
      <c r="I17" s="30" t="s">
        <v>80</v>
      </c>
      <c r="J17" s="24"/>
      <c r="K17" s="183" t="s">
        <v>82</v>
      </c>
      <c r="L17" s="24"/>
    </row>
    <row r="18" spans="1:25" ht="39" customHeight="1" thickBot="1">
      <c r="A18" s="205"/>
      <c r="B18" s="112"/>
      <c r="C18" s="113"/>
      <c r="D18" s="114"/>
      <c r="E18" s="115"/>
      <c r="F18" s="31"/>
      <c r="G18" s="22"/>
      <c r="H18" s="124"/>
      <c r="I18" s="27" t="s">
        <v>81</v>
      </c>
      <c r="J18" s="26"/>
      <c r="K18" s="184"/>
      <c r="L18" s="24"/>
    </row>
    <row r="19" spans="1:25" ht="16.5" thickBot="1">
      <c r="A19" s="205"/>
      <c r="B19" s="68" t="s">
        <v>70</v>
      </c>
      <c r="C19" s="92" t="s">
        <v>168</v>
      </c>
      <c r="D19" s="93" t="s">
        <v>83</v>
      </c>
      <c r="E19" s="109" t="s">
        <v>84</v>
      </c>
      <c r="F19" s="14" t="s">
        <v>94</v>
      </c>
      <c r="G19" s="15"/>
      <c r="H19" s="69" t="s">
        <v>70</v>
      </c>
      <c r="I19" s="91" t="s">
        <v>168</v>
      </c>
      <c r="J19" s="91" t="s">
        <v>83</v>
      </c>
      <c r="K19" s="94" t="s">
        <v>84</v>
      </c>
      <c r="L19" s="18" t="s">
        <v>94</v>
      </c>
    </row>
    <row r="20" spans="1:25" ht="16.5" thickBot="1">
      <c r="A20" s="205"/>
      <c r="B20" s="100"/>
      <c r="C20" s="104" t="s">
        <v>47</v>
      </c>
      <c r="D20" s="52"/>
      <c r="E20" s="146"/>
      <c r="F20" s="32"/>
      <c r="G20" s="33"/>
      <c r="H20" s="122"/>
      <c r="I20" s="102" t="s">
        <v>164</v>
      </c>
      <c r="J20" s="52"/>
      <c r="K20" s="78"/>
      <c r="L20" s="35"/>
      <c r="M20" s="36"/>
      <c r="N20" s="36"/>
    </row>
    <row r="21" spans="1:25">
      <c r="A21" s="205"/>
      <c r="B21" s="3"/>
      <c r="C21" s="10" t="s">
        <v>110</v>
      </c>
      <c r="D21" s="62" t="s">
        <v>48</v>
      </c>
      <c r="E21" s="156">
        <v>3403.22264</v>
      </c>
      <c r="F21" s="35">
        <f t="shared" ref="F21:F83" si="0">B21*E21</f>
        <v>0</v>
      </c>
      <c r="G21" s="119"/>
      <c r="H21" s="121"/>
      <c r="I21" s="85" t="s">
        <v>130</v>
      </c>
      <c r="J21" s="86" t="s">
        <v>3</v>
      </c>
      <c r="K21" s="176">
        <v>57</v>
      </c>
      <c r="L21" s="105">
        <f t="shared" ref="L21:L56" si="1">H21*K21</f>
        <v>0</v>
      </c>
      <c r="M21" s="36"/>
      <c r="N21" s="36"/>
    </row>
    <row r="22" spans="1:25">
      <c r="A22" s="205"/>
      <c r="B22" s="3"/>
      <c r="C22" s="5" t="s">
        <v>114</v>
      </c>
      <c r="D22" s="60" t="s">
        <v>49</v>
      </c>
      <c r="E22" s="156">
        <v>3270.22264</v>
      </c>
      <c r="F22" s="35">
        <f t="shared" si="0"/>
        <v>0</v>
      </c>
      <c r="G22" s="119"/>
      <c r="H22" s="118"/>
      <c r="I22" s="59" t="s">
        <v>131</v>
      </c>
      <c r="J22" s="6" t="s">
        <v>153</v>
      </c>
      <c r="K22" s="177">
        <v>57</v>
      </c>
      <c r="L22" s="105">
        <f t="shared" si="1"/>
        <v>0</v>
      </c>
      <c r="M22" s="36"/>
      <c r="N22" s="36"/>
    </row>
    <row r="23" spans="1:25">
      <c r="A23" s="205"/>
      <c r="B23" s="3"/>
      <c r="C23" s="5" t="s">
        <v>111</v>
      </c>
      <c r="D23" s="60" t="s">
        <v>50</v>
      </c>
      <c r="E23" s="156">
        <v>3005.9422399999999</v>
      </c>
      <c r="F23" s="35">
        <f t="shared" si="0"/>
        <v>0</v>
      </c>
      <c r="G23" s="119"/>
      <c r="H23" s="118"/>
      <c r="I23" s="59" t="s">
        <v>136</v>
      </c>
      <c r="J23" s="6" t="s">
        <v>152</v>
      </c>
      <c r="K23" s="177">
        <v>90</v>
      </c>
      <c r="L23" s="105">
        <f t="shared" si="1"/>
        <v>0</v>
      </c>
      <c r="M23" s="36"/>
      <c r="N23" s="36"/>
    </row>
    <row r="24" spans="1:25">
      <c r="A24" s="205"/>
      <c r="B24" s="3"/>
      <c r="C24" s="5" t="s">
        <v>112</v>
      </c>
      <c r="D24" s="60" t="s">
        <v>51</v>
      </c>
      <c r="E24" s="156">
        <v>3005.9422399999999</v>
      </c>
      <c r="F24" s="35">
        <f t="shared" si="0"/>
        <v>0</v>
      </c>
      <c r="G24" s="119"/>
      <c r="H24" s="118"/>
      <c r="I24" s="59" t="s">
        <v>137</v>
      </c>
      <c r="J24" s="6" t="s">
        <v>151</v>
      </c>
      <c r="K24" s="177">
        <v>90</v>
      </c>
      <c r="L24" s="105">
        <f t="shared" si="1"/>
        <v>0</v>
      </c>
      <c r="M24" s="36"/>
      <c r="N24" s="36"/>
    </row>
    <row r="25" spans="1:25">
      <c r="A25" s="205"/>
      <c r="B25" s="3"/>
      <c r="C25" s="5" t="s">
        <v>113</v>
      </c>
      <c r="D25" s="60" t="s">
        <v>52</v>
      </c>
      <c r="E25" s="156">
        <v>3005.9422399999999</v>
      </c>
      <c r="F25" s="35">
        <f t="shared" si="0"/>
        <v>0</v>
      </c>
      <c r="G25" s="119"/>
      <c r="H25" s="118"/>
      <c r="I25" s="59" t="s">
        <v>138</v>
      </c>
      <c r="J25" s="6" t="s">
        <v>150</v>
      </c>
      <c r="K25" s="177">
        <v>90</v>
      </c>
      <c r="L25" s="105">
        <f t="shared" si="1"/>
        <v>0</v>
      </c>
      <c r="M25" s="36"/>
      <c r="N25" s="36"/>
    </row>
    <row r="26" spans="1:25">
      <c r="A26" s="205"/>
      <c r="B26" s="3"/>
      <c r="C26" s="5" t="s">
        <v>115</v>
      </c>
      <c r="D26" s="60" t="s">
        <v>53</v>
      </c>
      <c r="E26" s="156">
        <v>2510</v>
      </c>
      <c r="F26" s="35">
        <f t="shared" si="0"/>
        <v>0</v>
      </c>
      <c r="G26" s="119"/>
      <c r="H26" s="118"/>
      <c r="I26" s="59" t="s">
        <v>139</v>
      </c>
      <c r="J26" s="6" t="s">
        <v>149</v>
      </c>
      <c r="K26" s="177">
        <v>90</v>
      </c>
      <c r="L26" s="105">
        <f t="shared" si="1"/>
        <v>0</v>
      </c>
      <c r="M26" s="36"/>
      <c r="N26" s="36"/>
    </row>
    <row r="27" spans="1:25">
      <c r="A27" s="205"/>
      <c r="B27" s="3"/>
      <c r="C27" s="5" t="s">
        <v>116</v>
      </c>
      <c r="D27" s="60" t="s">
        <v>54</v>
      </c>
      <c r="E27" s="156">
        <v>3270.22264</v>
      </c>
      <c r="F27" s="35">
        <f t="shared" si="0"/>
        <v>0</v>
      </c>
      <c r="G27" s="119"/>
      <c r="H27" s="118"/>
      <c r="I27" s="59" t="s">
        <v>140</v>
      </c>
      <c r="J27" s="6" t="s">
        <v>148</v>
      </c>
      <c r="K27" s="177">
        <v>99</v>
      </c>
      <c r="L27" s="105">
        <f t="shared" si="1"/>
        <v>0</v>
      </c>
    </row>
    <row r="28" spans="1:25">
      <c r="A28" s="205"/>
      <c r="B28" s="3"/>
      <c r="C28" s="5" t="s">
        <v>117</v>
      </c>
      <c r="D28" s="60" t="s">
        <v>55</v>
      </c>
      <c r="E28" s="156">
        <v>3005.9422399999999</v>
      </c>
      <c r="F28" s="35">
        <f t="shared" si="0"/>
        <v>0</v>
      </c>
      <c r="G28" s="119"/>
      <c r="H28" s="118"/>
      <c r="I28" s="59" t="s">
        <v>141</v>
      </c>
      <c r="J28" s="6" t="s">
        <v>147</v>
      </c>
      <c r="K28" s="177">
        <v>99</v>
      </c>
      <c r="L28" s="105">
        <f t="shared" si="1"/>
        <v>0</v>
      </c>
    </row>
    <row r="29" spans="1:25">
      <c r="A29" s="205"/>
      <c r="B29" s="3"/>
      <c r="C29" s="5" t="s">
        <v>118</v>
      </c>
      <c r="D29" s="189" t="s">
        <v>56</v>
      </c>
      <c r="E29" s="156">
        <v>3005.9422399999999</v>
      </c>
      <c r="F29" s="35">
        <f t="shared" si="0"/>
        <v>0</v>
      </c>
      <c r="G29" s="119"/>
      <c r="H29" s="118"/>
      <c r="I29" s="59" t="s">
        <v>142</v>
      </c>
      <c r="J29" s="6" t="s">
        <v>146</v>
      </c>
      <c r="K29" s="177">
        <v>99</v>
      </c>
      <c r="L29" s="105">
        <f t="shared" si="1"/>
        <v>0</v>
      </c>
      <c r="Q29" s="36"/>
      <c r="R29" s="36"/>
      <c r="S29" s="36"/>
      <c r="T29" s="36"/>
      <c r="U29" s="36"/>
      <c r="V29" s="36"/>
      <c r="W29" s="36"/>
      <c r="X29" s="36"/>
      <c r="Y29" s="36"/>
    </row>
    <row r="30" spans="1:25">
      <c r="A30" s="205"/>
      <c r="B30" s="185"/>
      <c r="C30" s="186"/>
      <c r="D30" s="164" t="s">
        <v>169</v>
      </c>
      <c r="E30" s="169">
        <v>2500</v>
      </c>
      <c r="F30" s="35">
        <f t="shared" si="0"/>
        <v>0</v>
      </c>
      <c r="G30" s="119"/>
      <c r="H30" s="120"/>
      <c r="I30" s="87" t="s">
        <v>193</v>
      </c>
      <c r="J30" s="88" t="s">
        <v>190</v>
      </c>
      <c r="K30" s="191">
        <v>130</v>
      </c>
      <c r="L30" s="105">
        <f t="shared" si="1"/>
        <v>0</v>
      </c>
      <c r="Q30" s="36"/>
      <c r="R30" s="36"/>
      <c r="S30" s="36"/>
      <c r="T30" s="36"/>
      <c r="U30" s="36"/>
      <c r="V30" s="36"/>
      <c r="W30" s="36"/>
      <c r="X30" s="36"/>
      <c r="Y30" s="36"/>
    </row>
    <row r="31" spans="1:25" ht="15.75" thickBot="1">
      <c r="A31" s="205"/>
      <c r="B31" s="179"/>
      <c r="C31" s="143"/>
      <c r="D31" s="190" t="s">
        <v>170</v>
      </c>
      <c r="E31" s="157">
        <v>3012.9422400000003</v>
      </c>
      <c r="F31" s="35">
        <f t="shared" si="0"/>
        <v>0</v>
      </c>
      <c r="G31" s="119"/>
      <c r="H31" s="120"/>
      <c r="I31" s="87" t="s">
        <v>194</v>
      </c>
      <c r="J31" s="88" t="s">
        <v>191</v>
      </c>
      <c r="K31" s="191">
        <v>130</v>
      </c>
      <c r="L31" s="105">
        <f t="shared" si="1"/>
        <v>0</v>
      </c>
      <c r="Q31" s="36"/>
      <c r="R31" s="36"/>
      <c r="S31" s="36"/>
      <c r="T31" s="36"/>
      <c r="U31" s="36"/>
      <c r="V31" s="36"/>
      <c r="W31" s="36"/>
      <c r="X31" s="36"/>
      <c r="Y31" s="36"/>
    </row>
    <row r="32" spans="1:25" ht="16.5" thickBot="1">
      <c r="A32" s="205"/>
      <c r="B32" s="150"/>
      <c r="C32" s="104" t="s">
        <v>166</v>
      </c>
      <c r="D32" s="52"/>
      <c r="E32" s="151"/>
      <c r="F32" s="35">
        <f t="shared" si="0"/>
        <v>0</v>
      </c>
      <c r="G32" s="119"/>
      <c r="H32" s="120"/>
      <c r="I32" s="87" t="s">
        <v>195</v>
      </c>
      <c r="J32" s="88" t="s">
        <v>192</v>
      </c>
      <c r="K32" s="191">
        <v>139.99</v>
      </c>
      <c r="L32" s="105">
        <f t="shared" si="1"/>
        <v>0</v>
      </c>
      <c r="Q32" s="36"/>
      <c r="R32" s="36"/>
      <c r="S32" s="36"/>
      <c r="T32" s="36"/>
      <c r="U32" s="36"/>
      <c r="V32" s="36"/>
      <c r="W32" s="36"/>
      <c r="X32" s="36"/>
      <c r="Y32" s="36"/>
    </row>
    <row r="33" spans="1:25" ht="15.75" thickBot="1">
      <c r="A33" s="205"/>
      <c r="B33" s="149"/>
      <c r="C33" s="10" t="s">
        <v>128</v>
      </c>
      <c r="D33" s="11" t="s">
        <v>6</v>
      </c>
      <c r="E33" s="158">
        <v>4999</v>
      </c>
      <c r="F33" s="35">
        <f t="shared" si="0"/>
        <v>0</v>
      </c>
      <c r="G33" s="119"/>
      <c r="H33" s="120"/>
      <c r="I33" s="87" t="s">
        <v>196</v>
      </c>
      <c r="J33" s="88" t="s">
        <v>189</v>
      </c>
      <c r="K33" s="178">
        <v>139.99</v>
      </c>
      <c r="L33" s="105">
        <f t="shared" si="1"/>
        <v>0</v>
      </c>
      <c r="Q33" s="36"/>
      <c r="R33" s="37"/>
      <c r="S33" s="8"/>
      <c r="T33" s="9"/>
      <c r="U33" s="9"/>
      <c r="V33" s="38"/>
      <c r="W33" s="38"/>
      <c r="X33" s="39"/>
      <c r="Y33" s="36"/>
    </row>
    <row r="34" spans="1:25" ht="16.5" thickBot="1">
      <c r="A34" s="205"/>
      <c r="B34" s="3"/>
      <c r="C34" s="1" t="s">
        <v>129</v>
      </c>
      <c r="D34" s="1" t="s">
        <v>163</v>
      </c>
      <c r="E34" s="159">
        <v>7999</v>
      </c>
      <c r="F34" s="35">
        <f t="shared" si="0"/>
        <v>0</v>
      </c>
      <c r="G34" s="106"/>
      <c r="H34" s="125"/>
      <c r="I34" s="101" t="s">
        <v>57</v>
      </c>
      <c r="J34" s="50"/>
      <c r="K34" s="145"/>
      <c r="L34" s="105">
        <f t="shared" si="1"/>
        <v>0</v>
      </c>
      <c r="Q34" s="36"/>
      <c r="R34" s="37"/>
      <c r="S34" s="8"/>
      <c r="T34" s="9"/>
      <c r="U34" s="9"/>
      <c r="V34" s="38"/>
      <c r="W34" s="38"/>
      <c r="X34" s="39"/>
      <c r="Y34" s="36"/>
    </row>
    <row r="35" spans="1:25">
      <c r="A35" s="205"/>
      <c r="B35" s="3"/>
      <c r="C35" s="58" t="s">
        <v>155</v>
      </c>
      <c r="D35" s="1" t="s">
        <v>33</v>
      </c>
      <c r="E35" s="159">
        <v>4999</v>
      </c>
      <c r="F35" s="35">
        <f t="shared" si="0"/>
        <v>0</v>
      </c>
      <c r="G35" s="129"/>
      <c r="H35" s="126"/>
      <c r="I35" s="89">
        <v>19410</v>
      </c>
      <c r="J35" s="90" t="s">
        <v>58</v>
      </c>
      <c r="K35" s="170">
        <v>128</v>
      </c>
      <c r="L35" s="105">
        <f t="shared" si="1"/>
        <v>0</v>
      </c>
      <c r="Q35" s="36"/>
      <c r="R35" s="36"/>
      <c r="S35" s="36"/>
      <c r="T35" s="36"/>
      <c r="U35" s="36"/>
      <c r="V35" s="36"/>
      <c r="W35" s="36"/>
      <c r="X35" s="36"/>
      <c r="Y35" s="36"/>
    </row>
    <row r="36" spans="1:25" ht="15.75" thickBot="1">
      <c r="A36" s="205"/>
      <c r="B36" s="152"/>
      <c r="C36" s="82" t="s">
        <v>154</v>
      </c>
      <c r="D36" s="79" t="s">
        <v>34</v>
      </c>
      <c r="E36" s="160">
        <v>4999</v>
      </c>
      <c r="F36" s="35">
        <f t="shared" si="0"/>
        <v>0</v>
      </c>
      <c r="G36" s="129"/>
      <c r="H36" s="118"/>
      <c r="I36" s="71">
        <v>19411</v>
      </c>
      <c r="J36" s="40" t="s">
        <v>59</v>
      </c>
      <c r="K36" s="171">
        <v>150</v>
      </c>
      <c r="L36" s="105">
        <f t="shared" si="1"/>
        <v>0</v>
      </c>
      <c r="Q36" s="36"/>
      <c r="R36" s="37"/>
      <c r="S36" s="8"/>
      <c r="T36" s="9"/>
      <c r="U36" s="9"/>
      <c r="V36" s="38"/>
      <c r="W36" s="38"/>
      <c r="X36" s="39"/>
      <c r="Y36" s="36"/>
    </row>
    <row r="37" spans="1:25" ht="16.5" thickBot="1">
      <c r="A37" s="205"/>
      <c r="B37" s="153"/>
      <c r="C37" s="104" t="s">
        <v>92</v>
      </c>
      <c r="D37" s="52"/>
      <c r="E37" s="151"/>
      <c r="F37" s="35">
        <f t="shared" si="0"/>
        <v>0</v>
      </c>
      <c r="G37" s="129"/>
      <c r="H37" s="118"/>
      <c r="I37" s="71">
        <v>19412</v>
      </c>
      <c r="J37" s="40" t="s">
        <v>171</v>
      </c>
      <c r="K37" s="171">
        <v>300</v>
      </c>
      <c r="L37" s="105">
        <f t="shared" si="1"/>
        <v>0</v>
      </c>
      <c r="Q37" s="36"/>
      <c r="R37" s="36"/>
      <c r="S37" s="36"/>
      <c r="T37" s="36"/>
      <c r="U37" s="36"/>
      <c r="V37" s="36"/>
      <c r="W37" s="36"/>
      <c r="X37" s="36"/>
      <c r="Y37" s="36"/>
    </row>
    <row r="38" spans="1:25">
      <c r="A38" s="205"/>
      <c r="B38" s="149"/>
      <c r="C38" s="77" t="s">
        <v>162</v>
      </c>
      <c r="D38" s="62" t="s">
        <v>5</v>
      </c>
      <c r="E38" s="161">
        <v>409.25599999999997</v>
      </c>
      <c r="F38" s="35">
        <f t="shared" si="0"/>
        <v>0</v>
      </c>
      <c r="G38" s="129"/>
      <c r="H38" s="127"/>
      <c r="I38" s="71">
        <v>19413</v>
      </c>
      <c r="J38" s="40" t="s">
        <v>60</v>
      </c>
      <c r="K38" s="171">
        <v>75</v>
      </c>
      <c r="L38" s="105">
        <f t="shared" si="1"/>
        <v>0</v>
      </c>
      <c r="Q38" s="36"/>
      <c r="R38" s="37"/>
      <c r="S38" s="8"/>
      <c r="T38" s="9"/>
      <c r="U38" s="9"/>
      <c r="V38" s="38"/>
      <c r="W38" s="38"/>
      <c r="X38" s="39"/>
      <c r="Y38" s="36"/>
    </row>
    <row r="39" spans="1:25">
      <c r="A39" s="205"/>
      <c r="B39" s="3"/>
      <c r="C39" s="5" t="s">
        <v>161</v>
      </c>
      <c r="D39" s="60" t="s">
        <v>7</v>
      </c>
      <c r="E39" s="162">
        <v>533.8768</v>
      </c>
      <c r="F39" s="35">
        <f t="shared" si="0"/>
        <v>0</v>
      </c>
      <c r="G39" s="129"/>
      <c r="H39" s="118"/>
      <c r="I39" s="71">
        <v>19414</v>
      </c>
      <c r="J39" s="40" t="s">
        <v>61</v>
      </c>
      <c r="K39" s="171">
        <v>300</v>
      </c>
      <c r="L39" s="105">
        <f t="shared" si="1"/>
        <v>0</v>
      </c>
      <c r="Q39" s="36"/>
      <c r="R39" s="36"/>
      <c r="S39" s="36"/>
      <c r="T39" s="36"/>
      <c r="U39" s="36"/>
      <c r="V39" s="36"/>
      <c r="W39" s="36"/>
      <c r="X39" s="36"/>
      <c r="Y39" s="36"/>
    </row>
    <row r="40" spans="1:25">
      <c r="A40" s="205"/>
      <c r="B40" s="3"/>
      <c r="C40" s="5" t="s">
        <v>160</v>
      </c>
      <c r="D40" s="60" t="s">
        <v>8</v>
      </c>
      <c r="E40" s="156">
        <v>710.96960000000001</v>
      </c>
      <c r="F40" s="35">
        <f t="shared" si="0"/>
        <v>0</v>
      </c>
      <c r="G40" s="129"/>
      <c r="H40" s="118"/>
      <c r="I40" s="71">
        <v>19415</v>
      </c>
      <c r="J40" s="40" t="s">
        <v>62</v>
      </c>
      <c r="K40" s="171">
        <v>210</v>
      </c>
      <c r="L40" s="105">
        <f t="shared" si="1"/>
        <v>0</v>
      </c>
    </row>
    <row r="41" spans="1:25">
      <c r="A41" s="205"/>
      <c r="B41" s="3"/>
      <c r="C41" s="5" t="s">
        <v>159</v>
      </c>
      <c r="D41" s="60" t="s">
        <v>9</v>
      </c>
      <c r="E41" s="156">
        <v>815</v>
      </c>
      <c r="F41" s="35">
        <f t="shared" si="0"/>
        <v>0</v>
      </c>
      <c r="G41" s="129"/>
      <c r="H41" s="118"/>
      <c r="I41" s="71">
        <v>19416</v>
      </c>
      <c r="J41" s="40" t="s">
        <v>63</v>
      </c>
      <c r="K41" s="171">
        <v>120</v>
      </c>
      <c r="L41" s="105">
        <f t="shared" si="1"/>
        <v>0</v>
      </c>
    </row>
    <row r="42" spans="1:25">
      <c r="A42" s="205"/>
      <c r="B42" s="3"/>
      <c r="C42" s="5" t="s">
        <v>95</v>
      </c>
      <c r="D42" s="60" t="s">
        <v>10</v>
      </c>
      <c r="E42" s="156">
        <v>852.98400000000004</v>
      </c>
      <c r="F42" s="35">
        <f t="shared" si="0"/>
        <v>0</v>
      </c>
      <c r="G42" s="129"/>
      <c r="H42" s="118"/>
      <c r="I42" s="71">
        <v>19417</v>
      </c>
      <c r="J42" s="40" t="s">
        <v>64</v>
      </c>
      <c r="K42" s="171">
        <v>75</v>
      </c>
      <c r="L42" s="105">
        <f t="shared" si="1"/>
        <v>0</v>
      </c>
    </row>
    <row r="43" spans="1:25">
      <c r="A43" s="205"/>
      <c r="B43" s="3"/>
      <c r="C43" s="5" t="s">
        <v>96</v>
      </c>
      <c r="D43" s="60" t="s">
        <v>11</v>
      </c>
      <c r="E43" s="156">
        <v>815</v>
      </c>
      <c r="F43" s="35">
        <f t="shared" si="0"/>
        <v>0</v>
      </c>
      <c r="G43" s="129"/>
      <c r="H43" s="118"/>
      <c r="I43" s="71">
        <v>19418</v>
      </c>
      <c r="J43" s="40" t="s">
        <v>65</v>
      </c>
      <c r="K43" s="171">
        <v>120</v>
      </c>
      <c r="L43" s="105">
        <f t="shared" si="1"/>
        <v>0</v>
      </c>
    </row>
    <row r="44" spans="1:25">
      <c r="A44" s="205"/>
      <c r="B44" s="3"/>
      <c r="C44" s="5" t="s">
        <v>97</v>
      </c>
      <c r="D44" s="60" t="s">
        <v>12</v>
      </c>
      <c r="E44" s="156">
        <v>815</v>
      </c>
      <c r="F44" s="35">
        <f t="shared" si="0"/>
        <v>0</v>
      </c>
      <c r="G44" s="129"/>
      <c r="H44" s="118"/>
      <c r="I44" s="71">
        <v>19419</v>
      </c>
      <c r="J44" s="40" t="s">
        <v>66</v>
      </c>
      <c r="K44" s="171">
        <v>300</v>
      </c>
      <c r="L44" s="105">
        <f t="shared" si="1"/>
        <v>0</v>
      </c>
    </row>
    <row r="45" spans="1:25">
      <c r="A45" s="205"/>
      <c r="B45" s="3"/>
      <c r="C45" s="7" t="s">
        <v>143</v>
      </c>
      <c r="D45" s="61" t="s">
        <v>38</v>
      </c>
      <c r="E45" s="156">
        <v>960.2192</v>
      </c>
      <c r="F45" s="35">
        <f t="shared" si="0"/>
        <v>0</v>
      </c>
      <c r="G45" s="129"/>
      <c r="H45" s="118"/>
      <c r="I45" s="71">
        <v>19420</v>
      </c>
      <c r="J45" s="40" t="s">
        <v>67</v>
      </c>
      <c r="K45" s="171">
        <v>225</v>
      </c>
      <c r="L45" s="105">
        <f t="shared" si="1"/>
        <v>0</v>
      </c>
    </row>
    <row r="46" spans="1:25">
      <c r="A46" s="205"/>
      <c r="B46" s="3"/>
      <c r="C46" s="163" t="s">
        <v>174</v>
      </c>
      <c r="D46" s="164" t="s">
        <v>175</v>
      </c>
      <c r="E46" s="165">
        <v>1095.8040000000001</v>
      </c>
      <c r="F46" s="35">
        <f t="shared" si="0"/>
        <v>0</v>
      </c>
      <c r="G46" s="129"/>
      <c r="H46" s="118"/>
      <c r="I46" s="71">
        <v>19421</v>
      </c>
      <c r="J46" s="40" t="s">
        <v>68</v>
      </c>
      <c r="K46" s="171">
        <v>75</v>
      </c>
      <c r="L46" s="105">
        <f t="shared" si="1"/>
        <v>0</v>
      </c>
    </row>
    <row r="47" spans="1:25">
      <c r="A47" s="205"/>
      <c r="B47" s="3"/>
      <c r="C47" s="7" t="s">
        <v>158</v>
      </c>
      <c r="D47" s="61" t="s">
        <v>39</v>
      </c>
      <c r="E47" s="156">
        <v>997.89599999999996</v>
      </c>
      <c r="F47" s="35">
        <f t="shared" si="0"/>
        <v>0</v>
      </c>
      <c r="G47" s="129"/>
      <c r="H47" s="118"/>
      <c r="I47" s="71">
        <v>19422</v>
      </c>
      <c r="J47" s="40" t="s">
        <v>69</v>
      </c>
      <c r="K47" s="171">
        <v>188</v>
      </c>
      <c r="L47" s="105">
        <f t="shared" si="1"/>
        <v>0</v>
      </c>
    </row>
    <row r="48" spans="1:25">
      <c r="A48" s="205"/>
      <c r="B48" s="3"/>
      <c r="C48" s="147" t="s">
        <v>127</v>
      </c>
      <c r="D48" s="148" t="s">
        <v>14</v>
      </c>
      <c r="E48" s="165">
        <v>1320.7239999999999</v>
      </c>
      <c r="F48" s="35">
        <f t="shared" si="0"/>
        <v>0</v>
      </c>
      <c r="G48" s="129"/>
      <c r="H48" s="118"/>
      <c r="I48" s="72">
        <v>19423</v>
      </c>
      <c r="J48" s="41" t="s">
        <v>90</v>
      </c>
      <c r="K48" s="172">
        <v>225</v>
      </c>
      <c r="L48" s="105">
        <f t="shared" si="1"/>
        <v>0</v>
      </c>
    </row>
    <row r="49" spans="1:13">
      <c r="A49" s="205"/>
      <c r="B49" s="3"/>
      <c r="C49" s="7" t="s">
        <v>144</v>
      </c>
      <c r="D49" s="61" t="s">
        <v>40</v>
      </c>
      <c r="E49" s="156">
        <v>960.2192</v>
      </c>
      <c r="F49" s="35">
        <f t="shared" si="0"/>
        <v>0</v>
      </c>
      <c r="G49" s="129"/>
      <c r="H49" s="128"/>
      <c r="I49" s="72">
        <v>19425</v>
      </c>
      <c r="J49" s="2" t="s">
        <v>37</v>
      </c>
      <c r="K49" s="173">
        <v>450</v>
      </c>
      <c r="L49" s="105">
        <f>H49*K49</f>
        <v>0</v>
      </c>
    </row>
    <row r="50" spans="1:13">
      <c r="A50" s="205"/>
      <c r="B50" s="3"/>
      <c r="C50" s="7" t="s">
        <v>145</v>
      </c>
      <c r="D50" s="61" t="s">
        <v>41</v>
      </c>
      <c r="E50" s="156">
        <v>960.2192</v>
      </c>
      <c r="F50" s="35">
        <f t="shared" si="0"/>
        <v>0</v>
      </c>
      <c r="G50" s="129"/>
      <c r="H50" s="118"/>
      <c r="I50" s="187">
        <v>19426</v>
      </c>
      <c r="J50" s="2" t="s">
        <v>188</v>
      </c>
      <c r="K50" s="173">
        <v>450</v>
      </c>
      <c r="L50" s="105">
        <f t="shared" si="1"/>
        <v>0</v>
      </c>
    </row>
    <row r="51" spans="1:13">
      <c r="A51" s="205"/>
      <c r="B51" s="3"/>
      <c r="C51" s="5" t="s">
        <v>157</v>
      </c>
      <c r="D51" s="60" t="s">
        <v>13</v>
      </c>
      <c r="E51" s="156">
        <v>918.94399999999996</v>
      </c>
      <c r="F51" s="35">
        <f t="shared" si="0"/>
        <v>0</v>
      </c>
      <c r="G51" s="129"/>
      <c r="H51" s="128"/>
      <c r="I51" s="188">
        <v>19427</v>
      </c>
      <c r="J51" s="2" t="s">
        <v>187</v>
      </c>
      <c r="K51" s="173">
        <v>225</v>
      </c>
      <c r="L51" s="105">
        <f t="shared" si="1"/>
        <v>0</v>
      </c>
    </row>
    <row r="52" spans="1:13">
      <c r="A52" s="205"/>
      <c r="B52" s="3"/>
      <c r="C52" s="5" t="s">
        <v>156</v>
      </c>
      <c r="D52" s="60" t="s">
        <v>46</v>
      </c>
      <c r="E52" s="156">
        <v>918.94399999999996</v>
      </c>
      <c r="F52" s="35">
        <f t="shared" si="0"/>
        <v>0</v>
      </c>
      <c r="G52" s="129"/>
      <c r="H52" s="118"/>
      <c r="I52" s="187">
        <v>19428</v>
      </c>
      <c r="J52" s="2" t="s">
        <v>186</v>
      </c>
      <c r="K52" s="173">
        <v>300</v>
      </c>
      <c r="L52" s="105">
        <f t="shared" si="1"/>
        <v>0</v>
      </c>
    </row>
    <row r="53" spans="1:13">
      <c r="A53" s="205"/>
      <c r="B53" s="3"/>
      <c r="C53" s="163" t="s">
        <v>176</v>
      </c>
      <c r="D53" s="164" t="s">
        <v>177</v>
      </c>
      <c r="E53" s="165">
        <v>1049</v>
      </c>
      <c r="F53" s="35">
        <f t="shared" si="0"/>
        <v>0</v>
      </c>
      <c r="G53" s="129"/>
      <c r="H53" s="118"/>
      <c r="I53" s="187">
        <v>19429</v>
      </c>
      <c r="J53" s="2" t="s">
        <v>185</v>
      </c>
      <c r="K53" s="173">
        <v>600</v>
      </c>
      <c r="L53" s="105">
        <f t="shared" si="1"/>
        <v>0</v>
      </c>
    </row>
    <row r="54" spans="1:13">
      <c r="A54" s="205"/>
      <c r="B54" s="3"/>
      <c r="C54" s="163" t="s">
        <v>173</v>
      </c>
      <c r="D54" s="164" t="s">
        <v>178</v>
      </c>
      <c r="E54" s="165">
        <v>1096</v>
      </c>
      <c r="F54" s="35">
        <f t="shared" si="0"/>
        <v>0</v>
      </c>
      <c r="G54" s="129"/>
      <c r="H54" s="118"/>
      <c r="I54" s="187">
        <v>19481</v>
      </c>
      <c r="J54" s="2" t="s">
        <v>4</v>
      </c>
      <c r="K54" s="173">
        <v>1125</v>
      </c>
      <c r="L54" s="105">
        <f t="shared" si="1"/>
        <v>0</v>
      </c>
    </row>
    <row r="55" spans="1:13">
      <c r="A55" s="205"/>
      <c r="B55" s="3"/>
      <c r="C55" s="5" t="s">
        <v>98</v>
      </c>
      <c r="D55" s="60" t="s">
        <v>15</v>
      </c>
      <c r="E55" s="156">
        <v>1179.809632</v>
      </c>
      <c r="F55" s="35">
        <f t="shared" si="0"/>
        <v>0</v>
      </c>
      <c r="G55" s="129"/>
      <c r="H55" s="128"/>
      <c r="I55" s="72">
        <v>19482</v>
      </c>
      <c r="J55" s="1" t="s">
        <v>35</v>
      </c>
      <c r="K55" s="174">
        <v>105</v>
      </c>
      <c r="L55" s="105">
        <f t="shared" si="1"/>
        <v>0</v>
      </c>
    </row>
    <row r="56" spans="1:13">
      <c r="A56" s="205"/>
      <c r="B56" s="3"/>
      <c r="C56" s="5" t="s">
        <v>99</v>
      </c>
      <c r="D56" s="60" t="s">
        <v>16</v>
      </c>
      <c r="E56" s="156">
        <v>1279.809632</v>
      </c>
      <c r="F56" s="35">
        <f t="shared" si="0"/>
        <v>0</v>
      </c>
      <c r="G56" s="129"/>
      <c r="H56" s="128"/>
      <c r="I56" s="72">
        <v>19483</v>
      </c>
      <c r="J56" s="2" t="s">
        <v>184</v>
      </c>
      <c r="K56" s="173">
        <v>225</v>
      </c>
      <c r="L56" s="105">
        <f t="shared" si="1"/>
        <v>0</v>
      </c>
    </row>
    <row r="57" spans="1:13" ht="15.75" thickBot="1">
      <c r="A57" s="205"/>
      <c r="B57" s="3"/>
      <c r="C57" s="5" t="s">
        <v>100</v>
      </c>
      <c r="D57" s="60" t="s">
        <v>17</v>
      </c>
      <c r="E57" s="156">
        <v>1279.809632</v>
      </c>
      <c r="F57" s="35">
        <f t="shared" si="0"/>
        <v>0</v>
      </c>
      <c r="G57" s="129"/>
      <c r="H57" s="128"/>
      <c r="I57" s="72">
        <v>19484</v>
      </c>
      <c r="J57" s="2" t="s">
        <v>183</v>
      </c>
      <c r="K57" s="173">
        <v>300</v>
      </c>
      <c r="L57" s="105">
        <f t="shared" ref="L57:L78" si="2">H57*K57</f>
        <v>0</v>
      </c>
    </row>
    <row r="58" spans="1:13" ht="15.75" customHeight="1" thickBot="1">
      <c r="A58" s="205"/>
      <c r="B58" s="3"/>
      <c r="C58" s="5" t="s">
        <v>101</v>
      </c>
      <c r="D58" s="60" t="s">
        <v>18</v>
      </c>
      <c r="E58" s="156">
        <v>1307.7410815999999</v>
      </c>
      <c r="F58" s="35">
        <f t="shared" si="0"/>
        <v>0</v>
      </c>
      <c r="G58" s="33"/>
      <c r="H58" s="130">
        <v>1</v>
      </c>
      <c r="I58" s="101" t="s">
        <v>85</v>
      </c>
      <c r="J58" s="50"/>
      <c r="K58" s="84"/>
      <c r="L58" s="105">
        <f t="shared" si="2"/>
        <v>0</v>
      </c>
    </row>
    <row r="59" spans="1:13">
      <c r="A59" s="205"/>
      <c r="B59" s="3"/>
      <c r="C59" s="5" t="s">
        <v>102</v>
      </c>
      <c r="D59" s="60" t="s">
        <v>42</v>
      </c>
      <c r="E59" s="156">
        <v>1179.809632</v>
      </c>
      <c r="F59" s="35">
        <f t="shared" si="0"/>
        <v>0</v>
      </c>
      <c r="G59" s="129"/>
      <c r="H59" s="144"/>
      <c r="I59" s="83"/>
      <c r="J59" s="83" t="s">
        <v>172</v>
      </c>
      <c r="K59" s="180"/>
      <c r="L59" s="105">
        <f t="shared" si="2"/>
        <v>0</v>
      </c>
    </row>
    <row r="60" spans="1:13">
      <c r="A60" s="205"/>
      <c r="B60" s="3"/>
      <c r="C60" s="5" t="s">
        <v>103</v>
      </c>
      <c r="D60" s="60" t="s">
        <v>19</v>
      </c>
      <c r="E60" s="156">
        <v>1279.809632</v>
      </c>
      <c r="F60" s="35">
        <f t="shared" si="0"/>
        <v>0</v>
      </c>
      <c r="G60" s="129"/>
      <c r="H60" s="127"/>
      <c r="I60" s="2"/>
      <c r="J60" s="2"/>
      <c r="K60" s="42"/>
      <c r="L60" s="105">
        <f t="shared" si="2"/>
        <v>0</v>
      </c>
    </row>
    <row r="61" spans="1:13">
      <c r="A61" s="205"/>
      <c r="B61" s="3"/>
      <c r="C61" s="5" t="s">
        <v>104</v>
      </c>
      <c r="D61" s="60" t="s">
        <v>43</v>
      </c>
      <c r="E61" s="156">
        <v>1279.809632</v>
      </c>
      <c r="F61" s="35">
        <f t="shared" si="0"/>
        <v>0</v>
      </c>
      <c r="G61" s="129"/>
      <c r="H61" s="127"/>
      <c r="I61" s="2"/>
      <c r="J61" s="2"/>
      <c r="K61" s="42"/>
      <c r="L61" s="105">
        <f t="shared" si="2"/>
        <v>0</v>
      </c>
    </row>
    <row r="62" spans="1:13" ht="15.75" customHeight="1">
      <c r="A62" s="205"/>
      <c r="B62" s="3"/>
      <c r="C62" s="5" t="s">
        <v>105</v>
      </c>
      <c r="D62" s="60" t="s">
        <v>44</v>
      </c>
      <c r="E62" s="156">
        <v>3126.4599296000001</v>
      </c>
      <c r="F62" s="35">
        <f t="shared" si="0"/>
        <v>0</v>
      </c>
      <c r="G62" s="129"/>
      <c r="H62" s="121"/>
      <c r="I62" s="83"/>
      <c r="J62" s="36"/>
      <c r="K62" s="95"/>
      <c r="L62" s="105">
        <f t="shared" si="2"/>
        <v>0</v>
      </c>
      <c r="M62" s="54"/>
    </row>
    <row r="63" spans="1:13">
      <c r="A63" s="205"/>
      <c r="B63" s="3"/>
      <c r="C63" s="4" t="s">
        <v>93</v>
      </c>
      <c r="D63" s="60" t="s">
        <v>45</v>
      </c>
      <c r="E63" s="156">
        <v>1944</v>
      </c>
      <c r="F63" s="35">
        <f t="shared" si="0"/>
        <v>0</v>
      </c>
      <c r="G63" s="129"/>
      <c r="H63" s="127"/>
      <c r="I63" s="2"/>
      <c r="J63" s="2"/>
      <c r="K63" s="42"/>
      <c r="L63" s="105">
        <f t="shared" si="2"/>
        <v>0</v>
      </c>
      <c r="M63" s="54"/>
    </row>
    <row r="64" spans="1:13">
      <c r="A64" s="205"/>
      <c r="B64" s="3"/>
      <c r="C64" s="5" t="s">
        <v>106</v>
      </c>
      <c r="D64" s="60" t="s">
        <v>20</v>
      </c>
      <c r="E64" s="156">
        <v>1964.0268607999999</v>
      </c>
      <c r="F64" s="35">
        <f t="shared" si="0"/>
        <v>0</v>
      </c>
      <c r="G64" s="129"/>
      <c r="H64" s="127"/>
      <c r="I64" s="2"/>
      <c r="J64" s="2"/>
      <c r="K64" s="42"/>
      <c r="L64" s="105">
        <f t="shared" si="2"/>
        <v>0</v>
      </c>
      <c r="M64" s="54"/>
    </row>
    <row r="65" spans="1:13">
      <c r="A65" s="205"/>
      <c r="B65" s="3"/>
      <c r="C65" s="5" t="s">
        <v>107</v>
      </c>
      <c r="D65" s="60" t="s">
        <v>21</v>
      </c>
      <c r="E65" s="156">
        <v>1907.1764671999999</v>
      </c>
      <c r="F65" s="35">
        <f t="shared" si="0"/>
        <v>0</v>
      </c>
      <c r="G65" s="129"/>
      <c r="H65" s="127"/>
      <c r="I65" s="2"/>
      <c r="J65" s="2"/>
      <c r="K65" s="42"/>
      <c r="L65" s="105">
        <f t="shared" si="2"/>
        <v>0</v>
      </c>
      <c r="M65" s="54"/>
    </row>
    <row r="66" spans="1:13">
      <c r="A66" s="205"/>
      <c r="B66" s="3"/>
      <c r="C66" s="5" t="s">
        <v>108</v>
      </c>
      <c r="D66" s="60" t="s">
        <v>22</v>
      </c>
      <c r="E66" s="156">
        <v>1907.1764671999999</v>
      </c>
      <c r="F66" s="35">
        <f t="shared" si="0"/>
        <v>0</v>
      </c>
      <c r="G66" s="129"/>
      <c r="H66" s="118"/>
      <c r="I66" s="2"/>
      <c r="J66" s="2"/>
      <c r="K66" s="73"/>
      <c r="L66" s="105">
        <f t="shared" si="2"/>
        <v>0</v>
      </c>
      <c r="M66" s="54"/>
    </row>
    <row r="67" spans="1:13">
      <c r="A67" s="205"/>
      <c r="B67" s="3"/>
      <c r="C67" s="5" t="s">
        <v>109</v>
      </c>
      <c r="D67" s="60" t="s">
        <v>23</v>
      </c>
      <c r="E67" s="156">
        <v>1907.1764671999999</v>
      </c>
      <c r="F67" s="35">
        <f t="shared" si="0"/>
        <v>0</v>
      </c>
      <c r="G67" s="129"/>
      <c r="H67" s="118"/>
      <c r="I67" s="2"/>
      <c r="J67" s="2"/>
      <c r="K67" s="73"/>
      <c r="L67" s="105">
        <f t="shared" si="2"/>
        <v>0</v>
      </c>
      <c r="M67" s="54"/>
    </row>
    <row r="68" spans="1:13">
      <c r="A68" s="205"/>
      <c r="B68" s="3"/>
      <c r="C68" s="5" t="s">
        <v>119</v>
      </c>
      <c r="D68" s="60" t="s">
        <v>24</v>
      </c>
      <c r="E68" s="156">
        <v>1423.6908800000001</v>
      </c>
      <c r="F68" s="35">
        <f t="shared" si="0"/>
        <v>0</v>
      </c>
      <c r="G68" s="129"/>
      <c r="H68" s="131"/>
      <c r="I68" s="2"/>
      <c r="J68" s="2"/>
      <c r="K68" s="73"/>
      <c r="L68" s="105">
        <f t="shared" si="2"/>
        <v>0</v>
      </c>
      <c r="M68" s="54"/>
    </row>
    <row r="69" spans="1:13">
      <c r="A69" s="205"/>
      <c r="B69" s="3"/>
      <c r="C69" s="5" t="s">
        <v>120</v>
      </c>
      <c r="D69" s="60" t="s">
        <v>25</v>
      </c>
      <c r="E69" s="156">
        <v>1387.7123999999999</v>
      </c>
      <c r="F69" s="35">
        <f t="shared" si="0"/>
        <v>0</v>
      </c>
      <c r="G69" s="129"/>
      <c r="H69" s="132"/>
      <c r="I69" s="2"/>
      <c r="J69" s="2"/>
      <c r="K69" s="73"/>
      <c r="L69" s="105">
        <f t="shared" si="2"/>
        <v>0</v>
      </c>
      <c r="M69" s="54"/>
    </row>
    <row r="70" spans="1:13">
      <c r="A70" s="205"/>
      <c r="B70" s="3"/>
      <c r="C70" s="5" t="s">
        <v>121</v>
      </c>
      <c r="D70" s="60" t="s">
        <v>26</v>
      </c>
      <c r="E70" s="156">
        <v>1387.7123999999999</v>
      </c>
      <c r="F70" s="35">
        <f t="shared" si="0"/>
        <v>0</v>
      </c>
      <c r="G70" s="129"/>
      <c r="H70" s="132"/>
      <c r="I70" s="2"/>
      <c r="J70" s="2"/>
      <c r="K70" s="73"/>
      <c r="L70" s="105">
        <f t="shared" si="2"/>
        <v>0</v>
      </c>
      <c r="M70" s="54"/>
    </row>
    <row r="71" spans="1:13">
      <c r="A71" s="205"/>
      <c r="B71" s="3"/>
      <c r="C71" s="5" t="s">
        <v>122</v>
      </c>
      <c r="D71" s="60" t="s">
        <v>27</v>
      </c>
      <c r="E71" s="156">
        <v>1387.7123999999999</v>
      </c>
      <c r="F71" s="35">
        <f t="shared" si="0"/>
        <v>0</v>
      </c>
      <c r="G71" s="129"/>
      <c r="H71" s="132"/>
      <c r="I71" s="2"/>
      <c r="J71" s="2"/>
      <c r="K71" s="73"/>
      <c r="L71" s="105">
        <f t="shared" si="2"/>
        <v>0</v>
      </c>
      <c r="M71" s="54"/>
    </row>
    <row r="72" spans="1:13">
      <c r="A72" s="205"/>
      <c r="B72" s="3"/>
      <c r="C72" s="5" t="s">
        <v>123</v>
      </c>
      <c r="D72" s="60" t="s">
        <v>28</v>
      </c>
      <c r="E72" s="156">
        <v>1708.596544</v>
      </c>
      <c r="F72" s="35">
        <f t="shared" si="0"/>
        <v>0</v>
      </c>
      <c r="G72" s="129"/>
      <c r="H72" s="132"/>
      <c r="I72" s="2"/>
      <c r="J72" s="2"/>
      <c r="K72" s="73"/>
      <c r="L72" s="105">
        <f t="shared" si="2"/>
        <v>0</v>
      </c>
      <c r="M72" s="54"/>
    </row>
    <row r="73" spans="1:13">
      <c r="A73" s="205"/>
      <c r="B73" s="3"/>
      <c r="C73" s="5" t="s">
        <v>124</v>
      </c>
      <c r="D73" s="60" t="s">
        <v>29</v>
      </c>
      <c r="E73" s="156">
        <v>1665.0045439999999</v>
      </c>
      <c r="F73" s="35">
        <f t="shared" si="0"/>
        <v>0</v>
      </c>
      <c r="G73" s="129"/>
      <c r="H73" s="132"/>
      <c r="I73" s="2"/>
      <c r="J73" s="2"/>
      <c r="K73" s="73"/>
      <c r="L73" s="105">
        <f t="shared" si="2"/>
        <v>0</v>
      </c>
      <c r="M73" s="54"/>
    </row>
    <row r="74" spans="1:13">
      <c r="A74" s="205"/>
      <c r="B74" s="3"/>
      <c r="C74" s="5" t="s">
        <v>125</v>
      </c>
      <c r="D74" s="60" t="s">
        <v>30</v>
      </c>
      <c r="E74" s="156">
        <v>1656.0045439999999</v>
      </c>
      <c r="F74" s="35">
        <f t="shared" si="0"/>
        <v>0</v>
      </c>
      <c r="G74" s="129"/>
      <c r="H74" s="132"/>
      <c r="I74" s="2"/>
      <c r="J74" s="2"/>
      <c r="K74" s="73"/>
      <c r="L74" s="105">
        <f t="shared" si="2"/>
        <v>0</v>
      </c>
      <c r="M74" s="54"/>
    </row>
    <row r="75" spans="1:13" ht="15.75" thickBot="1">
      <c r="A75" s="205"/>
      <c r="B75" s="3"/>
      <c r="C75" s="79" t="s">
        <v>126</v>
      </c>
      <c r="D75" s="80" t="s">
        <v>31</v>
      </c>
      <c r="E75" s="166">
        <v>1656.0045439999999</v>
      </c>
      <c r="F75" s="35">
        <f t="shared" si="0"/>
        <v>0</v>
      </c>
      <c r="G75" s="129"/>
      <c r="H75" s="132"/>
      <c r="I75" s="2"/>
      <c r="J75" s="2"/>
      <c r="K75" s="73"/>
      <c r="L75" s="105">
        <f t="shared" si="2"/>
        <v>0</v>
      </c>
      <c r="M75" s="54"/>
    </row>
    <row r="76" spans="1:13" ht="16.5" thickBot="1">
      <c r="A76" s="205"/>
      <c r="B76" s="99"/>
      <c r="C76" s="103" t="s">
        <v>167</v>
      </c>
      <c r="D76" s="52"/>
      <c r="E76" s="154"/>
      <c r="F76" s="35">
        <f t="shared" si="0"/>
        <v>0</v>
      </c>
      <c r="G76" s="129"/>
      <c r="H76" s="132"/>
      <c r="I76" s="2"/>
      <c r="J76" s="2"/>
      <c r="K76" s="73"/>
      <c r="L76" s="105">
        <f t="shared" si="2"/>
        <v>0</v>
      </c>
      <c r="M76" s="54"/>
    </row>
    <row r="77" spans="1:13">
      <c r="A77" s="205"/>
      <c r="B77" s="3"/>
      <c r="C77" s="81" t="s">
        <v>132</v>
      </c>
      <c r="D77" s="11" t="s">
        <v>32</v>
      </c>
      <c r="E77" s="167">
        <v>499</v>
      </c>
      <c r="F77" s="35">
        <f t="shared" si="0"/>
        <v>0</v>
      </c>
      <c r="G77" s="129"/>
      <c r="H77" s="132"/>
      <c r="I77" s="63"/>
      <c r="J77" s="40"/>
      <c r="K77" s="74"/>
      <c r="L77" s="105">
        <f t="shared" si="2"/>
        <v>0</v>
      </c>
      <c r="M77" s="54"/>
    </row>
    <row r="78" spans="1:13" ht="15.75" thickBot="1">
      <c r="A78" s="205"/>
      <c r="B78" s="3"/>
      <c r="C78" s="12" t="s">
        <v>133</v>
      </c>
      <c r="D78" s="1" t="s">
        <v>0</v>
      </c>
      <c r="E78" s="156">
        <v>633.36</v>
      </c>
      <c r="F78" s="35">
        <f t="shared" si="0"/>
        <v>0</v>
      </c>
      <c r="G78" s="129"/>
      <c r="H78" s="133"/>
      <c r="I78" s="134"/>
      <c r="J78" s="40"/>
      <c r="K78" s="74"/>
      <c r="L78" s="105">
        <f t="shared" si="2"/>
        <v>0</v>
      </c>
      <c r="M78" s="54"/>
    </row>
    <row r="79" spans="1:13" ht="15" customHeight="1">
      <c r="A79" s="205"/>
      <c r="B79" s="3"/>
      <c r="C79" s="12" t="s">
        <v>134</v>
      </c>
      <c r="D79" s="1" t="s">
        <v>1</v>
      </c>
      <c r="E79" s="156">
        <v>633.36</v>
      </c>
      <c r="F79" s="35">
        <f t="shared" si="0"/>
        <v>0</v>
      </c>
      <c r="G79" s="33"/>
      <c r="H79" s="15"/>
      <c r="I79" s="136"/>
      <c r="J79" s="135" t="s">
        <v>36</v>
      </c>
      <c r="K79" s="74">
        <v>25</v>
      </c>
      <c r="L79" s="24"/>
      <c r="M79" s="54"/>
    </row>
    <row r="80" spans="1:13" ht="15" customHeight="1" thickBot="1">
      <c r="A80" s="205"/>
      <c r="B80" s="13"/>
      <c r="C80" s="200" t="s">
        <v>135</v>
      </c>
      <c r="D80" s="201" t="s">
        <v>2</v>
      </c>
      <c r="E80" s="166">
        <v>469</v>
      </c>
      <c r="F80" s="35">
        <f t="shared" si="0"/>
        <v>0</v>
      </c>
      <c r="G80" s="33"/>
      <c r="H80" s="15"/>
      <c r="I80" s="137"/>
      <c r="J80" s="138" t="s">
        <v>86</v>
      </c>
      <c r="K80" s="96">
        <f>L80</f>
        <v>25</v>
      </c>
      <c r="L80" s="44">
        <f>SUM(F21:F83)+K79+SUM(L21:L78)</f>
        <v>25</v>
      </c>
      <c r="M80" s="54"/>
    </row>
    <row r="81" spans="1:17" ht="15.75" customHeight="1">
      <c r="A81" s="209"/>
      <c r="B81" s="203"/>
      <c r="C81" s="206"/>
      <c r="D81" s="206"/>
      <c r="E81" s="199"/>
      <c r="F81" s="197"/>
      <c r="G81" s="33"/>
      <c r="H81" s="15"/>
      <c r="I81" s="43"/>
      <c r="J81" s="64" t="s">
        <v>87</v>
      </c>
      <c r="K81" s="76"/>
      <c r="L81" s="24"/>
      <c r="M81" s="54"/>
    </row>
    <row r="82" spans="1:17" ht="15.75" customHeight="1">
      <c r="A82" s="209"/>
      <c r="B82" s="206"/>
      <c r="C82" s="206"/>
      <c r="D82" s="206"/>
      <c r="E82" s="199"/>
      <c r="F82" s="197"/>
      <c r="G82" s="33"/>
      <c r="H82" s="15"/>
      <c r="I82" s="15"/>
      <c r="J82" s="64" t="s">
        <v>88</v>
      </c>
      <c r="K82" s="45"/>
      <c r="L82" s="24"/>
      <c r="M82" s="54"/>
    </row>
    <row r="83" spans="1:17" ht="15.75" customHeight="1" thickBot="1">
      <c r="A83" s="209"/>
      <c r="B83" s="206"/>
      <c r="C83" s="206"/>
      <c r="D83" s="206"/>
      <c r="E83" s="198"/>
      <c r="F83" s="197"/>
      <c r="G83" s="46"/>
      <c r="H83" s="47"/>
      <c r="I83" s="47"/>
      <c r="J83" s="65" t="s">
        <v>89</v>
      </c>
      <c r="K83" s="48"/>
      <c r="L83" s="24"/>
      <c r="M83" s="54"/>
    </row>
    <row r="84" spans="1:17" ht="15.75" thickBot="1">
      <c r="A84" s="210"/>
      <c r="B84" s="50" t="s">
        <v>91</v>
      </c>
      <c r="C84" s="52"/>
      <c r="D84" s="207"/>
      <c r="E84" s="202" t="s">
        <v>165</v>
      </c>
      <c r="F84" s="47"/>
      <c r="G84" s="47"/>
      <c r="H84" s="47"/>
      <c r="I84" s="47" t="s">
        <v>181</v>
      </c>
      <c r="J84" s="46"/>
      <c r="K84" s="53"/>
      <c r="L84" s="36"/>
      <c r="M84" s="54"/>
    </row>
    <row r="85" spans="1:17" s="54" customFormat="1" ht="15.75" thickBot="1">
      <c r="A85" s="182"/>
      <c r="C85" s="142"/>
      <c r="D85" s="55"/>
      <c r="F85" s="55"/>
      <c r="K85" s="70"/>
    </row>
    <row r="86" spans="1:17" s="54" customFormat="1" ht="15.75" thickBot="1">
      <c r="A86" s="182"/>
      <c r="C86" s="142"/>
      <c r="D86" s="55"/>
      <c r="F86" s="56"/>
      <c r="K86" s="70"/>
      <c r="Q86" s="208"/>
    </row>
    <row r="87" spans="1:17" s="54" customFormat="1">
      <c r="A87" s="182"/>
      <c r="E87" s="55"/>
      <c r="I87" s="70"/>
      <c r="J87" s="70"/>
    </row>
    <row r="88" spans="1:17" s="54" customFormat="1">
      <c r="A88" s="182"/>
      <c r="E88" s="55"/>
      <c r="I88" s="70"/>
      <c r="J88" s="70"/>
    </row>
    <row r="89" spans="1:17" s="54" customFormat="1">
      <c r="A89" s="182"/>
      <c r="I89" s="70"/>
      <c r="J89" s="70"/>
    </row>
    <row r="90" spans="1:17" s="54" customFormat="1">
      <c r="A90" s="182"/>
      <c r="F90" s="56"/>
      <c r="K90" s="70"/>
    </row>
    <row r="91" spans="1:17" s="54" customFormat="1">
      <c r="A91" s="182"/>
      <c r="F91" s="56"/>
      <c r="K91" s="70"/>
    </row>
    <row r="92" spans="1:17" s="54" customFormat="1">
      <c r="A92" s="182"/>
      <c r="F92" s="56"/>
      <c r="K92" s="70"/>
    </row>
    <row r="93" spans="1:17" s="54" customFormat="1">
      <c r="A93" s="182"/>
      <c r="F93" s="56"/>
      <c r="K93" s="70"/>
    </row>
    <row r="94" spans="1:17" s="54" customFormat="1">
      <c r="A94" s="182"/>
      <c r="F94" s="56"/>
      <c r="K94" s="70"/>
    </row>
    <row r="95" spans="1:17" s="54" customFormat="1">
      <c r="A95" s="182"/>
      <c r="F95" s="56"/>
      <c r="K95" s="70"/>
    </row>
    <row r="96" spans="1:17" s="54" customFormat="1">
      <c r="A96" s="182"/>
      <c r="F96" s="56"/>
      <c r="K96" s="70"/>
    </row>
    <row r="97" spans="1:11" s="54" customFormat="1">
      <c r="A97" s="182"/>
      <c r="F97" s="56"/>
      <c r="K97" s="70"/>
    </row>
    <row r="98" spans="1:11" s="54" customFormat="1">
      <c r="A98" s="182"/>
      <c r="F98" s="56"/>
      <c r="K98" s="70"/>
    </row>
    <row r="99" spans="1:11" s="54" customFormat="1">
      <c r="A99" s="182"/>
      <c r="F99" s="56"/>
      <c r="K99" s="70"/>
    </row>
    <row r="100" spans="1:11" s="54" customFormat="1">
      <c r="A100" s="182"/>
      <c r="F100" s="56"/>
      <c r="K100" s="70"/>
    </row>
    <row r="101" spans="1:11" s="54" customFormat="1">
      <c r="A101" s="182"/>
      <c r="F101" s="56"/>
      <c r="K101" s="70"/>
    </row>
    <row r="102" spans="1:11" s="54" customFormat="1">
      <c r="A102" s="182"/>
      <c r="F102" s="56"/>
      <c r="K102" s="70"/>
    </row>
    <row r="103" spans="1:11" s="54" customFormat="1">
      <c r="A103" s="182"/>
      <c r="F103" s="56"/>
      <c r="K103" s="70"/>
    </row>
    <row r="104" spans="1:11" s="54" customFormat="1">
      <c r="A104" s="182"/>
      <c r="F104" s="56"/>
      <c r="K104" s="70"/>
    </row>
    <row r="105" spans="1:11" s="54" customFormat="1">
      <c r="A105" s="182"/>
      <c r="F105" s="56"/>
      <c r="K105" s="70"/>
    </row>
    <row r="106" spans="1:11" s="54" customFormat="1">
      <c r="A106" s="182"/>
      <c r="F106" s="56"/>
      <c r="K106" s="70"/>
    </row>
    <row r="107" spans="1:11" s="54" customFormat="1">
      <c r="A107" s="182"/>
      <c r="F107" s="56"/>
      <c r="K107" s="70"/>
    </row>
    <row r="108" spans="1:11" s="54" customFormat="1">
      <c r="A108" s="182"/>
      <c r="F108" s="56"/>
      <c r="K108" s="70"/>
    </row>
    <row r="109" spans="1:11" s="54" customFormat="1">
      <c r="A109" s="182"/>
      <c r="F109" s="56"/>
      <c r="K109" s="70"/>
    </row>
    <row r="110" spans="1:11" s="54" customFormat="1">
      <c r="A110" s="182"/>
      <c r="F110" s="56"/>
      <c r="K110" s="70"/>
    </row>
    <row r="111" spans="1:11" s="54" customFormat="1">
      <c r="A111" s="182"/>
      <c r="F111" s="56"/>
      <c r="K111" s="70"/>
    </row>
    <row r="112" spans="1:11" s="54" customFormat="1">
      <c r="A112" s="182"/>
      <c r="F112" s="56"/>
      <c r="K112" s="70"/>
    </row>
    <row r="113" spans="1:11" s="54" customFormat="1">
      <c r="A113" s="182"/>
      <c r="F113" s="56"/>
      <c r="K113" s="70"/>
    </row>
    <row r="114" spans="1:11" s="54" customFormat="1">
      <c r="A114" s="182"/>
      <c r="F114" s="56"/>
      <c r="K114" s="70"/>
    </row>
    <row r="115" spans="1:11" s="54" customFormat="1">
      <c r="A115" s="182"/>
      <c r="F115" s="56"/>
      <c r="K115" s="70"/>
    </row>
    <row r="116" spans="1:11" s="54" customFormat="1">
      <c r="A116" s="182"/>
      <c r="F116" s="56"/>
      <c r="K116" s="70"/>
    </row>
    <row r="117" spans="1:11" s="54" customFormat="1">
      <c r="A117" s="182"/>
      <c r="F117" s="56"/>
      <c r="K117" s="70"/>
    </row>
    <row r="118" spans="1:11" s="54" customFormat="1">
      <c r="A118" s="182"/>
      <c r="F118" s="56"/>
      <c r="K118" s="70"/>
    </row>
    <row r="119" spans="1:11" s="54" customFormat="1">
      <c r="A119" s="182"/>
      <c r="F119" s="56"/>
      <c r="K119" s="70"/>
    </row>
    <row r="120" spans="1:11" s="54" customFormat="1">
      <c r="A120" s="182"/>
      <c r="F120" s="56"/>
      <c r="K120" s="70"/>
    </row>
    <row r="121" spans="1:11" s="54" customFormat="1">
      <c r="A121" s="182"/>
      <c r="F121" s="56"/>
      <c r="K121" s="70"/>
    </row>
    <row r="122" spans="1:11" s="54" customFormat="1">
      <c r="A122" s="182"/>
      <c r="F122" s="56"/>
      <c r="K122" s="70"/>
    </row>
    <row r="123" spans="1:11" s="54" customFormat="1">
      <c r="A123" s="182"/>
      <c r="F123" s="56"/>
      <c r="K123" s="70"/>
    </row>
    <row r="124" spans="1:11" s="54" customFormat="1">
      <c r="A124" s="182"/>
      <c r="F124" s="56"/>
      <c r="K124" s="70"/>
    </row>
    <row r="125" spans="1:11" s="54" customFormat="1">
      <c r="A125" s="182"/>
      <c r="F125" s="56"/>
      <c r="K125" s="70"/>
    </row>
    <row r="126" spans="1:11" s="54" customFormat="1">
      <c r="A126" s="182"/>
      <c r="F126" s="56"/>
      <c r="K126" s="70"/>
    </row>
    <row r="127" spans="1:11" s="54" customFormat="1">
      <c r="A127" s="182"/>
      <c r="F127" s="56"/>
      <c r="K127" s="70"/>
    </row>
    <row r="128" spans="1:11" s="54" customFormat="1">
      <c r="A128" s="182"/>
      <c r="F128" s="56"/>
      <c r="K128" s="70"/>
    </row>
    <row r="129" spans="1:11" s="54" customFormat="1">
      <c r="A129" s="182"/>
      <c r="F129" s="56"/>
      <c r="K129" s="70"/>
    </row>
    <row r="130" spans="1:11" s="54" customFormat="1">
      <c r="A130" s="182"/>
      <c r="F130" s="56"/>
      <c r="K130" s="70"/>
    </row>
    <row r="131" spans="1:11" s="54" customFormat="1">
      <c r="A131" s="182"/>
      <c r="F131" s="56"/>
      <c r="K131" s="70"/>
    </row>
    <row r="132" spans="1:11" s="54" customFormat="1">
      <c r="A132" s="182"/>
      <c r="F132" s="56"/>
      <c r="K132" s="70"/>
    </row>
    <row r="133" spans="1:11" s="54" customFormat="1">
      <c r="A133" s="182"/>
      <c r="F133" s="56"/>
      <c r="K133" s="70"/>
    </row>
    <row r="134" spans="1:11" s="54" customFormat="1">
      <c r="A134" s="182"/>
      <c r="F134" s="56"/>
      <c r="K134" s="70"/>
    </row>
    <row r="135" spans="1:11" s="54" customFormat="1">
      <c r="A135" s="182"/>
      <c r="F135" s="56"/>
      <c r="K135" s="70"/>
    </row>
    <row r="136" spans="1:11" s="54" customFormat="1">
      <c r="A136" s="182"/>
      <c r="F136" s="56"/>
      <c r="K136" s="70"/>
    </row>
    <row r="137" spans="1:11" s="54" customFormat="1">
      <c r="A137" s="182"/>
      <c r="F137" s="56"/>
      <c r="K137" s="70"/>
    </row>
    <row r="138" spans="1:11" s="54" customFormat="1">
      <c r="A138" s="182"/>
      <c r="F138" s="56"/>
      <c r="K138" s="70"/>
    </row>
    <row r="139" spans="1:11" s="54" customFormat="1">
      <c r="A139" s="182"/>
      <c r="F139" s="56"/>
      <c r="K139" s="70"/>
    </row>
    <row r="140" spans="1:11" s="54" customFormat="1">
      <c r="A140" s="182"/>
      <c r="F140" s="56"/>
      <c r="K140" s="70"/>
    </row>
    <row r="141" spans="1:11" s="54" customFormat="1">
      <c r="A141" s="182"/>
      <c r="F141" s="56"/>
      <c r="K141" s="70"/>
    </row>
    <row r="142" spans="1:11" s="54" customFormat="1">
      <c r="A142" s="182"/>
      <c r="F142" s="56"/>
      <c r="K142" s="70"/>
    </row>
    <row r="143" spans="1:11" s="54" customFormat="1">
      <c r="A143" s="182"/>
      <c r="F143" s="56"/>
      <c r="K143" s="70"/>
    </row>
    <row r="144" spans="1:11" s="54" customFormat="1">
      <c r="A144" s="182"/>
      <c r="F144" s="56"/>
      <c r="K144" s="70"/>
    </row>
    <row r="145" spans="1:13" s="54" customFormat="1">
      <c r="A145" s="182"/>
      <c r="F145" s="56"/>
      <c r="K145" s="70"/>
    </row>
    <row r="146" spans="1:13" s="54" customFormat="1">
      <c r="A146" s="182"/>
      <c r="F146" s="56"/>
      <c r="K146" s="70"/>
    </row>
    <row r="147" spans="1:13" s="54" customFormat="1">
      <c r="A147" s="182"/>
      <c r="F147" s="56"/>
      <c r="K147" s="70"/>
    </row>
    <row r="148" spans="1:13" s="54" customFormat="1">
      <c r="A148" s="182"/>
      <c r="F148" s="56"/>
      <c r="K148" s="70"/>
    </row>
    <row r="149" spans="1:13" s="54" customFormat="1">
      <c r="A149" s="182"/>
      <c r="F149" s="56"/>
      <c r="K149" s="70"/>
    </row>
    <row r="150" spans="1:13" s="54" customFormat="1">
      <c r="A150" s="182"/>
      <c r="F150" s="56"/>
      <c r="K150" s="70"/>
    </row>
    <row r="151" spans="1:13" s="54" customFormat="1">
      <c r="A151" s="182"/>
      <c r="F151" s="56"/>
      <c r="K151" s="70"/>
    </row>
    <row r="152" spans="1:13" s="54" customFormat="1">
      <c r="A152" s="182"/>
      <c r="F152" s="56"/>
      <c r="K152" s="70"/>
    </row>
    <row r="153" spans="1:13" s="54" customFormat="1">
      <c r="A153" s="182"/>
      <c r="F153" s="56"/>
      <c r="K153" s="70"/>
    </row>
    <row r="154" spans="1:13" s="54" customFormat="1">
      <c r="A154" s="182"/>
      <c r="F154" s="56"/>
      <c r="K154" s="70"/>
    </row>
    <row r="155" spans="1:13" s="54" customFormat="1">
      <c r="A155" s="182"/>
      <c r="F155" s="56"/>
      <c r="K155" s="70"/>
    </row>
    <row r="156" spans="1:13" s="54" customFormat="1">
      <c r="A156" s="182"/>
      <c r="F156" s="56"/>
      <c r="K156" s="70"/>
    </row>
    <row r="157" spans="1:13" s="54" customFormat="1">
      <c r="A157" s="182"/>
      <c r="F157" s="56"/>
      <c r="K157" s="70"/>
    </row>
    <row r="158" spans="1:13" s="54" customFormat="1">
      <c r="A158" s="182"/>
      <c r="F158" s="56"/>
      <c r="K158" s="70"/>
      <c r="M158" s="16"/>
    </row>
    <row r="159" spans="1:13" s="54" customFormat="1">
      <c r="A159" s="182"/>
      <c r="F159" s="56"/>
      <c r="K159" s="70"/>
      <c r="M159" s="16"/>
    </row>
    <row r="160" spans="1:13" s="54" customFormat="1">
      <c r="A160" s="182"/>
      <c r="F160" s="56"/>
      <c r="K160" s="70"/>
      <c r="M160" s="16"/>
    </row>
    <row r="161" spans="1:13" s="54" customFormat="1">
      <c r="A161" s="182"/>
      <c r="F161" s="56"/>
      <c r="K161" s="70"/>
      <c r="M161" s="16"/>
    </row>
    <row r="162" spans="1:13" s="54" customFormat="1">
      <c r="A162" s="182"/>
      <c r="F162" s="56"/>
      <c r="K162" s="70"/>
      <c r="M162" s="16"/>
    </row>
    <row r="163" spans="1:13" s="54" customFormat="1">
      <c r="A163" s="182"/>
      <c r="F163" s="56"/>
      <c r="K163" s="70"/>
      <c r="M163" s="16"/>
    </row>
    <row r="164" spans="1:13" s="54" customFormat="1">
      <c r="A164" s="182"/>
      <c r="F164" s="56"/>
      <c r="K164" s="70"/>
      <c r="M164" s="16"/>
    </row>
    <row r="165" spans="1:13" s="54" customFormat="1">
      <c r="A165" s="182"/>
      <c r="F165" s="56"/>
      <c r="K165" s="70"/>
      <c r="M165" s="16"/>
    </row>
    <row r="166" spans="1:13" s="54" customFormat="1">
      <c r="A166" s="182"/>
      <c r="F166" s="56"/>
      <c r="K166" s="70"/>
      <c r="M166" s="16"/>
    </row>
    <row r="167" spans="1:13" s="54" customFormat="1">
      <c r="A167" s="182"/>
      <c r="F167" s="56"/>
      <c r="K167" s="70"/>
      <c r="M167" s="16"/>
    </row>
    <row r="168" spans="1:13" s="54" customFormat="1">
      <c r="A168" s="182"/>
      <c r="F168" s="56"/>
      <c r="K168" s="70"/>
      <c r="M168" s="16"/>
    </row>
    <row r="169" spans="1:13" s="54" customFormat="1">
      <c r="A169" s="182"/>
      <c r="F169" s="56"/>
      <c r="K169" s="70"/>
      <c r="M169" s="16"/>
    </row>
    <row r="170" spans="1:13" s="54" customFormat="1">
      <c r="A170" s="182"/>
      <c r="F170" s="56"/>
      <c r="K170" s="70"/>
      <c r="M170" s="16"/>
    </row>
    <row r="171" spans="1:13" s="54" customFormat="1">
      <c r="A171" s="182"/>
      <c r="F171" s="56"/>
      <c r="K171" s="70"/>
      <c r="M171" s="16"/>
    </row>
    <row r="172" spans="1:13" s="54" customFormat="1">
      <c r="A172" s="182"/>
      <c r="F172" s="56"/>
      <c r="K172" s="70"/>
      <c r="M172" s="16"/>
    </row>
    <row r="173" spans="1:13" s="54" customFormat="1">
      <c r="A173" s="182"/>
      <c r="F173" s="56"/>
      <c r="K173" s="70"/>
      <c r="M173" s="16"/>
    </row>
    <row r="174" spans="1:13" s="54" customFormat="1">
      <c r="A174" s="182"/>
      <c r="F174" s="56"/>
      <c r="K174" s="70"/>
      <c r="M174" s="16"/>
    </row>
    <row r="175" spans="1:13" s="54" customFormat="1">
      <c r="A175" s="182"/>
      <c r="F175" s="56"/>
      <c r="K175" s="70"/>
      <c r="M175" s="16"/>
    </row>
    <row r="176" spans="1:13" s="54" customFormat="1">
      <c r="A176" s="182"/>
      <c r="F176" s="56"/>
      <c r="K176" s="70"/>
      <c r="M176" s="16"/>
    </row>
    <row r="177" spans="1:13" s="54" customFormat="1">
      <c r="A177" s="182"/>
      <c r="F177" s="56"/>
      <c r="K177" s="70"/>
      <c r="M177" s="16"/>
    </row>
    <row r="178" spans="1:13" s="54" customFormat="1">
      <c r="A178" s="182"/>
      <c r="F178" s="56"/>
      <c r="K178" s="70"/>
      <c r="M178" s="16"/>
    </row>
    <row r="179" spans="1:13" s="54" customFormat="1">
      <c r="A179" s="182"/>
      <c r="F179" s="56"/>
      <c r="K179" s="70"/>
      <c r="M179" s="16"/>
    </row>
    <row r="180" spans="1:13" s="54" customFormat="1">
      <c r="A180" s="182"/>
      <c r="F180" s="56"/>
      <c r="K180" s="70"/>
      <c r="M180" s="16"/>
    </row>
    <row r="181" spans="1:13" s="54" customFormat="1">
      <c r="A181" s="182"/>
      <c r="F181" s="56"/>
      <c r="K181" s="70"/>
      <c r="M181" s="16"/>
    </row>
    <row r="182" spans="1:13" s="54" customFormat="1">
      <c r="A182" s="182"/>
      <c r="F182" s="56"/>
      <c r="K182" s="70"/>
      <c r="M182" s="16"/>
    </row>
    <row r="183" spans="1:13" s="54" customFormat="1">
      <c r="A183" s="182"/>
      <c r="F183" s="56"/>
      <c r="K183" s="70"/>
      <c r="M183" s="16"/>
    </row>
    <row r="184" spans="1:13" s="54" customFormat="1">
      <c r="A184" s="182"/>
      <c r="F184" s="56"/>
      <c r="K184" s="70"/>
      <c r="M184" s="16"/>
    </row>
    <row r="185" spans="1:13" s="54" customFormat="1">
      <c r="A185" s="168"/>
      <c r="F185" s="56"/>
      <c r="K185" s="70"/>
      <c r="M185" s="16"/>
    </row>
    <row r="186" spans="1:13" s="54" customFormat="1">
      <c r="A186" s="168"/>
      <c r="F186" s="56"/>
      <c r="K186" s="70"/>
      <c r="M186" s="16"/>
    </row>
    <row r="187" spans="1:13" s="54" customFormat="1">
      <c r="A187" s="168"/>
      <c r="F187" s="56"/>
      <c r="K187" s="70"/>
      <c r="M187" s="16"/>
    </row>
    <row r="188" spans="1:13" s="54" customFormat="1">
      <c r="A188" s="168"/>
      <c r="F188" s="56"/>
      <c r="K188" s="70"/>
      <c r="M188" s="16"/>
    </row>
    <row r="189" spans="1:13" s="54" customFormat="1">
      <c r="A189" s="168"/>
      <c r="F189" s="56"/>
      <c r="K189" s="70"/>
      <c r="M189" s="16"/>
    </row>
    <row r="190" spans="1:13" s="54" customFormat="1">
      <c r="A190" s="168"/>
      <c r="F190" s="55"/>
      <c r="K190" s="70"/>
      <c r="M190" s="16"/>
    </row>
    <row r="191" spans="1:13" s="54" customFormat="1">
      <c r="A191" s="168"/>
      <c r="F191" s="55"/>
      <c r="K191" s="70"/>
      <c r="M191" s="16"/>
    </row>
    <row r="192" spans="1:13" s="54" customFormat="1">
      <c r="A192" s="168"/>
      <c r="F192" s="55"/>
      <c r="K192" s="70"/>
      <c r="M192" s="16"/>
    </row>
    <row r="193" spans="1:13" s="54" customFormat="1">
      <c r="A193" s="168"/>
      <c r="F193" s="55"/>
      <c r="K193" s="70"/>
      <c r="M193" s="16"/>
    </row>
    <row r="194" spans="1:13" s="54" customFormat="1">
      <c r="A194" s="168"/>
      <c r="F194" s="55"/>
      <c r="K194" s="70"/>
      <c r="M194" s="16"/>
    </row>
    <row r="195" spans="1:13" s="54" customFormat="1">
      <c r="A195" s="168"/>
      <c r="F195" s="55"/>
      <c r="K195" s="70"/>
      <c r="M195" s="16"/>
    </row>
    <row r="196" spans="1:13" s="54" customFormat="1">
      <c r="A196" s="168"/>
      <c r="F196" s="55"/>
      <c r="K196" s="70"/>
      <c r="M196" s="16"/>
    </row>
    <row r="197" spans="1:13" s="54" customFormat="1">
      <c r="A197" s="168"/>
      <c r="F197" s="55"/>
      <c r="K197" s="70"/>
      <c r="M197" s="16"/>
    </row>
    <row r="198" spans="1:13" s="54" customFormat="1">
      <c r="A198" s="168"/>
      <c r="B198" s="16"/>
      <c r="C198" s="16"/>
      <c r="D198" s="16"/>
      <c r="E198" s="57"/>
      <c r="F198" s="55"/>
      <c r="K198" s="70"/>
      <c r="M198" s="16"/>
    </row>
    <row r="199" spans="1:13" s="54" customFormat="1">
      <c r="A199" s="168"/>
      <c r="B199" s="16"/>
      <c r="C199" s="16"/>
      <c r="D199" s="16"/>
      <c r="E199" s="57"/>
      <c r="F199" s="55"/>
      <c r="K199" s="70"/>
      <c r="M199" s="16"/>
    </row>
    <row r="200" spans="1:13" s="54" customFormat="1">
      <c r="A200" s="168"/>
      <c r="B200" s="16"/>
      <c r="C200" s="16"/>
      <c r="D200" s="16"/>
      <c r="E200" s="57"/>
      <c r="F200" s="55"/>
      <c r="K200" s="70"/>
      <c r="M200" s="16"/>
    </row>
  </sheetData>
  <mergeCells count="1">
    <mergeCell ref="E1:J10"/>
  </mergeCells>
  <phoneticPr fontId="2" type="noConversion"/>
  <pageMargins left="1.93" right="0.17" top="0.3" bottom="0.3" header="0.3" footer="0.3"/>
  <pageSetup scale="4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0" sqref="J3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Retail</vt:lpstr>
      <vt:lpstr>Sheet1</vt:lpstr>
      <vt:lpstr>Retail!Print_Area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 Install</dc:creator>
  <cp:lastModifiedBy>Jason Morton</cp:lastModifiedBy>
  <cp:lastPrinted>2011-01-13T22:32:44Z</cp:lastPrinted>
  <dcterms:created xsi:type="dcterms:W3CDTF">2008-10-23T18:15:41Z</dcterms:created>
  <dcterms:modified xsi:type="dcterms:W3CDTF">2012-01-11T22:56:51Z</dcterms:modified>
</cp:coreProperties>
</file>