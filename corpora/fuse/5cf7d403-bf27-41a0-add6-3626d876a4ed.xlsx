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65" windowWidth="18060" windowHeight="7950" tabRatio="717" activeTab="3"/>
  </bookViews>
  <sheets>
    <sheet name="Projected Income" sheetId="1" r:id="rId1"/>
    <sheet name="Projected Debts and Liabilities" sheetId="2" r:id="rId2"/>
    <sheet name="Projected Totals" sheetId="6" r:id="rId3"/>
    <sheet name="Parkers" sheetId="5" r:id="rId4"/>
    <sheet name="Brother Fees" sheetId="7" r:id="rId5"/>
  </sheets>
  <definedNames>
    <definedName name="liabilitytotals">'Projected Debts and Liabilities'!$C$16:$G$16</definedName>
    <definedName name="Monthly_Totals">'Projected Debts and Liabilities'!$C$16:$G$16</definedName>
  </definedNames>
  <calcPr calcId="144525"/>
</workbook>
</file>

<file path=xl/calcChain.xml><?xml version="1.0" encoding="utf-8"?>
<calcChain xmlns="http://schemas.openxmlformats.org/spreadsheetml/2006/main">
  <c r="G16" i="6" l="1"/>
  <c r="F16" i="6"/>
  <c r="E16" i="6"/>
  <c r="G15" i="6"/>
  <c r="F15" i="6"/>
  <c r="F13" i="1"/>
  <c r="E13" i="1"/>
  <c r="C13" i="1"/>
  <c r="D15" i="6" s="1"/>
  <c r="D13" i="1"/>
  <c r="E15" i="6" s="1"/>
  <c r="E8" i="6"/>
  <c r="E7" i="6" l="1"/>
  <c r="C16" i="2" l="1"/>
  <c r="D16" i="6" s="1"/>
  <c r="D17" i="6" s="1"/>
  <c r="E14" i="6" s="1"/>
  <c r="G13" i="2"/>
  <c r="G11" i="1"/>
  <c r="G14" i="2"/>
  <c r="D16" i="2"/>
  <c r="E16" i="2"/>
  <c r="F16" i="2"/>
  <c r="D21" i="2"/>
  <c r="G4" i="1"/>
  <c r="G5" i="1"/>
  <c r="G6" i="1"/>
  <c r="G7" i="1"/>
  <c r="G8" i="1"/>
  <c r="G9" i="1"/>
  <c r="G10" i="1"/>
  <c r="E17" i="6" l="1"/>
  <c r="F14" i="6" s="1"/>
  <c r="F17" i="6" s="1"/>
  <c r="G14" i="6" s="1"/>
  <c r="G17" i="6" s="1"/>
  <c r="G13" i="1"/>
  <c r="H15" i="6" s="1"/>
  <c r="F8" i="6"/>
  <c r="D8" i="6"/>
  <c r="G12" i="2"/>
  <c r="G11" i="2"/>
  <c r="G10" i="2"/>
  <c r="G8" i="6"/>
  <c r="G9" i="2"/>
  <c r="G8" i="2"/>
  <c r="G7" i="2"/>
  <c r="G6" i="2"/>
  <c r="G5" i="2"/>
  <c r="G4" i="2"/>
  <c r="H14" i="6" l="1"/>
  <c r="G16" i="2"/>
  <c r="H8" i="6" l="1"/>
  <c r="H16" i="6"/>
  <c r="H17" i="6" s="1"/>
  <c r="H7" i="6"/>
  <c r="E10" i="6"/>
  <c r="D7" i="6"/>
  <c r="D10" i="6" s="1"/>
  <c r="F7" i="6"/>
  <c r="F10" i="6" s="1"/>
  <c r="G7" i="6"/>
  <c r="G10" i="6" s="1"/>
  <c r="H10" i="6" l="1"/>
  <c r="D23" i="6" s="1"/>
  <c r="D27" i="6" s="1"/>
</calcChain>
</file>

<file path=xl/sharedStrings.xml><?xml version="1.0" encoding="utf-8"?>
<sst xmlns="http://schemas.openxmlformats.org/spreadsheetml/2006/main" count="122" uniqueCount="83">
  <si>
    <t>INCOME</t>
  </si>
  <si>
    <t>Pop Machine</t>
  </si>
  <si>
    <t>Brother Fees</t>
  </si>
  <si>
    <t>Parking</t>
  </si>
  <si>
    <t>July</t>
  </si>
  <si>
    <t>August</t>
  </si>
  <si>
    <t>September</t>
  </si>
  <si>
    <t>October</t>
  </si>
  <si>
    <t>November</t>
  </si>
  <si>
    <t>December</t>
  </si>
  <si>
    <t>Recycling</t>
  </si>
  <si>
    <t>Monthly Totals</t>
  </si>
  <si>
    <t>Semester Total</t>
  </si>
  <si>
    <t>Alex</t>
  </si>
  <si>
    <t>Simon</t>
  </si>
  <si>
    <t>Susan</t>
  </si>
  <si>
    <t>Spencer</t>
  </si>
  <si>
    <t>Rachel</t>
  </si>
  <si>
    <t>June</t>
  </si>
  <si>
    <t>NAME</t>
  </si>
  <si>
    <t>CONTACT</t>
  </si>
  <si>
    <t>Black Alero</t>
  </si>
  <si>
    <t>647-830-7015</t>
  </si>
  <si>
    <t>Khaki Jeep Liberty (year 2003) Black Range Rover (year 2006)
Licence plate no. BKBT 223
Licence plate no: BLLB 107</t>
  </si>
  <si>
    <t>Car Details</t>
  </si>
  <si>
    <t>613-261-4126</t>
  </si>
  <si>
    <t>Black Toyota Corolla</t>
  </si>
  <si>
    <t>Notes</t>
  </si>
  <si>
    <t>Pays on the 15th of each month $75)</t>
  </si>
  <si>
    <t>416-803-9112 susanhopper1@googlemail.com</t>
  </si>
  <si>
    <t>rachel.tulloch@utoronto.ca</t>
  </si>
  <si>
    <t>wants spot starting August 1st</t>
  </si>
  <si>
    <t>pays on the 1st of each month $75</t>
  </si>
  <si>
    <t>Prepaid checks for Summer</t>
  </si>
  <si>
    <t>416-867-7097 lizichao@gmail.com 5195909603</t>
  </si>
  <si>
    <t>Tan Toyota Corolla</t>
  </si>
  <si>
    <t>monthly parker, pays at beginning of the month</t>
  </si>
  <si>
    <t>Paid till July 30th, Not Renewing</t>
  </si>
  <si>
    <t>International</t>
  </si>
  <si>
    <t>LIABILITIES</t>
  </si>
  <si>
    <t>Exchanges</t>
  </si>
  <si>
    <t>Brother Nights</t>
  </si>
  <si>
    <t>Rush</t>
  </si>
  <si>
    <t>Initiation</t>
  </si>
  <si>
    <t>Road Trips</t>
  </si>
  <si>
    <t>DEBT</t>
  </si>
  <si>
    <t>Philanthropy</t>
  </si>
  <si>
    <t>Scholarship</t>
  </si>
  <si>
    <t>TOTALS</t>
  </si>
  <si>
    <t>Liabilities</t>
  </si>
  <si>
    <t>Income</t>
  </si>
  <si>
    <t>Chapter Fee</t>
  </si>
  <si>
    <t>Loss Prevention</t>
  </si>
  <si>
    <t>Current Chapter Account Balance</t>
  </si>
  <si>
    <t>PROJECTED TOTALS</t>
  </si>
  <si>
    <t>Michael Capicotto</t>
  </si>
  <si>
    <t>Ryan Breen</t>
  </si>
  <si>
    <t>Michael Shaw</t>
  </si>
  <si>
    <t>Dave Shaw</t>
  </si>
  <si>
    <t>Tyler Dixon</t>
  </si>
  <si>
    <t>Ben Triolo</t>
  </si>
  <si>
    <t>Andrew Triolo</t>
  </si>
  <si>
    <t>Balveer Singh</t>
  </si>
  <si>
    <t>Dovi Henry</t>
  </si>
  <si>
    <t>Aatish Jamal</t>
  </si>
  <si>
    <t>Paid</t>
  </si>
  <si>
    <t>Vending Machine</t>
  </si>
  <si>
    <t>Coin Laundry</t>
  </si>
  <si>
    <t>T-Shirt Sales</t>
  </si>
  <si>
    <t>Payment Plan</t>
  </si>
  <si>
    <t>Chapter Cash Balance</t>
  </si>
  <si>
    <t>Account Balance for Winter</t>
  </si>
  <si>
    <t xml:space="preserve"> Debt to International Winter</t>
  </si>
  <si>
    <t>Membership Fees</t>
  </si>
  <si>
    <t>Directors Insurance</t>
  </si>
  <si>
    <t>End Fall Budget</t>
  </si>
  <si>
    <t>$200 of this is deposited in rental equipment waiting to be returned</t>
  </si>
  <si>
    <t>CASH FLOW ANALYSIS</t>
  </si>
  <si>
    <t>Chapter Account Totals</t>
  </si>
  <si>
    <t xml:space="preserve"> House Company</t>
  </si>
  <si>
    <t>paid</t>
  </si>
  <si>
    <t>Debt free from international as of June 2012</t>
  </si>
  <si>
    <t>Uncashed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</si>
</sst>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ck">
        <color theme="4"/>
      </right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7" fillId="0" borderId="0" applyNumberFormat="0" applyFill="0" applyBorder="0" applyAlignment="0" applyProtection="0"/>
    <xf numFmtId="0" fontId="9" fillId="0" borderId="3" applyNumberFormat="0" applyFill="0" applyAlignment="0" applyProtection="0"/>
  </cellStyleXfs>
  <cellXfs count="25">
    <xf numFmtId="0" fontId="0" fillId="0" borderId="0" xfId="0"/>
    <xf numFmtId="0" fontId="2" fillId="0" borderId="1" xfId="2"/>
    <xf numFmtId="0" fontId="4" fillId="0" borderId="1" xfId="2" applyFont="1" applyAlignment="1">
      <alignment horizontal="center"/>
    </xf>
    <xf numFmtId="0" fontId="5" fillId="0" borderId="1" xfId="2" applyFont="1" applyAlignment="1">
      <alignment horizontal="center"/>
    </xf>
    <xf numFmtId="0" fontId="6" fillId="0" borderId="0" xfId="0" applyFont="1"/>
    <xf numFmtId="44" fontId="0" fillId="0" borderId="0" xfId="1" applyFont="1"/>
    <xf numFmtId="44" fontId="6" fillId="0" borderId="0" xfId="1" applyFont="1"/>
    <xf numFmtId="44" fontId="3" fillId="2" borderId="2" xfId="3" applyNumberFormat="1"/>
    <xf numFmtId="44" fontId="6" fillId="2" borderId="2" xfId="3" applyNumberFormat="1" applyFont="1"/>
    <xf numFmtId="164" fontId="3" fillId="2" borderId="2" xfId="3" applyNumberFormat="1"/>
    <xf numFmtId="0" fontId="0" fillId="0" borderId="0" xfId="0" applyAlignment="1">
      <alignment wrapText="1"/>
    </xf>
    <xf numFmtId="0" fontId="7" fillId="0" borderId="0" xfId="4"/>
    <xf numFmtId="0" fontId="8" fillId="0" borderId="4" xfId="2" applyFont="1" applyBorder="1" applyAlignment="1">
      <alignment horizontal="right"/>
    </xf>
    <xf numFmtId="0" fontId="9" fillId="0" borderId="5" xfId="5" applyFill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44" fontId="9" fillId="0" borderId="0" xfId="0" applyNumberFormat="1" applyFont="1"/>
    <xf numFmtId="44" fontId="6" fillId="0" borderId="0" xfId="0" applyNumberFormat="1" applyFont="1"/>
    <xf numFmtId="0" fontId="10" fillId="0" borderId="0" xfId="0" applyFont="1" applyAlignment="1">
      <alignment horizontal="center"/>
    </xf>
    <xf numFmtId="165" fontId="0" fillId="0" borderId="0" xfId="1" applyNumberFormat="1" applyFont="1"/>
    <xf numFmtId="44" fontId="0" fillId="0" borderId="0" xfId="0" applyNumberFormat="1"/>
    <xf numFmtId="44" fontId="3" fillId="2" borderId="2" xfId="1" applyFont="1" applyFill="1" applyBorder="1"/>
    <xf numFmtId="0" fontId="0" fillId="0" borderId="0" xfId="0" applyBorder="1"/>
    <xf numFmtId="44" fontId="9" fillId="0" borderId="0" xfId="1" applyFont="1"/>
    <xf numFmtId="44" fontId="6" fillId="0" borderId="0" xfId="1" applyFont="1" applyAlignment="1">
      <alignment horizontal="center"/>
    </xf>
  </cellXfs>
  <cellStyles count="6">
    <cellStyle name="Calculation" xfId="3" builtinId="22"/>
    <cellStyle name="Currency" xfId="1" builtinId="4"/>
    <cellStyle name="Heading 1" xfId="2" builtinId="16"/>
    <cellStyle name="Hyperlink" xfId="4" builtinId="8"/>
    <cellStyle name="Normal" xfId="0" builtinId="0"/>
    <cellStyle name="Total" xfId="5" builtinId="25"/>
  </cellStyles>
  <dxfs count="1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scheme val="minor"/>
      </font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C6:H10" totalsRowShown="0" headerRowDxfId="11" headerRowCellStyle="Heading 1">
  <autoFilter ref="C6:H10"/>
  <tableColumns count="6">
    <tableColumn id="1" name="PROJECTED TOTALS"/>
    <tableColumn id="4" name="September" dataDxfId="10"/>
    <tableColumn id="5" name="October" dataDxfId="9"/>
    <tableColumn id="6" name="November" dataDxfId="8"/>
    <tableColumn id="7" name="December" dataDxfId="7"/>
    <tableColumn id="8" name="Semester Total" dataDxfId="6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C13:H17" totalsRowShown="0" headerRowDxfId="5" headerRowCellStyle="Heading 1">
  <autoFilter ref="C13:H17"/>
  <tableColumns count="6">
    <tableColumn id="1" name="CASH FLOW ANALYSIS"/>
    <tableColumn id="4" name="September" dataDxfId="4"/>
    <tableColumn id="5" name="October" dataDxfId="3"/>
    <tableColumn id="6" name="November" dataDxfId="2"/>
    <tableColumn id="7" name="December" dataDxfId="1"/>
    <tableColumn id="8" name="Semester Total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rachel.tulloch@utoronto.c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I16"/>
  <sheetViews>
    <sheetView workbookViewId="0">
      <selection activeCell="B11" sqref="B11"/>
    </sheetView>
  </sheetViews>
  <sheetFormatPr defaultRowHeight="15" x14ac:dyDescent="0.25"/>
  <cols>
    <col min="2" max="2" width="21" customWidth="1"/>
    <col min="3" max="3" width="14.7109375" customWidth="1"/>
    <col min="4" max="4" width="12.5703125" customWidth="1"/>
    <col min="5" max="5" width="16.28515625" customWidth="1"/>
    <col min="6" max="6" width="15" customWidth="1"/>
    <col min="7" max="7" width="14.140625" customWidth="1"/>
    <col min="8" max="8" width="13.5703125" bestFit="1" customWidth="1"/>
    <col min="9" max="9" width="15.7109375" style="4" bestFit="1" customWidth="1"/>
  </cols>
  <sheetData>
    <row r="3" spans="2:7" ht="20.25" thickBot="1" x14ac:dyDescent="0.35">
      <c r="B3" s="1" t="s">
        <v>0</v>
      </c>
      <c r="C3" s="2" t="s">
        <v>6</v>
      </c>
      <c r="D3" s="2" t="s">
        <v>7</v>
      </c>
      <c r="E3" s="2" t="s">
        <v>8</v>
      </c>
      <c r="F3" s="2" t="s">
        <v>9</v>
      </c>
      <c r="G3" s="3" t="s">
        <v>12</v>
      </c>
    </row>
    <row r="4" spans="2:7" ht="15.75" thickTop="1" x14ac:dyDescent="0.25">
      <c r="B4" s="5" t="s">
        <v>66</v>
      </c>
      <c r="C4" s="5">
        <v>400</v>
      </c>
      <c r="D4" s="5">
        <v>400</v>
      </c>
      <c r="E4" s="5">
        <v>400</v>
      </c>
      <c r="F4" s="5">
        <v>400</v>
      </c>
      <c r="G4" s="6">
        <f t="shared" ref="G4:G11" si="0">SUM(C4:F4)</f>
        <v>1600</v>
      </c>
    </row>
    <row r="5" spans="2:7" x14ac:dyDescent="0.25">
      <c r="B5" s="5" t="s">
        <v>10</v>
      </c>
      <c r="C5" s="5">
        <v>70</v>
      </c>
      <c r="D5" s="5">
        <v>70</v>
      </c>
      <c r="E5" s="5">
        <v>70</v>
      </c>
      <c r="F5" s="5">
        <v>70</v>
      </c>
      <c r="G5" s="6">
        <f t="shared" si="0"/>
        <v>280</v>
      </c>
    </row>
    <row r="6" spans="2:7" x14ac:dyDescent="0.25">
      <c r="B6" s="5" t="s">
        <v>1</v>
      </c>
      <c r="C6" s="5">
        <v>50</v>
      </c>
      <c r="D6" s="5">
        <v>50</v>
      </c>
      <c r="E6" s="5">
        <v>50</v>
      </c>
      <c r="F6" s="5">
        <v>50</v>
      </c>
      <c r="G6" s="6">
        <f t="shared" si="0"/>
        <v>200</v>
      </c>
    </row>
    <row r="7" spans="2:7" x14ac:dyDescent="0.25">
      <c r="B7" s="5" t="s">
        <v>2</v>
      </c>
      <c r="C7" s="5">
        <v>1000</v>
      </c>
      <c r="D7" s="5">
        <v>400</v>
      </c>
      <c r="E7" s="5"/>
      <c r="F7" s="5"/>
      <c r="G7" s="6">
        <f t="shared" si="0"/>
        <v>1400</v>
      </c>
    </row>
    <row r="8" spans="2:7" x14ac:dyDescent="0.25">
      <c r="B8" s="5" t="s">
        <v>3</v>
      </c>
      <c r="C8" s="5">
        <v>220</v>
      </c>
      <c r="D8" s="5">
        <v>315</v>
      </c>
      <c r="E8" s="5">
        <v>315</v>
      </c>
      <c r="F8" s="5">
        <v>315</v>
      </c>
      <c r="G8" s="6">
        <f t="shared" si="0"/>
        <v>1165</v>
      </c>
    </row>
    <row r="9" spans="2:7" x14ac:dyDescent="0.25">
      <c r="B9" s="5" t="s">
        <v>68</v>
      </c>
      <c r="C9" s="5">
        <v>80</v>
      </c>
      <c r="D9" s="5">
        <v>80</v>
      </c>
      <c r="E9" s="5">
        <v>80</v>
      </c>
      <c r="F9" s="5">
        <v>80</v>
      </c>
      <c r="G9" s="6">
        <f t="shared" si="0"/>
        <v>320</v>
      </c>
    </row>
    <row r="10" spans="2:7" x14ac:dyDescent="0.25">
      <c r="B10" s="5" t="s">
        <v>67</v>
      </c>
      <c r="C10" s="5">
        <v>120</v>
      </c>
      <c r="D10" s="5">
        <v>120</v>
      </c>
      <c r="E10" s="5">
        <v>120</v>
      </c>
      <c r="F10" s="5">
        <v>120</v>
      </c>
      <c r="G10" s="6">
        <f t="shared" si="0"/>
        <v>480</v>
      </c>
    </row>
    <row r="11" spans="2:7" x14ac:dyDescent="0.25">
      <c r="B11" s="19" t="s">
        <v>79</v>
      </c>
      <c r="D11" s="5">
        <v>450</v>
      </c>
      <c r="E11" s="5"/>
      <c r="F11" s="5"/>
      <c r="G11" s="6">
        <f>SUM(D11:F11)</f>
        <v>450</v>
      </c>
    </row>
    <row r="13" spans="2:7" x14ac:dyDescent="0.25">
      <c r="B13" s="7" t="s">
        <v>11</v>
      </c>
      <c r="C13" s="7">
        <f>SUM(C4:C11)</f>
        <v>1940</v>
      </c>
      <c r="D13" s="7">
        <f>SUM(D4:D11)</f>
        <v>1885</v>
      </c>
      <c r="E13" s="7">
        <f>SUM(E4:E11)</f>
        <v>1035</v>
      </c>
      <c r="F13" s="7">
        <f>SUM(F4:F11)</f>
        <v>1035</v>
      </c>
      <c r="G13" s="8">
        <f>SUM(G4:G11)</f>
        <v>5895</v>
      </c>
    </row>
    <row r="16" spans="2:7" x14ac:dyDescent="0.25">
      <c r="C16" s="20"/>
    </row>
  </sheetData>
  <pageMargins left="0.25" right="0.25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I33"/>
  <sheetViews>
    <sheetView workbookViewId="0">
      <selection activeCell="C15" sqref="C15"/>
    </sheetView>
  </sheetViews>
  <sheetFormatPr defaultRowHeight="15" x14ac:dyDescent="0.25"/>
  <cols>
    <col min="1" max="1" width="12.5703125" bestFit="1" customWidth="1"/>
    <col min="2" max="2" width="21.28515625" customWidth="1"/>
    <col min="3" max="3" width="16.7109375" customWidth="1"/>
    <col min="4" max="4" width="15.5703125" customWidth="1"/>
    <col min="5" max="5" width="16.5703125" customWidth="1"/>
    <col min="6" max="6" width="14.140625" customWidth="1"/>
    <col min="7" max="7" width="15.7109375" bestFit="1" customWidth="1"/>
    <col min="8" max="8" width="10.85546875" bestFit="1" customWidth="1"/>
    <col min="9" max="9" width="15.7109375" bestFit="1" customWidth="1"/>
  </cols>
  <sheetData>
    <row r="3" spans="2:7" ht="20.25" thickBot="1" x14ac:dyDescent="0.35">
      <c r="B3" s="1" t="s">
        <v>39</v>
      </c>
      <c r="C3" s="2" t="s">
        <v>6</v>
      </c>
      <c r="D3" s="2" t="s">
        <v>7</v>
      </c>
      <c r="E3" s="2" t="s">
        <v>8</v>
      </c>
      <c r="F3" s="2" t="s">
        <v>9</v>
      </c>
      <c r="G3" s="3" t="s">
        <v>12</v>
      </c>
    </row>
    <row r="4" spans="2:7" ht="15.75" thickTop="1" x14ac:dyDescent="0.25">
      <c r="B4" s="5" t="s">
        <v>40</v>
      </c>
      <c r="C4" s="5">
        <v>150</v>
      </c>
      <c r="D4" s="5">
        <v>150</v>
      </c>
      <c r="E4" s="5">
        <v>150</v>
      </c>
      <c r="F4" s="5">
        <v>150</v>
      </c>
      <c r="G4" s="6">
        <f t="shared" ref="G4:G14" si="0">SUM(C4:F4)</f>
        <v>600</v>
      </c>
    </row>
    <row r="5" spans="2:7" x14ac:dyDescent="0.25">
      <c r="B5" s="5" t="s">
        <v>41</v>
      </c>
      <c r="C5" s="5">
        <v>100</v>
      </c>
      <c r="D5" s="5">
        <v>100</v>
      </c>
      <c r="E5" s="5">
        <v>100</v>
      </c>
      <c r="F5" s="5">
        <v>100</v>
      </c>
      <c r="G5" s="6">
        <f t="shared" si="0"/>
        <v>400</v>
      </c>
    </row>
    <row r="6" spans="2:7" x14ac:dyDescent="0.25">
      <c r="B6" s="5" t="s">
        <v>42</v>
      </c>
      <c r="C6" s="5">
        <v>350</v>
      </c>
      <c r="D6" s="5">
        <v>250</v>
      </c>
      <c r="E6" s="5">
        <v>100</v>
      </c>
      <c r="F6" s="5"/>
      <c r="G6" s="6">
        <f t="shared" si="0"/>
        <v>700</v>
      </c>
    </row>
    <row r="7" spans="2:7" x14ac:dyDescent="0.25">
      <c r="B7" s="5" t="s">
        <v>43</v>
      </c>
      <c r="C7" s="5"/>
      <c r="D7" s="5"/>
      <c r="E7" s="5">
        <v>1000</v>
      </c>
      <c r="F7" s="5"/>
      <c r="G7" s="6">
        <f t="shared" si="0"/>
        <v>1000</v>
      </c>
    </row>
    <row r="8" spans="2:7" x14ac:dyDescent="0.25">
      <c r="B8" s="5" t="s">
        <v>44</v>
      </c>
      <c r="C8" s="5"/>
      <c r="D8" s="5">
        <v>750</v>
      </c>
      <c r="E8" s="5"/>
      <c r="F8" s="5"/>
      <c r="G8" s="6">
        <f t="shared" si="0"/>
        <v>750</v>
      </c>
    </row>
    <row r="9" spans="2:7" x14ac:dyDescent="0.25">
      <c r="B9" s="5" t="s">
        <v>46</v>
      </c>
      <c r="C9" s="5">
        <v>50</v>
      </c>
      <c r="D9" s="5">
        <v>50</v>
      </c>
      <c r="E9" s="5">
        <v>50</v>
      </c>
      <c r="F9" s="5">
        <v>50</v>
      </c>
      <c r="G9" s="6">
        <f t="shared" si="0"/>
        <v>200</v>
      </c>
    </row>
    <row r="10" spans="2:7" x14ac:dyDescent="0.25">
      <c r="B10" s="5" t="s">
        <v>47</v>
      </c>
      <c r="C10" s="5">
        <v>50</v>
      </c>
      <c r="D10" s="5">
        <v>50</v>
      </c>
      <c r="E10" s="5">
        <v>50</v>
      </c>
      <c r="F10" s="5">
        <v>50</v>
      </c>
      <c r="G10" s="6">
        <f t="shared" si="0"/>
        <v>200</v>
      </c>
    </row>
    <row r="11" spans="2:7" x14ac:dyDescent="0.25">
      <c r="B11" s="5" t="s">
        <v>51</v>
      </c>
      <c r="C11" s="24" t="s">
        <v>80</v>
      </c>
      <c r="D11" s="5"/>
      <c r="E11" s="5"/>
      <c r="F11" s="5"/>
      <c r="G11" s="6">
        <f t="shared" si="0"/>
        <v>0</v>
      </c>
    </row>
    <row r="12" spans="2:7" x14ac:dyDescent="0.25">
      <c r="B12" s="5" t="s">
        <v>73</v>
      </c>
      <c r="C12" s="24" t="s">
        <v>80</v>
      </c>
      <c r="D12" s="5"/>
      <c r="E12" s="5"/>
      <c r="F12" s="5"/>
      <c r="G12" s="6">
        <f t="shared" si="0"/>
        <v>0</v>
      </c>
    </row>
    <row r="13" spans="2:7" x14ac:dyDescent="0.25">
      <c r="B13" s="5" t="s">
        <v>52</v>
      </c>
      <c r="C13" s="24" t="s">
        <v>80</v>
      </c>
      <c r="D13" s="5"/>
      <c r="E13" s="5"/>
      <c r="F13" s="5"/>
      <c r="G13" s="6">
        <f t="shared" si="0"/>
        <v>0</v>
      </c>
    </row>
    <row r="14" spans="2:7" x14ac:dyDescent="0.25">
      <c r="B14" s="5" t="s">
        <v>69</v>
      </c>
      <c r="C14" s="5">
        <v>300</v>
      </c>
      <c r="D14" s="5">
        <v>300</v>
      </c>
      <c r="E14" s="5">
        <v>300</v>
      </c>
      <c r="F14" s="5">
        <v>300</v>
      </c>
      <c r="G14" s="6">
        <f t="shared" si="0"/>
        <v>1200</v>
      </c>
    </row>
    <row r="15" spans="2:7" x14ac:dyDescent="0.25">
      <c r="B15" s="5" t="s">
        <v>74</v>
      </c>
      <c r="C15" s="24" t="s">
        <v>80</v>
      </c>
    </row>
    <row r="16" spans="2:7" x14ac:dyDescent="0.25">
      <c r="B16" s="7" t="s">
        <v>11</v>
      </c>
      <c r="C16" s="21">
        <f>SUM(C4:C15)</f>
        <v>1000</v>
      </c>
      <c r="D16" s="21">
        <f>SUM(D4:D14)</f>
        <v>1650</v>
      </c>
      <c r="E16" s="21">
        <f>SUM(E4:E14)</f>
        <v>1750</v>
      </c>
      <c r="F16" s="21">
        <f>SUM(F4:F14)</f>
        <v>650</v>
      </c>
      <c r="G16" s="8">
        <f>SUM(G4:G15)</f>
        <v>5050</v>
      </c>
    </row>
    <row r="20" spans="2:9" ht="20.25" thickBot="1" x14ac:dyDescent="0.35">
      <c r="B20" s="1" t="s">
        <v>45</v>
      </c>
      <c r="C20" s="2" t="s">
        <v>6</v>
      </c>
      <c r="D20" s="2" t="s">
        <v>7</v>
      </c>
      <c r="E20" s="2" t="s">
        <v>8</v>
      </c>
      <c r="F20" s="2" t="s">
        <v>9</v>
      </c>
      <c r="G20" s="3"/>
    </row>
    <row r="21" spans="2:9" ht="15.75" thickTop="1" x14ac:dyDescent="0.25">
      <c r="B21" s="5" t="s">
        <v>38</v>
      </c>
      <c r="C21" s="5">
        <v>3235.43</v>
      </c>
      <c r="D21" s="5">
        <f>SUM(3235.43-300)</f>
        <v>2935.43</v>
      </c>
      <c r="E21" s="5">
        <v>2635.43</v>
      </c>
      <c r="F21" s="5">
        <v>2335.4299999999998</v>
      </c>
      <c r="G21" s="6"/>
    </row>
    <row r="23" spans="2:9" x14ac:dyDescent="0.25">
      <c r="B23" s="5"/>
      <c r="C23" s="5"/>
      <c r="D23" s="5"/>
      <c r="E23" s="5"/>
      <c r="F23" s="5"/>
      <c r="G23" s="5"/>
      <c r="H23" s="5"/>
      <c r="I23" s="6"/>
    </row>
    <row r="24" spans="2:9" x14ac:dyDescent="0.25">
      <c r="B24" s="5" t="s">
        <v>81</v>
      </c>
      <c r="C24" s="5"/>
      <c r="D24" s="5"/>
      <c r="E24" s="5"/>
      <c r="F24" s="5"/>
      <c r="G24" s="5"/>
      <c r="H24" s="5"/>
      <c r="I24" s="6"/>
    </row>
    <row r="25" spans="2:9" x14ac:dyDescent="0.25">
      <c r="B25" s="5"/>
      <c r="C25" s="5"/>
      <c r="D25" s="5"/>
      <c r="E25" s="5"/>
      <c r="F25" s="5"/>
      <c r="G25" s="5"/>
      <c r="H25" s="5"/>
      <c r="I25" s="6"/>
    </row>
    <row r="26" spans="2:9" x14ac:dyDescent="0.25">
      <c r="B26" s="5"/>
      <c r="C26" s="5"/>
      <c r="D26" s="5"/>
      <c r="E26" s="5"/>
      <c r="F26" s="5"/>
      <c r="G26" s="5"/>
      <c r="H26" s="5"/>
      <c r="I26" s="6"/>
    </row>
    <row r="27" spans="2:9" x14ac:dyDescent="0.25">
      <c r="B27" s="5"/>
      <c r="C27" s="5"/>
      <c r="D27" s="5"/>
      <c r="E27" s="5"/>
      <c r="F27" s="5"/>
      <c r="G27" s="5"/>
      <c r="H27" s="5"/>
      <c r="I27" s="6"/>
    </row>
    <row r="28" spans="2:9" x14ac:dyDescent="0.25">
      <c r="B28" s="5"/>
      <c r="C28" s="5"/>
      <c r="D28" s="5"/>
      <c r="E28" s="5"/>
      <c r="F28" s="5"/>
      <c r="G28" s="5"/>
      <c r="H28" s="5"/>
      <c r="I28" s="6"/>
    </row>
    <row r="29" spans="2:9" x14ac:dyDescent="0.25">
      <c r="B29" s="5"/>
      <c r="C29" s="5"/>
      <c r="D29" s="5"/>
      <c r="E29" s="5"/>
      <c r="F29" s="5"/>
      <c r="G29" s="5"/>
      <c r="H29" s="5"/>
      <c r="I29" s="6"/>
    </row>
    <row r="32" spans="2:9" x14ac:dyDescent="0.25">
      <c r="B32" s="5"/>
      <c r="C32" s="5"/>
      <c r="D32" s="5"/>
      <c r="E32" s="5"/>
      <c r="F32" s="5"/>
      <c r="G32" s="6"/>
    </row>
    <row r="33" spans="2:7" x14ac:dyDescent="0.25">
      <c r="B33" s="22"/>
      <c r="C33" s="22"/>
      <c r="D33" s="22"/>
      <c r="E33" s="22"/>
      <c r="F33" s="22"/>
      <c r="G33" s="22"/>
    </row>
  </sheetData>
  <pageMargins left="0.25" right="0.25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6:H29"/>
  <sheetViews>
    <sheetView topLeftCell="B4" workbookViewId="0">
      <selection activeCell="F25" sqref="F25"/>
    </sheetView>
  </sheetViews>
  <sheetFormatPr defaultRowHeight="15" x14ac:dyDescent="0.25"/>
  <cols>
    <col min="1" max="1" width="2.28515625" customWidth="1"/>
    <col min="2" max="2" width="2.42578125" customWidth="1"/>
    <col min="3" max="3" width="33.85546875" customWidth="1"/>
    <col min="4" max="4" width="16.28515625" customWidth="1"/>
    <col min="5" max="5" width="15" customWidth="1"/>
    <col min="6" max="6" width="16" bestFit="1" customWidth="1"/>
    <col min="7" max="7" width="13.28515625" bestFit="1" customWidth="1"/>
    <col min="8" max="8" width="20.28515625" bestFit="1" customWidth="1"/>
    <col min="9" max="9" width="15.28515625" customWidth="1"/>
    <col min="10" max="10" width="20" bestFit="1" customWidth="1"/>
  </cols>
  <sheetData>
    <row r="6" spans="3:8" ht="16.5" thickBot="1" x14ac:dyDescent="0.3">
      <c r="C6" t="s">
        <v>54</v>
      </c>
      <c r="D6" s="2" t="s">
        <v>6</v>
      </c>
      <c r="E6" s="2" t="s">
        <v>7</v>
      </c>
      <c r="F6" s="2" t="s">
        <v>8</v>
      </c>
      <c r="G6" s="2" t="s">
        <v>9</v>
      </c>
      <c r="H6" s="3" t="s">
        <v>12</v>
      </c>
    </row>
    <row r="7" spans="3:8" ht="15.75" thickTop="1" x14ac:dyDescent="0.25">
      <c r="C7" s="12" t="s">
        <v>50</v>
      </c>
      <c r="D7" s="7">
        <f>'Projected Income'!$C$13</f>
        <v>1940</v>
      </c>
      <c r="E7" s="7">
        <f>'Projected Income'!D13</f>
        <v>1885</v>
      </c>
      <c r="F7" s="7">
        <f>'Projected Income'!$E$13</f>
        <v>1035</v>
      </c>
      <c r="G7" s="7">
        <f>'Projected Income'!$F$13</f>
        <v>1035</v>
      </c>
      <c r="H7" s="7">
        <f>'Projected Income'!$G$13</f>
        <v>5895</v>
      </c>
    </row>
    <row r="8" spans="3:8" x14ac:dyDescent="0.25">
      <c r="C8" s="12" t="s">
        <v>49</v>
      </c>
      <c r="D8" s="7">
        <f>-'Projected Debts and Liabilities'!$C$16</f>
        <v>-1000</v>
      </c>
      <c r="E8" s="7">
        <f>-'Projected Debts and Liabilities'!$D$16</f>
        <v>-1650</v>
      </c>
      <c r="F8" s="7">
        <f>-'Projected Debts and Liabilities'!$E$16</f>
        <v>-1750</v>
      </c>
      <c r="G8" s="7">
        <f>-'Projected Debts and Liabilities'!$F$16</f>
        <v>-650</v>
      </c>
      <c r="H8" s="7">
        <f>-'Projected Debts and Liabilities'!$G$16</f>
        <v>-5050</v>
      </c>
    </row>
    <row r="9" spans="3:8" x14ac:dyDescent="0.25">
      <c r="C9" s="14"/>
      <c r="D9" s="7"/>
      <c r="E9" s="7"/>
      <c r="F9" s="7"/>
      <c r="G9" s="7"/>
      <c r="H9" s="7"/>
    </row>
    <row r="10" spans="3:8" x14ac:dyDescent="0.25">
      <c r="C10" s="13" t="s">
        <v>48</v>
      </c>
      <c r="D10" s="7">
        <f>SUM(D7:D8)</f>
        <v>940</v>
      </c>
      <c r="E10" s="7">
        <f>SUM('Projected Income'!$D$13 - 'Projected Debts and Liabilities'!$D$16)</f>
        <v>235</v>
      </c>
      <c r="F10" s="7">
        <f t="shared" ref="F10:H10" si="0">SUM(F7:F9)</f>
        <v>-715</v>
      </c>
      <c r="G10" s="7">
        <f t="shared" si="0"/>
        <v>385</v>
      </c>
      <c r="H10" s="7">
        <f t="shared" si="0"/>
        <v>845</v>
      </c>
    </row>
    <row r="13" spans="3:8" ht="16.5" thickBot="1" x14ac:dyDescent="0.3">
      <c r="C13" t="s">
        <v>77</v>
      </c>
      <c r="D13" s="2" t="s">
        <v>6</v>
      </c>
      <c r="E13" s="2" t="s">
        <v>7</v>
      </c>
      <c r="F13" s="2" t="s">
        <v>8</v>
      </c>
      <c r="G13" s="2" t="s">
        <v>9</v>
      </c>
      <c r="H13" s="3" t="s">
        <v>12</v>
      </c>
    </row>
    <row r="14" spans="3:8" ht="15.75" thickTop="1" x14ac:dyDescent="0.25">
      <c r="C14" s="12" t="s">
        <v>78</v>
      </c>
      <c r="D14" s="7">
        <v>188.57</v>
      </c>
      <c r="E14" s="7">
        <f>D17</f>
        <v>1128.5700000000002</v>
      </c>
      <c r="F14" s="7">
        <f>E17</f>
        <v>1363.5700000000002</v>
      </c>
      <c r="G14" s="7">
        <f>F17</f>
        <v>648.57000000000016</v>
      </c>
      <c r="H14" s="7">
        <f>SUM(D14:G14)</f>
        <v>3329.28</v>
      </c>
    </row>
    <row r="15" spans="3:8" x14ac:dyDescent="0.25">
      <c r="C15" s="12" t="s">
        <v>50</v>
      </c>
      <c r="D15" s="7">
        <f>'Projected Income'!$C$13</f>
        <v>1940</v>
      </c>
      <c r="E15" s="7">
        <f>'Projected Income'!D13</f>
        <v>1885</v>
      </c>
      <c r="F15" s="7">
        <f>'Projected Income'!$E$13</f>
        <v>1035</v>
      </c>
      <c r="G15" s="7">
        <f>'Projected Income'!$F$13</f>
        <v>1035</v>
      </c>
      <c r="H15" s="7">
        <f>'Projected Income'!$G$13</f>
        <v>5895</v>
      </c>
    </row>
    <row r="16" spans="3:8" x14ac:dyDescent="0.25">
      <c r="C16" s="12" t="s">
        <v>49</v>
      </c>
      <c r="D16" s="7">
        <f>-'Projected Debts and Liabilities'!$C$16</f>
        <v>-1000</v>
      </c>
      <c r="E16" s="7">
        <f>-'Projected Debts and Liabilities'!$D$16</f>
        <v>-1650</v>
      </c>
      <c r="F16" s="7">
        <f>-'Projected Debts and Liabilities'!$E$16</f>
        <v>-1750</v>
      </c>
      <c r="G16" s="7">
        <f>-'Projected Debts and Liabilities'!$F$16</f>
        <v>-650</v>
      </c>
      <c r="H16" s="7">
        <f>-'Projected Debts and Liabilities'!$G$16</f>
        <v>-5050</v>
      </c>
    </row>
    <row r="17" spans="3:8" x14ac:dyDescent="0.25">
      <c r="C17" s="13" t="s">
        <v>48</v>
      </c>
      <c r="D17" s="7">
        <f>SUM(D14:D16)</f>
        <v>1128.5700000000002</v>
      </c>
      <c r="E17" s="7">
        <f>SUM(E14:E16)</f>
        <v>1363.5700000000002</v>
      </c>
      <c r="F17" s="7">
        <f>SUM(F14:F16)</f>
        <v>648.57000000000016</v>
      </c>
      <c r="G17" s="7">
        <f>SUM(G14:G16)</f>
        <v>1033.5700000000002</v>
      </c>
      <c r="H17" s="7">
        <f>SUM(H14:H16)</f>
        <v>4174.2800000000007</v>
      </c>
    </row>
    <row r="23" spans="3:8" x14ac:dyDescent="0.25">
      <c r="C23" s="15" t="s">
        <v>75</v>
      </c>
      <c r="D23" s="16">
        <f>H10</f>
        <v>845</v>
      </c>
    </row>
    <row r="24" spans="3:8" x14ac:dyDescent="0.25">
      <c r="C24" s="15" t="s">
        <v>53</v>
      </c>
      <c r="D24" s="23">
        <v>188.57</v>
      </c>
    </row>
    <row r="25" spans="3:8" x14ac:dyDescent="0.25">
      <c r="C25" s="15" t="s">
        <v>70</v>
      </c>
      <c r="D25" s="23">
        <v>980</v>
      </c>
      <c r="F25" t="s">
        <v>76</v>
      </c>
    </row>
    <row r="27" spans="3:8" x14ac:dyDescent="0.25">
      <c r="C27" s="4" t="s">
        <v>71</v>
      </c>
      <c r="D27" s="17">
        <f>SUM(D23:D26)</f>
        <v>2013.57</v>
      </c>
    </row>
    <row r="29" spans="3:8" x14ac:dyDescent="0.25">
      <c r="C29" t="s">
        <v>72</v>
      </c>
      <c r="D29" s="5">
        <v>2335.4299999999998</v>
      </c>
    </row>
  </sheetData>
  <pageMargins left="0.25" right="0.25" top="0.75" bottom="0.75" header="0.3" footer="0.3"/>
  <pageSetup scale="93" orientation="landscape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19" sqref="E19"/>
    </sheetView>
  </sheetViews>
  <sheetFormatPr defaultRowHeight="15" x14ac:dyDescent="0.25"/>
  <cols>
    <col min="2" max="2" width="42.42578125" bestFit="1" customWidth="1"/>
    <col min="3" max="3" width="35.140625" customWidth="1"/>
    <col min="4" max="4" width="33.42578125" bestFit="1" customWidth="1"/>
    <col min="5" max="5" width="16.7109375" customWidth="1"/>
    <col min="7" max="7" width="10.42578125" bestFit="1" customWidth="1"/>
    <col min="8" max="8" width="10.140625" bestFit="1" customWidth="1"/>
  </cols>
  <sheetData>
    <row r="1" spans="1:8" x14ac:dyDescent="0.25">
      <c r="A1" t="s">
        <v>19</v>
      </c>
      <c r="B1" t="s">
        <v>20</v>
      </c>
      <c r="C1" t="s">
        <v>24</v>
      </c>
      <c r="D1" t="s">
        <v>27</v>
      </c>
    </row>
    <row r="2" spans="1:8" ht="48" customHeight="1" x14ac:dyDescent="0.25">
      <c r="A2" t="s">
        <v>13</v>
      </c>
      <c r="B2" t="s">
        <v>22</v>
      </c>
      <c r="C2" t="s">
        <v>26</v>
      </c>
      <c r="D2" t="s">
        <v>37</v>
      </c>
    </row>
    <row r="3" spans="1:8" ht="61.5" customHeight="1" x14ac:dyDescent="0.25">
      <c r="A3" t="s">
        <v>14</v>
      </c>
      <c r="B3" t="s">
        <v>34</v>
      </c>
      <c r="C3" t="s">
        <v>35</v>
      </c>
      <c r="D3" t="s">
        <v>36</v>
      </c>
    </row>
    <row r="4" spans="1:8" ht="60" x14ac:dyDescent="0.25">
      <c r="A4" t="s">
        <v>15</v>
      </c>
      <c r="B4" t="s">
        <v>29</v>
      </c>
      <c r="C4" s="10" t="s">
        <v>23</v>
      </c>
      <c r="D4" t="s">
        <v>28</v>
      </c>
    </row>
    <row r="5" spans="1:8" ht="71.25" customHeight="1" x14ac:dyDescent="0.25">
      <c r="A5" t="s">
        <v>16</v>
      </c>
      <c r="B5" t="s">
        <v>25</v>
      </c>
      <c r="C5" t="s">
        <v>21</v>
      </c>
      <c r="D5" t="s">
        <v>33</v>
      </c>
    </row>
    <row r="6" spans="1:8" ht="48" customHeight="1" x14ac:dyDescent="0.25">
      <c r="A6" t="s">
        <v>17</v>
      </c>
      <c r="B6" s="11" t="s">
        <v>30</v>
      </c>
      <c r="C6" t="s">
        <v>31</v>
      </c>
      <c r="D6" t="s">
        <v>32</v>
      </c>
    </row>
    <row r="14" spans="1:8" x14ac:dyDescent="0.25">
      <c r="B14" t="s">
        <v>18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</row>
    <row r="15" spans="1:8" x14ac:dyDescent="0.25">
      <c r="A15" t="s">
        <v>13</v>
      </c>
      <c r="B15" s="9">
        <v>75</v>
      </c>
      <c r="C15" s="9">
        <v>75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</row>
    <row r="16" spans="1:8" x14ac:dyDescent="0.25">
      <c r="A16" t="s">
        <v>14</v>
      </c>
      <c r="B16" s="9">
        <v>0</v>
      </c>
      <c r="C16" s="9">
        <v>70</v>
      </c>
      <c r="D16" s="9">
        <v>75</v>
      </c>
      <c r="E16" s="9">
        <v>0</v>
      </c>
      <c r="F16" s="9">
        <v>0</v>
      </c>
      <c r="G16" s="9">
        <v>0</v>
      </c>
      <c r="H16" s="9">
        <v>0</v>
      </c>
    </row>
    <row r="17" spans="1:8" x14ac:dyDescent="0.25">
      <c r="A17" t="s">
        <v>15</v>
      </c>
      <c r="B17" s="9">
        <v>0</v>
      </c>
      <c r="C17" s="9">
        <v>75</v>
      </c>
      <c r="D17" s="9">
        <v>75</v>
      </c>
      <c r="E17" s="9">
        <v>75</v>
      </c>
      <c r="F17" s="9">
        <v>75</v>
      </c>
      <c r="G17" s="9">
        <v>75</v>
      </c>
      <c r="H17" s="9">
        <v>75</v>
      </c>
    </row>
    <row r="18" spans="1:8" x14ac:dyDescent="0.25">
      <c r="A18" t="s">
        <v>16</v>
      </c>
      <c r="B18" s="9">
        <v>75</v>
      </c>
      <c r="C18" s="9">
        <v>75</v>
      </c>
      <c r="D18" s="9">
        <v>75</v>
      </c>
      <c r="E18" s="9">
        <v>0</v>
      </c>
      <c r="F18" s="9">
        <v>0</v>
      </c>
      <c r="G18" s="9">
        <v>0</v>
      </c>
      <c r="H18" s="9">
        <v>0</v>
      </c>
    </row>
    <row r="19" spans="1:8" x14ac:dyDescent="0.25">
      <c r="A19" t="s">
        <v>82</v>
      </c>
      <c r="B19" s="9">
        <v>0</v>
      </c>
      <c r="C19" s="9">
        <v>0</v>
      </c>
      <c r="D19" s="9">
        <v>0</v>
      </c>
      <c r="E19" s="9">
        <v>150</v>
      </c>
      <c r="F19" s="9"/>
      <c r="G19" s="9"/>
      <c r="H19" s="9"/>
    </row>
  </sheetData>
  <hyperlinks>
    <hyperlink ref="B6" r:id="rId1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workbookViewId="0">
      <selection activeCell="C4" sqref="C4"/>
    </sheetView>
  </sheetViews>
  <sheetFormatPr defaultRowHeight="15" x14ac:dyDescent="0.25"/>
  <cols>
    <col min="1" max="1" width="17" bestFit="1" customWidth="1"/>
    <col min="2" max="2" width="15.42578125" style="18" customWidth="1"/>
  </cols>
  <sheetData>
    <row r="3" spans="1:3" x14ac:dyDescent="0.25">
      <c r="A3" t="s">
        <v>55</v>
      </c>
      <c r="B3" s="18" t="s">
        <v>65</v>
      </c>
      <c r="C3">
        <v>400</v>
      </c>
    </row>
    <row r="4" spans="1:3" x14ac:dyDescent="0.25">
      <c r="A4" t="s">
        <v>56</v>
      </c>
      <c r="C4">
        <v>200</v>
      </c>
    </row>
    <row r="5" spans="1:3" x14ac:dyDescent="0.25">
      <c r="A5" t="s">
        <v>57</v>
      </c>
    </row>
    <row r="6" spans="1:3" x14ac:dyDescent="0.25">
      <c r="A6" t="s">
        <v>58</v>
      </c>
      <c r="B6" s="18" t="s">
        <v>65</v>
      </c>
      <c r="C6">
        <v>400</v>
      </c>
    </row>
    <row r="7" spans="1:3" x14ac:dyDescent="0.25">
      <c r="A7" t="s">
        <v>59</v>
      </c>
      <c r="B7" s="18" t="s">
        <v>65</v>
      </c>
      <c r="C7">
        <v>400</v>
      </c>
    </row>
    <row r="8" spans="1:3" x14ac:dyDescent="0.25">
      <c r="A8" t="s">
        <v>60</v>
      </c>
      <c r="B8" s="18" t="s">
        <v>65</v>
      </c>
      <c r="C8">
        <v>400</v>
      </c>
    </row>
    <row r="9" spans="1:3" x14ac:dyDescent="0.25">
      <c r="A9" t="s">
        <v>61</v>
      </c>
      <c r="B9" s="18" t="s">
        <v>65</v>
      </c>
      <c r="C9">
        <v>400</v>
      </c>
    </row>
    <row r="10" spans="1:3" x14ac:dyDescent="0.25">
      <c r="A10" t="s">
        <v>62</v>
      </c>
    </row>
    <row r="11" spans="1:3" x14ac:dyDescent="0.25">
      <c r="A11" t="s">
        <v>63</v>
      </c>
    </row>
    <row r="12" spans="1:3" x14ac:dyDescent="0.25">
      <c r="A12" t="s">
        <v>64</v>
      </c>
      <c r="B12" s="18" t="s">
        <v>65</v>
      </c>
      <c r="C12">
        <v>400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Projected Income</vt:lpstr>
      <vt:lpstr>Projected Debts and Liabilities</vt:lpstr>
      <vt:lpstr>Projected Totals</vt:lpstr>
      <vt:lpstr>Parkers</vt:lpstr>
      <vt:lpstr>Brother Fees</vt:lpstr>
      <vt:lpstr>liabilitytotals</vt:lpstr>
      <vt:lpstr>Monthly_Totals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Warbuxx</dc:creator>
  <cp:lastModifiedBy>Warbuxx</cp:lastModifiedBy>
  <cp:lastPrinted>2011-07-20T00:16:34Z</cp:lastPrinted>
  <dcterms:created xsi:type="dcterms:W3CDTF">2011-07-04T12:32:52Z</dcterms:created>
  <dcterms:modified xsi:type="dcterms:W3CDTF">2011-09-15T01:38:55Z</dcterms:modified>
</cp:coreProperties>
</file>