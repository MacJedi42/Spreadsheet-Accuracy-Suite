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2.bin" ContentType="application/vnd.openxmlformats-officedocument.oleObject"/>
  <Override PartName="/xl/comments2.xml" ContentType="application/vnd.openxmlformats-officedocument.spreadsheetml.comments+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44" yWindow="444" windowWidth="19140" windowHeight="7236" activeTab="1"/>
  </bookViews>
  <sheets>
    <sheet name="OxyEnrich" sheetId="5" r:id="rId1"/>
    <sheet name="AirPreHeat" sheetId="4" r:id="rId2"/>
    <sheet name="Sheet1" sheetId="6" r:id="rId3"/>
  </sheets>
  <definedNames>
    <definedName name="solver_adj" localSheetId="1" hidden="1">AirPreHeat!$Q$35,AirPreHeat!$K$12,AirPreHeat!$R$12</definedName>
    <definedName name="solver_adj" localSheetId="0" hidden="1">OxyEnrich!$Q$32,OxyEnrich!$K$12</definedName>
    <definedName name="solver_cvg" localSheetId="1" hidden="1">0.0001</definedName>
    <definedName name="solver_cvg" localSheetId="0" hidden="1">0.0001</definedName>
    <definedName name="solver_drv" localSheetId="1" hidden="1">1</definedName>
    <definedName name="solver_drv" localSheetId="0" hidden="1">1</definedName>
    <definedName name="solver_eng" localSheetId="1" hidden="1">1</definedName>
    <definedName name="solver_eng" localSheetId="0" hidden="1">1</definedName>
    <definedName name="solver_est" localSheetId="1" hidden="1">1</definedName>
    <definedName name="solver_est" localSheetId="0" hidden="1">1</definedName>
    <definedName name="solver_itr" localSheetId="1" hidden="1">2147483647</definedName>
    <definedName name="solver_itr" localSheetId="0" hidden="1">2147483647</definedName>
    <definedName name="solver_lhs1" localSheetId="1" hidden="1">AirPreHeat!$Q$43</definedName>
    <definedName name="solver_lhs1" localSheetId="0" hidden="1">OxyEnrich!$Q$27</definedName>
    <definedName name="solver_lhs2" localSheetId="1" hidden="1">AirPreHeat!$R$55</definedName>
    <definedName name="solver_mip" localSheetId="1" hidden="1">2147483647</definedName>
    <definedName name="solver_mip" localSheetId="0" hidden="1">2147483647</definedName>
    <definedName name="solver_mni" localSheetId="1" hidden="1">30</definedName>
    <definedName name="solver_mni" localSheetId="0" hidden="1">30</definedName>
    <definedName name="solver_mrt" localSheetId="1" hidden="1">0.075</definedName>
    <definedName name="solver_mrt" localSheetId="0" hidden="1">0.075</definedName>
    <definedName name="solver_msl" localSheetId="1" hidden="1">2</definedName>
    <definedName name="solver_msl" localSheetId="0" hidden="1">2</definedName>
    <definedName name="solver_neg" localSheetId="1" hidden="1">1</definedName>
    <definedName name="solver_neg" localSheetId="0" hidden="1">1</definedName>
    <definedName name="solver_nod" localSheetId="1" hidden="1">2147483647</definedName>
    <definedName name="solver_nod" localSheetId="0" hidden="1">2147483647</definedName>
    <definedName name="solver_num" localSheetId="1" hidden="1">2</definedName>
    <definedName name="solver_num" localSheetId="0" hidden="1">1</definedName>
    <definedName name="solver_nwt" localSheetId="1" hidden="1">1</definedName>
    <definedName name="solver_nwt" localSheetId="0" hidden="1">1</definedName>
    <definedName name="solver_opt" localSheetId="1" hidden="1">AirPreHeat!$Q$31</definedName>
    <definedName name="solver_opt" localSheetId="0" hidden="1">OxyEnrich!$Q$40</definedName>
    <definedName name="solver_pre" localSheetId="1" hidden="1">0.000001</definedName>
    <definedName name="solver_pre" localSheetId="0" hidden="1">0.000001</definedName>
    <definedName name="solver_rbv" localSheetId="1" hidden="1">1</definedName>
    <definedName name="solver_rbv" localSheetId="0" hidden="1">1</definedName>
    <definedName name="solver_rel1" localSheetId="1" hidden="1">2</definedName>
    <definedName name="solver_rel1" localSheetId="0" hidden="1">2</definedName>
    <definedName name="solver_rel2" localSheetId="1" hidden="1">2</definedName>
    <definedName name="solver_rhs1" localSheetId="1" hidden="1">0</definedName>
    <definedName name="solver_rhs1" localSheetId="0" hidden="1">0</definedName>
    <definedName name="solver_rhs2" localSheetId="1" hidden="1">0</definedName>
    <definedName name="solver_rlx" localSheetId="1" hidden="1">2</definedName>
    <definedName name="solver_rlx" localSheetId="0" hidden="1">2</definedName>
    <definedName name="solver_rsd" localSheetId="1" hidden="1">0</definedName>
    <definedName name="solver_rsd" localSheetId="0" hidden="1">0</definedName>
    <definedName name="solver_scl" localSheetId="1" hidden="1">1</definedName>
    <definedName name="solver_scl" localSheetId="0" hidden="1">1</definedName>
    <definedName name="solver_sho" localSheetId="1" hidden="1">2</definedName>
    <definedName name="solver_sho" localSheetId="0" hidden="1">2</definedName>
    <definedName name="solver_ssz" localSheetId="1" hidden="1">100</definedName>
    <definedName name="solver_ssz" localSheetId="0" hidden="1">100</definedName>
    <definedName name="solver_tim" localSheetId="1" hidden="1">2147483647</definedName>
    <definedName name="solver_tim" localSheetId="0" hidden="1">2147483647</definedName>
    <definedName name="solver_tol" localSheetId="1" hidden="1">0.01</definedName>
    <definedName name="solver_tol" localSheetId="0" hidden="1">0.01</definedName>
    <definedName name="solver_typ" localSheetId="1" hidden="1">3</definedName>
    <definedName name="solver_typ" localSheetId="0" hidden="1">3</definedName>
    <definedName name="solver_val" localSheetId="1" hidden="1">0</definedName>
    <definedName name="solver_val" localSheetId="0" hidden="1">0</definedName>
    <definedName name="solver_ver" localSheetId="1" hidden="1">3</definedName>
    <definedName name="solver_ver" localSheetId="0" hidden="1">3</definedName>
  </definedNames>
  <calcPr calcId="145621" iterateDelta="1.0000000000000001E-5"/>
</workbook>
</file>

<file path=xl/calcChain.xml><?xml version="1.0" encoding="utf-8"?>
<calcChain xmlns="http://schemas.openxmlformats.org/spreadsheetml/2006/main">
  <c r="Q27" i="4" l="1"/>
  <c r="Q53" i="4" l="1"/>
  <c r="Q52" i="4"/>
  <c r="Q51" i="4"/>
  <c r="Q50" i="4"/>
  <c r="Q39" i="5" l="1"/>
  <c r="Q26" i="5"/>
  <c r="Q25" i="5"/>
  <c r="Q24" i="5"/>
  <c r="J22" i="5"/>
  <c r="G18" i="5"/>
  <c r="K13" i="5"/>
  <c r="C8" i="5"/>
  <c r="S17" i="4"/>
  <c r="Q30" i="4" s="1"/>
  <c r="Q42" i="4"/>
  <c r="Q29" i="4"/>
  <c r="Q28" i="4"/>
  <c r="J22" i="4"/>
  <c r="G18" i="4"/>
  <c r="K13" i="4"/>
  <c r="C8" i="4" s="1"/>
  <c r="D30" i="5" l="1"/>
  <c r="Q37" i="5" s="1"/>
  <c r="K20" i="5"/>
  <c r="C9" i="5"/>
  <c r="E17" i="5"/>
  <c r="E18" i="5" s="1"/>
  <c r="K18" i="5"/>
  <c r="D27" i="5"/>
  <c r="J30" i="5"/>
  <c r="D29" i="5"/>
  <c r="E20" i="5"/>
  <c r="Q18" i="5"/>
  <c r="C10" i="5"/>
  <c r="Q33" i="5"/>
  <c r="E21" i="5"/>
  <c r="E19" i="5"/>
  <c r="C11" i="5"/>
  <c r="J27" i="5"/>
  <c r="Q35" i="5"/>
  <c r="K17" i="5"/>
  <c r="K19" i="5"/>
  <c r="K21" i="5"/>
  <c r="D28" i="5"/>
  <c r="R54" i="4"/>
  <c r="E17" i="4"/>
  <c r="K18" i="4"/>
  <c r="K19" i="4"/>
  <c r="K21" i="4"/>
  <c r="D28" i="4"/>
  <c r="C9" i="4"/>
  <c r="K17" i="4"/>
  <c r="K20" i="4"/>
  <c r="D27" i="4"/>
  <c r="J28" i="5" l="1"/>
  <c r="K23" i="5"/>
  <c r="Q20" i="5"/>
  <c r="Q22" i="5"/>
  <c r="D31" i="5"/>
  <c r="Q38" i="5"/>
  <c r="J29" i="5"/>
  <c r="E18" i="4"/>
  <c r="D30" i="4" s="1"/>
  <c r="J27" i="4"/>
  <c r="Q38" i="4"/>
  <c r="K23" i="4"/>
  <c r="J28" i="4"/>
  <c r="Q23" i="5" l="1"/>
  <c r="E27" i="5"/>
  <c r="E30" i="5"/>
  <c r="Q34" i="5"/>
  <c r="Q19" i="5"/>
  <c r="Q36" i="5"/>
  <c r="Q21" i="5"/>
  <c r="E29" i="5"/>
  <c r="J31" i="5"/>
  <c r="E28" i="5"/>
  <c r="R49" i="4"/>
  <c r="E20" i="4"/>
  <c r="E19" i="4"/>
  <c r="C10" i="4"/>
  <c r="Q36" i="4"/>
  <c r="C11" i="4"/>
  <c r="Q21" i="4"/>
  <c r="E21" i="4"/>
  <c r="D29" i="4"/>
  <c r="J29" i="4" s="1"/>
  <c r="Q40" i="4"/>
  <c r="J30" i="4"/>
  <c r="R51" i="4"/>
  <c r="Q24" i="4"/>
  <c r="Q23" i="4"/>
  <c r="R50" i="4"/>
  <c r="Q39" i="4"/>
  <c r="Q37" i="4"/>
  <c r="Q22" i="4"/>
  <c r="D31" i="4"/>
  <c r="J32" i="5" l="1"/>
  <c r="K27" i="5"/>
  <c r="K30" i="5"/>
  <c r="Q40" i="5"/>
  <c r="K29" i="5"/>
  <c r="K28" i="5"/>
  <c r="Q27" i="5"/>
  <c r="Q41" i="4"/>
  <c r="Q43" i="4" s="1"/>
  <c r="R52" i="4"/>
  <c r="Q25" i="4"/>
  <c r="J31" i="4"/>
  <c r="J32" i="4" s="1"/>
  <c r="Q55" i="4"/>
  <c r="Q26" i="4"/>
  <c r="R53" i="4"/>
  <c r="E30" i="4"/>
  <c r="E27" i="4"/>
  <c r="E28" i="4"/>
  <c r="E29" i="4"/>
  <c r="R55" i="4" l="1"/>
  <c r="K28" i="4"/>
  <c r="K29" i="4"/>
  <c r="K27" i="4"/>
  <c r="K30" i="4"/>
  <c r="Q31" i="4"/>
</calcChain>
</file>

<file path=xl/comments1.xml><?xml version="1.0" encoding="utf-8"?>
<comments xmlns="http://schemas.openxmlformats.org/spreadsheetml/2006/main">
  <authors>
    <author>thermart</author>
    <author>Art Morris</author>
  </authors>
  <commentList>
    <comment ref="E13" authorId="0">
      <text>
        <r>
          <rPr>
            <sz val="10"/>
            <color indexed="81"/>
            <rFont val="Tahoma"/>
            <family val="2"/>
          </rPr>
          <t>Enter values &gt;21% to explore the effect of oxygen enrichment.</t>
        </r>
      </text>
    </comment>
    <comment ref="I16" authorId="1">
      <text>
        <r>
          <rPr>
            <sz val="11"/>
            <color indexed="81"/>
            <rFont val="Tahoma"/>
            <family val="2"/>
          </rPr>
          <t>Hydrocarbons other than the listed species are usually present in such small amounts that they do not affect the calculation.  "Other" refers to non-hydrocarbon species.</t>
        </r>
      </text>
    </comment>
    <comment ref="J16" authorId="1">
      <text>
        <r>
          <rPr>
            <sz val="10"/>
            <color indexed="81"/>
            <rFont val="Tahoma"/>
            <family val="2"/>
          </rPr>
          <t>Enter the volume % of natural gas hydrocarbons.  The "other" is calculated as N2.</t>
        </r>
      </text>
    </comment>
    <comment ref="I17" authorId="1">
      <text>
        <r>
          <rPr>
            <sz val="11"/>
            <color indexed="81"/>
            <rFont val="Tahoma"/>
            <family val="2"/>
          </rPr>
          <t>Methane</t>
        </r>
      </text>
    </comment>
    <comment ref="I18" authorId="1">
      <text>
        <r>
          <rPr>
            <sz val="11"/>
            <color indexed="81"/>
            <rFont val="Tahoma"/>
            <family val="2"/>
          </rPr>
          <t>Ethene</t>
        </r>
      </text>
    </comment>
    <comment ref="I19" authorId="1">
      <text>
        <r>
          <rPr>
            <sz val="11"/>
            <color indexed="81"/>
            <rFont val="Tahoma"/>
            <family val="2"/>
          </rPr>
          <t>Ethane</t>
        </r>
      </text>
    </comment>
    <comment ref="I20" authorId="1">
      <text>
        <r>
          <rPr>
            <sz val="11"/>
            <color indexed="81"/>
            <rFont val="Tahoma"/>
            <family val="2"/>
          </rPr>
          <t>Propane</t>
        </r>
      </text>
    </comment>
    <comment ref="I21" authorId="1">
      <text>
        <r>
          <rPr>
            <sz val="11"/>
            <color indexed="81"/>
            <rFont val="Tahoma"/>
            <family val="2"/>
          </rPr>
          <t>Butane &amp; higher</t>
        </r>
      </text>
    </comment>
    <comment ref="I22" authorId="1">
      <text>
        <r>
          <rPr>
            <sz val="11"/>
            <color indexed="81"/>
            <rFont val="Tahoma"/>
            <family val="2"/>
          </rPr>
          <t>Assumed N2</t>
        </r>
      </text>
    </comment>
  </commentList>
</comments>
</file>

<file path=xl/comments2.xml><?xml version="1.0" encoding="utf-8"?>
<comments xmlns="http://schemas.openxmlformats.org/spreadsheetml/2006/main">
  <authors>
    <author>thermart</author>
    <author>Art Morris</author>
  </authors>
  <commentList>
    <comment ref="J9" authorId="0">
      <text>
        <r>
          <rPr>
            <b/>
            <sz val="9"/>
            <color indexed="81"/>
            <rFont val="Tahoma"/>
            <family val="2"/>
          </rPr>
          <t>Stream #2</t>
        </r>
      </text>
    </comment>
    <comment ref="E10" authorId="0">
      <text>
        <r>
          <rPr>
            <b/>
            <sz val="9"/>
            <color indexed="81"/>
            <rFont val="Tahoma"/>
            <family val="2"/>
          </rPr>
          <t>Stream #1"</t>
        </r>
      </text>
    </comment>
    <comment ref="G10" authorId="0">
      <text>
        <r>
          <rPr>
            <b/>
            <sz val="9"/>
            <color indexed="81"/>
            <rFont val="Tahoma"/>
            <family val="2"/>
          </rPr>
          <t>Stream #5.</t>
        </r>
        <r>
          <rPr>
            <sz val="9"/>
            <color indexed="81"/>
            <rFont val="Tahoma"/>
            <family val="2"/>
          </rPr>
          <t xml:space="preserve">
</t>
        </r>
      </text>
    </comment>
    <comment ref="S10" authorId="0">
      <text>
        <r>
          <rPr>
            <b/>
            <sz val="9"/>
            <color indexed="81"/>
            <rFont val="Tahoma"/>
            <family val="2"/>
          </rPr>
          <t>Stream #4'.</t>
        </r>
      </text>
    </comment>
    <comment ref="E11" authorId="0">
      <text>
        <r>
          <rPr>
            <sz val="10"/>
            <color indexed="81"/>
            <rFont val="Tahoma"/>
            <family val="2"/>
          </rPr>
          <t>The basis case value is 25.  Enter values &gt;25 to explore the effect of air preheat.</t>
        </r>
      </text>
    </comment>
    <comment ref="N11" authorId="0">
      <text>
        <r>
          <rPr>
            <b/>
            <sz val="9"/>
            <color indexed="81"/>
            <rFont val="Tahoma"/>
            <family val="2"/>
          </rPr>
          <t>Stream #7.</t>
        </r>
      </text>
    </comment>
    <comment ref="U11" authorId="0">
      <text>
        <r>
          <rPr>
            <b/>
            <sz val="9"/>
            <color indexed="81"/>
            <rFont val="Tahoma"/>
            <family val="2"/>
          </rPr>
          <t>Stream #4</t>
        </r>
      </text>
    </comment>
    <comment ref="I16" authorId="1">
      <text>
        <r>
          <rPr>
            <sz val="11"/>
            <color indexed="81"/>
            <rFont val="Tahoma"/>
            <family val="2"/>
          </rPr>
          <t>Hydrocarbons other than the listed species are usually present in such small amounts that they do not affect the calculation.  "Other" refers to non-hydrocarbon species.</t>
        </r>
      </text>
    </comment>
    <comment ref="J16" authorId="1">
      <text>
        <r>
          <rPr>
            <sz val="10"/>
            <color indexed="81"/>
            <rFont val="Tahoma"/>
            <family val="2"/>
          </rPr>
          <t>Enter the volume % of natural gas hydrocarbons.  The "other" is calculated as N2.</t>
        </r>
      </text>
    </comment>
    <comment ref="S16" authorId="0">
      <text>
        <r>
          <rPr>
            <sz val="9"/>
            <color indexed="81"/>
            <rFont val="Tahoma"/>
            <family val="2"/>
          </rPr>
          <t>The basis case heat loss is calculated in cell Q54 by a heat balance on the HX.</t>
        </r>
      </text>
    </comment>
    <comment ref="I17" authorId="1">
      <text>
        <r>
          <rPr>
            <sz val="11"/>
            <color indexed="81"/>
            <rFont val="Tahoma"/>
            <family val="2"/>
          </rPr>
          <t>Methane</t>
        </r>
      </text>
    </comment>
    <comment ref="S17" authorId="0">
      <text>
        <r>
          <rPr>
            <sz val="10"/>
            <color indexed="81"/>
            <rFont val="Tahoma"/>
            <family val="2"/>
          </rPr>
          <t>This value varies with the extent of air preheat temperature.</t>
        </r>
      </text>
    </comment>
    <comment ref="I18" authorId="1">
      <text>
        <r>
          <rPr>
            <sz val="11"/>
            <color indexed="81"/>
            <rFont val="Tahoma"/>
            <family val="2"/>
          </rPr>
          <t>Ethene</t>
        </r>
      </text>
    </comment>
    <comment ref="I19" authorId="1">
      <text>
        <r>
          <rPr>
            <sz val="11"/>
            <color indexed="81"/>
            <rFont val="Tahoma"/>
            <family val="2"/>
          </rPr>
          <t>Ethane</t>
        </r>
      </text>
    </comment>
    <comment ref="I20" authorId="1">
      <text>
        <r>
          <rPr>
            <sz val="11"/>
            <color indexed="81"/>
            <rFont val="Tahoma"/>
            <family val="2"/>
          </rPr>
          <t>Propane</t>
        </r>
      </text>
    </comment>
    <comment ref="I21" authorId="1">
      <text>
        <r>
          <rPr>
            <sz val="11"/>
            <color indexed="81"/>
            <rFont val="Tahoma"/>
            <family val="2"/>
          </rPr>
          <t>Butane &amp; higher</t>
        </r>
      </text>
    </comment>
    <comment ref="I22" authorId="1">
      <text>
        <r>
          <rPr>
            <sz val="11"/>
            <color indexed="81"/>
            <rFont val="Tahoma"/>
            <family val="2"/>
          </rPr>
          <t>Assumed N2</t>
        </r>
      </text>
    </comment>
  </commentList>
</comments>
</file>

<file path=xl/sharedStrings.xml><?xml version="1.0" encoding="utf-8"?>
<sst xmlns="http://schemas.openxmlformats.org/spreadsheetml/2006/main" count="258" uniqueCount="111">
  <si>
    <t>Oxidant</t>
  </si>
  <si>
    <t>Combustion air</t>
  </si>
  <si>
    <t>Leak air</t>
  </si>
  <si>
    <t>Natural Gas</t>
  </si>
  <si>
    <t>Combustion Products</t>
  </si>
  <si>
    <t>Temp, °C</t>
  </si>
  <si>
    <t>Combustion gas</t>
  </si>
  <si>
    <t>kg-mol/min</t>
  </si>
  <si>
    <t>%</t>
  </si>
  <si>
    <t>Press, Atm</t>
  </si>
  <si>
    <r>
      <t>CO</t>
    </r>
    <r>
      <rPr>
        <vertAlign val="subscript"/>
        <sz val="10"/>
        <rFont val="Arial"/>
        <family val="2"/>
      </rPr>
      <t>2</t>
    </r>
  </si>
  <si>
    <r>
      <t>% O</t>
    </r>
    <r>
      <rPr>
        <vertAlign val="subscript"/>
        <sz val="10"/>
        <rFont val="Arial"/>
        <family val="2"/>
      </rPr>
      <t>2</t>
    </r>
  </si>
  <si>
    <r>
      <t>H</t>
    </r>
    <r>
      <rPr>
        <vertAlign val="subscript"/>
        <sz val="10"/>
        <rFont val="Arial"/>
        <family val="2"/>
      </rPr>
      <t>2</t>
    </r>
    <r>
      <rPr>
        <sz val="10"/>
        <rFont val="Arial"/>
        <family val="2"/>
      </rPr>
      <t>O(g)</t>
    </r>
  </si>
  <si>
    <t>Burner</t>
  </si>
  <si>
    <t>Furnace</t>
  </si>
  <si>
    <t>% XS</t>
  </si>
  <si>
    <r>
      <t>O</t>
    </r>
    <r>
      <rPr>
        <vertAlign val="subscript"/>
        <sz val="10"/>
        <rFont val="Arial"/>
        <family val="2"/>
      </rPr>
      <t>2</t>
    </r>
  </si>
  <si>
    <r>
      <t>N</t>
    </r>
    <r>
      <rPr>
        <vertAlign val="subscript"/>
        <sz val="10"/>
        <rFont val="Arial"/>
        <family val="2"/>
      </rPr>
      <t>2</t>
    </r>
  </si>
  <si>
    <t>Burner OG temperature</t>
  </si>
  <si>
    <t>Total</t>
  </si>
  <si>
    <t>1.  Bring combustion air to 25°C</t>
  </si>
  <si>
    <t>Molar ΔH°comb. at 25 °C--LHV</t>
  </si>
  <si>
    <t>kJ/g-mol</t>
  </si>
  <si>
    <t>2.  Burn NatGas</t>
  </si>
  <si>
    <r>
      <t>CH</t>
    </r>
    <r>
      <rPr>
        <vertAlign val="subscript"/>
        <sz val="10"/>
        <rFont val="Arial"/>
        <family val="2"/>
      </rPr>
      <t>4</t>
    </r>
  </si>
  <si>
    <t>Stack gas (includes leak air)</t>
  </si>
  <si>
    <r>
      <t>3.  Heat CO</t>
    </r>
    <r>
      <rPr>
        <vertAlign val="subscript"/>
        <sz val="10"/>
        <rFont val="Arial"/>
        <family val="2"/>
      </rPr>
      <t>2</t>
    </r>
    <r>
      <rPr>
        <sz val="10"/>
        <rFont val="Arial"/>
        <family val="2"/>
      </rPr>
      <t xml:space="preserve"> to burner OG temp.</t>
    </r>
  </si>
  <si>
    <r>
      <t>C</t>
    </r>
    <r>
      <rPr>
        <vertAlign val="subscript"/>
        <sz val="10"/>
        <rFont val="Arial"/>
        <family val="2"/>
      </rPr>
      <t>2</t>
    </r>
    <r>
      <rPr>
        <sz val="10"/>
        <rFont val="Arial"/>
        <family val="2"/>
      </rPr>
      <t>H</t>
    </r>
    <r>
      <rPr>
        <vertAlign val="subscript"/>
        <sz val="10"/>
        <rFont val="Arial"/>
        <family val="2"/>
      </rPr>
      <t>4</t>
    </r>
  </si>
  <si>
    <r>
      <t>4.  Heat H</t>
    </r>
    <r>
      <rPr>
        <vertAlign val="subscript"/>
        <sz val="10"/>
        <rFont val="Arial"/>
        <family val="2"/>
      </rPr>
      <t>2</t>
    </r>
    <r>
      <rPr>
        <sz val="10"/>
        <rFont val="Arial"/>
        <family val="2"/>
      </rPr>
      <t>O(g) to burner OG temp.</t>
    </r>
  </si>
  <si>
    <r>
      <t>C</t>
    </r>
    <r>
      <rPr>
        <vertAlign val="subscript"/>
        <sz val="10"/>
        <rFont val="Arial"/>
        <family val="2"/>
      </rPr>
      <t>2</t>
    </r>
    <r>
      <rPr>
        <sz val="10"/>
        <rFont val="Arial"/>
        <family val="2"/>
      </rPr>
      <t>H</t>
    </r>
    <r>
      <rPr>
        <vertAlign val="subscript"/>
        <sz val="10"/>
        <rFont val="Arial"/>
        <family val="2"/>
      </rPr>
      <t>6</t>
    </r>
  </si>
  <si>
    <r>
      <t>5.  Heat N</t>
    </r>
    <r>
      <rPr>
        <vertAlign val="subscript"/>
        <sz val="10"/>
        <rFont val="Arial"/>
        <family val="2"/>
      </rPr>
      <t>2</t>
    </r>
    <r>
      <rPr>
        <sz val="10"/>
        <rFont val="Arial"/>
        <family val="2"/>
      </rPr>
      <t xml:space="preserve"> to burner OG temp.</t>
    </r>
  </si>
  <si>
    <r>
      <t>C</t>
    </r>
    <r>
      <rPr>
        <vertAlign val="subscript"/>
        <sz val="10"/>
        <rFont val="Arial"/>
        <family val="2"/>
      </rPr>
      <t>3</t>
    </r>
    <r>
      <rPr>
        <sz val="10"/>
        <rFont val="Arial"/>
        <family val="2"/>
      </rPr>
      <t>H</t>
    </r>
    <r>
      <rPr>
        <vertAlign val="subscript"/>
        <sz val="10"/>
        <rFont val="Arial"/>
        <family val="2"/>
      </rPr>
      <t>8</t>
    </r>
  </si>
  <si>
    <r>
      <t>6.  Heat O</t>
    </r>
    <r>
      <rPr>
        <vertAlign val="subscript"/>
        <sz val="10"/>
        <rFont val="Arial"/>
        <family val="2"/>
      </rPr>
      <t>2</t>
    </r>
    <r>
      <rPr>
        <sz val="10"/>
        <rFont val="Arial"/>
        <family val="2"/>
      </rPr>
      <t xml:space="preserve"> to burner OG temp.</t>
    </r>
  </si>
  <si>
    <r>
      <t>C</t>
    </r>
    <r>
      <rPr>
        <vertAlign val="subscript"/>
        <sz val="10"/>
        <rFont val="Arial"/>
        <family val="2"/>
      </rPr>
      <t>4</t>
    </r>
    <r>
      <rPr>
        <sz val="10"/>
        <rFont val="Arial"/>
        <family val="2"/>
      </rPr>
      <t>H</t>
    </r>
    <r>
      <rPr>
        <vertAlign val="subscript"/>
        <sz val="10"/>
        <rFont val="Arial"/>
        <family val="2"/>
      </rPr>
      <t>10</t>
    </r>
    <r>
      <rPr>
        <sz val="10"/>
        <rFont val="Arial"/>
        <family val="2"/>
      </rPr>
      <t xml:space="preserve"> + </t>
    </r>
  </si>
  <si>
    <t>7.  Heat loss from burner</t>
  </si>
  <si>
    <t>Total burner heat effect</t>
  </si>
  <si>
    <t>ΔH°comb NG--LHV</t>
  </si>
  <si>
    <t>NG component</t>
  </si>
  <si>
    <t>Vol %</t>
  </si>
  <si>
    <t>kJ/min</t>
  </si>
  <si>
    <r>
      <t>N</t>
    </r>
    <r>
      <rPr>
        <vertAlign val="subscript"/>
        <sz val="10"/>
        <rFont val="Arial"/>
        <family val="2"/>
      </rPr>
      <t>2</t>
    </r>
    <r>
      <rPr>
        <sz val="10"/>
        <rFont val="Arial"/>
        <family val="2"/>
      </rPr>
      <t>, 600 - 2200 °C</t>
    </r>
  </si>
  <si>
    <r>
      <t>O</t>
    </r>
    <r>
      <rPr>
        <vertAlign val="subscript"/>
        <sz val="10"/>
        <rFont val="Arial"/>
        <family val="2"/>
      </rPr>
      <t>2</t>
    </r>
    <r>
      <rPr>
        <sz val="10"/>
        <rFont val="Arial"/>
        <family val="2"/>
      </rPr>
      <t>, 600 - 2200 °C</t>
    </r>
  </si>
  <si>
    <t>A</t>
  </si>
  <si>
    <t>B</t>
  </si>
  <si>
    <t>C</t>
  </si>
  <si>
    <r>
      <t>3.  Heat CO</t>
    </r>
    <r>
      <rPr>
        <vertAlign val="subscript"/>
        <sz val="10"/>
        <rFont val="Arial"/>
        <family val="2"/>
      </rPr>
      <t>2</t>
    </r>
    <r>
      <rPr>
        <sz val="10"/>
        <rFont val="Arial"/>
        <family val="2"/>
      </rPr>
      <t xml:space="preserve"> to furn. stack gas temp.</t>
    </r>
  </si>
  <si>
    <r>
      <t>4.  Heat H</t>
    </r>
    <r>
      <rPr>
        <vertAlign val="subscript"/>
        <sz val="10"/>
        <rFont val="Arial"/>
        <family val="2"/>
      </rPr>
      <t>2</t>
    </r>
    <r>
      <rPr>
        <sz val="10"/>
        <rFont val="Arial"/>
        <family val="2"/>
      </rPr>
      <t>O(g) to furn. stack gas temp.</t>
    </r>
  </si>
  <si>
    <r>
      <t>5.  Heat N</t>
    </r>
    <r>
      <rPr>
        <vertAlign val="subscript"/>
        <sz val="10"/>
        <rFont val="Arial"/>
        <family val="2"/>
      </rPr>
      <t>2</t>
    </r>
    <r>
      <rPr>
        <sz val="10"/>
        <rFont val="Arial"/>
        <family val="2"/>
      </rPr>
      <t xml:space="preserve"> to furn. stack gas temp.</t>
    </r>
  </si>
  <si>
    <t>Other (N2)</t>
  </si>
  <si>
    <r>
      <t>H</t>
    </r>
    <r>
      <rPr>
        <vertAlign val="subscript"/>
        <sz val="10"/>
        <rFont val="Arial"/>
        <family val="2"/>
      </rPr>
      <t>2</t>
    </r>
    <r>
      <rPr>
        <sz val="10"/>
        <rFont val="Arial"/>
        <family val="2"/>
      </rPr>
      <t>O(g), 600 - 2200 °C</t>
    </r>
  </si>
  <si>
    <r>
      <t>CO</t>
    </r>
    <r>
      <rPr>
        <vertAlign val="subscript"/>
        <sz val="10"/>
        <rFont val="Arial"/>
        <family val="2"/>
      </rPr>
      <t>2</t>
    </r>
    <r>
      <rPr>
        <sz val="10"/>
        <rFont val="Arial"/>
        <family val="2"/>
      </rPr>
      <t>, 600 - 2200 °C</t>
    </r>
  </si>
  <si>
    <r>
      <t>6.  Heat O</t>
    </r>
    <r>
      <rPr>
        <vertAlign val="subscript"/>
        <sz val="10"/>
        <rFont val="Arial"/>
        <family val="2"/>
      </rPr>
      <t>2</t>
    </r>
    <r>
      <rPr>
        <sz val="10"/>
        <rFont val="Arial"/>
        <family val="2"/>
      </rPr>
      <t xml:space="preserve"> to furn. stack gas temp.</t>
    </r>
  </si>
  <si>
    <t>Total (LHV) Combustion heat (kJ/min):</t>
  </si>
  <si>
    <t>7.  Heat aluminum to ingot temp.</t>
  </si>
  <si>
    <t>8.  Heat loss from burner</t>
  </si>
  <si>
    <t>(note Al heat units)</t>
  </si>
  <si>
    <t>Total process heat effect</t>
  </si>
  <si>
    <t>Air, 5 - 550 °C</t>
  </si>
  <si>
    <r>
      <t xml:space="preserve">Solid aluminum, </t>
    </r>
    <r>
      <rPr>
        <b/>
        <sz val="11"/>
        <rFont val="Arial"/>
        <family val="2"/>
      </rPr>
      <t>kJ/kg</t>
    </r>
  </si>
  <si>
    <r>
      <t>Actual flowrate, m</t>
    </r>
    <r>
      <rPr>
        <vertAlign val="superscript"/>
        <sz val="10"/>
        <rFont val="Arial"/>
        <family val="2"/>
      </rPr>
      <t>3</t>
    </r>
    <r>
      <rPr>
        <sz val="10"/>
        <rFont val="Arial"/>
        <family val="2"/>
      </rPr>
      <t>/min</t>
    </r>
  </si>
  <si>
    <t>Molar flowrate, kg-mol/min</t>
  </si>
  <si>
    <r>
      <t>Actual oxidant flowrate, m</t>
    </r>
    <r>
      <rPr>
        <vertAlign val="superscript"/>
        <sz val="10"/>
        <rFont val="Arial"/>
        <family val="2"/>
      </rPr>
      <t>3</t>
    </r>
    <r>
      <rPr>
        <sz val="10"/>
        <rFont val="Arial"/>
        <family val="2"/>
      </rPr>
      <t>/min</t>
    </r>
  </si>
  <si>
    <r>
      <t>STP oxidant flowrate, m</t>
    </r>
    <r>
      <rPr>
        <vertAlign val="superscript"/>
        <sz val="10"/>
        <rFont val="Arial"/>
        <family val="2"/>
      </rPr>
      <t>3</t>
    </r>
    <r>
      <rPr>
        <sz val="10"/>
        <rFont val="Arial"/>
        <family val="2"/>
      </rPr>
      <t>/min</t>
    </r>
  </si>
  <si>
    <t>Molar oxidant/NG ratio</t>
  </si>
  <si>
    <t>Actual oxidant flowrate, kg-mol/min</t>
  </si>
  <si>
    <t>Stoich. oxidant flowrate, kg-mol/min</t>
  </si>
  <si>
    <t>°C</t>
  </si>
  <si>
    <t>Aluminum temp. out,</t>
  </si>
  <si>
    <t>Furnace stack gas temp., °C</t>
  </si>
  <si>
    <r>
      <t xml:space="preserve">    FREED Heat Content Data, </t>
    </r>
    <r>
      <rPr>
        <b/>
        <sz val="11"/>
        <rFont val="Arial"/>
        <family val="2"/>
      </rPr>
      <t>kJ/mol</t>
    </r>
    <r>
      <rPr>
        <sz val="11"/>
        <rFont val="Arial"/>
        <family val="2"/>
      </rPr>
      <t xml:space="preserve"> =  A + BT + CT</t>
    </r>
    <r>
      <rPr>
        <vertAlign val="superscript"/>
        <sz val="11"/>
        <rFont val="Arial"/>
        <family val="2"/>
      </rPr>
      <t>2</t>
    </r>
    <r>
      <rPr>
        <sz val="11"/>
        <rFont val="Arial"/>
        <family val="2"/>
      </rPr>
      <t>.   T = °C</t>
    </r>
  </si>
  <si>
    <r>
      <t>C</t>
    </r>
    <r>
      <rPr>
        <vertAlign val="subscript"/>
        <sz val="10"/>
        <rFont val="Arial"/>
        <family val="2"/>
      </rPr>
      <t>4</t>
    </r>
    <r>
      <rPr>
        <sz val="10"/>
        <rFont val="Arial"/>
        <family val="2"/>
      </rPr>
      <t>H</t>
    </r>
    <r>
      <rPr>
        <vertAlign val="subscript"/>
        <sz val="10"/>
        <rFont val="Arial"/>
        <family val="2"/>
      </rPr>
      <t>10</t>
    </r>
  </si>
  <si>
    <t xml:space="preserve"> </t>
  </si>
  <si>
    <t>Element Balance</t>
  </si>
  <si>
    <t>H</t>
  </si>
  <si>
    <t>O</t>
  </si>
  <si>
    <t>N</t>
  </si>
  <si>
    <t>Heat losses, kJ/min</t>
  </si>
  <si>
    <r>
      <t>Flow, actual m</t>
    </r>
    <r>
      <rPr>
        <vertAlign val="superscript"/>
        <sz val="10"/>
        <rFont val="Arial"/>
        <family val="2"/>
      </rPr>
      <t>3</t>
    </r>
    <r>
      <rPr>
        <sz val="10"/>
        <rFont val="Arial"/>
        <family val="2"/>
      </rPr>
      <t>/min</t>
    </r>
  </si>
  <si>
    <t>Please read the document</t>
  </si>
  <si>
    <t>Basis case</t>
  </si>
  <si>
    <r>
      <t>%O</t>
    </r>
    <r>
      <rPr>
        <vertAlign val="subscript"/>
        <sz val="10"/>
        <rFont val="Arial"/>
        <family val="2"/>
      </rPr>
      <t>2</t>
    </r>
    <r>
      <rPr>
        <sz val="10"/>
        <rFont val="Arial"/>
        <family val="2"/>
      </rPr>
      <t xml:space="preserve"> in Oxidant</t>
    </r>
  </si>
  <si>
    <r>
      <t>NG flow, actual m</t>
    </r>
    <r>
      <rPr>
        <vertAlign val="superscript"/>
        <sz val="10"/>
        <rFont val="Arial"/>
        <family val="2"/>
      </rPr>
      <t>3</t>
    </r>
    <r>
      <rPr>
        <sz val="10"/>
        <rFont val="Arial"/>
        <family val="2"/>
      </rPr>
      <t>/min</t>
    </r>
  </si>
  <si>
    <r>
      <t>Oxidant flow, actual m</t>
    </r>
    <r>
      <rPr>
        <vertAlign val="superscript"/>
        <sz val="10"/>
        <rFont val="Arial"/>
        <family val="2"/>
      </rPr>
      <t>3</t>
    </r>
    <r>
      <rPr>
        <sz val="10"/>
        <rFont val="Arial"/>
        <family val="2"/>
      </rPr>
      <t>/min</t>
    </r>
  </si>
  <si>
    <r>
      <t>Figure 1.  Chart of the relationship between %O</t>
    </r>
    <r>
      <rPr>
        <vertAlign val="subscript"/>
        <sz val="10"/>
        <rFont val="Arial"/>
        <family val="2"/>
      </rPr>
      <t>2</t>
    </r>
    <r>
      <rPr>
        <sz val="10"/>
        <rFont val="Arial"/>
        <family val="2"/>
      </rPr>
      <t xml:space="preserve"> in oxidant vs. NG and oxidant flow.</t>
    </r>
  </si>
  <si>
    <t>1.  Heat comb. air from 25°C to T in</t>
  </si>
  <si>
    <r>
      <t>3. Cool CO</t>
    </r>
    <r>
      <rPr>
        <vertAlign val="subscript"/>
        <sz val="10"/>
        <rFont val="Arial"/>
        <family val="2"/>
      </rPr>
      <t>2</t>
    </r>
    <r>
      <rPr>
        <sz val="10"/>
        <rFont val="Arial"/>
        <family val="2"/>
      </rPr>
      <t xml:space="preserve"> to stack gas temp.</t>
    </r>
  </si>
  <si>
    <r>
      <t>4.  Cool H</t>
    </r>
    <r>
      <rPr>
        <vertAlign val="subscript"/>
        <sz val="10"/>
        <rFont val="Arial"/>
        <family val="2"/>
      </rPr>
      <t>2</t>
    </r>
    <r>
      <rPr>
        <sz val="10"/>
        <rFont val="Arial"/>
        <family val="2"/>
      </rPr>
      <t>O(g) to stack gas temp.</t>
    </r>
  </si>
  <si>
    <r>
      <t>5.  Cool N</t>
    </r>
    <r>
      <rPr>
        <vertAlign val="subscript"/>
        <sz val="10"/>
        <rFont val="Arial"/>
        <family val="2"/>
      </rPr>
      <t>2</t>
    </r>
    <r>
      <rPr>
        <sz val="10"/>
        <rFont val="Arial"/>
        <family val="2"/>
      </rPr>
      <t xml:space="preserve"> to stack gas temp.</t>
    </r>
  </si>
  <si>
    <t>7.  Heat loss from heat exchanger.</t>
  </si>
  <si>
    <t>Outstream temperatures</t>
  </si>
  <si>
    <t>Ht Xchngr</t>
  </si>
  <si>
    <t>Air PH case</t>
  </si>
  <si>
    <r>
      <t>6.  Cool O</t>
    </r>
    <r>
      <rPr>
        <vertAlign val="subscript"/>
        <sz val="10"/>
        <rFont val="Arial"/>
        <family val="2"/>
      </rPr>
      <t>2</t>
    </r>
    <r>
      <rPr>
        <sz val="10"/>
        <rFont val="Arial"/>
        <family val="2"/>
      </rPr>
      <t xml:space="preserve"> to stack gas temp.</t>
    </r>
  </si>
  <si>
    <t>9.  Heat loss from furnace</t>
  </si>
  <si>
    <t>10.  Heat loss from ht xchngr</t>
  </si>
  <si>
    <t>Total heat xchngr heat effect</t>
  </si>
  <si>
    <t>Cooled stack gas temp., °C</t>
  </si>
  <si>
    <t>Furnace stack gas temp, °C</t>
  </si>
  <si>
    <t>Cooled stack gas (includes leak air)</t>
  </si>
  <si>
    <t>Combustion air temp, °C</t>
  </si>
  <si>
    <t>Cooled stack gas temp, °C</t>
  </si>
  <si>
    <t>Combustion Element Balance</t>
  </si>
  <si>
    <t>Aluminum, kg/min</t>
  </si>
  <si>
    <t>Outstream Temperatures</t>
  </si>
  <si>
    <r>
      <t>Oxidant flow, STP m</t>
    </r>
    <r>
      <rPr>
        <vertAlign val="superscript"/>
        <sz val="10"/>
        <rFont val="Arial"/>
        <family val="2"/>
      </rPr>
      <t>3</t>
    </r>
    <r>
      <rPr>
        <sz val="10"/>
        <rFont val="Arial"/>
        <family val="2"/>
      </rPr>
      <t>/min</t>
    </r>
  </si>
  <si>
    <t>Figure 1.  Chart of the relationship between air preheat temperature vs. NG and oxidant flow.</t>
  </si>
  <si>
    <t>Burner hot gas temperature</t>
  </si>
  <si>
    <t>Air Preheat Case</t>
  </si>
  <si>
    <t>Basis Case</t>
  </si>
  <si>
    <t>Burner OG temp, °C</t>
  </si>
  <si>
    <r>
      <t>Figure 2.  Chart of the relationship between %O</t>
    </r>
    <r>
      <rPr>
        <vertAlign val="subscript"/>
        <sz val="10"/>
        <rFont val="Arial"/>
        <family val="2"/>
      </rPr>
      <t>2</t>
    </r>
    <r>
      <rPr>
        <sz val="10"/>
        <rFont val="Arial"/>
        <family val="2"/>
      </rPr>
      <t xml:space="preserve"> in oxidant vs. NG flow.  Trendline used to obtain quadratic.</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</si>
</sst>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
    <numFmt numFmtId="165" formatCode="0.000"/>
    <numFmt numFmtId="166" formatCode="0.0%"/>
    <numFmt numFmtId="167" formatCode="#.0#;#.0#;\O\ \K;@"/>
    <numFmt numFmtId="168" formatCode="#,##0.00#"/>
    <numFmt numFmtId="169" formatCode=";;;"/>
    <numFmt numFmtId="170" formatCode="#,##0.00####"/>
  </numFmts>
  <fonts count="23" x14ac:knownFonts="1">
    <font>
      <sz val="10"/>
      <name val="Arial"/>
      <family val="2"/>
    </font>
    <font>
      <sz val="10"/>
      <name val="Arial"/>
      <family val="2"/>
    </font>
    <font>
      <sz val="11"/>
      <name val="Arial"/>
      <family val="2"/>
    </font>
    <font>
      <vertAlign val="subscript"/>
      <sz val="10"/>
      <name val="Arial"/>
      <family val="2"/>
    </font>
    <font>
      <vertAlign val="superscript"/>
      <sz val="10"/>
      <name val="Arial"/>
      <family val="2"/>
    </font>
    <font>
      <sz val="11"/>
      <color theme="1"/>
      <name val="Arial"/>
      <family val="2"/>
    </font>
    <font>
      <sz val="10"/>
      <color theme="1"/>
      <name val="Arial"/>
      <family val="2"/>
    </font>
    <font>
      <b/>
      <sz val="11"/>
      <name val="Arial"/>
      <family val="2"/>
    </font>
    <font>
      <vertAlign val="superscript"/>
      <sz val="11"/>
      <name val="Arial"/>
      <family val="2"/>
    </font>
    <font>
      <sz val="11"/>
      <color indexed="81"/>
      <name val="Tahoma"/>
      <family val="2"/>
    </font>
    <font>
      <sz val="10"/>
      <color indexed="81"/>
      <name val="Tahoma"/>
      <family val="2"/>
    </font>
    <font>
      <sz val="8"/>
      <color indexed="42"/>
      <name val="Arial"/>
      <family val="2"/>
    </font>
    <font>
      <b/>
      <sz val="10"/>
      <color indexed="8"/>
      <name val="Arial"/>
      <family val="2"/>
    </font>
    <font>
      <sz val="7"/>
      <name val="Arial"/>
      <family val="2"/>
    </font>
    <font>
      <sz val="10"/>
      <color indexed="10"/>
      <name val="Arial"/>
      <family val="2"/>
    </font>
    <font>
      <b/>
      <i/>
      <sz val="12"/>
      <color indexed="13"/>
      <name val="Arial"/>
      <family val="2"/>
    </font>
    <font>
      <b/>
      <sz val="10"/>
      <color indexed="13"/>
      <name val="Arial"/>
      <family val="2"/>
    </font>
    <font>
      <sz val="10"/>
      <color indexed="13"/>
      <name val="Arial"/>
      <family val="2"/>
    </font>
    <font>
      <b/>
      <i/>
      <sz val="10"/>
      <color indexed="13"/>
      <name val="Arial"/>
      <family val="2"/>
    </font>
    <font>
      <sz val="10"/>
      <color indexed="9"/>
      <name val="Arial"/>
      <family val="2"/>
    </font>
    <font>
      <b/>
      <sz val="10"/>
      <name val="Arial"/>
      <family val="2"/>
    </font>
    <font>
      <sz val="9"/>
      <color indexed="81"/>
      <name val="Tahoma"/>
      <family val="2"/>
    </font>
    <font>
      <b/>
      <sz val="9"/>
      <color indexed="81"/>
      <name val="Tahoma"/>
      <family val="2"/>
    </font>
  </fonts>
  <fills count="22">
    <fill>
      <patternFill patternType="none"/>
    </fill>
    <fill>
      <patternFill patternType="gray125"/>
    </fill>
    <fill>
      <patternFill patternType="solid">
        <fgColor rgb="FFFFFFA7"/>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indexed="57"/>
      </patternFill>
    </fill>
    <fill>
      <patternFill patternType="solid">
        <fgColor indexed="22"/>
      </patternFill>
    </fill>
    <fill>
      <patternFill patternType="solid">
        <fgColor indexed="44"/>
      </patternFill>
    </fill>
    <fill>
      <patternFill patternType="solid">
        <fgColor indexed="46"/>
        <bgColor indexed="64"/>
      </patternFill>
    </fill>
    <fill>
      <patternFill patternType="solid">
        <fgColor indexed="42"/>
      </patternFill>
    </fill>
    <fill>
      <patternFill patternType="solid">
        <fgColor indexed="21"/>
      </patternFill>
    </fill>
    <fill>
      <patternFill patternType="solid">
        <fgColor indexed="38"/>
      </patternFill>
    </fill>
    <fill>
      <patternFill patternType="solid">
        <fgColor indexed="47"/>
      </patternFill>
    </fill>
    <fill>
      <patternFill patternType="solid">
        <fgColor indexed="21"/>
        <bgColor indexed="64"/>
      </patternFill>
    </fill>
    <fill>
      <patternFill patternType="solid">
        <fgColor indexed="26"/>
      </patternFill>
    </fill>
    <fill>
      <patternFill patternType="solid">
        <fgColor indexed="48"/>
      </patternFill>
    </fill>
    <fill>
      <patternFill patternType="solid">
        <fgColor theme="4" tint="0.79998168889431442"/>
        <bgColor indexed="45"/>
      </patternFill>
    </fill>
    <fill>
      <patternFill patternType="solid">
        <fgColor theme="9" tint="0.39997558519241921"/>
        <bgColor indexed="64"/>
      </patternFill>
    </fill>
    <fill>
      <patternFill patternType="solid">
        <fgColor rgb="FFFFC5C5"/>
        <bgColor indexed="45"/>
      </patternFill>
    </fill>
    <fill>
      <patternFill patternType="solid">
        <fgColor rgb="FFFFFF99"/>
        <bgColor indexed="64"/>
      </patternFill>
    </fill>
    <fill>
      <patternFill patternType="solid">
        <fgColor rgb="FF97FFA8"/>
        <bgColor indexed="64"/>
      </patternFill>
    </fill>
    <fill>
      <patternFill patternType="solid">
        <fgColor theme="9" tint="0.79998168889431442"/>
        <bgColor indexed="64"/>
      </patternFill>
    </fill>
  </fills>
  <borders count="17">
    <border>
      <left/>
      <right/>
      <top/>
      <bottom/>
      <diagonal/>
    </border>
    <border>
      <left/>
      <right/>
      <top style="thin">
        <color indexed="64"/>
      </top>
      <bottom style="thin">
        <color indexed="64"/>
      </bottom>
      <diagonal/>
    </border>
    <border>
      <left style="medium">
        <color indexed="48"/>
      </left>
      <right style="medium">
        <color indexed="48"/>
      </right>
      <top style="medium">
        <color indexed="48"/>
      </top>
      <bottom style="medium">
        <color indexed="48"/>
      </bottom>
      <diagonal/>
    </border>
    <border>
      <left style="medium">
        <color indexed="48"/>
      </left>
      <right style="medium">
        <color indexed="48"/>
      </right>
      <top/>
      <bottom style="medium">
        <color indexed="4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48"/>
      </left>
      <right style="medium">
        <color indexed="48"/>
      </right>
      <top style="medium">
        <color indexed="48"/>
      </top>
      <bottom/>
      <diagonal/>
    </border>
    <border>
      <left style="medium">
        <color indexed="48"/>
      </left>
      <right/>
      <top style="medium">
        <color indexed="48"/>
      </top>
      <bottom style="medium">
        <color indexed="48"/>
      </bottom>
      <diagonal/>
    </border>
    <border>
      <left style="thin">
        <color indexed="64"/>
      </left>
      <right/>
      <top style="thin">
        <color indexed="64"/>
      </top>
      <bottom style="thin">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top style="hair">
        <color indexed="64"/>
      </top>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right/>
      <top style="thin">
        <color indexed="64"/>
      </top>
      <bottom/>
      <diagonal/>
    </border>
    <border>
      <left style="medium">
        <color rgb="FF00863D"/>
      </left>
      <right style="medium">
        <color rgb="FF00863D"/>
      </right>
      <top style="medium">
        <color rgb="FF00863D"/>
      </top>
      <bottom style="medium">
        <color rgb="FF00863D"/>
      </bottom>
      <diagonal/>
    </border>
    <border>
      <left style="mediumDashed">
        <color rgb="FFFF0000"/>
      </left>
      <right style="mediumDashed">
        <color rgb="FFFF0000"/>
      </right>
      <top style="mediumDashed">
        <color rgb="FFFF0000"/>
      </top>
      <bottom style="mediumDashed">
        <color rgb="FFFF0000"/>
      </bottom>
      <diagonal/>
    </border>
  </borders>
  <cellStyleXfs count="28">
    <xf numFmtId="0" fontId="0" fillId="0" borderId="0"/>
    <xf numFmtId="9" fontId="1" fillId="0" borderId="0" applyFont="0" applyFill="0" applyBorder="0" applyAlignment="0" applyProtection="0"/>
    <xf numFmtId="167" fontId="11" fillId="5" borderId="9" applyNumberFormat="0" applyBorder="0" applyAlignment="0">
      <alignment horizontal="center" vertical="center"/>
    </xf>
    <xf numFmtId="168" fontId="1" fillId="6" borderId="10" applyNumberFormat="0" applyBorder="0" applyAlignment="0">
      <alignment horizontal="center" vertical="center"/>
      <protection locked="0"/>
    </xf>
    <xf numFmtId="168" fontId="1" fillId="7" borderId="10" applyNumberFormat="0" applyBorder="0" applyAlignment="0">
      <alignment horizontal="center" vertical="center"/>
      <protection locked="0"/>
    </xf>
    <xf numFmtId="168" fontId="1" fillId="6" borderId="10" applyNumberFormat="0" applyBorder="0" applyAlignment="0">
      <alignment horizontal="center" vertical="center"/>
    </xf>
    <xf numFmtId="0" fontId="12" fillId="8" borderId="11">
      <alignment horizontal="center"/>
    </xf>
    <xf numFmtId="0" fontId="13" fillId="9" borderId="4" applyNumberFormat="0" applyBorder="0" applyAlignment="0">
      <alignment horizontal="center" vertical="center"/>
    </xf>
    <xf numFmtId="168" fontId="14" fillId="10" borderId="0" applyNumberFormat="0" applyBorder="0" applyAlignment="0">
      <alignment horizontal="center"/>
    </xf>
    <xf numFmtId="0" fontId="15" fillId="11" borderId="0" applyNumberFormat="0" applyBorder="0" applyAlignment="0"/>
    <xf numFmtId="0" fontId="16" fillId="11" borderId="0" applyNumberFormat="0" applyBorder="0" applyAlignment="0">
      <alignment horizontal="centerContinuous"/>
    </xf>
    <xf numFmtId="0" fontId="17" fillId="11" borderId="0" applyNumberFormat="0" applyBorder="0" applyAlignment="0">
      <alignment horizontal="center"/>
    </xf>
    <xf numFmtId="0" fontId="15" fillId="11" borderId="4" applyNumberFormat="0" applyBorder="0" applyAlignment="0"/>
    <xf numFmtId="0" fontId="16" fillId="11" borderId="4" applyNumberFormat="0" applyBorder="0" applyAlignment="0">
      <alignment horizontal="centerContinuous"/>
    </xf>
    <xf numFmtId="0" fontId="17" fillId="11" borderId="4" applyNumberFormat="0" applyBorder="0" applyAlignment="0">
      <alignment horizontal="center"/>
    </xf>
    <xf numFmtId="0" fontId="18" fillId="11" borderId="0" applyNumberFormat="0" applyBorder="0" applyAlignment="0">
      <alignment horizontal="left"/>
    </xf>
    <xf numFmtId="169" fontId="1" fillId="10" borderId="0" applyNumberFormat="0" applyBorder="0" applyAlignment="0">
      <alignment horizontal="center"/>
      <protection hidden="1"/>
    </xf>
    <xf numFmtId="168" fontId="1" fillId="12" borderId="4" applyNumberFormat="0" applyBorder="0" applyAlignment="0">
      <alignment horizontal="center" vertical="center"/>
    </xf>
    <xf numFmtId="0" fontId="1" fillId="0" borderId="0"/>
    <xf numFmtId="0" fontId="1" fillId="0" borderId="0"/>
    <xf numFmtId="0" fontId="6" fillId="0" borderId="0"/>
    <xf numFmtId="0" fontId="6" fillId="0" borderId="0"/>
    <xf numFmtId="0" fontId="1" fillId="13" borderId="0">
      <alignment horizontal="center"/>
      <protection locked="0"/>
    </xf>
    <xf numFmtId="0" fontId="1" fillId="10" borderId="0" applyNumberFormat="0" applyBorder="0" applyAlignment="0">
      <alignment horizontal="center"/>
    </xf>
    <xf numFmtId="0" fontId="1" fillId="11" borderId="0" applyNumberFormat="0" applyBorder="0" applyAlignment="0">
      <protection locked="0"/>
    </xf>
    <xf numFmtId="170" fontId="1" fillId="14" borderId="10" applyNumberFormat="0" applyBorder="0" applyAlignment="0">
      <alignment horizontal="center" vertical="center"/>
      <protection locked="0"/>
    </xf>
    <xf numFmtId="168" fontId="19" fillId="15" borderId="10" applyNumberFormat="0" applyBorder="0" applyAlignment="0">
      <alignment horizontal="center" vertical="center"/>
      <protection locked="0"/>
    </xf>
    <xf numFmtId="0" fontId="20" fillId="10" borderId="0" applyNumberFormat="0" applyBorder="0" applyAlignment="0">
      <alignment horizontal="center"/>
      <protection locked="0"/>
    </xf>
  </cellStyleXfs>
  <cellXfs count="100">
    <xf numFmtId="0" fontId="0" fillId="0" borderId="0" xfId="0"/>
    <xf numFmtId="0" fontId="0" fillId="2" borderId="1" xfId="0" applyFill="1" applyBorder="1"/>
    <xf numFmtId="0" fontId="2" fillId="2" borderId="1" xfId="0" applyFont="1" applyFill="1" applyBorder="1" applyAlignment="1">
      <alignment horizontal="right" vertical="center"/>
    </xf>
    <xf numFmtId="0" fontId="2" fillId="0" borderId="0" xfId="0" applyFont="1" applyAlignment="1">
      <alignment horizontal="right"/>
    </xf>
    <xf numFmtId="0" fontId="2" fillId="0" borderId="0" xfId="0" applyFont="1" applyAlignment="1">
      <alignment horizontal="center" vertical="center"/>
    </xf>
    <xf numFmtId="0" fontId="2" fillId="2" borderId="1" xfId="0" applyFont="1" applyFill="1" applyBorder="1" applyAlignment="1">
      <alignment horizontal="center"/>
    </xf>
    <xf numFmtId="0" fontId="0" fillId="0" borderId="0" xfId="0" applyAlignment="1">
      <alignment horizontal="center" vertical="center"/>
    </xf>
    <xf numFmtId="0" fontId="0" fillId="0" borderId="0" xfId="0" applyAlignment="1">
      <alignment horizontal="right"/>
    </xf>
    <xf numFmtId="0" fontId="0" fillId="0" borderId="4" xfId="0" applyBorder="1" applyAlignment="1">
      <alignment horizontal="center" vertical="center"/>
    </xf>
    <xf numFmtId="0" fontId="0" fillId="0" borderId="0" xfId="0" applyAlignment="1">
      <alignment horizontal="right" vertical="center"/>
    </xf>
    <xf numFmtId="165" fontId="0" fillId="3" borderId="4" xfId="0" applyNumberFormat="1" applyFill="1" applyBorder="1" applyAlignment="1">
      <alignment horizontal="center" vertical="center"/>
    </xf>
    <xf numFmtId="10" fontId="0" fillId="3" borderId="4" xfId="0" applyNumberFormat="1" applyFill="1" applyBorder="1" applyAlignment="1">
      <alignment horizontal="center" vertical="center"/>
    </xf>
    <xf numFmtId="0" fontId="0" fillId="0" borderId="5" xfId="0" applyBorder="1"/>
    <xf numFmtId="0" fontId="0" fillId="0" borderId="0" xfId="0" applyFill="1" applyBorder="1" applyAlignment="1">
      <alignment horizontal="right" vertical="center"/>
    </xf>
    <xf numFmtId="1" fontId="0" fillId="0" borderId="0" xfId="0" applyNumberFormat="1"/>
    <xf numFmtId="0" fontId="0" fillId="0" borderId="0" xfId="0" applyFont="1" applyAlignment="1">
      <alignment horizontal="center" vertical="center"/>
    </xf>
    <xf numFmtId="3" fontId="0" fillId="0" borderId="0" xfId="0" applyNumberFormat="1"/>
    <xf numFmtId="0" fontId="1" fillId="0" borderId="4" xfId="0" applyFont="1" applyBorder="1" applyAlignment="1">
      <alignment horizontal="center" vertical="center"/>
    </xf>
    <xf numFmtId="2" fontId="0" fillId="0" borderId="4" xfId="0" applyNumberFormat="1" applyBorder="1" applyAlignment="1">
      <alignment horizontal="center" vertical="center"/>
    </xf>
    <xf numFmtId="164" fontId="0" fillId="3" borderId="4" xfId="0" applyNumberFormat="1" applyFill="1" applyBorder="1" applyAlignment="1">
      <alignment horizontal="center" vertical="center"/>
    </xf>
    <xf numFmtId="0" fontId="0" fillId="0" borderId="4" xfId="0" applyNumberFormat="1" applyBorder="1" applyAlignment="1">
      <alignment horizontal="center" vertical="center"/>
    </xf>
    <xf numFmtId="164" fontId="0" fillId="0" borderId="4" xfId="0" applyNumberFormat="1" applyBorder="1" applyAlignment="1">
      <alignment horizontal="center" vertical="center"/>
    </xf>
    <xf numFmtId="2" fontId="0" fillId="3" borderId="4" xfId="0" applyNumberFormat="1" applyFill="1" applyBorder="1" applyAlignment="1">
      <alignment horizontal="center" vertical="center"/>
    </xf>
    <xf numFmtId="0" fontId="0" fillId="0" borderId="4" xfId="0" applyFont="1" applyBorder="1" applyAlignment="1">
      <alignment horizontal="center" vertical="center"/>
    </xf>
    <xf numFmtId="0" fontId="0" fillId="0" borderId="0" xfId="0" applyNumberFormat="1" applyAlignment="1">
      <alignment horizontal="right" vertical="center"/>
    </xf>
    <xf numFmtId="0" fontId="0" fillId="0" borderId="0" xfId="0" applyNumberFormat="1" applyAlignment="1">
      <alignment horizontal="center" vertical="center"/>
    </xf>
    <xf numFmtId="0" fontId="2" fillId="2" borderId="1" xfId="0" applyFont="1" applyFill="1" applyBorder="1"/>
    <xf numFmtId="0" fontId="2" fillId="2" borderId="1" xfId="0" applyFont="1" applyFill="1" applyBorder="1" applyAlignment="1">
      <alignment horizontal="left" vertical="center"/>
    </xf>
    <xf numFmtId="0" fontId="1" fillId="0" borderId="0" xfId="0" applyFont="1" applyAlignment="1">
      <alignment horizontal="center" vertical="center"/>
    </xf>
    <xf numFmtId="0" fontId="0" fillId="4" borderId="0" xfId="0" applyFill="1"/>
    <xf numFmtId="0" fontId="0" fillId="0" borderId="0" xfId="0" applyAlignment="1">
      <alignment vertical="center"/>
    </xf>
    <xf numFmtId="0" fontId="0" fillId="0" borderId="0" xfId="0" applyNumberFormat="1" applyFont="1" applyAlignment="1">
      <alignment horizontal="center" vertical="center"/>
    </xf>
    <xf numFmtId="9" fontId="0" fillId="3" borderId="8" xfId="1" applyFont="1" applyFill="1" applyBorder="1" applyAlignment="1">
      <alignment horizontal="center"/>
    </xf>
    <xf numFmtId="0" fontId="0" fillId="3" borderId="0" xfId="0" applyFill="1"/>
    <xf numFmtId="0" fontId="2" fillId="3" borderId="0" xfId="0" applyFont="1" applyFill="1"/>
    <xf numFmtId="0" fontId="2" fillId="3" borderId="0" xfId="0" applyFont="1" applyFill="1" applyAlignment="1">
      <alignment horizontal="right"/>
    </xf>
    <xf numFmtId="0" fontId="1" fillId="0" borderId="8" xfId="0" applyFont="1" applyBorder="1" applyAlignment="1">
      <alignment horizontal="center" vertical="center"/>
    </xf>
    <xf numFmtId="0" fontId="0" fillId="0" borderId="0" xfId="0" applyBorder="1"/>
    <xf numFmtId="0" fontId="0" fillId="0" borderId="0" xfId="0" applyFont="1" applyFill="1" applyBorder="1" applyAlignment="1">
      <alignment horizontal="left" vertical="center"/>
    </xf>
    <xf numFmtId="0" fontId="0" fillId="0" borderId="0" xfId="0" applyAlignment="1">
      <alignment horizontal="left"/>
    </xf>
    <xf numFmtId="0" fontId="0" fillId="4" borderId="0" xfId="0" applyFill="1" applyAlignment="1">
      <alignment vertical="top"/>
    </xf>
    <xf numFmtId="0" fontId="2" fillId="4" borderId="0" xfId="0" applyFont="1" applyFill="1" applyAlignment="1">
      <alignment horizontal="center" vertical="top"/>
    </xf>
    <xf numFmtId="164" fontId="1" fillId="16" borderId="2" xfId="0" applyNumberFormat="1" applyFont="1" applyFill="1" applyBorder="1" applyAlignment="1">
      <alignment horizontal="center" vertical="center"/>
    </xf>
    <xf numFmtId="2" fontId="1" fillId="16" borderId="2" xfId="0" applyNumberFormat="1" applyFont="1" applyFill="1" applyBorder="1" applyAlignment="1">
      <alignment horizontal="center" vertical="center"/>
    </xf>
    <xf numFmtId="166" fontId="1" fillId="16" borderId="2" xfId="0" applyNumberFormat="1" applyFont="1" applyFill="1" applyBorder="1" applyAlignment="1">
      <alignment horizontal="center" vertical="center"/>
    </xf>
    <xf numFmtId="10" fontId="1" fillId="16" borderId="2" xfId="0" applyNumberFormat="1" applyFont="1" applyFill="1" applyBorder="1" applyAlignment="1">
      <alignment horizontal="center" vertical="center"/>
    </xf>
    <xf numFmtId="2" fontId="1" fillId="16" borderId="3" xfId="0" applyNumberFormat="1" applyFont="1" applyFill="1" applyBorder="1" applyAlignment="1">
      <alignment horizontal="center" vertical="center"/>
    </xf>
    <xf numFmtId="164" fontId="1" fillId="16" borderId="3" xfId="0" applyNumberFormat="1" applyFont="1" applyFill="1" applyBorder="1" applyAlignment="1">
      <alignment horizontal="center" vertical="center"/>
    </xf>
    <xf numFmtId="2" fontId="1" fillId="16" borderId="6" xfId="0" applyNumberFormat="1" applyFont="1" applyFill="1" applyBorder="1" applyAlignment="1">
      <alignment horizontal="center" vertical="center"/>
    </xf>
    <xf numFmtId="10" fontId="1" fillId="16" borderId="7" xfId="0" applyNumberFormat="1" applyFont="1" applyFill="1" applyBorder="1" applyAlignment="1">
      <alignment horizontal="center" vertical="center"/>
    </xf>
    <xf numFmtId="164" fontId="0" fillId="17" borderId="4" xfId="0" applyNumberFormat="1" applyFill="1" applyBorder="1" applyAlignment="1">
      <alignment horizontal="center" vertical="center"/>
    </xf>
    <xf numFmtId="165" fontId="0" fillId="17" borderId="4" xfId="0" applyNumberFormat="1" applyFill="1" applyBorder="1" applyAlignment="1">
      <alignment horizontal="center" vertical="center"/>
    </xf>
    <xf numFmtId="11" fontId="0" fillId="17" borderId="4" xfId="0" applyNumberFormat="1" applyFill="1" applyBorder="1" applyAlignment="1">
      <alignment horizontal="center" vertical="center"/>
    </xf>
    <xf numFmtId="9" fontId="1" fillId="16" borderId="2" xfId="1" applyNumberFormat="1" applyFont="1" applyFill="1" applyBorder="1" applyAlignment="1">
      <alignment horizontal="center" vertical="center"/>
    </xf>
    <xf numFmtId="164" fontId="0" fillId="18" borderId="13" xfId="0" applyNumberFormat="1" applyFont="1" applyFill="1" applyBorder="1" applyAlignment="1">
      <alignment horizontal="center" vertical="center"/>
    </xf>
    <xf numFmtId="165" fontId="0" fillId="3" borderId="12" xfId="0" applyNumberFormat="1" applyFill="1" applyBorder="1" applyAlignment="1">
      <alignment horizontal="center" vertical="center"/>
    </xf>
    <xf numFmtId="0" fontId="2" fillId="0" borderId="0" xfId="0" applyFont="1" applyAlignment="1">
      <alignment horizontal="right" vertical="center"/>
    </xf>
    <xf numFmtId="3" fontId="2" fillId="3" borderId="4" xfId="0" applyNumberFormat="1" applyFont="1" applyFill="1" applyBorder="1"/>
    <xf numFmtId="0" fontId="2" fillId="0" borderId="0" xfId="0" applyFont="1"/>
    <xf numFmtId="0" fontId="2" fillId="0" borderId="5" xfId="0" applyFont="1" applyBorder="1"/>
    <xf numFmtId="1" fontId="2" fillId="16" borderId="2" xfId="0" applyNumberFormat="1" applyFont="1" applyFill="1" applyBorder="1" applyAlignment="1">
      <alignment horizontal="center" vertical="center"/>
    </xf>
    <xf numFmtId="1" fontId="1" fillId="16" borderId="2" xfId="0" applyNumberFormat="1" applyFont="1" applyFill="1" applyBorder="1" applyAlignment="1">
      <alignment horizontal="center" vertical="center"/>
    </xf>
    <xf numFmtId="1" fontId="0" fillId="18" borderId="13" xfId="0" applyNumberFormat="1" applyFont="1" applyFill="1" applyBorder="1" applyAlignment="1">
      <alignment horizontal="center" vertical="center"/>
    </xf>
    <xf numFmtId="1" fontId="0" fillId="17" borderId="4" xfId="0" applyNumberFormat="1" applyFill="1" applyBorder="1" applyAlignment="1">
      <alignment horizontal="center" vertical="center"/>
    </xf>
    <xf numFmtId="2" fontId="0" fillId="17" borderId="4" xfId="0" applyNumberFormat="1" applyFill="1" applyBorder="1" applyAlignment="1">
      <alignment horizontal="center" vertical="center"/>
    </xf>
    <xf numFmtId="0" fontId="5" fillId="0" borderId="4" xfId="0" applyFont="1" applyBorder="1" applyAlignment="1">
      <alignment horizontal="center" vertical="center"/>
    </xf>
    <xf numFmtId="0" fontId="2" fillId="0" borderId="4" xfId="0" applyFont="1" applyBorder="1" applyAlignment="1">
      <alignment horizontal="center" vertical="center"/>
    </xf>
    <xf numFmtId="0" fontId="0" fillId="0" borderId="0" xfId="0" applyFont="1" applyAlignment="1">
      <alignment horizontal="right" vertical="center"/>
    </xf>
    <xf numFmtId="0" fontId="0" fillId="19" borderId="1" xfId="0" applyFill="1" applyBorder="1"/>
    <xf numFmtId="0" fontId="2" fillId="19" borderId="1" xfId="0" applyFont="1" applyFill="1" applyBorder="1" applyAlignment="1">
      <alignment horizontal="center"/>
    </xf>
    <xf numFmtId="0" fontId="0" fillId="19" borderId="14" xfId="0" applyFill="1" applyBorder="1"/>
    <xf numFmtId="0" fontId="0" fillId="0" borderId="12" xfId="0" applyBorder="1" applyAlignment="1">
      <alignment horizontal="center" vertical="center"/>
    </xf>
    <xf numFmtId="0" fontId="2" fillId="0" borderId="5" xfId="0" applyFont="1" applyBorder="1" applyAlignment="1">
      <alignment horizontal="right"/>
    </xf>
    <xf numFmtId="1" fontId="6" fillId="20" borderId="15" xfId="0" applyNumberFormat="1" applyFont="1" applyFill="1" applyBorder="1" applyAlignment="1">
      <alignment horizontal="center" vertical="center"/>
    </xf>
    <xf numFmtId="3" fontId="0" fillId="20" borderId="15" xfId="0" applyNumberFormat="1" applyFill="1" applyBorder="1" applyAlignment="1">
      <alignment horizontal="center" vertical="center"/>
    </xf>
    <xf numFmtId="3" fontId="2" fillId="16" borderId="2" xfId="0" applyNumberFormat="1" applyFont="1" applyFill="1" applyBorder="1" applyAlignment="1">
      <alignment horizontal="center" vertical="center"/>
    </xf>
    <xf numFmtId="3" fontId="0" fillId="0" borderId="4" xfId="0" applyNumberFormat="1" applyBorder="1" applyAlignment="1">
      <alignment vertical="center"/>
    </xf>
    <xf numFmtId="1" fontId="0" fillId="3" borderId="4" xfId="0" applyNumberFormat="1" applyFill="1" applyBorder="1" applyAlignment="1">
      <alignment horizontal="center" vertical="center"/>
    </xf>
    <xf numFmtId="0" fontId="0" fillId="19" borderId="4" xfId="0" applyFill="1" applyBorder="1" applyAlignment="1">
      <alignment horizontal="right"/>
    </xf>
    <xf numFmtId="0" fontId="0" fillId="19" borderId="4" xfId="0" applyFill="1" applyBorder="1" applyAlignment="1">
      <alignment horizontal="center" vertical="center"/>
    </xf>
    <xf numFmtId="9" fontId="0" fillId="19" borderId="4" xfId="0" applyNumberFormat="1" applyFill="1" applyBorder="1" applyAlignment="1">
      <alignment horizontal="center" vertical="center"/>
    </xf>
    <xf numFmtId="9" fontId="0" fillId="0" borderId="4" xfId="0" applyNumberFormat="1" applyBorder="1" applyAlignment="1">
      <alignment horizontal="center" vertical="center"/>
    </xf>
    <xf numFmtId="164" fontId="0" fillId="18" borderId="16" xfId="0" applyNumberFormat="1" applyFont="1" applyFill="1" applyBorder="1" applyAlignment="1">
      <alignment horizontal="center" vertical="center"/>
    </xf>
    <xf numFmtId="1" fontId="0" fillId="18" borderId="16" xfId="0" applyNumberFormat="1" applyFont="1" applyFill="1" applyBorder="1" applyAlignment="1">
      <alignment horizontal="center" vertical="center"/>
    </xf>
    <xf numFmtId="1" fontId="2" fillId="16" borderId="6" xfId="0" applyNumberFormat="1" applyFont="1" applyFill="1" applyBorder="1" applyAlignment="1">
      <alignment horizontal="center" vertical="center"/>
    </xf>
    <xf numFmtId="1" fontId="2" fillId="18" borderId="16" xfId="0" applyNumberFormat="1" applyFont="1" applyFill="1" applyBorder="1" applyAlignment="1">
      <alignment horizontal="center" vertical="center"/>
    </xf>
    <xf numFmtId="0" fontId="2" fillId="0" borderId="5" xfId="0" applyFont="1" applyBorder="1" applyAlignment="1">
      <alignment horizontal="left"/>
    </xf>
    <xf numFmtId="3" fontId="2" fillId="16" borderId="3" xfId="0" applyNumberFormat="1" applyFont="1" applyFill="1" applyBorder="1" applyAlignment="1">
      <alignment horizontal="center" vertical="center"/>
    </xf>
    <xf numFmtId="3" fontId="2" fillId="0" borderId="0" xfId="0" applyNumberFormat="1" applyFont="1" applyAlignment="1">
      <alignment horizontal="center" vertical="center"/>
    </xf>
    <xf numFmtId="1" fontId="0" fillId="19" borderId="4" xfId="0" applyNumberFormat="1" applyFill="1" applyBorder="1" applyAlignment="1">
      <alignment horizontal="center" vertical="center"/>
    </xf>
    <xf numFmtId="0" fontId="0" fillId="0" borderId="0" xfId="0" applyFill="1" applyBorder="1" applyAlignment="1">
      <alignment horizontal="right"/>
    </xf>
    <xf numFmtId="0" fontId="0" fillId="19" borderId="4" xfId="0" applyFill="1" applyBorder="1" applyAlignment="1">
      <alignment horizontal="center"/>
    </xf>
    <xf numFmtId="0" fontId="2" fillId="19" borderId="1" xfId="0" applyFont="1" applyFill="1" applyBorder="1" applyAlignment="1">
      <alignment horizontal="center" vertical="center"/>
    </xf>
    <xf numFmtId="0" fontId="0" fillId="20" borderId="0" xfId="0" applyFill="1"/>
    <xf numFmtId="1" fontId="0" fillId="20" borderId="4" xfId="0" applyNumberFormat="1" applyFill="1" applyBorder="1" applyAlignment="1">
      <alignment horizontal="center" vertical="center"/>
    </xf>
    <xf numFmtId="0" fontId="0" fillId="20" borderId="4" xfId="0" applyFill="1" applyBorder="1" applyAlignment="1">
      <alignment horizontal="center" vertical="center"/>
    </xf>
    <xf numFmtId="0" fontId="0" fillId="21" borderId="4" xfId="0" applyFill="1" applyBorder="1" applyAlignment="1">
      <alignment horizontal="center" vertical="center"/>
    </xf>
    <xf numFmtId="165" fontId="0" fillId="21" borderId="4" xfId="0" applyNumberFormat="1" applyFill="1" applyBorder="1" applyAlignment="1">
      <alignment horizontal="center" vertical="center"/>
    </xf>
    <xf numFmtId="9" fontId="0" fillId="0" borderId="0" xfId="0" applyNumberFormat="1" applyBorder="1" applyAlignment="1">
      <alignment horizontal="center" vertical="center"/>
    </xf>
    <xf numFmtId="0" fontId="0" fillId="21" borderId="4" xfId="0" applyFont="1" applyFill="1" applyBorder="1" applyAlignment="1">
      <alignment horizontal="center"/>
    </xf>
  </cellXfs>
  <cellStyles count="28">
    <cellStyle name="AuditCheck" xfId="2"/>
    <cellStyle name="CalcDataFree" xfId="3"/>
    <cellStyle name="CalcDataLimn" xfId="4"/>
    <cellStyle name="CalculatedData" xfId="5"/>
    <cellStyle name="ControlledCell" xfId="6"/>
    <cellStyle name="DataBlock" xfId="7"/>
    <cellStyle name="Diagnostic" xfId="8"/>
    <cellStyle name="Heading1" xfId="9"/>
    <cellStyle name="Heading2" xfId="10"/>
    <cellStyle name="Heading3" xfId="11"/>
    <cellStyle name="Heading4" xfId="12"/>
    <cellStyle name="Heading5" xfId="13"/>
    <cellStyle name="Heading6" xfId="14"/>
    <cellStyle name="Heading7" xfId="15"/>
    <cellStyle name="Hidden" xfId="16"/>
    <cellStyle name="ManualLinks" xfId="17"/>
    <cellStyle name="Normal" xfId="0" builtinId="0"/>
    <cellStyle name="Normal 2" xfId="18"/>
    <cellStyle name="Normal 3" xfId="19"/>
    <cellStyle name="Normal 4" xfId="20"/>
    <cellStyle name="Normal 4 2" xfId="21"/>
    <cellStyle name="NormalFree_CoalWizard" xfId="22"/>
    <cellStyle name="NormalProtected" xfId="23"/>
    <cellStyle name="NormalUnprotected" xfId="24"/>
    <cellStyle name="Percent" xfId="1" builtinId="5"/>
    <cellStyle name="UserFormula" xfId="25"/>
    <cellStyle name="UserInput" xfId="26"/>
    <cellStyle name="UserText" xfId="27"/>
  </cellStyles>
  <dxfs count="0"/>
  <tableStyles count="0" defaultTableStyle="TableStyleMedium2" defaultPivotStyle="PivotStyleLight16"/>
  <colors>
    <mruColors>
      <color rgb="FF97FFA8"/>
      <color rgb="FFBDFFC8"/>
      <color rgb="FFFFFF99"/>
      <color rgb="FF00863D"/>
      <color rgb="FF61FF7B"/>
      <color rgb="FF20FF45"/>
      <color rgb="FFDAD2E4"/>
      <color rgb="FFFFC5C5"/>
      <color rgb="FFFF9797"/>
      <color rgb="FFA9A5F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Effect of Oxygen Enrichment of Air</a:t>
            </a:r>
          </a:p>
        </c:rich>
      </c:tx>
      <c:overlay val="0"/>
    </c:title>
    <c:autoTitleDeleted val="0"/>
    <c:plotArea>
      <c:layout>
        <c:manualLayout>
          <c:layoutTarget val="inner"/>
          <c:xMode val="edge"/>
          <c:yMode val="edge"/>
          <c:x val="0.13094444444444445"/>
          <c:y val="0.12164552347623214"/>
          <c:w val="0.74706714785651795"/>
          <c:h val="0.71144867308253135"/>
        </c:manualLayout>
      </c:layout>
      <c:scatterChart>
        <c:scatterStyle val="smoothMarker"/>
        <c:varyColors val="0"/>
        <c:ser>
          <c:idx val="1"/>
          <c:order val="1"/>
          <c:tx>
            <c:strRef>
              <c:f>OxyEnrich!$T$37</c:f>
              <c:strCache>
                <c:ptCount val="1"/>
                <c:pt idx="0">
                  <c:v>Oxidant flow, actual m3/min</c:v>
                </c:pt>
              </c:strCache>
            </c:strRef>
          </c:tx>
          <c:spPr>
            <a:ln w="15875">
              <a:solidFill>
                <a:srgbClr val="FF0000"/>
              </a:solidFill>
            </a:ln>
          </c:spPr>
          <c:xVal>
            <c:numRef>
              <c:f>OxyEnrich!$U$35:$Y$35</c:f>
              <c:numCache>
                <c:formatCode>0%</c:formatCode>
                <c:ptCount val="5"/>
                <c:pt idx="0">
                  <c:v>0.21</c:v>
                </c:pt>
                <c:pt idx="1">
                  <c:v>0.23</c:v>
                </c:pt>
                <c:pt idx="2">
                  <c:v>0.25</c:v>
                </c:pt>
                <c:pt idx="3">
                  <c:v>0.27</c:v>
                </c:pt>
                <c:pt idx="4">
                  <c:v>0.28999999999999998</c:v>
                </c:pt>
              </c:numCache>
            </c:numRef>
          </c:xVal>
          <c:yVal>
            <c:numRef>
              <c:f>OxyEnrich!$U$37:$Y$37</c:f>
              <c:numCache>
                <c:formatCode>General</c:formatCode>
                <c:ptCount val="5"/>
                <c:pt idx="0">
                  <c:v>360.5</c:v>
                </c:pt>
                <c:pt idx="1">
                  <c:v>314.10000000000002</c:v>
                </c:pt>
                <c:pt idx="2">
                  <c:v>278.3</c:v>
                </c:pt>
                <c:pt idx="3">
                  <c:v>249.8</c:v>
                </c:pt>
                <c:pt idx="4">
                  <c:v>226.6</c:v>
                </c:pt>
              </c:numCache>
            </c:numRef>
          </c:yVal>
          <c:smooth val="1"/>
        </c:ser>
        <c:dLbls>
          <c:showLegendKey val="0"/>
          <c:showVal val="0"/>
          <c:showCatName val="0"/>
          <c:showSerName val="0"/>
          <c:showPercent val="0"/>
          <c:showBubbleSize val="0"/>
        </c:dLbls>
        <c:axId val="149215872"/>
        <c:axId val="149222144"/>
      </c:scatterChart>
      <c:scatterChart>
        <c:scatterStyle val="smoothMarker"/>
        <c:varyColors val="0"/>
        <c:ser>
          <c:idx val="0"/>
          <c:order val="0"/>
          <c:tx>
            <c:strRef>
              <c:f>OxyEnrich!$T$36</c:f>
              <c:strCache>
                <c:ptCount val="1"/>
                <c:pt idx="0">
                  <c:v>NG flow, actual m3/min</c:v>
                </c:pt>
              </c:strCache>
            </c:strRef>
          </c:tx>
          <c:spPr>
            <a:ln w="15875">
              <a:solidFill>
                <a:schemeClr val="accent1">
                  <a:lumMod val="75000"/>
                </a:schemeClr>
              </a:solidFill>
            </a:ln>
          </c:spPr>
          <c:xVal>
            <c:numRef>
              <c:f>OxyEnrich!$U$35:$Y$35</c:f>
              <c:numCache>
                <c:formatCode>0%</c:formatCode>
                <c:ptCount val="5"/>
                <c:pt idx="0">
                  <c:v>0.21</c:v>
                </c:pt>
                <c:pt idx="1">
                  <c:v>0.23</c:v>
                </c:pt>
                <c:pt idx="2">
                  <c:v>0.25</c:v>
                </c:pt>
                <c:pt idx="3">
                  <c:v>0.27</c:v>
                </c:pt>
                <c:pt idx="4">
                  <c:v>0.28999999999999998</c:v>
                </c:pt>
              </c:numCache>
            </c:numRef>
          </c:xVal>
          <c:yVal>
            <c:numRef>
              <c:f>OxyEnrich!$U$36:$Y$36</c:f>
              <c:numCache>
                <c:formatCode>General</c:formatCode>
                <c:ptCount val="5"/>
                <c:pt idx="0">
                  <c:v>32</c:v>
                </c:pt>
                <c:pt idx="1">
                  <c:v>30.5</c:v>
                </c:pt>
                <c:pt idx="2">
                  <c:v>29.4</c:v>
                </c:pt>
                <c:pt idx="3">
                  <c:v>28.5</c:v>
                </c:pt>
                <c:pt idx="4">
                  <c:v>27.8</c:v>
                </c:pt>
              </c:numCache>
            </c:numRef>
          </c:yVal>
          <c:smooth val="1"/>
        </c:ser>
        <c:dLbls>
          <c:showLegendKey val="0"/>
          <c:showVal val="0"/>
          <c:showCatName val="0"/>
          <c:showSerName val="0"/>
          <c:showPercent val="0"/>
          <c:showBubbleSize val="0"/>
        </c:dLbls>
        <c:axId val="149500672"/>
        <c:axId val="149224064"/>
      </c:scatterChart>
      <c:valAx>
        <c:axId val="149215872"/>
        <c:scaling>
          <c:orientation val="minMax"/>
          <c:max val="0.30000000000000004"/>
          <c:min val="0.2"/>
        </c:scaling>
        <c:delete val="0"/>
        <c:axPos val="b"/>
        <c:majorGridlines/>
        <c:title>
          <c:tx>
            <c:rich>
              <a:bodyPr/>
              <a:lstStyle/>
              <a:p>
                <a:pPr>
                  <a:defRPr/>
                </a:pPr>
                <a:r>
                  <a:rPr lang="en-US"/>
                  <a:t>%O</a:t>
                </a:r>
                <a:r>
                  <a:rPr lang="en-US" baseline="-25000"/>
                  <a:t>2</a:t>
                </a:r>
                <a:r>
                  <a:rPr lang="en-US"/>
                  <a:t> in oxidant gas</a:t>
                </a:r>
              </a:p>
            </c:rich>
          </c:tx>
          <c:overlay val="0"/>
        </c:title>
        <c:numFmt formatCode="0%" sourceLinked="1"/>
        <c:majorTickMark val="out"/>
        <c:minorTickMark val="none"/>
        <c:tickLblPos val="nextTo"/>
        <c:crossAx val="149222144"/>
        <c:crosses val="autoZero"/>
        <c:crossBetween val="midCat"/>
      </c:valAx>
      <c:valAx>
        <c:axId val="149222144"/>
        <c:scaling>
          <c:orientation val="minMax"/>
          <c:min val="200"/>
        </c:scaling>
        <c:delete val="0"/>
        <c:axPos val="l"/>
        <c:majorGridlines/>
        <c:title>
          <c:tx>
            <c:rich>
              <a:bodyPr rot="-5400000" vert="horz"/>
              <a:lstStyle/>
              <a:p>
                <a:pPr>
                  <a:defRPr/>
                </a:pPr>
                <a:r>
                  <a:rPr lang="en-US"/>
                  <a:t>oxidant flow</a:t>
                </a:r>
              </a:p>
            </c:rich>
          </c:tx>
          <c:layout>
            <c:manualLayout>
              <c:xMode val="edge"/>
              <c:yMode val="edge"/>
              <c:x val="8.1920384951880993E-3"/>
              <c:y val="0.34250874890638672"/>
            </c:manualLayout>
          </c:layout>
          <c:overlay val="0"/>
        </c:title>
        <c:numFmt formatCode="General" sourceLinked="1"/>
        <c:majorTickMark val="out"/>
        <c:minorTickMark val="none"/>
        <c:tickLblPos val="nextTo"/>
        <c:crossAx val="149215872"/>
        <c:crosses val="autoZero"/>
        <c:crossBetween val="midCat"/>
      </c:valAx>
      <c:valAx>
        <c:axId val="149224064"/>
        <c:scaling>
          <c:orientation val="minMax"/>
        </c:scaling>
        <c:delete val="0"/>
        <c:axPos val="r"/>
        <c:title>
          <c:tx>
            <c:rich>
              <a:bodyPr rot="-5400000" vert="horz"/>
              <a:lstStyle/>
              <a:p>
                <a:pPr>
                  <a:defRPr/>
                </a:pPr>
                <a:r>
                  <a:rPr lang="en-US"/>
                  <a:t>NG flow</a:t>
                </a:r>
              </a:p>
            </c:rich>
          </c:tx>
          <c:overlay val="0"/>
        </c:title>
        <c:numFmt formatCode="General" sourceLinked="1"/>
        <c:majorTickMark val="out"/>
        <c:minorTickMark val="none"/>
        <c:tickLblPos val="nextTo"/>
        <c:crossAx val="149500672"/>
        <c:crosses val="max"/>
        <c:crossBetween val="midCat"/>
      </c:valAx>
      <c:valAx>
        <c:axId val="149500672"/>
        <c:scaling>
          <c:orientation val="minMax"/>
        </c:scaling>
        <c:delete val="1"/>
        <c:axPos val="b"/>
        <c:numFmt formatCode="0%" sourceLinked="1"/>
        <c:majorTickMark val="out"/>
        <c:minorTickMark val="none"/>
        <c:tickLblPos val="nextTo"/>
        <c:crossAx val="149224064"/>
        <c:crosses val="autoZero"/>
        <c:crossBetween val="midCat"/>
      </c:valAx>
      <c:spPr>
        <a:solidFill>
          <a:schemeClr val="accent2">
            <a:lumMod val="20000"/>
            <a:lumOff val="80000"/>
          </a:schemeClr>
        </a:solidFill>
      </c:spPr>
    </c:plotArea>
    <c:legend>
      <c:legendPos val="t"/>
      <c:layout>
        <c:manualLayout>
          <c:xMode val="edge"/>
          <c:yMode val="edge"/>
          <c:x val="0.39540441819772526"/>
          <c:y val="0.15277777777777779"/>
          <c:w val="0.45363560804899389"/>
          <c:h val="0.12538385826771653"/>
        </c:manualLayout>
      </c:layout>
      <c:overlay val="0"/>
      <c:spPr>
        <a:solidFill>
          <a:schemeClr val="bg2">
            <a:lumMod val="75000"/>
          </a:schemeClr>
        </a:solidFill>
        <a:ln>
          <a:solidFill>
            <a:schemeClr val="tx1"/>
          </a:solidFill>
        </a:ln>
      </c:spPr>
      <c:txPr>
        <a:bodyPr/>
        <a:lstStyle/>
        <a:p>
          <a:pPr>
            <a:defRPr sz="1050"/>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a:pPr>
            <a:r>
              <a:rPr lang="en-US" sz="1300"/>
              <a:t>Relationship Between NG Flow and %O</a:t>
            </a:r>
            <a:r>
              <a:rPr lang="en-US" sz="1300" baseline="-25000"/>
              <a:t>2</a:t>
            </a:r>
            <a:r>
              <a:rPr lang="en-US" sz="1300"/>
              <a:t> in Oxidant</a:t>
            </a:r>
          </a:p>
        </c:rich>
      </c:tx>
      <c:overlay val="0"/>
    </c:title>
    <c:autoTitleDeleted val="0"/>
    <c:plotArea>
      <c:layout>
        <c:manualLayout>
          <c:layoutTarget val="inner"/>
          <c:xMode val="edge"/>
          <c:yMode val="edge"/>
          <c:x val="0.10476640419947507"/>
          <c:y val="0.12487277631962673"/>
          <c:w val="0.85177537182852148"/>
          <c:h val="0.72116105278506848"/>
        </c:manualLayout>
      </c:layout>
      <c:scatterChart>
        <c:scatterStyle val="smoothMarker"/>
        <c:varyColors val="0"/>
        <c:ser>
          <c:idx val="0"/>
          <c:order val="0"/>
          <c:spPr>
            <a:ln w="15875">
              <a:noFill/>
            </a:ln>
          </c:spPr>
          <c:trendline>
            <c:trendlineType val="poly"/>
            <c:order val="2"/>
            <c:dispRSqr val="0"/>
            <c:dispEq val="1"/>
            <c:trendlineLbl>
              <c:layout>
                <c:manualLayout>
                  <c:x val="3.5913604549431322E-2"/>
                  <c:y val="-0.4780887284922718"/>
                </c:manualLayout>
              </c:layout>
              <c:tx>
                <c:rich>
                  <a:bodyPr/>
                  <a:lstStyle/>
                  <a:p>
                    <a:pPr>
                      <a:defRPr sz="1100"/>
                    </a:pPr>
                    <a:r>
                      <a:rPr lang="en-US" sz="1100" baseline="0"/>
                      <a:t>NG flow = 0.03214(%O</a:t>
                    </a:r>
                    <a:r>
                      <a:rPr lang="en-US" sz="1100" baseline="-25000"/>
                      <a:t>2</a:t>
                    </a:r>
                    <a:r>
                      <a:rPr lang="en-US" sz="1100" baseline="0"/>
                      <a:t>)</a:t>
                    </a:r>
                    <a:r>
                      <a:rPr lang="en-US" sz="1100" baseline="30000"/>
                      <a:t>2</a:t>
                    </a:r>
                    <a:r>
                      <a:rPr lang="en-US" sz="1100" baseline="0"/>
                      <a:t> - 2.127(%O</a:t>
                    </a:r>
                    <a:r>
                      <a:rPr lang="en-US" sz="1100" baseline="-25000"/>
                      <a:t>2</a:t>
                    </a:r>
                    <a:r>
                      <a:rPr lang="en-US" sz="1100" baseline="0"/>
                      <a:t>) + 62.5</a:t>
                    </a:r>
                    <a:endParaRPr lang="en-US" sz="1100"/>
                  </a:p>
                </c:rich>
              </c:tx>
              <c:numFmt formatCode="General" sourceLinked="0"/>
              <c:spPr>
                <a:solidFill>
                  <a:schemeClr val="bg2">
                    <a:lumMod val="90000"/>
                  </a:schemeClr>
                </a:solidFill>
                <a:ln>
                  <a:solidFill>
                    <a:schemeClr val="tx1"/>
                  </a:solidFill>
                </a:ln>
              </c:spPr>
            </c:trendlineLbl>
          </c:trendline>
          <c:xVal>
            <c:numRef>
              <c:f>OxyEnrich!$U$35:$Y$35</c:f>
              <c:numCache>
                <c:formatCode>0%</c:formatCode>
                <c:ptCount val="5"/>
                <c:pt idx="0">
                  <c:v>0.21</c:v>
                </c:pt>
                <c:pt idx="1">
                  <c:v>0.23</c:v>
                </c:pt>
                <c:pt idx="2">
                  <c:v>0.25</c:v>
                </c:pt>
                <c:pt idx="3">
                  <c:v>0.27</c:v>
                </c:pt>
                <c:pt idx="4">
                  <c:v>0.28999999999999998</c:v>
                </c:pt>
              </c:numCache>
            </c:numRef>
          </c:xVal>
          <c:yVal>
            <c:numRef>
              <c:f>OxyEnrich!$U$36:$Y$36</c:f>
              <c:numCache>
                <c:formatCode>General</c:formatCode>
                <c:ptCount val="5"/>
                <c:pt idx="0">
                  <c:v>32</c:v>
                </c:pt>
                <c:pt idx="1">
                  <c:v>30.5</c:v>
                </c:pt>
                <c:pt idx="2">
                  <c:v>29.4</c:v>
                </c:pt>
                <c:pt idx="3">
                  <c:v>28.5</c:v>
                </c:pt>
                <c:pt idx="4">
                  <c:v>27.8</c:v>
                </c:pt>
              </c:numCache>
            </c:numRef>
          </c:yVal>
          <c:smooth val="1"/>
        </c:ser>
        <c:dLbls>
          <c:showLegendKey val="0"/>
          <c:showVal val="0"/>
          <c:showCatName val="0"/>
          <c:showSerName val="0"/>
          <c:showPercent val="0"/>
          <c:showBubbleSize val="0"/>
        </c:dLbls>
        <c:axId val="149546496"/>
        <c:axId val="149548416"/>
      </c:scatterChart>
      <c:valAx>
        <c:axId val="149546496"/>
        <c:scaling>
          <c:orientation val="minMax"/>
          <c:max val="0.30000000000000004"/>
          <c:min val="0.2"/>
        </c:scaling>
        <c:delete val="0"/>
        <c:axPos val="b"/>
        <c:majorGridlines/>
        <c:title>
          <c:tx>
            <c:rich>
              <a:bodyPr/>
              <a:lstStyle/>
              <a:p>
                <a:pPr>
                  <a:defRPr/>
                </a:pPr>
                <a:r>
                  <a:rPr lang="en-US"/>
                  <a:t>%O</a:t>
                </a:r>
                <a:r>
                  <a:rPr lang="en-US" baseline="-25000"/>
                  <a:t>2</a:t>
                </a:r>
                <a:r>
                  <a:rPr lang="en-US"/>
                  <a:t> in oxidant gas</a:t>
                </a:r>
              </a:p>
            </c:rich>
          </c:tx>
          <c:overlay val="0"/>
        </c:title>
        <c:numFmt formatCode="0%" sourceLinked="1"/>
        <c:majorTickMark val="out"/>
        <c:minorTickMark val="none"/>
        <c:tickLblPos val="nextTo"/>
        <c:spPr>
          <a:ln>
            <a:solidFill>
              <a:schemeClr val="tx1"/>
            </a:solidFill>
          </a:ln>
        </c:spPr>
        <c:crossAx val="149548416"/>
        <c:crosses val="autoZero"/>
        <c:crossBetween val="midCat"/>
      </c:valAx>
      <c:valAx>
        <c:axId val="149548416"/>
        <c:scaling>
          <c:orientation val="minMax"/>
          <c:max val="33"/>
          <c:min val="27"/>
        </c:scaling>
        <c:delete val="0"/>
        <c:axPos val="l"/>
        <c:majorGridlines/>
        <c:title>
          <c:tx>
            <c:rich>
              <a:bodyPr rot="-5400000" vert="horz"/>
              <a:lstStyle/>
              <a:p>
                <a:pPr>
                  <a:defRPr/>
                </a:pPr>
                <a:r>
                  <a:rPr lang="en-US"/>
                  <a:t>NG flow, m</a:t>
                </a:r>
                <a:r>
                  <a:rPr lang="en-US" baseline="30000"/>
                  <a:t>3</a:t>
                </a:r>
                <a:r>
                  <a:rPr lang="en-US"/>
                  <a:t>/min</a:t>
                </a:r>
              </a:p>
            </c:rich>
          </c:tx>
          <c:overlay val="0"/>
        </c:title>
        <c:numFmt formatCode="General" sourceLinked="1"/>
        <c:majorTickMark val="out"/>
        <c:minorTickMark val="none"/>
        <c:tickLblPos val="nextTo"/>
        <c:crossAx val="149546496"/>
        <c:crosses val="autoZero"/>
        <c:crossBetween val="midCat"/>
        <c:majorUnit val="1"/>
      </c:valAx>
      <c:spPr>
        <a:solidFill>
          <a:schemeClr val="accent2">
            <a:lumMod val="20000"/>
            <a:lumOff val="80000"/>
          </a:schemeClr>
        </a:solidFill>
      </c:spPr>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Effect of Air Preheat</a:t>
            </a:r>
          </a:p>
        </c:rich>
      </c:tx>
      <c:layout/>
      <c:overlay val="0"/>
    </c:title>
    <c:autoTitleDeleted val="0"/>
    <c:plotArea>
      <c:layout>
        <c:manualLayout>
          <c:layoutTarget val="inner"/>
          <c:xMode val="edge"/>
          <c:yMode val="edge"/>
          <c:x val="0.10386852959169578"/>
          <c:y val="0.11517671094437296"/>
          <c:w val="0.79147316607946516"/>
          <c:h val="0.7624440712223991"/>
        </c:manualLayout>
      </c:layout>
      <c:scatterChart>
        <c:scatterStyle val="smoothMarker"/>
        <c:varyColors val="0"/>
        <c:ser>
          <c:idx val="1"/>
          <c:order val="1"/>
          <c:tx>
            <c:v>Oxidant flow, STP</c:v>
          </c:tx>
          <c:spPr>
            <a:ln w="12700">
              <a:solidFill>
                <a:schemeClr val="tx1"/>
              </a:solidFill>
            </a:ln>
          </c:spPr>
          <c:marker>
            <c:symbol val="square"/>
            <c:size val="5"/>
            <c:spPr>
              <a:solidFill>
                <a:srgbClr val="FF0000"/>
              </a:solidFill>
              <a:ln>
                <a:solidFill>
                  <a:schemeClr val="tx1"/>
                </a:solidFill>
              </a:ln>
            </c:spPr>
          </c:marker>
          <c:xVal>
            <c:numRef>
              <c:f>AirPreHeat!$U$39:$Y$39</c:f>
              <c:numCache>
                <c:formatCode>0</c:formatCode>
                <c:ptCount val="5"/>
                <c:pt idx="0">
                  <c:v>25</c:v>
                </c:pt>
                <c:pt idx="1">
                  <c:v>100</c:v>
                </c:pt>
                <c:pt idx="2">
                  <c:v>160</c:v>
                </c:pt>
                <c:pt idx="3">
                  <c:v>220</c:v>
                </c:pt>
                <c:pt idx="4">
                  <c:v>300</c:v>
                </c:pt>
              </c:numCache>
            </c:numRef>
          </c:xVal>
          <c:yVal>
            <c:numRef>
              <c:f>AirPreHeat!$U$42:$Y$42</c:f>
              <c:numCache>
                <c:formatCode>0</c:formatCode>
                <c:ptCount val="5"/>
                <c:pt idx="0">
                  <c:v>330.3</c:v>
                </c:pt>
                <c:pt idx="1">
                  <c:v>300.3</c:v>
                </c:pt>
                <c:pt idx="2">
                  <c:v>279.60000000000002</c:v>
                </c:pt>
                <c:pt idx="3">
                  <c:v>261.39999999999998</c:v>
                </c:pt>
                <c:pt idx="4">
                  <c:v>240.1</c:v>
                </c:pt>
              </c:numCache>
            </c:numRef>
          </c:yVal>
          <c:smooth val="1"/>
        </c:ser>
        <c:ser>
          <c:idx val="2"/>
          <c:order val="2"/>
          <c:tx>
            <c:v>Cooled stack gas temp</c:v>
          </c:tx>
          <c:spPr>
            <a:ln w="12700">
              <a:solidFill>
                <a:schemeClr val="tx1"/>
              </a:solidFill>
            </a:ln>
          </c:spPr>
          <c:marker>
            <c:symbol val="triangle"/>
            <c:size val="5"/>
            <c:spPr>
              <a:solidFill>
                <a:srgbClr val="00B050"/>
              </a:solidFill>
              <a:ln>
                <a:solidFill>
                  <a:schemeClr val="tx1"/>
                </a:solidFill>
              </a:ln>
            </c:spPr>
          </c:marker>
          <c:xVal>
            <c:numRef>
              <c:f>AirPreHeat!$U$39:$Y$39</c:f>
              <c:numCache>
                <c:formatCode>0</c:formatCode>
                <c:ptCount val="5"/>
                <c:pt idx="0">
                  <c:v>25</c:v>
                </c:pt>
                <c:pt idx="1">
                  <c:v>100</c:v>
                </c:pt>
                <c:pt idx="2">
                  <c:v>160</c:v>
                </c:pt>
                <c:pt idx="3">
                  <c:v>220</c:v>
                </c:pt>
                <c:pt idx="4">
                  <c:v>300</c:v>
                </c:pt>
              </c:numCache>
            </c:numRef>
          </c:xVal>
          <c:yVal>
            <c:numRef>
              <c:f>AirPreHeat!$U$43:$Y$43</c:f>
              <c:numCache>
                <c:formatCode>General</c:formatCode>
                <c:ptCount val="5"/>
                <c:pt idx="0">
                  <c:v>700</c:v>
                </c:pt>
                <c:pt idx="1">
                  <c:v>645</c:v>
                </c:pt>
                <c:pt idx="2">
                  <c:v>602</c:v>
                </c:pt>
                <c:pt idx="3">
                  <c:v>559</c:v>
                </c:pt>
                <c:pt idx="4">
                  <c:v>502</c:v>
                </c:pt>
              </c:numCache>
            </c:numRef>
          </c:yVal>
          <c:smooth val="1"/>
        </c:ser>
        <c:dLbls>
          <c:showLegendKey val="0"/>
          <c:showVal val="0"/>
          <c:showCatName val="0"/>
          <c:showSerName val="0"/>
          <c:showPercent val="0"/>
          <c:showBubbleSize val="0"/>
        </c:dLbls>
        <c:axId val="148640896"/>
        <c:axId val="148642816"/>
      </c:scatterChart>
      <c:scatterChart>
        <c:scatterStyle val="smoothMarker"/>
        <c:varyColors val="0"/>
        <c:ser>
          <c:idx val="0"/>
          <c:order val="0"/>
          <c:tx>
            <c:v>NG Flow</c:v>
          </c:tx>
          <c:spPr>
            <a:ln w="12700">
              <a:solidFill>
                <a:schemeClr val="tx1"/>
              </a:solidFill>
            </a:ln>
          </c:spPr>
          <c:marker>
            <c:symbol val="diamond"/>
            <c:size val="6"/>
            <c:spPr>
              <a:solidFill>
                <a:schemeClr val="accent1">
                  <a:lumMod val="40000"/>
                  <a:lumOff val="60000"/>
                </a:schemeClr>
              </a:solidFill>
              <a:ln>
                <a:solidFill>
                  <a:schemeClr val="tx1"/>
                </a:solidFill>
              </a:ln>
            </c:spPr>
          </c:marker>
          <c:xVal>
            <c:numRef>
              <c:f>AirPreHeat!$U$39:$Y$39</c:f>
              <c:numCache>
                <c:formatCode>0</c:formatCode>
                <c:ptCount val="5"/>
                <c:pt idx="0">
                  <c:v>25</c:v>
                </c:pt>
                <c:pt idx="1">
                  <c:v>100</c:v>
                </c:pt>
                <c:pt idx="2">
                  <c:v>160</c:v>
                </c:pt>
                <c:pt idx="3">
                  <c:v>220</c:v>
                </c:pt>
                <c:pt idx="4">
                  <c:v>300</c:v>
                </c:pt>
              </c:numCache>
            </c:numRef>
          </c:xVal>
          <c:yVal>
            <c:numRef>
              <c:f>AirPreHeat!$U$40:$Y$40</c:f>
              <c:numCache>
                <c:formatCode>General</c:formatCode>
                <c:ptCount val="5"/>
                <c:pt idx="0">
                  <c:v>32</c:v>
                </c:pt>
                <c:pt idx="1">
                  <c:v>29.1</c:v>
                </c:pt>
                <c:pt idx="2">
                  <c:v>27.1</c:v>
                </c:pt>
                <c:pt idx="3">
                  <c:v>25.3</c:v>
                </c:pt>
                <c:pt idx="4">
                  <c:v>23.3</c:v>
                </c:pt>
              </c:numCache>
            </c:numRef>
          </c:yVal>
          <c:smooth val="1"/>
        </c:ser>
        <c:dLbls>
          <c:showLegendKey val="0"/>
          <c:showVal val="0"/>
          <c:showCatName val="0"/>
          <c:showSerName val="0"/>
          <c:showPercent val="0"/>
          <c:showBubbleSize val="0"/>
        </c:dLbls>
        <c:axId val="148655104"/>
        <c:axId val="148653184"/>
      </c:scatterChart>
      <c:valAx>
        <c:axId val="148640896"/>
        <c:scaling>
          <c:orientation val="minMax"/>
          <c:max val="300"/>
        </c:scaling>
        <c:delete val="0"/>
        <c:axPos val="b"/>
        <c:majorGridlines/>
        <c:title>
          <c:tx>
            <c:rich>
              <a:bodyPr/>
              <a:lstStyle/>
              <a:p>
                <a:pPr>
                  <a:defRPr sz="1100"/>
                </a:pPr>
                <a:r>
                  <a:rPr lang="en-US" sz="1100"/>
                  <a:t>air preheat temperature, °C</a:t>
                </a:r>
              </a:p>
            </c:rich>
          </c:tx>
          <c:layout/>
          <c:overlay val="0"/>
        </c:title>
        <c:numFmt formatCode="0" sourceLinked="1"/>
        <c:majorTickMark val="out"/>
        <c:minorTickMark val="none"/>
        <c:tickLblPos val="nextTo"/>
        <c:crossAx val="148642816"/>
        <c:crosses val="autoZero"/>
        <c:crossBetween val="midCat"/>
      </c:valAx>
      <c:valAx>
        <c:axId val="148642816"/>
        <c:scaling>
          <c:orientation val="minMax"/>
          <c:min val="200"/>
        </c:scaling>
        <c:delete val="0"/>
        <c:axPos val="l"/>
        <c:majorGridlines/>
        <c:title>
          <c:tx>
            <c:rich>
              <a:bodyPr rot="-5400000" vert="horz"/>
              <a:lstStyle/>
              <a:p>
                <a:pPr>
                  <a:defRPr sz="1100"/>
                </a:pPr>
                <a:r>
                  <a:rPr lang="en-US" sz="1100"/>
                  <a:t>oxidant flow; cooled stack gas temp</a:t>
                </a:r>
              </a:p>
            </c:rich>
          </c:tx>
          <c:layout/>
          <c:overlay val="0"/>
        </c:title>
        <c:numFmt formatCode="0" sourceLinked="1"/>
        <c:majorTickMark val="out"/>
        <c:minorTickMark val="none"/>
        <c:tickLblPos val="nextTo"/>
        <c:crossAx val="148640896"/>
        <c:crosses val="autoZero"/>
        <c:crossBetween val="midCat"/>
      </c:valAx>
      <c:valAx>
        <c:axId val="148653184"/>
        <c:scaling>
          <c:orientation val="minMax"/>
          <c:min val="22"/>
        </c:scaling>
        <c:delete val="0"/>
        <c:axPos val="r"/>
        <c:title>
          <c:tx>
            <c:rich>
              <a:bodyPr rot="-5400000" vert="horz"/>
              <a:lstStyle/>
              <a:p>
                <a:pPr>
                  <a:defRPr sz="1100"/>
                </a:pPr>
                <a:r>
                  <a:rPr lang="en-US" sz="1100"/>
                  <a:t>NG flow, m</a:t>
                </a:r>
                <a:r>
                  <a:rPr lang="en-US" sz="1100" baseline="30000"/>
                  <a:t>3</a:t>
                </a:r>
                <a:r>
                  <a:rPr lang="en-US" sz="1100"/>
                  <a:t>/mn</a:t>
                </a:r>
              </a:p>
            </c:rich>
          </c:tx>
          <c:layout>
            <c:manualLayout>
              <c:xMode val="edge"/>
              <c:yMode val="edge"/>
              <c:x val="0.9529817218793597"/>
              <c:y val="0.35321939569033894"/>
            </c:manualLayout>
          </c:layout>
          <c:overlay val="0"/>
        </c:title>
        <c:numFmt formatCode="General" sourceLinked="1"/>
        <c:majorTickMark val="out"/>
        <c:minorTickMark val="none"/>
        <c:tickLblPos val="nextTo"/>
        <c:crossAx val="148655104"/>
        <c:crosses val="max"/>
        <c:crossBetween val="midCat"/>
      </c:valAx>
      <c:valAx>
        <c:axId val="148655104"/>
        <c:scaling>
          <c:orientation val="minMax"/>
        </c:scaling>
        <c:delete val="1"/>
        <c:axPos val="b"/>
        <c:numFmt formatCode="0" sourceLinked="1"/>
        <c:majorTickMark val="out"/>
        <c:minorTickMark val="none"/>
        <c:tickLblPos val="nextTo"/>
        <c:crossAx val="148653184"/>
        <c:crosses val="autoZero"/>
        <c:crossBetween val="midCat"/>
      </c:valAx>
      <c:spPr>
        <a:solidFill>
          <a:schemeClr val="bg2">
            <a:lumMod val="90000"/>
          </a:schemeClr>
        </a:solidFill>
      </c:spPr>
    </c:plotArea>
    <c:legend>
      <c:legendPos val="r"/>
      <c:layout>
        <c:manualLayout>
          <c:xMode val="edge"/>
          <c:yMode val="edge"/>
          <c:x val="0.48198690816801054"/>
          <c:y val="0.15003995350327973"/>
          <c:w val="0.33139557363513705"/>
          <c:h val="0.15002771712359483"/>
        </c:manualLayout>
      </c:layout>
      <c:overlay val="0"/>
      <c:spPr>
        <a:solidFill>
          <a:schemeClr val="bg1">
            <a:lumMod val="85000"/>
          </a:schemeClr>
        </a:solidFill>
        <a:ln>
          <a:solidFill>
            <a:schemeClr val="tx1"/>
          </a:solidFill>
        </a:ln>
      </c:spPr>
    </c:legend>
    <c:plotVisOnly val="1"/>
    <c:dispBlanksAs val="gap"/>
    <c:showDLblsOverMax val="0"/>
  </c:chart>
  <c:spPr>
    <a:solidFill>
      <a:schemeClr val="accent6">
        <a:lumMod val="20000"/>
        <a:lumOff val="80000"/>
      </a:schemeClr>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emf"/><Relationship Id="rId1" Type="http://schemas.openxmlformats.org/officeDocument/2006/relationships/image" Target="../media/image2.emf"/><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8</xdr:col>
      <xdr:colOff>216111</xdr:colOff>
      <xdr:row>5</xdr:row>
      <xdr:rowOff>565149</xdr:rowOff>
    </xdr:from>
    <xdr:to>
      <xdr:col>11</xdr:col>
      <xdr:colOff>156845</xdr:colOff>
      <xdr:row>5</xdr:row>
      <xdr:rowOff>1242481</xdr:rowOff>
    </xdr:to>
    <xdr:sp macro="" textlink="">
      <xdr:nvSpPr>
        <xdr:cNvPr id="2" name="Rectangle 1"/>
        <xdr:cNvSpPr/>
      </xdr:nvSpPr>
      <xdr:spPr>
        <a:xfrm>
          <a:off x="5405331" y="1403349"/>
          <a:ext cx="2043854" cy="677332"/>
        </a:xfrm>
        <a:prstGeom prst="rect">
          <a:avLst/>
        </a:prstGeom>
        <a:ln w="9525">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0</xdr:col>
      <xdr:colOff>218019</xdr:colOff>
      <xdr:row>11</xdr:row>
      <xdr:rowOff>163779</xdr:rowOff>
    </xdr:from>
    <xdr:ext cx="1512356" cy="684216"/>
    <xdr:sp macro="" textlink="">
      <xdr:nvSpPr>
        <xdr:cNvPr id="3" name="TextBox 2"/>
        <xdr:cNvSpPr txBox="1"/>
      </xdr:nvSpPr>
      <xdr:spPr>
        <a:xfrm>
          <a:off x="218019" y="3234639"/>
          <a:ext cx="1512356" cy="684216"/>
        </a:xfrm>
        <a:prstGeom prst="rect">
          <a:avLst/>
        </a:prstGeom>
        <a:solidFill>
          <a:schemeClr val="bg2"/>
        </a:solidFill>
        <a:ln w="12700">
          <a:solidFill>
            <a:schemeClr val="tx1"/>
          </a:solidFill>
          <a:prstDash val="lg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chorCtr="0">
          <a:noAutofit/>
        </a:bodyPr>
        <a:lstStyle/>
        <a:p>
          <a:pPr algn="l"/>
          <a:r>
            <a:rPr lang="en-US" sz="1200">
              <a:latin typeface="Arial" pitchFamily="34" charset="0"/>
              <a:cs typeface="Arial" pitchFamily="34" charset="0"/>
            </a:rPr>
            <a:t>Edit </a:t>
          </a:r>
          <a:r>
            <a:rPr lang="en-US" sz="1200" baseline="0">
              <a:latin typeface="Arial" pitchFamily="34" charset="0"/>
              <a:cs typeface="Arial" pitchFamily="34" charset="0"/>
            </a:rPr>
            <a:t>entries in blue-bordered cells </a:t>
          </a:r>
          <a:r>
            <a:rPr lang="en-US" sz="1200">
              <a:solidFill>
                <a:schemeClr val="tx1"/>
              </a:solidFill>
              <a:effectLst/>
              <a:latin typeface="Arial" pitchFamily="34" charset="0"/>
              <a:ea typeface="+mn-ea"/>
              <a:cs typeface="Arial" pitchFamily="34" charset="0"/>
            </a:rPr>
            <a:t>only!</a:t>
          </a:r>
          <a:endParaRPr lang="en-US" sz="1200">
            <a:latin typeface="Arial" pitchFamily="34" charset="0"/>
            <a:cs typeface="Arial" pitchFamily="34" charset="0"/>
          </a:endParaRPr>
        </a:p>
      </xdr:txBody>
    </xdr:sp>
    <xdr:clientData/>
  </xdr:oneCellAnchor>
  <xdr:oneCellAnchor>
    <xdr:from>
      <xdr:col>0</xdr:col>
      <xdr:colOff>579120</xdr:colOff>
      <xdr:row>13</xdr:row>
      <xdr:rowOff>185057</xdr:rowOff>
    </xdr:from>
    <xdr:ext cx="868680" cy="195943"/>
    <xdr:sp macro="" textlink="">
      <xdr:nvSpPr>
        <xdr:cNvPr id="4" name="TextBox 3"/>
        <xdr:cNvSpPr txBox="1"/>
      </xdr:nvSpPr>
      <xdr:spPr>
        <a:xfrm>
          <a:off x="579120" y="3667397"/>
          <a:ext cx="868680" cy="195943"/>
        </a:xfrm>
        <a:prstGeom prst="rect">
          <a:avLst/>
        </a:prstGeom>
        <a:solidFill>
          <a:schemeClr val="accent1">
            <a:lumMod val="20000"/>
            <a:lumOff val="80000"/>
          </a:schemeClr>
        </a:solidFill>
        <a:ln>
          <a:solidFill>
            <a:srgbClr val="4070AA"/>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100"/>
            <a:t>  (like this)</a:t>
          </a:r>
        </a:p>
      </xdr:txBody>
    </xdr:sp>
    <xdr:clientData/>
  </xdr:oneCellAnchor>
  <xdr:oneCellAnchor>
    <xdr:from>
      <xdr:col>11</xdr:col>
      <xdr:colOff>310570</xdr:colOff>
      <xdr:row>15</xdr:row>
      <xdr:rowOff>38784</xdr:rowOff>
    </xdr:from>
    <xdr:ext cx="4286817" cy="243038"/>
    <xdr:sp macro="" textlink="">
      <xdr:nvSpPr>
        <xdr:cNvPr id="5" name="TextBox 4"/>
        <xdr:cNvSpPr txBox="1"/>
      </xdr:nvSpPr>
      <xdr:spPr>
        <a:xfrm>
          <a:off x="7602910" y="3871644"/>
          <a:ext cx="4286817" cy="243038"/>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algn="ctr"/>
          <a:r>
            <a:rPr lang="en-US" sz="1600"/>
            <a:t>System Balance for the Overall </a:t>
          </a:r>
          <a:r>
            <a:rPr kumimoji="0" lang="en-US" sz="1600" b="0" i="0" u="none" strike="noStrike" kern="0" cap="none" spc="0" normalizeH="0" baseline="0" noProof="0">
              <a:ln>
                <a:noFill/>
              </a:ln>
              <a:solidFill>
                <a:prstClr val="black"/>
              </a:solidFill>
              <a:effectLst/>
              <a:uLnTx/>
              <a:uFillTx/>
              <a:latin typeface="+mn-lt"/>
              <a:ea typeface="+mn-ea"/>
              <a:cs typeface="+mn-cs"/>
            </a:rPr>
            <a:t>Process--kJ/minute</a:t>
          </a:r>
          <a:endParaRPr lang="en-US" sz="1400"/>
        </a:p>
      </xdr:txBody>
    </xdr:sp>
    <xdr:clientData/>
  </xdr:oneCellAnchor>
  <xdr:twoCellAnchor editAs="absolute">
    <xdr:from>
      <xdr:col>10</xdr:col>
      <xdr:colOff>114058</xdr:colOff>
      <xdr:row>5</xdr:row>
      <xdr:rowOff>330199</xdr:rowOff>
    </xdr:from>
    <xdr:to>
      <xdr:col>10</xdr:col>
      <xdr:colOff>389648</xdr:colOff>
      <xdr:row>5</xdr:row>
      <xdr:rowOff>620183</xdr:rowOff>
    </xdr:to>
    <xdr:sp macro="" textlink="">
      <xdr:nvSpPr>
        <xdr:cNvPr id="6" name="Lightning Bolt 5"/>
        <xdr:cNvSpPr/>
      </xdr:nvSpPr>
      <xdr:spPr>
        <a:xfrm rot="16200000" flipV="1">
          <a:off x="6652441" y="1175596"/>
          <a:ext cx="289984" cy="275590"/>
        </a:xfrm>
        <a:prstGeom prst="lightningBolt">
          <a:avLst/>
        </a:prstGeom>
        <a:solidFill>
          <a:srgbClr val="FF0000"/>
        </a:solidFill>
        <a:ln w="952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392606</xdr:colOff>
      <xdr:row>5</xdr:row>
      <xdr:rowOff>645160</xdr:rowOff>
    </xdr:from>
    <xdr:to>
      <xdr:col>8</xdr:col>
      <xdr:colOff>234068</xdr:colOff>
      <xdr:row>5</xdr:row>
      <xdr:rowOff>645160</xdr:rowOff>
    </xdr:to>
    <xdr:sp macro="" textlink="">
      <xdr:nvSpPr>
        <xdr:cNvPr id="7" name="Line 1319"/>
        <xdr:cNvSpPr>
          <a:spLocks noChangeShapeType="1"/>
        </xdr:cNvSpPr>
      </xdr:nvSpPr>
      <xdr:spPr bwMode="auto">
        <a:xfrm>
          <a:off x="4850306" y="1483360"/>
          <a:ext cx="572982"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7</xdr:col>
      <xdr:colOff>666927</xdr:colOff>
      <xdr:row>5</xdr:row>
      <xdr:rowOff>1148715</xdr:rowOff>
    </xdr:from>
    <xdr:to>
      <xdr:col>8</xdr:col>
      <xdr:colOff>224543</xdr:colOff>
      <xdr:row>5</xdr:row>
      <xdr:rowOff>1148715</xdr:rowOff>
    </xdr:to>
    <xdr:sp macro="" textlink="">
      <xdr:nvSpPr>
        <xdr:cNvPr id="8" name="Line 1320"/>
        <xdr:cNvSpPr>
          <a:spLocks noChangeShapeType="1"/>
        </xdr:cNvSpPr>
      </xdr:nvSpPr>
      <xdr:spPr bwMode="auto">
        <a:xfrm rot="5400000">
          <a:off x="5269195" y="1842347"/>
          <a:ext cx="0" cy="289136"/>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7</xdr:col>
      <xdr:colOff>292487</xdr:colOff>
      <xdr:row>5</xdr:row>
      <xdr:rowOff>197369</xdr:rowOff>
    </xdr:from>
    <xdr:to>
      <xdr:col>9</xdr:col>
      <xdr:colOff>221156</xdr:colOff>
      <xdr:row>5</xdr:row>
      <xdr:rowOff>492297</xdr:rowOff>
    </xdr:to>
    <xdr:sp macro="" textlink="">
      <xdr:nvSpPr>
        <xdr:cNvPr id="9" name="Text Box 1324"/>
        <xdr:cNvSpPr txBox="1">
          <a:spLocks noChangeArrowheads="1"/>
        </xdr:cNvSpPr>
      </xdr:nvSpPr>
      <xdr:spPr bwMode="auto">
        <a:xfrm>
          <a:off x="4750187" y="1035569"/>
          <a:ext cx="1269789" cy="2949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lnSpc>
              <a:spcPts val="1000"/>
            </a:lnSpc>
            <a:defRPr sz="1000"/>
          </a:pPr>
          <a:r>
            <a:rPr lang="en-US" sz="1000" b="1" i="0" u="none" strike="noStrike" baseline="0">
              <a:solidFill>
                <a:srgbClr val="000000"/>
              </a:solidFill>
              <a:latin typeface="Arial" pitchFamily="34" charset="0"/>
              <a:cs typeface="Arial" pitchFamily="34" charset="0"/>
            </a:rPr>
            <a:t>Hot combustion gas</a:t>
          </a:r>
        </a:p>
        <a:p>
          <a:pPr algn="ctr" rtl="0">
            <a:lnSpc>
              <a:spcPts val="1100"/>
            </a:lnSpc>
            <a:defRPr sz="1000"/>
          </a:pPr>
          <a:r>
            <a:rPr lang="en-US" sz="1000" b="1" i="0" u="none" strike="noStrike" baseline="0">
              <a:solidFill>
                <a:srgbClr val="000000"/>
              </a:solidFill>
              <a:latin typeface="Arial" pitchFamily="34" charset="0"/>
              <a:cs typeface="Arial" pitchFamily="34" charset="0"/>
            </a:rPr>
            <a:t>(2730 m</a:t>
          </a:r>
          <a:r>
            <a:rPr lang="en-US" sz="1000" b="1" i="0" u="none" strike="noStrike" baseline="30000">
              <a:solidFill>
                <a:srgbClr val="000000"/>
              </a:solidFill>
              <a:latin typeface="Arial" pitchFamily="34" charset="0"/>
              <a:cs typeface="Arial" pitchFamily="34" charset="0"/>
            </a:rPr>
            <a:t>3</a:t>
          </a:r>
          <a:r>
            <a:rPr lang="en-US" sz="1000" b="1" i="0" u="none" strike="noStrike" baseline="0">
              <a:solidFill>
                <a:srgbClr val="000000"/>
              </a:solidFill>
              <a:latin typeface="Arial" pitchFamily="34" charset="0"/>
              <a:cs typeface="Arial" pitchFamily="34" charset="0"/>
            </a:rPr>
            <a:t>, 1800°C)</a:t>
          </a:r>
          <a:endParaRPr lang="en-US">
            <a:latin typeface="Arial" pitchFamily="34" charset="0"/>
            <a:cs typeface="Arial" pitchFamily="34" charset="0"/>
          </a:endParaRPr>
        </a:p>
      </xdr:txBody>
    </xdr:sp>
    <xdr:clientData/>
  </xdr:twoCellAnchor>
  <xdr:twoCellAnchor editAs="absolute">
    <xdr:from>
      <xdr:col>11</xdr:col>
      <xdr:colOff>36591</xdr:colOff>
      <xdr:row>5</xdr:row>
      <xdr:rowOff>153849</xdr:rowOff>
    </xdr:from>
    <xdr:to>
      <xdr:col>12</xdr:col>
      <xdr:colOff>460799</xdr:colOff>
      <xdr:row>5</xdr:row>
      <xdr:rowOff>480926</xdr:rowOff>
    </xdr:to>
    <xdr:sp macro="" textlink="">
      <xdr:nvSpPr>
        <xdr:cNvPr id="10" name="Text Box 1325"/>
        <xdr:cNvSpPr txBox="1">
          <a:spLocks noChangeArrowheads="1"/>
        </xdr:cNvSpPr>
      </xdr:nvSpPr>
      <xdr:spPr bwMode="auto">
        <a:xfrm>
          <a:off x="7328931" y="992049"/>
          <a:ext cx="1033808" cy="32707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defRPr sz="1000"/>
          </a:pPr>
          <a:r>
            <a:rPr lang="en-US" sz="1000" b="1" i="0" u="none" strike="noStrike" baseline="0">
              <a:solidFill>
                <a:srgbClr val="000000"/>
              </a:solidFill>
              <a:latin typeface="Arial"/>
              <a:cs typeface="Arial"/>
            </a:rPr>
            <a:t>Stack gas</a:t>
          </a:r>
        </a:p>
        <a:p>
          <a:pPr algn="ctr" rtl="0">
            <a:defRPr sz="1000"/>
          </a:pPr>
          <a:r>
            <a:rPr lang="en-US" sz="1000" b="1" i="0" u="none" strike="noStrike" baseline="0">
              <a:solidFill>
                <a:srgbClr val="000000"/>
              </a:solidFill>
              <a:latin typeface="Arial"/>
              <a:cs typeface="Arial"/>
            </a:rPr>
            <a:t>(1440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800°C)</a:t>
          </a:r>
          <a:endParaRPr lang="en-US"/>
        </a:p>
      </xdr:txBody>
    </xdr:sp>
    <xdr:clientData/>
  </xdr:twoCellAnchor>
  <xdr:twoCellAnchor editAs="absolute">
    <xdr:from>
      <xdr:col>6</xdr:col>
      <xdr:colOff>212021</xdr:colOff>
      <xdr:row>5</xdr:row>
      <xdr:rowOff>964036</xdr:rowOff>
    </xdr:from>
    <xdr:to>
      <xdr:col>8</xdr:col>
      <xdr:colOff>27516</xdr:colOff>
      <xdr:row>5</xdr:row>
      <xdr:rowOff>1256424</xdr:rowOff>
    </xdr:to>
    <xdr:sp macro="" textlink="">
      <xdr:nvSpPr>
        <xdr:cNvPr id="11" name="Text Box 1326"/>
        <xdr:cNvSpPr txBox="1">
          <a:spLocks noChangeArrowheads="1"/>
        </xdr:cNvSpPr>
      </xdr:nvSpPr>
      <xdr:spPr bwMode="auto">
        <a:xfrm>
          <a:off x="4113461" y="1802236"/>
          <a:ext cx="1103275" cy="29238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lnSpc>
              <a:spcPts val="1000"/>
            </a:lnSpc>
            <a:defRPr sz="1000"/>
          </a:pPr>
          <a:r>
            <a:rPr lang="en-US" sz="1000" b="1" i="0" u="none" strike="noStrike" baseline="0">
              <a:solidFill>
                <a:srgbClr val="000000"/>
              </a:solidFill>
              <a:latin typeface="Arial"/>
              <a:cs typeface="Arial"/>
            </a:rPr>
            <a:t>Heated aluminum</a:t>
          </a:r>
        </a:p>
        <a:p>
          <a:pPr algn="ctr" rtl="0">
            <a:lnSpc>
              <a:spcPts val="1100"/>
            </a:lnSpc>
            <a:defRPr sz="1000"/>
          </a:pPr>
          <a:r>
            <a:rPr lang="en-US" sz="1000" b="1" i="0" u="none" strike="noStrike" baseline="0">
              <a:solidFill>
                <a:srgbClr val="000000"/>
              </a:solidFill>
              <a:latin typeface="Arial"/>
              <a:cs typeface="Arial"/>
            </a:rPr>
            <a:t>(800 kg, 550</a:t>
          </a:r>
          <a:r>
            <a:rPr kumimoji="0" lang="en-US" sz="1000" b="1" i="0" u="none" strike="noStrike" kern="0" cap="none" spc="0" normalizeH="0" baseline="0" noProof="0">
              <a:ln>
                <a:noFill/>
              </a:ln>
              <a:solidFill>
                <a:srgbClr val="000000"/>
              </a:solidFill>
              <a:effectLst/>
              <a:uLnTx/>
              <a:uFillTx/>
              <a:latin typeface="Arial"/>
              <a:ea typeface="+mn-ea"/>
              <a:cs typeface="Arial"/>
            </a:rPr>
            <a:t>°C</a:t>
          </a:r>
          <a:r>
            <a:rPr lang="en-US" sz="1000" b="1" i="0" u="none" strike="noStrike" baseline="0">
              <a:solidFill>
                <a:srgbClr val="000000"/>
              </a:solidFill>
              <a:latin typeface="Arial"/>
              <a:cs typeface="Arial"/>
            </a:rPr>
            <a:t>)</a:t>
          </a:r>
          <a:endParaRPr lang="en-US"/>
        </a:p>
      </xdr:txBody>
    </xdr:sp>
    <xdr:clientData/>
  </xdr:twoCellAnchor>
  <xdr:twoCellAnchor editAs="absolute">
    <xdr:from>
      <xdr:col>11</xdr:col>
      <xdr:colOff>422039</xdr:colOff>
      <xdr:row>5</xdr:row>
      <xdr:rowOff>930702</xdr:rowOff>
    </xdr:from>
    <xdr:to>
      <xdr:col>13</xdr:col>
      <xdr:colOff>305680</xdr:colOff>
      <xdr:row>5</xdr:row>
      <xdr:rowOff>1257779</xdr:rowOff>
    </xdr:to>
    <xdr:sp macro="" textlink="">
      <xdr:nvSpPr>
        <xdr:cNvPr id="12" name="Text Box 1327"/>
        <xdr:cNvSpPr txBox="1">
          <a:spLocks noChangeArrowheads="1"/>
        </xdr:cNvSpPr>
      </xdr:nvSpPr>
      <xdr:spPr bwMode="auto">
        <a:xfrm>
          <a:off x="7714379" y="1768902"/>
          <a:ext cx="1102841" cy="32707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defRPr sz="1000"/>
          </a:pPr>
          <a:r>
            <a:rPr lang="en-US" sz="1000" b="1" i="0" u="none" strike="noStrike" baseline="0">
              <a:solidFill>
                <a:srgbClr val="000000"/>
              </a:solidFill>
              <a:latin typeface="Arial"/>
              <a:cs typeface="Arial"/>
            </a:rPr>
            <a:t>Aluminum ingots</a:t>
          </a:r>
        </a:p>
        <a:p>
          <a:pPr algn="ctr" rtl="0">
            <a:defRPr sz="1000"/>
          </a:pPr>
          <a:r>
            <a:rPr lang="en-US" sz="1000" b="1" i="0" u="none" strike="noStrike" baseline="0">
              <a:solidFill>
                <a:srgbClr val="000000"/>
              </a:solidFill>
              <a:latin typeface="Arial"/>
              <a:cs typeface="Arial"/>
            </a:rPr>
            <a:t>(800 kg, 25°C)</a:t>
          </a:r>
          <a:endParaRPr lang="en-US"/>
        </a:p>
      </xdr:txBody>
    </xdr:sp>
    <xdr:clientData/>
  </xdr:twoCellAnchor>
  <xdr:twoCellAnchor editAs="absolute">
    <xdr:from>
      <xdr:col>11</xdr:col>
      <xdr:colOff>150460</xdr:colOff>
      <xdr:row>5</xdr:row>
      <xdr:rowOff>1142365</xdr:rowOff>
    </xdr:from>
    <xdr:to>
      <xdr:col>11</xdr:col>
      <xdr:colOff>497417</xdr:colOff>
      <xdr:row>5</xdr:row>
      <xdr:rowOff>1142365</xdr:rowOff>
    </xdr:to>
    <xdr:sp macro="" textlink="">
      <xdr:nvSpPr>
        <xdr:cNvPr id="13" name="Line 1330"/>
        <xdr:cNvSpPr>
          <a:spLocks noChangeShapeType="1"/>
        </xdr:cNvSpPr>
      </xdr:nvSpPr>
      <xdr:spPr bwMode="auto">
        <a:xfrm rot="5400000">
          <a:off x="7616279" y="1807086"/>
          <a:ext cx="0" cy="346957"/>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6</xdr:col>
      <xdr:colOff>230893</xdr:colOff>
      <xdr:row>5</xdr:row>
      <xdr:rowOff>272415</xdr:rowOff>
    </xdr:from>
    <xdr:to>
      <xdr:col>6</xdr:col>
      <xdr:colOff>411868</xdr:colOff>
      <xdr:row>5</xdr:row>
      <xdr:rowOff>474980</xdr:rowOff>
    </xdr:to>
    <xdr:sp macro="" textlink="">
      <xdr:nvSpPr>
        <xdr:cNvPr id="14" name="Text Box 1342"/>
        <xdr:cNvSpPr txBox="1">
          <a:spLocks noChangeArrowheads="1"/>
        </xdr:cNvSpPr>
      </xdr:nvSpPr>
      <xdr:spPr bwMode="auto">
        <a:xfrm>
          <a:off x="4132333" y="1110615"/>
          <a:ext cx="180975" cy="20256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1</a:t>
          </a:r>
        </a:p>
      </xdr:txBody>
    </xdr:sp>
    <xdr:clientData/>
  </xdr:twoCellAnchor>
  <xdr:twoCellAnchor editAs="absolute">
    <xdr:from>
      <xdr:col>6</xdr:col>
      <xdr:colOff>497997</xdr:colOff>
      <xdr:row>5</xdr:row>
      <xdr:rowOff>406400</xdr:rowOff>
    </xdr:from>
    <xdr:to>
      <xdr:col>7</xdr:col>
      <xdr:colOff>501650</xdr:colOff>
      <xdr:row>5</xdr:row>
      <xdr:rowOff>882650</xdr:rowOff>
    </xdr:to>
    <xdr:sp macro="" textlink="">
      <xdr:nvSpPr>
        <xdr:cNvPr id="15" name="AutoShape 1379"/>
        <xdr:cNvSpPr>
          <a:spLocks noChangeArrowheads="1"/>
        </xdr:cNvSpPr>
      </xdr:nvSpPr>
      <xdr:spPr bwMode="auto">
        <a:xfrm rot="-5400000">
          <a:off x="4441269" y="1202768"/>
          <a:ext cx="476250" cy="559913"/>
        </a:xfrm>
        <a:custGeom>
          <a:avLst/>
          <a:gdLst>
            <a:gd name="G0" fmla="+- 5400 0 0"/>
            <a:gd name="G1" fmla="+- 21600 0 5400"/>
            <a:gd name="G2" fmla="*/ 5400 1 2"/>
            <a:gd name="G3" fmla="+- 21600 0 G2"/>
            <a:gd name="G4" fmla="+/ 5400 21600 2"/>
            <a:gd name="G5" fmla="+/ G1 0 2"/>
            <a:gd name="G6" fmla="*/ 21600 21600 5400"/>
            <a:gd name="G7" fmla="*/ G6 1 2"/>
            <a:gd name="G8" fmla="+- 21600 0 G7"/>
            <a:gd name="G9" fmla="*/ 21600 1 2"/>
            <a:gd name="G10" fmla="+- 5400 0 G9"/>
            <a:gd name="G11" fmla="?: G10 G8 0"/>
            <a:gd name="G12" fmla="?: G10 G7 21600"/>
            <a:gd name="T0" fmla="*/ 18900 w 21600"/>
            <a:gd name="T1" fmla="*/ 10800 h 21600"/>
            <a:gd name="T2" fmla="*/ 10800 w 21600"/>
            <a:gd name="T3" fmla="*/ 21600 h 21600"/>
            <a:gd name="T4" fmla="*/ 2700 w 21600"/>
            <a:gd name="T5" fmla="*/ 10800 h 21600"/>
            <a:gd name="T6" fmla="*/ 10800 w 21600"/>
            <a:gd name="T7" fmla="*/ 0 h 21600"/>
            <a:gd name="T8" fmla="*/ 4500 w 21600"/>
            <a:gd name="T9" fmla="*/ 4500 h 21600"/>
            <a:gd name="T10" fmla="*/ 17100 w 21600"/>
            <a:gd name="T11" fmla="*/ 17100 h 21600"/>
          </a:gdLst>
          <a:ahLst/>
          <a:cxnLst>
            <a:cxn ang="0">
              <a:pos x="T0" y="T1"/>
            </a:cxn>
            <a:cxn ang="0">
              <a:pos x="T2" y="T3"/>
            </a:cxn>
            <a:cxn ang="0">
              <a:pos x="T4" y="T5"/>
            </a:cxn>
            <a:cxn ang="0">
              <a:pos x="T6" y="T7"/>
            </a:cxn>
          </a:cxnLst>
          <a:rect l="T8" t="T9" r="T10" b="T11"/>
          <a:pathLst>
            <a:path w="21600" h="21600">
              <a:moveTo>
                <a:pt x="0" y="0"/>
              </a:moveTo>
              <a:lnTo>
                <a:pt x="5400" y="21600"/>
              </a:lnTo>
              <a:lnTo>
                <a:pt x="16200" y="21600"/>
              </a:lnTo>
              <a:lnTo>
                <a:pt x="21600" y="0"/>
              </a:lnTo>
              <a:close/>
            </a:path>
          </a:pathLst>
        </a:custGeom>
        <a:solidFill>
          <a:srgbClr val="CFCFCF"/>
        </a:solidFill>
        <a:ln w="19050" algn="ctr">
          <a:solidFill>
            <a:srgbClr xmlns:mc="http://schemas.openxmlformats.org/markup-compatibility/2006" xmlns:a14="http://schemas.microsoft.com/office/drawing/2010/main" val="000000" mc:Ignorable="a14" a14:legacySpreadsheetColorIndex="8"/>
          </a:solidFill>
          <a:miter lim="800000"/>
          <a:headEnd/>
          <a:tailEnd/>
        </a:ln>
        <a:effectLst/>
      </xdr:spPr>
    </xdr:sp>
    <xdr:clientData/>
  </xdr:twoCellAnchor>
  <xdr:twoCellAnchor editAs="absolute">
    <xdr:from>
      <xdr:col>6</xdr:col>
      <xdr:colOff>193887</xdr:colOff>
      <xdr:row>5</xdr:row>
      <xdr:rowOff>465455</xdr:rowOff>
    </xdr:from>
    <xdr:to>
      <xdr:col>6</xdr:col>
      <xdr:colOff>492301</xdr:colOff>
      <xdr:row>5</xdr:row>
      <xdr:rowOff>465455</xdr:rowOff>
    </xdr:to>
    <xdr:sp macro="" textlink="">
      <xdr:nvSpPr>
        <xdr:cNvPr id="16" name="Line 1380"/>
        <xdr:cNvSpPr>
          <a:spLocks noChangeShapeType="1"/>
        </xdr:cNvSpPr>
      </xdr:nvSpPr>
      <xdr:spPr bwMode="auto">
        <a:xfrm>
          <a:off x="4095327" y="1303655"/>
          <a:ext cx="298414"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4</xdr:col>
      <xdr:colOff>174022</xdr:colOff>
      <xdr:row>5</xdr:row>
      <xdr:rowOff>243697</xdr:rowOff>
    </xdr:from>
    <xdr:to>
      <xdr:col>6</xdr:col>
      <xdr:colOff>321850</xdr:colOff>
      <xdr:row>5</xdr:row>
      <xdr:rowOff>610727</xdr:rowOff>
    </xdr:to>
    <xdr:sp macro="" textlink="">
      <xdr:nvSpPr>
        <xdr:cNvPr id="17" name="Text Box 1381"/>
        <xdr:cNvSpPr txBox="1">
          <a:spLocks noChangeArrowheads="1"/>
        </xdr:cNvSpPr>
      </xdr:nvSpPr>
      <xdr:spPr bwMode="auto">
        <a:xfrm>
          <a:off x="3145822" y="1081897"/>
          <a:ext cx="1077468" cy="36703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noAutofit/>
        </a:bodyPr>
        <a:lstStyle/>
        <a:p>
          <a:pPr algn="ctr" rtl="0">
            <a:defRPr sz="1000"/>
          </a:pPr>
          <a:r>
            <a:rPr lang="en-US" sz="1000" b="1" i="0" u="none" strike="noStrike" baseline="0">
              <a:solidFill>
                <a:srgbClr val="000000"/>
              </a:solidFill>
              <a:latin typeface="Arial"/>
              <a:cs typeface="Arial"/>
            </a:rPr>
            <a:t>Nat Gas</a:t>
          </a:r>
        </a:p>
        <a:p>
          <a:pPr algn="ctr" rtl="0">
            <a:defRPr sz="1000"/>
          </a:pPr>
          <a:r>
            <a:rPr lang="en-US" sz="1000" b="1" i="0" u="none" strike="noStrike" baseline="0">
              <a:solidFill>
                <a:srgbClr val="000000"/>
              </a:solidFill>
              <a:latin typeface="Arial"/>
              <a:cs typeface="Arial"/>
            </a:rPr>
            <a:t>(32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25°C)</a:t>
          </a:r>
          <a:endParaRPr lang="en-US"/>
        </a:p>
      </xdr:txBody>
    </xdr:sp>
    <xdr:clientData/>
  </xdr:twoCellAnchor>
  <xdr:twoCellAnchor editAs="absolute">
    <xdr:from>
      <xdr:col>6</xdr:col>
      <xdr:colOff>135643</xdr:colOff>
      <xdr:row>5</xdr:row>
      <xdr:rowOff>835083</xdr:rowOff>
    </xdr:from>
    <xdr:to>
      <xdr:col>6</xdr:col>
      <xdr:colOff>492301</xdr:colOff>
      <xdr:row>5</xdr:row>
      <xdr:rowOff>835083</xdr:rowOff>
    </xdr:to>
    <xdr:sp macro="" textlink="">
      <xdr:nvSpPr>
        <xdr:cNvPr id="18" name="Line 1382"/>
        <xdr:cNvSpPr>
          <a:spLocks noChangeShapeType="1"/>
        </xdr:cNvSpPr>
      </xdr:nvSpPr>
      <xdr:spPr bwMode="auto">
        <a:xfrm>
          <a:off x="4037083" y="1673283"/>
          <a:ext cx="356658"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11</xdr:col>
      <xdr:colOff>105207</xdr:colOff>
      <xdr:row>5</xdr:row>
      <xdr:rowOff>583404</xdr:rowOff>
    </xdr:from>
    <xdr:to>
      <xdr:col>13</xdr:col>
      <xdr:colOff>221026</xdr:colOff>
      <xdr:row>5</xdr:row>
      <xdr:rowOff>929794</xdr:rowOff>
    </xdr:to>
    <xdr:sp macro="" textlink="">
      <xdr:nvSpPr>
        <xdr:cNvPr id="19" name="Text Box 1384"/>
        <xdr:cNvSpPr txBox="1">
          <a:spLocks noChangeArrowheads="1"/>
        </xdr:cNvSpPr>
      </xdr:nvSpPr>
      <xdr:spPr bwMode="auto">
        <a:xfrm>
          <a:off x="7397547" y="1421604"/>
          <a:ext cx="1335019" cy="34639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1000" b="1" i="0" u="none" strike="noStrike" baseline="0">
              <a:solidFill>
                <a:srgbClr val="000000"/>
              </a:solidFill>
              <a:latin typeface="Arial"/>
              <a:cs typeface="Arial"/>
            </a:rPr>
            <a:t>Leak air</a:t>
          </a:r>
        </a:p>
        <a:p>
          <a:pPr algn="ctr" rtl="0">
            <a:defRPr sz="1000"/>
          </a:pPr>
          <a:r>
            <a:rPr lang="en-US" sz="1000" b="1" i="0" u="none" strike="noStrike" baseline="0">
              <a:solidFill>
                <a:srgbClr val="000000"/>
              </a:solidFill>
              <a:latin typeface="Arial"/>
              <a:cs typeface="Arial"/>
            </a:rPr>
            <a:t>(8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25°C)</a:t>
          </a:r>
          <a:endParaRPr lang="en-US" baseline="0"/>
        </a:p>
      </xdr:txBody>
    </xdr:sp>
    <xdr:clientData/>
  </xdr:twoCellAnchor>
  <xdr:twoCellAnchor editAs="absolute">
    <xdr:from>
      <xdr:col>6</xdr:col>
      <xdr:colOff>493340</xdr:colOff>
      <xdr:row>5</xdr:row>
      <xdr:rowOff>530071</xdr:rowOff>
    </xdr:from>
    <xdr:to>
      <xdr:col>7</xdr:col>
      <xdr:colOff>491051</xdr:colOff>
      <xdr:row>5</xdr:row>
      <xdr:rowOff>745008</xdr:rowOff>
    </xdr:to>
    <xdr:sp macro="" textlink="">
      <xdr:nvSpPr>
        <xdr:cNvPr id="20" name="Text Box 1385"/>
        <xdr:cNvSpPr txBox="1">
          <a:spLocks noChangeArrowheads="1"/>
        </xdr:cNvSpPr>
      </xdr:nvSpPr>
      <xdr:spPr bwMode="auto">
        <a:xfrm>
          <a:off x="4394780" y="1368271"/>
          <a:ext cx="553971" cy="21493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27432" bIns="0" anchor="ctr" upright="1">
          <a:spAutoFit/>
        </a:bodyPr>
        <a:lstStyle/>
        <a:p>
          <a:pPr algn="ctr" rtl="0">
            <a:defRPr sz="1000"/>
          </a:pPr>
          <a:r>
            <a:rPr lang="en-US" sz="1200" b="1" i="0" u="none" strike="noStrike" baseline="0">
              <a:solidFill>
                <a:srgbClr val="000000"/>
              </a:solidFill>
              <a:latin typeface="Arial"/>
              <a:cs typeface="Arial"/>
            </a:rPr>
            <a:t>Burner</a:t>
          </a:r>
          <a:endParaRPr lang="en-US"/>
        </a:p>
      </xdr:txBody>
    </xdr:sp>
    <xdr:clientData/>
  </xdr:twoCellAnchor>
  <xdr:twoCellAnchor editAs="absolute">
    <xdr:from>
      <xdr:col>8</xdr:col>
      <xdr:colOff>262643</xdr:colOff>
      <xdr:row>5</xdr:row>
      <xdr:rowOff>974271</xdr:rowOff>
    </xdr:from>
    <xdr:to>
      <xdr:col>9</xdr:col>
      <xdr:colOff>62617</xdr:colOff>
      <xdr:row>5</xdr:row>
      <xdr:rowOff>1119686</xdr:rowOff>
    </xdr:to>
    <xdr:sp macro="" textlink="">
      <xdr:nvSpPr>
        <xdr:cNvPr id="21" name="Freeform 1390"/>
        <xdr:cNvSpPr>
          <a:spLocks/>
        </xdr:cNvSpPr>
      </xdr:nvSpPr>
      <xdr:spPr bwMode="auto">
        <a:xfrm>
          <a:off x="5451863" y="1812471"/>
          <a:ext cx="409574"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10</xdr:col>
      <xdr:colOff>359799</xdr:colOff>
      <xdr:row>5</xdr:row>
      <xdr:rowOff>974271</xdr:rowOff>
    </xdr:from>
    <xdr:to>
      <xdr:col>11</xdr:col>
      <xdr:colOff>22402</xdr:colOff>
      <xdr:row>5</xdr:row>
      <xdr:rowOff>1119686</xdr:rowOff>
    </xdr:to>
    <xdr:sp macro="" textlink="">
      <xdr:nvSpPr>
        <xdr:cNvPr id="22" name="Freeform 1393"/>
        <xdr:cNvSpPr>
          <a:spLocks/>
        </xdr:cNvSpPr>
      </xdr:nvSpPr>
      <xdr:spPr bwMode="auto">
        <a:xfrm>
          <a:off x="6905379" y="1812471"/>
          <a:ext cx="409363"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9</xdr:col>
      <xdr:colOff>617184</xdr:colOff>
      <xdr:row>5</xdr:row>
      <xdr:rowOff>974271</xdr:rowOff>
    </xdr:from>
    <xdr:to>
      <xdr:col>10</xdr:col>
      <xdr:colOff>287832</xdr:colOff>
      <xdr:row>5</xdr:row>
      <xdr:rowOff>1119686</xdr:rowOff>
    </xdr:to>
    <xdr:sp macro="" textlink="">
      <xdr:nvSpPr>
        <xdr:cNvPr id="23" name="Freeform 1394"/>
        <xdr:cNvSpPr>
          <a:spLocks/>
        </xdr:cNvSpPr>
      </xdr:nvSpPr>
      <xdr:spPr bwMode="auto">
        <a:xfrm>
          <a:off x="6416004" y="1812471"/>
          <a:ext cx="417408"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9</xdr:col>
      <xdr:colOff>138817</xdr:colOff>
      <xdr:row>5</xdr:row>
      <xdr:rowOff>974271</xdr:rowOff>
    </xdr:from>
    <xdr:to>
      <xdr:col>9</xdr:col>
      <xdr:colOff>550509</xdr:colOff>
      <xdr:row>5</xdr:row>
      <xdr:rowOff>1119686</xdr:rowOff>
    </xdr:to>
    <xdr:sp macro="" textlink="">
      <xdr:nvSpPr>
        <xdr:cNvPr id="24" name="Freeform 1395"/>
        <xdr:cNvSpPr>
          <a:spLocks/>
        </xdr:cNvSpPr>
      </xdr:nvSpPr>
      <xdr:spPr bwMode="auto">
        <a:xfrm>
          <a:off x="5937637" y="1812471"/>
          <a:ext cx="411692"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9</xdr:col>
      <xdr:colOff>263736</xdr:colOff>
      <xdr:row>5</xdr:row>
      <xdr:rowOff>22649</xdr:rowOff>
    </xdr:from>
    <xdr:to>
      <xdr:col>10</xdr:col>
      <xdr:colOff>401407</xdr:colOff>
      <xdr:row>5</xdr:row>
      <xdr:rowOff>347610</xdr:rowOff>
    </xdr:to>
    <xdr:sp macro="" textlink="">
      <xdr:nvSpPr>
        <xdr:cNvPr id="25" name="Text Box 1399"/>
        <xdr:cNvSpPr txBox="1">
          <a:spLocks noChangeArrowheads="1"/>
        </xdr:cNvSpPr>
      </xdr:nvSpPr>
      <xdr:spPr bwMode="auto">
        <a:xfrm>
          <a:off x="6062556" y="860849"/>
          <a:ext cx="884431" cy="32496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18288" tIns="22860" rIns="18288" bIns="0" anchor="t" upright="1">
          <a:spAutoFit/>
        </a:bodyPr>
        <a:lstStyle/>
        <a:p>
          <a:pPr algn="ctr" rtl="0">
            <a:defRPr sz="1000"/>
          </a:pPr>
          <a:r>
            <a:rPr lang="en-US" sz="1000" b="1" i="0" u="none" strike="noStrike" baseline="0">
              <a:solidFill>
                <a:srgbClr val="000000"/>
              </a:solidFill>
              <a:latin typeface="Arial"/>
              <a:cs typeface="Arial"/>
            </a:rPr>
            <a:t>Heat loss</a:t>
          </a:r>
        </a:p>
        <a:p>
          <a:pPr algn="ctr" rtl="0">
            <a:defRPr sz="1000"/>
          </a:pPr>
          <a:r>
            <a:rPr lang="en-US" sz="1000" b="1" i="0" u="none" strike="noStrike" baseline="0">
              <a:solidFill>
                <a:srgbClr val="000000"/>
              </a:solidFill>
              <a:latin typeface="Arial"/>
              <a:cs typeface="Arial"/>
            </a:rPr>
            <a:t>(186,600 kJ)</a:t>
          </a:r>
          <a:endParaRPr lang="en-US"/>
        </a:p>
      </xdr:txBody>
    </xdr:sp>
    <xdr:clientData/>
  </xdr:twoCellAnchor>
  <xdr:twoCellAnchor editAs="absolute">
    <xdr:from>
      <xdr:col>8</xdr:col>
      <xdr:colOff>395284</xdr:colOff>
      <xdr:row>5</xdr:row>
      <xdr:rowOff>621303</xdr:rowOff>
    </xdr:from>
    <xdr:to>
      <xdr:col>10</xdr:col>
      <xdr:colOff>718449</xdr:colOff>
      <xdr:row>5</xdr:row>
      <xdr:rowOff>836240</xdr:rowOff>
    </xdr:to>
    <xdr:sp macro="" textlink="">
      <xdr:nvSpPr>
        <xdr:cNvPr id="26" name="Text Box 1405"/>
        <xdr:cNvSpPr txBox="1">
          <a:spLocks noChangeArrowheads="1"/>
        </xdr:cNvSpPr>
      </xdr:nvSpPr>
      <xdr:spPr bwMode="auto">
        <a:xfrm>
          <a:off x="5584504" y="1459503"/>
          <a:ext cx="1679525" cy="21493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27432" bIns="0" anchor="t" upright="1">
          <a:spAutoFit/>
        </a:bodyPr>
        <a:lstStyle/>
        <a:p>
          <a:pPr algn="ctr" rtl="0">
            <a:defRPr sz="1000"/>
          </a:pPr>
          <a:r>
            <a:rPr lang="en-US" sz="1200" b="1" i="0" u="none" strike="noStrike" baseline="0">
              <a:solidFill>
                <a:srgbClr val="000000"/>
              </a:solidFill>
              <a:latin typeface="Arial"/>
              <a:cs typeface="Arial"/>
            </a:rPr>
            <a:t>Ingot Heating Furnace</a:t>
          </a:r>
          <a:endParaRPr lang="en-US"/>
        </a:p>
      </xdr:txBody>
    </xdr:sp>
    <xdr:clientData/>
  </xdr:twoCellAnchor>
  <xdr:twoCellAnchor editAs="absolute">
    <xdr:from>
      <xdr:col>10</xdr:col>
      <xdr:colOff>487862</xdr:colOff>
      <xdr:row>5</xdr:row>
      <xdr:rowOff>260775</xdr:rowOff>
    </xdr:from>
    <xdr:to>
      <xdr:col>11</xdr:col>
      <xdr:colOff>188564</xdr:colOff>
      <xdr:row>5</xdr:row>
      <xdr:rowOff>568539</xdr:rowOff>
    </xdr:to>
    <xdr:sp macro="" textlink="">
      <xdr:nvSpPr>
        <xdr:cNvPr id="27" name="Freeform 26"/>
        <xdr:cNvSpPr/>
      </xdr:nvSpPr>
      <xdr:spPr>
        <a:xfrm>
          <a:off x="7033442" y="1098975"/>
          <a:ext cx="447462" cy="307764"/>
        </a:xfrm>
        <a:custGeom>
          <a:avLst/>
          <a:gdLst>
            <a:gd name="connsiteX0" fmla="*/ 0 w 447675"/>
            <a:gd name="connsiteY0" fmla="*/ 295275 h 295275"/>
            <a:gd name="connsiteX1" fmla="*/ 0 w 447675"/>
            <a:gd name="connsiteY1" fmla="*/ 0 h 295275"/>
            <a:gd name="connsiteX2" fmla="*/ 447675 w 447675"/>
            <a:gd name="connsiteY2" fmla="*/ 0 h 295275"/>
            <a:gd name="connsiteX3" fmla="*/ 447675 w 447675"/>
            <a:gd name="connsiteY3" fmla="*/ 9525 h 295275"/>
          </a:gdLst>
          <a:ahLst/>
          <a:cxnLst>
            <a:cxn ang="0">
              <a:pos x="connsiteX0" y="connsiteY0"/>
            </a:cxn>
            <a:cxn ang="0">
              <a:pos x="connsiteX1" y="connsiteY1"/>
            </a:cxn>
            <a:cxn ang="0">
              <a:pos x="connsiteX2" y="connsiteY2"/>
            </a:cxn>
            <a:cxn ang="0">
              <a:pos x="connsiteX3" y="connsiteY3"/>
            </a:cxn>
          </a:cxnLst>
          <a:rect l="l" t="t" r="r" b="b"/>
          <a:pathLst>
            <a:path w="447675" h="295275">
              <a:moveTo>
                <a:pt x="0" y="295275"/>
              </a:moveTo>
              <a:lnTo>
                <a:pt x="0" y="0"/>
              </a:lnTo>
              <a:lnTo>
                <a:pt x="447675" y="0"/>
              </a:lnTo>
              <a:lnTo>
                <a:pt x="447675" y="9525"/>
              </a:lnTo>
            </a:path>
          </a:pathLst>
        </a:custGeom>
        <a:ln w="19050">
          <a:solidFill>
            <a:schemeClr val="tx1"/>
          </a:solidFill>
          <a:headEnd type="none" w="med" len="med"/>
          <a:tailEnd type="triangle"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US" sz="1100"/>
        </a:p>
      </xdr:txBody>
    </xdr:sp>
    <xdr:clientData/>
  </xdr:twoCellAnchor>
  <xdr:twoCellAnchor editAs="absolute">
    <xdr:from>
      <xdr:col>6</xdr:col>
      <xdr:colOff>240418</xdr:colOff>
      <xdr:row>5</xdr:row>
      <xdr:rowOff>646804</xdr:rowOff>
    </xdr:from>
    <xdr:to>
      <xdr:col>6</xdr:col>
      <xdr:colOff>421393</xdr:colOff>
      <xdr:row>5</xdr:row>
      <xdr:rowOff>855084</xdr:rowOff>
    </xdr:to>
    <xdr:sp macro="" textlink="">
      <xdr:nvSpPr>
        <xdr:cNvPr id="28" name="Text Box 1342"/>
        <xdr:cNvSpPr txBox="1">
          <a:spLocks noChangeArrowheads="1"/>
        </xdr:cNvSpPr>
      </xdr:nvSpPr>
      <xdr:spPr bwMode="auto">
        <a:xfrm>
          <a:off x="4141858" y="1485004"/>
          <a:ext cx="180975" cy="20828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2</a:t>
          </a:r>
        </a:p>
      </xdr:txBody>
    </xdr:sp>
    <xdr:clientData/>
  </xdr:twoCellAnchor>
  <xdr:twoCellAnchor editAs="absolute">
    <xdr:from>
      <xdr:col>8</xdr:col>
      <xdr:colOff>24518</xdr:colOff>
      <xdr:row>5</xdr:row>
      <xdr:rowOff>938740</xdr:rowOff>
    </xdr:from>
    <xdr:to>
      <xdr:col>8</xdr:col>
      <xdr:colOff>205493</xdr:colOff>
      <xdr:row>5</xdr:row>
      <xdr:rowOff>1144480</xdr:rowOff>
    </xdr:to>
    <xdr:sp macro="" textlink="">
      <xdr:nvSpPr>
        <xdr:cNvPr id="29" name="Text Box 1342"/>
        <xdr:cNvSpPr txBox="1">
          <a:spLocks noChangeArrowheads="1"/>
        </xdr:cNvSpPr>
      </xdr:nvSpPr>
      <xdr:spPr bwMode="auto">
        <a:xfrm>
          <a:off x="5213738" y="1776940"/>
          <a:ext cx="180975" cy="20574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7</a:t>
          </a:r>
        </a:p>
      </xdr:txBody>
    </xdr:sp>
    <xdr:clientData/>
  </xdr:twoCellAnchor>
  <xdr:twoCellAnchor editAs="absolute">
    <xdr:from>
      <xdr:col>7</xdr:col>
      <xdr:colOff>609777</xdr:colOff>
      <xdr:row>5</xdr:row>
      <xdr:rowOff>455930</xdr:rowOff>
    </xdr:from>
    <xdr:to>
      <xdr:col>8</xdr:col>
      <xdr:colOff>62618</xdr:colOff>
      <xdr:row>5</xdr:row>
      <xdr:rowOff>658495</xdr:rowOff>
    </xdr:to>
    <xdr:sp macro="" textlink="">
      <xdr:nvSpPr>
        <xdr:cNvPr id="30" name="Text Box 1342"/>
        <xdr:cNvSpPr txBox="1">
          <a:spLocks noChangeArrowheads="1"/>
        </xdr:cNvSpPr>
      </xdr:nvSpPr>
      <xdr:spPr bwMode="auto">
        <a:xfrm>
          <a:off x="5067477" y="1294130"/>
          <a:ext cx="184361" cy="20256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3</a:t>
          </a:r>
        </a:p>
      </xdr:txBody>
    </xdr:sp>
    <xdr:clientData/>
  </xdr:twoCellAnchor>
  <xdr:twoCellAnchor editAs="absolute">
    <xdr:from>
      <xdr:col>10</xdr:col>
      <xdr:colOff>494737</xdr:colOff>
      <xdr:row>5</xdr:row>
      <xdr:rowOff>253365</xdr:rowOff>
    </xdr:from>
    <xdr:to>
      <xdr:col>10</xdr:col>
      <xdr:colOff>678040</xdr:colOff>
      <xdr:row>5</xdr:row>
      <xdr:rowOff>455930</xdr:rowOff>
    </xdr:to>
    <xdr:sp macro="" textlink="">
      <xdr:nvSpPr>
        <xdr:cNvPr id="31" name="Text Box 1342"/>
        <xdr:cNvSpPr txBox="1">
          <a:spLocks noChangeArrowheads="1"/>
        </xdr:cNvSpPr>
      </xdr:nvSpPr>
      <xdr:spPr bwMode="auto">
        <a:xfrm>
          <a:off x="7040317" y="1091565"/>
          <a:ext cx="183303" cy="20256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endParaRPr lang="en-US" sz="900" b="1" i="0" u="none" strike="noStrike" baseline="0">
            <a:solidFill>
              <a:srgbClr val="000000"/>
            </a:solidFill>
            <a:latin typeface="Arial"/>
            <a:cs typeface="Arial"/>
          </a:endParaRPr>
        </a:p>
      </xdr:txBody>
    </xdr:sp>
    <xdr:clientData/>
  </xdr:twoCellAnchor>
  <xdr:twoCellAnchor editAs="absolute">
    <xdr:from>
      <xdr:col>11</xdr:col>
      <xdr:colOff>266877</xdr:colOff>
      <xdr:row>5</xdr:row>
      <xdr:rowOff>1123314</xdr:rowOff>
    </xdr:from>
    <xdr:to>
      <xdr:col>11</xdr:col>
      <xdr:colOff>465314</xdr:colOff>
      <xdr:row>5</xdr:row>
      <xdr:rowOff>1291484</xdr:rowOff>
    </xdr:to>
    <xdr:sp macro="" textlink="">
      <xdr:nvSpPr>
        <xdr:cNvPr id="32" name="Text Box 1342"/>
        <xdr:cNvSpPr txBox="1">
          <a:spLocks noChangeArrowheads="1"/>
        </xdr:cNvSpPr>
      </xdr:nvSpPr>
      <xdr:spPr bwMode="auto">
        <a:xfrm>
          <a:off x="7559217" y="1961514"/>
          <a:ext cx="198437" cy="16817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6</a:t>
          </a:r>
        </a:p>
      </xdr:txBody>
    </xdr:sp>
    <xdr:clientData/>
  </xdr:twoCellAnchor>
  <xdr:twoCellAnchor editAs="absolute">
    <xdr:from>
      <xdr:col>5</xdr:col>
      <xdr:colOff>159574</xdr:colOff>
      <xdr:row>5</xdr:row>
      <xdr:rowOff>32037</xdr:rowOff>
    </xdr:from>
    <xdr:to>
      <xdr:col>7</xdr:col>
      <xdr:colOff>625650</xdr:colOff>
      <xdr:row>5</xdr:row>
      <xdr:rowOff>211638</xdr:rowOff>
    </xdr:to>
    <xdr:sp macro="" textlink="">
      <xdr:nvSpPr>
        <xdr:cNvPr id="33" name="Text Box 1399"/>
        <xdr:cNvSpPr txBox="1">
          <a:spLocks noChangeArrowheads="1"/>
        </xdr:cNvSpPr>
      </xdr:nvSpPr>
      <xdr:spPr bwMode="auto">
        <a:xfrm>
          <a:off x="3794314" y="870237"/>
          <a:ext cx="1289036" cy="17960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t" upright="1">
          <a:spAutoFit/>
        </a:bodyPr>
        <a:lstStyle/>
        <a:p>
          <a:pPr algn="ctr" rtl="0">
            <a:defRPr sz="1000"/>
          </a:pPr>
          <a:r>
            <a:rPr lang="en-US" sz="1000" b="1" i="0" u="none" strike="noStrike" baseline="0">
              <a:solidFill>
                <a:srgbClr val="000000"/>
              </a:solidFill>
              <a:latin typeface="Arial"/>
              <a:cs typeface="Arial"/>
            </a:rPr>
            <a:t>Heat loss (13,400 kJ)</a:t>
          </a:r>
          <a:endParaRPr lang="en-US"/>
        </a:p>
      </xdr:txBody>
    </xdr:sp>
    <xdr:clientData/>
  </xdr:twoCellAnchor>
  <xdr:twoCellAnchor editAs="absolute">
    <xdr:from>
      <xdr:col>11</xdr:col>
      <xdr:colOff>150460</xdr:colOff>
      <xdr:row>5</xdr:row>
      <xdr:rowOff>746762</xdr:rowOff>
    </xdr:from>
    <xdr:to>
      <xdr:col>11</xdr:col>
      <xdr:colOff>478367</xdr:colOff>
      <xdr:row>5</xdr:row>
      <xdr:rowOff>746762</xdr:rowOff>
    </xdr:to>
    <xdr:sp macro="" textlink="">
      <xdr:nvSpPr>
        <xdr:cNvPr id="34" name="Line 1330"/>
        <xdr:cNvSpPr>
          <a:spLocks noChangeShapeType="1"/>
        </xdr:cNvSpPr>
      </xdr:nvSpPr>
      <xdr:spPr bwMode="auto">
        <a:xfrm rot="5400000">
          <a:off x="7606754" y="1421008"/>
          <a:ext cx="0" cy="327907"/>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11</xdr:col>
      <xdr:colOff>266877</xdr:colOff>
      <xdr:row>5</xdr:row>
      <xdr:rowOff>563246</xdr:rowOff>
    </xdr:from>
    <xdr:to>
      <xdr:col>11</xdr:col>
      <xdr:colOff>465314</xdr:colOff>
      <xdr:row>5</xdr:row>
      <xdr:rowOff>732474</xdr:rowOff>
    </xdr:to>
    <xdr:sp macro="" textlink="">
      <xdr:nvSpPr>
        <xdr:cNvPr id="35" name="Text Box 1342"/>
        <xdr:cNvSpPr txBox="1">
          <a:spLocks noChangeArrowheads="1"/>
        </xdr:cNvSpPr>
      </xdr:nvSpPr>
      <xdr:spPr bwMode="auto">
        <a:xfrm>
          <a:off x="7559217" y="1401446"/>
          <a:ext cx="198437" cy="1692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5</a:t>
          </a:r>
        </a:p>
      </xdr:txBody>
    </xdr:sp>
    <xdr:clientData/>
  </xdr:twoCellAnchor>
  <xdr:twoCellAnchor editAs="absolute">
    <xdr:from>
      <xdr:col>4</xdr:col>
      <xdr:colOff>28276</xdr:colOff>
      <xdr:row>5</xdr:row>
      <xdr:rowOff>613035</xdr:rowOff>
    </xdr:from>
    <xdr:to>
      <xdr:col>6</xdr:col>
      <xdr:colOff>404469</xdr:colOff>
      <xdr:row>5</xdr:row>
      <xdr:rowOff>1097585</xdr:rowOff>
    </xdr:to>
    <xdr:sp macro="" textlink="">
      <xdr:nvSpPr>
        <xdr:cNvPr id="36" name="Text Box 1384"/>
        <xdr:cNvSpPr txBox="1">
          <a:spLocks noChangeArrowheads="1"/>
        </xdr:cNvSpPr>
      </xdr:nvSpPr>
      <xdr:spPr bwMode="auto">
        <a:xfrm>
          <a:off x="3000076" y="1451235"/>
          <a:ext cx="1305833" cy="484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1000" b="1" i="0" u="none" strike="noStrike" baseline="0">
              <a:solidFill>
                <a:srgbClr val="000000"/>
              </a:solidFill>
              <a:latin typeface="Arial"/>
              <a:cs typeface="Arial"/>
            </a:rPr>
            <a:t>Burner air</a:t>
          </a:r>
        </a:p>
        <a:p>
          <a:pPr algn="ctr" rtl="0">
            <a:defRPr sz="1000"/>
          </a:pPr>
          <a:r>
            <a:rPr lang="en-US" sz="1000" b="1" i="0" u="none" strike="noStrike" baseline="0">
              <a:solidFill>
                <a:srgbClr val="000000"/>
              </a:solidFill>
              <a:latin typeface="Arial"/>
              <a:cs typeface="Arial"/>
            </a:rPr>
            <a:t>118% stoich.</a:t>
          </a:r>
        </a:p>
        <a:p>
          <a:pPr algn="ctr" rtl="0">
            <a:defRPr sz="1000"/>
          </a:pPr>
          <a:r>
            <a:rPr lang="en-US" sz="1000" b="1" i="0" u="none" strike="noStrike" baseline="0">
              <a:solidFill>
                <a:srgbClr val="000000"/>
              </a:solidFill>
              <a:latin typeface="Arial"/>
              <a:cs typeface="Arial"/>
            </a:rPr>
            <a:t>(360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25°C)</a:t>
          </a:r>
          <a:endParaRPr lang="en-US" baseline="0"/>
        </a:p>
      </xdr:txBody>
    </xdr:sp>
    <xdr:clientData/>
  </xdr:twoCellAnchor>
  <xdr:twoCellAnchor editAs="absolute">
    <xdr:from>
      <xdr:col>7</xdr:col>
      <xdr:colOff>29946</xdr:colOff>
      <xdr:row>5</xdr:row>
      <xdr:rowOff>234425</xdr:rowOff>
    </xdr:from>
    <xdr:to>
      <xdr:col>7</xdr:col>
      <xdr:colOff>268867</xdr:colOff>
      <xdr:row>5</xdr:row>
      <xdr:rowOff>491526</xdr:rowOff>
    </xdr:to>
    <xdr:sp macro="" textlink="">
      <xdr:nvSpPr>
        <xdr:cNvPr id="37" name="Lightning Bolt 36"/>
        <xdr:cNvSpPr/>
      </xdr:nvSpPr>
      <xdr:spPr>
        <a:xfrm rot="17218768" flipV="1">
          <a:off x="4478556" y="1081715"/>
          <a:ext cx="257101" cy="238921"/>
        </a:xfrm>
        <a:prstGeom prst="lightningBolt">
          <a:avLst/>
        </a:prstGeom>
        <a:solidFill>
          <a:srgbClr val="FF0000"/>
        </a:solidFill>
        <a:ln w="952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7620</xdr:colOff>
      <xdr:row>0</xdr:row>
      <xdr:rowOff>63043</xdr:rowOff>
    </xdr:from>
    <xdr:ext cx="6457949" cy="775157"/>
    <xdr:sp macro="" textlink="">
      <xdr:nvSpPr>
        <xdr:cNvPr id="38" name="TextBox 37"/>
        <xdr:cNvSpPr txBox="1"/>
      </xdr:nvSpPr>
      <xdr:spPr>
        <a:xfrm>
          <a:off x="2979420" y="63043"/>
          <a:ext cx="6457949" cy="775157"/>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chorCtr="1">
          <a:noAutofit/>
        </a:bodyPr>
        <a:lstStyle/>
        <a:p>
          <a:pPr algn="ctr"/>
          <a:endParaRPr lang="en-US" sz="1600">
            <a:latin typeface="Arial" pitchFamily="34" charset="0"/>
            <a:cs typeface="Arial" pitchFamily="34" charset="0"/>
          </a:endParaRPr>
        </a:p>
        <a:p>
          <a:pPr algn="ctr"/>
          <a:r>
            <a:rPr lang="en-US" sz="1600" b="1">
              <a:solidFill>
                <a:schemeClr val="bg1"/>
              </a:solidFill>
              <a:latin typeface="Arial" pitchFamily="34" charset="0"/>
              <a:cs typeface="Arial" pitchFamily="34" charset="0"/>
            </a:rPr>
            <a:t>A System  Balance Calculator for an</a:t>
          </a:r>
          <a:r>
            <a:rPr lang="en-US" sz="1600" b="1" baseline="0">
              <a:solidFill>
                <a:schemeClr val="bg1"/>
              </a:solidFill>
              <a:latin typeface="Arial" pitchFamily="34" charset="0"/>
              <a:cs typeface="Arial" pitchFamily="34" charset="0"/>
            </a:rPr>
            <a:t> Aluminum Heating Process</a:t>
          </a:r>
          <a:endParaRPr lang="en-US" sz="1100" b="1">
            <a:latin typeface="Arial" pitchFamily="34" charset="0"/>
            <a:cs typeface="Arial" pitchFamily="34" charset="0"/>
          </a:endParaRPr>
        </a:p>
      </xdr:txBody>
    </xdr:sp>
    <xdr:clientData/>
  </xdr:oneCellAnchor>
  <xdr:oneCellAnchor>
    <xdr:from>
      <xdr:col>6</xdr:col>
      <xdr:colOff>279401</xdr:colOff>
      <xdr:row>0</xdr:row>
      <xdr:rowOff>160559</xdr:rowOff>
    </xdr:from>
    <xdr:ext cx="4080934" cy="364374"/>
    <xdr:sp macro="" textlink="">
      <xdr:nvSpPr>
        <xdr:cNvPr id="39" name="Rectangle 38"/>
        <xdr:cNvSpPr/>
      </xdr:nvSpPr>
      <xdr:spPr>
        <a:xfrm>
          <a:off x="4182534" y="160559"/>
          <a:ext cx="4080934" cy="364374"/>
        </a:xfrm>
        <a:prstGeom prst="rect">
          <a:avLst/>
        </a:prstGeom>
        <a:solidFill>
          <a:srgbClr val="D0CAFE"/>
        </a:solidFill>
        <a:ln>
          <a:solidFill>
            <a:schemeClr val="tx1"/>
          </a:solidFill>
        </a:ln>
      </xdr:spPr>
      <xdr:txBody>
        <a:bodyPr wrap="none" lIns="91440" tIns="45720" rIns="91440" bIns="45720" anchor="ctr">
          <a:noAutofit/>
        </a:bodyPr>
        <a:lstStyle/>
        <a:p>
          <a:pPr algn="ctr"/>
          <a:r>
            <a:rPr lang="en-US" sz="2400" b="1" cap="none" spc="0" baseline="0">
              <a:ln w="3175" cmpd="sng">
                <a:solidFill>
                  <a:srgbClr val="FFFFFF"/>
                </a:solidFill>
                <a:prstDash val="solid"/>
                <a:miter lim="800000"/>
              </a:ln>
              <a:solidFill>
                <a:srgbClr val="000000">
                  <a:tint val="92000"/>
                  <a:shade val="100000"/>
                  <a:satMod val="150000"/>
                </a:srgbClr>
              </a:solidFill>
              <a:effectLst>
                <a:outerShdw blurRad="50800" algn="tl" rotWithShape="0">
                  <a:srgbClr val="000000"/>
                </a:outerShdw>
              </a:effectLst>
            </a:rPr>
            <a:t>SysBalCalc-1:  O</a:t>
          </a:r>
          <a:r>
            <a:rPr lang="en-US" sz="2400" b="1" cap="none" spc="0" baseline="-25000">
              <a:ln w="3175" cmpd="sng">
                <a:solidFill>
                  <a:srgbClr val="FFFFFF"/>
                </a:solidFill>
                <a:prstDash val="solid"/>
                <a:miter lim="800000"/>
              </a:ln>
              <a:solidFill>
                <a:srgbClr val="000000">
                  <a:tint val="92000"/>
                  <a:shade val="100000"/>
                  <a:satMod val="150000"/>
                </a:srgbClr>
              </a:solidFill>
              <a:effectLst>
                <a:outerShdw blurRad="50800" algn="tl" rotWithShape="0">
                  <a:srgbClr val="000000"/>
                </a:outerShdw>
              </a:effectLst>
            </a:rPr>
            <a:t>2</a:t>
          </a:r>
          <a:r>
            <a:rPr lang="en-US" sz="2400" b="1" cap="none" spc="0" baseline="0">
              <a:ln w="3175" cmpd="sng">
                <a:solidFill>
                  <a:srgbClr val="FFFFFF"/>
                </a:solidFill>
                <a:prstDash val="solid"/>
                <a:miter lim="800000"/>
              </a:ln>
              <a:solidFill>
                <a:srgbClr val="000000">
                  <a:tint val="92000"/>
                  <a:shade val="100000"/>
                  <a:satMod val="150000"/>
                </a:srgbClr>
              </a:solidFill>
              <a:effectLst>
                <a:outerShdw blurRad="50800" algn="tl" rotWithShape="0">
                  <a:srgbClr val="000000"/>
                </a:outerShdw>
              </a:effectLst>
            </a:rPr>
            <a:t> Enrichment</a:t>
          </a:r>
        </a:p>
      </xdr:txBody>
    </xdr:sp>
    <xdr:clientData/>
  </xdr:oneCellAnchor>
  <xdr:oneCellAnchor>
    <xdr:from>
      <xdr:col>0</xdr:col>
      <xdr:colOff>304801</xdr:colOff>
      <xdr:row>2</xdr:row>
      <xdr:rowOff>50799</xdr:rowOff>
    </xdr:from>
    <xdr:ext cx="1542258" cy="904615"/>
    <xdr:sp macro="" textlink="">
      <xdr:nvSpPr>
        <xdr:cNvPr id="40" name="TextBox 39"/>
        <xdr:cNvSpPr txBox="1"/>
      </xdr:nvSpPr>
      <xdr:spPr>
        <a:xfrm>
          <a:off x="304801" y="389466"/>
          <a:ext cx="1542258" cy="904615"/>
        </a:xfrm>
        <a:prstGeom prst="rect">
          <a:avLst/>
        </a:prstGeom>
        <a:solidFill>
          <a:schemeClr val="accent6">
            <a:lumMod val="5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solidFill>
                <a:schemeClr val="bg1"/>
              </a:solidFill>
              <a:latin typeface="Arial" pitchFamily="34" charset="0"/>
              <a:cs typeface="Arial" pitchFamily="34" charset="0"/>
            </a:rPr>
            <a:t>SysBalCalc is a </a:t>
          </a:r>
        </a:p>
        <a:p>
          <a:pPr algn="ctr"/>
          <a:r>
            <a:rPr lang="en-US" sz="1100" b="1">
              <a:solidFill>
                <a:schemeClr val="bg1"/>
              </a:solidFill>
              <a:latin typeface="Arial" pitchFamily="34" charset="0"/>
              <a:cs typeface="Arial" pitchFamily="34" charset="0"/>
            </a:rPr>
            <a:t>Thermart Software </a:t>
          </a:r>
        </a:p>
        <a:p>
          <a:pPr algn="ctr"/>
          <a:r>
            <a:rPr lang="en-US" sz="1100" b="1">
              <a:solidFill>
                <a:schemeClr val="bg1"/>
              </a:solidFill>
              <a:latin typeface="Arial" pitchFamily="34" charset="0"/>
              <a:cs typeface="Arial" pitchFamily="34" charset="0"/>
            </a:rPr>
            <a:t>program.   © 2012</a:t>
          </a:r>
        </a:p>
        <a:p>
          <a:pPr algn="ctr"/>
          <a:r>
            <a:rPr lang="en-US" sz="1100" b="1">
              <a:solidFill>
                <a:schemeClr val="bg1"/>
              </a:solidFill>
              <a:latin typeface="Arial" pitchFamily="34" charset="0"/>
              <a:cs typeface="Arial" pitchFamily="34" charset="0"/>
            </a:rPr>
            <a:t>by Arthur E. Morris.</a:t>
          </a:r>
        </a:p>
        <a:p>
          <a:pPr algn="ctr"/>
          <a:r>
            <a:rPr lang="en-US" sz="1100" b="1">
              <a:solidFill>
                <a:schemeClr val="bg1"/>
              </a:solidFill>
              <a:latin typeface="Arial" pitchFamily="34" charset="0"/>
              <a:cs typeface="Arial" pitchFamily="34" charset="0"/>
            </a:rPr>
            <a:t>www.thermart.net</a:t>
          </a:r>
        </a:p>
      </xdr:txBody>
    </xdr:sp>
    <xdr:clientData/>
  </xdr:oneCellAnchor>
  <xdr:oneCellAnchor>
    <xdr:from>
      <xdr:col>11</xdr:col>
      <xdr:colOff>606917</xdr:colOff>
      <xdr:row>28</xdr:row>
      <xdr:rowOff>94419</xdr:rowOff>
    </xdr:from>
    <xdr:ext cx="3526934" cy="243038"/>
    <xdr:sp macro="" textlink="">
      <xdr:nvSpPr>
        <xdr:cNvPr id="41" name="TextBox 40"/>
        <xdr:cNvSpPr txBox="1"/>
      </xdr:nvSpPr>
      <xdr:spPr>
        <a:xfrm>
          <a:off x="7899257" y="6243759"/>
          <a:ext cx="3526934" cy="243038"/>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algn="ctr"/>
          <a:r>
            <a:rPr lang="en-US" sz="1600"/>
            <a:t>Heat Balance for the </a:t>
          </a:r>
          <a:r>
            <a:rPr kumimoji="0" lang="en-US" sz="1600" b="0" i="0" u="none" strike="noStrike" kern="0" cap="none" spc="0" normalizeH="0" baseline="0" noProof="0">
              <a:ln>
                <a:noFill/>
              </a:ln>
              <a:solidFill>
                <a:prstClr val="black"/>
              </a:solidFill>
              <a:effectLst/>
              <a:uLnTx/>
              <a:uFillTx/>
              <a:latin typeface="+mn-lt"/>
              <a:ea typeface="+mn-ea"/>
              <a:cs typeface="+mn-cs"/>
            </a:rPr>
            <a:t>Burner--kJ/minute</a:t>
          </a:r>
          <a:endParaRPr lang="en-US" sz="1400"/>
        </a:p>
      </xdr:txBody>
    </xdr:sp>
    <xdr:clientData/>
  </xdr:oneCellAnchor>
  <xdr:oneCellAnchor>
    <xdr:from>
      <xdr:col>11</xdr:col>
      <xdr:colOff>142875</xdr:colOff>
      <xdr:row>42</xdr:row>
      <xdr:rowOff>136757</xdr:rowOff>
    </xdr:from>
    <xdr:ext cx="3819526" cy="243038"/>
    <xdr:sp macro="" textlink="">
      <xdr:nvSpPr>
        <xdr:cNvPr id="42" name="TextBox 41"/>
        <xdr:cNvSpPr txBox="1"/>
      </xdr:nvSpPr>
      <xdr:spPr>
        <a:xfrm>
          <a:off x="7435215" y="8846417"/>
          <a:ext cx="3819526" cy="243038"/>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algn="ctr"/>
          <a:r>
            <a:rPr lang="en-US" sz="1600"/>
            <a:t>Table 1.  Thermodynamic Data</a:t>
          </a:r>
          <a:endParaRPr lang="en-US" sz="1400"/>
        </a:p>
      </xdr:txBody>
    </xdr:sp>
    <xdr:clientData/>
  </xdr:oneCellAnchor>
  <xdr:oneCellAnchor>
    <xdr:from>
      <xdr:col>0</xdr:col>
      <xdr:colOff>342899</xdr:colOff>
      <xdr:row>34</xdr:row>
      <xdr:rowOff>42984</xdr:rowOff>
    </xdr:from>
    <xdr:ext cx="6684434" cy="4648452"/>
    <xdr:sp macro="" textlink="">
      <xdr:nvSpPr>
        <xdr:cNvPr id="43" name="TextBox 42"/>
        <xdr:cNvSpPr txBox="1"/>
      </xdr:nvSpPr>
      <xdr:spPr>
        <a:xfrm>
          <a:off x="342899" y="7281984"/>
          <a:ext cx="6684434" cy="4648452"/>
        </a:xfrm>
        <a:prstGeom prst="rect">
          <a:avLst/>
        </a:prstGeom>
        <a:solidFill>
          <a:srgbClr val="FBCBA3"/>
        </a:solidFill>
        <a:ln w="9525"/>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ctr">
          <a:spAutoFit/>
        </a:bodyPr>
        <a:lstStyle/>
        <a:p>
          <a:r>
            <a:rPr lang="en-US" sz="1400"/>
            <a:t>Constructing</a:t>
          </a:r>
          <a:r>
            <a:rPr lang="en-US" sz="1400" baseline="0"/>
            <a:t> a System Balance for Oxygen Enrichment of Combustion Air</a:t>
          </a:r>
        </a:p>
        <a:p>
          <a:pPr algn="l"/>
          <a:r>
            <a:rPr lang="en-US" sz="1300" baseline="0"/>
            <a:t>Note: before starting, you may want to review previous workbooks and articles in this series.  </a:t>
          </a:r>
        </a:p>
        <a:p>
          <a:r>
            <a:rPr lang="en-US" sz="1100" baseline="0"/>
            <a:t>1.  Look at </a:t>
          </a:r>
          <a:r>
            <a:rPr kumimoji="0" lang="en-US" sz="1100" b="0" i="0" u="none" strike="noStrike" kern="0" cap="none" spc="0" normalizeH="0" baseline="0" noProof="0">
              <a:ln>
                <a:noFill/>
              </a:ln>
              <a:solidFill>
                <a:prstClr val="black"/>
              </a:solidFill>
              <a:effectLst/>
              <a:uLnTx/>
              <a:uFillTx/>
              <a:latin typeface="+mn-lt"/>
              <a:ea typeface="+mn-ea"/>
              <a:cs typeface="+mn-cs"/>
            </a:rPr>
            <a:t>workbook </a:t>
          </a:r>
          <a:r>
            <a:rPr lang="en-US" sz="1100" u="sng" baseline="0">
              <a:solidFill>
                <a:schemeClr val="dk1"/>
              </a:solidFill>
              <a:effectLst/>
              <a:latin typeface="+mn-lt"/>
              <a:ea typeface="+mn-ea"/>
              <a:cs typeface="+mn-cs"/>
            </a:rPr>
            <a:t>HeatCalc</a:t>
          </a:r>
          <a:r>
            <a:rPr lang="en-US" sz="1100" baseline="0">
              <a:solidFill>
                <a:schemeClr val="dk1"/>
              </a:solidFill>
              <a:effectLst/>
              <a:latin typeface="+mn-lt"/>
              <a:ea typeface="+mn-ea"/>
              <a:cs typeface="+mn-cs"/>
            </a:rPr>
            <a:t> </a:t>
          </a:r>
          <a:r>
            <a:rPr lang="en-US" sz="1100" baseline="0"/>
            <a:t> to obtain the stream flowrates for the process basis case.  This is for heating 800 kg of Al/min using 32 m</a:t>
          </a:r>
          <a:r>
            <a:rPr lang="en-US" sz="1100" baseline="30000"/>
            <a:t>3</a:t>
          </a:r>
          <a:r>
            <a:rPr lang="en-US" sz="1100" baseline="0"/>
            <a:t>/min of natural gas and 18% excess air, with a leak air flow of 8 m</a:t>
          </a:r>
          <a:r>
            <a:rPr lang="en-US" sz="1100" baseline="30000"/>
            <a:t>3</a:t>
          </a:r>
          <a:r>
            <a:rPr lang="en-US" sz="1100" baseline="0"/>
            <a:t>/min.  All instreams are initially at 25°C and 1 atm pressure.  Please make an archive copy of this worksheet so you can easily refer to the basis case conditions.  </a:t>
          </a:r>
        </a:p>
        <a:p>
          <a:r>
            <a:rPr lang="en-US" sz="1100" baseline="0"/>
            <a:t>2.  Review prior workbooks to understand the source of heat content and heat of combustion data displayed in Table 1.  </a:t>
          </a:r>
        </a:p>
        <a:p>
          <a:r>
            <a:rPr lang="en-US" sz="1100" baseline="0"/>
            <a:t>3.  Examine the system balance equation set for the overall process, and note the value in cell Q27.  This value must be within ±200 kJ of zero for adequate closure of the system balance.</a:t>
          </a:r>
        </a:p>
        <a:p>
          <a:r>
            <a:rPr lang="en-US" sz="1100" baseline="0"/>
            <a:t>4.  Examine heat balance equation set for the burner, and note the value in cell Q40.  </a:t>
          </a:r>
          <a:r>
            <a:rPr lang="en-US" sz="1100" baseline="0">
              <a:solidFill>
                <a:schemeClr val="dk1"/>
              </a:solidFill>
              <a:effectLst/>
              <a:latin typeface="+mn-lt"/>
              <a:ea typeface="+mn-ea"/>
              <a:cs typeface="+mn-cs"/>
            </a:rPr>
            <a:t>This value must be within ±200 kJ of zero for adequate closure of the burner heat balance.</a:t>
          </a:r>
        </a:p>
        <a:p>
          <a:r>
            <a:rPr lang="en-US" sz="1100" baseline="0">
              <a:solidFill>
                <a:schemeClr val="dk1"/>
              </a:solidFill>
              <a:effectLst/>
              <a:latin typeface="+mn-lt"/>
              <a:ea typeface="+mn-ea"/>
              <a:cs typeface="+mn-cs"/>
            </a:rPr>
            <a:t>5.  Select one of the variables in the editable cells (blue border and shade).  For example, to examine the effect of oxygen enrichment on natural gas flow, change the value in cell E13 to 24%.  A new material balance is performed that recalculates the required combustion air (cells E17:E21).  This causes the process system balance and burner heat balance to be out of closure (i.e., cells Q27 and Q40 are no longer close to zero).    We need to use Goal Seek (</a:t>
          </a:r>
          <a:r>
            <a:rPr lang="en-US" sz="1100" i="1" baseline="0">
              <a:solidFill>
                <a:schemeClr val="dk1"/>
              </a:solidFill>
              <a:effectLst/>
              <a:latin typeface="+mn-lt"/>
              <a:ea typeface="+mn-ea"/>
              <a:cs typeface="+mn-cs"/>
            </a:rPr>
            <a:t>What-if Analysis</a:t>
          </a:r>
          <a:r>
            <a:rPr lang="en-US" sz="1100" baseline="0">
              <a:solidFill>
                <a:schemeClr val="dk1"/>
              </a:solidFill>
              <a:effectLst/>
              <a:latin typeface="+mn-lt"/>
              <a:ea typeface="+mn-ea"/>
              <a:cs typeface="+mn-cs"/>
            </a:rPr>
            <a:t>) </a:t>
          </a:r>
          <a:r>
            <a:rPr lang="en-US" sz="1100" u="sng" baseline="0">
              <a:solidFill>
                <a:schemeClr val="dk1"/>
              </a:solidFill>
              <a:effectLst/>
              <a:latin typeface="+mn-lt"/>
              <a:ea typeface="+mn-ea"/>
              <a:cs typeface="+mn-cs"/>
            </a:rPr>
            <a:t>twice</a:t>
          </a:r>
          <a:r>
            <a:rPr lang="en-US" sz="1100" baseline="0">
              <a:solidFill>
                <a:schemeClr val="dk1"/>
              </a:solidFill>
              <a:effectLst/>
              <a:latin typeface="+mn-lt"/>
              <a:ea typeface="+mn-ea"/>
              <a:cs typeface="+mn-cs"/>
            </a:rPr>
            <a:t> to get the system and burner heat balances to close.  [Please read the WordPad document].</a:t>
          </a:r>
          <a:endParaRPr lang="en-US" sz="1100" baseline="0"/>
        </a:p>
        <a:p>
          <a:r>
            <a:rPr lang="en-US" sz="1100" baseline="0"/>
            <a:t>6.  First, use Goal Seek to set the value in cell Q27 to 0 by changing the value in cell K12 (the NatGas flow).  Goal Seek finds that the NatGas flow should be 29.9 m</a:t>
          </a:r>
          <a:r>
            <a:rPr lang="en-US" sz="1100" baseline="30000"/>
            <a:t>3</a:t>
          </a:r>
          <a:r>
            <a:rPr lang="en-US" sz="1100" baseline="0"/>
            <a:t>/min to close the system balance.  </a:t>
          </a:r>
        </a:p>
        <a:p>
          <a:r>
            <a:rPr lang="en-US" sz="1100" baseline="0"/>
            <a:t>7.  Second, use Goal Seek to calculate the hot burner gas temperature (stream 3) for the oxygen-enriched air case.  Set cell Q40 to 0 by changing cell Q32.  The burner heat balance closes at 1981°C .  </a:t>
          </a:r>
        </a:p>
        <a:p>
          <a:r>
            <a:rPr lang="en-US" sz="1100" baseline="0"/>
            <a:t>8.  Repeat the above calculations over a range of oxygen enrichments and chart the results (as shown in Figure 1).</a:t>
          </a:r>
        </a:p>
        <a:p>
          <a:r>
            <a:rPr lang="en-US" sz="1100" baseline="0"/>
            <a:t>9.  Restore the basis case values, and pick another variable (</a:t>
          </a:r>
          <a:r>
            <a:rPr lang="en-US" sz="1100" i="1" baseline="0"/>
            <a:t>blue-shaded cell only</a:t>
          </a:r>
          <a:r>
            <a:rPr lang="en-US" sz="1100" baseline="0"/>
            <a:t>).  For example, explore the effect of increasing the combustion air temperature or decreasing the % excess air.  </a:t>
          </a:r>
        </a:p>
      </xdr:txBody>
    </xdr:sp>
    <xdr:clientData/>
  </xdr:oneCellAnchor>
  <xdr:twoCellAnchor>
    <xdr:from>
      <xdr:col>12</xdr:col>
      <xdr:colOff>596901</xdr:colOff>
      <xdr:row>5</xdr:row>
      <xdr:rowOff>236220</xdr:rowOff>
    </xdr:from>
    <xdr:to>
      <xdr:col>15</xdr:col>
      <xdr:colOff>643467</xdr:colOff>
      <xdr:row>5</xdr:row>
      <xdr:rowOff>1013460</xdr:rowOff>
    </xdr:to>
    <xdr:sp macro="" textlink="">
      <xdr:nvSpPr>
        <xdr:cNvPr id="44" name="Left Arrow Callout 43"/>
        <xdr:cNvSpPr/>
      </xdr:nvSpPr>
      <xdr:spPr>
        <a:xfrm>
          <a:off x="8498841" y="1074420"/>
          <a:ext cx="1631526" cy="777240"/>
        </a:xfrm>
        <a:prstGeom prst="leftArrowCallout">
          <a:avLst>
            <a:gd name="adj1" fmla="val 19118"/>
            <a:gd name="adj2" fmla="val 19117"/>
            <a:gd name="adj3" fmla="val 32843"/>
            <a:gd name="adj4" fmla="val 68135"/>
          </a:avLst>
        </a:prstGeom>
        <a:solidFill>
          <a:schemeClr val="bg1">
            <a:lumMod val="9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aseline="0">
              <a:solidFill>
                <a:schemeClr val="tx1"/>
              </a:solidFill>
              <a:latin typeface="Arial" pitchFamily="34" charset="0"/>
              <a:cs typeface="Arial" pitchFamily="34" charset="0"/>
            </a:rPr>
            <a:t>Basis case stream values.  Flows are actual.</a:t>
          </a:r>
        </a:p>
      </xdr:txBody>
    </xdr:sp>
    <xdr:clientData/>
  </xdr:twoCellAnchor>
  <mc:AlternateContent xmlns:mc="http://schemas.openxmlformats.org/markup-compatibility/2006">
    <mc:Choice xmlns:a14="http://schemas.microsoft.com/office/drawing/2010/main" Requires="a14">
      <xdr:twoCellAnchor editAs="oneCell">
        <xdr:from>
          <xdr:col>20</xdr:col>
          <xdr:colOff>281940</xdr:colOff>
          <xdr:row>5</xdr:row>
          <xdr:rowOff>586740</xdr:rowOff>
        </xdr:from>
        <xdr:to>
          <xdr:col>21</xdr:col>
          <xdr:colOff>495300</xdr:colOff>
          <xdr:row>6</xdr:row>
          <xdr:rowOff>0</xdr:rowOff>
        </xdr:to>
        <xdr:sp macro="" textlink="">
          <xdr:nvSpPr>
            <xdr:cNvPr id="5121" name="Object 1" hidden="1">
              <a:extLst>
                <a:ext uri="{63B3BB69-23CF-44E3-9099-C40C66FF867C}">
                  <a14:compatExt spid="_x0000_s5121"/>
                </a:ext>
              </a:extLst>
            </xdr:cNvPr>
            <xdr:cNvSpPr/>
          </xdr:nvSpPr>
          <xdr:spPr>
            <a:xfrm>
              <a:off x="0" y="0"/>
              <a:ext cx="0" cy="0"/>
            </a:xfrm>
            <a:prstGeom prst="rect">
              <a:avLst/>
            </a:prstGeom>
          </xdr:spPr>
        </xdr:sp>
        <xdr:clientData/>
      </xdr:twoCellAnchor>
    </mc:Choice>
    <mc:Fallback/>
  </mc:AlternateContent>
  <xdr:twoCellAnchor editAs="oneCell">
    <xdr:from>
      <xdr:col>19</xdr:col>
      <xdr:colOff>16935</xdr:colOff>
      <xdr:row>13</xdr:row>
      <xdr:rowOff>33867</xdr:rowOff>
    </xdr:from>
    <xdr:to>
      <xdr:col>22</xdr:col>
      <xdr:colOff>390316</xdr:colOff>
      <xdr:row>21</xdr:row>
      <xdr:rowOff>147320</xdr:rowOff>
    </xdr:to>
    <xdr:pic>
      <xdr:nvPicPr>
        <xdr:cNvPr id="46" name="Picture 4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40355" y="3516207"/>
          <a:ext cx="2263141" cy="1530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67734</xdr:colOff>
      <xdr:row>22</xdr:row>
      <xdr:rowOff>50800</xdr:rowOff>
    </xdr:from>
    <xdr:to>
      <xdr:col>22</xdr:col>
      <xdr:colOff>398782</xdr:colOff>
      <xdr:row>30</xdr:row>
      <xdr:rowOff>123614</xdr:rowOff>
    </xdr:to>
    <xdr:pic>
      <xdr:nvPicPr>
        <xdr:cNvPr id="47" name="Picture 46"/>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91154" y="5125720"/>
          <a:ext cx="2220808" cy="1482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135465</xdr:colOff>
      <xdr:row>12</xdr:row>
      <xdr:rowOff>67734</xdr:rowOff>
    </xdr:from>
    <xdr:to>
      <xdr:col>25</xdr:col>
      <xdr:colOff>304800</xdr:colOff>
      <xdr:row>17</xdr:row>
      <xdr:rowOff>0</xdr:rowOff>
    </xdr:to>
    <xdr:sp macro="" textlink="">
      <xdr:nvSpPr>
        <xdr:cNvPr id="48" name="Rounded Rectangular Callout 47"/>
        <xdr:cNvSpPr/>
      </xdr:nvSpPr>
      <xdr:spPr>
        <a:xfrm>
          <a:off x="14758245" y="3344334"/>
          <a:ext cx="1639995" cy="861906"/>
        </a:xfrm>
        <a:prstGeom prst="wedgeRoundRectCallout">
          <a:avLst>
            <a:gd name="adj1" fmla="val -80755"/>
            <a:gd name="adj2" fmla="val 38575"/>
            <a:gd name="adj3" fmla="val 16667"/>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100"/>
            <a:t>Goal-Seeking a system balance for a</a:t>
          </a:r>
          <a:r>
            <a:rPr lang="en-US" sz="1100" baseline="0"/>
            <a:t> new %O</a:t>
          </a:r>
          <a:r>
            <a:rPr lang="en-US" sz="1100" baseline="-25000"/>
            <a:t>2</a:t>
          </a:r>
          <a:r>
            <a:rPr lang="en-US" sz="1100" baseline="0"/>
            <a:t> in the combustion air by changing cell K12.</a:t>
          </a:r>
          <a:endParaRPr lang="en-US" sz="1100"/>
        </a:p>
      </xdr:txBody>
    </xdr:sp>
    <xdr:clientData/>
  </xdr:twoCellAnchor>
  <xdr:twoCellAnchor>
    <xdr:from>
      <xdr:col>23</xdr:col>
      <xdr:colOff>330198</xdr:colOff>
      <xdr:row>20</xdr:row>
      <xdr:rowOff>135465</xdr:rowOff>
    </xdr:from>
    <xdr:to>
      <xdr:col>25</xdr:col>
      <xdr:colOff>685800</xdr:colOff>
      <xdr:row>25</xdr:row>
      <xdr:rowOff>118533</xdr:rowOff>
    </xdr:to>
    <xdr:sp macro="" textlink="">
      <xdr:nvSpPr>
        <xdr:cNvPr id="49" name="Rounded Rectangular Callout 48"/>
        <xdr:cNvSpPr/>
      </xdr:nvSpPr>
      <xdr:spPr>
        <a:xfrm>
          <a:off x="14952978" y="4859865"/>
          <a:ext cx="1826262" cy="882228"/>
        </a:xfrm>
        <a:prstGeom prst="wedgeRoundRectCallout">
          <a:avLst>
            <a:gd name="adj1" fmla="val -87616"/>
            <a:gd name="adj2" fmla="val 33124"/>
            <a:gd name="adj3" fmla="val 16667"/>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100"/>
            <a:t>Goal-Seeking a new burner</a:t>
          </a:r>
          <a:r>
            <a:rPr lang="en-US" sz="1100" baseline="0"/>
            <a:t> OG temperature </a:t>
          </a:r>
          <a:r>
            <a:rPr lang="en-US" sz="1100"/>
            <a:t> for a</a:t>
          </a:r>
          <a:r>
            <a:rPr lang="en-US" sz="1100" baseline="0"/>
            <a:t> new %O</a:t>
          </a:r>
          <a:r>
            <a:rPr lang="en-US" sz="1100" baseline="-25000"/>
            <a:t>2</a:t>
          </a:r>
          <a:r>
            <a:rPr lang="en-US" sz="1100" baseline="0"/>
            <a:t> in the combustion air by changing cell Q32.</a:t>
          </a:r>
          <a:endParaRPr lang="en-US" sz="1100"/>
        </a:p>
      </xdr:txBody>
    </xdr:sp>
    <xdr:clientData/>
  </xdr:twoCellAnchor>
  <xdr:twoCellAnchor>
    <xdr:from>
      <xdr:col>18</xdr:col>
      <xdr:colOff>514350</xdr:colOff>
      <xdr:row>37</xdr:row>
      <xdr:rowOff>138113</xdr:rowOff>
    </xdr:from>
    <xdr:to>
      <xdr:col>25</xdr:col>
      <xdr:colOff>428625</xdr:colOff>
      <xdr:row>53</xdr:row>
      <xdr:rowOff>14288</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497594</xdr:colOff>
      <xdr:row>5</xdr:row>
      <xdr:rowOff>267971</xdr:rowOff>
    </xdr:from>
    <xdr:to>
      <xdr:col>10</xdr:col>
      <xdr:colOff>696031</xdr:colOff>
      <xdr:row>5</xdr:row>
      <xdr:rowOff>437199</xdr:rowOff>
    </xdr:to>
    <xdr:sp macro="" textlink="">
      <xdr:nvSpPr>
        <xdr:cNvPr id="51" name="Text Box 1342"/>
        <xdr:cNvSpPr txBox="1">
          <a:spLocks noChangeArrowheads="1"/>
        </xdr:cNvSpPr>
      </xdr:nvSpPr>
      <xdr:spPr bwMode="auto">
        <a:xfrm>
          <a:off x="7043174" y="1106171"/>
          <a:ext cx="198437" cy="1692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4</a:t>
          </a:r>
        </a:p>
      </xdr:txBody>
    </xdr:sp>
    <xdr:clientData/>
  </xdr:twoCellAnchor>
  <xdr:twoCellAnchor>
    <xdr:from>
      <xdr:col>26</xdr:col>
      <xdr:colOff>203200</xdr:colOff>
      <xdr:row>34</xdr:row>
      <xdr:rowOff>12700</xdr:rowOff>
    </xdr:from>
    <xdr:to>
      <xdr:col>33</xdr:col>
      <xdr:colOff>203200</xdr:colOff>
      <xdr:row>49</xdr:row>
      <xdr:rowOff>4233</xdr:rowOff>
    </xdr:to>
    <xdr:graphicFrame macro="">
      <xdr:nvGraphicFramePr>
        <xdr:cNvPr id="45" name="Chart 4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55245</xdr:colOff>
      <xdr:row>5</xdr:row>
      <xdr:rowOff>1083309</xdr:rowOff>
    </xdr:from>
    <xdr:to>
      <xdr:col>11</xdr:col>
      <xdr:colOff>605578</xdr:colOff>
      <xdr:row>5</xdr:row>
      <xdr:rowOff>1760641</xdr:rowOff>
    </xdr:to>
    <xdr:sp macro="" textlink="">
      <xdr:nvSpPr>
        <xdr:cNvPr id="2" name="Rectangle 1"/>
        <xdr:cNvSpPr/>
      </xdr:nvSpPr>
      <xdr:spPr>
        <a:xfrm>
          <a:off x="5404485" y="1921509"/>
          <a:ext cx="2043853" cy="677332"/>
        </a:xfrm>
        <a:prstGeom prst="rect">
          <a:avLst/>
        </a:prstGeom>
        <a:ln w="9525">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0</xdr:col>
      <xdr:colOff>218019</xdr:colOff>
      <xdr:row>11</xdr:row>
      <xdr:rowOff>163779</xdr:rowOff>
    </xdr:from>
    <xdr:ext cx="1512356" cy="684216"/>
    <xdr:sp macro="" textlink="">
      <xdr:nvSpPr>
        <xdr:cNvPr id="3" name="TextBox 2"/>
        <xdr:cNvSpPr txBox="1"/>
      </xdr:nvSpPr>
      <xdr:spPr>
        <a:xfrm>
          <a:off x="218019" y="3737559"/>
          <a:ext cx="1512356" cy="684216"/>
        </a:xfrm>
        <a:prstGeom prst="rect">
          <a:avLst/>
        </a:prstGeom>
        <a:solidFill>
          <a:schemeClr val="bg2"/>
        </a:solidFill>
        <a:ln w="12700">
          <a:solidFill>
            <a:schemeClr val="tx1"/>
          </a:solidFill>
          <a:prstDash val="lg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chorCtr="0">
          <a:noAutofit/>
        </a:bodyPr>
        <a:lstStyle/>
        <a:p>
          <a:pPr algn="l"/>
          <a:r>
            <a:rPr lang="en-US" sz="1200">
              <a:latin typeface="Arial" pitchFamily="34" charset="0"/>
              <a:cs typeface="Arial" pitchFamily="34" charset="0"/>
            </a:rPr>
            <a:t>Edit </a:t>
          </a:r>
          <a:r>
            <a:rPr lang="en-US" sz="1200" baseline="0">
              <a:latin typeface="Arial" pitchFamily="34" charset="0"/>
              <a:cs typeface="Arial" pitchFamily="34" charset="0"/>
            </a:rPr>
            <a:t>entries in blue-bordered cells </a:t>
          </a:r>
          <a:r>
            <a:rPr lang="en-US" sz="1200">
              <a:solidFill>
                <a:schemeClr val="tx1"/>
              </a:solidFill>
              <a:effectLst/>
              <a:latin typeface="Arial" pitchFamily="34" charset="0"/>
              <a:ea typeface="+mn-ea"/>
              <a:cs typeface="Arial" pitchFamily="34" charset="0"/>
            </a:rPr>
            <a:t>only!</a:t>
          </a:r>
          <a:endParaRPr lang="en-US" sz="1200">
            <a:latin typeface="Arial" pitchFamily="34" charset="0"/>
            <a:cs typeface="Arial" pitchFamily="34" charset="0"/>
          </a:endParaRPr>
        </a:p>
      </xdr:txBody>
    </xdr:sp>
    <xdr:clientData/>
  </xdr:oneCellAnchor>
  <xdr:oneCellAnchor>
    <xdr:from>
      <xdr:col>0</xdr:col>
      <xdr:colOff>579120</xdr:colOff>
      <xdr:row>13</xdr:row>
      <xdr:rowOff>185057</xdr:rowOff>
    </xdr:from>
    <xdr:ext cx="731520" cy="163775"/>
    <xdr:sp macro="" textlink="">
      <xdr:nvSpPr>
        <xdr:cNvPr id="4" name="TextBox 3"/>
        <xdr:cNvSpPr txBox="1"/>
      </xdr:nvSpPr>
      <xdr:spPr>
        <a:xfrm>
          <a:off x="579120" y="4170317"/>
          <a:ext cx="731520" cy="163775"/>
        </a:xfrm>
        <a:prstGeom prst="rect">
          <a:avLst/>
        </a:prstGeom>
        <a:solidFill>
          <a:schemeClr val="accent1">
            <a:lumMod val="20000"/>
            <a:lumOff val="80000"/>
          </a:schemeClr>
        </a:solidFill>
        <a:ln>
          <a:solidFill>
            <a:srgbClr val="4070AA"/>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100"/>
            <a:t>   like this</a:t>
          </a:r>
        </a:p>
      </xdr:txBody>
    </xdr:sp>
    <xdr:clientData/>
  </xdr:oneCellAnchor>
  <xdr:oneCellAnchor>
    <xdr:from>
      <xdr:col>11</xdr:col>
      <xdr:colOff>285171</xdr:colOff>
      <xdr:row>18</xdr:row>
      <xdr:rowOff>72650</xdr:rowOff>
    </xdr:from>
    <xdr:ext cx="4092096" cy="243038"/>
    <xdr:sp macro="" textlink="">
      <xdr:nvSpPr>
        <xdr:cNvPr id="5" name="TextBox 4"/>
        <xdr:cNvSpPr txBox="1"/>
      </xdr:nvSpPr>
      <xdr:spPr>
        <a:xfrm>
          <a:off x="7126238" y="4983317"/>
          <a:ext cx="4092096" cy="243038"/>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algn="ctr"/>
          <a:r>
            <a:rPr lang="en-US" sz="1600"/>
            <a:t>System Balance for the Overall </a:t>
          </a:r>
          <a:r>
            <a:rPr kumimoji="0" lang="en-US" sz="1600" b="0" i="0" u="none" strike="noStrike" kern="0" cap="none" spc="0" normalizeH="0" baseline="0" noProof="0">
              <a:ln>
                <a:noFill/>
              </a:ln>
              <a:solidFill>
                <a:prstClr val="black"/>
              </a:solidFill>
              <a:effectLst/>
              <a:uLnTx/>
              <a:uFillTx/>
              <a:latin typeface="+mn-lt"/>
              <a:ea typeface="+mn-ea"/>
              <a:cs typeface="+mn-cs"/>
            </a:rPr>
            <a:t>Process--kJ/min</a:t>
          </a:r>
          <a:endParaRPr lang="en-US" sz="1400"/>
        </a:p>
      </xdr:txBody>
    </xdr:sp>
    <xdr:clientData/>
  </xdr:oneCellAnchor>
  <xdr:twoCellAnchor editAs="absolute">
    <xdr:from>
      <xdr:col>10</xdr:col>
      <xdr:colOff>722813</xdr:colOff>
      <xdr:row>5</xdr:row>
      <xdr:rowOff>886460</xdr:rowOff>
    </xdr:from>
    <xdr:to>
      <xdr:col>11</xdr:col>
      <xdr:colOff>253336</xdr:colOff>
      <xdr:row>5</xdr:row>
      <xdr:rowOff>1176444</xdr:rowOff>
    </xdr:to>
    <xdr:sp macro="" textlink="">
      <xdr:nvSpPr>
        <xdr:cNvPr id="6" name="Lightning Bolt 5"/>
        <xdr:cNvSpPr/>
      </xdr:nvSpPr>
      <xdr:spPr>
        <a:xfrm rot="16940656" flipV="1">
          <a:off x="6812463" y="1731010"/>
          <a:ext cx="289984" cy="277283"/>
        </a:xfrm>
        <a:prstGeom prst="lightningBolt">
          <a:avLst/>
        </a:prstGeom>
        <a:solidFill>
          <a:srgbClr val="FF0000"/>
        </a:solidFill>
        <a:ln w="952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113206</xdr:colOff>
      <xdr:row>5</xdr:row>
      <xdr:rowOff>1163320</xdr:rowOff>
    </xdr:from>
    <xdr:to>
      <xdr:col>9</xdr:col>
      <xdr:colOff>73202</xdr:colOff>
      <xdr:row>5</xdr:row>
      <xdr:rowOff>1163320</xdr:rowOff>
    </xdr:to>
    <xdr:sp macro="" textlink="">
      <xdr:nvSpPr>
        <xdr:cNvPr id="7" name="Line 1319"/>
        <xdr:cNvSpPr>
          <a:spLocks noChangeShapeType="1"/>
        </xdr:cNvSpPr>
      </xdr:nvSpPr>
      <xdr:spPr bwMode="auto">
        <a:xfrm>
          <a:off x="4852846" y="2001520"/>
          <a:ext cx="569596"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8</xdr:col>
      <xdr:colOff>350520</xdr:colOff>
      <xdr:row>5</xdr:row>
      <xdr:rowOff>1666875</xdr:rowOff>
    </xdr:from>
    <xdr:to>
      <xdr:col>9</xdr:col>
      <xdr:colOff>63677</xdr:colOff>
      <xdr:row>5</xdr:row>
      <xdr:rowOff>1666875</xdr:rowOff>
    </xdr:to>
    <xdr:sp macro="" textlink="">
      <xdr:nvSpPr>
        <xdr:cNvPr id="8" name="Line 1320"/>
        <xdr:cNvSpPr>
          <a:spLocks noChangeShapeType="1"/>
        </xdr:cNvSpPr>
      </xdr:nvSpPr>
      <xdr:spPr bwMode="auto">
        <a:xfrm rot="5400000">
          <a:off x="5251539" y="2343696"/>
          <a:ext cx="0" cy="322757"/>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8</xdr:col>
      <xdr:colOff>13087</xdr:colOff>
      <xdr:row>5</xdr:row>
      <xdr:rowOff>715529</xdr:rowOff>
    </xdr:from>
    <xdr:to>
      <xdr:col>9</xdr:col>
      <xdr:colOff>669890</xdr:colOff>
      <xdr:row>5</xdr:row>
      <xdr:rowOff>1010457</xdr:rowOff>
    </xdr:to>
    <xdr:sp macro="" textlink="">
      <xdr:nvSpPr>
        <xdr:cNvPr id="9" name="Text Box 1324"/>
        <xdr:cNvSpPr txBox="1">
          <a:spLocks noChangeArrowheads="1"/>
        </xdr:cNvSpPr>
      </xdr:nvSpPr>
      <xdr:spPr bwMode="auto">
        <a:xfrm>
          <a:off x="4752727" y="1553729"/>
          <a:ext cx="1266403" cy="2949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lnSpc>
              <a:spcPts val="1000"/>
            </a:lnSpc>
            <a:defRPr sz="1000"/>
          </a:pPr>
          <a:r>
            <a:rPr lang="en-US" sz="1000" b="1" i="0" u="none" strike="noStrike" baseline="0">
              <a:solidFill>
                <a:srgbClr val="000000"/>
              </a:solidFill>
              <a:latin typeface="Arial" pitchFamily="34" charset="0"/>
              <a:cs typeface="Arial" pitchFamily="34" charset="0"/>
            </a:rPr>
            <a:t>Hot combustion gas</a:t>
          </a:r>
        </a:p>
        <a:p>
          <a:pPr algn="ctr" rtl="0">
            <a:lnSpc>
              <a:spcPts val="1100"/>
            </a:lnSpc>
            <a:defRPr sz="1000"/>
          </a:pPr>
          <a:r>
            <a:rPr lang="en-US" sz="1000" b="1" i="0" u="none" strike="noStrike" baseline="0">
              <a:solidFill>
                <a:srgbClr val="000000"/>
              </a:solidFill>
              <a:latin typeface="Arial" pitchFamily="34" charset="0"/>
              <a:cs typeface="Arial" pitchFamily="34" charset="0"/>
            </a:rPr>
            <a:t>(2730 m</a:t>
          </a:r>
          <a:r>
            <a:rPr lang="en-US" sz="1000" b="1" i="0" u="none" strike="noStrike" baseline="30000">
              <a:solidFill>
                <a:srgbClr val="000000"/>
              </a:solidFill>
              <a:latin typeface="Arial" pitchFamily="34" charset="0"/>
              <a:cs typeface="Arial" pitchFamily="34" charset="0"/>
            </a:rPr>
            <a:t>3</a:t>
          </a:r>
          <a:r>
            <a:rPr lang="en-US" sz="1000" b="1" i="0" u="none" strike="noStrike" baseline="0">
              <a:solidFill>
                <a:srgbClr val="000000"/>
              </a:solidFill>
              <a:latin typeface="Arial" pitchFamily="34" charset="0"/>
              <a:cs typeface="Arial" pitchFamily="34" charset="0"/>
            </a:rPr>
            <a:t>, 1800°C)</a:t>
          </a:r>
          <a:endParaRPr lang="en-US">
            <a:latin typeface="Arial" pitchFamily="34" charset="0"/>
            <a:cs typeface="Arial" pitchFamily="34" charset="0"/>
          </a:endParaRPr>
        </a:p>
      </xdr:txBody>
    </xdr:sp>
    <xdr:clientData/>
  </xdr:twoCellAnchor>
  <xdr:twoCellAnchor editAs="absolute">
    <xdr:from>
      <xdr:col>13</xdr:col>
      <xdr:colOff>45569</xdr:colOff>
      <xdr:row>5</xdr:row>
      <xdr:rowOff>90272</xdr:rowOff>
    </xdr:from>
    <xdr:to>
      <xdr:col>13</xdr:col>
      <xdr:colOff>681256</xdr:colOff>
      <xdr:row>5</xdr:row>
      <xdr:rowOff>564825</xdr:rowOff>
    </xdr:to>
    <xdr:sp macro="" textlink="">
      <xdr:nvSpPr>
        <xdr:cNvPr id="10" name="Text Box 1325"/>
        <xdr:cNvSpPr txBox="1">
          <a:spLocks noChangeArrowheads="1"/>
        </xdr:cNvSpPr>
      </xdr:nvSpPr>
      <xdr:spPr bwMode="auto">
        <a:xfrm>
          <a:off x="8105836" y="936939"/>
          <a:ext cx="635687" cy="474553"/>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defRPr sz="1000"/>
          </a:pPr>
          <a:r>
            <a:rPr lang="en-US" sz="1000" b="1" i="0" u="none" strike="noStrike" baseline="0">
              <a:solidFill>
                <a:srgbClr val="000000"/>
              </a:solidFill>
              <a:latin typeface="Arial"/>
              <a:cs typeface="Arial"/>
            </a:rPr>
            <a:t>Cooled</a:t>
          </a:r>
        </a:p>
        <a:p>
          <a:pPr algn="ctr" rtl="0">
            <a:defRPr sz="1000"/>
          </a:pPr>
          <a:r>
            <a:rPr lang="en-US" sz="1000" b="1" i="0" u="none" strike="noStrike" baseline="0">
              <a:solidFill>
                <a:srgbClr val="000000"/>
              </a:solidFill>
              <a:latin typeface="Arial"/>
              <a:cs typeface="Arial"/>
            </a:rPr>
            <a:t>Stack gas</a:t>
          </a:r>
        </a:p>
        <a:p>
          <a:pPr algn="ctr" rtl="0">
            <a:defRPr sz="1000"/>
          </a:pPr>
          <a:r>
            <a:rPr lang="en-US" sz="1000" b="1" i="0" u="none" strike="noStrike" baseline="0">
              <a:solidFill>
                <a:srgbClr val="000000"/>
              </a:solidFill>
              <a:latin typeface="Arial"/>
              <a:cs typeface="Arial"/>
            </a:rPr>
            <a:t>(700°C)</a:t>
          </a:r>
          <a:endParaRPr lang="en-US"/>
        </a:p>
      </xdr:txBody>
    </xdr:sp>
    <xdr:clientData/>
  </xdr:twoCellAnchor>
  <xdr:twoCellAnchor editAs="absolute">
    <xdr:from>
      <xdr:col>7</xdr:col>
      <xdr:colOff>63854</xdr:colOff>
      <xdr:row>5</xdr:row>
      <xdr:rowOff>1497436</xdr:rowOff>
    </xdr:from>
    <xdr:to>
      <xdr:col>8</xdr:col>
      <xdr:colOff>438150</xdr:colOff>
      <xdr:row>5</xdr:row>
      <xdr:rowOff>1789824</xdr:rowOff>
    </xdr:to>
    <xdr:sp macro="" textlink="">
      <xdr:nvSpPr>
        <xdr:cNvPr id="11" name="Text Box 1326"/>
        <xdr:cNvSpPr txBox="1">
          <a:spLocks noChangeArrowheads="1"/>
        </xdr:cNvSpPr>
      </xdr:nvSpPr>
      <xdr:spPr bwMode="auto">
        <a:xfrm>
          <a:off x="4071974" y="2335636"/>
          <a:ext cx="1105816" cy="29238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lnSpc>
              <a:spcPts val="1000"/>
            </a:lnSpc>
            <a:defRPr sz="1000"/>
          </a:pPr>
          <a:r>
            <a:rPr lang="en-US" sz="1000" b="1" i="0" u="none" strike="noStrike" baseline="0">
              <a:solidFill>
                <a:srgbClr val="000000"/>
              </a:solidFill>
              <a:latin typeface="Arial"/>
              <a:cs typeface="Arial"/>
            </a:rPr>
            <a:t>Heated aluminum</a:t>
          </a:r>
        </a:p>
        <a:p>
          <a:pPr algn="ctr" rtl="0">
            <a:lnSpc>
              <a:spcPts val="1100"/>
            </a:lnSpc>
            <a:defRPr sz="1000"/>
          </a:pPr>
          <a:r>
            <a:rPr lang="en-US" sz="1000" b="1" i="0" u="none" strike="noStrike" baseline="0">
              <a:solidFill>
                <a:srgbClr val="000000"/>
              </a:solidFill>
              <a:latin typeface="Arial"/>
              <a:cs typeface="Arial"/>
            </a:rPr>
            <a:t>(800 kg, 550</a:t>
          </a:r>
          <a:r>
            <a:rPr kumimoji="0" lang="en-US" sz="1000" b="1" i="0" u="none" strike="noStrike" kern="0" cap="none" spc="0" normalizeH="0" baseline="0" noProof="0">
              <a:ln>
                <a:noFill/>
              </a:ln>
              <a:solidFill>
                <a:srgbClr val="000000"/>
              </a:solidFill>
              <a:effectLst/>
              <a:uLnTx/>
              <a:uFillTx/>
              <a:latin typeface="Arial"/>
              <a:ea typeface="+mn-ea"/>
              <a:cs typeface="Arial"/>
            </a:rPr>
            <a:t>°C</a:t>
          </a:r>
          <a:r>
            <a:rPr lang="en-US" sz="1000" b="1" i="0" u="none" strike="noStrike" baseline="0">
              <a:solidFill>
                <a:srgbClr val="000000"/>
              </a:solidFill>
              <a:latin typeface="Arial"/>
              <a:cs typeface="Arial"/>
            </a:rPr>
            <a:t>)</a:t>
          </a:r>
          <a:endParaRPr lang="en-US"/>
        </a:p>
      </xdr:txBody>
    </xdr:sp>
    <xdr:clientData/>
  </xdr:twoCellAnchor>
  <xdr:twoCellAnchor editAs="absolute">
    <xdr:from>
      <xdr:col>12</xdr:col>
      <xdr:colOff>276412</xdr:colOff>
      <xdr:row>5</xdr:row>
      <xdr:rowOff>1448862</xdr:rowOff>
    </xdr:from>
    <xdr:to>
      <xdr:col>14</xdr:col>
      <xdr:colOff>58453</xdr:colOff>
      <xdr:row>5</xdr:row>
      <xdr:rowOff>1775939</xdr:rowOff>
    </xdr:to>
    <xdr:sp macro="" textlink="">
      <xdr:nvSpPr>
        <xdr:cNvPr id="12" name="Text Box 1327"/>
        <xdr:cNvSpPr txBox="1">
          <a:spLocks noChangeArrowheads="1"/>
        </xdr:cNvSpPr>
      </xdr:nvSpPr>
      <xdr:spPr bwMode="auto">
        <a:xfrm>
          <a:off x="7728772" y="2287062"/>
          <a:ext cx="1100301" cy="32707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defRPr sz="1000"/>
          </a:pPr>
          <a:r>
            <a:rPr lang="en-US" sz="1000" b="1" i="0" u="none" strike="noStrike" baseline="0">
              <a:solidFill>
                <a:srgbClr val="000000"/>
              </a:solidFill>
              <a:latin typeface="Arial"/>
              <a:cs typeface="Arial"/>
            </a:rPr>
            <a:t>Aluminum ingots</a:t>
          </a:r>
        </a:p>
        <a:p>
          <a:pPr algn="ctr" rtl="0">
            <a:defRPr sz="1000"/>
          </a:pPr>
          <a:r>
            <a:rPr lang="en-US" sz="1000" b="1" i="0" u="none" strike="noStrike" baseline="0">
              <a:solidFill>
                <a:srgbClr val="000000"/>
              </a:solidFill>
              <a:latin typeface="Arial"/>
              <a:cs typeface="Arial"/>
            </a:rPr>
            <a:t>(800 kg, 25°C)</a:t>
          </a:r>
          <a:endParaRPr lang="en-US"/>
        </a:p>
      </xdr:txBody>
    </xdr:sp>
    <xdr:clientData/>
  </xdr:twoCellAnchor>
  <xdr:twoCellAnchor editAs="absolute">
    <xdr:from>
      <xdr:col>11</xdr:col>
      <xdr:colOff>599193</xdr:colOff>
      <xdr:row>5</xdr:row>
      <xdr:rowOff>1660525</xdr:rowOff>
    </xdr:from>
    <xdr:to>
      <xdr:col>12</xdr:col>
      <xdr:colOff>336550</xdr:colOff>
      <xdr:row>5</xdr:row>
      <xdr:rowOff>1660525</xdr:rowOff>
    </xdr:to>
    <xdr:sp macro="" textlink="">
      <xdr:nvSpPr>
        <xdr:cNvPr id="13" name="Line 1330"/>
        <xdr:cNvSpPr>
          <a:spLocks noChangeShapeType="1"/>
        </xdr:cNvSpPr>
      </xdr:nvSpPr>
      <xdr:spPr bwMode="auto">
        <a:xfrm rot="5400000">
          <a:off x="7615432" y="2325246"/>
          <a:ext cx="0" cy="346957"/>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7</xdr:col>
      <xdr:colOff>387930</xdr:colOff>
      <xdr:row>5</xdr:row>
      <xdr:rowOff>924560</xdr:rowOff>
    </xdr:from>
    <xdr:to>
      <xdr:col>8</xdr:col>
      <xdr:colOff>222250</xdr:colOff>
      <xdr:row>5</xdr:row>
      <xdr:rowOff>1400810</xdr:rowOff>
    </xdr:to>
    <xdr:sp macro="" textlink="">
      <xdr:nvSpPr>
        <xdr:cNvPr id="15" name="AutoShape 1379"/>
        <xdr:cNvSpPr>
          <a:spLocks noChangeArrowheads="1"/>
        </xdr:cNvSpPr>
      </xdr:nvSpPr>
      <xdr:spPr bwMode="auto">
        <a:xfrm rot="-5400000">
          <a:off x="4440845" y="1717965"/>
          <a:ext cx="476250" cy="565840"/>
        </a:xfrm>
        <a:custGeom>
          <a:avLst/>
          <a:gdLst>
            <a:gd name="G0" fmla="+- 5400 0 0"/>
            <a:gd name="G1" fmla="+- 21600 0 5400"/>
            <a:gd name="G2" fmla="*/ 5400 1 2"/>
            <a:gd name="G3" fmla="+- 21600 0 G2"/>
            <a:gd name="G4" fmla="+/ 5400 21600 2"/>
            <a:gd name="G5" fmla="+/ G1 0 2"/>
            <a:gd name="G6" fmla="*/ 21600 21600 5400"/>
            <a:gd name="G7" fmla="*/ G6 1 2"/>
            <a:gd name="G8" fmla="+- 21600 0 G7"/>
            <a:gd name="G9" fmla="*/ 21600 1 2"/>
            <a:gd name="G10" fmla="+- 5400 0 G9"/>
            <a:gd name="G11" fmla="?: G10 G8 0"/>
            <a:gd name="G12" fmla="?: G10 G7 21600"/>
            <a:gd name="T0" fmla="*/ 18900 w 21600"/>
            <a:gd name="T1" fmla="*/ 10800 h 21600"/>
            <a:gd name="T2" fmla="*/ 10800 w 21600"/>
            <a:gd name="T3" fmla="*/ 21600 h 21600"/>
            <a:gd name="T4" fmla="*/ 2700 w 21600"/>
            <a:gd name="T5" fmla="*/ 10800 h 21600"/>
            <a:gd name="T6" fmla="*/ 10800 w 21600"/>
            <a:gd name="T7" fmla="*/ 0 h 21600"/>
            <a:gd name="T8" fmla="*/ 4500 w 21600"/>
            <a:gd name="T9" fmla="*/ 4500 h 21600"/>
            <a:gd name="T10" fmla="*/ 17100 w 21600"/>
            <a:gd name="T11" fmla="*/ 17100 h 21600"/>
          </a:gdLst>
          <a:ahLst/>
          <a:cxnLst>
            <a:cxn ang="0">
              <a:pos x="T0" y="T1"/>
            </a:cxn>
            <a:cxn ang="0">
              <a:pos x="T2" y="T3"/>
            </a:cxn>
            <a:cxn ang="0">
              <a:pos x="T4" y="T5"/>
            </a:cxn>
            <a:cxn ang="0">
              <a:pos x="T6" y="T7"/>
            </a:cxn>
          </a:cxnLst>
          <a:rect l="T8" t="T9" r="T10" b="T11"/>
          <a:pathLst>
            <a:path w="21600" h="21600">
              <a:moveTo>
                <a:pt x="0" y="0"/>
              </a:moveTo>
              <a:lnTo>
                <a:pt x="5400" y="21600"/>
              </a:lnTo>
              <a:lnTo>
                <a:pt x="16200" y="21600"/>
              </a:lnTo>
              <a:lnTo>
                <a:pt x="21600" y="0"/>
              </a:lnTo>
              <a:close/>
            </a:path>
          </a:pathLst>
        </a:custGeom>
        <a:solidFill>
          <a:srgbClr val="CFCFCF"/>
        </a:solidFill>
        <a:ln w="19050" algn="ctr">
          <a:solidFill>
            <a:srgbClr xmlns:mc="http://schemas.openxmlformats.org/markup-compatibility/2006" xmlns:a14="http://schemas.microsoft.com/office/drawing/2010/main" val="000000" mc:Ignorable="a14" a14:legacySpreadsheetColorIndex="8"/>
          </a:solidFill>
          <a:miter lim="800000"/>
          <a:headEnd/>
          <a:tailEnd/>
        </a:ln>
        <a:effectLst/>
      </xdr:spPr>
    </xdr:sp>
    <xdr:clientData/>
  </xdr:twoCellAnchor>
  <xdr:twoCellAnchor editAs="absolute">
    <xdr:from>
      <xdr:col>7</xdr:col>
      <xdr:colOff>83820</xdr:colOff>
      <xdr:row>5</xdr:row>
      <xdr:rowOff>1318895</xdr:rowOff>
    </xdr:from>
    <xdr:to>
      <xdr:col>7</xdr:col>
      <xdr:colOff>382234</xdr:colOff>
      <xdr:row>5</xdr:row>
      <xdr:rowOff>1318895</xdr:rowOff>
    </xdr:to>
    <xdr:sp macro="" textlink="">
      <xdr:nvSpPr>
        <xdr:cNvPr id="16" name="Line 1380"/>
        <xdr:cNvSpPr>
          <a:spLocks noChangeShapeType="1"/>
        </xdr:cNvSpPr>
      </xdr:nvSpPr>
      <xdr:spPr bwMode="auto">
        <a:xfrm>
          <a:off x="4091940" y="2157095"/>
          <a:ext cx="298414"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5</xdr:col>
      <xdr:colOff>162090</xdr:colOff>
      <xdr:row>5</xdr:row>
      <xdr:rowOff>1150477</xdr:rowOff>
    </xdr:from>
    <xdr:to>
      <xdr:col>7</xdr:col>
      <xdr:colOff>278475</xdr:colOff>
      <xdr:row>5</xdr:row>
      <xdr:rowOff>1517507</xdr:rowOff>
    </xdr:to>
    <xdr:sp macro="" textlink="">
      <xdr:nvSpPr>
        <xdr:cNvPr id="17" name="Text Box 1381"/>
        <xdr:cNvSpPr txBox="1">
          <a:spLocks noChangeArrowheads="1"/>
        </xdr:cNvSpPr>
      </xdr:nvSpPr>
      <xdr:spPr bwMode="auto">
        <a:xfrm>
          <a:off x="3348635" y="1981750"/>
          <a:ext cx="940731" cy="36703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noAutofit/>
        </a:bodyPr>
        <a:lstStyle/>
        <a:p>
          <a:pPr algn="ctr" rtl="0">
            <a:defRPr sz="1000"/>
          </a:pPr>
          <a:r>
            <a:rPr lang="en-US" sz="1000" b="1" i="0" u="none" strike="noStrike" baseline="0">
              <a:solidFill>
                <a:srgbClr val="000000"/>
              </a:solidFill>
              <a:latin typeface="Arial"/>
              <a:cs typeface="Arial"/>
            </a:rPr>
            <a:t>Nat Gas</a:t>
          </a:r>
        </a:p>
        <a:p>
          <a:pPr algn="ctr" rtl="0">
            <a:defRPr sz="1000"/>
          </a:pPr>
          <a:r>
            <a:rPr lang="en-US" sz="1000" b="1" i="0" u="none" strike="noStrike" baseline="0">
              <a:solidFill>
                <a:srgbClr val="000000"/>
              </a:solidFill>
              <a:latin typeface="Arial"/>
              <a:cs typeface="Arial"/>
            </a:rPr>
            <a:t>(32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25°C)</a:t>
          </a:r>
          <a:endParaRPr lang="en-US"/>
        </a:p>
      </xdr:txBody>
    </xdr:sp>
    <xdr:clientData/>
  </xdr:twoCellAnchor>
  <xdr:twoCellAnchor editAs="absolute">
    <xdr:from>
      <xdr:col>12</xdr:col>
      <xdr:colOff>195801</xdr:colOff>
      <xdr:row>5</xdr:row>
      <xdr:rowOff>1109184</xdr:rowOff>
    </xdr:from>
    <xdr:to>
      <xdr:col>13</xdr:col>
      <xdr:colOff>434340</xdr:colOff>
      <xdr:row>5</xdr:row>
      <xdr:rowOff>1455574</xdr:rowOff>
    </xdr:to>
    <xdr:sp macro="" textlink="">
      <xdr:nvSpPr>
        <xdr:cNvPr id="18" name="Text Box 1384"/>
        <xdr:cNvSpPr txBox="1">
          <a:spLocks noChangeArrowheads="1"/>
        </xdr:cNvSpPr>
      </xdr:nvSpPr>
      <xdr:spPr bwMode="auto">
        <a:xfrm>
          <a:off x="7648161" y="1947384"/>
          <a:ext cx="848139" cy="34639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1000" b="1" i="0" u="none" strike="noStrike" baseline="0">
              <a:solidFill>
                <a:srgbClr val="000000"/>
              </a:solidFill>
              <a:latin typeface="Arial"/>
              <a:cs typeface="Arial"/>
            </a:rPr>
            <a:t>Leak air</a:t>
          </a:r>
        </a:p>
        <a:p>
          <a:pPr algn="ctr" rtl="0">
            <a:defRPr sz="1000"/>
          </a:pPr>
          <a:r>
            <a:rPr lang="en-US" sz="1000" b="1" i="0" u="none" strike="noStrike" baseline="0">
              <a:solidFill>
                <a:srgbClr val="000000"/>
              </a:solidFill>
              <a:latin typeface="Arial"/>
              <a:cs typeface="Arial"/>
            </a:rPr>
            <a:t>(8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25°C)</a:t>
          </a:r>
          <a:endParaRPr lang="en-US" baseline="0"/>
        </a:p>
      </xdr:txBody>
    </xdr:sp>
    <xdr:clientData/>
  </xdr:twoCellAnchor>
  <xdr:twoCellAnchor editAs="absolute">
    <xdr:from>
      <xdr:col>7</xdr:col>
      <xdr:colOff>383273</xdr:colOff>
      <xdr:row>5</xdr:row>
      <xdr:rowOff>1048231</xdr:rowOff>
    </xdr:from>
    <xdr:to>
      <xdr:col>8</xdr:col>
      <xdr:colOff>211651</xdr:colOff>
      <xdr:row>5</xdr:row>
      <xdr:rowOff>1263168</xdr:rowOff>
    </xdr:to>
    <xdr:sp macro="" textlink="">
      <xdr:nvSpPr>
        <xdr:cNvPr id="19" name="Text Box 1385"/>
        <xdr:cNvSpPr txBox="1">
          <a:spLocks noChangeArrowheads="1"/>
        </xdr:cNvSpPr>
      </xdr:nvSpPr>
      <xdr:spPr bwMode="auto">
        <a:xfrm>
          <a:off x="4391393" y="1886431"/>
          <a:ext cx="559898" cy="21493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27432" bIns="0" anchor="ctr" upright="1">
          <a:spAutoFit/>
        </a:bodyPr>
        <a:lstStyle/>
        <a:p>
          <a:pPr algn="ctr" rtl="0">
            <a:defRPr sz="1000"/>
          </a:pPr>
          <a:r>
            <a:rPr lang="en-US" sz="1200" b="1" i="0" u="none" strike="noStrike" baseline="0">
              <a:solidFill>
                <a:srgbClr val="000000"/>
              </a:solidFill>
              <a:latin typeface="Arial"/>
              <a:cs typeface="Arial"/>
            </a:rPr>
            <a:t>Burner</a:t>
          </a:r>
          <a:endParaRPr lang="en-US"/>
        </a:p>
      </xdr:txBody>
    </xdr:sp>
    <xdr:clientData/>
  </xdr:twoCellAnchor>
  <xdr:twoCellAnchor editAs="absolute">
    <xdr:from>
      <xdr:col>9</xdr:col>
      <xdr:colOff>101777</xdr:colOff>
      <xdr:row>5</xdr:row>
      <xdr:rowOff>1492431</xdr:rowOff>
    </xdr:from>
    <xdr:to>
      <xdr:col>9</xdr:col>
      <xdr:colOff>511351</xdr:colOff>
      <xdr:row>5</xdr:row>
      <xdr:rowOff>1637846</xdr:rowOff>
    </xdr:to>
    <xdr:sp macro="" textlink="">
      <xdr:nvSpPr>
        <xdr:cNvPr id="20" name="Freeform 1390"/>
        <xdr:cNvSpPr>
          <a:spLocks/>
        </xdr:cNvSpPr>
      </xdr:nvSpPr>
      <xdr:spPr bwMode="auto">
        <a:xfrm>
          <a:off x="5451017" y="2330631"/>
          <a:ext cx="409574"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11</xdr:col>
      <xdr:colOff>63465</xdr:colOff>
      <xdr:row>5</xdr:row>
      <xdr:rowOff>1492431</xdr:rowOff>
    </xdr:from>
    <xdr:to>
      <xdr:col>11</xdr:col>
      <xdr:colOff>471135</xdr:colOff>
      <xdr:row>5</xdr:row>
      <xdr:rowOff>1637846</xdr:rowOff>
    </xdr:to>
    <xdr:sp macro="" textlink="">
      <xdr:nvSpPr>
        <xdr:cNvPr id="21" name="Freeform 1393"/>
        <xdr:cNvSpPr>
          <a:spLocks/>
        </xdr:cNvSpPr>
      </xdr:nvSpPr>
      <xdr:spPr bwMode="auto">
        <a:xfrm>
          <a:off x="6906225" y="2330631"/>
          <a:ext cx="407670"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10</xdr:col>
      <xdr:colOff>320851</xdr:colOff>
      <xdr:row>5</xdr:row>
      <xdr:rowOff>1492431</xdr:rowOff>
    </xdr:from>
    <xdr:to>
      <xdr:col>10</xdr:col>
      <xdr:colOff>736565</xdr:colOff>
      <xdr:row>5</xdr:row>
      <xdr:rowOff>1637846</xdr:rowOff>
    </xdr:to>
    <xdr:sp macro="" textlink="">
      <xdr:nvSpPr>
        <xdr:cNvPr id="22" name="Freeform 1394"/>
        <xdr:cNvSpPr>
          <a:spLocks/>
        </xdr:cNvSpPr>
      </xdr:nvSpPr>
      <xdr:spPr bwMode="auto">
        <a:xfrm>
          <a:off x="6416851" y="2330631"/>
          <a:ext cx="415714"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9</xdr:col>
      <xdr:colOff>587551</xdr:colOff>
      <xdr:row>5</xdr:row>
      <xdr:rowOff>1492431</xdr:rowOff>
    </xdr:from>
    <xdr:to>
      <xdr:col>10</xdr:col>
      <xdr:colOff>254176</xdr:colOff>
      <xdr:row>5</xdr:row>
      <xdr:rowOff>1637846</xdr:rowOff>
    </xdr:to>
    <xdr:sp macro="" textlink="">
      <xdr:nvSpPr>
        <xdr:cNvPr id="23" name="Freeform 1395"/>
        <xdr:cNvSpPr>
          <a:spLocks/>
        </xdr:cNvSpPr>
      </xdr:nvSpPr>
      <xdr:spPr bwMode="auto">
        <a:xfrm>
          <a:off x="5936791" y="2330631"/>
          <a:ext cx="413385" cy="145415"/>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10</xdr:col>
      <xdr:colOff>64770</xdr:colOff>
      <xdr:row>5</xdr:row>
      <xdr:rowOff>573194</xdr:rowOff>
    </xdr:from>
    <xdr:to>
      <xdr:col>11</xdr:col>
      <xdr:colOff>204133</xdr:colOff>
      <xdr:row>5</xdr:row>
      <xdr:rowOff>898155</xdr:rowOff>
    </xdr:to>
    <xdr:sp macro="" textlink="">
      <xdr:nvSpPr>
        <xdr:cNvPr id="24" name="Text Box 1399"/>
        <xdr:cNvSpPr txBox="1">
          <a:spLocks noChangeArrowheads="1"/>
        </xdr:cNvSpPr>
      </xdr:nvSpPr>
      <xdr:spPr bwMode="auto">
        <a:xfrm>
          <a:off x="6160770" y="1411394"/>
          <a:ext cx="886123" cy="32496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18288" tIns="22860" rIns="18288" bIns="0" anchor="t" upright="1">
          <a:spAutoFit/>
        </a:bodyPr>
        <a:lstStyle/>
        <a:p>
          <a:pPr algn="ctr" rtl="0">
            <a:defRPr sz="1000"/>
          </a:pPr>
          <a:r>
            <a:rPr lang="en-US" sz="1000" b="1" i="0" u="none" strike="noStrike" baseline="0">
              <a:solidFill>
                <a:srgbClr val="000000"/>
              </a:solidFill>
              <a:latin typeface="Arial"/>
              <a:cs typeface="Arial"/>
            </a:rPr>
            <a:t>Heat loss</a:t>
          </a:r>
        </a:p>
        <a:p>
          <a:pPr algn="ctr" rtl="0">
            <a:defRPr sz="1000"/>
          </a:pPr>
          <a:r>
            <a:rPr lang="en-US" sz="1000" b="1" i="0" u="none" strike="noStrike" baseline="0">
              <a:solidFill>
                <a:srgbClr val="000000"/>
              </a:solidFill>
              <a:latin typeface="Arial"/>
              <a:cs typeface="Arial"/>
            </a:rPr>
            <a:t>(186,600 kJ)</a:t>
          </a:r>
          <a:endParaRPr lang="en-US"/>
        </a:p>
      </xdr:txBody>
    </xdr:sp>
    <xdr:clientData/>
  </xdr:twoCellAnchor>
  <xdr:twoCellAnchor editAs="absolute">
    <xdr:from>
      <xdr:col>9</xdr:col>
      <xdr:colOff>234418</xdr:colOff>
      <xdr:row>5</xdr:row>
      <xdr:rowOff>1139463</xdr:rowOff>
    </xdr:from>
    <xdr:to>
      <xdr:col>11</xdr:col>
      <xdr:colOff>422115</xdr:colOff>
      <xdr:row>5</xdr:row>
      <xdr:rowOff>1354400</xdr:rowOff>
    </xdr:to>
    <xdr:sp macro="" textlink="">
      <xdr:nvSpPr>
        <xdr:cNvPr id="25" name="Text Box 1405"/>
        <xdr:cNvSpPr txBox="1">
          <a:spLocks noChangeArrowheads="1"/>
        </xdr:cNvSpPr>
      </xdr:nvSpPr>
      <xdr:spPr bwMode="auto">
        <a:xfrm>
          <a:off x="5583658" y="1977663"/>
          <a:ext cx="1681217" cy="21493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27432" bIns="0" anchor="t" upright="1">
          <a:spAutoFit/>
        </a:bodyPr>
        <a:lstStyle/>
        <a:p>
          <a:pPr algn="ctr" rtl="0">
            <a:defRPr sz="1000"/>
          </a:pPr>
          <a:r>
            <a:rPr lang="en-US" sz="1200" b="1" i="0" u="none" strike="noStrike" baseline="0">
              <a:solidFill>
                <a:srgbClr val="000000"/>
              </a:solidFill>
              <a:latin typeface="Arial"/>
              <a:cs typeface="Arial"/>
            </a:rPr>
            <a:t>Ingot Heating Furnace</a:t>
          </a:r>
          <a:endParaRPr lang="en-US"/>
        </a:p>
      </xdr:txBody>
    </xdr:sp>
    <xdr:clientData/>
  </xdr:twoCellAnchor>
  <xdr:twoCellAnchor editAs="absolute">
    <xdr:from>
      <xdr:col>7</xdr:col>
      <xdr:colOff>130351</xdr:colOff>
      <xdr:row>5</xdr:row>
      <xdr:rowOff>1134484</xdr:rowOff>
    </xdr:from>
    <xdr:to>
      <xdr:col>7</xdr:col>
      <xdr:colOff>311326</xdr:colOff>
      <xdr:row>5</xdr:row>
      <xdr:rowOff>1342764</xdr:rowOff>
    </xdr:to>
    <xdr:sp macro="" textlink="">
      <xdr:nvSpPr>
        <xdr:cNvPr id="26" name="Text Box 1342"/>
        <xdr:cNvSpPr txBox="1">
          <a:spLocks noChangeArrowheads="1"/>
        </xdr:cNvSpPr>
      </xdr:nvSpPr>
      <xdr:spPr bwMode="auto">
        <a:xfrm>
          <a:off x="4138471" y="1972684"/>
          <a:ext cx="180975" cy="20828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2</a:t>
          </a:r>
        </a:p>
      </xdr:txBody>
    </xdr:sp>
    <xdr:clientData/>
  </xdr:twoCellAnchor>
  <xdr:twoCellAnchor editAs="absolute">
    <xdr:from>
      <xdr:col>8</xdr:col>
      <xdr:colOff>458012</xdr:colOff>
      <xdr:row>5</xdr:row>
      <xdr:rowOff>1464520</xdr:rowOff>
    </xdr:from>
    <xdr:to>
      <xdr:col>9</xdr:col>
      <xdr:colOff>29387</xdr:colOff>
      <xdr:row>5</xdr:row>
      <xdr:rowOff>1670260</xdr:rowOff>
    </xdr:to>
    <xdr:sp macro="" textlink="">
      <xdr:nvSpPr>
        <xdr:cNvPr id="27" name="Text Box 1342"/>
        <xdr:cNvSpPr txBox="1">
          <a:spLocks noChangeArrowheads="1"/>
        </xdr:cNvSpPr>
      </xdr:nvSpPr>
      <xdr:spPr bwMode="auto">
        <a:xfrm>
          <a:off x="5197652" y="2302720"/>
          <a:ext cx="180975" cy="20574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7</a:t>
          </a:r>
        </a:p>
      </xdr:txBody>
    </xdr:sp>
    <xdr:clientData/>
  </xdr:twoCellAnchor>
  <xdr:twoCellAnchor editAs="absolute">
    <xdr:from>
      <xdr:col>8</xdr:col>
      <xdr:colOff>330377</xdr:colOff>
      <xdr:row>5</xdr:row>
      <xdr:rowOff>974090</xdr:rowOff>
    </xdr:from>
    <xdr:to>
      <xdr:col>8</xdr:col>
      <xdr:colOff>511352</xdr:colOff>
      <xdr:row>5</xdr:row>
      <xdr:rowOff>1176655</xdr:rowOff>
    </xdr:to>
    <xdr:sp macro="" textlink="">
      <xdr:nvSpPr>
        <xdr:cNvPr id="28" name="Text Box 1342"/>
        <xdr:cNvSpPr txBox="1">
          <a:spLocks noChangeArrowheads="1"/>
        </xdr:cNvSpPr>
      </xdr:nvSpPr>
      <xdr:spPr bwMode="auto">
        <a:xfrm>
          <a:off x="5070017" y="1812290"/>
          <a:ext cx="180975" cy="20256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3</a:t>
          </a:r>
        </a:p>
      </xdr:txBody>
    </xdr:sp>
    <xdr:clientData/>
  </xdr:twoCellAnchor>
  <xdr:twoCellAnchor editAs="absolute">
    <xdr:from>
      <xdr:col>11</xdr:col>
      <xdr:colOff>198403</xdr:colOff>
      <xdr:row>5</xdr:row>
      <xdr:rowOff>771525</xdr:rowOff>
    </xdr:from>
    <xdr:to>
      <xdr:col>11</xdr:col>
      <xdr:colOff>381706</xdr:colOff>
      <xdr:row>5</xdr:row>
      <xdr:rowOff>974090</xdr:rowOff>
    </xdr:to>
    <xdr:sp macro="" textlink="">
      <xdr:nvSpPr>
        <xdr:cNvPr id="29" name="Text Box 1342"/>
        <xdr:cNvSpPr txBox="1">
          <a:spLocks noChangeArrowheads="1"/>
        </xdr:cNvSpPr>
      </xdr:nvSpPr>
      <xdr:spPr bwMode="auto">
        <a:xfrm>
          <a:off x="7041163" y="1609725"/>
          <a:ext cx="183303" cy="20256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endParaRPr lang="en-US" sz="900" b="1" i="0" u="none" strike="noStrike" baseline="0">
            <a:solidFill>
              <a:srgbClr val="000000"/>
            </a:solidFill>
            <a:latin typeface="Arial"/>
            <a:cs typeface="Arial"/>
          </a:endParaRPr>
        </a:p>
      </xdr:txBody>
    </xdr:sp>
    <xdr:clientData/>
  </xdr:twoCellAnchor>
  <xdr:twoCellAnchor editAs="absolute">
    <xdr:from>
      <xdr:col>12</xdr:col>
      <xdr:colOff>98390</xdr:colOff>
      <xdr:row>5</xdr:row>
      <xdr:rowOff>1496694</xdr:rowOff>
    </xdr:from>
    <xdr:to>
      <xdr:col>12</xdr:col>
      <xdr:colOff>296827</xdr:colOff>
      <xdr:row>5</xdr:row>
      <xdr:rowOff>1664864</xdr:rowOff>
    </xdr:to>
    <xdr:sp macro="" textlink="">
      <xdr:nvSpPr>
        <xdr:cNvPr id="30" name="Text Box 1342"/>
        <xdr:cNvSpPr txBox="1">
          <a:spLocks noChangeArrowheads="1"/>
        </xdr:cNvSpPr>
      </xdr:nvSpPr>
      <xdr:spPr bwMode="auto">
        <a:xfrm>
          <a:off x="7550750" y="2334894"/>
          <a:ext cx="198437" cy="16817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6</a:t>
          </a:r>
        </a:p>
      </xdr:txBody>
    </xdr:sp>
    <xdr:clientData/>
  </xdr:twoCellAnchor>
  <xdr:twoCellAnchor editAs="absolute">
    <xdr:from>
      <xdr:col>7</xdr:col>
      <xdr:colOff>63163</xdr:colOff>
      <xdr:row>5</xdr:row>
      <xdr:rowOff>458064</xdr:rowOff>
    </xdr:from>
    <xdr:to>
      <xdr:col>8</xdr:col>
      <xdr:colOff>60048</xdr:colOff>
      <xdr:row>5</xdr:row>
      <xdr:rowOff>785141</xdr:rowOff>
    </xdr:to>
    <xdr:sp macro="" textlink="">
      <xdr:nvSpPr>
        <xdr:cNvPr id="31" name="Text Box 1399"/>
        <xdr:cNvSpPr txBox="1">
          <a:spLocks noChangeArrowheads="1"/>
        </xdr:cNvSpPr>
      </xdr:nvSpPr>
      <xdr:spPr bwMode="auto">
        <a:xfrm>
          <a:off x="4074054" y="1289337"/>
          <a:ext cx="731176" cy="32707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t" upright="1">
          <a:spAutoFit/>
        </a:bodyPr>
        <a:lstStyle/>
        <a:p>
          <a:pPr algn="ctr" rtl="0">
            <a:defRPr sz="1000"/>
          </a:pPr>
          <a:r>
            <a:rPr lang="en-US" sz="1000" b="1" i="0" u="none" strike="noStrike" baseline="0">
              <a:solidFill>
                <a:srgbClr val="000000"/>
              </a:solidFill>
              <a:latin typeface="Arial"/>
              <a:cs typeface="Arial"/>
            </a:rPr>
            <a:t>Heat loss</a:t>
          </a:r>
        </a:p>
        <a:p>
          <a:pPr algn="ctr" rtl="0">
            <a:defRPr sz="1000"/>
          </a:pPr>
          <a:r>
            <a:rPr lang="en-US" sz="1000" b="1" i="0" u="none" strike="noStrike" baseline="0">
              <a:solidFill>
                <a:srgbClr val="000000"/>
              </a:solidFill>
              <a:latin typeface="Arial"/>
              <a:cs typeface="Arial"/>
            </a:rPr>
            <a:t> (13,400 kJ)</a:t>
          </a:r>
          <a:endParaRPr lang="en-US"/>
        </a:p>
      </xdr:txBody>
    </xdr:sp>
    <xdr:clientData/>
  </xdr:twoCellAnchor>
  <xdr:twoCellAnchor editAs="absolute">
    <xdr:from>
      <xdr:col>11</xdr:col>
      <xdr:colOff>599193</xdr:colOff>
      <xdr:row>5</xdr:row>
      <xdr:rowOff>1264922</xdr:rowOff>
    </xdr:from>
    <xdr:to>
      <xdr:col>12</xdr:col>
      <xdr:colOff>317500</xdr:colOff>
      <xdr:row>5</xdr:row>
      <xdr:rowOff>1264922</xdr:rowOff>
    </xdr:to>
    <xdr:sp macro="" textlink="">
      <xdr:nvSpPr>
        <xdr:cNvPr id="32" name="Line 1330"/>
        <xdr:cNvSpPr>
          <a:spLocks noChangeShapeType="1"/>
        </xdr:cNvSpPr>
      </xdr:nvSpPr>
      <xdr:spPr bwMode="auto">
        <a:xfrm rot="5400000">
          <a:off x="7605907" y="1939168"/>
          <a:ext cx="0" cy="327907"/>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12</xdr:col>
      <xdr:colOff>106010</xdr:colOff>
      <xdr:row>5</xdr:row>
      <xdr:rowOff>1081406</xdr:rowOff>
    </xdr:from>
    <xdr:to>
      <xdr:col>12</xdr:col>
      <xdr:colOff>304447</xdr:colOff>
      <xdr:row>5</xdr:row>
      <xdr:rowOff>1250634</xdr:rowOff>
    </xdr:to>
    <xdr:sp macro="" textlink="">
      <xdr:nvSpPr>
        <xdr:cNvPr id="33" name="Text Box 1342"/>
        <xdr:cNvSpPr txBox="1">
          <a:spLocks noChangeArrowheads="1"/>
        </xdr:cNvSpPr>
      </xdr:nvSpPr>
      <xdr:spPr bwMode="auto">
        <a:xfrm>
          <a:off x="7558370" y="1919606"/>
          <a:ext cx="198437" cy="1692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5</a:t>
          </a:r>
        </a:p>
      </xdr:txBody>
    </xdr:sp>
    <xdr:clientData/>
  </xdr:twoCellAnchor>
  <xdr:twoCellAnchor editAs="absolute">
    <xdr:from>
      <xdr:col>13</xdr:col>
      <xdr:colOff>88389</xdr:colOff>
      <xdr:row>5</xdr:row>
      <xdr:rowOff>519056</xdr:rowOff>
    </xdr:from>
    <xdr:to>
      <xdr:col>14</xdr:col>
      <xdr:colOff>49106</xdr:colOff>
      <xdr:row>5</xdr:row>
      <xdr:rowOff>906781</xdr:rowOff>
    </xdr:to>
    <xdr:sp macro="" textlink="">
      <xdr:nvSpPr>
        <xdr:cNvPr id="34" name="Text Box 1384"/>
        <xdr:cNvSpPr txBox="1">
          <a:spLocks noChangeArrowheads="1"/>
        </xdr:cNvSpPr>
      </xdr:nvSpPr>
      <xdr:spPr bwMode="auto">
        <a:xfrm>
          <a:off x="8150349" y="1357256"/>
          <a:ext cx="669377" cy="3877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1000" b="1" i="0" u="none" strike="noStrike" baseline="0">
              <a:solidFill>
                <a:srgbClr val="000000"/>
              </a:solidFill>
              <a:latin typeface="Arial"/>
              <a:cs typeface="Arial"/>
            </a:rPr>
            <a:t>Burner air</a:t>
          </a:r>
        </a:p>
        <a:p>
          <a:pPr algn="ctr" rtl="0">
            <a:defRPr sz="1000"/>
          </a:pPr>
          <a:r>
            <a:rPr lang="en-US" sz="1000" b="1" i="0" u="none" strike="noStrike" baseline="0">
              <a:solidFill>
                <a:srgbClr val="000000"/>
              </a:solidFill>
              <a:latin typeface="Arial"/>
              <a:cs typeface="Arial"/>
            </a:rPr>
            <a:t>(25°C)</a:t>
          </a:r>
          <a:endParaRPr lang="en-US" baseline="0"/>
        </a:p>
      </xdr:txBody>
    </xdr:sp>
    <xdr:clientData/>
  </xdr:twoCellAnchor>
  <xdr:twoCellAnchor editAs="absolute">
    <xdr:from>
      <xdr:col>7</xdr:col>
      <xdr:colOff>509159</xdr:colOff>
      <xdr:row>5</xdr:row>
      <xdr:rowOff>783066</xdr:rowOff>
    </xdr:from>
    <xdr:to>
      <xdr:col>8</xdr:col>
      <xdr:colOff>16560</xdr:colOff>
      <xdr:row>5</xdr:row>
      <xdr:rowOff>1040167</xdr:rowOff>
    </xdr:to>
    <xdr:sp macro="" textlink="">
      <xdr:nvSpPr>
        <xdr:cNvPr id="35" name="Lightning Bolt 34"/>
        <xdr:cNvSpPr/>
      </xdr:nvSpPr>
      <xdr:spPr>
        <a:xfrm rot="17218768" flipV="1">
          <a:off x="4508189" y="1630356"/>
          <a:ext cx="257101" cy="238921"/>
        </a:xfrm>
        <a:prstGeom prst="lightningBolt">
          <a:avLst/>
        </a:prstGeom>
        <a:solidFill>
          <a:srgbClr val="FF0000"/>
        </a:solidFill>
        <a:ln w="952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7620</xdr:colOff>
      <xdr:row>0</xdr:row>
      <xdr:rowOff>63043</xdr:rowOff>
    </xdr:from>
    <xdr:ext cx="6457949" cy="666911"/>
    <xdr:sp macro="" textlink="">
      <xdr:nvSpPr>
        <xdr:cNvPr id="36" name="TextBox 35"/>
        <xdr:cNvSpPr txBox="1"/>
      </xdr:nvSpPr>
      <xdr:spPr>
        <a:xfrm>
          <a:off x="2529840" y="63043"/>
          <a:ext cx="6457949" cy="666911"/>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chorCtr="1">
          <a:noAutofit/>
        </a:bodyPr>
        <a:lstStyle/>
        <a:p>
          <a:pPr algn="ctr"/>
          <a:endParaRPr lang="en-US" sz="1600">
            <a:latin typeface="Arial" pitchFamily="34" charset="0"/>
            <a:cs typeface="Arial" pitchFamily="34" charset="0"/>
          </a:endParaRPr>
        </a:p>
        <a:p>
          <a:pPr algn="ctr"/>
          <a:r>
            <a:rPr lang="en-US" sz="1600" b="1">
              <a:solidFill>
                <a:schemeClr val="bg1"/>
              </a:solidFill>
              <a:latin typeface="Arial" pitchFamily="34" charset="0"/>
              <a:cs typeface="Arial" pitchFamily="34" charset="0"/>
            </a:rPr>
            <a:t>A System  Balance Calculator for an</a:t>
          </a:r>
          <a:r>
            <a:rPr lang="en-US" sz="1600" b="1" baseline="0">
              <a:solidFill>
                <a:schemeClr val="bg1"/>
              </a:solidFill>
              <a:latin typeface="Arial" pitchFamily="34" charset="0"/>
              <a:cs typeface="Arial" pitchFamily="34" charset="0"/>
            </a:rPr>
            <a:t> Aluminum Heating Process</a:t>
          </a:r>
          <a:endParaRPr lang="en-US" sz="1100" b="1">
            <a:latin typeface="Arial" pitchFamily="34" charset="0"/>
            <a:cs typeface="Arial" pitchFamily="34" charset="0"/>
          </a:endParaRPr>
        </a:p>
      </xdr:txBody>
    </xdr:sp>
    <xdr:clientData/>
  </xdr:oneCellAnchor>
  <xdr:oneCellAnchor>
    <xdr:from>
      <xdr:col>7</xdr:col>
      <xdr:colOff>59269</xdr:colOff>
      <xdr:row>0</xdr:row>
      <xdr:rowOff>160560</xdr:rowOff>
    </xdr:from>
    <xdr:ext cx="3445933" cy="275329"/>
    <xdr:sp macro="" textlink="">
      <xdr:nvSpPr>
        <xdr:cNvPr id="37" name="Rectangle 36"/>
        <xdr:cNvSpPr/>
      </xdr:nvSpPr>
      <xdr:spPr>
        <a:xfrm>
          <a:off x="4072469" y="160560"/>
          <a:ext cx="3445933" cy="275329"/>
        </a:xfrm>
        <a:prstGeom prst="rect">
          <a:avLst/>
        </a:prstGeom>
        <a:solidFill>
          <a:srgbClr val="D0CAFE"/>
        </a:solidFill>
        <a:ln>
          <a:solidFill>
            <a:schemeClr val="tx1"/>
          </a:solidFill>
        </a:ln>
      </xdr:spPr>
      <xdr:txBody>
        <a:bodyPr wrap="none" lIns="91440" tIns="45720" rIns="91440" bIns="45720" anchor="ctr">
          <a:noAutofit/>
        </a:bodyPr>
        <a:lstStyle/>
        <a:p>
          <a:pPr algn="ctr"/>
          <a:r>
            <a:rPr lang="en-US" sz="2400" b="1" cap="none" spc="0" baseline="0">
              <a:ln w="3175" cmpd="sng">
                <a:solidFill>
                  <a:srgbClr val="FFFFFF"/>
                </a:solidFill>
                <a:prstDash val="solid"/>
                <a:miter lim="800000"/>
              </a:ln>
              <a:solidFill>
                <a:srgbClr val="000000">
                  <a:tint val="92000"/>
                  <a:shade val="100000"/>
                  <a:satMod val="150000"/>
                </a:srgbClr>
              </a:solidFill>
              <a:effectLst>
                <a:outerShdw blurRad="50800" algn="tl" rotWithShape="0">
                  <a:srgbClr val="000000"/>
                </a:outerShdw>
              </a:effectLst>
            </a:rPr>
            <a:t>SysBalCalc-2:  Air Preheat</a:t>
          </a:r>
        </a:p>
      </xdr:txBody>
    </xdr:sp>
    <xdr:clientData/>
  </xdr:oneCellAnchor>
  <xdr:oneCellAnchor>
    <xdr:from>
      <xdr:col>0</xdr:col>
      <xdr:colOff>211667</xdr:colOff>
      <xdr:row>1</xdr:row>
      <xdr:rowOff>40639</xdr:rowOff>
    </xdr:from>
    <xdr:ext cx="1542258" cy="904615"/>
    <xdr:sp macro="" textlink="">
      <xdr:nvSpPr>
        <xdr:cNvPr id="38" name="TextBox 37"/>
        <xdr:cNvSpPr txBox="1"/>
      </xdr:nvSpPr>
      <xdr:spPr>
        <a:xfrm>
          <a:off x="211667" y="208279"/>
          <a:ext cx="1542258" cy="904615"/>
        </a:xfrm>
        <a:prstGeom prst="rect">
          <a:avLst/>
        </a:prstGeom>
        <a:solidFill>
          <a:schemeClr val="accent6">
            <a:lumMod val="5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solidFill>
                <a:schemeClr val="bg1"/>
              </a:solidFill>
              <a:latin typeface="Arial" pitchFamily="34" charset="0"/>
              <a:cs typeface="Arial" pitchFamily="34" charset="0"/>
            </a:rPr>
            <a:t>SysBalCalc is a </a:t>
          </a:r>
        </a:p>
        <a:p>
          <a:pPr algn="ctr"/>
          <a:r>
            <a:rPr lang="en-US" sz="1100" b="1">
              <a:solidFill>
                <a:schemeClr val="bg1"/>
              </a:solidFill>
              <a:latin typeface="Arial" pitchFamily="34" charset="0"/>
              <a:cs typeface="Arial" pitchFamily="34" charset="0"/>
            </a:rPr>
            <a:t>Thermart Software </a:t>
          </a:r>
        </a:p>
        <a:p>
          <a:pPr algn="ctr"/>
          <a:r>
            <a:rPr lang="en-US" sz="1100" b="1">
              <a:solidFill>
                <a:schemeClr val="bg1"/>
              </a:solidFill>
              <a:latin typeface="Arial" pitchFamily="34" charset="0"/>
              <a:cs typeface="Arial" pitchFamily="34" charset="0"/>
            </a:rPr>
            <a:t>program.   © 2012</a:t>
          </a:r>
        </a:p>
        <a:p>
          <a:pPr algn="ctr"/>
          <a:r>
            <a:rPr lang="en-US" sz="1100" b="1">
              <a:solidFill>
                <a:schemeClr val="bg1"/>
              </a:solidFill>
              <a:latin typeface="Arial" pitchFamily="34" charset="0"/>
              <a:cs typeface="Arial" pitchFamily="34" charset="0"/>
            </a:rPr>
            <a:t>by Arthur E. Morris.</a:t>
          </a:r>
        </a:p>
        <a:p>
          <a:pPr algn="ctr"/>
          <a:r>
            <a:rPr lang="en-US" sz="1100" b="1">
              <a:solidFill>
                <a:schemeClr val="bg1"/>
              </a:solidFill>
              <a:latin typeface="Arial" pitchFamily="34" charset="0"/>
              <a:cs typeface="Arial" pitchFamily="34" charset="0"/>
            </a:rPr>
            <a:t>www.thermart.net</a:t>
          </a:r>
        </a:p>
      </xdr:txBody>
    </xdr:sp>
    <xdr:clientData/>
  </xdr:oneCellAnchor>
  <xdr:oneCellAnchor>
    <xdr:from>
      <xdr:col>11</xdr:col>
      <xdr:colOff>513784</xdr:colOff>
      <xdr:row>32</xdr:row>
      <xdr:rowOff>1284</xdr:rowOff>
    </xdr:from>
    <xdr:ext cx="3526934" cy="243038"/>
    <xdr:sp macro="" textlink="">
      <xdr:nvSpPr>
        <xdr:cNvPr id="39" name="TextBox 38"/>
        <xdr:cNvSpPr txBox="1"/>
      </xdr:nvSpPr>
      <xdr:spPr>
        <a:xfrm>
          <a:off x="7354851" y="7426551"/>
          <a:ext cx="3526934" cy="243038"/>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algn="ctr"/>
          <a:r>
            <a:rPr lang="en-US" sz="1600"/>
            <a:t>Heat Balance for the </a:t>
          </a:r>
          <a:r>
            <a:rPr kumimoji="0" lang="en-US" sz="1600" b="0" i="0" u="none" strike="noStrike" kern="0" cap="none" spc="0" normalizeH="0" baseline="0" noProof="0">
              <a:ln>
                <a:noFill/>
              </a:ln>
              <a:solidFill>
                <a:prstClr val="black"/>
              </a:solidFill>
              <a:effectLst/>
              <a:uLnTx/>
              <a:uFillTx/>
              <a:latin typeface="+mn-lt"/>
              <a:ea typeface="+mn-ea"/>
              <a:cs typeface="+mn-cs"/>
            </a:rPr>
            <a:t>Burner--kJ/min</a:t>
          </a:r>
          <a:endParaRPr lang="en-US" sz="1400"/>
        </a:p>
      </xdr:txBody>
    </xdr:sp>
    <xdr:clientData/>
  </xdr:oneCellAnchor>
  <xdr:oneCellAnchor>
    <xdr:from>
      <xdr:col>2</xdr:col>
      <xdr:colOff>142875</xdr:colOff>
      <xdr:row>71</xdr:row>
      <xdr:rowOff>136757</xdr:rowOff>
    </xdr:from>
    <xdr:ext cx="3819526" cy="243038"/>
    <xdr:sp macro="" textlink="">
      <xdr:nvSpPr>
        <xdr:cNvPr id="40" name="TextBox 39"/>
        <xdr:cNvSpPr txBox="1"/>
      </xdr:nvSpPr>
      <xdr:spPr>
        <a:xfrm>
          <a:off x="1362075" y="13441277"/>
          <a:ext cx="3819526" cy="243038"/>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algn="ctr"/>
          <a:r>
            <a:rPr lang="en-US" sz="1600"/>
            <a:t>Table 1.  Thermodynamic Data</a:t>
          </a:r>
          <a:endParaRPr lang="en-US" sz="1400"/>
        </a:p>
      </xdr:txBody>
    </xdr:sp>
    <xdr:clientData/>
  </xdr:oneCellAnchor>
  <xdr:oneCellAnchor>
    <xdr:from>
      <xdr:col>0</xdr:col>
      <xdr:colOff>400050</xdr:colOff>
      <xdr:row>33</xdr:row>
      <xdr:rowOff>354</xdr:rowOff>
    </xdr:from>
    <xdr:ext cx="6686550" cy="6502046"/>
    <xdr:sp macro="" textlink="">
      <xdr:nvSpPr>
        <xdr:cNvPr id="41" name="TextBox 40"/>
        <xdr:cNvSpPr txBox="1"/>
      </xdr:nvSpPr>
      <xdr:spPr>
        <a:xfrm>
          <a:off x="400050" y="7628821"/>
          <a:ext cx="6686550" cy="6502046"/>
        </a:xfrm>
        <a:prstGeom prst="rect">
          <a:avLst/>
        </a:prstGeom>
        <a:solidFill>
          <a:srgbClr val="FBCBA3"/>
        </a:solidFill>
        <a:ln w="9525"/>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400"/>
            <a:t>Constructing</a:t>
          </a:r>
          <a:r>
            <a:rPr lang="en-US" sz="1400" baseline="0"/>
            <a:t> a System Balance for Preheated Combustion Air</a:t>
          </a:r>
        </a:p>
        <a:p>
          <a:pPr algn="l"/>
          <a:r>
            <a:rPr lang="en-US" sz="1300" baseline="0"/>
            <a:t>Note: before starting, you may want to review previous workbooks and articles in this series.  </a:t>
          </a:r>
        </a:p>
        <a:p>
          <a:r>
            <a:rPr lang="en-US" sz="1100" baseline="0"/>
            <a:t>1.  Look at </a:t>
          </a:r>
          <a:r>
            <a:rPr kumimoji="0" lang="en-US" sz="1100" b="0" i="0" u="none" strike="noStrike" kern="0" cap="none" spc="0" normalizeH="0" baseline="0" noProof="0">
              <a:ln>
                <a:noFill/>
              </a:ln>
              <a:solidFill>
                <a:prstClr val="black"/>
              </a:solidFill>
              <a:effectLst/>
              <a:uLnTx/>
              <a:uFillTx/>
              <a:latin typeface="+mn-lt"/>
              <a:ea typeface="+mn-ea"/>
              <a:cs typeface="+mn-cs"/>
            </a:rPr>
            <a:t>worksheet </a:t>
          </a:r>
          <a:r>
            <a:rPr lang="en-US" sz="1100" u="sng" baseline="0">
              <a:solidFill>
                <a:schemeClr val="dk1"/>
              </a:solidFill>
              <a:effectLst/>
              <a:latin typeface="+mn-lt"/>
              <a:ea typeface="+mn-ea"/>
              <a:cs typeface="+mn-cs"/>
            </a:rPr>
            <a:t>OxyEnrich</a:t>
          </a:r>
          <a:r>
            <a:rPr lang="en-US" sz="1100" baseline="0">
              <a:solidFill>
                <a:schemeClr val="dk1"/>
              </a:solidFill>
              <a:effectLst/>
              <a:latin typeface="+mn-lt"/>
              <a:ea typeface="+mn-ea"/>
              <a:cs typeface="+mn-cs"/>
            </a:rPr>
            <a:t> </a:t>
          </a:r>
          <a:r>
            <a:rPr lang="en-US" sz="1100" baseline="0"/>
            <a:t> to review the process basis case.  This is for heating 800 kg of Al/min using 32 m</a:t>
          </a:r>
          <a:r>
            <a:rPr lang="en-US" sz="1100" baseline="30000"/>
            <a:t>3</a:t>
          </a:r>
          <a:r>
            <a:rPr lang="en-US" sz="1100" baseline="0"/>
            <a:t>/min of natural gas and 18% excess air, with a leak air flow of 8 m</a:t>
          </a:r>
          <a:r>
            <a:rPr lang="en-US" sz="1100" baseline="30000"/>
            <a:t>3</a:t>
          </a:r>
          <a:r>
            <a:rPr lang="en-US" sz="1100" baseline="0"/>
            <a:t>/min.  All instreams are initially at 25°C and 1 atm pressure.  Please make an archive copy of this worksheet so you can easily refer to the basis case conditions.  </a:t>
          </a:r>
        </a:p>
        <a:p>
          <a:r>
            <a:rPr lang="en-US" sz="1100" baseline="0"/>
            <a:t>2.  Review prior workbooks to understand the source of heat content and heat of combustion data displayed in Table 1.  </a:t>
          </a:r>
        </a:p>
        <a:p>
          <a:r>
            <a:rPr lang="en-US" sz="1100" baseline="0"/>
            <a:t>3.  </a:t>
          </a:r>
          <a:r>
            <a:rPr lang="en-US" sz="1100" baseline="0">
              <a:solidFill>
                <a:schemeClr val="dk1"/>
              </a:solidFill>
              <a:effectLst/>
              <a:latin typeface="+mn-lt"/>
              <a:ea typeface="+mn-ea"/>
              <a:cs typeface="+mn-cs"/>
            </a:rPr>
            <a:t>The objective of this example is to explore the effect of preheating combustion air. </a:t>
          </a:r>
          <a:r>
            <a:rPr lang="en-US" sz="1100" baseline="0"/>
            <a:t>This reqires the installation of a heat exchanger in streams 1/1" and 4/4'.  The heat exchanger transfers heat from the furnace stack gas to the combustion air.   Note that some cells contain informative comments (red triangle in the upper right corner).  </a:t>
          </a:r>
        </a:p>
        <a:p>
          <a:r>
            <a:rPr lang="en-US" sz="1100" baseline="0"/>
            <a:t>4.  Examine the system balance equation set for the overall process, the burner, and the heat exchanger, and note the values in cells Q31, Q43, and R55.  These values must be within ±200 kJ of zero for adequate closure of the system balance.  </a:t>
          </a:r>
          <a:r>
            <a:rPr lang="en-US" sz="1100" i="1" baseline="0"/>
            <a:t>For a basis case of no combustion air preheat</a:t>
          </a:r>
          <a:r>
            <a:rPr lang="en-US" sz="1100" baseline="0"/>
            <a:t>, cell E11 is 25°C.  With a heat exchanger in  the stack gas flue, but no heat transferred to the combustion air, the  heat loss from the heat exchanger to the surroundings causes a drop in flue gas temperature of 100°, to 700°C (cell R11).  </a:t>
          </a:r>
        </a:p>
        <a:p>
          <a:r>
            <a:rPr lang="en-US" sz="1100" baseline="0"/>
            <a:t>5.  The first calculation is the heat loss for the heat exchanger at the basis case (i.e., with the heat exchanger in place but no air preheat; stream 1 flow is zero).  A heat balance around the heat exchanger (cell range Q49-Q53) shows that the HX heat loss (cell Q54) must be 60,156 kJ.min to give a closed heat balance, as indicated by the zero value in cell Q55.  This value is entered in cell S16.  </a:t>
          </a:r>
        </a:p>
        <a:p>
          <a:r>
            <a:rPr lang="en-US" sz="1100" baseline="0"/>
            <a:t>6.  Values of selected variables for air preheat are displayed in cells K12, R12, and Q35 (red-shaded cells with dash-line borders).   For no air preheat, these values are the same as the basis case values.  With air preheat, these values must change in order to obtain a closed heat balance.  </a:t>
          </a:r>
        </a:p>
        <a:p>
          <a:r>
            <a:rPr lang="en-US" sz="1100" baseline="0"/>
            <a:t>7.  The heat loss from the HX is assumed to vary linearly with the change in stack gas temperature, hence the formula in cell S17.  The HX heat balance formulae for the air preheat condition (cell range R49:R54) are written in terms of the cooled stack gas temperature, cell R12.  The air preheat condition heat loss (cell R55) is set equal to the value in cell S17.  The system balance is now correctly set up for exploring the effect of preheating the combustion air.  </a:t>
          </a:r>
        </a:p>
        <a:p>
          <a:r>
            <a:rPr lang="en-US" sz="1100" baseline="0">
              <a:solidFill>
                <a:schemeClr val="dk1"/>
              </a:solidFill>
              <a:effectLst/>
              <a:latin typeface="+mn-lt"/>
              <a:ea typeface="+mn-ea"/>
              <a:cs typeface="+mn-cs"/>
            </a:rPr>
            <a:t>8.  Enter an air preheat temperature in cell E11, such as 100.  The heat brought in by the warm combustion air means that the heat balances around the system and the burner no longer close, and the HX heat loss (cell S17) is wrong.   We obtain correct system balance values by using Excel's Solver tool to vary the values in cells K12, R12, and Q35 to give zero values in cells  Q31, Q43, and R55.  Please see the Solver dialog box , which will appear filled in with the correct entries.  Opening Solver loads the scenario, so all you have to do is click </a:t>
          </a:r>
          <a:r>
            <a:rPr lang="en-US" sz="1100" b="1" baseline="0">
              <a:solidFill>
                <a:schemeClr val="dk1"/>
              </a:solidFill>
              <a:effectLst/>
              <a:latin typeface="+mn-lt"/>
              <a:ea typeface="+mn-ea"/>
              <a:cs typeface="+mn-cs"/>
            </a:rPr>
            <a:t>Solve</a:t>
          </a:r>
          <a:r>
            <a:rPr lang="en-US" sz="1100" baseline="0">
              <a:solidFill>
                <a:schemeClr val="dk1"/>
              </a:solidFill>
              <a:effectLst/>
              <a:latin typeface="+mn-lt"/>
              <a:ea typeface="+mn-ea"/>
              <a:cs typeface="+mn-cs"/>
            </a:rPr>
            <a:t>.  </a:t>
          </a:r>
        </a:p>
        <a:p>
          <a:r>
            <a:rPr lang="en-US" sz="1100" baseline="0"/>
            <a:t>9.  The results at an air preheat temperature of 100°C are shown in column V of Table 2.</a:t>
          </a:r>
        </a:p>
        <a:p>
          <a:r>
            <a:rPr lang="en-US" sz="1100" baseline="0"/>
            <a:t>10.  Repeat the calculations over a range of air preheat temperatures, and enter the results in Table 2.  Chart the results of any of the variables of interest.  </a:t>
          </a:r>
        </a:p>
        <a:p>
          <a:r>
            <a:rPr lang="en-US" sz="1100" baseline="0"/>
            <a:t>11.  Challenge:  see if you can write formulae to calculate the flows of streams 1 and 1' for different air p-heat temps.  </a:t>
          </a:r>
        </a:p>
      </xdr:txBody>
    </xdr:sp>
    <xdr:clientData/>
  </xdr:oneCellAnchor>
  <xdr:twoCellAnchor>
    <xdr:from>
      <xdr:col>13</xdr:col>
      <xdr:colOff>598381</xdr:colOff>
      <xdr:row>5</xdr:row>
      <xdr:rowOff>759248</xdr:rowOff>
    </xdr:from>
    <xdr:to>
      <xdr:col>16</xdr:col>
      <xdr:colOff>601133</xdr:colOff>
      <xdr:row>5</xdr:row>
      <xdr:rowOff>1425999</xdr:rowOff>
    </xdr:to>
    <xdr:sp macro="" textlink="">
      <xdr:nvSpPr>
        <xdr:cNvPr id="42" name="Left Arrow Callout 41"/>
        <xdr:cNvSpPr/>
      </xdr:nvSpPr>
      <xdr:spPr>
        <a:xfrm>
          <a:off x="8658648" y="1605915"/>
          <a:ext cx="1645285" cy="666751"/>
        </a:xfrm>
        <a:prstGeom prst="leftArrowCallout">
          <a:avLst>
            <a:gd name="adj1" fmla="val 19118"/>
            <a:gd name="adj2" fmla="val 19117"/>
            <a:gd name="adj3" fmla="val 32843"/>
            <a:gd name="adj4" fmla="val 68135"/>
          </a:avLst>
        </a:prstGeom>
        <a:solidFill>
          <a:schemeClr val="bg1">
            <a:lumMod val="9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aseline="0">
              <a:solidFill>
                <a:schemeClr val="tx1"/>
              </a:solidFill>
              <a:latin typeface="Arial" pitchFamily="34" charset="0"/>
              <a:cs typeface="Arial" pitchFamily="34" charset="0"/>
            </a:rPr>
            <a:t>Basis case (zero preheat) stream values.  Flows are actual.</a:t>
          </a:r>
        </a:p>
      </xdr:txBody>
    </xdr:sp>
    <xdr:clientData/>
  </xdr:twoCellAnchor>
  <mc:AlternateContent xmlns:mc="http://schemas.openxmlformats.org/markup-compatibility/2006">
    <mc:Choice xmlns:a14="http://schemas.microsoft.com/office/drawing/2010/main" Requires="a14">
      <xdr:twoCellAnchor editAs="oneCell">
        <xdr:from>
          <xdr:col>16</xdr:col>
          <xdr:colOff>243840</xdr:colOff>
          <xdr:row>3</xdr:row>
          <xdr:rowOff>22860</xdr:rowOff>
        </xdr:from>
        <xdr:to>
          <xdr:col>17</xdr:col>
          <xdr:colOff>434340</xdr:colOff>
          <xdr:row>5</xdr:row>
          <xdr:rowOff>457200</xdr:rowOff>
        </xdr:to>
        <xdr:sp macro="" textlink="">
          <xdr:nvSpPr>
            <xdr:cNvPr id="4097" name="Object 1" hidden="1">
              <a:extLst>
                <a:ext uri="{63B3BB69-23CF-44E3-9099-C40C66FF867C}">
                  <a14:compatExt spid="_x0000_s4097"/>
                </a:ext>
              </a:extLst>
            </xdr:cNvPr>
            <xdr:cNvSpPr/>
          </xdr:nvSpPr>
          <xdr:spPr>
            <a:xfrm>
              <a:off x="0" y="0"/>
              <a:ext cx="0" cy="0"/>
            </a:xfrm>
            <a:prstGeom prst="rect">
              <a:avLst/>
            </a:prstGeom>
          </xdr:spPr>
        </xdr:sp>
        <xdr:clientData/>
      </xdr:twoCellAnchor>
    </mc:Choice>
    <mc:Fallback/>
  </mc:AlternateContent>
  <xdr:twoCellAnchor>
    <xdr:from>
      <xdr:col>11</xdr:col>
      <xdr:colOff>274320</xdr:colOff>
      <xdr:row>5</xdr:row>
      <xdr:rowOff>373380</xdr:rowOff>
    </xdr:from>
    <xdr:to>
      <xdr:col>12</xdr:col>
      <xdr:colOff>381000</xdr:colOff>
      <xdr:row>5</xdr:row>
      <xdr:rowOff>769620</xdr:rowOff>
    </xdr:to>
    <xdr:sp macro="" textlink="">
      <xdr:nvSpPr>
        <xdr:cNvPr id="45" name="Rectangle 44"/>
        <xdr:cNvSpPr/>
      </xdr:nvSpPr>
      <xdr:spPr>
        <a:xfrm rot="5400000">
          <a:off x="7277100" y="1051560"/>
          <a:ext cx="396240" cy="716280"/>
        </a:xfrm>
        <a:prstGeom prst="rect">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16200000" scaled="1"/>
          <a:tileRect/>
        </a:gra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374527</xdr:colOff>
      <xdr:row>5</xdr:row>
      <xdr:rowOff>759974</xdr:rowOff>
    </xdr:from>
    <xdr:to>
      <xdr:col>11</xdr:col>
      <xdr:colOff>374527</xdr:colOff>
      <xdr:row>5</xdr:row>
      <xdr:rowOff>1087881</xdr:rowOff>
    </xdr:to>
    <xdr:sp macro="" textlink="">
      <xdr:nvSpPr>
        <xdr:cNvPr id="46" name="Line 1330"/>
        <xdr:cNvSpPr>
          <a:spLocks noChangeShapeType="1"/>
        </xdr:cNvSpPr>
      </xdr:nvSpPr>
      <xdr:spPr bwMode="auto">
        <a:xfrm rot="10800000">
          <a:off x="7217287" y="1598174"/>
          <a:ext cx="0" cy="327907"/>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12</xdr:col>
      <xdr:colOff>376096</xdr:colOff>
      <xdr:row>5</xdr:row>
      <xdr:rowOff>446463</xdr:rowOff>
    </xdr:from>
    <xdr:to>
      <xdr:col>13</xdr:col>
      <xdr:colOff>123154</xdr:colOff>
      <xdr:row>5</xdr:row>
      <xdr:rowOff>446463</xdr:rowOff>
    </xdr:to>
    <xdr:sp macro="" textlink="">
      <xdr:nvSpPr>
        <xdr:cNvPr id="47" name="Line 1382"/>
        <xdr:cNvSpPr>
          <a:spLocks noChangeShapeType="1"/>
        </xdr:cNvSpPr>
      </xdr:nvSpPr>
      <xdr:spPr bwMode="auto">
        <a:xfrm>
          <a:off x="7828456" y="1284663"/>
          <a:ext cx="356658"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12</xdr:col>
      <xdr:colOff>370594</xdr:colOff>
      <xdr:row>5</xdr:row>
      <xdr:rowOff>670563</xdr:rowOff>
    </xdr:from>
    <xdr:to>
      <xdr:col>13</xdr:col>
      <xdr:colOff>68580</xdr:colOff>
      <xdr:row>5</xdr:row>
      <xdr:rowOff>670563</xdr:rowOff>
    </xdr:to>
    <xdr:sp macro="" textlink="">
      <xdr:nvSpPr>
        <xdr:cNvPr id="48" name="Line 1330"/>
        <xdr:cNvSpPr>
          <a:spLocks noChangeShapeType="1"/>
        </xdr:cNvSpPr>
      </xdr:nvSpPr>
      <xdr:spPr bwMode="auto">
        <a:xfrm rot="5400000">
          <a:off x="7976747" y="1354970"/>
          <a:ext cx="0" cy="307586"/>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4</xdr:col>
      <xdr:colOff>614120</xdr:colOff>
      <xdr:row>5</xdr:row>
      <xdr:rowOff>463742</xdr:rowOff>
    </xdr:from>
    <xdr:to>
      <xdr:col>7</xdr:col>
      <xdr:colOff>125379</xdr:colOff>
      <xdr:row>5</xdr:row>
      <xdr:rowOff>1171014</xdr:rowOff>
    </xdr:to>
    <xdr:sp macro="" textlink="">
      <xdr:nvSpPr>
        <xdr:cNvPr id="50" name="Text Box 1384"/>
        <xdr:cNvSpPr txBox="1">
          <a:spLocks noChangeArrowheads="1"/>
        </xdr:cNvSpPr>
      </xdr:nvSpPr>
      <xdr:spPr bwMode="auto">
        <a:xfrm>
          <a:off x="3135647" y="1295015"/>
          <a:ext cx="1000623" cy="707272"/>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1000" b="1" i="0" u="none" strike="noStrike" baseline="0">
              <a:solidFill>
                <a:srgbClr val="000000"/>
              </a:solidFill>
              <a:latin typeface="Arial"/>
              <a:cs typeface="Arial"/>
            </a:rPr>
            <a:t>Heated</a:t>
          </a:r>
        </a:p>
        <a:p>
          <a:pPr algn="ctr" rtl="0">
            <a:defRPr sz="1000"/>
          </a:pPr>
          <a:r>
            <a:rPr lang="en-US" sz="1000" b="1" i="0" u="none" strike="noStrike" baseline="0">
              <a:solidFill>
                <a:srgbClr val="000000"/>
              </a:solidFill>
              <a:latin typeface="Arial"/>
              <a:cs typeface="Arial"/>
            </a:rPr>
            <a:t>Burner air</a:t>
          </a:r>
        </a:p>
        <a:p>
          <a:pPr algn="ctr" rtl="0">
            <a:defRPr sz="1000"/>
          </a:pPr>
          <a:r>
            <a:rPr lang="en-US" sz="1000" b="1" i="0" u="none" strike="noStrike" baseline="0">
              <a:solidFill>
                <a:srgbClr val="000000"/>
              </a:solidFill>
              <a:latin typeface="Arial"/>
              <a:cs typeface="Arial"/>
            </a:rPr>
            <a:t>118% stoich</a:t>
          </a:r>
        </a:p>
        <a:p>
          <a:pPr algn="ctr" rtl="0">
            <a:defRPr sz="1000"/>
          </a:pPr>
          <a:r>
            <a:rPr lang="en-US" sz="1000" b="1" i="0" u="none" strike="noStrike" baseline="0">
              <a:solidFill>
                <a:srgbClr val="000000"/>
              </a:solidFill>
              <a:latin typeface="Arial"/>
              <a:cs typeface="Arial"/>
            </a:rPr>
            <a:t>(360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25°C)</a:t>
          </a:r>
        </a:p>
      </xdr:txBody>
    </xdr:sp>
    <xdr:clientData/>
  </xdr:twoCellAnchor>
  <xdr:twoCellAnchor editAs="absolute">
    <xdr:from>
      <xdr:col>11</xdr:col>
      <xdr:colOff>284408</xdr:colOff>
      <xdr:row>5</xdr:row>
      <xdr:rowOff>461174</xdr:rowOff>
    </xdr:from>
    <xdr:to>
      <xdr:col>12</xdr:col>
      <xdr:colOff>371474</xdr:colOff>
      <xdr:row>5</xdr:row>
      <xdr:rowOff>676746</xdr:rowOff>
    </xdr:to>
    <xdr:sp macro="" textlink="">
      <xdr:nvSpPr>
        <xdr:cNvPr id="51" name="Text Box 1385"/>
        <xdr:cNvSpPr txBox="1">
          <a:spLocks noChangeArrowheads="1"/>
        </xdr:cNvSpPr>
      </xdr:nvSpPr>
      <xdr:spPr bwMode="auto">
        <a:xfrm>
          <a:off x="7127168" y="1299374"/>
          <a:ext cx="696666" cy="215572"/>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27432" bIns="0" anchor="ctr" upright="1">
          <a:spAutoFit/>
        </a:bodyPr>
        <a:lstStyle/>
        <a:p>
          <a:pPr algn="ctr" rtl="0">
            <a:defRPr sz="1000"/>
          </a:pPr>
          <a:r>
            <a:rPr lang="en-US" sz="1200" b="1" i="0" u="none" strike="noStrike" baseline="0">
              <a:solidFill>
                <a:srgbClr val="000000"/>
              </a:solidFill>
              <a:latin typeface="Arial"/>
              <a:cs typeface="Arial"/>
            </a:rPr>
            <a:t>Ht Xchgr</a:t>
          </a:r>
          <a:endParaRPr lang="en-US"/>
        </a:p>
      </xdr:txBody>
    </xdr:sp>
    <xdr:clientData/>
  </xdr:twoCellAnchor>
  <xdr:oneCellAnchor>
    <xdr:from>
      <xdr:col>11</xdr:col>
      <xdr:colOff>543076</xdr:colOff>
      <xdr:row>45</xdr:row>
      <xdr:rowOff>24266</xdr:rowOff>
    </xdr:from>
    <xdr:ext cx="3744686" cy="243039"/>
    <xdr:sp macro="" textlink="">
      <xdr:nvSpPr>
        <xdr:cNvPr id="52" name="TextBox 51"/>
        <xdr:cNvSpPr txBox="1"/>
      </xdr:nvSpPr>
      <xdr:spPr>
        <a:xfrm>
          <a:off x="7384143" y="9854066"/>
          <a:ext cx="3744686" cy="243039"/>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algn="ctr"/>
          <a:r>
            <a:rPr lang="en-US" sz="1600"/>
            <a:t>Heat Balance for the </a:t>
          </a:r>
          <a:r>
            <a:rPr kumimoji="0" lang="en-US" sz="1600" b="0" i="0" u="none" strike="noStrike" kern="0" cap="none" spc="0" normalizeH="0" baseline="0" noProof="0">
              <a:ln>
                <a:noFill/>
              </a:ln>
              <a:solidFill>
                <a:prstClr val="black"/>
              </a:solidFill>
              <a:effectLst/>
              <a:uLnTx/>
              <a:uFillTx/>
              <a:latin typeface="+mn-lt"/>
              <a:ea typeface="+mn-ea"/>
              <a:cs typeface="+mn-cs"/>
            </a:rPr>
            <a:t>Heat Xchngr--kJ/min</a:t>
          </a:r>
          <a:endParaRPr lang="en-US" sz="1400"/>
        </a:p>
      </xdr:txBody>
    </xdr:sp>
    <xdr:clientData/>
  </xdr:oneCellAnchor>
  <xdr:twoCellAnchor editAs="absolute">
    <xdr:from>
      <xdr:col>11</xdr:col>
      <xdr:colOff>371475</xdr:colOff>
      <xdr:row>5</xdr:row>
      <xdr:rowOff>828675</xdr:rowOff>
    </xdr:from>
    <xdr:to>
      <xdr:col>11</xdr:col>
      <xdr:colOff>569912</xdr:colOff>
      <xdr:row>5</xdr:row>
      <xdr:rowOff>997903</xdr:rowOff>
    </xdr:to>
    <xdr:sp macro="" textlink="">
      <xdr:nvSpPr>
        <xdr:cNvPr id="53" name="Text Box 1342"/>
        <xdr:cNvSpPr txBox="1">
          <a:spLocks noChangeArrowheads="1"/>
        </xdr:cNvSpPr>
      </xdr:nvSpPr>
      <xdr:spPr bwMode="auto">
        <a:xfrm>
          <a:off x="7214235" y="1666875"/>
          <a:ext cx="198437" cy="1692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4</a:t>
          </a:r>
        </a:p>
      </xdr:txBody>
    </xdr:sp>
    <xdr:clientData/>
  </xdr:twoCellAnchor>
  <xdr:twoCellAnchor editAs="absolute">
    <xdr:from>
      <xdr:col>12</xdr:col>
      <xdr:colOff>447675</xdr:colOff>
      <xdr:row>5</xdr:row>
      <xdr:rowOff>495300</xdr:rowOff>
    </xdr:from>
    <xdr:to>
      <xdr:col>13</xdr:col>
      <xdr:colOff>36512</xdr:colOff>
      <xdr:row>5</xdr:row>
      <xdr:rowOff>664528</xdr:rowOff>
    </xdr:to>
    <xdr:sp macro="" textlink="">
      <xdr:nvSpPr>
        <xdr:cNvPr id="54" name="Text Box 1342"/>
        <xdr:cNvSpPr txBox="1">
          <a:spLocks noChangeArrowheads="1"/>
        </xdr:cNvSpPr>
      </xdr:nvSpPr>
      <xdr:spPr bwMode="auto">
        <a:xfrm>
          <a:off x="7900035" y="1333500"/>
          <a:ext cx="198437" cy="1692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1</a:t>
          </a:r>
        </a:p>
      </xdr:txBody>
    </xdr:sp>
    <xdr:clientData/>
  </xdr:twoCellAnchor>
  <xdr:twoCellAnchor editAs="absolute">
    <xdr:from>
      <xdr:col>12</xdr:col>
      <xdr:colOff>438150</xdr:colOff>
      <xdr:row>5</xdr:row>
      <xdr:rowOff>276225</xdr:rowOff>
    </xdr:from>
    <xdr:to>
      <xdr:col>13</xdr:col>
      <xdr:colOff>26987</xdr:colOff>
      <xdr:row>5</xdr:row>
      <xdr:rowOff>445453</xdr:rowOff>
    </xdr:to>
    <xdr:sp macro="" textlink="">
      <xdr:nvSpPr>
        <xdr:cNvPr id="55" name="Text Box 1342"/>
        <xdr:cNvSpPr txBox="1">
          <a:spLocks noChangeArrowheads="1"/>
        </xdr:cNvSpPr>
      </xdr:nvSpPr>
      <xdr:spPr bwMode="auto">
        <a:xfrm>
          <a:off x="7890510" y="1114425"/>
          <a:ext cx="198437" cy="1692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4'</a:t>
          </a:r>
        </a:p>
      </xdr:txBody>
    </xdr:sp>
    <xdr:clientData/>
  </xdr:twoCellAnchor>
  <xdr:twoCellAnchor editAs="absolute">
    <xdr:from>
      <xdr:col>11</xdr:col>
      <xdr:colOff>519614</xdr:colOff>
      <xdr:row>5</xdr:row>
      <xdr:rowOff>748209</xdr:rowOff>
    </xdr:from>
    <xdr:to>
      <xdr:col>13</xdr:col>
      <xdr:colOff>334223</xdr:colOff>
      <xdr:row>5</xdr:row>
      <xdr:rowOff>1075286</xdr:rowOff>
    </xdr:to>
    <xdr:sp macro="" textlink="">
      <xdr:nvSpPr>
        <xdr:cNvPr id="56" name="Text Box 1325"/>
        <xdr:cNvSpPr txBox="1">
          <a:spLocks noChangeArrowheads="1"/>
        </xdr:cNvSpPr>
      </xdr:nvSpPr>
      <xdr:spPr bwMode="auto">
        <a:xfrm>
          <a:off x="7362374" y="1586409"/>
          <a:ext cx="1033809" cy="32707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defRPr sz="1000"/>
          </a:pPr>
          <a:r>
            <a:rPr lang="en-US" sz="1000" b="1" i="0" u="none" strike="noStrike" baseline="0">
              <a:solidFill>
                <a:srgbClr val="000000"/>
              </a:solidFill>
              <a:latin typeface="Arial"/>
              <a:cs typeface="Arial"/>
            </a:rPr>
            <a:t>Stack gas</a:t>
          </a:r>
        </a:p>
        <a:p>
          <a:pPr algn="ctr" rtl="0">
            <a:defRPr sz="1000"/>
          </a:pPr>
          <a:r>
            <a:rPr lang="en-US" sz="1000" b="1" i="0" u="none" strike="noStrike" baseline="0">
              <a:solidFill>
                <a:srgbClr val="000000"/>
              </a:solidFill>
              <a:latin typeface="Arial"/>
              <a:cs typeface="Arial"/>
            </a:rPr>
            <a:t>(1440 m</a:t>
          </a:r>
          <a:r>
            <a:rPr lang="en-US" sz="1000" b="1" i="0" u="none" strike="noStrike" baseline="30000">
              <a:solidFill>
                <a:srgbClr val="000000"/>
              </a:solidFill>
              <a:latin typeface="Arial"/>
              <a:cs typeface="Arial"/>
            </a:rPr>
            <a:t>3</a:t>
          </a:r>
          <a:r>
            <a:rPr lang="en-US" sz="1000" b="1" i="0" u="none" strike="noStrike" baseline="0">
              <a:solidFill>
                <a:srgbClr val="000000"/>
              </a:solidFill>
              <a:latin typeface="Arial"/>
              <a:cs typeface="Arial"/>
            </a:rPr>
            <a:t>, 800°C)</a:t>
          </a:r>
          <a:endParaRPr lang="en-US"/>
        </a:p>
      </xdr:txBody>
    </xdr:sp>
    <xdr:clientData/>
  </xdr:twoCellAnchor>
  <xdr:twoCellAnchor editAs="absolute">
    <xdr:from>
      <xdr:col>7</xdr:col>
      <xdr:colOff>115244</xdr:colOff>
      <xdr:row>5</xdr:row>
      <xdr:rowOff>835024</xdr:rowOff>
    </xdr:from>
    <xdr:to>
      <xdr:col>7</xdr:col>
      <xdr:colOff>313681</xdr:colOff>
      <xdr:row>5</xdr:row>
      <xdr:rowOff>1003194</xdr:rowOff>
    </xdr:to>
    <xdr:sp macro="" textlink="">
      <xdr:nvSpPr>
        <xdr:cNvPr id="59" name="Text Box 1342"/>
        <xdr:cNvSpPr txBox="1">
          <a:spLocks noChangeArrowheads="1"/>
        </xdr:cNvSpPr>
      </xdr:nvSpPr>
      <xdr:spPr bwMode="auto">
        <a:xfrm>
          <a:off x="4126135" y="1666297"/>
          <a:ext cx="198437" cy="16817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1"</a:t>
          </a:r>
        </a:p>
      </xdr:txBody>
    </xdr:sp>
    <xdr:clientData/>
  </xdr:twoCellAnchor>
  <xdr:twoCellAnchor editAs="oneCell">
    <xdr:from>
      <xdr:col>21</xdr:col>
      <xdr:colOff>238125</xdr:colOff>
      <xdr:row>10</xdr:row>
      <xdr:rowOff>39462</xdr:rowOff>
    </xdr:from>
    <xdr:to>
      <xdr:col>28</xdr:col>
      <xdr:colOff>381423</xdr:colOff>
      <xdr:row>34</xdr:row>
      <xdr:rowOff>94347</xdr:rowOff>
    </xdr:to>
    <xdr:pic>
      <xdr:nvPicPr>
        <xdr:cNvPr id="57" name="Picture 56"/>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20675" y="3458937"/>
          <a:ext cx="4844415" cy="4426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17</xdr:col>
      <xdr:colOff>457349</xdr:colOff>
      <xdr:row>35</xdr:row>
      <xdr:rowOff>52841</xdr:rowOff>
    </xdr:from>
    <xdr:ext cx="5648175" cy="243039"/>
    <xdr:sp macro="" textlink="">
      <xdr:nvSpPr>
        <xdr:cNvPr id="58" name="TextBox 57"/>
        <xdr:cNvSpPr txBox="1"/>
      </xdr:nvSpPr>
      <xdr:spPr>
        <a:xfrm>
          <a:off x="10887224" y="8025266"/>
          <a:ext cx="5648175" cy="243039"/>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algn="ctr"/>
          <a:r>
            <a:rPr lang="en-US" sz="1600"/>
            <a:t>Table 2.  Effect</a:t>
          </a:r>
          <a:r>
            <a:rPr lang="en-US" sz="1600" baseline="0"/>
            <a:t> of Combustion Air Preheat on  Process Parameters</a:t>
          </a:r>
          <a:endParaRPr lang="en-US" sz="1400"/>
        </a:p>
      </xdr:txBody>
    </xdr:sp>
    <xdr:clientData/>
  </xdr:oneCellAnchor>
  <xdr:twoCellAnchor>
    <xdr:from>
      <xdr:col>17</xdr:col>
      <xdr:colOff>342900</xdr:colOff>
      <xdr:row>22</xdr:row>
      <xdr:rowOff>104774</xdr:rowOff>
    </xdr:from>
    <xdr:to>
      <xdr:col>20</xdr:col>
      <xdr:colOff>95250</xdr:colOff>
      <xdr:row>26</xdr:row>
      <xdr:rowOff>137160</xdr:rowOff>
    </xdr:to>
    <xdr:sp macro="" textlink="">
      <xdr:nvSpPr>
        <xdr:cNvPr id="44" name="Rounded Rectangular Callout 43"/>
        <xdr:cNvSpPr/>
      </xdr:nvSpPr>
      <xdr:spPr>
        <a:xfrm>
          <a:off x="10774680" y="5697854"/>
          <a:ext cx="1520190" cy="809626"/>
        </a:xfrm>
        <a:prstGeom prst="wedgeRoundRectCallout">
          <a:avLst>
            <a:gd name="adj1" fmla="val 99922"/>
            <a:gd name="adj2" fmla="val 29773"/>
            <a:gd name="adj3" fmla="val 16667"/>
          </a:avLst>
        </a:prstGeom>
        <a:solidFill>
          <a:srgbClr val="BDFFC8"/>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US" sz="1100">
              <a:solidFill>
                <a:schemeClr val="tx1"/>
              </a:solidFill>
            </a:rPr>
            <a:t>Solver dialog</a:t>
          </a:r>
          <a:r>
            <a:rPr lang="en-US" sz="1100" baseline="0">
              <a:solidFill>
                <a:schemeClr val="tx1"/>
              </a:solidFill>
            </a:rPr>
            <a:t> box for performing a system balance  for different air preheat temperatures.</a:t>
          </a:r>
          <a:endParaRPr lang="en-US" sz="1100">
            <a:solidFill>
              <a:schemeClr val="tx1"/>
            </a:solidFill>
          </a:endParaRPr>
        </a:p>
      </xdr:txBody>
    </xdr:sp>
    <xdr:clientData/>
  </xdr:twoCellAnchor>
  <xdr:twoCellAnchor>
    <xdr:from>
      <xdr:col>19</xdr:col>
      <xdr:colOff>85725</xdr:colOff>
      <xdr:row>44</xdr:row>
      <xdr:rowOff>142874</xdr:rowOff>
    </xdr:from>
    <xdr:to>
      <xdr:col>26</xdr:col>
      <xdr:colOff>581025</xdr:colOff>
      <xdr:row>64</xdr:row>
      <xdr:rowOff>38099</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264357</xdr:colOff>
      <xdr:row>5</xdr:row>
      <xdr:rowOff>408719</xdr:rowOff>
    </xdr:from>
    <xdr:to>
      <xdr:col>9</xdr:col>
      <xdr:colOff>597280</xdr:colOff>
      <xdr:row>5</xdr:row>
      <xdr:rowOff>645990</xdr:rowOff>
    </xdr:to>
    <xdr:grpSp>
      <xdr:nvGrpSpPr>
        <xdr:cNvPr id="43" name="Group 42"/>
        <xdr:cNvGrpSpPr/>
      </xdr:nvGrpSpPr>
      <xdr:grpSpPr>
        <a:xfrm>
          <a:off x="5615290" y="1255386"/>
          <a:ext cx="332923" cy="237271"/>
          <a:chOff x="5352251" y="1191279"/>
          <a:chExt cx="530051" cy="364253"/>
        </a:xfrm>
      </xdr:grpSpPr>
      <xdr:sp macro="" textlink="">
        <xdr:nvSpPr>
          <xdr:cNvPr id="60" name="Rectangle 59"/>
          <xdr:cNvSpPr/>
        </xdr:nvSpPr>
        <xdr:spPr>
          <a:xfrm>
            <a:off x="5352251" y="1199658"/>
            <a:ext cx="308149" cy="125771"/>
          </a:xfrm>
          <a:prstGeom prst="rect">
            <a:avLst/>
          </a:prstGeom>
          <a:solidFill>
            <a:schemeClr val="bg1">
              <a:lumMod val="75000"/>
            </a:schemeClr>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Flowchart: Connector 60"/>
          <xdr:cNvSpPr/>
        </xdr:nvSpPr>
        <xdr:spPr>
          <a:xfrm>
            <a:off x="5505488" y="1191279"/>
            <a:ext cx="376814" cy="364253"/>
          </a:xfrm>
          <a:prstGeom prst="flowChartConnector">
            <a:avLst/>
          </a:prstGeom>
          <a:solidFill>
            <a:schemeClr val="bg1">
              <a:lumMod val="7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Flowchart: Connector 61"/>
          <xdr:cNvSpPr/>
        </xdr:nvSpPr>
        <xdr:spPr>
          <a:xfrm>
            <a:off x="5614847" y="1295721"/>
            <a:ext cx="162783" cy="159656"/>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Sun 62"/>
          <xdr:cNvSpPr/>
        </xdr:nvSpPr>
        <xdr:spPr>
          <a:xfrm>
            <a:off x="5635865" y="1306183"/>
            <a:ext cx="129205" cy="148827"/>
          </a:xfrm>
          <a:prstGeom prst="sun">
            <a:avLst>
              <a:gd name="adj" fmla="val 44167"/>
            </a:avLst>
          </a:prstGeom>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9</xdr:col>
      <xdr:colOff>472401</xdr:colOff>
      <xdr:row>5</xdr:row>
      <xdr:rowOff>218080</xdr:rowOff>
    </xdr:from>
    <xdr:to>
      <xdr:col>9</xdr:col>
      <xdr:colOff>672664</xdr:colOff>
      <xdr:row>5</xdr:row>
      <xdr:rowOff>387308</xdr:rowOff>
    </xdr:to>
    <xdr:sp macro="" textlink="">
      <xdr:nvSpPr>
        <xdr:cNvPr id="68" name="Text Box 1342"/>
        <xdr:cNvSpPr txBox="1">
          <a:spLocks noChangeArrowheads="1"/>
        </xdr:cNvSpPr>
      </xdr:nvSpPr>
      <xdr:spPr bwMode="auto">
        <a:xfrm>
          <a:off x="5821641" y="1056280"/>
          <a:ext cx="200263" cy="16922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1'</a:t>
          </a:r>
        </a:p>
      </xdr:txBody>
    </xdr:sp>
    <xdr:clientData/>
  </xdr:twoCellAnchor>
  <xdr:twoCellAnchor editAs="absolute">
    <xdr:from>
      <xdr:col>11</xdr:col>
      <xdr:colOff>307407</xdr:colOff>
      <xdr:row>5</xdr:row>
      <xdr:rowOff>203148</xdr:rowOff>
    </xdr:from>
    <xdr:to>
      <xdr:col>11</xdr:col>
      <xdr:colOff>550010</xdr:colOff>
      <xdr:row>5</xdr:row>
      <xdr:rowOff>456094</xdr:rowOff>
    </xdr:to>
    <xdr:sp macro="" textlink="">
      <xdr:nvSpPr>
        <xdr:cNvPr id="69" name="Lightning Bolt 68"/>
        <xdr:cNvSpPr/>
      </xdr:nvSpPr>
      <xdr:spPr>
        <a:xfrm rot="16940656" flipV="1">
          <a:off x="7151110" y="1052451"/>
          <a:ext cx="252946" cy="242603"/>
        </a:xfrm>
        <a:prstGeom prst="lightningBolt">
          <a:avLst/>
        </a:prstGeom>
        <a:solidFill>
          <a:srgbClr val="FF0000"/>
        </a:solidFill>
        <a:ln w="952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423528</xdr:colOff>
      <xdr:row>5</xdr:row>
      <xdr:rowOff>95058</xdr:rowOff>
    </xdr:from>
    <xdr:to>
      <xdr:col>11</xdr:col>
      <xdr:colOff>366451</xdr:colOff>
      <xdr:row>5</xdr:row>
      <xdr:rowOff>420019</xdr:rowOff>
    </xdr:to>
    <xdr:sp macro="" textlink="">
      <xdr:nvSpPr>
        <xdr:cNvPr id="70" name="Text Box 1399"/>
        <xdr:cNvSpPr txBox="1">
          <a:spLocks noChangeArrowheads="1"/>
        </xdr:cNvSpPr>
      </xdr:nvSpPr>
      <xdr:spPr bwMode="auto">
        <a:xfrm>
          <a:off x="6519528" y="933258"/>
          <a:ext cx="689683" cy="32496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18288" tIns="22860" rIns="18288" bIns="0" anchor="t" upright="1">
          <a:spAutoFit/>
        </a:bodyPr>
        <a:lstStyle/>
        <a:p>
          <a:pPr algn="ctr" rtl="0">
            <a:defRPr sz="1000"/>
          </a:pPr>
          <a:r>
            <a:rPr lang="en-US" sz="1000" b="1" i="0" u="none" strike="noStrike" baseline="0">
              <a:solidFill>
                <a:srgbClr val="000000"/>
              </a:solidFill>
              <a:latin typeface="Arial"/>
              <a:cs typeface="Arial"/>
            </a:rPr>
            <a:t>Heat loss</a:t>
          </a:r>
        </a:p>
        <a:p>
          <a:pPr algn="ctr" rtl="0">
            <a:defRPr sz="1000"/>
          </a:pPr>
          <a:r>
            <a:rPr lang="en-US" sz="1000" b="1" i="0" u="none" strike="noStrike" baseline="0">
              <a:solidFill>
                <a:srgbClr val="000000"/>
              </a:solidFill>
              <a:latin typeface="Arial"/>
              <a:cs typeface="Arial"/>
            </a:rPr>
            <a:t>(? kJ)</a:t>
          </a:r>
          <a:endParaRPr lang="en-US"/>
        </a:p>
      </xdr:txBody>
    </xdr:sp>
    <xdr:clientData/>
  </xdr:twoCellAnchor>
  <xdr:twoCellAnchor>
    <xdr:from>
      <xdr:col>9</xdr:col>
      <xdr:colOff>523647</xdr:colOff>
      <xdr:row>5</xdr:row>
      <xdr:rowOff>525779</xdr:rowOff>
    </xdr:from>
    <xdr:to>
      <xdr:col>11</xdr:col>
      <xdr:colOff>284017</xdr:colOff>
      <xdr:row>5</xdr:row>
      <xdr:rowOff>532039</xdr:rowOff>
    </xdr:to>
    <xdr:cxnSp macro="">
      <xdr:nvCxnSpPr>
        <xdr:cNvPr id="4102" name="Straight Arrow Connector 4101"/>
        <xdr:cNvCxnSpPr>
          <a:endCxn id="63" idx="3"/>
        </xdr:cNvCxnSpPr>
      </xdr:nvCxnSpPr>
      <xdr:spPr>
        <a:xfrm flipH="1">
          <a:off x="5872887" y="1363979"/>
          <a:ext cx="1253890" cy="6260"/>
        </a:xfrm>
        <a:prstGeom prst="straightConnector1">
          <a:avLst/>
        </a:prstGeom>
        <a:ln w="19050">
          <a:headEnd type="non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214741</xdr:colOff>
      <xdr:row>5</xdr:row>
      <xdr:rowOff>473028</xdr:rowOff>
    </xdr:from>
    <xdr:to>
      <xdr:col>10</xdr:col>
      <xdr:colOff>328246</xdr:colOff>
      <xdr:row>5</xdr:row>
      <xdr:rowOff>584397</xdr:rowOff>
    </xdr:to>
    <xdr:sp macro="" textlink="">
      <xdr:nvSpPr>
        <xdr:cNvPr id="4103" name="Flowchart: Summing Junction 4102"/>
        <xdr:cNvSpPr/>
      </xdr:nvSpPr>
      <xdr:spPr>
        <a:xfrm>
          <a:off x="6310741" y="1311228"/>
          <a:ext cx="113505" cy="111369"/>
        </a:xfrm>
        <a:prstGeom prst="flowChartSummingJunction">
          <a:avLst/>
        </a:prstGeom>
        <a:solidFill>
          <a:schemeClr val="bg1">
            <a:lumMod val="95000"/>
          </a:schemeClr>
        </a:solidFill>
        <a:ln w="1270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152410</xdr:colOff>
      <xdr:row>5</xdr:row>
      <xdr:rowOff>271975</xdr:rowOff>
    </xdr:from>
    <xdr:to>
      <xdr:col>9</xdr:col>
      <xdr:colOff>484919</xdr:colOff>
      <xdr:row>5</xdr:row>
      <xdr:rowOff>518159</xdr:rowOff>
    </xdr:to>
    <xdr:sp macro="" textlink="">
      <xdr:nvSpPr>
        <xdr:cNvPr id="4112" name="Freeform 4111"/>
        <xdr:cNvSpPr/>
      </xdr:nvSpPr>
      <xdr:spPr>
        <a:xfrm flipH="1">
          <a:off x="5501650" y="1110175"/>
          <a:ext cx="332509" cy="246184"/>
        </a:xfrm>
        <a:custGeom>
          <a:avLst/>
          <a:gdLst>
            <a:gd name="connsiteX0" fmla="*/ 332509 w 332509"/>
            <a:gd name="connsiteY0" fmla="*/ 0 h 249382"/>
            <a:gd name="connsiteX1" fmla="*/ 0 w 332509"/>
            <a:gd name="connsiteY1" fmla="*/ 0 h 249382"/>
            <a:gd name="connsiteX2" fmla="*/ 0 w 332509"/>
            <a:gd name="connsiteY2" fmla="*/ 249382 h 249382"/>
          </a:gdLst>
          <a:ahLst/>
          <a:cxnLst>
            <a:cxn ang="0">
              <a:pos x="connsiteX0" y="connsiteY0"/>
            </a:cxn>
            <a:cxn ang="0">
              <a:pos x="connsiteX1" y="connsiteY1"/>
            </a:cxn>
            <a:cxn ang="0">
              <a:pos x="connsiteX2" y="connsiteY2"/>
            </a:cxn>
          </a:cxnLst>
          <a:rect l="l" t="t" r="r" b="b"/>
          <a:pathLst>
            <a:path w="332509" h="249382">
              <a:moveTo>
                <a:pt x="332509" y="0"/>
              </a:moveTo>
              <a:lnTo>
                <a:pt x="0" y="0"/>
              </a:lnTo>
              <a:lnTo>
                <a:pt x="0" y="249382"/>
              </a:lnTo>
            </a:path>
          </a:pathLst>
        </a:custGeom>
        <a:ln w="19050">
          <a:headEnd type="none" w="med" len="med"/>
          <a:tailEnd type="triangle"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91439</xdr:colOff>
      <xdr:row>5</xdr:row>
      <xdr:rowOff>457200</xdr:rowOff>
    </xdr:from>
    <xdr:to>
      <xdr:col>9</xdr:col>
      <xdr:colOff>270162</xdr:colOff>
      <xdr:row>5</xdr:row>
      <xdr:rowOff>1004454</xdr:rowOff>
    </xdr:to>
    <xdr:sp macro="" textlink="">
      <xdr:nvSpPr>
        <xdr:cNvPr id="4113" name="Freeform 4112"/>
        <xdr:cNvSpPr/>
      </xdr:nvSpPr>
      <xdr:spPr>
        <a:xfrm>
          <a:off x="4099559" y="1295400"/>
          <a:ext cx="1519843" cy="547254"/>
        </a:xfrm>
        <a:custGeom>
          <a:avLst/>
          <a:gdLst>
            <a:gd name="connsiteX0" fmla="*/ 1565563 w 1565563"/>
            <a:gd name="connsiteY0" fmla="*/ 0 h 616527"/>
            <a:gd name="connsiteX1" fmla="*/ 0 w 1565563"/>
            <a:gd name="connsiteY1" fmla="*/ 0 h 616527"/>
            <a:gd name="connsiteX2" fmla="*/ 0 w 1565563"/>
            <a:gd name="connsiteY2" fmla="*/ 616527 h 616527"/>
            <a:gd name="connsiteX3" fmla="*/ 332509 w 1565563"/>
            <a:gd name="connsiteY3" fmla="*/ 616527 h 616527"/>
          </a:gdLst>
          <a:ahLst/>
          <a:cxnLst>
            <a:cxn ang="0">
              <a:pos x="connsiteX0" y="connsiteY0"/>
            </a:cxn>
            <a:cxn ang="0">
              <a:pos x="connsiteX1" y="connsiteY1"/>
            </a:cxn>
            <a:cxn ang="0">
              <a:pos x="connsiteX2" y="connsiteY2"/>
            </a:cxn>
            <a:cxn ang="0">
              <a:pos x="connsiteX3" y="connsiteY3"/>
            </a:cxn>
          </a:cxnLst>
          <a:rect l="l" t="t" r="r" b="b"/>
          <a:pathLst>
            <a:path w="1565563" h="616527">
              <a:moveTo>
                <a:pt x="1565563" y="0"/>
              </a:moveTo>
              <a:lnTo>
                <a:pt x="0" y="0"/>
              </a:lnTo>
              <a:lnTo>
                <a:pt x="0" y="616527"/>
              </a:lnTo>
              <a:lnTo>
                <a:pt x="332509" y="616527"/>
              </a:lnTo>
            </a:path>
          </a:pathLst>
        </a:custGeom>
        <a:ln w="19050">
          <a:headEnd type="none" w="med" len="med"/>
          <a:tailEnd type="triangle"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US" sz="1100"/>
        </a:p>
      </xdr:txBody>
    </xdr:sp>
    <xdr:clientData/>
  </xdr:twoCellAnchor>
  <xdr:twoCellAnchor editAs="absolute">
    <xdr:from>
      <xdr:col>9</xdr:col>
      <xdr:colOff>109948</xdr:colOff>
      <xdr:row>5</xdr:row>
      <xdr:rowOff>58159</xdr:rowOff>
    </xdr:from>
    <xdr:to>
      <xdr:col>9</xdr:col>
      <xdr:colOff>503145</xdr:colOff>
      <xdr:row>5</xdr:row>
      <xdr:rowOff>220421</xdr:rowOff>
    </xdr:to>
    <xdr:sp macro="" textlink="">
      <xdr:nvSpPr>
        <xdr:cNvPr id="86" name="Text Box 1399"/>
        <xdr:cNvSpPr txBox="1">
          <a:spLocks noChangeArrowheads="1"/>
        </xdr:cNvSpPr>
      </xdr:nvSpPr>
      <xdr:spPr bwMode="auto">
        <a:xfrm>
          <a:off x="5459188" y="896359"/>
          <a:ext cx="393197" cy="162262"/>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18288" tIns="22860" rIns="18288" bIns="0" anchor="t" upright="1">
          <a:spAutoFit/>
        </a:bodyPr>
        <a:lstStyle/>
        <a:p>
          <a:pPr algn="ctr" rtl="0">
            <a:defRPr sz="1000"/>
          </a:pPr>
          <a:r>
            <a:rPr lang="en-US" sz="900" b="1" i="0" u="none" strike="noStrike" baseline="0">
              <a:solidFill>
                <a:srgbClr val="000000"/>
              </a:solidFill>
              <a:latin typeface="Arial"/>
              <a:cs typeface="Arial"/>
            </a:rPr>
            <a:t>valve</a:t>
          </a:r>
          <a:endParaRPr lang="en-US" sz="900"/>
        </a:p>
      </xdr:txBody>
    </xdr:sp>
    <xdr:clientData/>
  </xdr:twoCellAnchor>
  <xdr:twoCellAnchor editAs="absolute">
    <xdr:from>
      <xdr:col>8</xdr:col>
      <xdr:colOff>99657</xdr:colOff>
      <xdr:row>5</xdr:row>
      <xdr:rowOff>185059</xdr:rowOff>
    </xdr:from>
    <xdr:to>
      <xdr:col>9</xdr:col>
      <xdr:colOff>164128</xdr:colOff>
      <xdr:row>5</xdr:row>
      <xdr:rowOff>364660</xdr:rowOff>
    </xdr:to>
    <xdr:sp macro="" textlink="">
      <xdr:nvSpPr>
        <xdr:cNvPr id="87" name="Text Box 1399"/>
        <xdr:cNvSpPr txBox="1">
          <a:spLocks noChangeArrowheads="1"/>
        </xdr:cNvSpPr>
      </xdr:nvSpPr>
      <xdr:spPr bwMode="auto">
        <a:xfrm>
          <a:off x="4839297" y="1023259"/>
          <a:ext cx="674071" cy="17960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18288" tIns="22860" rIns="18288" bIns="0" anchor="t" upright="1">
          <a:spAutoFit/>
        </a:bodyPr>
        <a:lstStyle/>
        <a:p>
          <a:pPr algn="ctr" rtl="0">
            <a:defRPr sz="1000"/>
          </a:pPr>
          <a:r>
            <a:rPr lang="en-US" sz="1000" b="1" i="0" u="none" strike="noStrike" baseline="0">
              <a:solidFill>
                <a:srgbClr val="000000"/>
              </a:solidFill>
              <a:latin typeface="Arial"/>
              <a:cs typeface="Arial"/>
            </a:rPr>
            <a:t>Air (25°C)</a:t>
          </a:r>
          <a:endParaRPr lang="en-US" sz="1000"/>
        </a:p>
      </xdr:txBody>
    </xdr:sp>
    <xdr:clientData/>
  </xdr:twoCellAnchor>
  <xdr:twoCellAnchor>
    <xdr:from>
      <xdr:col>9</xdr:col>
      <xdr:colOff>252046</xdr:colOff>
      <xdr:row>5</xdr:row>
      <xdr:rowOff>221181</xdr:rowOff>
    </xdr:from>
    <xdr:to>
      <xdr:col>9</xdr:col>
      <xdr:colOff>363416</xdr:colOff>
      <xdr:row>5</xdr:row>
      <xdr:rowOff>330591</xdr:rowOff>
    </xdr:to>
    <xdr:sp macro="" textlink="">
      <xdr:nvSpPr>
        <xdr:cNvPr id="88" name="Flowchart: Summing Junction 87"/>
        <xdr:cNvSpPr/>
      </xdr:nvSpPr>
      <xdr:spPr>
        <a:xfrm>
          <a:off x="5601286" y="1059381"/>
          <a:ext cx="111370" cy="109410"/>
        </a:xfrm>
        <a:prstGeom prst="flowChartSummingJunction">
          <a:avLst/>
        </a:prstGeom>
        <a:solidFill>
          <a:schemeClr val="bg1">
            <a:lumMod val="95000"/>
          </a:schemeClr>
        </a:solidFill>
        <a:ln w="1270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57197</xdr:colOff>
      <xdr:row>5</xdr:row>
      <xdr:rowOff>303757</xdr:rowOff>
    </xdr:from>
    <xdr:to>
      <xdr:col>10</xdr:col>
      <xdr:colOff>450394</xdr:colOff>
      <xdr:row>5</xdr:row>
      <xdr:rowOff>468364</xdr:rowOff>
    </xdr:to>
    <xdr:sp macro="" textlink="">
      <xdr:nvSpPr>
        <xdr:cNvPr id="89" name="Text Box 1399"/>
        <xdr:cNvSpPr txBox="1">
          <a:spLocks noChangeArrowheads="1"/>
        </xdr:cNvSpPr>
      </xdr:nvSpPr>
      <xdr:spPr bwMode="auto">
        <a:xfrm>
          <a:off x="6153197" y="1141957"/>
          <a:ext cx="393197" cy="16460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18288" tIns="22860" rIns="18288" bIns="0" anchor="t" upright="1">
          <a:spAutoFit/>
        </a:bodyPr>
        <a:lstStyle/>
        <a:p>
          <a:pPr algn="ctr" rtl="0">
            <a:defRPr sz="1000"/>
          </a:pPr>
          <a:r>
            <a:rPr lang="en-US" sz="900" b="1" i="0" u="none" strike="noStrike" baseline="0">
              <a:solidFill>
                <a:srgbClr val="000000"/>
              </a:solidFill>
              <a:latin typeface="Arial"/>
              <a:cs typeface="Arial"/>
            </a:rPr>
            <a:t>valve</a:t>
          </a:r>
          <a:endParaRPr lang="en-US" sz="9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image" Target="../media/image1.emf"/><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6:AB67"/>
  <sheetViews>
    <sheetView zoomScale="90" zoomScaleNormal="90" workbookViewId="0"/>
  </sheetViews>
  <sheetFormatPr defaultRowHeight="13.2" x14ac:dyDescent="0.25"/>
  <cols>
    <col min="1" max="1" width="8.88671875" customWidth="1"/>
    <col min="2" max="2" width="15.44140625" customWidth="1"/>
    <col min="3" max="3" width="10.109375" customWidth="1"/>
    <col min="5" max="5" width="9.6640625" customWidth="1"/>
    <col min="6" max="6" width="3.88671875" customWidth="1"/>
    <col min="7" max="7" width="8.109375" customWidth="1"/>
    <col min="8" max="8" width="10.6640625" customWidth="1"/>
    <col min="10" max="11" width="10.88671875" customWidth="1"/>
    <col min="14" max="14" width="10.33203125" customWidth="1"/>
    <col min="15" max="15" width="3.88671875" customWidth="1"/>
    <col min="16" max="16" width="9.6640625" customWidth="1"/>
    <col min="17" max="17" width="10.6640625" customWidth="1"/>
    <col min="18" max="18" width="8.109375" customWidth="1"/>
    <col min="19" max="19" width="10" customWidth="1"/>
    <col min="21" max="21" width="10.21875" customWidth="1"/>
    <col min="22" max="22" width="8.44140625" customWidth="1"/>
    <col min="24" max="24" width="10.5546875" customWidth="1"/>
    <col min="25" max="25" width="10.88671875" customWidth="1"/>
    <col min="26" max="26" width="10.44140625" customWidth="1"/>
    <col min="28" max="28" width="13.33203125" customWidth="1"/>
  </cols>
  <sheetData>
    <row r="6" spans="2:22" ht="106.2" customHeight="1" x14ac:dyDescent="0.25"/>
    <row r="7" spans="2:22" ht="14.4" thickBot="1" x14ac:dyDescent="0.3">
      <c r="B7" s="99" t="s">
        <v>101</v>
      </c>
      <c r="C7" s="99"/>
      <c r="G7" s="1"/>
      <c r="H7" s="26" t="s">
        <v>102</v>
      </c>
      <c r="I7" s="1"/>
      <c r="U7" t="s">
        <v>78</v>
      </c>
    </row>
    <row r="8" spans="2:22" ht="13.8" thickBot="1" x14ac:dyDescent="0.3">
      <c r="B8" s="96" t="s">
        <v>44</v>
      </c>
      <c r="C8" s="97">
        <f>K13*(J17+2*J18+2*J19+3*J20+4*J21)</f>
        <v>1.3210469630304937</v>
      </c>
      <c r="H8" s="61">
        <v>800</v>
      </c>
    </row>
    <row r="9" spans="2:22" ht="13.8" x14ac:dyDescent="0.25">
      <c r="B9" s="96" t="s">
        <v>73</v>
      </c>
      <c r="C9" s="97">
        <f>K13*(4*J17+4*J18+6*J19+8*J20+10*J21)</f>
        <v>5.2057098147142229</v>
      </c>
      <c r="E9" s="1"/>
      <c r="F9" s="2" t="s">
        <v>0</v>
      </c>
      <c r="G9" s="1"/>
      <c r="I9" s="1"/>
      <c r="J9" s="5" t="s">
        <v>3</v>
      </c>
      <c r="K9" s="1"/>
      <c r="N9" s="1"/>
      <c r="O9" s="1"/>
      <c r="P9" s="5" t="s">
        <v>103</v>
      </c>
      <c r="Q9" s="1"/>
    </row>
    <row r="10" spans="2:22" ht="13.5" customHeight="1" thickBot="1" x14ac:dyDescent="0.3">
      <c r="B10" s="96" t="s">
        <v>74</v>
      </c>
      <c r="C10" s="97">
        <f>E18*2*E13+G18*2*G13</f>
        <v>6.326376188896921</v>
      </c>
      <c r="E10" s="3" t="s">
        <v>1</v>
      </c>
      <c r="G10" s="4" t="s">
        <v>2</v>
      </c>
      <c r="J10" s="7" t="s">
        <v>5</v>
      </c>
      <c r="K10" s="47">
        <v>25</v>
      </c>
      <c r="M10" s="59" t="s">
        <v>67</v>
      </c>
      <c r="N10" s="59"/>
      <c r="O10" s="59" t="s">
        <v>66</v>
      </c>
      <c r="P10" s="58"/>
      <c r="Q10" s="59" t="s">
        <v>68</v>
      </c>
      <c r="R10" s="59"/>
      <c r="S10" s="59"/>
      <c r="T10" s="58"/>
    </row>
    <row r="11" spans="2:22" ht="14.4" thickBot="1" x14ac:dyDescent="0.3">
      <c r="B11" s="96" t="s">
        <v>75</v>
      </c>
      <c r="C11" s="97">
        <f>E18*2*(1-E13) + G18*2*(1-G13) + K13*2*J22</f>
        <v>23.851543402217398</v>
      </c>
      <c r="D11" s="6" t="s">
        <v>5</v>
      </c>
      <c r="E11" s="61">
        <v>25</v>
      </c>
      <c r="G11" s="42">
        <v>25</v>
      </c>
      <c r="J11" s="7" t="s">
        <v>9</v>
      </c>
      <c r="K11" s="48">
        <v>1</v>
      </c>
      <c r="N11" s="60">
        <v>550</v>
      </c>
      <c r="R11" s="60">
        <v>800</v>
      </c>
      <c r="S11" s="58"/>
    </row>
    <row r="12" spans="2:22" ht="16.2" thickBot="1" x14ac:dyDescent="0.3">
      <c r="D12" s="9" t="s">
        <v>9</v>
      </c>
      <c r="E12" s="43">
        <v>1</v>
      </c>
      <c r="G12" s="43">
        <v>1</v>
      </c>
      <c r="J12" s="7" t="s">
        <v>59</v>
      </c>
      <c r="K12" s="54">
        <v>32</v>
      </c>
    </row>
    <row r="13" spans="2:22" ht="16.2" thickBot="1" x14ac:dyDescent="0.3">
      <c r="D13" s="6" t="s">
        <v>11</v>
      </c>
      <c r="E13" s="44">
        <v>0.21</v>
      </c>
      <c r="G13" s="53">
        <v>0.21</v>
      </c>
      <c r="J13" s="9" t="s">
        <v>60</v>
      </c>
      <c r="K13" s="55">
        <f>K11*K12/(0.0820575*(K10+273.15))</f>
        <v>1.3079672901292017</v>
      </c>
      <c r="M13" s="12"/>
      <c r="N13" s="68"/>
      <c r="O13" s="68"/>
      <c r="P13" s="92" t="s">
        <v>76</v>
      </c>
      <c r="Q13" s="68"/>
      <c r="R13" s="12"/>
      <c r="S13" s="12"/>
      <c r="V13" s="6"/>
    </row>
    <row r="14" spans="2:22" ht="14.4" thickBot="1" x14ac:dyDescent="0.3">
      <c r="D14" s="6" t="s">
        <v>15</v>
      </c>
      <c r="E14" s="45">
        <v>0.18</v>
      </c>
      <c r="M14" s="65" t="s">
        <v>14</v>
      </c>
      <c r="N14" s="75">
        <v>186600</v>
      </c>
      <c r="Q14" s="66" t="s">
        <v>13</v>
      </c>
      <c r="R14" s="75">
        <v>13400</v>
      </c>
    </row>
    <row r="15" spans="2:22" x14ac:dyDescent="0.25">
      <c r="D15" s="13"/>
      <c r="K15" s="6" t="s">
        <v>36</v>
      </c>
    </row>
    <row r="16" spans="2:22" ht="13.5" customHeight="1" thickBot="1" x14ac:dyDescent="0.3">
      <c r="I16" s="24" t="s">
        <v>37</v>
      </c>
      <c r="J16" s="25" t="s">
        <v>38</v>
      </c>
      <c r="K16" s="6" t="s">
        <v>39</v>
      </c>
    </row>
    <row r="17" spans="3:28" ht="16.2" thickBot="1" x14ac:dyDescent="0.3">
      <c r="D17" s="9" t="s">
        <v>65</v>
      </c>
      <c r="E17" s="10">
        <f>K13*(2*J17 + 3*J18 + 3.5*J19+ 5*J20 + 6.5*J21)/E13</f>
        <v>12.487973412900233</v>
      </c>
      <c r="I17" s="28" t="s">
        <v>24</v>
      </c>
      <c r="J17" s="49">
        <v>0.95</v>
      </c>
      <c r="K17" s="76">
        <f>$K$13*J17*M63*1000</f>
        <v>-996946.59838811727</v>
      </c>
    </row>
    <row r="18" spans="3:28" ht="13.5" customHeight="1" thickBot="1" x14ac:dyDescent="0.3">
      <c r="D18" s="9" t="s">
        <v>64</v>
      </c>
      <c r="E18" s="10">
        <f>E17*(1+E14)</f>
        <v>14.735808627222275</v>
      </c>
      <c r="G18" s="10">
        <f>G12*G19/(0.0820575*(G11+273.15))</f>
        <v>0.32699182253230041</v>
      </c>
      <c r="I18" s="25" t="s">
        <v>27</v>
      </c>
      <c r="J18" s="49">
        <v>0</v>
      </c>
      <c r="K18" s="76">
        <f>$K$13*J18*M64*1000</f>
        <v>0</v>
      </c>
      <c r="M18" s="30" t="s">
        <v>20</v>
      </c>
      <c r="Q18" s="16">
        <f>-E18*(L59+M59*E11+N59*E11^2)</f>
        <v>1.9340748823229248</v>
      </c>
    </row>
    <row r="19" spans="3:28" ht="14.25" customHeight="1" thickBot="1" x14ac:dyDescent="0.3">
      <c r="D19" s="9" t="s">
        <v>61</v>
      </c>
      <c r="E19" s="19">
        <f>E18*0.0820575*(E11+273.15)/E12</f>
        <v>360.51809523809521</v>
      </c>
      <c r="G19" s="46">
        <v>8</v>
      </c>
      <c r="I19" s="28" t="s">
        <v>29</v>
      </c>
      <c r="J19" s="49">
        <v>0.03</v>
      </c>
      <c r="K19" s="76">
        <f>$K$13*J19*M65*1000</f>
        <v>-56024.52916894533</v>
      </c>
      <c r="M19" s="30" t="s">
        <v>23</v>
      </c>
      <c r="Q19" s="16">
        <f>K23</f>
        <v>-1052971.1275570625</v>
      </c>
      <c r="AB19" s="16"/>
    </row>
    <row r="20" spans="3:28" ht="14.25" customHeight="1" thickBot="1" x14ac:dyDescent="0.3">
      <c r="D20" s="9" t="s">
        <v>62</v>
      </c>
      <c r="E20" s="19">
        <f>E18*22.414</f>
        <v>330.28841457056006</v>
      </c>
      <c r="I20" s="28" t="s">
        <v>31</v>
      </c>
      <c r="J20" s="49">
        <v>0</v>
      </c>
      <c r="K20" s="76">
        <f>$K$13*J20*M66*1000</f>
        <v>0</v>
      </c>
      <c r="M20" s="30" t="s">
        <v>45</v>
      </c>
      <c r="Q20" s="16">
        <f>J27*(P54+Q54*R11+R54*R11^2)</f>
        <v>49426.285177365149</v>
      </c>
    </row>
    <row r="21" spans="3:28" ht="14.25" customHeight="1" thickBot="1" x14ac:dyDescent="0.3">
      <c r="D21" s="13" t="s">
        <v>63</v>
      </c>
      <c r="E21" s="22">
        <f>E18/K13</f>
        <v>11.266190476190474</v>
      </c>
      <c r="I21" s="15" t="s">
        <v>33</v>
      </c>
      <c r="J21" s="49">
        <v>0</v>
      </c>
      <c r="K21" s="76">
        <f>$K$13*J21*M67*1000</f>
        <v>0</v>
      </c>
      <c r="M21" s="30" t="s">
        <v>46</v>
      </c>
      <c r="Q21" s="16">
        <f>J28*(L54+M54*R11+N54*R11^2)</f>
        <v>75575.766290647036</v>
      </c>
    </row>
    <row r="22" spans="3:28" ht="14.25" customHeight="1" x14ac:dyDescent="0.25">
      <c r="I22" s="31" t="s">
        <v>48</v>
      </c>
      <c r="J22" s="32">
        <f>1-SUM(J17:J21)</f>
        <v>2.0000000000000018E-2</v>
      </c>
      <c r="K22" s="76">
        <v>0</v>
      </c>
      <c r="M22" s="30" t="s">
        <v>47</v>
      </c>
      <c r="Q22" s="16">
        <f>J30*(L49+M49*R11+N49*R11^2)</f>
        <v>284857.55176007829</v>
      </c>
    </row>
    <row r="23" spans="3:28" ht="15.6" x14ac:dyDescent="0.25">
      <c r="G23" s="33"/>
      <c r="H23" s="33"/>
      <c r="I23" s="34"/>
      <c r="J23" s="35" t="s">
        <v>52</v>
      </c>
      <c r="K23" s="57">
        <f>SUM(K17:K22)</f>
        <v>-1052971.1275570625</v>
      </c>
      <c r="M23" s="30" t="s">
        <v>51</v>
      </c>
      <c r="Q23" s="16">
        <f>J29*(P49+Q49*R11+R49*R11^2)</f>
        <v>13661.779924499522</v>
      </c>
    </row>
    <row r="24" spans="3:28" x14ac:dyDescent="0.25">
      <c r="M24" s="38" t="s">
        <v>53</v>
      </c>
      <c r="N24" s="39"/>
      <c r="Q24" s="16">
        <f>H8*(P59+Q59*N11+R59*N11^2)</f>
        <v>429484.14202060632</v>
      </c>
      <c r="T24" s="7"/>
      <c r="V24" s="16"/>
      <c r="X24" s="6"/>
      <c r="Y24" s="6"/>
      <c r="Z24" s="6"/>
    </row>
    <row r="25" spans="3:28" ht="14.4" customHeight="1" x14ac:dyDescent="0.25">
      <c r="C25" s="68"/>
      <c r="D25" s="70"/>
      <c r="E25" s="70"/>
      <c r="F25" s="68"/>
      <c r="G25" s="69" t="s">
        <v>4</v>
      </c>
      <c r="H25" s="68"/>
      <c r="I25" s="68"/>
      <c r="J25" s="68"/>
      <c r="K25" s="68"/>
      <c r="M25" t="s">
        <v>54</v>
      </c>
      <c r="Q25" s="16">
        <f>R14</f>
        <v>13400</v>
      </c>
      <c r="T25" s="7"/>
      <c r="X25" s="6"/>
      <c r="Y25" s="6"/>
      <c r="Z25" s="6"/>
    </row>
    <row r="26" spans="3:28" ht="15.75" customHeight="1" thickBot="1" x14ac:dyDescent="0.3">
      <c r="C26" s="7" t="s">
        <v>6</v>
      </c>
      <c r="D26" s="8" t="s">
        <v>7</v>
      </c>
      <c r="E26" s="8" t="s">
        <v>8</v>
      </c>
      <c r="I26" s="7" t="s">
        <v>25</v>
      </c>
      <c r="J26" s="71" t="s">
        <v>7</v>
      </c>
      <c r="K26" s="71" t="s">
        <v>8</v>
      </c>
      <c r="M26" t="s">
        <v>93</v>
      </c>
      <c r="Q26" s="16">
        <f>N14</f>
        <v>186600</v>
      </c>
      <c r="T26" s="7"/>
    </row>
    <row r="27" spans="3:28" ht="12.75" customHeight="1" thickBot="1" x14ac:dyDescent="0.3">
      <c r="C27" s="6" t="s">
        <v>10</v>
      </c>
      <c r="D27" s="10">
        <f>K13*(J17+2*J18+2*J19+3*J20+4*J21)</f>
        <v>1.3210469630304937</v>
      </c>
      <c r="E27" s="11">
        <f>D27/$D$31</f>
        <v>8.2239584343072075E-2</v>
      </c>
      <c r="I27" s="6" t="s">
        <v>10</v>
      </c>
      <c r="J27" s="10">
        <f>D27</f>
        <v>1.3210469630304937</v>
      </c>
      <c r="K27" s="11">
        <f>J27/$J$31</f>
        <v>8.059888658775248E-2</v>
      </c>
      <c r="M27" t="s">
        <v>56</v>
      </c>
      <c r="Q27" s="62">
        <f>SUM(Q18:Q26)</f>
        <v>36.331691016210243</v>
      </c>
      <c r="T27" s="7"/>
    </row>
    <row r="28" spans="3:28" ht="13.65" customHeight="1" x14ac:dyDescent="0.25">
      <c r="C28" s="6" t="s">
        <v>12</v>
      </c>
      <c r="D28" s="10">
        <f>K13*(2*J17+2*J18+3*J19+4*J20+5*J21)</f>
        <v>2.6028549073571114</v>
      </c>
      <c r="E28" s="11">
        <f>D28/$D$31</f>
        <v>0.16203640875516181</v>
      </c>
      <c r="I28" s="6" t="s">
        <v>12</v>
      </c>
      <c r="J28" s="10">
        <f>D28</f>
        <v>2.6028549073571114</v>
      </c>
      <c r="K28" s="11">
        <f>J28/$J$31</f>
        <v>0.15880374684121529</v>
      </c>
    </row>
    <row r="29" spans="3:28" ht="13.65" customHeight="1" x14ac:dyDescent="0.25">
      <c r="C29" s="6" t="s">
        <v>16</v>
      </c>
      <c r="D29" s="10">
        <f>E13*(E18-E17)</f>
        <v>0.47204539500762865</v>
      </c>
      <c r="E29" s="11">
        <f>D29/$D$31</f>
        <v>2.9386401969717521E-2</v>
      </c>
      <c r="I29" s="6" t="s">
        <v>16</v>
      </c>
      <c r="J29" s="10">
        <f>D29+G13*G18</f>
        <v>0.5407136777394117</v>
      </c>
      <c r="K29" s="11">
        <f>J29/$J$31</f>
        <v>3.2989682886511738E-2</v>
      </c>
    </row>
    <row r="30" spans="3:28" ht="13.5" customHeight="1" x14ac:dyDescent="0.25">
      <c r="C30" s="6" t="s">
        <v>17</v>
      </c>
      <c r="D30" s="10">
        <f>K13*J22+E18*(1-E13)</f>
        <v>11.667448161308181</v>
      </c>
      <c r="E30" s="11">
        <f>D30/$D$31</f>
        <v>0.72633760493204858</v>
      </c>
      <c r="G30" t="s">
        <v>71</v>
      </c>
      <c r="I30" s="6" t="s">
        <v>17</v>
      </c>
      <c r="J30" s="10">
        <f>D30+(1-G13)*G18</f>
        <v>11.925771701108699</v>
      </c>
      <c r="K30" s="11">
        <f>J30/$J$31</f>
        <v>0.72760768368452056</v>
      </c>
    </row>
    <row r="31" spans="3:28" ht="13.8" thickBot="1" x14ac:dyDescent="0.3">
      <c r="C31" s="6" t="s">
        <v>19</v>
      </c>
      <c r="D31" s="10">
        <f>SUM(D27:D30)</f>
        <v>16.063395426703416</v>
      </c>
      <c r="I31" s="6" t="s">
        <v>19</v>
      </c>
      <c r="J31" s="10">
        <f>SUM(J27:J30)</f>
        <v>16.390387249235715</v>
      </c>
    </row>
    <row r="32" spans="3:28" ht="16.2" thickBot="1" x14ac:dyDescent="0.3">
      <c r="I32" s="9" t="s">
        <v>77</v>
      </c>
      <c r="J32" s="77">
        <f>J31*0.0820575*(R11+273.15)</f>
        <v>1443.3376015588192</v>
      </c>
      <c r="O32" s="67" t="s">
        <v>18</v>
      </c>
      <c r="P32" s="56"/>
      <c r="Q32" s="73">
        <v>1800</v>
      </c>
      <c r="R32" s="37"/>
    </row>
    <row r="33" spans="12:27" x14ac:dyDescent="0.25">
      <c r="M33" t="s">
        <v>20</v>
      </c>
      <c r="Q33" s="14">
        <f>-E18*(L59+M59*E11+N59*E11^2)</f>
        <v>1.9340748823229248</v>
      </c>
    </row>
    <row r="34" spans="12:27" x14ac:dyDescent="0.25">
      <c r="M34" t="s">
        <v>23</v>
      </c>
      <c r="Q34" s="16">
        <f>K23</f>
        <v>-1052971.1275570625</v>
      </c>
      <c r="U34" s="78" t="s">
        <v>79</v>
      </c>
      <c r="AA34" s="98"/>
    </row>
    <row r="35" spans="12:27" ht="15.6" x14ac:dyDescent="0.35">
      <c r="M35" t="s">
        <v>26</v>
      </c>
      <c r="Q35" s="16">
        <f>D27*(P54+Q54*Q32+R54*Q32^2)</f>
        <v>126506.997585661</v>
      </c>
      <c r="T35" s="7" t="s">
        <v>80</v>
      </c>
      <c r="U35" s="80">
        <v>0.21</v>
      </c>
      <c r="V35" s="81">
        <v>0.23</v>
      </c>
      <c r="W35" s="81">
        <v>0.25</v>
      </c>
      <c r="X35" s="81">
        <v>0.27</v>
      </c>
      <c r="Y35" s="81">
        <v>0.28999999999999998</v>
      </c>
    </row>
    <row r="36" spans="12:27" ht="16.8" x14ac:dyDescent="0.35">
      <c r="M36" t="s">
        <v>28</v>
      </c>
      <c r="Q36" s="16">
        <f>J28*(L54+M54*Q32+N54*Q32^2)</f>
        <v>198638.2257395098</v>
      </c>
      <c r="T36" s="7" t="s">
        <v>81</v>
      </c>
      <c r="U36" s="79">
        <v>32</v>
      </c>
      <c r="V36" s="8">
        <v>30.5</v>
      </c>
      <c r="W36" s="8">
        <v>29.4</v>
      </c>
      <c r="X36" s="8">
        <v>28.5</v>
      </c>
      <c r="Y36" s="8">
        <v>27.8</v>
      </c>
    </row>
    <row r="37" spans="12:27" ht="16.8" x14ac:dyDescent="0.35">
      <c r="M37" t="s">
        <v>30</v>
      </c>
      <c r="Q37" s="16">
        <f>D30*(L49+M49*Q32+N49*Q32^2)</f>
        <v>684996.81494625623</v>
      </c>
      <c r="T37" s="7" t="s">
        <v>82</v>
      </c>
      <c r="U37" s="79">
        <v>360.5</v>
      </c>
      <c r="V37" s="8">
        <v>314.10000000000002</v>
      </c>
      <c r="W37" s="8">
        <v>278.3</v>
      </c>
      <c r="X37" s="8">
        <v>249.8</v>
      </c>
      <c r="Y37" s="8">
        <v>226.6</v>
      </c>
      <c r="Z37" s="14"/>
    </row>
    <row r="38" spans="12:27" ht="15.6" x14ac:dyDescent="0.35">
      <c r="M38" t="s">
        <v>32</v>
      </c>
      <c r="Q38" s="16">
        <f>D29*(P49+Q49*Q32+R49*Q32^2)</f>
        <v>29238.114130456506</v>
      </c>
    </row>
    <row r="39" spans="12:27" ht="13.8" thickBot="1" x14ac:dyDescent="0.3">
      <c r="M39" t="s">
        <v>34</v>
      </c>
      <c r="Q39" s="16">
        <f>R14</f>
        <v>13400</v>
      </c>
      <c r="S39" t="s">
        <v>71</v>
      </c>
    </row>
    <row r="40" spans="12:27" ht="13.8" thickBot="1" x14ac:dyDescent="0.3">
      <c r="M40" t="s">
        <v>35</v>
      </c>
      <c r="Q40" s="74">
        <f>SUM(Q33:Q39)</f>
        <v>-189.04108029658164</v>
      </c>
    </row>
    <row r="46" spans="12:27" ht="16.2" x14ac:dyDescent="0.25">
      <c r="L46" s="27" t="s">
        <v>69</v>
      </c>
      <c r="M46" s="1"/>
      <c r="N46" s="1"/>
      <c r="O46" s="26"/>
      <c r="P46" s="26"/>
      <c r="Q46" s="26"/>
      <c r="R46" s="26"/>
    </row>
    <row r="47" spans="12:27" ht="15.6" x14ac:dyDescent="0.35">
      <c r="L47" s="29"/>
      <c r="M47" s="29" t="s">
        <v>40</v>
      </c>
      <c r="N47" s="29"/>
      <c r="P47" s="29"/>
      <c r="Q47" s="29" t="s">
        <v>41</v>
      </c>
      <c r="R47" s="29"/>
    </row>
    <row r="48" spans="12:27" x14ac:dyDescent="0.25">
      <c r="L48" s="17" t="s">
        <v>42</v>
      </c>
      <c r="M48" s="17" t="s">
        <v>43</v>
      </c>
      <c r="N48" s="23" t="s">
        <v>44</v>
      </c>
      <c r="P48" s="17" t="s">
        <v>42</v>
      </c>
      <c r="Q48" s="17" t="s">
        <v>43</v>
      </c>
      <c r="R48" s="23" t="s">
        <v>44</v>
      </c>
    </row>
    <row r="49" spans="12:27" x14ac:dyDescent="0.25">
      <c r="L49" s="63">
        <v>-2077</v>
      </c>
      <c r="M49" s="64">
        <v>31.4</v>
      </c>
      <c r="N49" s="52">
        <v>1.317E-3</v>
      </c>
      <c r="P49" s="63">
        <v>-2265</v>
      </c>
      <c r="Q49" s="64">
        <v>33.409999999999997</v>
      </c>
      <c r="R49" s="52">
        <v>1.255E-3</v>
      </c>
    </row>
    <row r="51" spans="12:27" ht="15.6" x14ac:dyDescent="0.35">
      <c r="AA51" t="s">
        <v>110</v>
      </c>
    </row>
    <row r="52" spans="12:27" ht="15.6" x14ac:dyDescent="0.35">
      <c r="L52" s="29"/>
      <c r="M52" s="29" t="s">
        <v>49</v>
      </c>
      <c r="N52" s="29"/>
      <c r="P52" s="29"/>
      <c r="Q52" s="29" t="s">
        <v>50</v>
      </c>
      <c r="R52" s="29"/>
    </row>
    <row r="53" spans="12:27" x14ac:dyDescent="0.25">
      <c r="L53" s="17" t="s">
        <v>42</v>
      </c>
      <c r="M53" s="17" t="s">
        <v>43</v>
      </c>
      <c r="N53" s="17" t="s">
        <v>44</v>
      </c>
      <c r="P53" s="17" t="s">
        <v>42</v>
      </c>
      <c r="Q53" s="17" t="s">
        <v>43</v>
      </c>
      <c r="R53" s="36" t="s">
        <v>44</v>
      </c>
    </row>
    <row r="54" spans="12:27" x14ac:dyDescent="0.25">
      <c r="L54" s="63">
        <v>-2563</v>
      </c>
      <c r="M54" s="64">
        <v>36.04</v>
      </c>
      <c r="N54" s="52">
        <v>4.3229999999999996E-3</v>
      </c>
      <c r="P54" s="63">
        <v>-6014</v>
      </c>
      <c r="Q54" s="64">
        <v>52.48</v>
      </c>
      <c r="R54" s="52">
        <v>2.2569999999999999E-3</v>
      </c>
    </row>
    <row r="55" spans="12:27" ht="15.6" x14ac:dyDescent="0.35">
      <c r="T55" t="s">
        <v>83</v>
      </c>
    </row>
    <row r="56" spans="12:27" x14ac:dyDescent="0.25">
      <c r="R56" s="6" t="s">
        <v>55</v>
      </c>
    </row>
    <row r="57" spans="12:27" ht="13.8" x14ac:dyDescent="0.25">
      <c r="L57" s="29"/>
      <c r="M57" s="29" t="s">
        <v>57</v>
      </c>
      <c r="N57" s="29"/>
      <c r="P57" s="40"/>
      <c r="Q57" s="41" t="s">
        <v>58</v>
      </c>
      <c r="R57" s="40"/>
    </row>
    <row r="58" spans="12:27" x14ac:dyDescent="0.25">
      <c r="L58" s="17" t="s">
        <v>42</v>
      </c>
      <c r="M58" s="17" t="s">
        <v>43</v>
      </c>
      <c r="N58" s="17" t="s">
        <v>44</v>
      </c>
      <c r="P58" s="17" t="s">
        <v>42</v>
      </c>
      <c r="Q58" s="17" t="s">
        <v>43</v>
      </c>
      <c r="R58" s="17" t="s">
        <v>44</v>
      </c>
    </row>
    <row r="59" spans="12:27" x14ac:dyDescent="0.25">
      <c r="L59" s="63">
        <v>-713</v>
      </c>
      <c r="M59" s="64">
        <v>28.43</v>
      </c>
      <c r="N59" s="52">
        <v>3.3899999999999998E-3</v>
      </c>
      <c r="P59" s="50">
        <v>-21.08902231117041</v>
      </c>
      <c r="Q59" s="51">
        <v>0.87457416055147885</v>
      </c>
      <c r="R59" s="52">
        <v>2.5430879845823141E-4</v>
      </c>
    </row>
    <row r="61" spans="12:27" ht="13.8" x14ac:dyDescent="0.25">
      <c r="L61" s="12"/>
      <c r="M61" s="12"/>
      <c r="N61" s="72" t="s">
        <v>21</v>
      </c>
    </row>
    <row r="62" spans="12:27" x14ac:dyDescent="0.25">
      <c r="M62" s="6" t="s">
        <v>22</v>
      </c>
    </row>
    <row r="63" spans="12:27" ht="15.6" x14ac:dyDescent="0.25">
      <c r="L63" s="17" t="s">
        <v>24</v>
      </c>
      <c r="M63" s="18">
        <v>-802.327</v>
      </c>
    </row>
    <row r="64" spans="12:27" ht="15.6" x14ac:dyDescent="0.25">
      <c r="L64" s="20" t="s">
        <v>27</v>
      </c>
      <c r="M64" s="21">
        <v>-1323.1130000000001</v>
      </c>
    </row>
    <row r="65" spans="12:13" ht="15.6" x14ac:dyDescent="0.25">
      <c r="L65" s="17" t="s">
        <v>29</v>
      </c>
      <c r="M65" s="21">
        <v>-1427.7760000000001</v>
      </c>
    </row>
    <row r="66" spans="12:13" ht="15.6" x14ac:dyDescent="0.25">
      <c r="L66" s="17" t="s">
        <v>31</v>
      </c>
      <c r="M66" s="21">
        <v>-2043.9359999999999</v>
      </c>
    </row>
    <row r="67" spans="12:13" ht="15.6" x14ac:dyDescent="0.25">
      <c r="L67" s="23" t="s">
        <v>70</v>
      </c>
      <c r="M67" s="21">
        <v>-2656.9579999999996</v>
      </c>
    </row>
  </sheetData>
  <mergeCells count="1">
    <mergeCell ref="B7:C7"/>
  </mergeCells>
  <pageMargins left="0.7" right="0.7" top="0.75" bottom="0.75" header="0.3" footer="0.3"/>
  <pageSetup orientation="portrait" verticalDpi="300" r:id="rId1"/>
  <drawing r:id="rId2"/>
  <legacyDrawing r:id="rId3"/>
  <oleObjects>
    <mc:AlternateContent xmlns:mc="http://schemas.openxmlformats.org/markup-compatibility/2006">
      <mc:Choice Requires="x14">
        <oleObject progId="Wordpad.Document.1" dvAspect="DVASPECT_ICON" shapeId="5121" r:id="rId4">
          <objectPr defaultSize="0" autoPict="0" r:id="rId5">
            <anchor moveWithCells="1">
              <from>
                <xdr:col>20</xdr:col>
                <xdr:colOff>281940</xdr:colOff>
                <xdr:row>5</xdr:row>
                <xdr:rowOff>586740</xdr:rowOff>
              </from>
              <to>
                <xdr:col>21</xdr:col>
                <xdr:colOff>495300</xdr:colOff>
                <xdr:row>6</xdr:row>
                <xdr:rowOff>0</xdr:rowOff>
              </to>
            </anchor>
          </objectPr>
        </oleObject>
      </mc:Choice>
      <mc:Fallback>
        <oleObject progId="Wordpad.Document.1" dvAspect="DVASPECT_ICON" shapeId="5121"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AB96"/>
  <sheetViews>
    <sheetView tabSelected="1" zoomScale="90" zoomScaleNormal="90" workbookViewId="0"/>
  </sheetViews>
  <sheetFormatPr defaultRowHeight="13.2" x14ac:dyDescent="0.25"/>
  <cols>
    <col min="1" max="1" width="8.88671875" customWidth="1"/>
    <col min="3" max="3" width="10.109375" customWidth="1"/>
    <col min="5" max="5" width="9.6640625" customWidth="1"/>
    <col min="6" max="6" width="3.88671875" customWidth="1"/>
    <col min="7" max="7" width="8.109375" customWidth="1"/>
    <col min="8" max="8" width="10.6640625" customWidth="1"/>
    <col min="10" max="11" width="10.88671875" customWidth="1"/>
    <col min="14" max="14" width="10.33203125" customWidth="1"/>
    <col min="15" max="15" width="3.88671875" customWidth="1"/>
    <col min="16" max="16" width="9.6640625" customWidth="1"/>
    <col min="17" max="17" width="10.6640625" customWidth="1"/>
    <col min="18" max="18" width="7" customWidth="1"/>
    <col min="19" max="19" width="9.88671875" customWidth="1"/>
    <col min="21" max="21" width="9.88671875" customWidth="1"/>
    <col min="22" max="22" width="8.44140625" customWidth="1"/>
    <col min="24" max="24" width="9.5546875" customWidth="1"/>
    <col min="25" max="25" width="9.109375" customWidth="1"/>
    <col min="26" max="26" width="10.44140625" customWidth="1"/>
    <col min="28" max="28" width="13.33203125" customWidth="1"/>
  </cols>
  <sheetData>
    <row r="3" spans="2:23" x14ac:dyDescent="0.25">
      <c r="Q3" t="s">
        <v>78</v>
      </c>
    </row>
    <row r="6" spans="2:23" ht="147.6" customHeight="1" x14ac:dyDescent="0.25"/>
    <row r="7" spans="2:23" ht="14.4" thickBot="1" x14ac:dyDescent="0.3">
      <c r="B7" s="99" t="s">
        <v>72</v>
      </c>
      <c r="C7" s="99"/>
      <c r="G7" s="1"/>
      <c r="H7" s="26" t="s">
        <v>102</v>
      </c>
      <c r="I7" s="1"/>
    </row>
    <row r="8" spans="2:23" ht="13.8" thickBot="1" x14ac:dyDescent="0.3">
      <c r="B8" s="96" t="s">
        <v>44</v>
      </c>
      <c r="C8" s="97">
        <f>K13*(J17+2*J18+2*J19+3*J20+4*J21)</f>
        <v>1.3211262770381829</v>
      </c>
      <c r="H8" s="61">
        <v>800</v>
      </c>
    </row>
    <row r="9" spans="2:23" ht="13.8" x14ac:dyDescent="0.25">
      <c r="B9" s="96" t="s">
        <v>73</v>
      </c>
      <c r="C9" s="97">
        <f>K13*(4*J17+4*J18+6*J19+8*J20+10*J21)</f>
        <v>5.20602235902175</v>
      </c>
      <c r="E9" s="1"/>
      <c r="F9" s="2" t="s">
        <v>0</v>
      </c>
      <c r="G9" s="1"/>
      <c r="I9" s="1"/>
      <c r="J9" s="5" t="s">
        <v>3</v>
      </c>
      <c r="K9" s="1"/>
      <c r="N9" s="1"/>
      <c r="O9" s="1"/>
      <c r="P9" s="1"/>
      <c r="Q9" s="5" t="s">
        <v>89</v>
      </c>
      <c r="R9" s="1"/>
      <c r="S9" s="1"/>
      <c r="T9" s="1"/>
      <c r="U9" s="1"/>
      <c r="V9" s="1"/>
      <c r="W9" s="1"/>
    </row>
    <row r="10" spans="2:23" ht="13.5" customHeight="1" thickBot="1" x14ac:dyDescent="0.3">
      <c r="B10" s="96" t="s">
        <v>74</v>
      </c>
      <c r="C10" s="97">
        <f>E18*2*E13+G18*2*G13</f>
        <v>6.3267477710965094</v>
      </c>
      <c r="E10" s="3" t="s">
        <v>1</v>
      </c>
      <c r="G10" s="4" t="s">
        <v>2</v>
      </c>
      <c r="J10" s="7" t="s">
        <v>5</v>
      </c>
      <c r="K10" s="47">
        <v>25</v>
      </c>
      <c r="M10" s="59" t="s">
        <v>67</v>
      </c>
      <c r="N10" s="59"/>
      <c r="O10" s="59" t="s">
        <v>66</v>
      </c>
      <c r="Q10" s="86" t="s">
        <v>96</v>
      </c>
      <c r="R10" s="59"/>
      <c r="S10" s="59"/>
      <c r="T10" s="58"/>
      <c r="U10" s="59" t="s">
        <v>97</v>
      </c>
      <c r="V10" s="12"/>
      <c r="W10" s="12"/>
    </row>
    <row r="11" spans="2:23" ht="14.4" thickBot="1" x14ac:dyDescent="0.3">
      <c r="B11" s="96" t="s">
        <v>75</v>
      </c>
      <c r="C11" s="97">
        <f>E18*2*(1-E13) + G18*2*(1-G13) + K13*2*J22</f>
        <v>23.852944400212284</v>
      </c>
      <c r="D11" s="6" t="s">
        <v>5</v>
      </c>
      <c r="E11" s="61">
        <v>25</v>
      </c>
      <c r="G11" s="42">
        <v>25</v>
      </c>
      <c r="J11" s="7" t="s">
        <v>9</v>
      </c>
      <c r="K11" s="48">
        <v>1</v>
      </c>
      <c r="N11" s="60">
        <v>550</v>
      </c>
      <c r="Q11" t="s">
        <v>79</v>
      </c>
      <c r="R11" s="84">
        <v>700</v>
      </c>
      <c r="S11" s="58"/>
      <c r="U11" s="66">
        <v>800</v>
      </c>
    </row>
    <row r="12" spans="2:23" ht="16.2" thickBot="1" x14ac:dyDescent="0.3">
      <c r="D12" s="9" t="s">
        <v>9</v>
      </c>
      <c r="E12" s="43">
        <v>1</v>
      </c>
      <c r="G12" s="43">
        <v>1</v>
      </c>
      <c r="J12" s="7" t="s">
        <v>59</v>
      </c>
      <c r="K12" s="82">
        <v>32.00192123998395</v>
      </c>
      <c r="Q12" s="7" t="s">
        <v>91</v>
      </c>
      <c r="R12" s="85">
        <v>700.00762811602954</v>
      </c>
      <c r="S12" s="58"/>
    </row>
    <row r="13" spans="2:23" ht="16.2" thickBot="1" x14ac:dyDescent="0.3">
      <c r="D13" s="6" t="s">
        <v>11</v>
      </c>
      <c r="E13" s="44">
        <v>0.21</v>
      </c>
      <c r="G13" s="53">
        <v>0.21</v>
      </c>
      <c r="J13" s="9" t="s">
        <v>60</v>
      </c>
      <c r="K13" s="55">
        <f>K11*K12/(0.0820575*(K10+273.15))</f>
        <v>1.308045818849686</v>
      </c>
      <c r="V13" s="6"/>
    </row>
    <row r="14" spans="2:23" ht="14.4" thickBot="1" x14ac:dyDescent="0.3">
      <c r="D14" s="6" t="s">
        <v>15</v>
      </c>
      <c r="E14" s="45">
        <v>0.18</v>
      </c>
      <c r="M14" s="12"/>
      <c r="N14" s="1"/>
      <c r="O14" s="26" t="s">
        <v>76</v>
      </c>
      <c r="P14" s="1"/>
      <c r="Q14" s="1"/>
      <c r="R14" s="1"/>
      <c r="S14" s="1"/>
    </row>
    <row r="15" spans="2:23" ht="14.4" thickBot="1" x14ac:dyDescent="0.3">
      <c r="D15" s="13"/>
      <c r="K15" s="6" t="s">
        <v>36</v>
      </c>
      <c r="N15" s="65" t="s">
        <v>14</v>
      </c>
      <c r="P15" s="66" t="s">
        <v>13</v>
      </c>
      <c r="S15" s="66" t="s">
        <v>90</v>
      </c>
    </row>
    <row r="16" spans="2:23" ht="13.5" customHeight="1" thickBot="1" x14ac:dyDescent="0.3">
      <c r="I16" s="24" t="s">
        <v>37</v>
      </c>
      <c r="J16" s="25" t="s">
        <v>38</v>
      </c>
      <c r="K16" s="6" t="s">
        <v>39</v>
      </c>
      <c r="N16" s="75">
        <v>186600</v>
      </c>
      <c r="P16" s="75">
        <v>13400</v>
      </c>
      <c r="R16" s="7" t="s">
        <v>79</v>
      </c>
      <c r="S16" s="87">
        <v>60160</v>
      </c>
    </row>
    <row r="17" spans="3:28" ht="16.2" thickBot="1" x14ac:dyDescent="0.3">
      <c r="D17" s="9" t="s">
        <v>65</v>
      </c>
      <c r="E17" s="10">
        <f>K13*(2*J17 + 3*J18 + 3.5*J19+ 5*J20 + 6.5*J21)/E13</f>
        <v>12.488723175207715</v>
      </c>
      <c r="I17" s="28" t="s">
        <v>24</v>
      </c>
      <c r="J17" s="49">
        <v>0.95</v>
      </c>
      <c r="K17" s="76">
        <f>$K$13*J17*D92*1000</f>
        <v>-997006.45381520141</v>
      </c>
      <c r="R17" s="7" t="s">
        <v>91</v>
      </c>
      <c r="S17" s="88">
        <f>S16*(R12/R11)</f>
        <v>60160.655582086198</v>
      </c>
    </row>
    <row r="18" spans="3:28" ht="13.5" customHeight="1" thickBot="1" x14ac:dyDescent="0.3">
      <c r="D18" s="9" t="s">
        <v>64</v>
      </c>
      <c r="E18" s="10">
        <f>E17*(1+E14)</f>
        <v>14.736693346745103</v>
      </c>
      <c r="G18" s="10">
        <f>G12*G19/(0.0820575*(G11+273.15))</f>
        <v>0.32699182253230041</v>
      </c>
      <c r="I18" s="25" t="s">
        <v>27</v>
      </c>
      <c r="J18" s="49">
        <v>0</v>
      </c>
      <c r="K18" s="76">
        <f>$K$13*J18*D93*1000</f>
        <v>0</v>
      </c>
    </row>
    <row r="19" spans="3:28" ht="14.25" customHeight="1" thickBot="1" x14ac:dyDescent="0.3">
      <c r="D19" s="9" t="s">
        <v>61</v>
      </c>
      <c r="E19" s="19">
        <f>E18*0.0820575*(E11+273.15)/E12</f>
        <v>360.53974029370488</v>
      </c>
      <c r="G19" s="46">
        <v>8</v>
      </c>
      <c r="I19" s="28" t="s">
        <v>29</v>
      </c>
      <c r="J19" s="49">
        <v>0.03</v>
      </c>
      <c r="K19" s="76">
        <f>$K$13*J19*D94*1000</f>
        <v>-56027.892811617879</v>
      </c>
      <c r="AB19" s="16"/>
    </row>
    <row r="20" spans="3:28" ht="14.25" customHeight="1" thickBot="1" x14ac:dyDescent="0.3">
      <c r="D20" s="9" t="s">
        <v>62</v>
      </c>
      <c r="E20" s="19">
        <f>E18*22.414</f>
        <v>330.30824467394473</v>
      </c>
      <c r="I20" s="28" t="s">
        <v>31</v>
      </c>
      <c r="J20" s="49">
        <v>0</v>
      </c>
      <c r="K20" s="76">
        <f>$K$13*J20*D95*1000</f>
        <v>0</v>
      </c>
    </row>
    <row r="21" spans="3:28" ht="14.25" customHeight="1" thickBot="1" x14ac:dyDescent="0.3">
      <c r="D21" s="13" t="s">
        <v>63</v>
      </c>
      <c r="E21" s="22">
        <f>E18/K13</f>
        <v>11.266190476190475</v>
      </c>
      <c r="I21" s="15" t="s">
        <v>33</v>
      </c>
      <c r="J21" s="49">
        <v>0</v>
      </c>
      <c r="K21" s="76">
        <f>$K$13*J21*D96*1000</f>
        <v>0</v>
      </c>
      <c r="M21" s="30" t="s">
        <v>20</v>
      </c>
      <c r="Q21" s="16">
        <f>-E18*(C88+D88*E11+E88*E11^2)</f>
        <v>1.9341910017602961</v>
      </c>
    </row>
    <row r="22" spans="3:28" ht="14.25" customHeight="1" x14ac:dyDescent="0.25">
      <c r="I22" s="31" t="s">
        <v>48</v>
      </c>
      <c r="J22" s="32">
        <f>1-SUM(J17:J21)</f>
        <v>2.0000000000000018E-2</v>
      </c>
      <c r="K22" s="76">
        <v>0</v>
      </c>
      <c r="M22" s="30" t="s">
        <v>23</v>
      </c>
      <c r="Q22" s="16">
        <f>K23</f>
        <v>-1053034.3466268193</v>
      </c>
      <c r="S22" s="16"/>
    </row>
    <row r="23" spans="3:28" ht="15.6" x14ac:dyDescent="0.25">
      <c r="G23" s="33"/>
      <c r="H23" s="33"/>
      <c r="I23" s="34"/>
      <c r="J23" s="35" t="s">
        <v>52</v>
      </c>
      <c r="K23" s="57">
        <f>SUM(K17:K22)</f>
        <v>-1053034.3466268193</v>
      </c>
      <c r="M23" s="30" t="s">
        <v>45</v>
      </c>
      <c r="Q23" s="16">
        <f>J27*(G83+H83*R12+I83*R12^2)</f>
        <v>42049.275388369948</v>
      </c>
      <c r="S23" s="16"/>
      <c r="T23" s="16"/>
    </row>
    <row r="24" spans="3:28" ht="15.6" x14ac:dyDescent="0.25">
      <c r="M24" s="30" t="s">
        <v>46</v>
      </c>
      <c r="Q24" s="16">
        <f>J28*(C83+D83*R12+E83*R12^2)</f>
        <v>64511.964661215781</v>
      </c>
      <c r="S24" s="16"/>
      <c r="T24" s="16"/>
      <c r="V24" s="16"/>
      <c r="X24" s="6"/>
      <c r="Y24" s="6"/>
      <c r="Z24" s="6"/>
    </row>
    <row r="25" spans="3:28" ht="14.4" customHeight="1" x14ac:dyDescent="0.25">
      <c r="C25" s="68"/>
      <c r="D25" s="70"/>
      <c r="E25" s="70"/>
      <c r="F25" s="68"/>
      <c r="G25" s="69" t="s">
        <v>4</v>
      </c>
      <c r="H25" s="68"/>
      <c r="I25" s="68"/>
      <c r="J25" s="68"/>
      <c r="K25" s="68"/>
      <c r="M25" s="30" t="s">
        <v>47</v>
      </c>
      <c r="Q25" s="16">
        <f>J30*(C78+D78*R12+E78*R12^2)</f>
        <v>245072.11090954932</v>
      </c>
      <c r="S25" s="16"/>
      <c r="T25" s="16"/>
      <c r="X25" s="6"/>
      <c r="Y25" s="6"/>
      <c r="Z25" s="6"/>
    </row>
    <row r="26" spans="3:28" ht="15.75" customHeight="1" x14ac:dyDescent="0.25">
      <c r="C26" s="7" t="s">
        <v>6</v>
      </c>
      <c r="D26" s="8" t="s">
        <v>7</v>
      </c>
      <c r="E26" s="8" t="s">
        <v>8</v>
      </c>
      <c r="I26" s="7" t="s">
        <v>98</v>
      </c>
      <c r="J26" s="71" t="s">
        <v>7</v>
      </c>
      <c r="K26" s="71" t="s">
        <v>8</v>
      </c>
      <c r="M26" s="30" t="s">
        <v>51</v>
      </c>
      <c r="Q26" s="16">
        <f>J29*(G78+H78*R12+I78*R12^2)</f>
        <v>11754.227282956934</v>
      </c>
      <c r="S26" s="16"/>
      <c r="T26" s="16"/>
    </row>
    <row r="27" spans="3:28" ht="12.75" customHeight="1" x14ac:dyDescent="0.25">
      <c r="C27" s="6" t="s">
        <v>10</v>
      </c>
      <c r="D27" s="10">
        <f>K13*(J17+2*J18+2*J19+3*J20+4*J21)</f>
        <v>1.3211262770381829</v>
      </c>
      <c r="E27" s="11">
        <f>D27/$D$31</f>
        <v>8.2239584343072075E-2</v>
      </c>
      <c r="I27" s="6" t="s">
        <v>10</v>
      </c>
      <c r="J27" s="10">
        <f>D27</f>
        <v>1.3211262770381829</v>
      </c>
      <c r="K27" s="11">
        <f>J27/$J$31</f>
        <v>8.0598983122308662E-2</v>
      </c>
      <c r="M27" s="38" t="s">
        <v>53</v>
      </c>
      <c r="N27" s="39"/>
      <c r="Q27" s="16">
        <f>H8*(G88+H88*N11+I88*N11^2)</f>
        <v>429484.14202060632</v>
      </c>
      <c r="S27" s="16"/>
      <c r="T27" s="7"/>
    </row>
    <row r="28" spans="3:28" ht="13.65" customHeight="1" x14ac:dyDescent="0.25">
      <c r="C28" s="6" t="s">
        <v>12</v>
      </c>
      <c r="D28" s="10">
        <f>K13*(2*J17+2*J18+3*J19+4*J20+5*J21)</f>
        <v>2.603011179510875</v>
      </c>
      <c r="E28" s="11">
        <f>D28/$D$31</f>
        <v>0.16203640875516181</v>
      </c>
      <c r="I28" s="6" t="s">
        <v>12</v>
      </c>
      <c r="J28" s="10">
        <f>D28</f>
        <v>2.603011179510875</v>
      </c>
      <c r="K28" s="11">
        <f>J28/$J$31</f>
        <v>0.15880393704296458</v>
      </c>
      <c r="M28" t="s">
        <v>54</v>
      </c>
      <c r="Q28" s="16">
        <f>P16</f>
        <v>13400</v>
      </c>
      <c r="S28" s="16"/>
    </row>
    <row r="29" spans="3:28" ht="13.65" customHeight="1" x14ac:dyDescent="0.25">
      <c r="C29" s="6" t="s">
        <v>16</v>
      </c>
      <c r="D29" s="10">
        <f>E13*(E18-E17)</f>
        <v>0.47207373602285135</v>
      </c>
      <c r="E29" s="11">
        <f>D29/$D$31</f>
        <v>2.9386401969717518E-2</v>
      </c>
      <c r="I29" s="6" t="s">
        <v>16</v>
      </c>
      <c r="J29" s="10">
        <f>D29+G13*G18</f>
        <v>0.54074201875463446</v>
      </c>
      <c r="K29" s="11">
        <f>J29/$J$31</f>
        <v>3.2989470878466418E-2</v>
      </c>
      <c r="M29" t="s">
        <v>93</v>
      </c>
      <c r="Q29" s="16">
        <f>N16</f>
        <v>186600</v>
      </c>
      <c r="S29" s="16"/>
    </row>
    <row r="30" spans="3:28" ht="13.5" customHeight="1" thickBot="1" x14ac:dyDescent="0.3">
      <c r="C30" s="6" t="s">
        <v>17</v>
      </c>
      <c r="D30" s="10">
        <f>K13*J22+E18*(1-E13)</f>
        <v>11.668148660305624</v>
      </c>
      <c r="E30" s="11">
        <f>D30/$D$31</f>
        <v>0.72633760493204858</v>
      </c>
      <c r="G30" t="s">
        <v>71</v>
      </c>
      <c r="I30" s="6" t="s">
        <v>17</v>
      </c>
      <c r="J30" s="10">
        <f>D30+(1-G13)*G18</f>
        <v>11.926472200106142</v>
      </c>
      <c r="K30" s="11">
        <f>J30/$J$31</f>
        <v>0.72760760895626042</v>
      </c>
      <c r="M30" t="s">
        <v>94</v>
      </c>
      <c r="Q30" s="16">
        <f>S17</f>
        <v>60160.655582086198</v>
      </c>
    </row>
    <row r="31" spans="3:28" ht="13.8" thickBot="1" x14ac:dyDescent="0.3">
      <c r="C31" s="6" t="s">
        <v>19</v>
      </c>
      <c r="D31" s="10">
        <f>SUM(D27:D30)</f>
        <v>16.064359852877534</v>
      </c>
      <c r="I31" s="6" t="s">
        <v>19</v>
      </c>
      <c r="J31" s="10">
        <f>SUM(J27:J30)</f>
        <v>16.391351675409833</v>
      </c>
      <c r="M31" t="s">
        <v>56</v>
      </c>
      <c r="Q31" s="62">
        <f>SUM(Q21:Q30)</f>
        <v>-3.6591033087461255E-2</v>
      </c>
    </row>
    <row r="32" spans="3:28" ht="15.6" x14ac:dyDescent="0.25">
      <c r="I32" s="9" t="s">
        <v>77</v>
      </c>
      <c r="J32" s="77">
        <f>J31*0.0820575*(R12+273.15)</f>
        <v>1308.9294549935069</v>
      </c>
    </row>
    <row r="33" spans="13:26" x14ac:dyDescent="0.25">
      <c r="R33" s="37"/>
    </row>
    <row r="34" spans="13:26" ht="13.8" thickBot="1" x14ac:dyDescent="0.3"/>
    <row r="35" spans="13:26" ht="14.4" thickBot="1" x14ac:dyDescent="0.3">
      <c r="O35" s="67" t="s">
        <v>106</v>
      </c>
      <c r="P35" s="56"/>
      <c r="Q35" s="83">
        <v>1800.2902977380361</v>
      </c>
    </row>
    <row r="36" spans="13:26" x14ac:dyDescent="0.25">
      <c r="M36" t="s">
        <v>20</v>
      </c>
      <c r="Q36" s="16">
        <f>-E18*(C88+D88*E11+E88*E11^2)</f>
        <v>1.9341910017602961</v>
      </c>
    </row>
    <row r="37" spans="13:26" x14ac:dyDescent="0.25">
      <c r="M37" t="s">
        <v>23</v>
      </c>
      <c r="Q37" s="16">
        <f>K23</f>
        <v>-1053034.3466268193</v>
      </c>
      <c r="Z37" s="14"/>
    </row>
    <row r="38" spans="13:26" ht="15.6" x14ac:dyDescent="0.35">
      <c r="M38" t="s">
        <v>26</v>
      </c>
      <c r="Q38" s="16">
        <f>D27*(G83+H83*Q35+I83*Q35^2)</f>
        <v>126537.83646336071</v>
      </c>
      <c r="U38" s="91" t="s">
        <v>108</v>
      </c>
      <c r="V38" s="93"/>
      <c r="W38" s="93" t="s">
        <v>107</v>
      </c>
      <c r="X38" s="93"/>
      <c r="Y38" s="93"/>
    </row>
    <row r="39" spans="13:26" ht="15.6" x14ac:dyDescent="0.35">
      <c r="M39" t="s">
        <v>28</v>
      </c>
      <c r="Q39" s="16">
        <f>J28*(C83+D83*Q35+E83*Q35^2)</f>
        <v>198689.14624439378</v>
      </c>
      <c r="T39" s="7" t="s">
        <v>99</v>
      </c>
      <c r="U39" s="89">
        <v>25</v>
      </c>
      <c r="V39" s="94">
        <v>100</v>
      </c>
      <c r="W39" s="94">
        <v>160</v>
      </c>
      <c r="X39" s="94">
        <v>220</v>
      </c>
      <c r="Y39" s="94">
        <v>300</v>
      </c>
    </row>
    <row r="40" spans="13:26" ht="16.8" x14ac:dyDescent="0.35">
      <c r="M40" t="s">
        <v>30</v>
      </c>
      <c r="Q40" s="16">
        <f>D30*(C78+D78*Q35+E78*Q35^2)</f>
        <v>685160.3614092127</v>
      </c>
      <c r="T40" s="7" t="s">
        <v>81</v>
      </c>
      <c r="U40" s="79">
        <v>32</v>
      </c>
      <c r="V40" s="95">
        <v>29.1</v>
      </c>
      <c r="W40" s="95">
        <v>27.1</v>
      </c>
      <c r="X40" s="95">
        <v>25.3</v>
      </c>
      <c r="Y40" s="95">
        <v>23.3</v>
      </c>
    </row>
    <row r="41" spans="13:26" ht="16.8" x14ac:dyDescent="0.35">
      <c r="M41" t="s">
        <v>32</v>
      </c>
      <c r="Q41" s="16">
        <f>D29*(G78+H78*Q35+I78*Q35^2)</f>
        <v>29245.067326809334</v>
      </c>
      <c r="T41" s="7" t="s">
        <v>82</v>
      </c>
      <c r="U41" s="89">
        <v>360.4</v>
      </c>
      <c r="V41" s="94">
        <v>410.2</v>
      </c>
      <c r="W41" s="94">
        <v>443.4</v>
      </c>
      <c r="X41" s="94">
        <v>471.9</v>
      </c>
      <c r="Y41" s="94">
        <v>503.9</v>
      </c>
    </row>
    <row r="42" spans="13:26" ht="16.2" thickBot="1" x14ac:dyDescent="0.3">
      <c r="M42" t="s">
        <v>34</v>
      </c>
      <c r="Q42" s="16">
        <f>P16</f>
        <v>13400</v>
      </c>
      <c r="T42" s="7" t="s">
        <v>104</v>
      </c>
      <c r="U42" s="89">
        <v>330.3</v>
      </c>
      <c r="V42" s="94">
        <v>300.3</v>
      </c>
      <c r="W42" s="94">
        <v>279.60000000000002</v>
      </c>
      <c r="X42" s="94">
        <v>261.39999999999998</v>
      </c>
      <c r="Y42" s="94">
        <v>240.1</v>
      </c>
    </row>
    <row r="43" spans="13:26" ht="13.8" thickBot="1" x14ac:dyDescent="0.3">
      <c r="M43" t="s">
        <v>35</v>
      </c>
      <c r="Q43" s="62">
        <f>SUM(Q36:Q42)</f>
        <v>-9.9204102662042715E-4</v>
      </c>
      <c r="T43" s="90" t="s">
        <v>100</v>
      </c>
      <c r="U43" s="79">
        <v>700</v>
      </c>
      <c r="V43" s="95">
        <v>645</v>
      </c>
      <c r="W43" s="95">
        <v>602</v>
      </c>
      <c r="X43" s="95">
        <v>559</v>
      </c>
      <c r="Y43" s="95">
        <v>502</v>
      </c>
    </row>
    <row r="44" spans="13:26" x14ac:dyDescent="0.25">
      <c r="T44" s="90" t="s">
        <v>109</v>
      </c>
      <c r="U44" s="79">
        <v>1800</v>
      </c>
      <c r="V44" s="95">
        <v>1847</v>
      </c>
      <c r="W44" s="95">
        <v>1885</v>
      </c>
      <c r="X44" s="95">
        <v>1923</v>
      </c>
      <c r="Y44" s="95">
        <v>1974</v>
      </c>
    </row>
    <row r="48" spans="13:26" x14ac:dyDescent="0.25">
      <c r="Q48" s="6" t="s">
        <v>79</v>
      </c>
      <c r="R48" t="s">
        <v>91</v>
      </c>
    </row>
    <row r="49" spans="13:18" x14ac:dyDescent="0.25">
      <c r="M49" t="s">
        <v>84</v>
      </c>
      <c r="Q49">
        <v>0</v>
      </c>
      <c r="R49" s="16">
        <f>E18*(C88+D88*E11+E88*E11^2)</f>
        <v>-1.9341910017602961</v>
      </c>
    </row>
    <row r="50" spans="13:18" ht="15.6" x14ac:dyDescent="0.35">
      <c r="M50" t="s">
        <v>85</v>
      </c>
      <c r="Q50" s="16">
        <f>1.321*((R11-U11)*H83+(R11^2-U11^2)*I83)</f>
        <v>-7379.8325500000001</v>
      </c>
      <c r="R50" s="16">
        <f>J27*((R12-U11)*H83+(R12^2-U11^2)*I83)</f>
        <v>-7379.9772813495974</v>
      </c>
    </row>
    <row r="51" spans="13:18" ht="15.6" x14ac:dyDescent="0.35">
      <c r="M51" t="s">
        <v>86</v>
      </c>
      <c r="Q51" s="16">
        <f>2.603*((R11-U11)*D83+(R11^2-U11^2)*E83)</f>
        <v>-11069.127350000001</v>
      </c>
      <c r="R51" s="16">
        <f>J28*((R12-U11)*D83+(R12^2-U11^2)*E83)</f>
        <v>-11068.339103931718</v>
      </c>
    </row>
    <row r="52" spans="13:18" ht="15.6" x14ac:dyDescent="0.35">
      <c r="M52" t="s">
        <v>87</v>
      </c>
      <c r="Q52" s="16">
        <f>11.926*((R11-U11)*D78+(R11^2-U11^2)*E78)</f>
        <v>-39803.621300000006</v>
      </c>
      <c r="R52" s="16">
        <f>J30*((R12-U11)*D78+(R12^2-U11^2)*E78)</f>
        <v>-39802.17288552197</v>
      </c>
    </row>
    <row r="53" spans="13:18" ht="15.6" x14ac:dyDescent="0.35">
      <c r="M53" t="s">
        <v>92</v>
      </c>
      <c r="Q53" s="16">
        <f>0.541*((R11-U11)*H78+(R11^2-U11^2)*I78)</f>
        <v>-1909.3242499999999</v>
      </c>
      <c r="R53" s="16">
        <f>J29*((R12-U11)*H78+(R12^2-U11^2)*I78)</f>
        <v>-1908.2687113014085</v>
      </c>
    </row>
    <row r="54" spans="13:18" ht="13.8" thickBot="1" x14ac:dyDescent="0.3">
      <c r="M54" t="s">
        <v>88</v>
      </c>
      <c r="Q54" s="16">
        <v>60160</v>
      </c>
      <c r="R54" s="16">
        <f>S17</f>
        <v>60160.655582086198</v>
      </c>
    </row>
    <row r="55" spans="13:18" ht="13.8" thickBot="1" x14ac:dyDescent="0.3">
      <c r="M55" t="s">
        <v>95</v>
      </c>
      <c r="Q55" s="16">
        <f>SUM(Q49:Q54)</f>
        <v>-1.9054500000056578</v>
      </c>
      <c r="R55" s="62">
        <f>SUM(R49:R54)</f>
        <v>-3.6591020259947982E-2</v>
      </c>
    </row>
    <row r="66" spans="3:20" x14ac:dyDescent="0.25">
      <c r="T66" t="s">
        <v>105</v>
      </c>
    </row>
    <row r="75" spans="3:20" ht="16.2" x14ac:dyDescent="0.25">
      <c r="C75" s="27" t="s">
        <v>69</v>
      </c>
      <c r="D75" s="1"/>
      <c r="E75" s="1"/>
      <c r="F75" s="26"/>
      <c r="G75" s="26"/>
      <c r="H75" s="26"/>
      <c r="I75" s="26"/>
    </row>
    <row r="76" spans="3:20" ht="15.6" x14ac:dyDescent="0.35">
      <c r="C76" s="29"/>
      <c r="D76" s="29" t="s">
        <v>40</v>
      </c>
      <c r="E76" s="29"/>
      <c r="G76" s="29"/>
      <c r="H76" s="29" t="s">
        <v>41</v>
      </c>
      <c r="I76" s="29"/>
    </row>
    <row r="77" spans="3:20" x14ac:dyDescent="0.25">
      <c r="C77" s="17" t="s">
        <v>42</v>
      </c>
      <c r="D77" s="17" t="s">
        <v>43</v>
      </c>
      <c r="E77" s="23" t="s">
        <v>44</v>
      </c>
      <c r="G77" s="17" t="s">
        <v>42</v>
      </c>
      <c r="H77" s="17" t="s">
        <v>43</v>
      </c>
      <c r="I77" s="23" t="s">
        <v>44</v>
      </c>
    </row>
    <row r="78" spans="3:20" x14ac:dyDescent="0.25">
      <c r="C78" s="63">
        <v>-2077</v>
      </c>
      <c r="D78" s="64">
        <v>31.4</v>
      </c>
      <c r="E78" s="52">
        <v>1.317E-3</v>
      </c>
      <c r="G78" s="63">
        <v>-2265</v>
      </c>
      <c r="H78" s="64">
        <v>33.409999999999997</v>
      </c>
      <c r="I78" s="52">
        <v>1.255E-3</v>
      </c>
    </row>
    <row r="81" spans="3:9" ht="15.6" x14ac:dyDescent="0.35">
      <c r="C81" s="29"/>
      <c r="D81" s="29" t="s">
        <v>49</v>
      </c>
      <c r="E81" s="29"/>
      <c r="G81" s="29"/>
      <c r="H81" s="29" t="s">
        <v>50</v>
      </c>
      <c r="I81" s="29"/>
    </row>
    <row r="82" spans="3:9" x14ac:dyDescent="0.25">
      <c r="C82" s="17" t="s">
        <v>42</v>
      </c>
      <c r="D82" s="17" t="s">
        <v>43</v>
      </c>
      <c r="E82" s="17" t="s">
        <v>44</v>
      </c>
      <c r="G82" s="17" t="s">
        <v>42</v>
      </c>
      <c r="H82" s="17" t="s">
        <v>43</v>
      </c>
      <c r="I82" s="36" t="s">
        <v>44</v>
      </c>
    </row>
    <row r="83" spans="3:9" x14ac:dyDescent="0.25">
      <c r="C83" s="63">
        <v>-2563</v>
      </c>
      <c r="D83" s="64">
        <v>36.04</v>
      </c>
      <c r="E83" s="52">
        <v>4.3229999999999996E-3</v>
      </c>
      <c r="G83" s="63">
        <v>-6014</v>
      </c>
      <c r="H83" s="64">
        <v>52.48</v>
      </c>
      <c r="I83" s="52">
        <v>2.2569999999999999E-3</v>
      </c>
    </row>
    <row r="85" spans="3:9" x14ac:dyDescent="0.25">
      <c r="I85" s="6" t="s">
        <v>55</v>
      </c>
    </row>
    <row r="86" spans="3:9" ht="13.8" x14ac:dyDescent="0.25">
      <c r="C86" s="29"/>
      <c r="D86" s="29" t="s">
        <v>57</v>
      </c>
      <c r="E86" s="29"/>
      <c r="G86" s="40"/>
      <c r="H86" s="41" t="s">
        <v>58</v>
      </c>
      <c r="I86" s="40"/>
    </row>
    <row r="87" spans="3:9" x14ac:dyDescent="0.25">
      <c r="C87" s="17" t="s">
        <v>42</v>
      </c>
      <c r="D87" s="17" t="s">
        <v>43</v>
      </c>
      <c r="E87" s="17" t="s">
        <v>44</v>
      </c>
      <c r="G87" s="17" t="s">
        <v>42</v>
      </c>
      <c r="H87" s="17" t="s">
        <v>43</v>
      </c>
      <c r="I87" s="17" t="s">
        <v>44</v>
      </c>
    </row>
    <row r="88" spans="3:9" x14ac:dyDescent="0.25">
      <c r="C88" s="63">
        <v>-713</v>
      </c>
      <c r="D88" s="64">
        <v>28.43</v>
      </c>
      <c r="E88" s="52">
        <v>3.3899999999999998E-3</v>
      </c>
      <c r="G88" s="50">
        <v>-21.08902231117041</v>
      </c>
      <c r="H88" s="51">
        <v>0.87457416055147885</v>
      </c>
      <c r="I88" s="52">
        <v>2.5430879845823141E-4</v>
      </c>
    </row>
    <row r="90" spans="3:9" ht="13.8" x14ac:dyDescent="0.25">
      <c r="C90" s="12"/>
      <c r="D90" s="12"/>
      <c r="E90" s="72" t="s">
        <v>21</v>
      </c>
    </row>
    <row r="91" spans="3:9" x14ac:dyDescent="0.25">
      <c r="D91" s="6" t="s">
        <v>22</v>
      </c>
    </row>
    <row r="92" spans="3:9" ht="15.6" x14ac:dyDescent="0.25">
      <c r="C92" s="17" t="s">
        <v>24</v>
      </c>
      <c r="D92" s="18">
        <v>-802.327</v>
      </c>
    </row>
    <row r="93" spans="3:9" ht="15.6" x14ac:dyDescent="0.25">
      <c r="C93" s="20" t="s">
        <v>27</v>
      </c>
      <c r="D93" s="21">
        <v>-1323.1130000000001</v>
      </c>
    </row>
    <row r="94" spans="3:9" ht="15.6" x14ac:dyDescent="0.25">
      <c r="C94" s="17" t="s">
        <v>29</v>
      </c>
      <c r="D94" s="21">
        <v>-1427.7760000000001</v>
      </c>
    </row>
    <row r="95" spans="3:9" ht="15.6" x14ac:dyDescent="0.25">
      <c r="C95" s="17" t="s">
        <v>31</v>
      </c>
      <c r="D95" s="21">
        <v>-2043.9359999999999</v>
      </c>
    </row>
    <row r="96" spans="3:9" ht="15.6" x14ac:dyDescent="0.25">
      <c r="C96" s="23" t="s">
        <v>70</v>
      </c>
      <c r="D96" s="21">
        <v>-2656.9579999999996</v>
      </c>
    </row>
  </sheetData>
  <mergeCells count="1">
    <mergeCell ref="B7:C7"/>
  </mergeCells>
  <pageMargins left="0.7" right="0.7" top="0.75" bottom="0.75" header="0.3" footer="0.3"/>
  <pageSetup orientation="portrait" verticalDpi="300" r:id="rId1"/>
  <drawing r:id="rId2"/>
  <legacyDrawing r:id="rId3"/>
  <oleObjects>
    <mc:AlternateContent xmlns:mc="http://schemas.openxmlformats.org/markup-compatibility/2006">
      <mc:Choice Requires="x14">
        <oleObject progId="Wordpad.Document.1" dvAspect="DVASPECT_ICON" shapeId="4097" r:id="rId4">
          <objectPr defaultSize="0" autoPict="0" r:id="rId5">
            <anchor moveWithCells="1">
              <from>
                <xdr:col>16</xdr:col>
                <xdr:colOff>243840</xdr:colOff>
                <xdr:row>3</xdr:row>
                <xdr:rowOff>22860</xdr:rowOff>
              </from>
              <to>
                <xdr:col>17</xdr:col>
                <xdr:colOff>434340</xdr:colOff>
                <xdr:row>5</xdr:row>
                <xdr:rowOff>457200</xdr:rowOff>
              </to>
            </anchor>
          </objectPr>
        </oleObject>
      </mc:Choice>
      <mc:Fallback>
        <oleObject progId="Wordpad.Document.1" dvAspect="DVASPECT_ICON" shapeId="4097"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election activeCell="O9" sqref="O9"/>
    </sheetView>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OxyEnrich</vt:lpstr>
      <vt:lpstr>AirPreHeat</vt:lpstr>
      <vt:lpstr>Sheet1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thermart</dc:creator>
  <cp:lastModifiedBy>thermart</cp:lastModifiedBy>
  <dcterms:created xsi:type="dcterms:W3CDTF">2012-11-19T02:37:45Z</dcterms:created>
  <dcterms:modified xsi:type="dcterms:W3CDTF">2013-01-07T19:17:51Z</dcterms:modified>
</cp:coreProperties>
</file>