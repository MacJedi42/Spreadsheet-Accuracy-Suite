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0" windowWidth="21840" windowHeight="12090" tabRatio="599"/>
  </bookViews>
  <sheets>
    <sheet name="instruction-districts" sheetId="1" r:id="rId1"/>
    <sheet name="instruction-charters" sheetId="2" r:id="rId2"/>
    <sheet name="support-districts" sheetId="3" r:id="rId3"/>
    <sheet name="support-charters" sheetId="4" r:id="rId4"/>
    <sheet name="Licensed FTEs" sheetId="7" r:id="rId5"/>
    <sheet name="Classified FTEs" sheetId="9" r:id="rId6"/>
  </sheets>
  <definedNames>
    <definedName name="_xlnm.Print_Area" localSheetId="5">'Classified FTEs'!$A$5:$AM$126</definedName>
    <definedName name="_xlnm.Print_Area" localSheetId="1">'instruction-charters'!$B$1:$N$86</definedName>
    <definedName name="_xlnm.Print_Area" localSheetId="0">'instruction-districts'!$B$1:$N$53</definedName>
    <definedName name="_xlnm.Print_Area" localSheetId="4">'Licensed FTEs'!$A$1:$Q$127</definedName>
    <definedName name="_xlnm.Print_Area" localSheetId="3">'support-charters'!$B$1:$M$86</definedName>
    <definedName name="_xlnm.Print_Area" localSheetId="2">'support-districts'!$B$1:$M$53</definedName>
    <definedName name="_xlnm.Print_Titles" localSheetId="5">'Classified FTEs'!$A:$B,'Classified FTEs'!$5:$6</definedName>
    <definedName name="_xlnm.Print_Titles" localSheetId="4">'Licensed FTEs'!$A:$B,'Licensed FTEs'!$3:$6</definedName>
  </definedNames>
  <calcPr calcId="145621"/>
</workbook>
</file>

<file path=xl/calcChain.xml><?xml version="1.0" encoding="utf-8"?>
<calcChain xmlns="http://schemas.openxmlformats.org/spreadsheetml/2006/main">
  <c r="C48" i="9" l="1"/>
  <c r="C125" i="9"/>
  <c r="C126" i="9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6" i="7"/>
  <c r="Q7" i="7"/>
  <c r="G10" i="3" l="1"/>
  <c r="E10" i="3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K10" i="4"/>
  <c r="J10" i="4"/>
  <c r="I10" i="4"/>
  <c r="G10" i="4"/>
  <c r="E10" i="4"/>
  <c r="D10" i="4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K10" i="3"/>
  <c r="J10" i="3"/>
  <c r="I10" i="3"/>
  <c r="D10" i="3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10" i="2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10" i="1"/>
  <c r="I51" i="1" s="1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7" i="9"/>
  <c r="AL8" i="9" l="1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7" i="9"/>
  <c r="AL48" i="9" s="1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G115" i="9"/>
  <c r="AG116" i="9"/>
  <c r="AG117" i="9"/>
  <c r="AG118" i="9"/>
  <c r="AG119" i="9"/>
  <c r="AG120" i="9"/>
  <c r="AG121" i="9"/>
  <c r="AG122" i="9"/>
  <c r="AG123" i="9"/>
  <c r="AG124" i="9"/>
  <c r="AG49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7" i="9"/>
  <c r="AC48" i="9" s="1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7" i="9"/>
  <c r="Z48" i="9" s="1"/>
  <c r="T50" i="9"/>
  <c r="L11" i="4" s="1"/>
  <c r="T51" i="9"/>
  <c r="L12" i="4" s="1"/>
  <c r="T52" i="9"/>
  <c r="L13" i="4" s="1"/>
  <c r="T53" i="9"/>
  <c r="L14" i="4" s="1"/>
  <c r="T54" i="9"/>
  <c r="L15" i="4" s="1"/>
  <c r="T55" i="9"/>
  <c r="L16" i="4" s="1"/>
  <c r="T56" i="9"/>
  <c r="L17" i="4" s="1"/>
  <c r="T57" i="9"/>
  <c r="L18" i="4" s="1"/>
  <c r="T58" i="9"/>
  <c r="L19" i="4" s="1"/>
  <c r="T59" i="9"/>
  <c r="L20" i="4" s="1"/>
  <c r="T60" i="9"/>
  <c r="L21" i="4" s="1"/>
  <c r="T61" i="9"/>
  <c r="L22" i="4" s="1"/>
  <c r="T62" i="9"/>
  <c r="L23" i="4" s="1"/>
  <c r="T63" i="9"/>
  <c r="L24" i="4" s="1"/>
  <c r="T64" i="9"/>
  <c r="L25" i="4" s="1"/>
  <c r="T65" i="9"/>
  <c r="L26" i="4" s="1"/>
  <c r="T66" i="9"/>
  <c r="L27" i="4" s="1"/>
  <c r="T67" i="9"/>
  <c r="L28" i="4" s="1"/>
  <c r="T68" i="9"/>
  <c r="L29" i="4" s="1"/>
  <c r="T69" i="9"/>
  <c r="L30" i="4" s="1"/>
  <c r="T70" i="9"/>
  <c r="L31" i="4" s="1"/>
  <c r="T71" i="9"/>
  <c r="L32" i="4" s="1"/>
  <c r="T72" i="9"/>
  <c r="L33" i="4" s="1"/>
  <c r="T73" i="9"/>
  <c r="L34" i="4" s="1"/>
  <c r="T74" i="9"/>
  <c r="L35" i="4" s="1"/>
  <c r="T75" i="9"/>
  <c r="L36" i="4" s="1"/>
  <c r="T76" i="9"/>
  <c r="L37" i="4" s="1"/>
  <c r="T77" i="9"/>
  <c r="L38" i="4" s="1"/>
  <c r="T78" i="9"/>
  <c r="L39" i="4" s="1"/>
  <c r="T79" i="9"/>
  <c r="L40" i="4" s="1"/>
  <c r="T80" i="9"/>
  <c r="L41" i="4" s="1"/>
  <c r="T81" i="9"/>
  <c r="L42" i="4" s="1"/>
  <c r="T82" i="9"/>
  <c r="L43" i="4" s="1"/>
  <c r="T83" i="9"/>
  <c r="L44" i="4" s="1"/>
  <c r="T84" i="9"/>
  <c r="L45" i="4" s="1"/>
  <c r="T85" i="9"/>
  <c r="L46" i="4" s="1"/>
  <c r="T86" i="9"/>
  <c r="L47" i="4" s="1"/>
  <c r="T87" i="9"/>
  <c r="L48" i="4" s="1"/>
  <c r="T88" i="9"/>
  <c r="L49" i="4" s="1"/>
  <c r="T89" i="9"/>
  <c r="L50" i="4" s="1"/>
  <c r="T90" i="9"/>
  <c r="L51" i="4" s="1"/>
  <c r="T91" i="9"/>
  <c r="L52" i="4" s="1"/>
  <c r="T92" i="9"/>
  <c r="L53" i="4" s="1"/>
  <c r="T93" i="9"/>
  <c r="L54" i="4" s="1"/>
  <c r="T94" i="9"/>
  <c r="L55" i="4" s="1"/>
  <c r="T95" i="9"/>
  <c r="L56" i="4" s="1"/>
  <c r="T96" i="9"/>
  <c r="L57" i="4" s="1"/>
  <c r="T97" i="9"/>
  <c r="L58" i="4" s="1"/>
  <c r="T98" i="9"/>
  <c r="L59" i="4" s="1"/>
  <c r="T99" i="9"/>
  <c r="L60" i="4" s="1"/>
  <c r="T100" i="9"/>
  <c r="L61" i="4" s="1"/>
  <c r="T101" i="9"/>
  <c r="L62" i="4" s="1"/>
  <c r="T102" i="9"/>
  <c r="L63" i="4" s="1"/>
  <c r="T103" i="9"/>
  <c r="L64" i="4" s="1"/>
  <c r="T104" i="9"/>
  <c r="L65" i="4" s="1"/>
  <c r="T105" i="9"/>
  <c r="L66" i="4" s="1"/>
  <c r="T106" i="9"/>
  <c r="L67" i="4" s="1"/>
  <c r="T107" i="9"/>
  <c r="L68" i="4" s="1"/>
  <c r="T108" i="9"/>
  <c r="L69" i="4" s="1"/>
  <c r="T109" i="9"/>
  <c r="L70" i="4" s="1"/>
  <c r="T110" i="9"/>
  <c r="L71" i="4" s="1"/>
  <c r="T111" i="9"/>
  <c r="L72" i="4" s="1"/>
  <c r="T112" i="9"/>
  <c r="L73" i="4" s="1"/>
  <c r="T113" i="9"/>
  <c r="L74" i="4" s="1"/>
  <c r="T114" i="9"/>
  <c r="L75" i="4" s="1"/>
  <c r="T115" i="9"/>
  <c r="L76" i="4" s="1"/>
  <c r="T116" i="9"/>
  <c r="L77" i="4" s="1"/>
  <c r="T117" i="9"/>
  <c r="L78" i="4" s="1"/>
  <c r="T118" i="9"/>
  <c r="L79" i="4" s="1"/>
  <c r="T119" i="9"/>
  <c r="L80" i="4" s="1"/>
  <c r="T120" i="9"/>
  <c r="L81" i="4" s="1"/>
  <c r="T121" i="9"/>
  <c r="L82" i="4" s="1"/>
  <c r="T122" i="9"/>
  <c r="L83" i="4" s="1"/>
  <c r="T123" i="9"/>
  <c r="L84" i="4" s="1"/>
  <c r="T124" i="9"/>
  <c r="L85" i="4" s="1"/>
  <c r="T49" i="9"/>
  <c r="L10" i="4" s="1"/>
  <c r="T8" i="9"/>
  <c r="L11" i="3" s="1"/>
  <c r="T9" i="9"/>
  <c r="L12" i="3" s="1"/>
  <c r="T10" i="9"/>
  <c r="L13" i="3" s="1"/>
  <c r="T11" i="9"/>
  <c r="L14" i="3" s="1"/>
  <c r="T12" i="9"/>
  <c r="L15" i="3" s="1"/>
  <c r="T13" i="9"/>
  <c r="L16" i="3" s="1"/>
  <c r="T14" i="9"/>
  <c r="L17" i="3" s="1"/>
  <c r="T15" i="9"/>
  <c r="L18" i="3" s="1"/>
  <c r="T16" i="9"/>
  <c r="L19" i="3" s="1"/>
  <c r="T17" i="9"/>
  <c r="L20" i="3" s="1"/>
  <c r="T18" i="9"/>
  <c r="L21" i="3" s="1"/>
  <c r="T19" i="9"/>
  <c r="L22" i="3" s="1"/>
  <c r="T20" i="9"/>
  <c r="L23" i="3" s="1"/>
  <c r="T21" i="9"/>
  <c r="L24" i="3" s="1"/>
  <c r="T22" i="9"/>
  <c r="L25" i="3" s="1"/>
  <c r="T23" i="9"/>
  <c r="L26" i="3" s="1"/>
  <c r="T24" i="9"/>
  <c r="L27" i="3" s="1"/>
  <c r="T25" i="9"/>
  <c r="L28" i="3" s="1"/>
  <c r="T26" i="9"/>
  <c r="L29" i="3" s="1"/>
  <c r="T27" i="9"/>
  <c r="T28" i="9"/>
  <c r="L31" i="3" s="1"/>
  <c r="T29" i="9"/>
  <c r="L32" i="3" s="1"/>
  <c r="T30" i="9"/>
  <c r="L33" i="3" s="1"/>
  <c r="T31" i="9"/>
  <c r="T32" i="9"/>
  <c r="L35" i="3" s="1"/>
  <c r="T33" i="9"/>
  <c r="L36" i="3" s="1"/>
  <c r="T34" i="9"/>
  <c r="L37" i="3" s="1"/>
  <c r="T35" i="9"/>
  <c r="T36" i="9"/>
  <c r="L39" i="3" s="1"/>
  <c r="T37" i="9"/>
  <c r="L40" i="3" s="1"/>
  <c r="T38" i="9"/>
  <c r="L41" i="3" s="1"/>
  <c r="T39" i="9"/>
  <c r="T40" i="9"/>
  <c r="L43" i="3" s="1"/>
  <c r="T41" i="9"/>
  <c r="L44" i="3" s="1"/>
  <c r="T42" i="9"/>
  <c r="L45" i="3" s="1"/>
  <c r="T43" i="9"/>
  <c r="T44" i="9"/>
  <c r="L47" i="3" s="1"/>
  <c r="T45" i="9"/>
  <c r="L48" i="3" s="1"/>
  <c r="T46" i="9"/>
  <c r="L49" i="3" s="1"/>
  <c r="T47" i="9"/>
  <c r="L50" i="3" s="1"/>
  <c r="T7" i="9"/>
  <c r="L10" i="3" s="1"/>
  <c r="U125" i="9"/>
  <c r="V125" i="9"/>
  <c r="W125" i="9"/>
  <c r="X125" i="9"/>
  <c r="Y125" i="9"/>
  <c r="Z125" i="9"/>
  <c r="AA125" i="9"/>
  <c r="AB125" i="9"/>
  <c r="AD125" i="9"/>
  <c r="AG125" i="9" s="1"/>
  <c r="AE125" i="9"/>
  <c r="AF125" i="9"/>
  <c r="AH125" i="9"/>
  <c r="AI125" i="9"/>
  <c r="AJ125" i="9"/>
  <c r="AK125" i="9"/>
  <c r="AL125" i="9"/>
  <c r="Q125" i="9"/>
  <c r="R125" i="9"/>
  <c r="S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AH48" i="9"/>
  <c r="AI48" i="9"/>
  <c r="AJ48" i="9"/>
  <c r="AK48" i="9"/>
  <c r="AD48" i="9"/>
  <c r="AE48" i="9"/>
  <c r="AF48" i="9"/>
  <c r="AA48" i="9"/>
  <c r="AB48" i="9"/>
  <c r="U48" i="9"/>
  <c r="V48" i="9"/>
  <c r="W48" i="9"/>
  <c r="X48" i="9"/>
  <c r="Y48" i="9"/>
  <c r="Q48" i="9"/>
  <c r="R48" i="9"/>
  <c r="S48" i="9"/>
  <c r="D48" i="9"/>
  <c r="E48" i="9"/>
  <c r="F48" i="9"/>
  <c r="G48" i="9"/>
  <c r="H48" i="9"/>
  <c r="I48" i="9"/>
  <c r="J48" i="9"/>
  <c r="K48" i="9"/>
  <c r="L48" i="9"/>
  <c r="M48" i="9"/>
  <c r="N48" i="9"/>
  <c r="O48" i="9"/>
  <c r="AC125" i="9" l="1"/>
  <c r="AM9" i="9"/>
  <c r="AM13" i="9"/>
  <c r="AM17" i="9"/>
  <c r="AM21" i="9"/>
  <c r="AM117" i="9"/>
  <c r="AM121" i="9"/>
  <c r="AM8" i="9"/>
  <c r="AM14" i="9"/>
  <c r="AM22" i="9"/>
  <c r="AM30" i="9"/>
  <c r="AM38" i="9"/>
  <c r="AM118" i="9"/>
  <c r="AM10" i="9"/>
  <c r="AM20" i="9"/>
  <c r="AM28" i="9"/>
  <c r="AM36" i="9"/>
  <c r="AM44" i="9"/>
  <c r="AM124" i="9"/>
  <c r="AM49" i="9"/>
  <c r="AM53" i="9"/>
  <c r="AM57" i="9"/>
  <c r="AM61" i="9"/>
  <c r="AM65" i="9"/>
  <c r="AM69" i="9"/>
  <c r="AM73" i="9"/>
  <c r="AM77" i="9"/>
  <c r="AM81" i="9"/>
  <c r="AM85" i="9"/>
  <c r="AM89" i="9"/>
  <c r="AM93" i="9"/>
  <c r="AM97" i="9"/>
  <c r="AM101" i="9"/>
  <c r="AM105" i="9"/>
  <c r="AM109" i="9"/>
  <c r="AM113" i="9"/>
  <c r="AM7" i="9"/>
  <c r="AM29" i="9"/>
  <c r="AM37" i="9"/>
  <c r="AM45" i="9"/>
  <c r="AM50" i="9"/>
  <c r="AM54" i="9"/>
  <c r="AM58" i="9"/>
  <c r="AM62" i="9"/>
  <c r="AM66" i="9"/>
  <c r="AM70" i="9"/>
  <c r="AM74" i="9"/>
  <c r="AM78" i="9"/>
  <c r="AM82" i="9"/>
  <c r="AM86" i="9"/>
  <c r="AM90" i="9"/>
  <c r="AM94" i="9"/>
  <c r="AM98" i="9"/>
  <c r="AM102" i="9"/>
  <c r="AM106" i="9"/>
  <c r="AM110" i="9"/>
  <c r="AM114" i="9"/>
  <c r="P48" i="9"/>
  <c r="AM48" i="9" s="1"/>
  <c r="L46" i="3"/>
  <c r="AM43" i="9"/>
  <c r="L42" i="3"/>
  <c r="AM39" i="9"/>
  <c r="L38" i="3"/>
  <c r="AM35" i="9"/>
  <c r="L34" i="3"/>
  <c r="AM31" i="9"/>
  <c r="L30" i="3"/>
  <c r="AM27" i="9"/>
  <c r="AM11" i="9"/>
  <c r="AM15" i="9"/>
  <c r="AM19" i="9"/>
  <c r="AM23" i="9"/>
  <c r="AM119" i="9"/>
  <c r="AM123" i="9"/>
  <c r="AM12" i="9"/>
  <c r="AM18" i="9"/>
  <c r="AM26" i="9"/>
  <c r="AM34" i="9"/>
  <c r="AM42" i="9"/>
  <c r="AM122" i="9"/>
  <c r="AM16" i="9"/>
  <c r="AM24" i="9"/>
  <c r="AM32" i="9"/>
  <c r="AM40" i="9"/>
  <c r="AM120" i="9"/>
  <c r="AM46" i="9"/>
  <c r="AM51" i="9"/>
  <c r="AM55" i="9"/>
  <c r="AM59" i="9"/>
  <c r="AM63" i="9"/>
  <c r="AM67" i="9"/>
  <c r="AM71" i="9"/>
  <c r="AM75" i="9"/>
  <c r="AM79" i="9"/>
  <c r="AM83" i="9"/>
  <c r="AM87" i="9"/>
  <c r="AM91" i="9"/>
  <c r="AM95" i="9"/>
  <c r="AM99" i="9"/>
  <c r="AM103" i="9"/>
  <c r="AM107" i="9"/>
  <c r="AM111" i="9"/>
  <c r="AM115" i="9"/>
  <c r="AM25" i="9"/>
  <c r="AM33" i="9"/>
  <c r="AM41" i="9"/>
  <c r="AM47" i="9"/>
  <c r="AM52" i="9"/>
  <c r="AM56" i="9"/>
  <c r="AM60" i="9"/>
  <c r="AM64" i="9"/>
  <c r="AM68" i="9"/>
  <c r="AM72" i="9"/>
  <c r="AM76" i="9"/>
  <c r="AM80" i="9"/>
  <c r="AM84" i="9"/>
  <c r="AM88" i="9"/>
  <c r="AM92" i="9"/>
  <c r="AM96" i="9"/>
  <c r="AM100" i="9"/>
  <c r="AM104" i="9"/>
  <c r="AM108" i="9"/>
  <c r="AM112" i="9"/>
  <c r="AM116" i="9"/>
  <c r="C19" i="1"/>
  <c r="P125" i="9"/>
  <c r="AM125" i="9" s="1"/>
  <c r="T125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Q126" i="9"/>
  <c r="R126" i="9"/>
  <c r="S126" i="9"/>
  <c r="T48" i="9"/>
  <c r="U126" i="9"/>
  <c r="V126" i="9"/>
  <c r="W126" i="9"/>
  <c r="X126" i="9"/>
  <c r="Y126" i="9"/>
  <c r="Z126" i="9"/>
  <c r="AA126" i="9"/>
  <c r="AB126" i="9"/>
  <c r="AC126" i="9"/>
  <c r="AD126" i="9"/>
  <c r="AG126" i="9" s="1"/>
  <c r="AE126" i="9"/>
  <c r="AF126" i="9"/>
  <c r="AG48" i="9"/>
  <c r="AH126" i="9"/>
  <c r="AI126" i="9"/>
  <c r="AJ126" i="9"/>
  <c r="AK126" i="9"/>
  <c r="AL126" i="9"/>
  <c r="P126" i="9" l="1"/>
  <c r="AM126" i="9" s="1"/>
  <c r="T126" i="9"/>
  <c r="H10" i="4"/>
  <c r="H11" i="4"/>
  <c r="H12" i="4"/>
  <c r="H13" i="4"/>
  <c r="H14" i="4"/>
  <c r="H15" i="4"/>
  <c r="F10" i="4"/>
  <c r="F11" i="4"/>
  <c r="F12" i="4"/>
  <c r="F13" i="4"/>
  <c r="F14" i="4"/>
  <c r="F15" i="4"/>
  <c r="C10" i="4"/>
  <c r="C11" i="4"/>
  <c r="C12" i="4"/>
  <c r="C13" i="4"/>
  <c r="C14" i="4"/>
  <c r="C15" i="4"/>
  <c r="C16" i="4"/>
  <c r="F16" i="4"/>
  <c r="H16" i="4"/>
  <c r="C17" i="4"/>
  <c r="F17" i="4"/>
  <c r="H17" i="4"/>
  <c r="C18" i="4"/>
  <c r="F18" i="4"/>
  <c r="H18" i="4"/>
  <c r="C19" i="4"/>
  <c r="F19" i="4"/>
  <c r="H19" i="4"/>
  <c r="C20" i="4"/>
  <c r="F20" i="4"/>
  <c r="H20" i="4"/>
  <c r="C21" i="4"/>
  <c r="F21" i="4"/>
  <c r="H21" i="4"/>
  <c r="C22" i="4"/>
  <c r="F22" i="4"/>
  <c r="H22" i="4"/>
  <c r="C23" i="4"/>
  <c r="F23" i="4"/>
  <c r="H23" i="4"/>
  <c r="C24" i="4"/>
  <c r="F24" i="4"/>
  <c r="H24" i="4"/>
  <c r="C25" i="4"/>
  <c r="F25" i="4"/>
  <c r="H25" i="4"/>
  <c r="C26" i="4"/>
  <c r="F26" i="4"/>
  <c r="H26" i="4"/>
  <c r="C27" i="4"/>
  <c r="F27" i="4"/>
  <c r="H27" i="4"/>
  <c r="C28" i="4"/>
  <c r="F28" i="4"/>
  <c r="H28" i="4"/>
  <c r="C29" i="4"/>
  <c r="F29" i="4"/>
  <c r="H29" i="4"/>
  <c r="C30" i="4"/>
  <c r="F30" i="4"/>
  <c r="H30" i="4"/>
  <c r="C31" i="4"/>
  <c r="F31" i="4"/>
  <c r="H31" i="4"/>
  <c r="C32" i="4"/>
  <c r="F32" i="4"/>
  <c r="H32" i="4"/>
  <c r="C33" i="4"/>
  <c r="F33" i="4"/>
  <c r="H33" i="4"/>
  <c r="C34" i="4"/>
  <c r="F34" i="4"/>
  <c r="H34" i="4"/>
  <c r="C35" i="4"/>
  <c r="F35" i="4"/>
  <c r="H35" i="4"/>
  <c r="C36" i="4"/>
  <c r="F36" i="4"/>
  <c r="H36" i="4"/>
  <c r="C37" i="4"/>
  <c r="F37" i="4"/>
  <c r="H37" i="4"/>
  <c r="C38" i="4"/>
  <c r="F38" i="4"/>
  <c r="H38" i="4"/>
  <c r="C39" i="4"/>
  <c r="F39" i="4"/>
  <c r="H39" i="4"/>
  <c r="C40" i="4"/>
  <c r="F40" i="4"/>
  <c r="H40" i="4"/>
  <c r="C41" i="4"/>
  <c r="F41" i="4"/>
  <c r="H41" i="4"/>
  <c r="C42" i="4"/>
  <c r="F42" i="4"/>
  <c r="H42" i="4"/>
  <c r="C43" i="4"/>
  <c r="F43" i="4"/>
  <c r="H43" i="4"/>
  <c r="C44" i="4"/>
  <c r="F44" i="4"/>
  <c r="H44" i="4"/>
  <c r="C45" i="4"/>
  <c r="F45" i="4"/>
  <c r="H45" i="4"/>
  <c r="C46" i="4"/>
  <c r="F46" i="4"/>
  <c r="H46" i="4"/>
  <c r="C47" i="4"/>
  <c r="F47" i="4"/>
  <c r="H47" i="4"/>
  <c r="C48" i="4"/>
  <c r="F48" i="4"/>
  <c r="H48" i="4"/>
  <c r="C49" i="4"/>
  <c r="F49" i="4"/>
  <c r="H49" i="4"/>
  <c r="C50" i="4"/>
  <c r="F50" i="4"/>
  <c r="H50" i="4"/>
  <c r="C51" i="4"/>
  <c r="F51" i="4"/>
  <c r="H51" i="4"/>
  <c r="C52" i="4"/>
  <c r="F52" i="4"/>
  <c r="H52" i="4"/>
  <c r="C53" i="4"/>
  <c r="F53" i="4"/>
  <c r="H53" i="4"/>
  <c r="C54" i="4"/>
  <c r="F54" i="4"/>
  <c r="H54" i="4"/>
  <c r="C55" i="4"/>
  <c r="F55" i="4"/>
  <c r="H55" i="4"/>
  <c r="C56" i="4"/>
  <c r="F56" i="4"/>
  <c r="H56" i="4"/>
  <c r="C57" i="4"/>
  <c r="F57" i="4"/>
  <c r="H57" i="4"/>
  <c r="C58" i="4"/>
  <c r="F58" i="4"/>
  <c r="H58" i="4"/>
  <c r="C59" i="4"/>
  <c r="F59" i="4"/>
  <c r="H59" i="4"/>
  <c r="C60" i="4"/>
  <c r="F60" i="4"/>
  <c r="H60" i="4"/>
  <c r="C61" i="4"/>
  <c r="F61" i="4"/>
  <c r="H61" i="4"/>
  <c r="C62" i="4"/>
  <c r="F62" i="4"/>
  <c r="H62" i="4"/>
  <c r="C63" i="4"/>
  <c r="F63" i="4"/>
  <c r="H63" i="4"/>
  <c r="C64" i="4"/>
  <c r="F64" i="4"/>
  <c r="H64" i="4"/>
  <c r="C65" i="4"/>
  <c r="F65" i="4"/>
  <c r="H65" i="4"/>
  <c r="C66" i="4"/>
  <c r="F66" i="4"/>
  <c r="H66" i="4"/>
  <c r="C67" i="4"/>
  <c r="F67" i="4"/>
  <c r="H67" i="4"/>
  <c r="C68" i="4"/>
  <c r="F68" i="4"/>
  <c r="H68" i="4"/>
  <c r="C69" i="4"/>
  <c r="F69" i="4"/>
  <c r="H69" i="4"/>
  <c r="C70" i="4"/>
  <c r="F70" i="4"/>
  <c r="H70" i="4"/>
  <c r="C71" i="4"/>
  <c r="F71" i="4"/>
  <c r="H71" i="4"/>
  <c r="C72" i="4"/>
  <c r="F72" i="4"/>
  <c r="H72" i="4"/>
  <c r="C73" i="4"/>
  <c r="F73" i="4"/>
  <c r="H73" i="4"/>
  <c r="C74" i="4"/>
  <c r="F74" i="4"/>
  <c r="H74" i="4"/>
  <c r="C75" i="4"/>
  <c r="F75" i="4"/>
  <c r="H75" i="4"/>
  <c r="C76" i="4"/>
  <c r="F76" i="4"/>
  <c r="H76" i="4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M10" i="2"/>
  <c r="L10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H10" i="2"/>
  <c r="G10" i="2"/>
  <c r="F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10" i="2"/>
  <c r="C86" i="2" s="1"/>
  <c r="C52" i="1" s="1"/>
  <c r="D86" i="2"/>
  <c r="D52" i="1" s="1"/>
  <c r="D125" i="7"/>
  <c r="E125" i="7"/>
  <c r="F125" i="7"/>
  <c r="G125" i="7"/>
  <c r="H125" i="7"/>
  <c r="I125" i="7"/>
  <c r="J125" i="7"/>
  <c r="K125" i="7"/>
  <c r="L125" i="7"/>
  <c r="M125" i="7"/>
  <c r="N125" i="7"/>
  <c r="O125" i="7"/>
  <c r="C125" i="7"/>
  <c r="Q125" i="7" s="1"/>
  <c r="P125" i="7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M10" i="1"/>
  <c r="L10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H10" i="1"/>
  <c r="G10" i="1"/>
  <c r="F10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10" i="1"/>
  <c r="C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10" i="1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10" i="3"/>
  <c r="M86" i="2"/>
  <c r="M52" i="1" s="1"/>
  <c r="G86" i="2"/>
  <c r="G52" i="1" s="1"/>
  <c r="E86" i="2"/>
  <c r="E52" i="1" s="1"/>
  <c r="H77" i="4"/>
  <c r="H78" i="4"/>
  <c r="H79" i="4"/>
  <c r="H80" i="4"/>
  <c r="H81" i="4"/>
  <c r="H82" i="4"/>
  <c r="H83" i="4"/>
  <c r="H84" i="4"/>
  <c r="H85" i="4"/>
  <c r="F77" i="4"/>
  <c r="F78" i="4"/>
  <c r="F79" i="4"/>
  <c r="F80" i="4"/>
  <c r="F81" i="4"/>
  <c r="F82" i="4"/>
  <c r="F83" i="4"/>
  <c r="F84" i="4"/>
  <c r="F85" i="4"/>
  <c r="M85" i="4" s="1"/>
  <c r="C77" i="4"/>
  <c r="C78" i="4"/>
  <c r="C79" i="4"/>
  <c r="C80" i="4"/>
  <c r="C81" i="4"/>
  <c r="C82" i="4"/>
  <c r="C83" i="4"/>
  <c r="C84" i="4"/>
  <c r="C85" i="4"/>
  <c r="D48" i="7"/>
  <c r="D127" i="7" s="1"/>
  <c r="E48" i="7"/>
  <c r="F48" i="7"/>
  <c r="F127" i="7" s="1"/>
  <c r="G48" i="7"/>
  <c r="H48" i="7"/>
  <c r="H127" i="7" s="1"/>
  <c r="I48" i="7"/>
  <c r="J48" i="7"/>
  <c r="K48" i="7"/>
  <c r="L48" i="7"/>
  <c r="M48" i="7"/>
  <c r="N48" i="7"/>
  <c r="N127" i="7" s="1"/>
  <c r="O48" i="7"/>
  <c r="P48" i="7"/>
  <c r="P127" i="7" s="1"/>
  <c r="C48" i="7"/>
  <c r="C127" i="7" s="1"/>
  <c r="C86" i="4" l="1"/>
  <c r="C52" i="3" s="1"/>
  <c r="F86" i="4"/>
  <c r="F52" i="3" s="1"/>
  <c r="H86" i="4"/>
  <c r="H52" i="3" s="1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3" i="4"/>
  <c r="M11" i="4"/>
  <c r="M14" i="4"/>
  <c r="M12" i="4"/>
  <c r="D86" i="4"/>
  <c r="D52" i="3" s="1"/>
  <c r="E86" i="4"/>
  <c r="E52" i="3" s="1"/>
  <c r="G86" i="4"/>
  <c r="G52" i="3" s="1"/>
  <c r="I86" i="4"/>
  <c r="I52" i="3" s="1"/>
  <c r="J86" i="4"/>
  <c r="J52" i="3" s="1"/>
  <c r="K86" i="4"/>
  <c r="K52" i="3" s="1"/>
  <c r="M10" i="4"/>
  <c r="L127" i="7"/>
  <c r="J127" i="7"/>
  <c r="O127" i="7"/>
  <c r="M127" i="7"/>
  <c r="K127" i="7"/>
  <c r="I127" i="7"/>
  <c r="G127" i="7"/>
  <c r="E127" i="7"/>
  <c r="Q127" i="7" s="1"/>
  <c r="N86" i="2"/>
  <c r="N52" i="1" s="1"/>
  <c r="J86" i="2"/>
  <c r="J52" i="1" s="1"/>
  <c r="K86" i="2"/>
  <c r="K52" i="1" s="1"/>
  <c r="I86" i="2"/>
  <c r="I52" i="1" s="1"/>
  <c r="F86" i="2"/>
  <c r="F52" i="1" s="1"/>
  <c r="H86" i="2"/>
  <c r="H52" i="1" s="1"/>
  <c r="L86" i="2"/>
  <c r="L52" i="1" s="1"/>
  <c r="M14" i="3"/>
  <c r="M84" i="4"/>
  <c r="M83" i="4"/>
  <c r="M82" i="4"/>
  <c r="M81" i="4"/>
  <c r="M80" i="4"/>
  <c r="M79" i="4"/>
  <c r="M78" i="4"/>
  <c r="M77" i="4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3" i="3"/>
  <c r="M12" i="3"/>
  <c r="M11" i="3"/>
  <c r="D51" i="1"/>
  <c r="D53" i="1" s="1"/>
  <c r="E51" i="1"/>
  <c r="E53" i="1" s="1"/>
  <c r="F51" i="1"/>
  <c r="G51" i="1"/>
  <c r="G53" i="1" s="1"/>
  <c r="H51" i="1"/>
  <c r="H53" i="1" s="1"/>
  <c r="I53" i="1"/>
  <c r="K51" i="1"/>
  <c r="L51" i="1"/>
  <c r="L53" i="1" s="1"/>
  <c r="M51" i="1"/>
  <c r="M53" i="1" s="1"/>
  <c r="N51" i="1"/>
  <c r="C51" i="1"/>
  <c r="C53" i="1" s="1"/>
  <c r="K53" i="1" l="1"/>
  <c r="F53" i="1"/>
  <c r="N53" i="1"/>
  <c r="L86" i="4"/>
  <c r="L52" i="3" s="1"/>
  <c r="M52" i="3" s="1"/>
  <c r="M86" i="4"/>
  <c r="H51" i="3"/>
  <c r="H53" i="3" s="1"/>
  <c r="J10" i="1"/>
  <c r="J51" i="1" s="1"/>
  <c r="J53" i="1" s="1"/>
  <c r="M10" i="3" l="1"/>
  <c r="K51" i="3"/>
  <c r="K53" i="3" s="1"/>
  <c r="J51" i="3"/>
  <c r="J53" i="3" s="1"/>
  <c r="I51" i="3"/>
  <c r="I53" i="3" s="1"/>
  <c r="G51" i="3"/>
  <c r="G53" i="3" s="1"/>
  <c r="E51" i="3"/>
  <c r="E53" i="3" s="1"/>
  <c r="F51" i="3"/>
  <c r="F53" i="3" s="1"/>
  <c r="C51" i="3"/>
  <c r="C53" i="3" s="1"/>
  <c r="D51" i="3" l="1"/>
  <c r="D53" i="3" s="1"/>
  <c r="L51" i="3" l="1"/>
  <c r="L53" i="3" s="1"/>
  <c r="M51" i="3" l="1"/>
  <c r="M53" i="3" s="1"/>
</calcChain>
</file>

<file path=xl/sharedStrings.xml><?xml version="1.0" encoding="utf-8"?>
<sst xmlns="http://schemas.openxmlformats.org/spreadsheetml/2006/main" count="916" uniqueCount="309">
  <si>
    <t>Local Education Agencies</t>
  </si>
  <si>
    <t>INSTRUCTION</t>
  </si>
  <si>
    <t>SUPPORT</t>
  </si>
  <si>
    <t>CLASSROOM TEACHERS</t>
  </si>
  <si>
    <t>Instructional Aides</t>
  </si>
  <si>
    <t>Instructional Coordinators and Supervisors</t>
  </si>
  <si>
    <t>Elementary Guidance Counselors</t>
  </si>
  <si>
    <t>Secondary Guidance Counselors</t>
  </si>
  <si>
    <t>Librarians and Media Specialists</t>
  </si>
  <si>
    <t>Library and Media Support Staff</t>
  </si>
  <si>
    <t>Kindergarten</t>
  </si>
  <si>
    <t>Elementary</t>
  </si>
  <si>
    <t>Secondary</t>
  </si>
  <si>
    <t>Special Education</t>
  </si>
  <si>
    <t>Regular</t>
  </si>
  <si>
    <t>Special</t>
  </si>
  <si>
    <t>CACTUS Database</t>
  </si>
  <si>
    <t>Classified Personnel Report</t>
  </si>
  <si>
    <t>DISTRICT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</si>
  <si>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</si>
  <si>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</si>
  <si>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</si>
  <si>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</si>
  <si>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</si>
  <si>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</si>
  <si>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</si>
  <si>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</si>
  <si>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</si>
  <si>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</si>
  <si>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</si>
  <si>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</si>
  <si>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</si>
  <si>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</si>
  <si>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</si>
  <si>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</si>
  <si>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</si>
  <si>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</si>
  <si>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</si>
  <si>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</si>
  <si>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</si>
  <si>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</si>
  <si>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</si>
  <si>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</si>
  <si>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</si>
  <si>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</si>
  <si>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</si>
  <si>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</si>
  <si>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</si>
  <si>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</si>
  <si>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</si>
  <si>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</si>
  <si>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</si>
  <si>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</si>
  <si>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</si>
  <si>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</si>
  <si>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</si>
  <si>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</si>
  <si>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</si>
  <si>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</si>
  <si>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</si>
  <si>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</si>
  <si>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</si>
  <si>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TOTAL FTEs</t>
  </si>
  <si>
    <t>LEA Administrators</t>
  </si>
  <si>
    <t>School Administrators</t>
  </si>
  <si>
    <t>8B</t>
  </si>
  <si>
    <t>3B</t>
  </si>
  <si>
    <t>9D</t>
  </si>
  <si>
    <t>2D</t>
  </si>
  <si>
    <t>3E</t>
  </si>
  <si>
    <t>A3</t>
  </si>
  <si>
    <t>4E</t>
  </si>
  <si>
    <t>A8</t>
  </si>
  <si>
    <t>5E</t>
  </si>
  <si>
    <t>3C</t>
  </si>
  <si>
    <t>5D</t>
  </si>
  <si>
    <t>1E</t>
  </si>
  <si>
    <t>2C</t>
  </si>
  <si>
    <t>A5</t>
  </si>
  <si>
    <t>4C</t>
  </si>
  <si>
    <t>5C</t>
  </si>
  <si>
    <t>6C</t>
  </si>
  <si>
    <t>2B</t>
  </si>
  <si>
    <t>2E</t>
  </si>
  <si>
    <t>A7</t>
  </si>
  <si>
    <t>7C</t>
  </si>
  <si>
    <t>8C</t>
  </si>
  <si>
    <t>9B</t>
  </si>
  <si>
    <t>6D</t>
  </si>
  <si>
    <t>A6</t>
  </si>
  <si>
    <t>5B</t>
  </si>
  <si>
    <t>A1</t>
  </si>
  <si>
    <t>1C</t>
  </si>
  <si>
    <t>8D</t>
  </si>
  <si>
    <t>9C</t>
  </si>
  <si>
    <t>A2</t>
  </si>
  <si>
    <t>7B</t>
  </si>
  <si>
    <t>1D</t>
  </si>
  <si>
    <t>7D</t>
  </si>
  <si>
    <t>3D</t>
  </si>
  <si>
    <t>A9</t>
  </si>
  <si>
    <t>A4</t>
  </si>
  <si>
    <t>4D</t>
  </si>
  <si>
    <t>1B</t>
  </si>
  <si>
    <t>4B</t>
  </si>
  <si>
    <t>CHARTER SCHOOL TOTAL</t>
  </si>
  <si>
    <t>STATE TOTAL</t>
  </si>
  <si>
    <t>1000 Instruction</t>
  </si>
  <si>
    <t>3100 School Food Services</t>
  </si>
  <si>
    <t>TOTAL CLASSIFIED PERSONNEL</t>
  </si>
  <si>
    <t>2100 Students</t>
  </si>
  <si>
    <t>2200 Instructional Staff</t>
  </si>
  <si>
    <t>2300 District Gen. Admin.</t>
  </si>
  <si>
    <t>2500 Business</t>
  </si>
  <si>
    <t>2600 Maintenance &amp; Operation</t>
  </si>
  <si>
    <t>2700 Student Transportation</t>
  </si>
  <si>
    <t>2900 Other</t>
  </si>
  <si>
    <t>Health Services Personnel</t>
  </si>
  <si>
    <t>Media Center Aides</t>
  </si>
  <si>
    <t>Accounting Personnel</t>
  </si>
  <si>
    <t>Other Personnel</t>
  </si>
  <si>
    <t>TOTAL BUSINESS</t>
  </si>
  <si>
    <t>Supervisors</t>
  </si>
  <si>
    <t>Bus Drivers</t>
  </si>
  <si>
    <t>TOTAL OTHER</t>
  </si>
  <si>
    <t>Food Service Personnel</t>
  </si>
  <si>
    <t>TOTAL SCHOOL FOODS</t>
  </si>
  <si>
    <t>LEA Administrative Support Staff</t>
  </si>
  <si>
    <t>School Administrative Support Staff</t>
  </si>
  <si>
    <t>Student Support Services Staff</t>
  </si>
  <si>
    <t>Other Support Staff</t>
  </si>
  <si>
    <t>School Nurses</t>
  </si>
  <si>
    <t>Student Transportation Supervisors</t>
  </si>
  <si>
    <t>School Food Services Supervisors</t>
  </si>
  <si>
    <t>CHARTER SCHOOL</t>
  </si>
  <si>
    <t>CLASSROOM TEACHERS</t>
  </si>
  <si>
    <t>Instructional Coordinators and Supervisors</t>
  </si>
  <si>
    <t>Elementary Guidance Counselors</t>
  </si>
  <si>
    <t>Secondary Guidance Counselors</t>
  </si>
  <si>
    <t>Librarians and Media Specialists</t>
  </si>
  <si>
    <t>LEA Administrators</t>
  </si>
  <si>
    <t>School Administrators</t>
  </si>
  <si>
    <t>Student Support Services</t>
  </si>
  <si>
    <t>TOTAL FTEs</t>
  </si>
  <si>
    <t>PreKindergarten</t>
  </si>
  <si>
    <t>Special Education</t>
  </si>
  <si>
    <t>School-Based Specialists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</si>
  <si>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</si>
  <si>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</si>
  <si>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</si>
  <si>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</si>
  <si>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</si>
  <si>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</si>
  <si>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</si>
  <si>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</si>
  <si>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</si>
  <si>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</si>
  <si>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</si>
  <si>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</si>
  <si>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</si>
  <si>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</si>
  <si>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</si>
  <si>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</si>
  <si>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</si>
  <si>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</si>
  <si>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</si>
  <si>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</si>
  <si>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</si>
  <si>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</si>
  <si>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</si>
  <si>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</si>
  <si>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</si>
  <si>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</si>
  <si>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</si>
  <si>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</si>
  <si>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</si>
  <si>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</si>
  <si>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</si>
  <si>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</si>
  <si>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</si>
  <si>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</si>
  <si>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</si>
  <si>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</si>
  <si>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</si>
  <si>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</si>
  <si>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</si>
  <si>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</si>
  <si>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ACADEMY FOR MATH ENGINEERING &amp; SCIENCE (AMES)</t>
  </si>
  <si>
    <t>AMERICAN LEADERSHIP ACADEMY</t>
  </si>
  <si>
    <t>AMERICAN PREPARATORY ACADEMY</t>
  </si>
  <si>
    <t>BEEHIVE SCIENCE &amp; TECHNOLOGY ACADEMY (BSTA)</t>
  </si>
  <si>
    <t>CANYON RIM ACADEMY</t>
  </si>
  <si>
    <t>CHANNING HALL</t>
  </si>
  <si>
    <t>CITY ACADEMY</t>
  </si>
  <si>
    <t>DAVINCI ACADEMY</t>
  </si>
  <si>
    <t>DUAL IMMERSION ACADEMY</t>
  </si>
  <si>
    <t>EAST HOLLYWOOD HIGH</t>
  </si>
  <si>
    <t>EDITH BOWEN LABORATORY SCHOOL</t>
  </si>
  <si>
    <t>ENTHEOS ACADEMY</t>
  </si>
  <si>
    <t>FAST FORWARD HIGH</t>
  </si>
  <si>
    <t>FREEDOM ACADEMY</t>
  </si>
  <si>
    <t>7E</t>
  </si>
  <si>
    <t>GATEWAY PREPARATORY ACADEMY</t>
  </si>
  <si>
    <t>GEORGE WASHINGTON ACADEMY</t>
  </si>
  <si>
    <t>GUADALUPE SCHOOL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</si>
  <si>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</si>
  <si>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</si>
  <si>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</si>
  <si>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</si>
  <si>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</si>
  <si>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</si>
  <si>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</si>
  <si>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8E</t>
  </si>
  <si>
    <t>MERIT COLLEGE PREPARATORY ACADEMY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</si>
  <si>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</si>
  <si>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</si>
  <si>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</si>
  <si>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</si>
  <si>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</si>
  <si>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</si>
  <si>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</si>
  <si>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</si>
  <si>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</si>
  <si>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</si>
  <si>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PARADIGM HIGH SCHOOL</t>
  </si>
  <si>
    <t>PINNACLE CANYON ACADEMY</t>
  </si>
  <si>
    <t>9E</t>
  </si>
  <si>
    <t>PROVIDENCE HALL</t>
  </si>
  <si>
    <t>1F</t>
  </si>
  <si>
    <t>QUEST ACADEMY</t>
  </si>
  <si>
    <t>RANCHES ACADEMY</t>
  </si>
  <si>
    <t>REAGAN ACADEMY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</si>
  <si>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</si>
  <si>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</si>
  <si>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</si>
  <si>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</si>
  <si>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</si>
  <si>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</si>
  <si>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</si>
  <si>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</si>
  <si>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</si>
  <si>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</si>
  <si>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</si>
  <si>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</t>
  </si>
  <si>
    <t>SYRACUSE ARTS ACADEMY</t>
  </si>
  <si>
    <t>THOMAS EDISON - NORTH</t>
  </si>
  <si>
    <t>TIMPANOGOS ACADEMY</t>
  </si>
  <si>
    <t>TUACAHN HIGH SCHOOL FOR THE PERFORMING ARTS</t>
  </si>
  <si>
    <t>UINTAH RIVER HIGH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</si>
  <si>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</si>
  <si>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</si>
  <si>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</si>
  <si>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</si>
  <si>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</si>
  <si>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</si>
  <si>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WASATCH PEAK ACADEMY</t>
  </si>
  <si>
    <t>Charter School Total</t>
  </si>
  <si>
    <t>State Total</t>
  </si>
  <si>
    <t>Student Support Services</t>
  </si>
  <si>
    <t>Full-Time Equivalents (FTEs) by Position</t>
  </si>
  <si>
    <t>Licensed and Classified Personnel</t>
  </si>
  <si>
    <t>Pre-Kindergarten</t>
  </si>
  <si>
    <t>2400 Sch. Admin.</t>
  </si>
  <si>
    <t>3300 Community Services</t>
  </si>
  <si>
    <t>4000 Facilities Acquisition/Construction</t>
  </si>
  <si>
    <t>Tchr. Aides &amp; Para-Professional</t>
  </si>
  <si>
    <t>Secretary/Clerical</t>
  </si>
  <si>
    <t>Supv. And Directors</t>
  </si>
  <si>
    <t>School Bus. Admin.</t>
  </si>
  <si>
    <t>Other Peronnel</t>
  </si>
  <si>
    <t>Custodians/Maintenance</t>
  </si>
  <si>
    <t>Total M &amp; O</t>
  </si>
  <si>
    <t>Mechanics/Garage Personnel</t>
  </si>
  <si>
    <t xml:space="preserve">TOTAL TRANS. </t>
  </si>
  <si>
    <t>Building/Construction</t>
  </si>
  <si>
    <t>TOTAL FACILITY/CONSTR.</t>
  </si>
  <si>
    <t>CANYONS DISTRICT</t>
  </si>
  <si>
    <t>District Total</t>
  </si>
  <si>
    <t>6F</t>
  </si>
  <si>
    <t>EARLY LIGHT ACADEMY AT DAYBREAK</t>
  </si>
  <si>
    <t>7F</t>
  </si>
  <si>
    <t>EXCELSIOR ACADEMY</t>
  </si>
  <si>
    <t>8F</t>
  </si>
  <si>
    <t>HAWTHORN ACADEMY</t>
  </si>
  <si>
    <t>9F</t>
  </si>
  <si>
    <t>OPEN HIGH SCHOOL OF UTAH</t>
  </si>
  <si>
    <t>1G</t>
  </si>
  <si>
    <t>OQUIRRH MOUNTAIN CHARTER SCHOOL</t>
  </si>
  <si>
    <t>2G</t>
  </si>
  <si>
    <t>Utah Schools For the Deaf and Blind</t>
  </si>
  <si>
    <t>Canyons</t>
  </si>
  <si>
    <t>FY 2011</t>
  </si>
  <si>
    <t>3G</t>
  </si>
  <si>
    <t>BEAR RIVER CHARTER SCHOOL</t>
  </si>
  <si>
    <t>CS LEWIS ACADEMY</t>
  </si>
  <si>
    <t>8G</t>
  </si>
  <si>
    <t>GOOD FOUNDATIONS ACADEMY</t>
  </si>
  <si>
    <t>KARL G MAESER PREPARATORY ACADEMY</t>
  </si>
  <si>
    <t>4G</t>
  </si>
  <si>
    <t>MARIA MONTESSORI ACADEMY</t>
  </si>
  <si>
    <t>MOAB CHARTER SCHOOL</t>
  </si>
  <si>
    <t>5G</t>
  </si>
  <si>
    <t>QUAIL RUN PRIMARY SCHOOL</t>
  </si>
  <si>
    <t>7G</t>
  </si>
  <si>
    <t>SUMMIT ACADEMY HIGH SCHOOL</t>
  </si>
  <si>
    <t>VISTA AT ENTRADA SCHOOL OF PERFORMING ARTS AND TECHNOLOGY</t>
  </si>
  <si>
    <t>6G</t>
  </si>
  <si>
    <t>WEILENMANN SCHOOL OF DISCOVERY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</si>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</sst>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_);\(#,##0.000\)"/>
    <numFmt numFmtId="165" formatCode="0.000"/>
    <numFmt numFmtId="166" formatCode="#,##0.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2" applyNumberFormat="0" applyFill="0" applyAlignment="0" applyProtection="0"/>
    <xf numFmtId="0" fontId="9" fillId="0" borderId="23" applyNumberFormat="0" applyFill="0" applyAlignment="0" applyProtection="0"/>
    <xf numFmtId="0" fontId="10" fillId="0" borderId="2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25" applyNumberFormat="0" applyAlignment="0" applyProtection="0"/>
    <xf numFmtId="0" fontId="15" fillId="6" borderId="26" applyNumberFormat="0" applyAlignment="0" applyProtection="0"/>
    <xf numFmtId="0" fontId="16" fillId="6" borderId="25" applyNumberFormat="0" applyAlignment="0" applyProtection="0"/>
    <xf numFmtId="0" fontId="17" fillId="0" borderId="27" applyNumberFormat="0" applyFill="0" applyAlignment="0" applyProtection="0"/>
    <xf numFmtId="0" fontId="18" fillId="7" borderId="28" applyNumberFormat="0" applyAlignment="0" applyProtection="0"/>
    <xf numFmtId="0" fontId="19" fillId="0" borderId="0" applyNumberFormat="0" applyFill="0" applyBorder="0" applyAlignment="0" applyProtection="0"/>
    <xf numFmtId="0" fontId="6" fillId="8" borderId="29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</cellStyleXfs>
  <cellXfs count="232">
    <xf numFmtId="0" fontId="0" fillId="0" borderId="0" xfId="0"/>
    <xf numFmtId="164" fontId="4" fillId="0" borderId="3" xfId="0" applyNumberFormat="1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center" wrapText="1"/>
    </xf>
    <xf numFmtId="164" fontId="5" fillId="0" borderId="4" xfId="0" applyNumberFormat="1" applyFont="1" applyBorder="1" applyAlignment="1">
      <alignment horizontal="center" wrapText="1"/>
    </xf>
    <xf numFmtId="164" fontId="4" fillId="0" borderId="0" xfId="0" applyNumberFormat="1" applyFont="1" applyFill="1" applyBorder="1" applyAlignment="1">
      <alignment horizontal="center"/>
    </xf>
    <xf numFmtId="164" fontId="4" fillId="0" borderId="5" xfId="0" quotePrefix="1" applyNumberFormat="1" applyFont="1" applyFill="1" applyBorder="1" applyAlignment="1">
      <alignment horizontal="left" indent="1"/>
    </xf>
    <xf numFmtId="164" fontId="4" fillId="0" borderId="5" xfId="0" applyNumberFormat="1" applyFont="1" applyFill="1" applyBorder="1" applyAlignment="1">
      <alignment horizontal="left" indent="1"/>
    </xf>
    <xf numFmtId="164" fontId="4" fillId="0" borderId="2" xfId="0" applyNumberFormat="1" applyFont="1" applyBorder="1" applyAlignment="1"/>
    <xf numFmtId="164" fontId="4" fillId="0" borderId="12" xfId="0" quotePrefix="1" applyNumberFormat="1" applyFont="1" applyFill="1" applyBorder="1" applyAlignment="1">
      <alignment horizontal="left" indent="1"/>
    </xf>
    <xf numFmtId="164" fontId="4" fillId="0" borderId="11" xfId="0" quotePrefix="1" applyNumberFormat="1" applyFont="1" applyFill="1" applyBorder="1" applyAlignment="1">
      <alignment horizontal="left" indent="1"/>
    </xf>
    <xf numFmtId="164" fontId="4" fillId="0" borderId="7" xfId="0" quotePrefix="1" applyNumberFormat="1" applyFont="1" applyFill="1" applyBorder="1" applyAlignment="1">
      <alignment horizontal="left" indent="1"/>
    </xf>
    <xf numFmtId="0" fontId="4" fillId="0" borderId="13" xfId="0" applyNumberFormat="1" applyFont="1" applyBorder="1" applyAlignment="1"/>
    <xf numFmtId="3" fontId="2" fillId="0" borderId="0" xfId="0" applyNumberFormat="1" applyFont="1" applyBorder="1" applyAlignment="1">
      <alignment horizontal="center" vertical="top"/>
    </xf>
    <xf numFmtId="0" fontId="4" fillId="0" borderId="1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164" fontId="5" fillId="0" borderId="7" xfId="0" applyNumberFormat="1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11" xfId="0" applyNumberFormat="1" applyFont="1" applyBorder="1" applyAlignment="1">
      <alignment horizontal="center" wrapText="1"/>
    </xf>
    <xf numFmtId="164" fontId="4" fillId="0" borderId="1" xfId="0" quotePrefix="1" applyNumberFormat="1" applyFont="1" applyFill="1" applyBorder="1" applyAlignment="1">
      <alignment horizontal="left" indent="1"/>
    </xf>
    <xf numFmtId="164" fontId="4" fillId="0" borderId="12" xfId="0" applyNumberFormat="1" applyFont="1" applyFill="1" applyBorder="1" applyAlignment="1">
      <alignment horizontal="left" indent="1"/>
    </xf>
    <xf numFmtId="164" fontId="4" fillId="0" borderId="6" xfId="0" applyNumberFormat="1" applyFont="1" applyBorder="1" applyAlignment="1">
      <alignment horizontal="center" wrapText="1"/>
    </xf>
    <xf numFmtId="164" fontId="4" fillId="0" borderId="7" xfId="0" applyNumberFormat="1" applyFont="1" applyBorder="1" applyAlignment="1"/>
    <xf numFmtId="0" fontId="4" fillId="0" borderId="17" xfId="0" applyFont="1" applyBorder="1" applyAlignment="1">
      <alignment horizontal="center" vertical="top"/>
    </xf>
    <xf numFmtId="0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8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0" fontId="3" fillId="0" borderId="7" xfId="0" applyFont="1" applyBorder="1"/>
    <xf numFmtId="165" fontId="2" fillId="0" borderId="14" xfId="0" applyNumberFormat="1" applyFont="1" applyBorder="1" applyAlignment="1"/>
    <xf numFmtId="165" fontId="2" fillId="0" borderId="6" xfId="0" applyNumberFormat="1" applyFont="1" applyBorder="1" applyAlignment="1"/>
    <xf numFmtId="165" fontId="2" fillId="0" borderId="14" xfId="0" applyNumberFormat="1" applyFont="1" applyBorder="1" applyAlignment="1">
      <alignment wrapText="1"/>
    </xf>
    <xf numFmtId="165" fontId="2" fillId="0" borderId="1" xfId="0" applyNumberFormat="1" applyFont="1" applyBorder="1" applyAlignment="1"/>
    <xf numFmtId="164" fontId="2" fillId="0" borderId="0" xfId="0" applyNumberFormat="1" applyFont="1" applyAlignment="1">
      <alignment horizontal="center"/>
    </xf>
    <xf numFmtId="0" fontId="3" fillId="0" borderId="9" xfId="0" applyFont="1" applyBorder="1"/>
    <xf numFmtId="165" fontId="2" fillId="0" borderId="0" xfId="0" applyNumberFormat="1" applyFont="1" applyBorder="1" applyAlignment="1"/>
    <xf numFmtId="165" fontId="2" fillId="0" borderId="8" xfId="0" applyNumberFormat="1" applyFont="1" applyBorder="1" applyAlignment="1"/>
    <xf numFmtId="165" fontId="2" fillId="0" borderId="0" xfId="0" applyNumberFormat="1" applyFont="1" applyBorder="1" applyAlignment="1">
      <alignment wrapText="1"/>
    </xf>
    <xf numFmtId="165" fontId="2" fillId="0" borderId="5" xfId="0" applyNumberFormat="1" applyFont="1" applyBorder="1" applyAlignment="1"/>
    <xf numFmtId="0" fontId="3" fillId="0" borderId="11" xfId="0" applyFont="1" applyBorder="1"/>
    <xf numFmtId="165" fontId="2" fillId="0" borderId="15" xfId="0" applyNumberFormat="1" applyFont="1" applyBorder="1" applyAlignment="1"/>
    <xf numFmtId="165" fontId="2" fillId="0" borderId="10" xfId="0" applyNumberFormat="1" applyFont="1" applyBorder="1" applyAlignment="1"/>
    <xf numFmtId="165" fontId="2" fillId="0" borderId="15" xfId="0" applyNumberFormat="1" applyFont="1" applyBorder="1" applyAlignment="1">
      <alignment wrapText="1"/>
    </xf>
    <xf numFmtId="165" fontId="2" fillId="0" borderId="12" xfId="0" applyNumberFormat="1" applyFont="1" applyBorder="1" applyAlignment="1"/>
    <xf numFmtId="0" fontId="3" fillId="0" borderId="5" xfId="0" applyFont="1" applyBorder="1"/>
    <xf numFmtId="165" fontId="2" fillId="0" borderId="1" xfId="0" applyNumberFormat="1" applyFont="1" applyBorder="1" applyAlignment="1">
      <alignment wrapText="1"/>
    </xf>
    <xf numFmtId="165" fontId="2" fillId="0" borderId="5" xfId="0" applyNumberFormat="1" applyFont="1" applyBorder="1" applyAlignment="1">
      <alignment wrapText="1"/>
    </xf>
    <xf numFmtId="165" fontId="2" fillId="0" borderId="12" xfId="0" applyNumberFormat="1" applyFont="1" applyBorder="1" applyAlignment="1">
      <alignment wrapText="1"/>
    </xf>
    <xf numFmtId="0" fontId="2" fillId="0" borderId="11" xfId="0" applyNumberFormat="1" applyFont="1" applyBorder="1" applyAlignment="1">
      <alignment horizontal="center" vertical="center"/>
    </xf>
    <xf numFmtId="164" fontId="4" fillId="0" borderId="4" xfId="0" applyNumberFormat="1" applyFont="1" applyBorder="1"/>
    <xf numFmtId="165" fontId="4" fillId="0" borderId="2" xfId="0" applyNumberFormat="1" applyFont="1" applyBorder="1" applyAlignment="1"/>
    <xf numFmtId="165" fontId="4" fillId="0" borderId="3" xfId="0" applyNumberFormat="1" applyFont="1" applyBorder="1" applyAlignment="1"/>
    <xf numFmtId="165" fontId="4" fillId="0" borderId="10" xfId="0" applyNumberFormat="1" applyFont="1" applyBorder="1" applyAlignment="1"/>
    <xf numFmtId="164" fontId="4" fillId="0" borderId="0" xfId="0" applyNumberFormat="1" applyFont="1"/>
    <xf numFmtId="0" fontId="2" fillId="0" borderId="0" xfId="0" applyNumberFormat="1" applyFont="1" applyBorder="1" applyAlignment="1">
      <alignment horizontal="center" vertical="center"/>
    </xf>
    <xf numFmtId="164" fontId="22" fillId="0" borderId="0" xfId="0" applyNumberFormat="1" applyFont="1" applyAlignment="1"/>
    <xf numFmtId="164" fontId="23" fillId="0" borderId="0" xfId="0" applyNumberFormat="1" applyFont="1" applyAlignment="1"/>
    <xf numFmtId="164" fontId="5" fillId="0" borderId="6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 wrapText="1"/>
    </xf>
    <xf numFmtId="164" fontId="5" fillId="0" borderId="13" xfId="0" applyNumberFormat="1" applyFont="1" applyFill="1" applyBorder="1" applyAlignment="1">
      <alignment horizontal="center" wrapText="1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3" fontId="2" fillId="0" borderId="8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3" fontId="2" fillId="0" borderId="0" xfId="0" applyNumberFormat="1" applyFont="1" applyBorder="1"/>
    <xf numFmtId="164" fontId="2" fillId="0" borderId="5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2" fillId="0" borderId="15" xfId="0" applyNumberFormat="1" applyFont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164" fontId="4" fillId="0" borderId="2" xfId="0" applyNumberFormat="1" applyFont="1" applyFill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right"/>
    </xf>
    <xf numFmtId="164" fontId="4" fillId="0" borderId="12" xfId="0" applyNumberFormat="1" applyFont="1" applyBorder="1" applyAlignment="1">
      <alignment horizontal="right"/>
    </xf>
    <xf numFmtId="164" fontId="4" fillId="0" borderId="15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1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/>
    <xf numFmtId="165" fontId="4" fillId="0" borderId="7" xfId="0" applyNumberFormat="1" applyFont="1" applyBorder="1" applyAlignment="1">
      <alignment vertical="top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4" fillId="0" borderId="3" xfId="0" applyNumberFormat="1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0" fontId="3" fillId="0" borderId="0" xfId="0" applyFont="1" applyAlignment="1">
      <alignment horizontal="center"/>
    </xf>
    <xf numFmtId="165" fontId="4" fillId="0" borderId="9" xfId="0" applyNumberFormat="1" applyFont="1" applyBorder="1" applyAlignment="1">
      <alignment vertical="top"/>
    </xf>
    <xf numFmtId="165" fontId="4" fillId="0" borderId="11" xfId="0" applyNumberFormat="1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3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left" vertical="center"/>
    </xf>
    <xf numFmtId="166" fontId="2" fillId="0" borderId="0" xfId="0" applyNumberFormat="1" applyFont="1"/>
    <xf numFmtId="3" fontId="5" fillId="0" borderId="16" xfId="0" applyNumberFormat="1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166" fontId="25" fillId="0" borderId="1" xfId="0" applyNumberFormat="1" applyFont="1" applyBorder="1" applyAlignment="1">
      <alignment wrapText="1"/>
    </xf>
    <xf numFmtId="166" fontId="25" fillId="0" borderId="7" xfId="0" applyNumberFormat="1" applyFont="1" applyBorder="1" applyAlignment="1">
      <alignment wrapText="1"/>
    </xf>
    <xf numFmtId="166" fontId="24" fillId="0" borderId="2" xfId="0" applyNumberFormat="1" applyFont="1" applyBorder="1" applyAlignment="1">
      <alignment horizontal="center" vertical="center" wrapText="1"/>
    </xf>
    <xf numFmtId="166" fontId="24" fillId="0" borderId="13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wrapText="1"/>
    </xf>
    <xf numFmtId="166" fontId="4" fillId="0" borderId="7" xfId="0" applyNumberFormat="1" applyFont="1" applyBorder="1" applyAlignment="1">
      <alignment horizontal="left" vertical="center" wrapText="1"/>
    </xf>
    <xf numFmtId="4" fontId="3" fillId="0" borderId="0" xfId="0" applyNumberFormat="1" applyFont="1"/>
    <xf numFmtId="166" fontId="2" fillId="0" borderId="7" xfId="0" applyNumberFormat="1" applyFont="1" applyBorder="1" applyAlignment="1">
      <alignment horizontal="right" wrapText="1"/>
    </xf>
    <xf numFmtId="166" fontId="4" fillId="0" borderId="9" xfId="0" applyNumberFormat="1" applyFont="1" applyBorder="1" applyAlignment="1">
      <alignment horizontal="left" vertical="center" wrapText="1"/>
    </xf>
    <xf numFmtId="166" fontId="4" fillId="0" borderId="11" xfId="0" applyNumberFormat="1" applyFont="1" applyBorder="1" applyAlignment="1">
      <alignment horizontal="left" vertical="center" wrapText="1"/>
    </xf>
    <xf numFmtId="3" fontId="4" fillId="0" borderId="0" xfId="0" applyNumberFormat="1" applyFont="1" applyBorder="1" applyAlignment="1">
      <alignment horizontal="center" wrapText="1"/>
    </xf>
    <xf numFmtId="166" fontId="4" fillId="0" borderId="13" xfId="0" applyNumberFormat="1" applyFont="1" applyBorder="1" applyAlignment="1">
      <alignment horizontal="left" vertical="center" wrapText="1"/>
    </xf>
    <xf numFmtId="166" fontId="4" fillId="0" borderId="3" xfId="0" applyNumberFormat="1" applyFont="1" applyBorder="1" applyAlignment="1">
      <alignment horizontal="right" wrapText="1"/>
    </xf>
    <xf numFmtId="166" fontId="4" fillId="0" borderId="4" xfId="0" applyNumberFormat="1" applyFont="1" applyBorder="1" applyAlignment="1">
      <alignment horizontal="right" wrapText="1"/>
    </xf>
    <xf numFmtId="166" fontId="4" fillId="0" borderId="0" xfId="0" applyNumberFormat="1" applyFont="1"/>
    <xf numFmtId="166" fontId="4" fillId="0" borderId="3" xfId="0" applyNumberFormat="1" applyFont="1" applyBorder="1" applyAlignment="1">
      <alignment wrapText="1"/>
    </xf>
    <xf numFmtId="3" fontId="2" fillId="0" borderId="8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left" vertical="center"/>
    </xf>
    <xf numFmtId="3" fontId="4" fillId="0" borderId="8" xfId="0" applyNumberFormat="1" applyFont="1" applyBorder="1" applyAlignment="1">
      <alignment horizontal="center"/>
    </xf>
    <xf numFmtId="166" fontId="4" fillId="0" borderId="12" xfId="0" applyNumberFormat="1" applyFont="1" applyBorder="1"/>
    <xf numFmtId="166" fontId="4" fillId="0" borderId="15" xfId="0" applyNumberFormat="1" applyFont="1" applyBorder="1"/>
    <xf numFmtId="166" fontId="4" fillId="0" borderId="10" xfId="0" applyNumberFormat="1" applyFont="1" applyBorder="1"/>
    <xf numFmtId="164" fontId="2" fillId="0" borderId="15" xfId="0" applyNumberFormat="1" applyFont="1" applyBorder="1"/>
    <xf numFmtId="164" fontId="4" fillId="0" borderId="5" xfId="0" applyNumberFormat="1" applyFont="1" applyBorder="1" applyAlignment="1">
      <alignment horizontal="center" wrapText="1"/>
    </xf>
    <xf numFmtId="164" fontId="4" fillId="0" borderId="0" xfId="0" applyNumberFormat="1" applyFont="1" applyFill="1" applyBorder="1" applyAlignment="1">
      <alignment horizontal="center" wrapText="1"/>
    </xf>
    <xf numFmtId="164" fontId="4" fillId="0" borderId="0" xfId="0" applyNumberFormat="1" applyFont="1" applyBorder="1" applyAlignment="1">
      <alignment horizontal="center" wrapText="1"/>
    </xf>
    <xf numFmtId="164" fontId="4" fillId="0" borderId="7" xfId="0" applyNumberFormat="1" applyFont="1" applyBorder="1"/>
    <xf numFmtId="164" fontId="4" fillId="0" borderId="7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4" fontId="2" fillId="0" borderId="0" xfId="0" applyNumberFormat="1" applyFont="1" applyBorder="1"/>
    <xf numFmtId="164" fontId="4" fillId="0" borderId="11" xfId="0" applyNumberFormat="1" applyFont="1" applyBorder="1"/>
    <xf numFmtId="0" fontId="4" fillId="0" borderId="13" xfId="0" applyNumberFormat="1" applyFont="1" applyBorder="1"/>
    <xf numFmtId="164" fontId="4" fillId="0" borderId="3" xfId="0" applyNumberFormat="1" applyFont="1" applyBorder="1"/>
    <xf numFmtId="164" fontId="4" fillId="0" borderId="2" xfId="0" applyNumberFormat="1" applyFont="1" applyBorder="1"/>
    <xf numFmtId="164" fontId="4" fillId="0" borderId="13" xfId="0" applyNumberFormat="1" applyFont="1" applyBorder="1"/>
    <xf numFmtId="0" fontId="4" fillId="0" borderId="0" xfId="0" applyNumberFormat="1" applyFont="1"/>
    <xf numFmtId="164" fontId="5" fillId="0" borderId="7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wrapText="1"/>
    </xf>
    <xf numFmtId="164" fontId="22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164" fontId="5" fillId="0" borderId="9" xfId="0" applyNumberFormat="1" applyFont="1" applyBorder="1" applyAlignment="1"/>
    <xf numFmtId="164" fontId="5" fillId="0" borderId="11" xfId="0" applyNumberFormat="1" applyFont="1" applyBorder="1" applyAlignment="1"/>
    <xf numFmtId="164" fontId="5" fillId="0" borderId="3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 wrapText="1"/>
    </xf>
    <xf numFmtId="164" fontId="5" fillId="0" borderId="8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 wrapText="1"/>
    </xf>
    <xf numFmtId="164" fontId="3" fillId="0" borderId="11" xfId="0" applyNumberFormat="1" applyFont="1" applyBorder="1" applyAlignment="1">
      <alignment horizontal="center" wrapText="1"/>
    </xf>
    <xf numFmtId="164" fontId="22" fillId="0" borderId="15" xfId="0" applyNumberFormat="1" applyFont="1" applyBorder="1" applyAlignment="1">
      <alignment horizontal="center"/>
    </xf>
    <xf numFmtId="164" fontId="3" fillId="0" borderId="5" xfId="0" applyNumberFormat="1" applyFont="1" applyBorder="1" applyAlignment="1"/>
    <xf numFmtId="164" fontId="3" fillId="0" borderId="12" xfId="0" applyNumberFormat="1" applyFont="1" applyBorder="1" applyAlignment="1"/>
    <xf numFmtId="164" fontId="5" fillId="0" borderId="6" xfId="0" applyNumberFormat="1" applyFont="1" applyFill="1" applyBorder="1" applyAlignment="1">
      <alignment horizontal="center"/>
    </xf>
    <xf numFmtId="164" fontId="5" fillId="0" borderId="8" xfId="0" applyNumberFormat="1" applyFont="1" applyBorder="1"/>
    <xf numFmtId="164" fontId="5" fillId="0" borderId="10" xfId="0" applyNumberFormat="1" applyFont="1" applyBorder="1"/>
    <xf numFmtId="164" fontId="3" fillId="0" borderId="6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7" xfId="0" applyNumberFormat="1" applyFont="1" applyBorder="1" applyAlignment="1">
      <alignment horizontal="center" wrapText="1"/>
    </xf>
    <xf numFmtId="0" fontId="5" fillId="0" borderId="9" xfId="0" applyNumberFormat="1" applyFont="1" applyBorder="1" applyAlignment="1"/>
    <xf numFmtId="164" fontId="4" fillId="0" borderId="6" xfId="0" applyNumberFormat="1" applyFont="1" applyFill="1" applyBorder="1" applyAlignment="1">
      <alignment horizontal="center"/>
    </xf>
    <xf numFmtId="164" fontId="4" fillId="0" borderId="8" xfId="0" applyNumberFormat="1" applyFont="1" applyBorder="1"/>
    <xf numFmtId="164" fontId="4" fillId="0" borderId="10" xfId="0" applyNumberFormat="1" applyFont="1" applyBorder="1"/>
    <xf numFmtId="164" fontId="3" fillId="0" borderId="6" xfId="0" applyNumberFormat="1" applyFont="1" applyBorder="1" applyAlignment="1"/>
    <xf numFmtId="164" fontId="3" fillId="0" borderId="10" xfId="0" applyNumberFormat="1" applyFont="1" applyBorder="1" applyAlignment="1"/>
    <xf numFmtId="166" fontId="24" fillId="0" borderId="7" xfId="0" applyNumberFormat="1" applyFont="1" applyBorder="1" applyAlignment="1">
      <alignment horizontal="center" vertical="center" wrapText="1"/>
    </xf>
    <xf numFmtId="166" fontId="24" fillId="0" borderId="9" xfId="0" applyNumberFormat="1" applyFont="1" applyBorder="1" applyAlignment="1">
      <alignment horizontal="center" vertical="center" wrapText="1"/>
    </xf>
    <xf numFmtId="166" fontId="24" fillId="0" borderId="11" xfId="0" applyNumberFormat="1" applyFont="1" applyBorder="1" applyAlignment="1">
      <alignment horizontal="center" vertical="center" wrapText="1"/>
    </xf>
    <xf numFmtId="166" fontId="24" fillId="0" borderId="7" xfId="0" applyNumberFormat="1" applyFont="1" applyBorder="1" applyAlignment="1">
      <alignment horizontal="center" wrapText="1"/>
    </xf>
    <xf numFmtId="166" fontId="24" fillId="0" borderId="9" xfId="0" applyNumberFormat="1" applyFont="1" applyBorder="1" applyAlignment="1">
      <alignment horizontal="center" wrapText="1"/>
    </xf>
    <xf numFmtId="166" fontId="24" fillId="0" borderId="11" xfId="0" applyNumberFormat="1" applyFont="1" applyBorder="1" applyAlignment="1">
      <alignment horizontal="center" wrapText="1"/>
    </xf>
    <xf numFmtId="166" fontId="24" fillId="0" borderId="1" xfId="0" applyNumberFormat="1" applyFont="1" applyBorder="1" applyAlignment="1">
      <alignment horizontal="center" vertical="center" wrapText="1"/>
    </xf>
    <xf numFmtId="166" fontId="24" fillId="0" borderId="14" xfId="0" applyNumberFormat="1" applyFont="1" applyBorder="1" applyAlignment="1">
      <alignment horizontal="center" vertical="center" wrapText="1"/>
    </xf>
    <xf numFmtId="166" fontId="24" fillId="0" borderId="0" xfId="0" applyNumberFormat="1" applyFont="1" applyBorder="1" applyAlignment="1">
      <alignment horizontal="center" vertical="center" wrapText="1"/>
    </xf>
    <xf numFmtId="166" fontId="24" fillId="0" borderId="1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164" fontId="5" fillId="0" borderId="8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 wrapText="1"/>
    </xf>
    <xf numFmtId="164" fontId="2" fillId="0" borderId="8" xfId="0" applyNumberFormat="1" applyFont="1" applyBorder="1"/>
    <xf numFmtId="164" fontId="24" fillId="0" borderId="13" xfId="0" applyNumberFormat="1" applyFont="1" applyBorder="1" applyAlignment="1">
      <alignment horizontal="center" vertical="center" wrapText="1"/>
    </xf>
    <xf numFmtId="164" fontId="24" fillId="0" borderId="4" xfId="0" applyNumberFormat="1" applyFont="1" applyFill="1" applyBorder="1" applyAlignment="1">
      <alignment horizontal="center" vertical="center" wrapText="1"/>
    </xf>
    <xf numFmtId="164" fontId="24" fillId="0" borderId="4" xfId="0" applyNumberFormat="1" applyFont="1" applyBorder="1" applyAlignment="1">
      <alignment horizontal="center" vertical="center" wrapText="1"/>
    </xf>
    <xf numFmtId="164" fontId="24" fillId="0" borderId="13" xfId="0" applyNumberFormat="1" applyFont="1" applyFill="1" applyBorder="1" applyAlignment="1">
      <alignment horizontal="center" vertical="center" wrapText="1"/>
    </xf>
    <xf numFmtId="164" fontId="2" fillId="0" borderId="10" xfId="0" applyNumberFormat="1" applyFont="1" applyBorder="1"/>
    <xf numFmtId="165" fontId="2" fillId="0" borderId="1" xfId="0" applyNumberFormat="1" applyFont="1" applyBorder="1"/>
    <xf numFmtId="165" fontId="2" fillId="0" borderId="6" xfId="0" applyNumberFormat="1" applyFont="1" applyBorder="1"/>
    <xf numFmtId="165" fontId="2" fillId="0" borderId="5" xfId="0" applyNumberFormat="1" applyFont="1" applyBorder="1"/>
    <xf numFmtId="165" fontId="2" fillId="0" borderId="8" xfId="0" applyNumberFormat="1" applyFont="1" applyBorder="1"/>
    <xf numFmtId="3" fontId="2" fillId="0" borderId="10" xfId="0" applyNumberFormat="1" applyFont="1" applyBorder="1"/>
    <xf numFmtId="165" fontId="2" fillId="0" borderId="12" xfId="0" applyNumberFormat="1" applyFont="1" applyBorder="1"/>
    <xf numFmtId="165" fontId="2" fillId="0" borderId="10" xfId="0" applyNumberFormat="1" applyFont="1" applyBorder="1"/>
    <xf numFmtId="165" fontId="2" fillId="0" borderId="0" xfId="0" applyNumberFormat="1" applyFont="1"/>
    <xf numFmtId="165" fontId="2" fillId="0" borderId="14" xfId="0" applyNumberFormat="1" applyFont="1" applyBorder="1"/>
    <xf numFmtId="165" fontId="2" fillId="0" borderId="0" xfId="0" applyNumberFormat="1" applyFont="1" applyBorder="1"/>
    <xf numFmtId="165" fontId="2" fillId="0" borderId="15" xfId="0" applyNumberFormat="1" applyFont="1" applyBorder="1"/>
    <xf numFmtId="164" fontId="4" fillId="0" borderId="5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tabSelected="1" zoomScale="80" zoomScaleNormal="80" zoomScaleSheetLayoutView="100" zoomScalePageLayoutView="70" workbookViewId="0">
      <selection activeCell="A2" sqref="A2"/>
    </sheetView>
  </sheetViews>
  <sheetFormatPr defaultColWidth="9.140625" defaultRowHeight="12.75" x14ac:dyDescent="0.2"/>
  <cols>
    <col min="1" max="1" width="3" style="27" bestFit="1" customWidth="1"/>
    <col min="2" max="2" width="12.42578125" style="27" customWidth="1"/>
    <col min="3" max="4" width="11.7109375" style="27" customWidth="1"/>
    <col min="5" max="5" width="13.85546875" style="27" customWidth="1"/>
    <col min="6" max="6" width="13" style="27" customWidth="1"/>
    <col min="7" max="7" width="13.7109375" style="27" customWidth="1"/>
    <col min="8" max="8" width="12.28515625" style="27" customWidth="1"/>
    <col min="9" max="9" width="15.140625" style="27" customWidth="1"/>
    <col min="10" max="10" width="15" style="27" customWidth="1"/>
    <col min="11" max="12" width="15.140625" style="27" customWidth="1"/>
    <col min="13" max="13" width="14.42578125" style="27" customWidth="1"/>
    <col min="14" max="14" width="14.7109375" style="27" customWidth="1"/>
    <col min="15" max="16384" width="9.140625" style="27"/>
  </cols>
  <sheetData>
    <row r="1" spans="1:15" ht="18.75" x14ac:dyDescent="0.3">
      <c r="B1" s="155" t="s">
        <v>259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5" ht="18.75" x14ac:dyDescent="0.3">
      <c r="B2" s="155" t="s">
        <v>260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5" ht="19.5" thickBot="1" x14ac:dyDescent="0.35">
      <c r="B3" s="155" t="s">
        <v>291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15" ht="17.25" customHeight="1" thickBot="1" x14ac:dyDescent="0.3">
      <c r="B4" s="166" t="s">
        <v>0</v>
      </c>
      <c r="C4" s="160" t="s">
        <v>1</v>
      </c>
      <c r="D4" s="159"/>
      <c r="E4" s="159"/>
      <c r="F4" s="159"/>
      <c r="G4" s="159"/>
      <c r="H4" s="159"/>
      <c r="I4" s="159"/>
      <c r="J4" s="163"/>
      <c r="K4" s="159" t="s">
        <v>2</v>
      </c>
      <c r="L4" s="159"/>
      <c r="M4" s="161"/>
      <c r="N4" s="162"/>
    </row>
    <row r="5" spans="1:15" ht="15.75" customHeight="1" thickBot="1" x14ac:dyDescent="0.3">
      <c r="B5" s="172"/>
      <c r="C5" s="160" t="s">
        <v>3</v>
      </c>
      <c r="D5" s="159"/>
      <c r="E5" s="159"/>
      <c r="F5" s="159"/>
      <c r="G5" s="159"/>
      <c r="H5" s="163"/>
      <c r="I5" s="164" t="s">
        <v>4</v>
      </c>
      <c r="J5" s="153" t="s">
        <v>5</v>
      </c>
      <c r="K5" s="164" t="s">
        <v>6</v>
      </c>
      <c r="L5" s="153" t="s">
        <v>7</v>
      </c>
      <c r="M5" s="153" t="s">
        <v>8</v>
      </c>
      <c r="N5" s="153" t="s">
        <v>9</v>
      </c>
    </row>
    <row r="6" spans="1:15" ht="15.75" thickBot="1" x14ac:dyDescent="0.3">
      <c r="B6" s="172"/>
      <c r="C6" s="160" t="s">
        <v>261</v>
      </c>
      <c r="D6" s="159"/>
      <c r="E6" s="151" t="s">
        <v>10</v>
      </c>
      <c r="F6" s="151" t="s">
        <v>11</v>
      </c>
      <c r="G6" s="151" t="s">
        <v>12</v>
      </c>
      <c r="H6" s="153" t="s">
        <v>13</v>
      </c>
      <c r="I6" s="165"/>
      <c r="J6" s="152"/>
      <c r="K6" s="212"/>
      <c r="L6" s="169"/>
      <c r="M6" s="154"/>
      <c r="N6" s="154"/>
    </row>
    <row r="7" spans="1:15" ht="27.75" customHeight="1" thickBot="1" x14ac:dyDescent="0.3">
      <c r="B7" s="172"/>
      <c r="C7" s="29" t="s">
        <v>14</v>
      </c>
      <c r="D7" s="63" t="s">
        <v>15</v>
      </c>
      <c r="E7" s="152"/>
      <c r="F7" s="152"/>
      <c r="G7" s="152"/>
      <c r="H7" s="154"/>
      <c r="I7" s="165"/>
      <c r="J7" s="152"/>
      <c r="K7" s="213"/>
      <c r="L7" s="170"/>
      <c r="M7" s="168"/>
      <c r="N7" s="168"/>
    </row>
    <row r="8" spans="1:15" ht="24.75" thickBot="1" x14ac:dyDescent="0.25">
      <c r="A8" s="214"/>
      <c r="B8" s="173"/>
      <c r="C8" s="215" t="s">
        <v>16</v>
      </c>
      <c r="D8" s="215" t="s">
        <v>16</v>
      </c>
      <c r="E8" s="215" t="s">
        <v>16</v>
      </c>
      <c r="F8" s="215" t="s">
        <v>16</v>
      </c>
      <c r="G8" s="215" t="s">
        <v>16</v>
      </c>
      <c r="H8" s="215" t="s">
        <v>16</v>
      </c>
      <c r="I8" s="216" t="s">
        <v>17</v>
      </c>
      <c r="J8" s="215" t="s">
        <v>16</v>
      </c>
      <c r="K8" s="217" t="s">
        <v>16</v>
      </c>
      <c r="L8" s="217" t="s">
        <v>16</v>
      </c>
      <c r="M8" s="215" t="s">
        <v>16</v>
      </c>
      <c r="N8" s="218" t="s">
        <v>17</v>
      </c>
    </row>
    <row r="9" spans="1:15" ht="13.5" thickBot="1" x14ac:dyDescent="0.25">
      <c r="A9" s="219"/>
      <c r="B9" s="7" t="s">
        <v>18</v>
      </c>
      <c r="C9" s="66"/>
      <c r="D9" s="67"/>
      <c r="E9" s="67"/>
      <c r="F9" s="67"/>
      <c r="G9" s="67"/>
      <c r="H9" s="68"/>
      <c r="I9" s="67"/>
      <c r="J9" s="68"/>
      <c r="K9" s="67"/>
      <c r="L9" s="67"/>
      <c r="M9" s="67"/>
      <c r="N9" s="68"/>
    </row>
    <row r="10" spans="1:15" x14ac:dyDescent="0.2">
      <c r="A10" s="74">
        <v>1</v>
      </c>
      <c r="B10" s="5" t="s">
        <v>19</v>
      </c>
      <c r="C10" s="70">
        <f>'Licensed FTEs'!C7</f>
        <v>10.14</v>
      </c>
      <c r="D10" s="71">
        <f>'Licensed FTEs'!D7</f>
        <v>22.5</v>
      </c>
      <c r="E10" s="71">
        <f>'Licensed FTEs'!E7</f>
        <v>124.04</v>
      </c>
      <c r="F10" s="71">
        <f>'Licensed FTEs'!F7</f>
        <v>1342.61</v>
      </c>
      <c r="G10" s="71">
        <f>'Licensed FTEs'!G7</f>
        <v>1031.49</v>
      </c>
      <c r="H10" s="72">
        <f>'Licensed FTEs'!H7</f>
        <v>264.68</v>
      </c>
      <c r="I10" s="220">
        <f>'Classified FTEs'!C7</f>
        <v>830.99</v>
      </c>
      <c r="J10" s="72">
        <f>'Licensed FTEs'!I7+'Licensed FTEs'!J7</f>
        <v>127.09</v>
      </c>
      <c r="K10" s="71">
        <f>'Licensed FTEs'!K7</f>
        <v>0</v>
      </c>
      <c r="L10" s="71">
        <f>'Licensed FTEs'!L7</f>
        <v>82.92</v>
      </c>
      <c r="M10" s="71">
        <f>'Licensed FTEs'!M7</f>
        <v>22.64</v>
      </c>
      <c r="N10" s="221">
        <f>'Classified FTEs'!G7</f>
        <v>69</v>
      </c>
      <c r="O10" s="39"/>
    </row>
    <row r="11" spans="1:15" x14ac:dyDescent="0.2">
      <c r="A11" s="74">
        <v>2</v>
      </c>
      <c r="B11" s="5" t="s">
        <v>20</v>
      </c>
      <c r="C11" s="75">
        <f>'Licensed FTEs'!C8</f>
        <v>0.5</v>
      </c>
      <c r="D11" s="76">
        <f>'Licensed FTEs'!D8</f>
        <v>0</v>
      </c>
      <c r="E11" s="76">
        <f>'Licensed FTEs'!E8</f>
        <v>3.44</v>
      </c>
      <c r="F11" s="76">
        <f>'Licensed FTEs'!F8</f>
        <v>34.94</v>
      </c>
      <c r="G11" s="76">
        <f>'Licensed FTEs'!G8</f>
        <v>31.33</v>
      </c>
      <c r="H11" s="77">
        <f>'Licensed FTEs'!H8</f>
        <v>7.35</v>
      </c>
      <c r="I11" s="222">
        <f>'Classified FTEs'!C8</f>
        <v>34</v>
      </c>
      <c r="J11" s="77">
        <f>'Licensed FTEs'!I8+'Licensed FTEs'!J8</f>
        <v>0.41000000000000003</v>
      </c>
      <c r="K11" s="76">
        <f>'Licensed FTEs'!K8</f>
        <v>0</v>
      </c>
      <c r="L11" s="76">
        <f>'Licensed FTEs'!L8</f>
        <v>1.53</v>
      </c>
      <c r="M11" s="76">
        <f>'Licensed FTEs'!M8</f>
        <v>0</v>
      </c>
      <c r="N11" s="223">
        <f>'Classified FTEs'!G8</f>
        <v>3</v>
      </c>
      <c r="O11" s="39"/>
    </row>
    <row r="12" spans="1:15" x14ac:dyDescent="0.2">
      <c r="A12" s="74">
        <v>3</v>
      </c>
      <c r="B12" s="5" t="s">
        <v>21</v>
      </c>
      <c r="C12" s="75">
        <f>'Licensed FTEs'!C9</f>
        <v>1</v>
      </c>
      <c r="D12" s="76">
        <f>'Licensed FTEs'!D9</f>
        <v>8</v>
      </c>
      <c r="E12" s="76">
        <f>'Licensed FTEs'!E9</f>
        <v>24.81</v>
      </c>
      <c r="F12" s="76">
        <f>'Licensed FTEs'!F9</f>
        <v>186.87</v>
      </c>
      <c r="G12" s="76">
        <f>'Licensed FTEs'!G9</f>
        <v>216.79</v>
      </c>
      <c r="H12" s="77">
        <f>'Licensed FTEs'!H9</f>
        <v>50.72</v>
      </c>
      <c r="I12" s="222">
        <f>'Classified FTEs'!C9</f>
        <v>409</v>
      </c>
      <c r="J12" s="77">
        <f>'Licensed FTEs'!I9+'Licensed FTEs'!J9</f>
        <v>17.829999999999998</v>
      </c>
      <c r="K12" s="76">
        <f>'Licensed FTEs'!K9</f>
        <v>1.5</v>
      </c>
      <c r="L12" s="76">
        <f>'Licensed FTEs'!L9</f>
        <v>13.84</v>
      </c>
      <c r="M12" s="76">
        <f>'Licensed FTEs'!M9</f>
        <v>5</v>
      </c>
      <c r="N12" s="223">
        <f>'Classified FTEs'!G9</f>
        <v>10</v>
      </c>
      <c r="O12" s="39"/>
    </row>
    <row r="13" spans="1:15" x14ac:dyDescent="0.2">
      <c r="A13" s="74">
        <v>4</v>
      </c>
      <c r="B13" s="5" t="s">
        <v>22</v>
      </c>
      <c r="C13" s="75">
        <f>'Licensed FTEs'!C10</f>
        <v>0</v>
      </c>
      <c r="D13" s="76">
        <f>'Licensed FTEs'!D10</f>
        <v>6.84</v>
      </c>
      <c r="E13" s="76">
        <f>'Licensed FTEs'!E10</f>
        <v>28.99</v>
      </c>
      <c r="F13" s="76">
        <f>'Licensed FTEs'!F10</f>
        <v>257.86</v>
      </c>
      <c r="G13" s="76">
        <f>'Licensed FTEs'!G10</f>
        <v>281.23</v>
      </c>
      <c r="H13" s="77">
        <f>'Licensed FTEs'!H10</f>
        <v>55.23</v>
      </c>
      <c r="I13" s="222">
        <f>'Classified FTEs'!C10</f>
        <v>357.78</v>
      </c>
      <c r="J13" s="77">
        <f>'Licensed FTEs'!I10+'Licensed FTEs'!J10</f>
        <v>41.269999999999996</v>
      </c>
      <c r="K13" s="76">
        <f>'Licensed FTEs'!K10</f>
        <v>0</v>
      </c>
      <c r="L13" s="76">
        <f>'Licensed FTEs'!L10</f>
        <v>18.760000000000002</v>
      </c>
      <c r="M13" s="76">
        <f>'Licensed FTEs'!M10</f>
        <v>21</v>
      </c>
      <c r="N13" s="223">
        <f>'Classified FTEs'!G10</f>
        <v>0</v>
      </c>
      <c r="O13" s="39"/>
    </row>
    <row r="14" spans="1:15" x14ac:dyDescent="0.2">
      <c r="A14" s="74">
        <v>42</v>
      </c>
      <c r="B14" s="6" t="s">
        <v>290</v>
      </c>
      <c r="C14" s="75">
        <f>'Licensed FTEs'!C11</f>
        <v>0</v>
      </c>
      <c r="D14" s="76">
        <f>'Licensed FTEs'!D11</f>
        <v>14</v>
      </c>
      <c r="E14" s="76">
        <f>'Licensed FTEs'!E11</f>
        <v>64.11</v>
      </c>
      <c r="F14" s="76">
        <f>'Licensed FTEs'!F11</f>
        <v>632.32000000000005</v>
      </c>
      <c r="G14" s="76">
        <f>'Licensed FTEs'!G11</f>
        <v>590.71</v>
      </c>
      <c r="H14" s="77">
        <f>'Licensed FTEs'!H11</f>
        <v>145.68</v>
      </c>
      <c r="I14" s="222">
        <f>'Classified FTEs'!C11</f>
        <v>130.38</v>
      </c>
      <c r="J14" s="77">
        <f>'Licensed FTEs'!I11+'Licensed FTEs'!J11</f>
        <v>110.16</v>
      </c>
      <c r="K14" s="76">
        <f>'Licensed FTEs'!K11</f>
        <v>0.5</v>
      </c>
      <c r="L14" s="76">
        <f>'Licensed FTEs'!L11</f>
        <v>40</v>
      </c>
      <c r="M14" s="76">
        <f>'Licensed FTEs'!M11</f>
        <v>10.99</v>
      </c>
      <c r="N14" s="223">
        <f>'Classified FTEs'!G11</f>
        <v>30.31</v>
      </c>
      <c r="O14" s="39"/>
    </row>
    <row r="15" spans="1:15" ht="13.5" thickBot="1" x14ac:dyDescent="0.25">
      <c r="A15" s="224">
        <v>5</v>
      </c>
      <c r="B15" s="9" t="s">
        <v>23</v>
      </c>
      <c r="C15" s="78">
        <f>'Licensed FTEs'!C12</f>
        <v>0</v>
      </c>
      <c r="D15" s="79">
        <f>'Licensed FTEs'!D12</f>
        <v>2</v>
      </c>
      <c r="E15" s="79">
        <f>'Licensed FTEs'!E12</f>
        <v>13</v>
      </c>
      <c r="F15" s="79">
        <f>'Licensed FTEs'!F12</f>
        <v>76.8</v>
      </c>
      <c r="G15" s="79">
        <f>'Licensed FTEs'!G12</f>
        <v>65.02</v>
      </c>
      <c r="H15" s="80">
        <f>'Licensed FTEs'!H12</f>
        <v>20.12</v>
      </c>
      <c r="I15" s="225">
        <f>'Classified FTEs'!C12</f>
        <v>82.17</v>
      </c>
      <c r="J15" s="80">
        <f>'Licensed FTEs'!I12+'Licensed FTEs'!J12</f>
        <v>12.75</v>
      </c>
      <c r="K15" s="79">
        <f>'Licensed FTEs'!K12</f>
        <v>2.6</v>
      </c>
      <c r="L15" s="79">
        <f>'Licensed FTEs'!L12</f>
        <v>4.37</v>
      </c>
      <c r="M15" s="79">
        <f>'Licensed FTEs'!M12</f>
        <v>0.86</v>
      </c>
      <c r="N15" s="226">
        <f>'Classified FTEs'!G12</f>
        <v>0</v>
      </c>
      <c r="O15" s="39"/>
    </row>
    <row r="16" spans="1:15" x14ac:dyDescent="0.2">
      <c r="A16" s="74">
        <v>6</v>
      </c>
      <c r="B16" s="5" t="s">
        <v>24</v>
      </c>
      <c r="C16" s="75">
        <f>'Licensed FTEs'!C13</f>
        <v>0</v>
      </c>
      <c r="D16" s="76">
        <f>'Licensed FTEs'!D13</f>
        <v>0</v>
      </c>
      <c r="E16" s="76">
        <f>'Licensed FTEs'!E13</f>
        <v>0.84</v>
      </c>
      <c r="F16" s="76">
        <f>'Licensed FTEs'!F13</f>
        <v>4.67</v>
      </c>
      <c r="G16" s="76">
        <f>'Licensed FTEs'!G13</f>
        <v>7.97</v>
      </c>
      <c r="H16" s="77">
        <f>'Licensed FTEs'!H13</f>
        <v>0.86</v>
      </c>
      <c r="I16" s="227">
        <f>'Classified FTEs'!C13</f>
        <v>7.86</v>
      </c>
      <c r="J16" s="77">
        <f>'Licensed FTEs'!I13+'Licensed FTEs'!J13</f>
        <v>2.44</v>
      </c>
      <c r="K16" s="76">
        <f>'Licensed FTEs'!K13</f>
        <v>0</v>
      </c>
      <c r="L16" s="76">
        <f>'Licensed FTEs'!L13</f>
        <v>0</v>
      </c>
      <c r="M16" s="76">
        <f>'Licensed FTEs'!M13</f>
        <v>0.03</v>
      </c>
      <c r="N16" s="223">
        <f>'Classified FTEs'!G13</f>
        <v>0</v>
      </c>
      <c r="O16" s="39"/>
    </row>
    <row r="17" spans="1:15" x14ac:dyDescent="0.2">
      <c r="A17" s="74">
        <v>7</v>
      </c>
      <c r="B17" s="5" t="s">
        <v>25</v>
      </c>
      <c r="C17" s="75">
        <f>'Licensed FTEs'!C14</f>
        <v>1.67</v>
      </c>
      <c r="D17" s="76">
        <f>'Licensed FTEs'!D14</f>
        <v>24.33</v>
      </c>
      <c r="E17" s="76">
        <f>'Licensed FTEs'!E14</f>
        <v>134.77000000000001</v>
      </c>
      <c r="F17" s="76">
        <f>'Licensed FTEs'!F14</f>
        <v>1288.78</v>
      </c>
      <c r="G17" s="76">
        <f>'Licensed FTEs'!G14</f>
        <v>1063.95</v>
      </c>
      <c r="H17" s="77">
        <f>'Licensed FTEs'!H14</f>
        <v>300.76</v>
      </c>
      <c r="I17" s="227">
        <f>'Classified FTEs'!C14</f>
        <v>995.82</v>
      </c>
      <c r="J17" s="77">
        <f>'Licensed FTEs'!I14+'Licensed FTEs'!J14</f>
        <v>154.52000000000001</v>
      </c>
      <c r="K17" s="76">
        <f>'Licensed FTEs'!K14</f>
        <v>34</v>
      </c>
      <c r="L17" s="76">
        <f>'Licensed FTEs'!L14</f>
        <v>77.3</v>
      </c>
      <c r="M17" s="76">
        <f>'Licensed FTEs'!M14</f>
        <v>20.5</v>
      </c>
      <c r="N17" s="223">
        <f>'Classified FTEs'!G14</f>
        <v>53.25</v>
      </c>
      <c r="O17" s="39"/>
    </row>
    <row r="18" spans="1:15" x14ac:dyDescent="0.2">
      <c r="A18" s="74">
        <v>8</v>
      </c>
      <c r="B18" s="5" t="s">
        <v>26</v>
      </c>
      <c r="C18" s="75">
        <f>'Licensed FTEs'!C15</f>
        <v>0</v>
      </c>
      <c r="D18" s="76">
        <f>'Licensed FTEs'!D15</f>
        <v>3</v>
      </c>
      <c r="E18" s="76">
        <f>'Licensed FTEs'!E15</f>
        <v>11.5</v>
      </c>
      <c r="F18" s="76">
        <f>'Licensed FTEs'!F15</f>
        <v>95.92</v>
      </c>
      <c r="G18" s="76">
        <f>'Licensed FTEs'!G15</f>
        <v>85.3</v>
      </c>
      <c r="H18" s="77">
        <f>'Licensed FTEs'!H15</f>
        <v>28.84</v>
      </c>
      <c r="I18" s="227">
        <f>'Classified FTEs'!C15</f>
        <v>87.1</v>
      </c>
      <c r="J18" s="77">
        <f>'Licensed FTEs'!I15+'Licensed FTEs'!J15</f>
        <v>5.6899999999999995</v>
      </c>
      <c r="K18" s="76">
        <f>'Licensed FTEs'!K15</f>
        <v>0</v>
      </c>
      <c r="L18" s="76">
        <f>'Licensed FTEs'!L15</f>
        <v>5.65</v>
      </c>
      <c r="M18" s="76">
        <f>'Licensed FTEs'!M15</f>
        <v>6.34</v>
      </c>
      <c r="N18" s="223">
        <f>'Classified FTEs'!G15</f>
        <v>4.4000000000000004</v>
      </c>
      <c r="O18" s="39"/>
    </row>
    <row r="19" spans="1:15" x14ac:dyDescent="0.2">
      <c r="A19" s="74">
        <v>9</v>
      </c>
      <c r="B19" s="5" t="s">
        <v>27</v>
      </c>
      <c r="C19" s="75">
        <f>'Licensed FTEs'!C16</f>
        <v>0</v>
      </c>
      <c r="D19" s="76">
        <f>'Licensed FTEs'!D16</f>
        <v>1</v>
      </c>
      <c r="E19" s="76">
        <f>'Licensed FTEs'!E16</f>
        <v>7.5</v>
      </c>
      <c r="F19" s="76">
        <f>'Licensed FTEs'!F16</f>
        <v>54.26</v>
      </c>
      <c r="G19" s="76">
        <f>'Licensed FTEs'!G16</f>
        <v>50.09</v>
      </c>
      <c r="H19" s="77">
        <f>'Licensed FTEs'!H16</f>
        <v>13.33</v>
      </c>
      <c r="I19" s="227">
        <f>'Classified FTEs'!C16</f>
        <v>40.26</v>
      </c>
      <c r="J19" s="77">
        <f>'Licensed FTEs'!I16+'Licensed FTEs'!J16</f>
        <v>0.67</v>
      </c>
      <c r="K19" s="76">
        <f>'Licensed FTEs'!K16</f>
        <v>0</v>
      </c>
      <c r="L19" s="76">
        <f>'Licensed FTEs'!L16</f>
        <v>2</v>
      </c>
      <c r="M19" s="76">
        <f>'Licensed FTEs'!M16</f>
        <v>1.2</v>
      </c>
      <c r="N19" s="223">
        <f>'Classified FTEs'!G16</f>
        <v>8.5</v>
      </c>
      <c r="O19" s="39"/>
    </row>
    <row r="20" spans="1:15" ht="13.5" thickBot="1" x14ac:dyDescent="0.25">
      <c r="A20" s="74">
        <v>10</v>
      </c>
      <c r="B20" s="8" t="s">
        <v>28</v>
      </c>
      <c r="C20" s="75">
        <f>'Licensed FTEs'!C17</f>
        <v>0.5</v>
      </c>
      <c r="D20" s="76">
        <f>'Licensed FTEs'!D17</f>
        <v>0</v>
      </c>
      <c r="E20" s="76">
        <f>'Licensed FTEs'!E17</f>
        <v>2.74</v>
      </c>
      <c r="F20" s="76">
        <f>'Licensed FTEs'!F17</f>
        <v>24.12</v>
      </c>
      <c r="G20" s="76">
        <f>'Licensed FTEs'!G17</f>
        <v>28.5</v>
      </c>
      <c r="H20" s="77">
        <f>'Licensed FTEs'!H17</f>
        <v>5.4</v>
      </c>
      <c r="I20" s="227">
        <f>'Classified FTEs'!C17</f>
        <v>26.5</v>
      </c>
      <c r="J20" s="77">
        <f>'Licensed FTEs'!I17+'Licensed FTEs'!J17</f>
        <v>0.66999999999999993</v>
      </c>
      <c r="K20" s="76">
        <f>'Licensed FTEs'!K17</f>
        <v>0.65</v>
      </c>
      <c r="L20" s="76">
        <f>'Licensed FTEs'!L17</f>
        <v>1.73</v>
      </c>
      <c r="M20" s="76">
        <f>'Licensed FTEs'!M17</f>
        <v>0</v>
      </c>
      <c r="N20" s="223">
        <f>'Classified FTEs'!G17</f>
        <v>1.5</v>
      </c>
      <c r="O20" s="39"/>
    </row>
    <row r="21" spans="1:15" x14ac:dyDescent="0.2">
      <c r="A21" s="69">
        <v>11</v>
      </c>
      <c r="B21" s="5" t="s">
        <v>29</v>
      </c>
      <c r="C21" s="70">
        <f>'Licensed FTEs'!C18</f>
        <v>0</v>
      </c>
      <c r="D21" s="71">
        <f>'Licensed FTEs'!D18</f>
        <v>1</v>
      </c>
      <c r="E21" s="71">
        <f>'Licensed FTEs'!E18</f>
        <v>2</v>
      </c>
      <c r="F21" s="71">
        <f>'Licensed FTEs'!F18</f>
        <v>30</v>
      </c>
      <c r="G21" s="71">
        <f>'Licensed FTEs'!G18</f>
        <v>35.81</v>
      </c>
      <c r="H21" s="72">
        <f>'Licensed FTEs'!H18</f>
        <v>10</v>
      </c>
      <c r="I21" s="228">
        <f>'Classified FTEs'!C18</f>
        <v>24.06</v>
      </c>
      <c r="J21" s="72">
        <f>'Licensed FTEs'!I18+'Licensed FTEs'!J18</f>
        <v>1.25</v>
      </c>
      <c r="K21" s="71">
        <f>'Licensed FTEs'!K18</f>
        <v>0</v>
      </c>
      <c r="L21" s="71">
        <f>'Licensed FTEs'!L18</f>
        <v>2</v>
      </c>
      <c r="M21" s="71">
        <f>'Licensed FTEs'!M18</f>
        <v>1</v>
      </c>
      <c r="N21" s="221">
        <f>'Classified FTEs'!G18</f>
        <v>2.63</v>
      </c>
      <c r="O21" s="39"/>
    </row>
    <row r="22" spans="1:15" x14ac:dyDescent="0.2">
      <c r="A22" s="74">
        <v>12</v>
      </c>
      <c r="B22" s="5" t="s">
        <v>30</v>
      </c>
      <c r="C22" s="75">
        <f>'Licensed FTEs'!C19</f>
        <v>0</v>
      </c>
      <c r="D22" s="76">
        <f>'Licensed FTEs'!D19</f>
        <v>27.25</v>
      </c>
      <c r="E22" s="76">
        <f>'Licensed FTEs'!E19</f>
        <v>147.52000000000001</v>
      </c>
      <c r="F22" s="76">
        <f>'Licensed FTEs'!F19</f>
        <v>1293.69</v>
      </c>
      <c r="G22" s="76">
        <f>'Licensed FTEs'!G19</f>
        <v>1184.77</v>
      </c>
      <c r="H22" s="77">
        <f>'Licensed FTEs'!H19</f>
        <v>325.49</v>
      </c>
      <c r="I22" s="229">
        <f>'Classified FTEs'!C19</f>
        <v>653.97</v>
      </c>
      <c r="J22" s="77">
        <f>'Licensed FTEs'!I19+'Licensed FTEs'!J19</f>
        <v>292.95</v>
      </c>
      <c r="K22" s="76">
        <f>'Licensed FTEs'!K19</f>
        <v>2</v>
      </c>
      <c r="L22" s="76">
        <f>'Licensed FTEs'!L19</f>
        <v>91.35</v>
      </c>
      <c r="M22" s="76">
        <f>'Licensed FTEs'!M19</f>
        <v>21.5</v>
      </c>
      <c r="N22" s="223">
        <f>'Classified FTEs'!G19</f>
        <v>33.28</v>
      </c>
      <c r="O22" s="39"/>
    </row>
    <row r="23" spans="1:15" x14ac:dyDescent="0.2">
      <c r="A23" s="74">
        <v>13</v>
      </c>
      <c r="B23" s="5" t="s">
        <v>31</v>
      </c>
      <c r="C23" s="75">
        <f>'Licensed FTEs'!C20</f>
        <v>0.5</v>
      </c>
      <c r="D23" s="76">
        <f>'Licensed FTEs'!D20</f>
        <v>8.5</v>
      </c>
      <c r="E23" s="76">
        <f>'Licensed FTEs'!E20</f>
        <v>22.5</v>
      </c>
      <c r="F23" s="76">
        <f>'Licensed FTEs'!F20</f>
        <v>172.67</v>
      </c>
      <c r="G23" s="76">
        <f>'Licensed FTEs'!G20</f>
        <v>162.46</v>
      </c>
      <c r="H23" s="77">
        <f>'Licensed FTEs'!H20</f>
        <v>43.15</v>
      </c>
      <c r="I23" s="229">
        <f>'Classified FTEs'!C20</f>
        <v>219.2</v>
      </c>
      <c r="J23" s="77">
        <f>'Licensed FTEs'!I20+'Licensed FTEs'!J20</f>
        <v>8.67</v>
      </c>
      <c r="K23" s="76">
        <f>'Licensed FTEs'!K20</f>
        <v>4</v>
      </c>
      <c r="L23" s="76">
        <f>'Licensed FTEs'!L20</f>
        <v>9.5</v>
      </c>
      <c r="M23" s="76">
        <f>'Licensed FTEs'!M20</f>
        <v>2</v>
      </c>
      <c r="N23" s="223">
        <f>'Classified FTEs'!G20</f>
        <v>10.199999999999999</v>
      </c>
      <c r="O23" s="39"/>
    </row>
    <row r="24" spans="1:15" x14ac:dyDescent="0.2">
      <c r="A24" s="74">
        <v>14</v>
      </c>
      <c r="B24" s="5" t="s">
        <v>32</v>
      </c>
      <c r="C24" s="75">
        <f>'Licensed FTEs'!C21</f>
        <v>3</v>
      </c>
      <c r="D24" s="76">
        <f>'Licensed FTEs'!D21</f>
        <v>19.2</v>
      </c>
      <c r="E24" s="76">
        <f>'Licensed FTEs'!E21</f>
        <v>86.85</v>
      </c>
      <c r="F24" s="76">
        <f>'Licensed FTEs'!F21</f>
        <v>972.98</v>
      </c>
      <c r="G24" s="76">
        <f>'Licensed FTEs'!G21</f>
        <v>790.67</v>
      </c>
      <c r="H24" s="77">
        <f>'Licensed FTEs'!H21</f>
        <v>210.64</v>
      </c>
      <c r="I24" s="229">
        <f>'Classified FTEs'!C21</f>
        <v>484.72</v>
      </c>
      <c r="J24" s="77">
        <f>'Licensed FTEs'!I21+'Licensed FTEs'!J21</f>
        <v>113.71000000000001</v>
      </c>
      <c r="K24" s="76">
        <f>'Licensed FTEs'!K21</f>
        <v>0</v>
      </c>
      <c r="L24" s="76">
        <f>'Licensed FTEs'!L21</f>
        <v>45.7</v>
      </c>
      <c r="M24" s="76">
        <f>'Licensed FTEs'!M21</f>
        <v>15.13</v>
      </c>
      <c r="N24" s="223">
        <f>'Classified FTEs'!G21</f>
        <v>3</v>
      </c>
      <c r="O24" s="39"/>
    </row>
    <row r="25" spans="1:15" ht="13.5" thickBot="1" x14ac:dyDescent="0.25">
      <c r="A25" s="74">
        <v>15</v>
      </c>
      <c r="B25" s="5" t="s">
        <v>33</v>
      </c>
      <c r="C25" s="78">
        <f>'Licensed FTEs'!C22</f>
        <v>0</v>
      </c>
      <c r="D25" s="79">
        <f>'Licensed FTEs'!D22</f>
        <v>1</v>
      </c>
      <c r="E25" s="79">
        <f>'Licensed FTEs'!E22</f>
        <v>4</v>
      </c>
      <c r="F25" s="79">
        <f>'Licensed FTEs'!F22</f>
        <v>43</v>
      </c>
      <c r="G25" s="79">
        <f>'Licensed FTEs'!G22</f>
        <v>41.43</v>
      </c>
      <c r="H25" s="80">
        <f>'Licensed FTEs'!H22</f>
        <v>15.4</v>
      </c>
      <c r="I25" s="230">
        <f>'Classified FTEs'!C22</f>
        <v>48.15</v>
      </c>
      <c r="J25" s="80">
        <f>'Licensed FTEs'!I22+'Licensed FTEs'!J22</f>
        <v>2.5</v>
      </c>
      <c r="K25" s="79">
        <f>'Licensed FTEs'!K22</f>
        <v>0</v>
      </c>
      <c r="L25" s="79">
        <f>'Licensed FTEs'!L22</f>
        <v>0</v>
      </c>
      <c r="M25" s="79">
        <f>'Licensed FTEs'!M22</f>
        <v>0</v>
      </c>
      <c r="N25" s="226">
        <f>'Classified FTEs'!G22</f>
        <v>3.47</v>
      </c>
      <c r="O25" s="39"/>
    </row>
    <row r="26" spans="1:15" x14ac:dyDescent="0.2">
      <c r="A26" s="69">
        <v>16</v>
      </c>
      <c r="B26" s="10" t="s">
        <v>34</v>
      </c>
      <c r="C26" s="75">
        <f>'Licensed FTEs'!C23</f>
        <v>1.5</v>
      </c>
      <c r="D26" s="76">
        <f>'Licensed FTEs'!D23</f>
        <v>0</v>
      </c>
      <c r="E26" s="76">
        <f>'Licensed FTEs'!E23</f>
        <v>3.5</v>
      </c>
      <c r="F26" s="76">
        <f>'Licensed FTEs'!F23</f>
        <v>26.15</v>
      </c>
      <c r="G26" s="76">
        <f>'Licensed FTEs'!G23</f>
        <v>32.770000000000003</v>
      </c>
      <c r="H26" s="77">
        <f>'Licensed FTEs'!H23</f>
        <v>5.84</v>
      </c>
      <c r="I26" s="220">
        <f>'Classified FTEs'!C23</f>
        <v>33.57</v>
      </c>
      <c r="J26" s="72">
        <f>'Licensed FTEs'!I23+'Licensed FTEs'!J23</f>
        <v>2.34</v>
      </c>
      <c r="K26" s="71">
        <f>'Licensed FTEs'!K23</f>
        <v>0</v>
      </c>
      <c r="L26" s="71">
        <f>'Licensed FTEs'!L23</f>
        <v>1.75</v>
      </c>
      <c r="M26" s="71">
        <f>'Licensed FTEs'!M23</f>
        <v>0.75</v>
      </c>
      <c r="N26" s="221">
        <f>'Classified FTEs'!G23</f>
        <v>2.67</v>
      </c>
      <c r="O26" s="39"/>
    </row>
    <row r="27" spans="1:15" x14ac:dyDescent="0.2">
      <c r="A27" s="74">
        <v>39</v>
      </c>
      <c r="B27" s="5" t="s">
        <v>57</v>
      </c>
      <c r="C27" s="75">
        <f>'Licensed FTEs'!C24</f>
        <v>0</v>
      </c>
      <c r="D27" s="76">
        <f>'Licensed FTEs'!D24</f>
        <v>3</v>
      </c>
      <c r="E27" s="76">
        <f>'Licensed FTEs'!E24</f>
        <v>17.13</v>
      </c>
      <c r="F27" s="76">
        <f>'Licensed FTEs'!F24</f>
        <v>105.01</v>
      </c>
      <c r="G27" s="76">
        <f>'Licensed FTEs'!G24</f>
        <v>122.86</v>
      </c>
      <c r="H27" s="77">
        <f>'Licensed FTEs'!H24</f>
        <v>31.45</v>
      </c>
      <c r="I27" s="222">
        <f>'Classified FTEs'!C24</f>
        <v>142.5</v>
      </c>
      <c r="J27" s="77">
        <f>'Licensed FTEs'!I24+'Licensed FTEs'!J24</f>
        <v>21.65</v>
      </c>
      <c r="K27" s="76">
        <f>'Licensed FTEs'!K24</f>
        <v>1</v>
      </c>
      <c r="L27" s="76">
        <f>'Licensed FTEs'!L24</f>
        <v>7</v>
      </c>
      <c r="M27" s="76">
        <f>'Licensed FTEs'!M24</f>
        <v>1.9</v>
      </c>
      <c r="N27" s="223">
        <f>'Classified FTEs'!G24</f>
        <v>7</v>
      </c>
      <c r="O27" s="39"/>
    </row>
    <row r="28" spans="1:15" x14ac:dyDescent="0.2">
      <c r="A28" s="74">
        <v>17</v>
      </c>
      <c r="B28" s="5" t="s">
        <v>35</v>
      </c>
      <c r="C28" s="75">
        <f>'Licensed FTEs'!C25</f>
        <v>0</v>
      </c>
      <c r="D28" s="76">
        <f>'Licensed FTEs'!D25</f>
        <v>3.5</v>
      </c>
      <c r="E28" s="76">
        <f>'Licensed FTEs'!E25</f>
        <v>7.83</v>
      </c>
      <c r="F28" s="76">
        <f>'Licensed FTEs'!F25</f>
        <v>55.7</v>
      </c>
      <c r="G28" s="76">
        <f>'Licensed FTEs'!G25</f>
        <v>66.430000000000007</v>
      </c>
      <c r="H28" s="77">
        <f>'Licensed FTEs'!H25</f>
        <v>15.67</v>
      </c>
      <c r="I28" s="222">
        <f>'Classified FTEs'!C25</f>
        <v>67.66</v>
      </c>
      <c r="J28" s="77">
        <f>'Licensed FTEs'!I25+'Licensed FTEs'!J25</f>
        <v>5.15</v>
      </c>
      <c r="K28" s="76">
        <f>'Licensed FTEs'!K25</f>
        <v>0.75</v>
      </c>
      <c r="L28" s="76">
        <f>'Licensed FTEs'!L25</f>
        <v>0.25</v>
      </c>
      <c r="M28" s="76">
        <f>'Licensed FTEs'!M25</f>
        <v>1.5</v>
      </c>
      <c r="N28" s="223">
        <f>'Classified FTEs'!G25</f>
        <v>4.5</v>
      </c>
      <c r="O28" s="39"/>
    </row>
    <row r="29" spans="1:15" x14ac:dyDescent="0.2">
      <c r="A29" s="74">
        <v>18</v>
      </c>
      <c r="B29" s="5" t="s">
        <v>36</v>
      </c>
      <c r="C29" s="75">
        <f>'Licensed FTEs'!C26</f>
        <v>0</v>
      </c>
      <c r="D29" s="76">
        <f>'Licensed FTEs'!D26</f>
        <v>1</v>
      </c>
      <c r="E29" s="76">
        <f>'Licensed FTEs'!E26</f>
        <v>5.5</v>
      </c>
      <c r="F29" s="76">
        <f>'Licensed FTEs'!F26</f>
        <v>48.66</v>
      </c>
      <c r="G29" s="76">
        <f>'Licensed FTEs'!G26</f>
        <v>47.43</v>
      </c>
      <c r="H29" s="77">
        <f>'Licensed FTEs'!H26</f>
        <v>9.66</v>
      </c>
      <c r="I29" s="222">
        <f>'Classified FTEs'!C26</f>
        <v>30.58</v>
      </c>
      <c r="J29" s="77">
        <f>'Licensed FTEs'!I26+'Licensed FTEs'!J26</f>
        <v>1.98</v>
      </c>
      <c r="K29" s="76">
        <f>'Licensed FTEs'!K26</f>
        <v>0</v>
      </c>
      <c r="L29" s="76">
        <f>'Licensed FTEs'!L26</f>
        <v>3</v>
      </c>
      <c r="M29" s="76">
        <f>'Licensed FTEs'!M26</f>
        <v>0.94</v>
      </c>
      <c r="N29" s="223">
        <f>'Classified FTEs'!G26</f>
        <v>4.0599999999999996</v>
      </c>
      <c r="O29" s="39"/>
    </row>
    <row r="30" spans="1:15" ht="13.5" thickBot="1" x14ac:dyDescent="0.25">
      <c r="A30" s="74">
        <v>40</v>
      </c>
      <c r="B30" s="8" t="s">
        <v>58</v>
      </c>
      <c r="C30" s="78">
        <f>'Licensed FTEs'!C27</f>
        <v>0</v>
      </c>
      <c r="D30" s="79">
        <f>'Licensed FTEs'!D27</f>
        <v>1.5</v>
      </c>
      <c r="E30" s="79">
        <f>'Licensed FTEs'!E27</f>
        <v>12.99</v>
      </c>
      <c r="F30" s="79">
        <f>'Licensed FTEs'!F27</f>
        <v>128.06</v>
      </c>
      <c r="G30" s="79">
        <f>'Licensed FTEs'!G27</f>
        <v>124.23</v>
      </c>
      <c r="H30" s="80">
        <f>'Licensed FTEs'!H27</f>
        <v>29.03</v>
      </c>
      <c r="I30" s="225">
        <f>'Classified FTEs'!C27</f>
        <v>107.25</v>
      </c>
      <c r="J30" s="80">
        <f>'Licensed FTEs'!I27+'Licensed FTEs'!J27</f>
        <v>14.440000000000001</v>
      </c>
      <c r="K30" s="79">
        <f>'Licensed FTEs'!K27</f>
        <v>1</v>
      </c>
      <c r="L30" s="79">
        <f>'Licensed FTEs'!L27</f>
        <v>8</v>
      </c>
      <c r="M30" s="79">
        <f>'Licensed FTEs'!M27</f>
        <v>3</v>
      </c>
      <c r="N30" s="226">
        <f>'Classified FTEs'!G27</f>
        <v>6.25</v>
      </c>
      <c r="O30" s="39"/>
    </row>
    <row r="31" spans="1:15" x14ac:dyDescent="0.2">
      <c r="A31" s="69">
        <v>19</v>
      </c>
      <c r="B31" s="5" t="s">
        <v>37</v>
      </c>
      <c r="C31" s="75">
        <f>'Licensed FTEs'!C28</f>
        <v>4</v>
      </c>
      <c r="D31" s="76">
        <f>'Licensed FTEs'!D28</f>
        <v>15.5</v>
      </c>
      <c r="E31" s="76">
        <f>'Licensed FTEs'!E28</f>
        <v>63.55</v>
      </c>
      <c r="F31" s="76">
        <f>'Licensed FTEs'!F28</f>
        <v>571.48</v>
      </c>
      <c r="G31" s="76">
        <f>'Licensed FTEs'!G28</f>
        <v>464.29</v>
      </c>
      <c r="H31" s="77">
        <f>'Licensed FTEs'!H28</f>
        <v>130.33000000000001</v>
      </c>
      <c r="I31" s="220">
        <f>'Classified FTEs'!C28</f>
        <v>395.22</v>
      </c>
      <c r="J31" s="72">
        <f>'Licensed FTEs'!I28+'Licensed FTEs'!J28</f>
        <v>114.32</v>
      </c>
      <c r="K31" s="71">
        <f>'Licensed FTEs'!K28</f>
        <v>12.05</v>
      </c>
      <c r="L31" s="71">
        <f>'Licensed FTEs'!L28</f>
        <v>32.31</v>
      </c>
      <c r="M31" s="71">
        <f>'Licensed FTEs'!M28</f>
        <v>12</v>
      </c>
      <c r="N31" s="221">
        <f>'Classified FTEs'!G28</f>
        <v>18.440000000000001</v>
      </c>
      <c r="O31" s="39"/>
    </row>
    <row r="32" spans="1:15" x14ac:dyDescent="0.2">
      <c r="A32" s="74">
        <v>20</v>
      </c>
      <c r="B32" s="6" t="s">
        <v>38</v>
      </c>
      <c r="C32" s="75">
        <f>'Licensed FTEs'!C29</f>
        <v>0</v>
      </c>
      <c r="D32" s="76">
        <f>'Licensed FTEs'!D29</f>
        <v>1</v>
      </c>
      <c r="E32" s="76">
        <f>'Licensed FTEs'!E29</f>
        <v>6</v>
      </c>
      <c r="F32" s="76">
        <f>'Licensed FTEs'!F29</f>
        <v>52.5</v>
      </c>
      <c r="G32" s="76">
        <f>'Licensed FTEs'!G29</f>
        <v>55.01</v>
      </c>
      <c r="H32" s="77">
        <f>'Licensed FTEs'!H29</f>
        <v>10</v>
      </c>
      <c r="I32" s="222">
        <f>'Classified FTEs'!C29</f>
        <v>59.38</v>
      </c>
      <c r="J32" s="77">
        <f>'Licensed FTEs'!I29+'Licensed FTEs'!J29</f>
        <v>1.17</v>
      </c>
      <c r="K32" s="76">
        <f>'Licensed FTEs'!K29</f>
        <v>0</v>
      </c>
      <c r="L32" s="76">
        <f>'Licensed FTEs'!L29</f>
        <v>0</v>
      </c>
      <c r="M32" s="76">
        <f>'Licensed FTEs'!M29</f>
        <v>0</v>
      </c>
      <c r="N32" s="223">
        <f>'Classified FTEs'!G29</f>
        <v>3.91</v>
      </c>
      <c r="O32" s="39"/>
    </row>
    <row r="33" spans="1:15" x14ac:dyDescent="0.2">
      <c r="A33" s="74">
        <v>21</v>
      </c>
      <c r="B33" s="6" t="s">
        <v>39</v>
      </c>
      <c r="C33" s="75">
        <f>'Licensed FTEs'!C30</f>
        <v>0.5</v>
      </c>
      <c r="D33" s="76">
        <f>'Licensed FTEs'!D30</f>
        <v>0</v>
      </c>
      <c r="E33" s="76">
        <f>'Licensed FTEs'!E30</f>
        <v>1.84</v>
      </c>
      <c r="F33" s="76">
        <f>'Licensed FTEs'!F30</f>
        <v>19.739999999999998</v>
      </c>
      <c r="G33" s="76">
        <f>'Licensed FTEs'!G30</f>
        <v>24.76</v>
      </c>
      <c r="H33" s="77">
        <f>'Licensed FTEs'!H30</f>
        <v>5.17</v>
      </c>
      <c r="I33" s="222">
        <f>'Classified FTEs'!C30</f>
        <v>17.25</v>
      </c>
      <c r="J33" s="77">
        <f>'Licensed FTEs'!I30+'Licensed FTEs'!J30</f>
        <v>2.6</v>
      </c>
      <c r="K33" s="76">
        <f>'Licensed FTEs'!K30</f>
        <v>0.2</v>
      </c>
      <c r="L33" s="76">
        <f>'Licensed FTEs'!L30</f>
        <v>1</v>
      </c>
      <c r="M33" s="76">
        <f>'Licensed FTEs'!M30</f>
        <v>0.7</v>
      </c>
      <c r="N33" s="223">
        <f>'Classified FTEs'!G30</f>
        <v>2</v>
      </c>
      <c r="O33" s="39"/>
    </row>
    <row r="34" spans="1:15" x14ac:dyDescent="0.2">
      <c r="A34" s="74">
        <v>37</v>
      </c>
      <c r="B34" s="5" t="s">
        <v>55</v>
      </c>
      <c r="C34" s="75">
        <f>'Licensed FTEs'!C31</f>
        <v>0</v>
      </c>
      <c r="D34" s="76">
        <f>'Licensed FTEs'!D31</f>
        <v>5.5</v>
      </c>
      <c r="E34" s="76">
        <f>'Licensed FTEs'!E31</f>
        <v>40.5</v>
      </c>
      <c r="F34" s="76">
        <f>'Licensed FTEs'!F31</f>
        <v>257.61</v>
      </c>
      <c r="G34" s="76">
        <f>'Licensed FTEs'!G31</f>
        <v>194.24</v>
      </c>
      <c r="H34" s="77">
        <f>'Licensed FTEs'!H31</f>
        <v>66.2</v>
      </c>
      <c r="I34" s="222">
        <f>'Classified FTEs'!C31</f>
        <v>220.29</v>
      </c>
      <c r="J34" s="77">
        <f>'Licensed FTEs'!I31+'Licensed FTEs'!J31</f>
        <v>69.930000000000007</v>
      </c>
      <c r="K34" s="76">
        <f>'Licensed FTEs'!K31</f>
        <v>14.13</v>
      </c>
      <c r="L34" s="76">
        <f>'Licensed FTEs'!L31</f>
        <v>15</v>
      </c>
      <c r="M34" s="76">
        <f>'Licensed FTEs'!M31</f>
        <v>18.5</v>
      </c>
      <c r="N34" s="223">
        <f>'Classified FTEs'!G31</f>
        <v>3.99</v>
      </c>
      <c r="O34" s="39"/>
    </row>
    <row r="35" spans="1:15" ht="13.5" thickBot="1" x14ac:dyDescent="0.25">
      <c r="A35" s="74">
        <v>22</v>
      </c>
      <c r="B35" s="8" t="s">
        <v>40</v>
      </c>
      <c r="C35" s="78">
        <f>'Licensed FTEs'!C32</f>
        <v>0</v>
      </c>
      <c r="D35" s="79">
        <f>'Licensed FTEs'!D32</f>
        <v>1</v>
      </c>
      <c r="E35" s="79">
        <f>'Licensed FTEs'!E32</f>
        <v>7.75</v>
      </c>
      <c r="F35" s="79">
        <f>'Licensed FTEs'!F32</f>
        <v>90.17</v>
      </c>
      <c r="G35" s="79">
        <f>'Licensed FTEs'!G32</f>
        <v>125.83</v>
      </c>
      <c r="H35" s="80">
        <f>'Licensed FTEs'!H32</f>
        <v>21.36</v>
      </c>
      <c r="I35" s="225">
        <f>'Classified FTEs'!C32</f>
        <v>49.66</v>
      </c>
      <c r="J35" s="80">
        <f>'Licensed FTEs'!I32+'Licensed FTEs'!J32</f>
        <v>27.19</v>
      </c>
      <c r="K35" s="79">
        <f>'Licensed FTEs'!K32</f>
        <v>4.55</v>
      </c>
      <c r="L35" s="79">
        <f>'Licensed FTEs'!L32</f>
        <v>6.8</v>
      </c>
      <c r="M35" s="79">
        <f>'Licensed FTEs'!M32</f>
        <v>7.19</v>
      </c>
      <c r="N35" s="226">
        <f>'Classified FTEs'!G32</f>
        <v>2.5</v>
      </c>
      <c r="O35" s="39"/>
    </row>
    <row r="36" spans="1:15" x14ac:dyDescent="0.2">
      <c r="A36" s="69">
        <v>23</v>
      </c>
      <c r="B36" s="5" t="s">
        <v>41</v>
      </c>
      <c r="C36" s="75">
        <f>'Licensed FTEs'!C33</f>
        <v>0.75</v>
      </c>
      <c r="D36" s="76">
        <f>'Licensed FTEs'!D33</f>
        <v>0</v>
      </c>
      <c r="E36" s="76">
        <f>'Licensed FTEs'!E33</f>
        <v>1.34</v>
      </c>
      <c r="F36" s="76">
        <f>'Licensed FTEs'!F33</f>
        <v>9.32</v>
      </c>
      <c r="G36" s="76">
        <f>'Licensed FTEs'!G33</f>
        <v>12.55</v>
      </c>
      <c r="H36" s="77">
        <f>'Licensed FTEs'!H33</f>
        <v>2.0699999999999998</v>
      </c>
      <c r="I36" s="220">
        <f>'Classified FTEs'!C33</f>
        <v>10</v>
      </c>
      <c r="J36" s="72">
        <f>'Licensed FTEs'!I33+'Licensed FTEs'!J33</f>
        <v>1</v>
      </c>
      <c r="K36" s="71">
        <f>'Licensed FTEs'!K33</f>
        <v>0.5</v>
      </c>
      <c r="L36" s="71">
        <f>'Licensed FTEs'!L33</f>
        <v>0.5</v>
      </c>
      <c r="M36" s="71">
        <f>'Licensed FTEs'!M33</f>
        <v>0</v>
      </c>
      <c r="N36" s="221">
        <f>'Classified FTEs'!G33</f>
        <v>0.8</v>
      </c>
      <c r="O36" s="39"/>
    </row>
    <row r="37" spans="1:15" x14ac:dyDescent="0.2">
      <c r="A37" s="74">
        <v>38</v>
      </c>
      <c r="B37" s="5" t="s">
        <v>56</v>
      </c>
      <c r="C37" s="75">
        <f>'Licensed FTEs'!C34</f>
        <v>2.5</v>
      </c>
      <c r="D37" s="76">
        <f>'Licensed FTEs'!D34</f>
        <v>3</v>
      </c>
      <c r="E37" s="76">
        <f>'Licensed FTEs'!E34</f>
        <v>34.5</v>
      </c>
      <c r="F37" s="76">
        <f>'Licensed FTEs'!F34</f>
        <v>270.05</v>
      </c>
      <c r="G37" s="76">
        <f>'Licensed FTEs'!G34</f>
        <v>253.42</v>
      </c>
      <c r="H37" s="77">
        <f>'Licensed FTEs'!H34</f>
        <v>92.94</v>
      </c>
      <c r="I37" s="222">
        <f>'Classified FTEs'!C34</f>
        <v>278.07</v>
      </c>
      <c r="J37" s="77">
        <f>'Licensed FTEs'!I34+'Licensed FTEs'!J34</f>
        <v>45.980000000000004</v>
      </c>
      <c r="K37" s="76">
        <f>'Licensed FTEs'!K34</f>
        <v>0</v>
      </c>
      <c r="L37" s="76">
        <f>'Licensed FTEs'!L34</f>
        <v>15.5</v>
      </c>
      <c r="M37" s="76">
        <f>'Licensed FTEs'!M34</f>
        <v>3.33</v>
      </c>
      <c r="N37" s="223">
        <f>'Classified FTEs'!G34</f>
        <v>14.24</v>
      </c>
      <c r="O37" s="39"/>
    </row>
    <row r="38" spans="1:15" x14ac:dyDescent="0.2">
      <c r="A38" s="74">
        <v>24</v>
      </c>
      <c r="B38" s="5" t="s">
        <v>42</v>
      </c>
      <c r="C38" s="75">
        <f>'Licensed FTEs'!C35</f>
        <v>0</v>
      </c>
      <c r="D38" s="76">
        <f>'Licensed FTEs'!D35</f>
        <v>0</v>
      </c>
      <c r="E38" s="76">
        <f>'Licensed FTEs'!E35</f>
        <v>2</v>
      </c>
      <c r="F38" s="76">
        <f>'Licensed FTEs'!F35</f>
        <v>11.33</v>
      </c>
      <c r="G38" s="76">
        <f>'Licensed FTEs'!G35</f>
        <v>16.690000000000001</v>
      </c>
      <c r="H38" s="77">
        <f>'Licensed FTEs'!H35</f>
        <v>2</v>
      </c>
      <c r="I38" s="222">
        <f>'Classified FTEs'!C35</f>
        <v>6.95</v>
      </c>
      <c r="J38" s="77">
        <f>'Licensed FTEs'!I35+'Licensed FTEs'!J35</f>
        <v>1.26</v>
      </c>
      <c r="K38" s="76">
        <f>'Licensed FTEs'!K35</f>
        <v>0.5</v>
      </c>
      <c r="L38" s="76">
        <f>'Licensed FTEs'!L35</f>
        <v>0.5</v>
      </c>
      <c r="M38" s="76">
        <f>'Licensed FTEs'!M35</f>
        <v>0</v>
      </c>
      <c r="N38" s="223">
        <f>'Classified FTEs'!G35</f>
        <v>0</v>
      </c>
      <c r="O38" s="39"/>
    </row>
    <row r="39" spans="1:15" x14ac:dyDescent="0.2">
      <c r="A39" s="74">
        <v>36</v>
      </c>
      <c r="B39" s="5" t="s">
        <v>54</v>
      </c>
      <c r="C39" s="75">
        <f>'Licensed FTEs'!C36</f>
        <v>0</v>
      </c>
      <c r="D39" s="76">
        <f>'Licensed FTEs'!D36</f>
        <v>7.5</v>
      </c>
      <c r="E39" s="76">
        <f>'Licensed FTEs'!E36</f>
        <v>82.46</v>
      </c>
      <c r="F39" s="76">
        <f>'Licensed FTEs'!F36</f>
        <v>509.4</v>
      </c>
      <c r="G39" s="76">
        <f>'Licensed FTEs'!G36</f>
        <v>414.6</v>
      </c>
      <c r="H39" s="77">
        <f>'Licensed FTEs'!H36</f>
        <v>144.51</v>
      </c>
      <c r="I39" s="222">
        <f>'Classified FTEs'!C36</f>
        <v>491.31</v>
      </c>
      <c r="J39" s="77">
        <f>'Licensed FTEs'!I36+'Licensed FTEs'!J36</f>
        <v>112.6</v>
      </c>
      <c r="K39" s="76">
        <f>'Licensed FTEs'!K36</f>
        <v>12.35</v>
      </c>
      <c r="L39" s="76">
        <f>'Licensed FTEs'!L36</f>
        <v>25.2</v>
      </c>
      <c r="M39" s="76">
        <f>'Licensed FTEs'!M36</f>
        <v>38</v>
      </c>
      <c r="N39" s="223">
        <f>'Classified FTEs'!G36</f>
        <v>8.2899999999999991</v>
      </c>
      <c r="O39" s="39"/>
    </row>
    <row r="40" spans="1:15" ht="13.5" thickBot="1" x14ac:dyDescent="0.25">
      <c r="A40" s="74">
        <v>25</v>
      </c>
      <c r="B40" s="22" t="s">
        <v>43</v>
      </c>
      <c r="C40" s="78">
        <f>'Licensed FTEs'!C37</f>
        <v>1</v>
      </c>
      <c r="D40" s="79">
        <f>'Licensed FTEs'!D37</f>
        <v>2.75</v>
      </c>
      <c r="E40" s="79">
        <f>'Licensed FTEs'!E37</f>
        <v>9.0399999999999991</v>
      </c>
      <c r="F40" s="79">
        <f>'Licensed FTEs'!F37</f>
        <v>62.21</v>
      </c>
      <c r="G40" s="79">
        <f>'Licensed FTEs'!G37</f>
        <v>80.88</v>
      </c>
      <c r="H40" s="80">
        <f>'Licensed FTEs'!H37</f>
        <v>15.34</v>
      </c>
      <c r="I40" s="225">
        <f>'Classified FTEs'!C37</f>
        <v>56.3</v>
      </c>
      <c r="J40" s="80">
        <f>'Licensed FTEs'!I37+'Licensed FTEs'!J37</f>
        <v>21.35</v>
      </c>
      <c r="K40" s="79">
        <f>'Licensed FTEs'!K37</f>
        <v>4</v>
      </c>
      <c r="L40" s="79">
        <f>'Licensed FTEs'!L37</f>
        <v>3.31</v>
      </c>
      <c r="M40" s="79">
        <f>'Licensed FTEs'!M37</f>
        <v>1</v>
      </c>
      <c r="N40" s="226">
        <f>'Classified FTEs'!G37</f>
        <v>9.82</v>
      </c>
      <c r="O40" s="39"/>
    </row>
    <row r="41" spans="1:15" x14ac:dyDescent="0.2">
      <c r="A41" s="69">
        <v>26</v>
      </c>
      <c r="B41" s="6" t="s">
        <v>44</v>
      </c>
      <c r="C41" s="75">
        <f>'Licensed FTEs'!C38</f>
        <v>0</v>
      </c>
      <c r="D41" s="76">
        <f>'Licensed FTEs'!D38</f>
        <v>4.5</v>
      </c>
      <c r="E41" s="76">
        <f>'Licensed FTEs'!E38</f>
        <v>11.33</v>
      </c>
      <c r="F41" s="76">
        <f>'Licensed FTEs'!F38</f>
        <v>80.069999999999993</v>
      </c>
      <c r="G41" s="76">
        <f>'Licensed FTEs'!G38</f>
        <v>102.72</v>
      </c>
      <c r="H41" s="77">
        <f>'Licensed FTEs'!H38</f>
        <v>30.23</v>
      </c>
      <c r="I41" s="220">
        <f>'Classified FTEs'!C38</f>
        <v>71.19</v>
      </c>
      <c r="J41" s="72">
        <f>'Licensed FTEs'!I38+'Licensed FTEs'!J38</f>
        <v>6.5</v>
      </c>
      <c r="K41" s="71">
        <f>'Licensed FTEs'!K38</f>
        <v>0</v>
      </c>
      <c r="L41" s="71">
        <f>'Licensed FTEs'!L38</f>
        <v>4.82</v>
      </c>
      <c r="M41" s="71">
        <f>'Licensed FTEs'!M38</f>
        <v>0</v>
      </c>
      <c r="N41" s="221">
        <f>'Classified FTEs'!G38</f>
        <v>8.5500000000000007</v>
      </c>
      <c r="O41" s="39"/>
    </row>
    <row r="42" spans="1:15" x14ac:dyDescent="0.2">
      <c r="A42" s="74">
        <v>27</v>
      </c>
      <c r="B42" s="6" t="s">
        <v>45</v>
      </c>
      <c r="C42" s="75">
        <f>'Licensed FTEs'!C39</f>
        <v>0</v>
      </c>
      <c r="D42" s="76">
        <f>'Licensed FTEs'!D39</f>
        <v>2.71</v>
      </c>
      <c r="E42" s="76">
        <f>'Licensed FTEs'!E39</f>
        <v>7</v>
      </c>
      <c r="F42" s="76">
        <f>'Licensed FTEs'!F39</f>
        <v>54.49</v>
      </c>
      <c r="G42" s="76">
        <f>'Licensed FTEs'!G39</f>
        <v>86.38</v>
      </c>
      <c r="H42" s="77">
        <f>'Licensed FTEs'!H39</f>
        <v>12.99</v>
      </c>
      <c r="I42" s="222">
        <f>'Classified FTEs'!C39</f>
        <v>113.75</v>
      </c>
      <c r="J42" s="77">
        <f>'Licensed FTEs'!I39+'Licensed FTEs'!J39</f>
        <v>4.9800000000000004</v>
      </c>
      <c r="K42" s="76">
        <f>'Licensed FTEs'!K39</f>
        <v>0</v>
      </c>
      <c r="L42" s="76">
        <f>'Licensed FTEs'!L39</f>
        <v>3.89</v>
      </c>
      <c r="M42" s="76">
        <f>'Licensed FTEs'!M39</f>
        <v>0</v>
      </c>
      <c r="N42" s="223">
        <f>'Classified FTEs'!G39</f>
        <v>8</v>
      </c>
      <c r="O42" s="39"/>
    </row>
    <row r="43" spans="1:15" x14ac:dyDescent="0.2">
      <c r="A43" s="74">
        <v>28</v>
      </c>
      <c r="B43" s="6" t="s">
        <v>46</v>
      </c>
      <c r="C43" s="75">
        <f>'Licensed FTEs'!C40</f>
        <v>0</v>
      </c>
      <c r="D43" s="76">
        <f>'Licensed FTEs'!D40</f>
        <v>0.13</v>
      </c>
      <c r="E43" s="76">
        <f>'Licensed FTEs'!E40</f>
        <v>3</v>
      </c>
      <c r="F43" s="76">
        <f>'Licensed FTEs'!F40</f>
        <v>33.200000000000003</v>
      </c>
      <c r="G43" s="76">
        <f>'Licensed FTEs'!G40</f>
        <v>30.11</v>
      </c>
      <c r="H43" s="77">
        <f>'Licensed FTEs'!H40</f>
        <v>4.87</v>
      </c>
      <c r="I43" s="222">
        <f>'Classified FTEs'!C40</f>
        <v>22.77</v>
      </c>
      <c r="J43" s="77">
        <f>'Licensed FTEs'!I40+'Licensed FTEs'!J40</f>
        <v>2.16</v>
      </c>
      <c r="K43" s="76">
        <f>'Licensed FTEs'!K40</f>
        <v>1</v>
      </c>
      <c r="L43" s="76">
        <f>'Licensed FTEs'!L40</f>
        <v>2</v>
      </c>
      <c r="M43" s="76">
        <f>'Licensed FTEs'!M40</f>
        <v>1</v>
      </c>
      <c r="N43" s="223">
        <f>'Classified FTEs'!G40</f>
        <v>0.88</v>
      </c>
      <c r="O43" s="39"/>
    </row>
    <row r="44" spans="1:15" x14ac:dyDescent="0.2">
      <c r="A44" s="74">
        <v>29</v>
      </c>
      <c r="B44" s="5" t="s">
        <v>47</v>
      </c>
      <c r="C44" s="75">
        <f>'Licensed FTEs'!C41</f>
        <v>0</v>
      </c>
      <c r="D44" s="76">
        <f>'Licensed FTEs'!D41</f>
        <v>0.5</v>
      </c>
      <c r="E44" s="76">
        <f>'Licensed FTEs'!E41</f>
        <v>0.5</v>
      </c>
      <c r="F44" s="76">
        <f>'Licensed FTEs'!F41</f>
        <v>8.32</v>
      </c>
      <c r="G44" s="76">
        <f>'Licensed FTEs'!G41</f>
        <v>8.1</v>
      </c>
      <c r="H44" s="77">
        <f>'Licensed FTEs'!H41</f>
        <v>1.64</v>
      </c>
      <c r="I44" s="222">
        <f>'Classified FTEs'!C41</f>
        <v>5.81</v>
      </c>
      <c r="J44" s="77">
        <f>'Licensed FTEs'!I41+'Licensed FTEs'!J41</f>
        <v>1.54</v>
      </c>
      <c r="K44" s="76">
        <f>'Licensed FTEs'!K41</f>
        <v>0.25</v>
      </c>
      <c r="L44" s="76">
        <f>'Licensed FTEs'!L41</f>
        <v>0.41</v>
      </c>
      <c r="M44" s="76">
        <f>'Licensed FTEs'!M41</f>
        <v>0</v>
      </c>
      <c r="N44" s="223">
        <f>'Classified FTEs'!G41</f>
        <v>0.91</v>
      </c>
      <c r="O44" s="39"/>
    </row>
    <row r="45" spans="1:15" ht="13.5" thickBot="1" x14ac:dyDescent="0.25">
      <c r="A45" s="74">
        <v>30</v>
      </c>
      <c r="B45" s="9" t="s">
        <v>48</v>
      </c>
      <c r="C45" s="78">
        <f>'Licensed FTEs'!C42</f>
        <v>1</v>
      </c>
      <c r="D45" s="79">
        <f>'Licensed FTEs'!D42</f>
        <v>7</v>
      </c>
      <c r="E45" s="79">
        <f>'Licensed FTEs'!E42</f>
        <v>29.98</v>
      </c>
      <c r="F45" s="79">
        <f>'Licensed FTEs'!F42</f>
        <v>263.08999999999997</v>
      </c>
      <c r="G45" s="79">
        <f>'Licensed FTEs'!G42</f>
        <v>270.45999999999998</v>
      </c>
      <c r="H45" s="80">
        <f>'Licensed FTEs'!H42</f>
        <v>77.040000000000006</v>
      </c>
      <c r="I45" s="225">
        <f>'Classified FTEs'!C42</f>
        <v>167.22</v>
      </c>
      <c r="J45" s="80">
        <f>'Licensed FTEs'!I42+'Licensed FTEs'!J42</f>
        <v>32.760000000000005</v>
      </c>
      <c r="K45" s="79">
        <f>'Licensed FTEs'!K42</f>
        <v>2.06</v>
      </c>
      <c r="L45" s="79">
        <f>'Licensed FTEs'!L42</f>
        <v>16.27</v>
      </c>
      <c r="M45" s="79">
        <f>'Licensed FTEs'!M42</f>
        <v>3.05</v>
      </c>
      <c r="N45" s="226">
        <f>'Classified FTEs'!G42</f>
        <v>26.5</v>
      </c>
      <c r="O45" s="39"/>
    </row>
    <row r="46" spans="1:15" x14ac:dyDescent="0.2">
      <c r="A46" s="69">
        <v>31</v>
      </c>
      <c r="B46" s="5" t="s">
        <v>49</v>
      </c>
      <c r="C46" s="75">
        <f>'Licensed FTEs'!C43</f>
        <v>0</v>
      </c>
      <c r="D46" s="76">
        <f>'Licensed FTEs'!D43</f>
        <v>3</v>
      </c>
      <c r="E46" s="76">
        <f>'Licensed FTEs'!E43</f>
        <v>17.48</v>
      </c>
      <c r="F46" s="76">
        <f>'Licensed FTEs'!F43</f>
        <v>129.72999999999999</v>
      </c>
      <c r="G46" s="76">
        <f>'Licensed FTEs'!G43</f>
        <v>90.68</v>
      </c>
      <c r="H46" s="77">
        <f>'Licensed FTEs'!H43</f>
        <v>29.81</v>
      </c>
      <c r="I46" s="220">
        <f>'Classified FTEs'!C43</f>
        <v>109</v>
      </c>
      <c r="J46" s="72">
        <f>'Licensed FTEs'!I43+'Licensed FTEs'!J43</f>
        <v>20.57</v>
      </c>
      <c r="K46" s="71">
        <f>'Licensed FTEs'!K43</f>
        <v>2.93</v>
      </c>
      <c r="L46" s="71">
        <f>'Licensed FTEs'!L43</f>
        <v>5.3</v>
      </c>
      <c r="M46" s="71">
        <f>'Licensed FTEs'!M43</f>
        <v>0.74</v>
      </c>
      <c r="N46" s="221">
        <f>'Classified FTEs'!G43</f>
        <v>9.48</v>
      </c>
      <c r="O46" s="39"/>
    </row>
    <row r="47" spans="1:15" x14ac:dyDescent="0.2">
      <c r="A47" s="74">
        <v>32</v>
      </c>
      <c r="B47" s="5" t="s">
        <v>50</v>
      </c>
      <c r="C47" s="75">
        <f>'Licensed FTEs'!C44</f>
        <v>0</v>
      </c>
      <c r="D47" s="76">
        <f>'Licensed FTEs'!D44</f>
        <v>4</v>
      </c>
      <c r="E47" s="76">
        <f>'Licensed FTEs'!E44</f>
        <v>10.92</v>
      </c>
      <c r="F47" s="76">
        <f>'Licensed FTEs'!F44</f>
        <v>111.37</v>
      </c>
      <c r="G47" s="76">
        <f>'Licensed FTEs'!G44</f>
        <v>97.02</v>
      </c>
      <c r="H47" s="77">
        <f>'Licensed FTEs'!H44</f>
        <v>28.35</v>
      </c>
      <c r="I47" s="222">
        <f>'Classified FTEs'!C44</f>
        <v>73.650000000000006</v>
      </c>
      <c r="J47" s="77">
        <f>'Licensed FTEs'!I44+'Licensed FTEs'!J44</f>
        <v>22</v>
      </c>
      <c r="K47" s="76">
        <f>'Licensed FTEs'!K44</f>
        <v>4</v>
      </c>
      <c r="L47" s="76">
        <f>'Licensed FTEs'!L44</f>
        <v>6.5</v>
      </c>
      <c r="M47" s="76">
        <f>'Licensed FTEs'!M44</f>
        <v>7</v>
      </c>
      <c r="N47" s="223">
        <f>'Classified FTEs'!G44</f>
        <v>1.5</v>
      </c>
      <c r="O47" s="39"/>
    </row>
    <row r="48" spans="1:15" x14ac:dyDescent="0.2">
      <c r="A48" s="74">
        <v>33</v>
      </c>
      <c r="B48" s="6" t="s">
        <v>51</v>
      </c>
      <c r="C48" s="75">
        <f>'Licensed FTEs'!C45</f>
        <v>0</v>
      </c>
      <c r="D48" s="76">
        <f>'Licensed FTEs'!D45</f>
        <v>8.44</v>
      </c>
      <c r="E48" s="76">
        <f>'Licensed FTEs'!E45</f>
        <v>65.510000000000005</v>
      </c>
      <c r="F48" s="76">
        <f>'Licensed FTEs'!F45</f>
        <v>466.58</v>
      </c>
      <c r="G48" s="76">
        <f>'Licensed FTEs'!G45</f>
        <v>506.65</v>
      </c>
      <c r="H48" s="77">
        <f>'Licensed FTEs'!H45</f>
        <v>113.91</v>
      </c>
      <c r="I48" s="222">
        <f>'Classified FTEs'!C45</f>
        <v>294.14</v>
      </c>
      <c r="J48" s="77">
        <f>'Licensed FTEs'!I45+'Licensed FTEs'!J45</f>
        <v>117.04</v>
      </c>
      <c r="K48" s="76">
        <f>'Licensed FTEs'!K45</f>
        <v>12.35</v>
      </c>
      <c r="L48" s="76">
        <f>'Licensed FTEs'!L45</f>
        <v>39.03</v>
      </c>
      <c r="M48" s="76">
        <f>'Licensed FTEs'!M45</f>
        <v>15.9</v>
      </c>
      <c r="N48" s="223">
        <f>'Classified FTEs'!G45</f>
        <v>44.1</v>
      </c>
      <c r="O48" s="39"/>
    </row>
    <row r="49" spans="1:15" x14ac:dyDescent="0.2">
      <c r="A49" s="74">
        <v>34</v>
      </c>
      <c r="B49" s="6" t="s">
        <v>52</v>
      </c>
      <c r="C49" s="75">
        <f>'Licensed FTEs'!C46</f>
        <v>0</v>
      </c>
      <c r="D49" s="76">
        <f>'Licensed FTEs'!D46</f>
        <v>0.25</v>
      </c>
      <c r="E49" s="76">
        <f>'Licensed FTEs'!E46</f>
        <v>1.27</v>
      </c>
      <c r="F49" s="76">
        <f>'Licensed FTEs'!F46</f>
        <v>12.76</v>
      </c>
      <c r="G49" s="76">
        <f>'Licensed FTEs'!G46</f>
        <v>18.18</v>
      </c>
      <c r="H49" s="77">
        <f>'Licensed FTEs'!H46</f>
        <v>2.65</v>
      </c>
      <c r="I49" s="222">
        <f>'Classified FTEs'!C46</f>
        <v>10.07</v>
      </c>
      <c r="J49" s="77">
        <f>'Licensed FTEs'!I46+'Licensed FTEs'!J46</f>
        <v>1.25</v>
      </c>
      <c r="K49" s="76">
        <f>'Licensed FTEs'!K46</f>
        <v>0</v>
      </c>
      <c r="L49" s="76">
        <f>'Licensed FTEs'!L46</f>
        <v>0.86</v>
      </c>
      <c r="M49" s="76">
        <f>'Licensed FTEs'!M46</f>
        <v>0</v>
      </c>
      <c r="N49" s="223">
        <f>'Classified FTEs'!G46</f>
        <v>1.21</v>
      </c>
      <c r="O49" s="39"/>
    </row>
    <row r="50" spans="1:15" ht="13.5" thickBot="1" x14ac:dyDescent="0.25">
      <c r="A50" s="74">
        <v>35</v>
      </c>
      <c r="B50" s="5" t="s">
        <v>53</v>
      </c>
      <c r="C50" s="75">
        <f>'Licensed FTEs'!C47</f>
        <v>0</v>
      </c>
      <c r="D50" s="76">
        <f>'Licensed FTEs'!D47</f>
        <v>10</v>
      </c>
      <c r="E50" s="76">
        <f>'Licensed FTEs'!E47</f>
        <v>62.03</v>
      </c>
      <c r="F50" s="76">
        <f>'Licensed FTEs'!F47</f>
        <v>564.70000000000005</v>
      </c>
      <c r="G50" s="76">
        <f>'Licensed FTEs'!G47</f>
        <v>519.45000000000005</v>
      </c>
      <c r="H50" s="77">
        <f>'Licensed FTEs'!H47</f>
        <v>166.78</v>
      </c>
      <c r="I50" s="225">
        <f>'Classified FTEs'!C47</f>
        <v>383.9</v>
      </c>
      <c r="J50" s="80">
        <f>'Licensed FTEs'!I47+'Licensed FTEs'!J47</f>
        <v>84.97</v>
      </c>
      <c r="K50" s="79">
        <f>'Licensed FTEs'!K47</f>
        <v>18.86</v>
      </c>
      <c r="L50" s="79">
        <f>'Licensed FTEs'!L47</f>
        <v>37.28</v>
      </c>
      <c r="M50" s="79">
        <f>'Licensed FTEs'!M47</f>
        <v>13.83</v>
      </c>
      <c r="N50" s="226">
        <f>'Classified FTEs'!G47</f>
        <v>27.7</v>
      </c>
      <c r="O50" s="39"/>
    </row>
    <row r="51" spans="1:15" ht="13.5" thickBot="1" x14ac:dyDescent="0.25">
      <c r="A51" s="214"/>
      <c r="B51" s="82" t="s">
        <v>59</v>
      </c>
      <c r="C51" s="83">
        <f>SUM(C10:C50)</f>
        <v>28.560000000000002</v>
      </c>
      <c r="D51" s="84">
        <f t="shared" ref="D51:N51" si="0">SUM(D10:D50)</f>
        <v>224.4</v>
      </c>
      <c r="E51" s="84">
        <f t="shared" si="0"/>
        <v>1183.5600000000002</v>
      </c>
      <c r="F51" s="84">
        <f t="shared" si="0"/>
        <v>10453.189999999999</v>
      </c>
      <c r="G51" s="84">
        <f t="shared" si="0"/>
        <v>9433.260000000002</v>
      </c>
      <c r="H51" s="85">
        <f t="shared" si="0"/>
        <v>2547.4899999999998</v>
      </c>
      <c r="I51" s="83">
        <f>SUM(I10:I50)</f>
        <v>7649.45</v>
      </c>
      <c r="J51" s="86">
        <f t="shared" si="0"/>
        <v>1629.31</v>
      </c>
      <c r="K51" s="84">
        <f t="shared" si="0"/>
        <v>137.72999999999999</v>
      </c>
      <c r="L51" s="84">
        <f t="shared" si="0"/>
        <v>633.12999999999988</v>
      </c>
      <c r="M51" s="84">
        <f t="shared" si="0"/>
        <v>258.52000000000004</v>
      </c>
      <c r="N51" s="85">
        <f t="shared" si="0"/>
        <v>449.84000000000009</v>
      </c>
      <c r="O51" s="39"/>
    </row>
    <row r="52" spans="1:15" ht="13.5" thickBot="1" x14ac:dyDescent="0.25">
      <c r="B52" s="82" t="s">
        <v>60</v>
      </c>
      <c r="C52" s="231">
        <f>'instruction-charters'!C86</f>
        <v>0</v>
      </c>
      <c r="D52" s="231">
        <f>'instruction-charters'!D86</f>
        <v>0</v>
      </c>
      <c r="E52" s="231">
        <f>'instruction-charters'!E86</f>
        <v>93.02</v>
      </c>
      <c r="F52" s="231">
        <f>'instruction-charters'!F86</f>
        <v>876.12</v>
      </c>
      <c r="G52" s="231">
        <f>'instruction-charters'!G86</f>
        <v>698.69999999999982</v>
      </c>
      <c r="H52" s="231">
        <f>'instruction-charters'!H86</f>
        <v>138.41000000000003</v>
      </c>
      <c r="I52" s="231">
        <f>'instruction-charters'!I86</f>
        <v>564.55000000000018</v>
      </c>
      <c r="J52" s="231">
        <f>'instruction-charters'!J86</f>
        <v>69.759999999999991</v>
      </c>
      <c r="K52" s="231">
        <f>'instruction-charters'!K86</f>
        <v>5.53</v>
      </c>
      <c r="L52" s="231">
        <f>'instruction-charters'!L86</f>
        <v>30.450000000000003</v>
      </c>
      <c r="M52" s="231">
        <f>'instruction-charters'!M86</f>
        <v>20.47</v>
      </c>
      <c r="N52" s="141">
        <f>'instruction-charters'!N86</f>
        <v>7.8100000000000005</v>
      </c>
      <c r="O52" s="39"/>
    </row>
    <row r="53" spans="1:15" ht="13.5" thickBot="1" x14ac:dyDescent="0.25">
      <c r="B53" s="82" t="s">
        <v>61</v>
      </c>
      <c r="C53" s="83">
        <f>SUM(C51:C52)</f>
        <v>28.560000000000002</v>
      </c>
      <c r="D53" s="83">
        <f t="shared" ref="D53:N53" si="1">SUM(D51:D52)</f>
        <v>224.4</v>
      </c>
      <c r="E53" s="83">
        <f t="shared" si="1"/>
        <v>1276.5800000000002</v>
      </c>
      <c r="F53" s="83">
        <f t="shared" si="1"/>
        <v>11329.31</v>
      </c>
      <c r="G53" s="83">
        <f t="shared" si="1"/>
        <v>10131.960000000003</v>
      </c>
      <c r="H53" s="83">
        <f t="shared" si="1"/>
        <v>2685.8999999999996</v>
      </c>
      <c r="I53" s="83">
        <f t="shared" si="1"/>
        <v>8214</v>
      </c>
      <c r="J53" s="83">
        <f t="shared" si="1"/>
        <v>1699.07</v>
      </c>
      <c r="K53" s="83">
        <f t="shared" si="1"/>
        <v>143.26</v>
      </c>
      <c r="L53" s="83">
        <f t="shared" si="1"/>
        <v>663.57999999999993</v>
      </c>
      <c r="M53" s="83">
        <f t="shared" si="1"/>
        <v>278.99</v>
      </c>
      <c r="N53" s="86">
        <f t="shared" si="1"/>
        <v>457.65000000000009</v>
      </c>
      <c r="O53" s="39"/>
    </row>
    <row r="54" spans="1:15" x14ac:dyDescent="0.2"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1:15" x14ac:dyDescent="0.2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x14ac:dyDescent="0.2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</row>
    <row r="57" spans="1:15" x14ac:dyDescent="0.2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</row>
    <row r="58" spans="1:15" x14ac:dyDescent="0.2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</row>
    <row r="59" spans="1:15" x14ac:dyDescent="0.2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</row>
    <row r="60" spans="1:15" x14ac:dyDescent="0.2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</row>
    <row r="61" spans="1:15" x14ac:dyDescent="0.2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</row>
    <row r="62" spans="1:15" x14ac:dyDescent="0.2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</row>
    <row r="63" spans="1:15" x14ac:dyDescent="0.2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</row>
    <row r="64" spans="1:15" x14ac:dyDescent="0.2"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</row>
    <row r="65" spans="3:15" x14ac:dyDescent="0.2"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</row>
    <row r="66" spans="3:15" x14ac:dyDescent="0.2"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</row>
    <row r="67" spans="3:15" x14ac:dyDescent="0.2"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</row>
    <row r="68" spans="3:15" x14ac:dyDescent="0.2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</row>
  </sheetData>
  <sortState ref="A7:O46">
    <sortCondition ref="B7:B46"/>
  </sortState>
  <mergeCells count="18">
    <mergeCell ref="E6:E7"/>
    <mergeCell ref="F6:F7"/>
    <mergeCell ref="G6:G7"/>
    <mergeCell ref="H6:H7"/>
    <mergeCell ref="B1:N1"/>
    <mergeCell ref="B2:N2"/>
    <mergeCell ref="B3:N3"/>
    <mergeCell ref="B4:B8"/>
    <mergeCell ref="C4:J4"/>
    <mergeCell ref="K4:N4"/>
    <mergeCell ref="C5:H5"/>
    <mergeCell ref="I5:I7"/>
    <mergeCell ref="J5:J7"/>
    <mergeCell ref="K5:K7"/>
    <mergeCell ref="L5:L7"/>
    <mergeCell ref="M5:M7"/>
    <mergeCell ref="N5:N7"/>
    <mergeCell ref="C6:D6"/>
  </mergeCells>
  <printOptions horizontalCentered="1" verticalCentered="1"/>
  <pageMargins left="0.47" right="0.25" top="0.42" bottom="0.75" header="0.3" footer="0.3"/>
  <pageSetup scale="73" orientation="landscape" r:id="rId1"/>
  <headerFooter>
    <oddFooter>&amp;L&amp;"Arial,Regular"&amp;8DATA SOURCE:  CACTUS Database June 30, 2011
Year-End Web Survey FY 2011
COMPILED BY:  Data and Statistics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7"/>
  <sheetViews>
    <sheetView zoomScale="80" zoomScaleNormal="80" workbookViewId="0">
      <pane xSplit="2" ySplit="9" topLeftCell="C10" activePane="bottomRight" state="frozen"/>
      <selection activeCell="E53" sqref="E53"/>
      <selection pane="topRight" activeCell="E53" sqref="E53"/>
      <selection pane="bottomLeft" activeCell="E53" sqref="E53"/>
      <selection pane="bottomRight" activeCell="E53" sqref="E53"/>
    </sheetView>
  </sheetViews>
  <sheetFormatPr defaultColWidth="9.140625" defaultRowHeight="12.75" x14ac:dyDescent="0.2"/>
  <cols>
    <col min="1" max="1" width="3.140625" style="26" bestFit="1" customWidth="1"/>
    <col min="2" max="2" width="32.28515625" style="59" customWidth="1"/>
    <col min="3" max="4" width="11.7109375" style="27" customWidth="1"/>
    <col min="5" max="5" width="14.28515625" style="27" customWidth="1"/>
    <col min="6" max="6" width="13" style="27" customWidth="1"/>
    <col min="7" max="7" width="13.7109375" style="27" customWidth="1"/>
    <col min="8" max="8" width="12.28515625" style="27" customWidth="1"/>
    <col min="9" max="9" width="15.140625" style="27" customWidth="1"/>
    <col min="10" max="10" width="15" style="27" customWidth="1"/>
    <col min="11" max="12" width="15.140625" style="27" customWidth="1"/>
    <col min="13" max="13" width="14.42578125" style="27" customWidth="1"/>
    <col min="14" max="14" width="14.7109375" style="27" customWidth="1"/>
    <col min="15" max="16384" width="9.140625" style="27"/>
  </cols>
  <sheetData>
    <row r="1" spans="1:15" ht="18.75" x14ac:dyDescent="0.3">
      <c r="A1" s="26" t="s">
        <v>308</v>
      </c>
      <c r="B1" s="155" t="s">
        <v>259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5" ht="18.75" x14ac:dyDescent="0.3">
      <c r="B2" s="155" t="s">
        <v>260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5" ht="19.5" thickBot="1" x14ac:dyDescent="0.35">
      <c r="B3" s="155" t="s">
        <v>291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15" ht="18" customHeight="1" thickBot="1" x14ac:dyDescent="0.3">
      <c r="A4" s="28"/>
      <c r="B4" s="153" t="s">
        <v>0</v>
      </c>
      <c r="C4" s="159" t="s">
        <v>1</v>
      </c>
      <c r="D4" s="159"/>
      <c r="E4" s="159"/>
      <c r="F4" s="159"/>
      <c r="G4" s="159"/>
      <c r="H4" s="159"/>
      <c r="I4" s="159"/>
      <c r="J4" s="159"/>
      <c r="K4" s="160" t="s">
        <v>2</v>
      </c>
      <c r="L4" s="159"/>
      <c r="M4" s="161"/>
      <c r="N4" s="162"/>
    </row>
    <row r="5" spans="1:15" ht="17.25" customHeight="1" thickBot="1" x14ac:dyDescent="0.3">
      <c r="A5" s="28"/>
      <c r="B5" s="157"/>
      <c r="C5" s="160" t="s">
        <v>3</v>
      </c>
      <c r="D5" s="159"/>
      <c r="E5" s="159"/>
      <c r="F5" s="159"/>
      <c r="G5" s="159"/>
      <c r="H5" s="163"/>
      <c r="I5" s="164" t="s">
        <v>4</v>
      </c>
      <c r="J5" s="166" t="s">
        <v>5</v>
      </c>
      <c r="K5" s="153" t="s">
        <v>6</v>
      </c>
      <c r="L5" s="153" t="s">
        <v>7</v>
      </c>
      <c r="M5" s="153" t="s">
        <v>8</v>
      </c>
      <c r="N5" s="153" t="s">
        <v>9</v>
      </c>
    </row>
    <row r="6" spans="1:15" ht="15.75" thickBot="1" x14ac:dyDescent="0.3">
      <c r="A6" s="28"/>
      <c r="B6" s="157"/>
      <c r="C6" s="160" t="s">
        <v>261</v>
      </c>
      <c r="D6" s="159"/>
      <c r="E6" s="151" t="s">
        <v>10</v>
      </c>
      <c r="F6" s="151" t="s">
        <v>11</v>
      </c>
      <c r="G6" s="151" t="s">
        <v>12</v>
      </c>
      <c r="H6" s="153" t="s">
        <v>13</v>
      </c>
      <c r="I6" s="165"/>
      <c r="J6" s="167"/>
      <c r="K6" s="154"/>
      <c r="L6" s="169"/>
      <c r="M6" s="154"/>
      <c r="N6" s="154"/>
    </row>
    <row r="7" spans="1:15" ht="29.25" customHeight="1" thickBot="1" x14ac:dyDescent="0.3">
      <c r="A7" s="28"/>
      <c r="B7" s="157"/>
      <c r="C7" s="29" t="s">
        <v>14</v>
      </c>
      <c r="D7" s="30" t="s">
        <v>15</v>
      </c>
      <c r="E7" s="152"/>
      <c r="F7" s="152"/>
      <c r="G7" s="152"/>
      <c r="H7" s="154"/>
      <c r="I7" s="165"/>
      <c r="J7" s="167"/>
      <c r="K7" s="168"/>
      <c r="L7" s="170"/>
      <c r="M7" s="168"/>
      <c r="N7" s="168"/>
    </row>
    <row r="8" spans="1:15" ht="47.25" customHeight="1" thickBot="1" x14ac:dyDescent="0.3">
      <c r="A8" s="28"/>
      <c r="B8" s="158"/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3" t="s">
        <v>17</v>
      </c>
      <c r="J8" s="31" t="s">
        <v>16</v>
      </c>
      <c r="K8" s="2" t="s">
        <v>16</v>
      </c>
      <c r="L8" s="3" t="s">
        <v>16</v>
      </c>
      <c r="M8" s="2" t="s">
        <v>16</v>
      </c>
      <c r="N8" s="2" t="s">
        <v>17</v>
      </c>
    </row>
    <row r="9" spans="1:15" ht="13.5" thickBot="1" x14ac:dyDescent="0.25">
      <c r="A9" s="28"/>
      <c r="B9" s="24" t="s">
        <v>134</v>
      </c>
      <c r="C9" s="32"/>
      <c r="D9" s="1"/>
      <c r="E9" s="1"/>
      <c r="F9" s="1"/>
      <c r="G9" s="1"/>
      <c r="H9" s="33"/>
      <c r="I9" s="1"/>
      <c r="J9" s="1"/>
      <c r="K9" s="32"/>
      <c r="L9" s="1"/>
      <c r="M9" s="1"/>
      <c r="N9" s="23"/>
    </row>
    <row r="10" spans="1:15" ht="15" x14ac:dyDescent="0.25">
      <c r="A10" s="34">
        <v>83</v>
      </c>
      <c r="B10" s="34" t="s">
        <v>187</v>
      </c>
      <c r="C10" s="35">
        <f>'Licensed FTEs'!C49</f>
        <v>0</v>
      </c>
      <c r="D10" s="35">
        <f>'Licensed FTEs'!D49</f>
        <v>0</v>
      </c>
      <c r="E10" s="35">
        <f>'Licensed FTEs'!E49</f>
        <v>0</v>
      </c>
      <c r="F10" s="35">
        <f>'Licensed FTEs'!F49</f>
        <v>0</v>
      </c>
      <c r="G10" s="35">
        <f>'Licensed FTEs'!G49</f>
        <v>19.59</v>
      </c>
      <c r="H10" s="36">
        <f>'Licensed FTEs'!H49</f>
        <v>1</v>
      </c>
      <c r="I10" s="37">
        <f>'Classified FTEs'!C49</f>
        <v>2.4500000000000002</v>
      </c>
      <c r="J10" s="35">
        <f>'Licensed FTEs'!I49+'Licensed FTEs'!J49</f>
        <v>0.17</v>
      </c>
      <c r="K10" s="38">
        <f>'Licensed FTEs'!K49</f>
        <v>0</v>
      </c>
      <c r="L10" s="35">
        <f>'Licensed FTEs'!L49</f>
        <v>3</v>
      </c>
      <c r="M10" s="35">
        <f>'Licensed FTEs'!M49</f>
        <v>0</v>
      </c>
      <c r="N10" s="36">
        <f>'Classified FTEs'!G49</f>
        <v>0</v>
      </c>
      <c r="O10" s="39"/>
    </row>
    <row r="11" spans="1:15" ht="15" x14ac:dyDescent="0.25">
      <c r="A11" s="40" t="s">
        <v>65</v>
      </c>
      <c r="B11" s="40" t="s">
        <v>188</v>
      </c>
      <c r="C11" s="41">
        <f>'Licensed FTEs'!C50</f>
        <v>0</v>
      </c>
      <c r="D11" s="41">
        <f>'Licensed FTEs'!D50</f>
        <v>0</v>
      </c>
      <c r="E11" s="41">
        <f>'Licensed FTEs'!E50</f>
        <v>3</v>
      </c>
      <c r="F11" s="41">
        <f>'Licensed FTEs'!F50</f>
        <v>25.61</v>
      </c>
      <c r="G11" s="41">
        <f>'Licensed FTEs'!G50</f>
        <v>33.18</v>
      </c>
      <c r="H11" s="42">
        <f>'Licensed FTEs'!H50</f>
        <v>6</v>
      </c>
      <c r="I11" s="43">
        <f>'Classified FTEs'!C50</f>
        <v>0</v>
      </c>
      <c r="J11" s="41">
        <f>'Licensed FTEs'!I50+'Licensed FTEs'!J50</f>
        <v>4.92</v>
      </c>
      <c r="K11" s="44">
        <f>'Licensed FTEs'!K50</f>
        <v>0.25</v>
      </c>
      <c r="L11" s="41">
        <f>'Licensed FTEs'!L50</f>
        <v>2</v>
      </c>
      <c r="M11" s="41">
        <f>'Licensed FTEs'!M50</f>
        <v>0.6</v>
      </c>
      <c r="N11" s="42">
        <f>'Classified FTEs'!G50</f>
        <v>0</v>
      </c>
      <c r="O11" s="39"/>
    </row>
    <row r="12" spans="1:15" ht="15" x14ac:dyDescent="0.25">
      <c r="A12" s="40">
        <v>74</v>
      </c>
      <c r="B12" s="40" t="s">
        <v>189</v>
      </c>
      <c r="C12" s="41">
        <f>'Licensed FTEs'!C51</f>
        <v>0</v>
      </c>
      <c r="D12" s="41">
        <f>'Licensed FTEs'!D51</f>
        <v>0</v>
      </c>
      <c r="E12" s="41">
        <f>'Licensed FTEs'!E51</f>
        <v>3</v>
      </c>
      <c r="F12" s="41">
        <f>'Licensed FTEs'!F51</f>
        <v>27.01</v>
      </c>
      <c r="G12" s="41">
        <f>'Licensed FTEs'!G51</f>
        <v>16.96</v>
      </c>
      <c r="H12" s="42">
        <f>'Licensed FTEs'!H51</f>
        <v>1</v>
      </c>
      <c r="I12" s="43">
        <f>'Classified FTEs'!C51</f>
        <v>12.88</v>
      </c>
      <c r="J12" s="41">
        <f>'Licensed FTEs'!I51+'Licensed FTEs'!J51</f>
        <v>2.69</v>
      </c>
      <c r="K12" s="44">
        <f>'Licensed FTEs'!K51</f>
        <v>0.35</v>
      </c>
      <c r="L12" s="41">
        <f>'Licensed FTEs'!L51</f>
        <v>0.35</v>
      </c>
      <c r="M12" s="41">
        <f>'Licensed FTEs'!M51</f>
        <v>0</v>
      </c>
      <c r="N12" s="42">
        <f>'Classified FTEs'!G51</f>
        <v>0</v>
      </c>
      <c r="O12" s="39"/>
    </row>
    <row r="13" spans="1:15" ht="15" x14ac:dyDescent="0.25">
      <c r="A13" s="40" t="s">
        <v>292</v>
      </c>
      <c r="B13" s="40" t="s">
        <v>293</v>
      </c>
      <c r="C13" s="41">
        <f>'Licensed FTEs'!C52</f>
        <v>0</v>
      </c>
      <c r="D13" s="41">
        <f>'Licensed FTEs'!D52</f>
        <v>0</v>
      </c>
      <c r="E13" s="41">
        <f>'Licensed FTEs'!E52</f>
        <v>0.5</v>
      </c>
      <c r="F13" s="41">
        <f>'Licensed FTEs'!F52</f>
        <v>5.9</v>
      </c>
      <c r="G13" s="41">
        <f>'Licensed FTEs'!G52</f>
        <v>3.73</v>
      </c>
      <c r="H13" s="42">
        <f>'Licensed FTEs'!H52</f>
        <v>0.5</v>
      </c>
      <c r="I13" s="43">
        <f>'Classified FTEs'!C52</f>
        <v>2.5</v>
      </c>
      <c r="J13" s="41">
        <f>'Licensed FTEs'!I52+'Licensed FTEs'!J52</f>
        <v>0.67</v>
      </c>
      <c r="K13" s="44">
        <f>'Licensed FTEs'!K52</f>
        <v>0</v>
      </c>
      <c r="L13" s="41">
        <f>'Licensed FTEs'!L52</f>
        <v>0</v>
      </c>
      <c r="M13" s="41">
        <f>'Licensed FTEs'!M52</f>
        <v>0</v>
      </c>
      <c r="N13" s="42">
        <f>'Classified FTEs'!G52</f>
        <v>0</v>
      </c>
      <c r="O13" s="39"/>
    </row>
    <row r="14" spans="1:15" ht="15.75" thickBot="1" x14ac:dyDescent="0.3">
      <c r="A14" s="40" t="s">
        <v>66</v>
      </c>
      <c r="B14" s="45" t="s">
        <v>190</v>
      </c>
      <c r="C14" s="46">
        <f>'Licensed FTEs'!C53</f>
        <v>0</v>
      </c>
      <c r="D14" s="46">
        <f>'Licensed FTEs'!D53</f>
        <v>0</v>
      </c>
      <c r="E14" s="46">
        <f>'Licensed FTEs'!E53</f>
        <v>0</v>
      </c>
      <c r="F14" s="46">
        <f>'Licensed FTEs'!F53</f>
        <v>0</v>
      </c>
      <c r="G14" s="46">
        <f>'Licensed FTEs'!G53</f>
        <v>13.6</v>
      </c>
      <c r="H14" s="47">
        <f>'Licensed FTEs'!H53</f>
        <v>1.08</v>
      </c>
      <c r="I14" s="48">
        <f>'Classified FTEs'!C53</f>
        <v>0</v>
      </c>
      <c r="J14" s="46">
        <f>'Licensed FTEs'!I53+'Licensed FTEs'!J53</f>
        <v>0</v>
      </c>
      <c r="K14" s="49">
        <f>'Licensed FTEs'!K53</f>
        <v>0</v>
      </c>
      <c r="L14" s="46">
        <f>'Licensed FTEs'!L53</f>
        <v>0</v>
      </c>
      <c r="M14" s="46">
        <f>'Licensed FTEs'!M53</f>
        <v>0</v>
      </c>
      <c r="N14" s="47">
        <f>'Classified FTEs'!G53</f>
        <v>0</v>
      </c>
      <c r="O14" s="39"/>
    </row>
    <row r="15" spans="1:15" ht="15" x14ac:dyDescent="0.25">
      <c r="A15" s="40" t="s">
        <v>67</v>
      </c>
      <c r="B15" s="34" t="s">
        <v>191</v>
      </c>
      <c r="C15" s="35">
        <f>'Licensed FTEs'!C54</f>
        <v>0</v>
      </c>
      <c r="D15" s="35">
        <f>'Licensed FTEs'!D54</f>
        <v>0</v>
      </c>
      <c r="E15" s="35">
        <f>'Licensed FTEs'!E54</f>
        <v>2</v>
      </c>
      <c r="F15" s="35">
        <f>'Licensed FTEs'!F54</f>
        <v>18</v>
      </c>
      <c r="G15" s="35">
        <f>'Licensed FTEs'!G54</f>
        <v>0</v>
      </c>
      <c r="H15" s="36">
        <f>'Licensed FTEs'!H54</f>
        <v>1</v>
      </c>
      <c r="I15" s="37">
        <f>'Classified FTEs'!C54</f>
        <v>0</v>
      </c>
      <c r="J15" s="35">
        <f>'Licensed FTEs'!I54+'Licensed FTEs'!J54</f>
        <v>0.33</v>
      </c>
      <c r="K15" s="38">
        <f>'Licensed FTEs'!K54</f>
        <v>0</v>
      </c>
      <c r="L15" s="35">
        <f>'Licensed FTEs'!L54</f>
        <v>0</v>
      </c>
      <c r="M15" s="35">
        <f>'Licensed FTEs'!M54</f>
        <v>0</v>
      </c>
      <c r="N15" s="36">
        <f>'Classified FTEs'!G54</f>
        <v>0</v>
      </c>
      <c r="O15" s="39"/>
    </row>
    <row r="16" spans="1:15" ht="15" x14ac:dyDescent="0.25">
      <c r="A16" s="40" t="s">
        <v>68</v>
      </c>
      <c r="B16" s="40" t="s">
        <v>192</v>
      </c>
      <c r="C16" s="41">
        <f>'Licensed FTEs'!C55</f>
        <v>0</v>
      </c>
      <c r="D16" s="41">
        <f>'Licensed FTEs'!D55</f>
        <v>0</v>
      </c>
      <c r="E16" s="41">
        <f>'Licensed FTEs'!E55</f>
        <v>2</v>
      </c>
      <c r="F16" s="41">
        <f>'Licensed FTEs'!F55</f>
        <v>18</v>
      </c>
      <c r="G16" s="41">
        <f>'Licensed FTEs'!G55</f>
        <v>9.5</v>
      </c>
      <c r="H16" s="42">
        <f>'Licensed FTEs'!H55</f>
        <v>2.5099999999999998</v>
      </c>
      <c r="I16" s="43">
        <f>'Classified FTEs'!C55</f>
        <v>11.7</v>
      </c>
      <c r="J16" s="41">
        <f>'Licensed FTEs'!I55+'Licensed FTEs'!J55</f>
        <v>0.5</v>
      </c>
      <c r="K16" s="44">
        <f>'Licensed FTEs'!K55</f>
        <v>0</v>
      </c>
      <c r="L16" s="41">
        <f>'Licensed FTEs'!L55</f>
        <v>0</v>
      </c>
      <c r="M16" s="41">
        <f>'Licensed FTEs'!M55</f>
        <v>0</v>
      </c>
      <c r="N16" s="42">
        <f>'Classified FTEs'!G55</f>
        <v>1.5</v>
      </c>
      <c r="O16" s="39"/>
    </row>
    <row r="17" spans="1:15" ht="15" x14ac:dyDescent="0.25">
      <c r="A17" s="40">
        <v>87</v>
      </c>
      <c r="B17" s="40" t="s">
        <v>193</v>
      </c>
      <c r="C17" s="41">
        <f>'Licensed FTEs'!C56</f>
        <v>0</v>
      </c>
      <c r="D17" s="41">
        <f>'Licensed FTEs'!D56</f>
        <v>0</v>
      </c>
      <c r="E17" s="41">
        <f>'Licensed FTEs'!E56</f>
        <v>0</v>
      </c>
      <c r="F17" s="41">
        <f>'Licensed FTEs'!F56</f>
        <v>0</v>
      </c>
      <c r="G17" s="41">
        <f>'Licensed FTEs'!G56</f>
        <v>15.73</v>
      </c>
      <c r="H17" s="42">
        <f>'Licensed FTEs'!H56</f>
        <v>0</v>
      </c>
      <c r="I17" s="43">
        <f>'Classified FTEs'!C56</f>
        <v>6.4</v>
      </c>
      <c r="J17" s="41">
        <f>'Licensed FTEs'!I56+'Licensed FTEs'!J56</f>
        <v>1.72</v>
      </c>
      <c r="K17" s="44">
        <f>'Licensed FTEs'!K56</f>
        <v>0</v>
      </c>
      <c r="L17" s="41">
        <f>'Licensed FTEs'!L56</f>
        <v>1</v>
      </c>
      <c r="M17" s="41">
        <f>'Licensed FTEs'!M56</f>
        <v>0</v>
      </c>
      <c r="N17" s="42">
        <f>'Classified FTEs'!G56</f>
        <v>0.81</v>
      </c>
      <c r="O17" s="39"/>
    </row>
    <row r="18" spans="1:15" ht="15" x14ac:dyDescent="0.25">
      <c r="A18" s="40" t="s">
        <v>69</v>
      </c>
      <c r="B18" s="40" t="s">
        <v>294</v>
      </c>
      <c r="C18" s="41">
        <f>'Licensed FTEs'!C57</f>
        <v>0</v>
      </c>
      <c r="D18" s="41">
        <f>'Licensed FTEs'!D57</f>
        <v>0</v>
      </c>
      <c r="E18" s="41">
        <f>'Licensed FTEs'!E57</f>
        <v>2.2799999999999998</v>
      </c>
      <c r="F18" s="41">
        <f>'Licensed FTEs'!F57</f>
        <v>11</v>
      </c>
      <c r="G18" s="41">
        <f>'Licensed FTEs'!G57</f>
        <v>1.5</v>
      </c>
      <c r="H18" s="42">
        <f>'Licensed FTEs'!H57</f>
        <v>1</v>
      </c>
      <c r="I18" s="43">
        <f>'Classified FTEs'!C57</f>
        <v>1.83</v>
      </c>
      <c r="J18" s="41">
        <f>'Licensed FTEs'!I57+'Licensed FTEs'!J57</f>
        <v>0</v>
      </c>
      <c r="K18" s="44">
        <f>'Licensed FTEs'!K57</f>
        <v>0</v>
      </c>
      <c r="L18" s="41">
        <f>'Licensed FTEs'!L57</f>
        <v>0</v>
      </c>
      <c r="M18" s="41">
        <f>'Licensed FTEs'!M57</f>
        <v>0</v>
      </c>
      <c r="N18" s="42">
        <f>'Classified FTEs'!G57</f>
        <v>0</v>
      </c>
      <c r="O18" s="39"/>
    </row>
    <row r="19" spans="1:15" ht="15.75" thickBot="1" x14ac:dyDescent="0.3">
      <c r="A19" s="40" t="s">
        <v>70</v>
      </c>
      <c r="B19" s="45" t="s">
        <v>194</v>
      </c>
      <c r="C19" s="46">
        <f>'Licensed FTEs'!C58</f>
        <v>0</v>
      </c>
      <c r="D19" s="46">
        <f>'Licensed FTEs'!D58</f>
        <v>0</v>
      </c>
      <c r="E19" s="46">
        <f>'Licensed FTEs'!E58</f>
        <v>0</v>
      </c>
      <c r="F19" s="46">
        <f>'Licensed FTEs'!F58</f>
        <v>0</v>
      </c>
      <c r="G19" s="46">
        <f>'Licensed FTEs'!G58</f>
        <v>18.34</v>
      </c>
      <c r="H19" s="47">
        <f>'Licensed FTEs'!H58</f>
        <v>2</v>
      </c>
      <c r="I19" s="48">
        <f>'Classified FTEs'!C58</f>
        <v>0</v>
      </c>
      <c r="J19" s="46">
        <f>'Licensed FTEs'!I58+'Licensed FTEs'!J58</f>
        <v>0</v>
      </c>
      <c r="K19" s="49">
        <f>'Licensed FTEs'!K58</f>
        <v>0</v>
      </c>
      <c r="L19" s="46">
        <f>'Licensed FTEs'!L58</f>
        <v>1</v>
      </c>
      <c r="M19" s="46">
        <f>'Licensed FTEs'!M58</f>
        <v>0.33</v>
      </c>
      <c r="N19" s="47">
        <f>'Classified FTEs'!G58</f>
        <v>0.5</v>
      </c>
      <c r="O19" s="39"/>
    </row>
    <row r="20" spans="1:15" ht="15" x14ac:dyDescent="0.25">
      <c r="A20" s="40" t="s">
        <v>71</v>
      </c>
      <c r="B20" s="34" t="s">
        <v>195</v>
      </c>
      <c r="C20" s="35">
        <f>'Licensed FTEs'!C59</f>
        <v>0</v>
      </c>
      <c r="D20" s="35">
        <f>'Licensed FTEs'!D59</f>
        <v>0</v>
      </c>
      <c r="E20" s="35">
        <f>'Licensed FTEs'!E59</f>
        <v>4</v>
      </c>
      <c r="F20" s="35">
        <f>'Licensed FTEs'!F59</f>
        <v>11.75</v>
      </c>
      <c r="G20" s="35">
        <f>'Licensed FTEs'!G59</f>
        <v>2.8</v>
      </c>
      <c r="H20" s="36">
        <f>'Licensed FTEs'!H59</f>
        <v>2</v>
      </c>
      <c r="I20" s="37">
        <f>'Classified FTEs'!C59</f>
        <v>3</v>
      </c>
      <c r="J20" s="35">
        <f>'Licensed FTEs'!I59+'Licensed FTEs'!J59</f>
        <v>0.17</v>
      </c>
      <c r="K20" s="38">
        <f>'Licensed FTEs'!K59</f>
        <v>0</v>
      </c>
      <c r="L20" s="35">
        <f>'Licensed FTEs'!L59</f>
        <v>0</v>
      </c>
      <c r="M20" s="35">
        <f>'Licensed FTEs'!M59</f>
        <v>1</v>
      </c>
      <c r="N20" s="36">
        <f>'Classified FTEs'!G59</f>
        <v>0.5</v>
      </c>
      <c r="O20" s="39"/>
    </row>
    <row r="21" spans="1:15" ht="15" x14ac:dyDescent="0.25">
      <c r="A21" s="40" t="s">
        <v>278</v>
      </c>
      <c r="B21" s="40" t="s">
        <v>279</v>
      </c>
      <c r="C21" s="41">
        <f>'Licensed FTEs'!C60</f>
        <v>0</v>
      </c>
      <c r="D21" s="41">
        <f>'Licensed FTEs'!D60</f>
        <v>0</v>
      </c>
      <c r="E21" s="41">
        <f>'Licensed FTEs'!E60</f>
        <v>1.5</v>
      </c>
      <c r="F21" s="41">
        <f>'Licensed FTEs'!F60</f>
        <v>17.920000000000002</v>
      </c>
      <c r="G21" s="41">
        <f>'Licensed FTEs'!G60</f>
        <v>10.41</v>
      </c>
      <c r="H21" s="42">
        <f>'Licensed FTEs'!H60</f>
        <v>2.14</v>
      </c>
      <c r="I21" s="43">
        <f>'Classified FTEs'!C60</f>
        <v>12.68</v>
      </c>
      <c r="J21" s="41">
        <f>'Licensed FTEs'!I60+'Licensed FTEs'!J60</f>
        <v>1</v>
      </c>
      <c r="K21" s="44">
        <f>'Licensed FTEs'!K60</f>
        <v>0.04</v>
      </c>
      <c r="L21" s="41">
        <f>'Licensed FTEs'!L60</f>
        <v>0.06</v>
      </c>
      <c r="M21" s="41">
        <f>'Licensed FTEs'!M60</f>
        <v>1</v>
      </c>
      <c r="N21" s="42">
        <f>'Classified FTEs'!G60</f>
        <v>0</v>
      </c>
      <c r="O21" s="39"/>
    </row>
    <row r="22" spans="1:15" ht="15" x14ac:dyDescent="0.25">
      <c r="A22" s="40" t="s">
        <v>72</v>
      </c>
      <c r="B22" s="40" t="s">
        <v>196</v>
      </c>
      <c r="C22" s="41">
        <f>'Licensed FTEs'!C61</f>
        <v>0</v>
      </c>
      <c r="D22" s="41">
        <f>'Licensed FTEs'!D61</f>
        <v>0</v>
      </c>
      <c r="E22" s="41">
        <f>'Licensed FTEs'!E61</f>
        <v>0</v>
      </c>
      <c r="F22" s="41">
        <f>'Licensed FTEs'!F61</f>
        <v>0</v>
      </c>
      <c r="G22" s="41">
        <f>'Licensed FTEs'!G61</f>
        <v>16.48</v>
      </c>
      <c r="H22" s="42">
        <f>'Licensed FTEs'!H61</f>
        <v>2</v>
      </c>
      <c r="I22" s="43">
        <f>'Classified FTEs'!C61</f>
        <v>2</v>
      </c>
      <c r="J22" s="41">
        <f>'Licensed FTEs'!I61+'Licensed FTEs'!J61</f>
        <v>0.75</v>
      </c>
      <c r="K22" s="44">
        <f>'Licensed FTEs'!K61</f>
        <v>0</v>
      </c>
      <c r="L22" s="41">
        <f>'Licensed FTEs'!L61</f>
        <v>1</v>
      </c>
      <c r="M22" s="41">
        <f>'Licensed FTEs'!M61</f>
        <v>0.1</v>
      </c>
      <c r="N22" s="42">
        <f>'Classified FTEs'!G61</f>
        <v>0</v>
      </c>
      <c r="O22" s="39"/>
    </row>
    <row r="23" spans="1:15" ht="15" x14ac:dyDescent="0.25">
      <c r="A23" s="40" t="s">
        <v>73</v>
      </c>
      <c r="B23" s="40" t="s">
        <v>197</v>
      </c>
      <c r="C23" s="41">
        <f>'Licensed FTEs'!C62</f>
        <v>0</v>
      </c>
      <c r="D23" s="41">
        <f>'Licensed FTEs'!D62</f>
        <v>0</v>
      </c>
      <c r="E23" s="41">
        <f>'Licensed FTEs'!E62</f>
        <v>1.03</v>
      </c>
      <c r="F23" s="41">
        <f>'Licensed FTEs'!F62</f>
        <v>13.14</v>
      </c>
      <c r="G23" s="41">
        <f>'Licensed FTEs'!G62</f>
        <v>0</v>
      </c>
      <c r="H23" s="42">
        <f>'Licensed FTEs'!H62</f>
        <v>1.03</v>
      </c>
      <c r="I23" s="43">
        <f>'Classified FTEs'!C62</f>
        <v>0</v>
      </c>
      <c r="J23" s="41">
        <f>'Licensed FTEs'!I62+'Licensed FTEs'!J62</f>
        <v>0</v>
      </c>
      <c r="K23" s="44">
        <f>'Licensed FTEs'!K62</f>
        <v>0.77</v>
      </c>
      <c r="L23" s="41">
        <f>'Licensed FTEs'!L62</f>
        <v>0</v>
      </c>
      <c r="M23" s="41">
        <f>'Licensed FTEs'!M62</f>
        <v>2.6</v>
      </c>
      <c r="N23" s="42">
        <f>'Classified FTEs'!G62</f>
        <v>0</v>
      </c>
      <c r="O23" s="39"/>
    </row>
    <row r="24" spans="1:15" ht="15.75" thickBot="1" x14ac:dyDescent="0.3">
      <c r="A24" s="40" t="s">
        <v>74</v>
      </c>
      <c r="B24" s="45" t="s">
        <v>198</v>
      </c>
      <c r="C24" s="46">
        <f>'Licensed FTEs'!C63</f>
        <v>0</v>
      </c>
      <c r="D24" s="46">
        <f>'Licensed FTEs'!D63</f>
        <v>0</v>
      </c>
      <c r="E24" s="46">
        <f>'Licensed FTEs'!E63</f>
        <v>1.08</v>
      </c>
      <c r="F24" s="46">
        <f>'Licensed FTEs'!F63</f>
        <v>16.16</v>
      </c>
      <c r="G24" s="46">
        <f>'Licensed FTEs'!G63</f>
        <v>8.43</v>
      </c>
      <c r="H24" s="47">
        <f>'Licensed FTEs'!H63</f>
        <v>2.3199999999999998</v>
      </c>
      <c r="I24" s="48">
        <f>'Classified FTEs'!C63</f>
        <v>13.5</v>
      </c>
      <c r="J24" s="46">
        <f>'Licensed FTEs'!I63+'Licensed FTEs'!J63</f>
        <v>0.36</v>
      </c>
      <c r="K24" s="49">
        <f>'Licensed FTEs'!K63</f>
        <v>0</v>
      </c>
      <c r="L24" s="46">
        <f>'Licensed FTEs'!L63</f>
        <v>0</v>
      </c>
      <c r="M24" s="46">
        <f>'Licensed FTEs'!M63</f>
        <v>0</v>
      </c>
      <c r="N24" s="47">
        <f>'Classified FTEs'!G63</f>
        <v>0.75</v>
      </c>
      <c r="O24" s="39"/>
    </row>
    <row r="25" spans="1:15" ht="15" x14ac:dyDescent="0.25">
      <c r="A25" s="40" t="s">
        <v>280</v>
      </c>
      <c r="B25" s="34" t="s">
        <v>281</v>
      </c>
      <c r="C25" s="35">
        <f>'Licensed FTEs'!C64</f>
        <v>0</v>
      </c>
      <c r="D25" s="35">
        <f>'Licensed FTEs'!D64</f>
        <v>0</v>
      </c>
      <c r="E25" s="35">
        <f>'Licensed FTEs'!E64</f>
        <v>1.5</v>
      </c>
      <c r="F25" s="35">
        <f>'Licensed FTEs'!F64</f>
        <v>19.27</v>
      </c>
      <c r="G25" s="35">
        <f>'Licensed FTEs'!G64</f>
        <v>6.8</v>
      </c>
      <c r="H25" s="36">
        <f>'Licensed FTEs'!H64</f>
        <v>0</v>
      </c>
      <c r="I25" s="37">
        <f>'Classified FTEs'!C64</f>
        <v>19</v>
      </c>
      <c r="J25" s="35">
        <f>'Licensed FTEs'!I64+'Licensed FTEs'!J64</f>
        <v>1.8399999999999999</v>
      </c>
      <c r="K25" s="38">
        <f>'Licensed FTEs'!K64</f>
        <v>0</v>
      </c>
      <c r="L25" s="35">
        <f>'Licensed FTEs'!L64</f>
        <v>0</v>
      </c>
      <c r="M25" s="35">
        <f>'Licensed FTEs'!M64</f>
        <v>0</v>
      </c>
      <c r="N25" s="36">
        <f>'Classified FTEs'!G64</f>
        <v>0</v>
      </c>
      <c r="O25" s="39"/>
    </row>
    <row r="26" spans="1:15" ht="15" x14ac:dyDescent="0.25">
      <c r="A26" s="40">
        <v>98</v>
      </c>
      <c r="B26" s="40" t="s">
        <v>199</v>
      </c>
      <c r="C26" s="41">
        <f>'Licensed FTEs'!C65</f>
        <v>0</v>
      </c>
      <c r="D26" s="41">
        <f>'Licensed FTEs'!D65</f>
        <v>0</v>
      </c>
      <c r="E26" s="41">
        <f>'Licensed FTEs'!E65</f>
        <v>0</v>
      </c>
      <c r="F26" s="41">
        <f>'Licensed FTEs'!F65</f>
        <v>0</v>
      </c>
      <c r="G26" s="41">
        <f>'Licensed FTEs'!G65</f>
        <v>12.19</v>
      </c>
      <c r="H26" s="42">
        <f>'Licensed FTEs'!H65</f>
        <v>0.28000000000000003</v>
      </c>
      <c r="I26" s="43">
        <f>'Classified FTEs'!C65</f>
        <v>3</v>
      </c>
      <c r="J26" s="41">
        <f>'Licensed FTEs'!I65+'Licensed FTEs'!J65</f>
        <v>1.1399999999999999</v>
      </c>
      <c r="K26" s="44">
        <f>'Licensed FTEs'!K65</f>
        <v>0</v>
      </c>
      <c r="L26" s="41">
        <f>'Licensed FTEs'!L65</f>
        <v>1.33</v>
      </c>
      <c r="M26" s="41">
        <f>'Licensed FTEs'!M65</f>
        <v>0</v>
      </c>
      <c r="N26" s="42">
        <f>'Classified FTEs'!G65</f>
        <v>0</v>
      </c>
      <c r="O26" s="39"/>
    </row>
    <row r="27" spans="1:15" ht="15" x14ac:dyDescent="0.25">
      <c r="A27" s="40">
        <v>82</v>
      </c>
      <c r="B27" s="40" t="s">
        <v>200</v>
      </c>
      <c r="C27" s="41">
        <f>'Licensed FTEs'!C66</f>
        <v>0</v>
      </c>
      <c r="D27" s="41">
        <f>'Licensed FTEs'!D66</f>
        <v>0</v>
      </c>
      <c r="E27" s="41">
        <f>'Licensed FTEs'!E66</f>
        <v>2</v>
      </c>
      <c r="F27" s="41">
        <f>'Licensed FTEs'!F66</f>
        <v>19.100000000000001</v>
      </c>
      <c r="G27" s="41">
        <f>'Licensed FTEs'!G66</f>
        <v>6.57</v>
      </c>
      <c r="H27" s="42">
        <f>'Licensed FTEs'!H66</f>
        <v>2</v>
      </c>
      <c r="I27" s="43">
        <f>'Classified FTEs'!C66</f>
        <v>3.14</v>
      </c>
      <c r="J27" s="41">
        <f>'Licensed FTEs'!I66+'Licensed FTEs'!J66</f>
        <v>1.05</v>
      </c>
      <c r="K27" s="44">
        <f>'Licensed FTEs'!K66</f>
        <v>0</v>
      </c>
      <c r="L27" s="41">
        <f>'Licensed FTEs'!L66</f>
        <v>0</v>
      </c>
      <c r="M27" s="41">
        <f>'Licensed FTEs'!M66</f>
        <v>0</v>
      </c>
      <c r="N27" s="42">
        <f>'Classified FTEs'!G66</f>
        <v>0</v>
      </c>
      <c r="O27" s="39"/>
    </row>
    <row r="28" spans="1:15" ht="15" x14ac:dyDescent="0.25">
      <c r="A28" s="40" t="s">
        <v>201</v>
      </c>
      <c r="B28" s="40" t="s">
        <v>202</v>
      </c>
      <c r="C28" s="41">
        <f>'Licensed FTEs'!C67</f>
        <v>0</v>
      </c>
      <c r="D28" s="41">
        <f>'Licensed FTEs'!D67</f>
        <v>0</v>
      </c>
      <c r="E28" s="41">
        <f>'Licensed FTEs'!E67</f>
        <v>2</v>
      </c>
      <c r="F28" s="41">
        <f>'Licensed FTEs'!F67</f>
        <v>13.54</v>
      </c>
      <c r="G28" s="41">
        <f>'Licensed FTEs'!G67</f>
        <v>6.71</v>
      </c>
      <c r="H28" s="42">
        <f>'Licensed FTEs'!H67</f>
        <v>2</v>
      </c>
      <c r="I28" s="43">
        <f>'Classified FTEs'!C67</f>
        <v>20</v>
      </c>
      <c r="J28" s="41">
        <f>'Licensed FTEs'!I67+'Licensed FTEs'!J67</f>
        <v>0</v>
      </c>
      <c r="K28" s="44">
        <f>'Licensed FTEs'!K67</f>
        <v>0</v>
      </c>
      <c r="L28" s="41">
        <f>'Licensed FTEs'!L67</f>
        <v>0</v>
      </c>
      <c r="M28" s="41">
        <f>'Licensed FTEs'!M67</f>
        <v>0</v>
      </c>
      <c r="N28" s="42">
        <f>'Classified FTEs'!G67</f>
        <v>0</v>
      </c>
      <c r="O28" s="39"/>
    </row>
    <row r="29" spans="1:15" ht="15.75" thickBot="1" x14ac:dyDescent="0.3">
      <c r="A29" s="40" t="s">
        <v>75</v>
      </c>
      <c r="B29" s="45" t="s">
        <v>203</v>
      </c>
      <c r="C29" s="46">
        <f>'Licensed FTEs'!C68</f>
        <v>0</v>
      </c>
      <c r="D29" s="46">
        <f>'Licensed FTEs'!D68</f>
        <v>0</v>
      </c>
      <c r="E29" s="46">
        <f>'Licensed FTEs'!E68</f>
        <v>5</v>
      </c>
      <c r="F29" s="46">
        <f>'Licensed FTEs'!F68</f>
        <v>28.57</v>
      </c>
      <c r="G29" s="46">
        <f>'Licensed FTEs'!G68</f>
        <v>0.43</v>
      </c>
      <c r="H29" s="47">
        <f>'Licensed FTEs'!H68</f>
        <v>1.38</v>
      </c>
      <c r="I29" s="48">
        <f>'Classified FTEs'!C68</f>
        <v>7.84</v>
      </c>
      <c r="J29" s="46">
        <f>'Licensed FTEs'!I68+'Licensed FTEs'!J68</f>
        <v>1.2</v>
      </c>
      <c r="K29" s="49">
        <f>'Licensed FTEs'!K68</f>
        <v>0</v>
      </c>
      <c r="L29" s="46">
        <f>'Licensed FTEs'!L68</f>
        <v>0</v>
      </c>
      <c r="M29" s="46">
        <f>'Licensed FTEs'!M68</f>
        <v>0</v>
      </c>
      <c r="N29" s="47">
        <f>'Classified FTEs'!G68</f>
        <v>0</v>
      </c>
      <c r="O29" s="39"/>
    </row>
    <row r="30" spans="1:15" ht="15" x14ac:dyDescent="0.25">
      <c r="A30" s="40" t="s">
        <v>295</v>
      </c>
      <c r="B30" s="34" t="s">
        <v>296</v>
      </c>
      <c r="C30" s="35">
        <f>'Licensed FTEs'!C69</f>
        <v>0</v>
      </c>
      <c r="D30" s="35">
        <f>'Licensed FTEs'!D69</f>
        <v>0</v>
      </c>
      <c r="E30" s="35">
        <f>'Licensed FTEs'!E69</f>
        <v>2</v>
      </c>
      <c r="F30" s="35">
        <f>'Licensed FTEs'!F69</f>
        <v>16</v>
      </c>
      <c r="G30" s="35">
        <f>'Licensed FTEs'!G69</f>
        <v>0</v>
      </c>
      <c r="H30" s="36">
        <f>'Licensed FTEs'!H69</f>
        <v>0.64</v>
      </c>
      <c r="I30" s="37">
        <f>'Classified FTEs'!C69</f>
        <v>2.5</v>
      </c>
      <c r="J30" s="35">
        <f>'Licensed FTEs'!I69+'Licensed FTEs'!J69</f>
        <v>0</v>
      </c>
      <c r="K30" s="38">
        <f>'Licensed FTEs'!K69</f>
        <v>0</v>
      </c>
      <c r="L30" s="35">
        <f>'Licensed FTEs'!L69</f>
        <v>0</v>
      </c>
      <c r="M30" s="35">
        <f>'Licensed FTEs'!M69</f>
        <v>0</v>
      </c>
      <c r="N30" s="36">
        <f>'Classified FTEs'!G69</f>
        <v>0</v>
      </c>
      <c r="O30" s="39"/>
    </row>
    <row r="31" spans="1:15" ht="15" x14ac:dyDescent="0.25">
      <c r="A31" s="40" t="s">
        <v>76</v>
      </c>
      <c r="B31" s="40" t="s">
        <v>204</v>
      </c>
      <c r="C31" s="41">
        <f>'Licensed FTEs'!C70</f>
        <v>0</v>
      </c>
      <c r="D31" s="41">
        <f>'Licensed FTEs'!D70</f>
        <v>0</v>
      </c>
      <c r="E31" s="41">
        <f>'Licensed FTEs'!E70</f>
        <v>0.8</v>
      </c>
      <c r="F31" s="41">
        <f>'Licensed FTEs'!F70</f>
        <v>4</v>
      </c>
      <c r="G31" s="41">
        <f>'Licensed FTEs'!G70</f>
        <v>0</v>
      </c>
      <c r="H31" s="42">
        <f>'Licensed FTEs'!H70</f>
        <v>0.5</v>
      </c>
      <c r="I31" s="43">
        <f>'Classified FTEs'!C70</f>
        <v>5.75</v>
      </c>
      <c r="J31" s="41">
        <f>'Licensed FTEs'!I70+'Licensed FTEs'!J70</f>
        <v>0.5</v>
      </c>
      <c r="K31" s="44">
        <f>'Licensed FTEs'!K70</f>
        <v>0</v>
      </c>
      <c r="L31" s="41">
        <f>'Licensed FTEs'!L70</f>
        <v>0</v>
      </c>
      <c r="M31" s="41">
        <f>'Licensed FTEs'!M70</f>
        <v>0</v>
      </c>
      <c r="N31" s="42">
        <f>'Classified FTEs'!G70</f>
        <v>0.5</v>
      </c>
      <c r="O31" s="39"/>
    </row>
    <row r="32" spans="1:15" ht="15" x14ac:dyDescent="0.25">
      <c r="A32" s="40" t="s">
        <v>282</v>
      </c>
      <c r="B32" s="40" t="s">
        <v>283</v>
      </c>
      <c r="C32" s="41">
        <f>'Licensed FTEs'!C71</f>
        <v>0</v>
      </c>
      <c r="D32" s="41">
        <f>'Licensed FTEs'!D71</f>
        <v>0</v>
      </c>
      <c r="E32" s="41">
        <f>'Licensed FTEs'!E71</f>
        <v>2</v>
      </c>
      <c r="F32" s="41">
        <f>'Licensed FTEs'!F71</f>
        <v>19.5</v>
      </c>
      <c r="G32" s="41">
        <f>'Licensed FTEs'!G71</f>
        <v>9.16</v>
      </c>
      <c r="H32" s="42">
        <f>'Licensed FTEs'!H71</f>
        <v>1.1000000000000001</v>
      </c>
      <c r="I32" s="43">
        <f>'Classified FTEs'!C71</f>
        <v>8.26</v>
      </c>
      <c r="J32" s="41">
        <f>'Licensed FTEs'!I71+'Licensed FTEs'!J71</f>
        <v>0.17</v>
      </c>
      <c r="K32" s="44">
        <f>'Licensed FTEs'!K71</f>
        <v>0</v>
      </c>
      <c r="L32" s="41">
        <f>'Licensed FTEs'!L71</f>
        <v>0.9</v>
      </c>
      <c r="M32" s="41">
        <f>'Licensed FTEs'!M71</f>
        <v>0.45</v>
      </c>
      <c r="N32" s="42">
        <f>'Classified FTEs'!G71</f>
        <v>0</v>
      </c>
      <c r="O32" s="39"/>
    </row>
    <row r="33" spans="1:15" ht="15" x14ac:dyDescent="0.25">
      <c r="A33" s="40" t="s">
        <v>77</v>
      </c>
      <c r="B33" s="40" t="s">
        <v>205</v>
      </c>
      <c r="C33" s="41">
        <f>'Licensed FTEs'!C72</f>
        <v>0</v>
      </c>
      <c r="D33" s="41">
        <f>'Licensed FTEs'!D72</f>
        <v>0</v>
      </c>
      <c r="E33" s="41">
        <f>'Licensed FTEs'!E72</f>
        <v>0</v>
      </c>
      <c r="F33" s="41">
        <f>'Licensed FTEs'!F72</f>
        <v>0</v>
      </c>
      <c r="G33" s="41">
        <f>'Licensed FTEs'!G72</f>
        <v>7.09</v>
      </c>
      <c r="H33" s="42">
        <f>'Licensed FTEs'!H72</f>
        <v>0.13</v>
      </c>
      <c r="I33" s="43">
        <f>'Classified FTEs'!C72</f>
        <v>0.81</v>
      </c>
      <c r="J33" s="41">
        <f>'Licensed FTEs'!I72+'Licensed FTEs'!J72</f>
        <v>0.65</v>
      </c>
      <c r="K33" s="44">
        <f>'Licensed FTEs'!K72</f>
        <v>0</v>
      </c>
      <c r="L33" s="41">
        <f>'Licensed FTEs'!L72</f>
        <v>0.5</v>
      </c>
      <c r="M33" s="41">
        <f>'Licensed FTEs'!M72</f>
        <v>0</v>
      </c>
      <c r="N33" s="42">
        <f>'Classified FTEs'!G72</f>
        <v>0</v>
      </c>
      <c r="O33" s="39"/>
    </row>
    <row r="34" spans="1:15" ht="15.75" thickBot="1" x14ac:dyDescent="0.3">
      <c r="A34" s="40" t="s">
        <v>78</v>
      </c>
      <c r="B34" s="45" t="s">
        <v>206</v>
      </c>
      <c r="C34" s="46">
        <f>'Licensed FTEs'!C73</f>
        <v>0</v>
      </c>
      <c r="D34" s="46">
        <f>'Licensed FTEs'!D73</f>
        <v>0</v>
      </c>
      <c r="E34" s="46">
        <f>'Licensed FTEs'!E73</f>
        <v>0</v>
      </c>
      <c r="F34" s="46">
        <f>'Licensed FTEs'!F73</f>
        <v>0</v>
      </c>
      <c r="G34" s="46">
        <f>'Licensed FTEs'!G73</f>
        <v>11.58</v>
      </c>
      <c r="H34" s="47">
        <f>'Licensed FTEs'!H73</f>
        <v>0</v>
      </c>
      <c r="I34" s="48">
        <f>'Classified FTEs'!C73</f>
        <v>0.5</v>
      </c>
      <c r="J34" s="46">
        <f>'Licensed FTEs'!I73+'Licensed FTEs'!J73</f>
        <v>0</v>
      </c>
      <c r="K34" s="49">
        <f>'Licensed FTEs'!K73</f>
        <v>0</v>
      </c>
      <c r="L34" s="46">
        <f>'Licensed FTEs'!L73</f>
        <v>2</v>
      </c>
      <c r="M34" s="46">
        <f>'Licensed FTEs'!M73</f>
        <v>0</v>
      </c>
      <c r="N34" s="47">
        <f>'Classified FTEs'!G73</f>
        <v>0</v>
      </c>
      <c r="O34" s="39"/>
    </row>
    <row r="35" spans="1:15" ht="15" x14ac:dyDescent="0.25">
      <c r="A35" s="40">
        <v>93</v>
      </c>
      <c r="B35" s="34" t="s">
        <v>207</v>
      </c>
      <c r="C35" s="35">
        <f>'Licensed FTEs'!C74</f>
        <v>0</v>
      </c>
      <c r="D35" s="35">
        <f>'Licensed FTEs'!D74</f>
        <v>0</v>
      </c>
      <c r="E35" s="35">
        <f>'Licensed FTEs'!E74</f>
        <v>0.72</v>
      </c>
      <c r="F35" s="35">
        <f>'Licensed FTEs'!F74</f>
        <v>8.24</v>
      </c>
      <c r="G35" s="35">
        <f>'Licensed FTEs'!G74</f>
        <v>1.33</v>
      </c>
      <c r="H35" s="36">
        <f>'Licensed FTEs'!H74</f>
        <v>1</v>
      </c>
      <c r="I35" s="37">
        <f>'Classified FTEs'!C74</f>
        <v>4.29</v>
      </c>
      <c r="J35" s="35">
        <f>'Licensed FTEs'!I74+'Licensed FTEs'!J74</f>
        <v>0</v>
      </c>
      <c r="K35" s="38">
        <f>'Licensed FTEs'!K74</f>
        <v>0</v>
      </c>
      <c r="L35" s="35">
        <f>'Licensed FTEs'!L74</f>
        <v>0</v>
      </c>
      <c r="M35" s="35">
        <f>'Licensed FTEs'!M74</f>
        <v>0</v>
      </c>
      <c r="N35" s="36">
        <f>'Classified FTEs'!G74</f>
        <v>0</v>
      </c>
      <c r="O35" s="39"/>
    </row>
    <row r="36" spans="1:15" ht="15" x14ac:dyDescent="0.25">
      <c r="A36" s="40" t="s">
        <v>83</v>
      </c>
      <c r="B36" s="40" t="s">
        <v>297</v>
      </c>
      <c r="C36" s="41">
        <f>'Licensed FTEs'!C75</f>
        <v>0</v>
      </c>
      <c r="D36" s="41">
        <f>'Licensed FTEs'!D75</f>
        <v>0</v>
      </c>
      <c r="E36" s="41">
        <f>'Licensed FTEs'!E75</f>
        <v>0</v>
      </c>
      <c r="F36" s="41">
        <f>'Licensed FTEs'!F75</f>
        <v>0</v>
      </c>
      <c r="G36" s="41">
        <f>'Licensed FTEs'!G75</f>
        <v>26.67</v>
      </c>
      <c r="H36" s="42">
        <f>'Licensed FTEs'!H75</f>
        <v>0.5</v>
      </c>
      <c r="I36" s="43">
        <f>'Classified FTEs'!C75</f>
        <v>1</v>
      </c>
      <c r="J36" s="41">
        <f>'Licensed FTEs'!I75+'Licensed FTEs'!J75</f>
        <v>1.84</v>
      </c>
      <c r="K36" s="44">
        <f>'Licensed FTEs'!K75</f>
        <v>0</v>
      </c>
      <c r="L36" s="41">
        <f>'Licensed FTEs'!L75</f>
        <v>0</v>
      </c>
      <c r="M36" s="41">
        <f>'Licensed FTEs'!M75</f>
        <v>0.75</v>
      </c>
      <c r="N36" s="42">
        <f>'Classified FTEs'!G75</f>
        <v>0</v>
      </c>
      <c r="O36" s="39"/>
    </row>
    <row r="37" spans="1:15" ht="15" x14ac:dyDescent="0.25">
      <c r="A37" s="40" t="s">
        <v>79</v>
      </c>
      <c r="B37" s="40" t="s">
        <v>208</v>
      </c>
      <c r="C37" s="41">
        <f>'Licensed FTEs'!C76</f>
        <v>0</v>
      </c>
      <c r="D37" s="41">
        <f>'Licensed FTEs'!D76</f>
        <v>0</v>
      </c>
      <c r="E37" s="41">
        <f>'Licensed FTEs'!E76</f>
        <v>2</v>
      </c>
      <c r="F37" s="41">
        <f>'Licensed FTEs'!F76</f>
        <v>22.36</v>
      </c>
      <c r="G37" s="41">
        <f>'Licensed FTEs'!G76</f>
        <v>7.5</v>
      </c>
      <c r="H37" s="42">
        <f>'Licensed FTEs'!H76</f>
        <v>2</v>
      </c>
      <c r="I37" s="43">
        <f>'Classified FTEs'!C76</f>
        <v>16.190000000000001</v>
      </c>
      <c r="J37" s="41">
        <f>'Licensed FTEs'!I76+'Licensed FTEs'!J76</f>
        <v>1.3</v>
      </c>
      <c r="K37" s="44">
        <f>'Licensed FTEs'!K76</f>
        <v>0</v>
      </c>
      <c r="L37" s="41">
        <f>'Licensed FTEs'!L76</f>
        <v>0</v>
      </c>
      <c r="M37" s="41">
        <f>'Licensed FTEs'!M76</f>
        <v>1</v>
      </c>
      <c r="N37" s="42">
        <f>'Classified FTEs'!G76</f>
        <v>0</v>
      </c>
      <c r="O37" s="39"/>
    </row>
    <row r="38" spans="1:15" ht="15" x14ac:dyDescent="0.25">
      <c r="A38" s="40" t="s">
        <v>80</v>
      </c>
      <c r="B38" s="40" t="s">
        <v>209</v>
      </c>
      <c r="C38" s="41">
        <f>'Licensed FTEs'!C77</f>
        <v>0</v>
      </c>
      <c r="D38" s="41">
        <f>'Licensed FTEs'!D77</f>
        <v>0</v>
      </c>
      <c r="E38" s="41">
        <f>'Licensed FTEs'!E77</f>
        <v>1.5</v>
      </c>
      <c r="F38" s="41">
        <f>'Licensed FTEs'!F77</f>
        <v>17</v>
      </c>
      <c r="G38" s="41">
        <f>'Licensed FTEs'!G77</f>
        <v>24.71</v>
      </c>
      <c r="H38" s="42">
        <f>'Licensed FTEs'!H77</f>
        <v>2</v>
      </c>
      <c r="I38" s="43">
        <f>'Classified FTEs'!C77</f>
        <v>0</v>
      </c>
      <c r="J38" s="41">
        <f>'Licensed FTEs'!I77+'Licensed FTEs'!J77</f>
        <v>3.62</v>
      </c>
      <c r="K38" s="44">
        <f>'Licensed FTEs'!K77</f>
        <v>0.17</v>
      </c>
      <c r="L38" s="41">
        <f>'Licensed FTEs'!L77</f>
        <v>0.83</v>
      </c>
      <c r="M38" s="41">
        <f>'Licensed FTEs'!M77</f>
        <v>0</v>
      </c>
      <c r="N38" s="42">
        <f>'Classified FTEs'!G77</f>
        <v>0</v>
      </c>
      <c r="O38" s="39"/>
    </row>
    <row r="39" spans="1:15" ht="15.75" thickBot="1" x14ac:dyDescent="0.3">
      <c r="A39" s="40" t="s">
        <v>81</v>
      </c>
      <c r="B39" s="45" t="s">
        <v>210</v>
      </c>
      <c r="C39" s="46">
        <f>'Licensed FTEs'!C78</f>
        <v>0</v>
      </c>
      <c r="D39" s="46">
        <f>'Licensed FTEs'!D78</f>
        <v>0</v>
      </c>
      <c r="E39" s="46">
        <f>'Licensed FTEs'!E78</f>
        <v>1</v>
      </c>
      <c r="F39" s="46">
        <f>'Licensed FTEs'!F78</f>
        <v>9.0500000000000007</v>
      </c>
      <c r="G39" s="46">
        <f>'Licensed FTEs'!G78</f>
        <v>4.7</v>
      </c>
      <c r="H39" s="47">
        <f>'Licensed FTEs'!H78</f>
        <v>2</v>
      </c>
      <c r="I39" s="48">
        <f>'Classified FTEs'!C78</f>
        <v>7</v>
      </c>
      <c r="J39" s="46">
        <f>'Licensed FTEs'!I78+'Licensed FTEs'!J78</f>
        <v>0.36</v>
      </c>
      <c r="K39" s="49">
        <f>'Licensed FTEs'!K78</f>
        <v>0</v>
      </c>
      <c r="L39" s="46">
        <f>'Licensed FTEs'!L78</f>
        <v>0</v>
      </c>
      <c r="M39" s="46">
        <f>'Licensed FTEs'!M78</f>
        <v>0</v>
      </c>
      <c r="N39" s="47">
        <f>'Classified FTEs'!G78</f>
        <v>0</v>
      </c>
      <c r="O39" s="39"/>
    </row>
    <row r="40" spans="1:15" ht="15" x14ac:dyDescent="0.25">
      <c r="A40" s="40" t="s">
        <v>82</v>
      </c>
      <c r="B40" s="34" t="s">
        <v>211</v>
      </c>
      <c r="C40" s="35">
        <f>'Licensed FTEs'!C79</f>
        <v>0</v>
      </c>
      <c r="D40" s="35">
        <f>'Licensed FTEs'!D79</f>
        <v>0</v>
      </c>
      <c r="E40" s="35">
        <f>'Licensed FTEs'!E79</f>
        <v>1</v>
      </c>
      <c r="F40" s="35">
        <f>'Licensed FTEs'!F79</f>
        <v>14.21</v>
      </c>
      <c r="G40" s="35">
        <f>'Licensed FTEs'!G79</f>
        <v>12</v>
      </c>
      <c r="H40" s="36">
        <f>'Licensed FTEs'!H79</f>
        <v>4.0199999999999996</v>
      </c>
      <c r="I40" s="37">
        <f>'Classified FTEs'!C79</f>
        <v>23.25</v>
      </c>
      <c r="J40" s="35">
        <f>'Licensed FTEs'!I79+'Licensed FTEs'!J79</f>
        <v>0.03</v>
      </c>
      <c r="K40" s="38">
        <f>'Licensed FTEs'!K79</f>
        <v>0</v>
      </c>
      <c r="L40" s="35">
        <f>'Licensed FTEs'!L79</f>
        <v>0.53</v>
      </c>
      <c r="M40" s="35">
        <f>'Licensed FTEs'!M79</f>
        <v>0</v>
      </c>
      <c r="N40" s="36">
        <f>'Classified FTEs'!G79</f>
        <v>0.75</v>
      </c>
      <c r="O40" s="39"/>
    </row>
    <row r="41" spans="1:15" ht="15" x14ac:dyDescent="0.25">
      <c r="A41" s="40" t="s">
        <v>298</v>
      </c>
      <c r="B41" s="40" t="s">
        <v>299</v>
      </c>
      <c r="C41" s="41">
        <f>'Licensed FTEs'!C80</f>
        <v>0</v>
      </c>
      <c r="D41" s="41">
        <f>'Licensed FTEs'!D80</f>
        <v>0</v>
      </c>
      <c r="E41" s="41">
        <f>'Licensed FTEs'!E80</f>
        <v>1.5</v>
      </c>
      <c r="F41" s="41">
        <f>'Licensed FTEs'!F80</f>
        <v>15</v>
      </c>
      <c r="G41" s="41">
        <f>'Licensed FTEs'!G80</f>
        <v>0</v>
      </c>
      <c r="H41" s="42">
        <f>'Licensed FTEs'!H80</f>
        <v>1.18</v>
      </c>
      <c r="I41" s="43">
        <f>'Classified FTEs'!C80</f>
        <v>12.65</v>
      </c>
      <c r="J41" s="41">
        <f>'Licensed FTEs'!I80+'Licensed FTEs'!J80</f>
        <v>0</v>
      </c>
      <c r="K41" s="44">
        <f>'Licensed FTEs'!K80</f>
        <v>0</v>
      </c>
      <c r="L41" s="41">
        <f>'Licensed FTEs'!L80</f>
        <v>0</v>
      </c>
      <c r="M41" s="41">
        <f>'Licensed FTEs'!M80</f>
        <v>0</v>
      </c>
      <c r="N41" s="42">
        <f>'Classified FTEs'!G80</f>
        <v>0</v>
      </c>
      <c r="O41" s="39"/>
    </row>
    <row r="42" spans="1:15" ht="15" x14ac:dyDescent="0.25">
      <c r="A42" s="40" t="s">
        <v>212</v>
      </c>
      <c r="B42" s="40" t="s">
        <v>213</v>
      </c>
      <c r="C42" s="41">
        <f>'Licensed FTEs'!C81</f>
        <v>0</v>
      </c>
      <c r="D42" s="41">
        <f>'Licensed FTEs'!D81</f>
        <v>0</v>
      </c>
      <c r="E42" s="41">
        <f>'Licensed FTEs'!E81</f>
        <v>0</v>
      </c>
      <c r="F42" s="41">
        <f>'Licensed FTEs'!F81</f>
        <v>0</v>
      </c>
      <c r="G42" s="41">
        <f>'Licensed FTEs'!G81</f>
        <v>8.5500000000000007</v>
      </c>
      <c r="H42" s="42">
        <f>'Licensed FTEs'!H81</f>
        <v>0.25</v>
      </c>
      <c r="I42" s="43">
        <f>'Classified FTEs'!C81</f>
        <v>1.75</v>
      </c>
      <c r="J42" s="41">
        <f>'Licensed FTEs'!I81+'Licensed FTEs'!J81</f>
        <v>0.91</v>
      </c>
      <c r="K42" s="44">
        <f>'Licensed FTEs'!K81</f>
        <v>0</v>
      </c>
      <c r="L42" s="41">
        <f>'Licensed FTEs'!L81</f>
        <v>0</v>
      </c>
      <c r="M42" s="41">
        <f>'Licensed FTEs'!M81</f>
        <v>0</v>
      </c>
      <c r="N42" s="42">
        <f>'Classified FTEs'!G81</f>
        <v>0</v>
      </c>
      <c r="O42" s="39"/>
    </row>
    <row r="43" spans="1:15" ht="15" x14ac:dyDescent="0.25">
      <c r="A43" s="40" t="s">
        <v>84</v>
      </c>
      <c r="B43" s="40" t="s">
        <v>300</v>
      </c>
      <c r="C43" s="41">
        <f>'Licensed FTEs'!C82</f>
        <v>0</v>
      </c>
      <c r="D43" s="41">
        <f>'Licensed FTEs'!D82</f>
        <v>0</v>
      </c>
      <c r="E43" s="41">
        <f>'Licensed FTEs'!E82</f>
        <v>1</v>
      </c>
      <c r="F43" s="41">
        <f>'Licensed FTEs'!F82</f>
        <v>3</v>
      </c>
      <c r="G43" s="41">
        <f>'Licensed FTEs'!G82</f>
        <v>0</v>
      </c>
      <c r="H43" s="42">
        <f>'Licensed FTEs'!H82</f>
        <v>1</v>
      </c>
      <c r="I43" s="43">
        <f>'Classified FTEs'!C82</f>
        <v>1</v>
      </c>
      <c r="J43" s="41">
        <f>'Licensed FTEs'!I82+'Licensed FTEs'!J82</f>
        <v>0</v>
      </c>
      <c r="K43" s="44">
        <f>'Licensed FTEs'!K82</f>
        <v>0</v>
      </c>
      <c r="L43" s="41">
        <f>'Licensed FTEs'!L82</f>
        <v>0</v>
      </c>
      <c r="M43" s="41">
        <f>'Licensed FTEs'!M82</f>
        <v>0</v>
      </c>
      <c r="N43" s="42">
        <f>'Classified FTEs'!G82</f>
        <v>0</v>
      </c>
      <c r="O43" s="39"/>
    </row>
    <row r="44" spans="1:15" ht="15.75" thickBot="1" x14ac:dyDescent="0.3">
      <c r="A44" s="40" t="s">
        <v>85</v>
      </c>
      <c r="B44" s="45" t="s">
        <v>214</v>
      </c>
      <c r="C44" s="46">
        <f>'Licensed FTEs'!C83</f>
        <v>0</v>
      </c>
      <c r="D44" s="46">
        <f>'Licensed FTEs'!D83</f>
        <v>0</v>
      </c>
      <c r="E44" s="46">
        <f>'Licensed FTEs'!E83</f>
        <v>2</v>
      </c>
      <c r="F44" s="46">
        <f>'Licensed FTEs'!F83</f>
        <v>17</v>
      </c>
      <c r="G44" s="46">
        <f>'Licensed FTEs'!G83</f>
        <v>14.35</v>
      </c>
      <c r="H44" s="47">
        <f>'Licensed FTEs'!H83</f>
        <v>2</v>
      </c>
      <c r="I44" s="48">
        <f>'Classified FTEs'!C83</f>
        <v>6.99</v>
      </c>
      <c r="J44" s="46">
        <f>'Licensed FTEs'!I83+'Licensed FTEs'!J83</f>
        <v>2.0099999999999998</v>
      </c>
      <c r="K44" s="49">
        <f>'Licensed FTEs'!K83</f>
        <v>0</v>
      </c>
      <c r="L44" s="46">
        <f>'Licensed FTEs'!L83</f>
        <v>0.5</v>
      </c>
      <c r="M44" s="46">
        <f>'Licensed FTEs'!M83</f>
        <v>1</v>
      </c>
      <c r="N44" s="47">
        <f>'Classified FTEs'!G83</f>
        <v>0</v>
      </c>
      <c r="O44" s="39"/>
    </row>
    <row r="45" spans="1:15" ht="15" x14ac:dyDescent="0.25">
      <c r="A45" s="40" t="s">
        <v>86</v>
      </c>
      <c r="B45" s="40" t="s">
        <v>215</v>
      </c>
      <c r="C45" s="35">
        <f>'Licensed FTEs'!C84</f>
        <v>0</v>
      </c>
      <c r="D45" s="35">
        <f>'Licensed FTEs'!D84</f>
        <v>0</v>
      </c>
      <c r="E45" s="35">
        <f>'Licensed FTEs'!E84</f>
        <v>1.5</v>
      </c>
      <c r="F45" s="35">
        <f>'Licensed FTEs'!F84</f>
        <v>18.63</v>
      </c>
      <c r="G45" s="35">
        <f>'Licensed FTEs'!G84</f>
        <v>10.050000000000001</v>
      </c>
      <c r="H45" s="36">
        <f>'Licensed FTEs'!H84</f>
        <v>1</v>
      </c>
      <c r="I45" s="37">
        <f>'Classified FTEs'!C84</f>
        <v>14</v>
      </c>
      <c r="J45" s="35">
        <f>'Licensed FTEs'!I84+'Licensed FTEs'!J84</f>
        <v>0</v>
      </c>
      <c r="K45" s="38">
        <f>'Licensed FTEs'!K84</f>
        <v>0</v>
      </c>
      <c r="L45" s="35">
        <f>'Licensed FTEs'!L84</f>
        <v>0.22</v>
      </c>
      <c r="M45" s="35">
        <f>'Licensed FTEs'!M84</f>
        <v>1</v>
      </c>
      <c r="N45" s="36">
        <f>'Classified FTEs'!G84</f>
        <v>0</v>
      </c>
      <c r="O45" s="39"/>
    </row>
    <row r="46" spans="1:15" ht="15" x14ac:dyDescent="0.25">
      <c r="A46" s="40" t="s">
        <v>87</v>
      </c>
      <c r="B46" s="40" t="s">
        <v>216</v>
      </c>
      <c r="C46" s="41">
        <f>'Licensed FTEs'!C85</f>
        <v>0</v>
      </c>
      <c r="D46" s="41">
        <f>'Licensed FTEs'!D85</f>
        <v>0</v>
      </c>
      <c r="E46" s="41">
        <f>'Licensed FTEs'!E85</f>
        <v>2</v>
      </c>
      <c r="F46" s="41">
        <f>'Licensed FTEs'!F85</f>
        <v>13.2</v>
      </c>
      <c r="G46" s="41">
        <f>'Licensed FTEs'!G85</f>
        <v>10.28</v>
      </c>
      <c r="H46" s="42">
        <f>'Licensed FTEs'!H85</f>
        <v>1.75</v>
      </c>
      <c r="I46" s="43">
        <f>'Classified FTEs'!C85</f>
        <v>14.75</v>
      </c>
      <c r="J46" s="41">
        <f>'Licensed FTEs'!I85+'Licensed FTEs'!J85</f>
        <v>1.3</v>
      </c>
      <c r="K46" s="44">
        <f>'Licensed FTEs'!K85</f>
        <v>0.2</v>
      </c>
      <c r="L46" s="41">
        <f>'Licensed FTEs'!L85</f>
        <v>0.2</v>
      </c>
      <c r="M46" s="41">
        <f>'Licensed FTEs'!M85</f>
        <v>0.25</v>
      </c>
      <c r="N46" s="42">
        <f>'Classified FTEs'!G85</f>
        <v>0</v>
      </c>
      <c r="O46" s="39"/>
    </row>
    <row r="47" spans="1:15" ht="15" x14ac:dyDescent="0.25">
      <c r="A47" s="40" t="s">
        <v>91</v>
      </c>
      <c r="B47" s="40" t="s">
        <v>217</v>
      </c>
      <c r="C47" s="41">
        <f>'Licensed FTEs'!C86</f>
        <v>0</v>
      </c>
      <c r="D47" s="41">
        <f>'Licensed FTEs'!D86</f>
        <v>0</v>
      </c>
      <c r="E47" s="41">
        <f>'Licensed FTEs'!E86</f>
        <v>0</v>
      </c>
      <c r="F47" s="41">
        <f>'Licensed FTEs'!F86</f>
        <v>0</v>
      </c>
      <c r="G47" s="41">
        <f>'Licensed FTEs'!G86</f>
        <v>15.12</v>
      </c>
      <c r="H47" s="42">
        <f>'Licensed FTEs'!H86</f>
        <v>1</v>
      </c>
      <c r="I47" s="43">
        <f>'Classified FTEs'!C86</f>
        <v>1</v>
      </c>
      <c r="J47" s="41">
        <f>'Licensed FTEs'!I86+'Licensed FTEs'!J86</f>
        <v>1.1399999999999999</v>
      </c>
      <c r="K47" s="44">
        <f>'Licensed FTEs'!K86</f>
        <v>0</v>
      </c>
      <c r="L47" s="41">
        <f>'Licensed FTEs'!L86</f>
        <v>1</v>
      </c>
      <c r="M47" s="41">
        <f>'Licensed FTEs'!M86</f>
        <v>0</v>
      </c>
      <c r="N47" s="42">
        <f>'Classified FTEs'!G86</f>
        <v>0</v>
      </c>
      <c r="O47" s="39"/>
    </row>
    <row r="48" spans="1:15" ht="15" x14ac:dyDescent="0.25">
      <c r="A48" s="40" t="s">
        <v>88</v>
      </c>
      <c r="B48" s="40" t="s">
        <v>218</v>
      </c>
      <c r="C48" s="41">
        <f>'Licensed FTEs'!C87</f>
        <v>0</v>
      </c>
      <c r="D48" s="41">
        <f>'Licensed FTEs'!D87</f>
        <v>0</v>
      </c>
      <c r="E48" s="41">
        <f>'Licensed FTEs'!E87</f>
        <v>2</v>
      </c>
      <c r="F48" s="41">
        <f>'Licensed FTEs'!F87</f>
        <v>19</v>
      </c>
      <c r="G48" s="41">
        <f>'Licensed FTEs'!G87</f>
        <v>0</v>
      </c>
      <c r="H48" s="42">
        <f>'Licensed FTEs'!H87</f>
        <v>1</v>
      </c>
      <c r="I48" s="43">
        <f>'Classified FTEs'!C87</f>
        <v>25</v>
      </c>
      <c r="J48" s="41">
        <f>'Licensed FTEs'!I87+'Licensed FTEs'!J87</f>
        <v>1</v>
      </c>
      <c r="K48" s="44">
        <f>'Licensed FTEs'!K87</f>
        <v>0</v>
      </c>
      <c r="L48" s="41">
        <f>'Licensed FTEs'!L87</f>
        <v>0</v>
      </c>
      <c r="M48" s="41">
        <f>'Licensed FTEs'!M87</f>
        <v>0</v>
      </c>
      <c r="N48" s="42">
        <f>'Classified FTEs'!G87</f>
        <v>0</v>
      </c>
      <c r="O48" s="39"/>
    </row>
    <row r="49" spans="1:15" ht="15.75" thickBot="1" x14ac:dyDescent="0.3">
      <c r="A49" s="40" t="s">
        <v>89</v>
      </c>
      <c r="B49" s="40" t="s">
        <v>219</v>
      </c>
      <c r="C49" s="41">
        <f>'Licensed FTEs'!C88</f>
        <v>0</v>
      </c>
      <c r="D49" s="41">
        <f>'Licensed FTEs'!D88</f>
        <v>0</v>
      </c>
      <c r="E49" s="41">
        <f>'Licensed FTEs'!E88</f>
        <v>2</v>
      </c>
      <c r="F49" s="41">
        <f>'Licensed FTEs'!F88</f>
        <v>25</v>
      </c>
      <c r="G49" s="41">
        <f>'Licensed FTEs'!G88</f>
        <v>12.05</v>
      </c>
      <c r="H49" s="42">
        <f>'Licensed FTEs'!H88</f>
        <v>2.95</v>
      </c>
      <c r="I49" s="43">
        <f>'Classified FTEs'!C88</f>
        <v>14.46</v>
      </c>
      <c r="J49" s="41">
        <f>'Licensed FTEs'!I88+'Licensed FTEs'!J88</f>
        <v>1.7999999999999998</v>
      </c>
      <c r="K49" s="44">
        <f>'Licensed FTEs'!K88</f>
        <v>0.04</v>
      </c>
      <c r="L49" s="41">
        <f>'Licensed FTEs'!L88</f>
        <v>0.74</v>
      </c>
      <c r="M49" s="41">
        <f>'Licensed FTEs'!M88</f>
        <v>1</v>
      </c>
      <c r="N49" s="42">
        <f>'Classified FTEs'!G88</f>
        <v>0</v>
      </c>
      <c r="O49" s="39"/>
    </row>
    <row r="50" spans="1:15" ht="15" x14ac:dyDescent="0.25">
      <c r="A50" s="40" t="s">
        <v>90</v>
      </c>
      <c r="B50" s="34" t="s">
        <v>220</v>
      </c>
      <c r="C50" s="35">
        <f>'Licensed FTEs'!C89</f>
        <v>0</v>
      </c>
      <c r="D50" s="35">
        <f>'Licensed FTEs'!D89</f>
        <v>0</v>
      </c>
      <c r="E50" s="35">
        <f>'Licensed FTEs'!E89</f>
        <v>1</v>
      </c>
      <c r="F50" s="35">
        <f>'Licensed FTEs'!F89</f>
        <v>11.8</v>
      </c>
      <c r="G50" s="35">
        <f>'Licensed FTEs'!G89</f>
        <v>8.25</v>
      </c>
      <c r="H50" s="36">
        <f>'Licensed FTEs'!H89</f>
        <v>1</v>
      </c>
      <c r="I50" s="37">
        <f>'Classified FTEs'!C89</f>
        <v>12.99</v>
      </c>
      <c r="J50" s="35">
        <f>'Licensed FTEs'!I89+'Licensed FTEs'!J89</f>
        <v>1.25</v>
      </c>
      <c r="K50" s="38">
        <f>'Licensed FTEs'!K89</f>
        <v>0.25</v>
      </c>
      <c r="L50" s="35">
        <f>'Licensed FTEs'!L89</f>
        <v>0.75</v>
      </c>
      <c r="M50" s="35">
        <f>'Licensed FTEs'!M89</f>
        <v>1</v>
      </c>
      <c r="N50" s="36">
        <f>'Classified FTEs'!G89</f>
        <v>0</v>
      </c>
      <c r="O50" s="39"/>
    </row>
    <row r="51" spans="1:15" ht="15" x14ac:dyDescent="0.25">
      <c r="A51" s="40" t="s">
        <v>92</v>
      </c>
      <c r="B51" s="40" t="s">
        <v>221</v>
      </c>
      <c r="C51" s="41">
        <f>'Licensed FTEs'!C90</f>
        <v>0</v>
      </c>
      <c r="D51" s="41">
        <f>'Licensed FTEs'!D90</f>
        <v>0</v>
      </c>
      <c r="E51" s="41">
        <f>'Licensed FTEs'!E90</f>
        <v>2.5</v>
      </c>
      <c r="F51" s="41">
        <f>'Licensed FTEs'!F90</f>
        <v>11.82</v>
      </c>
      <c r="G51" s="41">
        <f>'Licensed FTEs'!G90</f>
        <v>6.51</v>
      </c>
      <c r="H51" s="42">
        <f>'Licensed FTEs'!H90</f>
        <v>3.48</v>
      </c>
      <c r="I51" s="43">
        <f>'Classified FTEs'!C90</f>
        <v>12.79</v>
      </c>
      <c r="J51" s="41">
        <f>'Licensed FTEs'!I90+'Licensed FTEs'!J90</f>
        <v>0</v>
      </c>
      <c r="K51" s="44">
        <f>'Licensed FTEs'!K90</f>
        <v>0.5</v>
      </c>
      <c r="L51" s="41">
        <f>'Licensed FTEs'!L90</f>
        <v>0</v>
      </c>
      <c r="M51" s="41">
        <f>'Licensed FTEs'!M90</f>
        <v>0</v>
      </c>
      <c r="N51" s="42">
        <f>'Classified FTEs'!G90</f>
        <v>0.5</v>
      </c>
      <c r="O51" s="39"/>
    </row>
    <row r="52" spans="1:15" ht="15" x14ac:dyDescent="0.25">
      <c r="A52" s="40">
        <v>68</v>
      </c>
      <c r="B52" s="40" t="s">
        <v>222</v>
      </c>
      <c r="C52" s="41">
        <f>'Licensed FTEs'!C91</f>
        <v>0</v>
      </c>
      <c r="D52" s="41">
        <f>'Licensed FTEs'!D91</f>
        <v>0</v>
      </c>
      <c r="E52" s="41">
        <f>'Licensed FTEs'!E91</f>
        <v>2</v>
      </c>
      <c r="F52" s="41">
        <f>'Licensed FTEs'!F91</f>
        <v>22</v>
      </c>
      <c r="G52" s="41">
        <f>'Licensed FTEs'!G91</f>
        <v>20.100000000000001</v>
      </c>
      <c r="H52" s="42">
        <f>'Licensed FTEs'!H91</f>
        <v>3.75</v>
      </c>
      <c r="I52" s="43">
        <f>'Classified FTEs'!C91</f>
        <v>23.35</v>
      </c>
      <c r="J52" s="41">
        <f>'Licensed FTEs'!I91+'Licensed FTEs'!J91</f>
        <v>1.6</v>
      </c>
      <c r="K52" s="44">
        <f>'Licensed FTEs'!K91</f>
        <v>0.25</v>
      </c>
      <c r="L52" s="41">
        <f>'Licensed FTEs'!L91</f>
        <v>0.25</v>
      </c>
      <c r="M52" s="41">
        <f>'Licensed FTEs'!M91</f>
        <v>0.5</v>
      </c>
      <c r="N52" s="42">
        <f>'Classified FTEs'!G91</f>
        <v>0</v>
      </c>
      <c r="O52" s="39"/>
    </row>
    <row r="53" spans="1:15" ht="15" x14ac:dyDescent="0.25">
      <c r="A53" s="40" t="s">
        <v>93</v>
      </c>
      <c r="B53" s="40" t="s">
        <v>223</v>
      </c>
      <c r="C53" s="41">
        <f>'Licensed FTEs'!C92</f>
        <v>0</v>
      </c>
      <c r="D53" s="41">
        <f>'Licensed FTEs'!D92</f>
        <v>0</v>
      </c>
      <c r="E53" s="41">
        <f>'Licensed FTEs'!E92</f>
        <v>1.5</v>
      </c>
      <c r="F53" s="41">
        <f>'Licensed FTEs'!F92</f>
        <v>14.5</v>
      </c>
      <c r="G53" s="41">
        <f>'Licensed FTEs'!G92</f>
        <v>0</v>
      </c>
      <c r="H53" s="42">
        <f>'Licensed FTEs'!H92</f>
        <v>1.8</v>
      </c>
      <c r="I53" s="43">
        <f>'Classified FTEs'!C92</f>
        <v>0</v>
      </c>
      <c r="J53" s="41">
        <f>'Licensed FTEs'!I92+'Licensed FTEs'!J92</f>
        <v>1</v>
      </c>
      <c r="K53" s="44">
        <f>'Licensed FTEs'!K92</f>
        <v>0.6</v>
      </c>
      <c r="L53" s="41">
        <f>'Licensed FTEs'!L92</f>
        <v>0</v>
      </c>
      <c r="M53" s="41">
        <f>'Licensed FTEs'!M92</f>
        <v>0</v>
      </c>
      <c r="N53" s="42">
        <f>'Classified FTEs'!G92</f>
        <v>0</v>
      </c>
      <c r="O53" s="39"/>
    </row>
    <row r="54" spans="1:15" ht="15.75" thickBot="1" x14ac:dyDescent="0.3">
      <c r="A54" s="40" t="s">
        <v>284</v>
      </c>
      <c r="B54" s="45" t="s">
        <v>285</v>
      </c>
      <c r="C54" s="46">
        <f>'Licensed FTEs'!C93</f>
        <v>0</v>
      </c>
      <c r="D54" s="46">
        <f>'Licensed FTEs'!D93</f>
        <v>0</v>
      </c>
      <c r="E54" s="46">
        <f>'Licensed FTEs'!E93</f>
        <v>0</v>
      </c>
      <c r="F54" s="46">
        <f>'Licensed FTEs'!F93</f>
        <v>0</v>
      </c>
      <c r="G54" s="46">
        <f>'Licensed FTEs'!G93</f>
        <v>9.4</v>
      </c>
      <c r="H54" s="47">
        <f>'Licensed FTEs'!H93</f>
        <v>0</v>
      </c>
      <c r="I54" s="48">
        <f>'Classified FTEs'!C93</f>
        <v>0.5</v>
      </c>
      <c r="J54" s="46">
        <f>'Licensed FTEs'!I93+'Licensed FTEs'!J93</f>
        <v>0.25</v>
      </c>
      <c r="K54" s="49">
        <f>'Licensed FTEs'!K93</f>
        <v>0</v>
      </c>
      <c r="L54" s="46">
        <f>'Licensed FTEs'!L93</f>
        <v>0.75</v>
      </c>
      <c r="M54" s="46">
        <f>'Licensed FTEs'!M93</f>
        <v>0</v>
      </c>
      <c r="N54" s="47">
        <f>'Classified FTEs'!G93</f>
        <v>0</v>
      </c>
      <c r="O54" s="39"/>
    </row>
    <row r="55" spans="1:15" ht="15" x14ac:dyDescent="0.25">
      <c r="A55" s="40" t="s">
        <v>286</v>
      </c>
      <c r="B55" s="34" t="s">
        <v>287</v>
      </c>
      <c r="C55" s="35">
        <f>'Licensed FTEs'!C94</f>
        <v>0</v>
      </c>
      <c r="D55" s="35">
        <f>'Licensed FTEs'!D94</f>
        <v>0</v>
      </c>
      <c r="E55" s="35">
        <f>'Licensed FTEs'!E94</f>
        <v>2</v>
      </c>
      <c r="F55" s="35">
        <f>'Licensed FTEs'!F94</f>
        <v>19.98</v>
      </c>
      <c r="G55" s="35">
        <f>'Licensed FTEs'!G94</f>
        <v>7.9</v>
      </c>
      <c r="H55" s="36">
        <f>'Licensed FTEs'!H94</f>
        <v>2.5299999999999998</v>
      </c>
      <c r="I55" s="37">
        <f>'Classified FTEs'!C94</f>
        <v>12.2</v>
      </c>
      <c r="J55" s="35">
        <f>'Licensed FTEs'!I94+'Licensed FTEs'!J94</f>
        <v>1.35</v>
      </c>
      <c r="K55" s="38">
        <f>'Licensed FTEs'!K94</f>
        <v>0.75</v>
      </c>
      <c r="L55" s="35">
        <f>'Licensed FTEs'!L94</f>
        <v>0.12</v>
      </c>
      <c r="M55" s="35">
        <f>'Licensed FTEs'!M94</f>
        <v>0</v>
      </c>
      <c r="N55" s="36">
        <f>'Classified FTEs'!G94</f>
        <v>0</v>
      </c>
      <c r="O55" s="39"/>
    </row>
    <row r="56" spans="1:15" ht="15" x14ac:dyDescent="0.25">
      <c r="A56" s="40" t="s">
        <v>94</v>
      </c>
      <c r="B56" s="40" t="s">
        <v>224</v>
      </c>
      <c r="C56" s="41">
        <f>'Licensed FTEs'!C95</f>
        <v>0</v>
      </c>
      <c r="D56" s="41">
        <f>'Licensed FTEs'!D95</f>
        <v>0</v>
      </c>
      <c r="E56" s="41">
        <f>'Licensed FTEs'!E95</f>
        <v>0</v>
      </c>
      <c r="F56" s="41">
        <f>'Licensed FTEs'!F95</f>
        <v>0</v>
      </c>
      <c r="G56" s="41">
        <f>'Licensed FTEs'!G95</f>
        <v>32.39</v>
      </c>
      <c r="H56" s="42">
        <f>'Licensed FTEs'!H95</f>
        <v>1</v>
      </c>
      <c r="I56" s="43">
        <f>'Classified FTEs'!C95</f>
        <v>0</v>
      </c>
      <c r="J56" s="41">
        <f>'Licensed FTEs'!I95+'Licensed FTEs'!J95</f>
        <v>1.87</v>
      </c>
      <c r="K56" s="44">
        <f>'Licensed FTEs'!K95</f>
        <v>0</v>
      </c>
      <c r="L56" s="41">
        <f>'Licensed FTEs'!L95</f>
        <v>1</v>
      </c>
      <c r="M56" s="41">
        <f>'Licensed FTEs'!M95</f>
        <v>1</v>
      </c>
      <c r="N56" s="42">
        <f>'Classified FTEs'!G95</f>
        <v>0</v>
      </c>
      <c r="O56" s="39"/>
    </row>
    <row r="57" spans="1:15" ht="15" x14ac:dyDescent="0.25">
      <c r="A57" s="40">
        <v>86</v>
      </c>
      <c r="B57" s="40" t="s">
        <v>225</v>
      </c>
      <c r="C57" s="41">
        <f>'Licensed FTEs'!C96</f>
        <v>0</v>
      </c>
      <c r="D57" s="41">
        <f>'Licensed FTEs'!D96</f>
        <v>0</v>
      </c>
      <c r="E57" s="41">
        <f>'Licensed FTEs'!E96</f>
        <v>1.06</v>
      </c>
      <c r="F57" s="41">
        <f>'Licensed FTEs'!F96</f>
        <v>13.73</v>
      </c>
      <c r="G57" s="41">
        <f>'Licensed FTEs'!G96</f>
        <v>17.75</v>
      </c>
      <c r="H57" s="42">
        <f>'Licensed FTEs'!H96</f>
        <v>0.36</v>
      </c>
      <c r="I57" s="43">
        <f>'Classified FTEs'!C96</f>
        <v>31.5</v>
      </c>
      <c r="J57" s="41">
        <f>'Licensed FTEs'!I96+'Licensed FTEs'!J96</f>
        <v>1.0699999999999998</v>
      </c>
      <c r="K57" s="44">
        <f>'Licensed FTEs'!K96</f>
        <v>0</v>
      </c>
      <c r="L57" s="41">
        <f>'Licensed FTEs'!L96</f>
        <v>0</v>
      </c>
      <c r="M57" s="41">
        <f>'Licensed FTEs'!M96</f>
        <v>1.06</v>
      </c>
      <c r="N57" s="42">
        <f>'Classified FTEs'!G96</f>
        <v>0</v>
      </c>
      <c r="O57" s="39"/>
    </row>
    <row r="58" spans="1:15" ht="15" x14ac:dyDescent="0.25">
      <c r="A58" s="40" t="s">
        <v>226</v>
      </c>
      <c r="B58" s="40" t="s">
        <v>227</v>
      </c>
      <c r="C58" s="41">
        <f>'Licensed FTEs'!C97</f>
        <v>0</v>
      </c>
      <c r="D58" s="41">
        <f>'Licensed FTEs'!D97</f>
        <v>0</v>
      </c>
      <c r="E58" s="41">
        <f>'Licensed FTEs'!E97</f>
        <v>0.5</v>
      </c>
      <c r="F58" s="41">
        <f>'Licensed FTEs'!F97</f>
        <v>26</v>
      </c>
      <c r="G58" s="41">
        <f>'Licensed FTEs'!G97</f>
        <v>0</v>
      </c>
      <c r="H58" s="42">
        <f>'Licensed FTEs'!H97</f>
        <v>1</v>
      </c>
      <c r="I58" s="43">
        <f>'Classified FTEs'!C97</f>
        <v>23.3</v>
      </c>
      <c r="J58" s="41">
        <f>'Licensed FTEs'!I97+'Licensed FTEs'!J97</f>
        <v>1</v>
      </c>
      <c r="K58" s="44">
        <f>'Licensed FTEs'!K97</f>
        <v>0.5</v>
      </c>
      <c r="L58" s="41">
        <f>'Licensed FTEs'!L97</f>
        <v>0</v>
      </c>
      <c r="M58" s="41">
        <f>'Licensed FTEs'!M97</f>
        <v>0</v>
      </c>
      <c r="N58" s="42">
        <f>'Classified FTEs'!G97</f>
        <v>0</v>
      </c>
      <c r="O58" s="39"/>
    </row>
    <row r="59" spans="1:15" ht="15.75" thickBot="1" x14ac:dyDescent="0.3">
      <c r="A59" s="40" t="s">
        <v>301</v>
      </c>
      <c r="B59" s="45" t="s">
        <v>302</v>
      </c>
      <c r="C59" s="46">
        <f>'Licensed FTEs'!C98</f>
        <v>0</v>
      </c>
      <c r="D59" s="46">
        <f>'Licensed FTEs'!D98</f>
        <v>0</v>
      </c>
      <c r="E59" s="46">
        <f>'Licensed FTEs'!E98</f>
        <v>2.56</v>
      </c>
      <c r="F59" s="46">
        <f>'Licensed FTEs'!F98</f>
        <v>12.72</v>
      </c>
      <c r="G59" s="46">
        <f>'Licensed FTEs'!G98</f>
        <v>8.58</v>
      </c>
      <c r="H59" s="47">
        <f>'Licensed FTEs'!H98</f>
        <v>1.75</v>
      </c>
      <c r="I59" s="48">
        <f>'Classified FTEs'!C98</f>
        <v>3</v>
      </c>
      <c r="J59" s="46">
        <f>'Licensed FTEs'!I98+'Licensed FTEs'!J98</f>
        <v>0</v>
      </c>
      <c r="K59" s="49">
        <f>'Licensed FTEs'!K98</f>
        <v>0</v>
      </c>
      <c r="L59" s="46">
        <f>'Licensed FTEs'!L98</f>
        <v>0.25</v>
      </c>
      <c r="M59" s="46">
        <f>'Licensed FTEs'!M98</f>
        <v>0</v>
      </c>
      <c r="N59" s="47">
        <f>'Classified FTEs'!G98</f>
        <v>0</v>
      </c>
      <c r="O59" s="39"/>
    </row>
    <row r="60" spans="1:15" ht="15" x14ac:dyDescent="0.25">
      <c r="A60" s="40" t="s">
        <v>228</v>
      </c>
      <c r="B60" s="34" t="s">
        <v>229</v>
      </c>
      <c r="C60" s="35">
        <f>'Licensed FTEs'!C99</f>
        <v>0</v>
      </c>
      <c r="D60" s="35">
        <f>'Licensed FTEs'!D99</f>
        <v>0</v>
      </c>
      <c r="E60" s="35">
        <f>'Licensed FTEs'!E99</f>
        <v>1.5</v>
      </c>
      <c r="F60" s="35">
        <f>'Licensed FTEs'!F99</f>
        <v>20.399999999999999</v>
      </c>
      <c r="G60" s="35">
        <f>'Licensed FTEs'!G99</f>
        <v>1.7</v>
      </c>
      <c r="H60" s="36">
        <f>'Licensed FTEs'!H99</f>
        <v>2.4</v>
      </c>
      <c r="I60" s="37">
        <f>'Classified FTEs'!C99</f>
        <v>7.53</v>
      </c>
      <c r="J60" s="35">
        <f>'Licensed FTEs'!I99+'Licensed FTEs'!J99</f>
        <v>0</v>
      </c>
      <c r="K60" s="38">
        <f>'Licensed FTEs'!K99</f>
        <v>0</v>
      </c>
      <c r="L60" s="35">
        <f>'Licensed FTEs'!L99</f>
        <v>0</v>
      </c>
      <c r="M60" s="35">
        <f>'Licensed FTEs'!M99</f>
        <v>0.5</v>
      </c>
      <c r="N60" s="36">
        <f>'Classified FTEs'!G99</f>
        <v>0</v>
      </c>
      <c r="O60" s="39"/>
    </row>
    <row r="61" spans="1:15" ht="15" x14ac:dyDescent="0.25">
      <c r="A61" s="40" t="s">
        <v>95</v>
      </c>
      <c r="B61" s="40" t="s">
        <v>230</v>
      </c>
      <c r="C61" s="41">
        <f>'Licensed FTEs'!C100</f>
        <v>0</v>
      </c>
      <c r="D61" s="41">
        <f>'Licensed FTEs'!D100</f>
        <v>0</v>
      </c>
      <c r="E61" s="41">
        <f>'Licensed FTEs'!E100</f>
        <v>1</v>
      </c>
      <c r="F61" s="41">
        <f>'Licensed FTEs'!F100</f>
        <v>12.67</v>
      </c>
      <c r="G61" s="41">
        <f>'Licensed FTEs'!G100</f>
        <v>0</v>
      </c>
      <c r="H61" s="42">
        <f>'Licensed FTEs'!H100</f>
        <v>1.25</v>
      </c>
      <c r="I61" s="43">
        <f>'Classified FTEs'!C100</f>
        <v>13.5</v>
      </c>
      <c r="J61" s="41">
        <f>'Licensed FTEs'!I100+'Licensed FTEs'!J100</f>
        <v>0</v>
      </c>
      <c r="K61" s="44">
        <f>'Licensed FTEs'!K100</f>
        <v>0</v>
      </c>
      <c r="L61" s="41">
        <f>'Licensed FTEs'!L100</f>
        <v>0</v>
      </c>
      <c r="M61" s="41">
        <f>'Licensed FTEs'!M100</f>
        <v>0</v>
      </c>
      <c r="N61" s="42">
        <f>'Classified FTEs'!G100</f>
        <v>0.5</v>
      </c>
      <c r="O61" s="39"/>
    </row>
    <row r="62" spans="1:15" ht="15" x14ac:dyDescent="0.25">
      <c r="A62" s="40" t="s">
        <v>96</v>
      </c>
      <c r="B62" s="40" t="s">
        <v>231</v>
      </c>
      <c r="C62" s="41">
        <f>'Licensed FTEs'!C101</f>
        <v>0</v>
      </c>
      <c r="D62" s="41">
        <f>'Licensed FTEs'!D101</f>
        <v>0</v>
      </c>
      <c r="E62" s="41">
        <f>'Licensed FTEs'!E101</f>
        <v>2</v>
      </c>
      <c r="F62" s="41">
        <f>'Licensed FTEs'!F101</f>
        <v>25.14</v>
      </c>
      <c r="G62" s="41">
        <f>'Licensed FTEs'!G101</f>
        <v>6.82</v>
      </c>
      <c r="H62" s="42">
        <f>'Licensed FTEs'!H101</f>
        <v>3</v>
      </c>
      <c r="I62" s="43">
        <f>'Classified FTEs'!C101</f>
        <v>11</v>
      </c>
      <c r="J62" s="41">
        <f>'Licensed FTEs'!I101+'Licensed FTEs'!J101</f>
        <v>0.8</v>
      </c>
      <c r="K62" s="44">
        <f>'Licensed FTEs'!K101</f>
        <v>0</v>
      </c>
      <c r="L62" s="41">
        <f>'Licensed FTEs'!L101</f>
        <v>0</v>
      </c>
      <c r="M62" s="41">
        <f>'Licensed FTEs'!M101</f>
        <v>1</v>
      </c>
      <c r="N62" s="42">
        <f>'Classified FTEs'!G101</f>
        <v>0</v>
      </c>
      <c r="O62" s="39"/>
    </row>
    <row r="63" spans="1:15" ht="15" x14ac:dyDescent="0.25">
      <c r="A63" s="40" t="s">
        <v>97</v>
      </c>
      <c r="B63" s="40" t="s">
        <v>232</v>
      </c>
      <c r="C63" s="41">
        <f>'Licensed FTEs'!C102</f>
        <v>0</v>
      </c>
      <c r="D63" s="41">
        <f>'Licensed FTEs'!D102</f>
        <v>0</v>
      </c>
      <c r="E63" s="41">
        <f>'Licensed FTEs'!E102</f>
        <v>1.49</v>
      </c>
      <c r="F63" s="41">
        <f>'Licensed FTEs'!F102</f>
        <v>17.95</v>
      </c>
      <c r="G63" s="41">
        <f>'Licensed FTEs'!G102</f>
        <v>13.53</v>
      </c>
      <c r="H63" s="42">
        <f>'Licensed FTEs'!H102</f>
        <v>1</v>
      </c>
      <c r="I63" s="43">
        <f>'Classified FTEs'!C102</f>
        <v>6.82</v>
      </c>
      <c r="J63" s="41">
        <f>'Licensed FTEs'!I102+'Licensed FTEs'!J102</f>
        <v>0.1</v>
      </c>
      <c r="K63" s="44">
        <f>'Licensed FTEs'!K102</f>
        <v>0.23</v>
      </c>
      <c r="L63" s="41">
        <f>'Licensed FTEs'!L102</f>
        <v>0.23</v>
      </c>
      <c r="M63" s="41">
        <f>'Licensed FTEs'!M102</f>
        <v>1</v>
      </c>
      <c r="N63" s="42">
        <f>'Classified FTEs'!G102</f>
        <v>0</v>
      </c>
      <c r="O63" s="39"/>
    </row>
    <row r="64" spans="1:15" ht="15.75" thickBot="1" x14ac:dyDescent="0.3">
      <c r="A64" s="40" t="s">
        <v>233</v>
      </c>
      <c r="B64" s="45" t="s">
        <v>234</v>
      </c>
      <c r="C64" s="46">
        <f>'Licensed FTEs'!C103</f>
        <v>0</v>
      </c>
      <c r="D64" s="46">
        <f>'Licensed FTEs'!D103</f>
        <v>0</v>
      </c>
      <c r="E64" s="46">
        <f>'Licensed FTEs'!E103</f>
        <v>0</v>
      </c>
      <c r="F64" s="46">
        <f>'Licensed FTEs'!F103</f>
        <v>0</v>
      </c>
      <c r="G64" s="46">
        <f>'Licensed FTEs'!G103</f>
        <v>16.079999999999998</v>
      </c>
      <c r="H64" s="47">
        <f>'Licensed FTEs'!H103</f>
        <v>2.88</v>
      </c>
      <c r="I64" s="48">
        <f>'Classified FTEs'!C103</f>
        <v>1</v>
      </c>
      <c r="J64" s="46">
        <f>'Licensed FTEs'!I103+'Licensed FTEs'!J103</f>
        <v>1.07</v>
      </c>
      <c r="K64" s="49">
        <f>'Licensed FTEs'!K103</f>
        <v>0</v>
      </c>
      <c r="L64" s="46">
        <f>'Licensed FTEs'!L103</f>
        <v>0.6</v>
      </c>
      <c r="M64" s="46">
        <f>'Licensed FTEs'!M103</f>
        <v>0</v>
      </c>
      <c r="N64" s="47">
        <f>'Classified FTEs'!G103</f>
        <v>0</v>
      </c>
      <c r="O64" s="39"/>
    </row>
    <row r="65" spans="1:15" ht="15" x14ac:dyDescent="0.25">
      <c r="A65" s="40">
        <v>97</v>
      </c>
      <c r="B65" s="34" t="s">
        <v>235</v>
      </c>
      <c r="C65" s="35">
        <f>'Licensed FTEs'!C104</f>
        <v>0</v>
      </c>
      <c r="D65" s="35">
        <f>'Licensed FTEs'!D104</f>
        <v>0</v>
      </c>
      <c r="E65" s="35">
        <f>'Licensed FTEs'!E104</f>
        <v>0</v>
      </c>
      <c r="F65" s="35">
        <f>'Licensed FTEs'!F104</f>
        <v>2.1</v>
      </c>
      <c r="G65" s="35">
        <f>'Licensed FTEs'!G104</f>
        <v>12.56</v>
      </c>
      <c r="H65" s="36">
        <f>'Licensed FTEs'!H104</f>
        <v>1</v>
      </c>
      <c r="I65" s="37">
        <f>'Classified FTEs'!C104</f>
        <v>6.5</v>
      </c>
      <c r="J65" s="35">
        <f>'Licensed FTEs'!I104+'Licensed FTEs'!J104</f>
        <v>0</v>
      </c>
      <c r="K65" s="38">
        <f>'Licensed FTEs'!K104</f>
        <v>0</v>
      </c>
      <c r="L65" s="35">
        <f>'Licensed FTEs'!L104</f>
        <v>0</v>
      </c>
      <c r="M65" s="35">
        <f>'Licensed FTEs'!M104</f>
        <v>0</v>
      </c>
      <c r="N65" s="36">
        <f>'Classified FTEs'!G104</f>
        <v>0</v>
      </c>
      <c r="O65" s="39"/>
    </row>
    <row r="66" spans="1:15" ht="15" x14ac:dyDescent="0.25">
      <c r="A66" s="40" t="s">
        <v>236</v>
      </c>
      <c r="B66" s="40" t="s">
        <v>237</v>
      </c>
      <c r="C66" s="41">
        <f>'Licensed FTEs'!C105</f>
        <v>0</v>
      </c>
      <c r="D66" s="41">
        <f>'Licensed FTEs'!D105</f>
        <v>0</v>
      </c>
      <c r="E66" s="41">
        <f>'Licensed FTEs'!E105</f>
        <v>0</v>
      </c>
      <c r="F66" s="41">
        <f>'Licensed FTEs'!F105</f>
        <v>2</v>
      </c>
      <c r="G66" s="41">
        <f>'Licensed FTEs'!G105</f>
        <v>11.58</v>
      </c>
      <c r="H66" s="42">
        <f>'Licensed FTEs'!H105</f>
        <v>1.17</v>
      </c>
      <c r="I66" s="43">
        <f>'Classified FTEs'!C105</f>
        <v>0</v>
      </c>
      <c r="J66" s="41">
        <f>'Licensed FTEs'!I105+'Licensed FTEs'!J105</f>
        <v>0</v>
      </c>
      <c r="K66" s="44">
        <f>'Licensed FTEs'!K105</f>
        <v>0</v>
      </c>
      <c r="L66" s="41">
        <f>'Licensed FTEs'!L105</f>
        <v>0</v>
      </c>
      <c r="M66" s="41">
        <f>'Licensed FTEs'!M105</f>
        <v>0</v>
      </c>
      <c r="N66" s="42">
        <f>'Classified FTEs'!G105</f>
        <v>0</v>
      </c>
      <c r="O66" s="39"/>
    </row>
    <row r="67" spans="1:15" ht="15" x14ac:dyDescent="0.25">
      <c r="A67" s="40" t="s">
        <v>98</v>
      </c>
      <c r="B67" s="40" t="s">
        <v>238</v>
      </c>
      <c r="C67" s="41">
        <f>'Licensed FTEs'!C106</f>
        <v>0</v>
      </c>
      <c r="D67" s="41">
        <f>'Licensed FTEs'!D106</f>
        <v>0</v>
      </c>
      <c r="E67" s="41">
        <f>'Licensed FTEs'!E106</f>
        <v>0</v>
      </c>
      <c r="F67" s="41">
        <f>'Licensed FTEs'!F106</f>
        <v>0</v>
      </c>
      <c r="G67" s="41">
        <f>'Licensed FTEs'!G106</f>
        <v>4.25</v>
      </c>
      <c r="H67" s="42">
        <f>'Licensed FTEs'!H106</f>
        <v>0</v>
      </c>
      <c r="I67" s="43">
        <f>'Classified FTEs'!C106</f>
        <v>0.69</v>
      </c>
      <c r="J67" s="41">
        <f>'Licensed FTEs'!I106+'Licensed FTEs'!J106</f>
        <v>0</v>
      </c>
      <c r="K67" s="44">
        <f>'Licensed FTEs'!K106</f>
        <v>0</v>
      </c>
      <c r="L67" s="41">
        <f>'Licensed FTEs'!L106</f>
        <v>1</v>
      </c>
      <c r="M67" s="41">
        <f>'Licensed FTEs'!M106</f>
        <v>0</v>
      </c>
      <c r="N67" s="42">
        <f>'Classified FTEs'!G106</f>
        <v>0</v>
      </c>
      <c r="O67" s="39"/>
    </row>
    <row r="68" spans="1:15" ht="15" x14ac:dyDescent="0.25">
      <c r="A68" s="40">
        <v>89</v>
      </c>
      <c r="B68" s="40" t="s">
        <v>239</v>
      </c>
      <c r="C68" s="41">
        <f>'Licensed FTEs'!C107</f>
        <v>0</v>
      </c>
      <c r="D68" s="41">
        <f>'Licensed FTEs'!D107</f>
        <v>0</v>
      </c>
      <c r="E68" s="41">
        <f>'Licensed FTEs'!E107</f>
        <v>2</v>
      </c>
      <c r="F68" s="41">
        <f>'Licensed FTEs'!F107</f>
        <v>14</v>
      </c>
      <c r="G68" s="41">
        <f>'Licensed FTEs'!G107</f>
        <v>0</v>
      </c>
      <c r="H68" s="42">
        <f>'Licensed FTEs'!H107</f>
        <v>1</v>
      </c>
      <c r="I68" s="43">
        <f>'Classified FTEs'!C107</f>
        <v>0</v>
      </c>
      <c r="J68" s="41">
        <f>'Licensed FTEs'!I107+'Licensed FTEs'!J107</f>
        <v>0</v>
      </c>
      <c r="K68" s="44">
        <f>'Licensed FTEs'!K107</f>
        <v>0</v>
      </c>
      <c r="L68" s="41">
        <f>'Licensed FTEs'!L107</f>
        <v>0</v>
      </c>
      <c r="M68" s="41">
        <f>'Licensed FTEs'!M107</f>
        <v>0</v>
      </c>
      <c r="N68" s="42">
        <f>'Classified FTEs'!G107</f>
        <v>0</v>
      </c>
      <c r="O68" s="39"/>
    </row>
    <row r="69" spans="1:15" ht="15.75" thickBot="1" x14ac:dyDescent="0.3">
      <c r="A69" s="40" t="s">
        <v>99</v>
      </c>
      <c r="B69" s="45" t="s">
        <v>240</v>
      </c>
      <c r="C69" s="46">
        <f>'Licensed FTEs'!C108</f>
        <v>0</v>
      </c>
      <c r="D69" s="46">
        <f>'Licensed FTEs'!D108</f>
        <v>0</v>
      </c>
      <c r="E69" s="46">
        <f>'Licensed FTEs'!E108</f>
        <v>0</v>
      </c>
      <c r="F69" s="46">
        <f>'Licensed FTEs'!F108</f>
        <v>1.5</v>
      </c>
      <c r="G69" s="46">
        <f>'Licensed FTEs'!G108</f>
        <v>4</v>
      </c>
      <c r="H69" s="47">
        <f>'Licensed FTEs'!H108</f>
        <v>21.5</v>
      </c>
      <c r="I69" s="48">
        <f>'Classified FTEs'!C108</f>
        <v>0</v>
      </c>
      <c r="J69" s="46">
        <f>'Licensed FTEs'!I108+'Licensed FTEs'!J108</f>
        <v>0</v>
      </c>
      <c r="K69" s="49">
        <f>'Licensed FTEs'!K108</f>
        <v>0</v>
      </c>
      <c r="L69" s="46">
        <f>'Licensed FTEs'!L108</f>
        <v>0</v>
      </c>
      <c r="M69" s="46">
        <f>'Licensed FTEs'!M108</f>
        <v>0</v>
      </c>
      <c r="N69" s="47">
        <f>'Classified FTEs'!G108</f>
        <v>0</v>
      </c>
      <c r="O69" s="39"/>
    </row>
    <row r="70" spans="1:15" ht="15" x14ac:dyDescent="0.25">
      <c r="A70" s="40" t="s">
        <v>100</v>
      </c>
      <c r="B70" s="34" t="s">
        <v>241</v>
      </c>
      <c r="C70" s="35">
        <f>'Licensed FTEs'!C109</f>
        <v>0</v>
      </c>
      <c r="D70" s="35">
        <f>'Licensed FTEs'!D109</f>
        <v>0</v>
      </c>
      <c r="E70" s="35">
        <f>'Licensed FTEs'!E109</f>
        <v>0</v>
      </c>
      <c r="F70" s="35">
        <f>'Licensed FTEs'!F109</f>
        <v>0</v>
      </c>
      <c r="G70" s="35">
        <f>'Licensed FTEs'!G109</f>
        <v>7.14</v>
      </c>
      <c r="H70" s="36">
        <f>'Licensed FTEs'!H109</f>
        <v>0</v>
      </c>
      <c r="I70" s="37">
        <f>'Classified FTEs'!C109</f>
        <v>0</v>
      </c>
      <c r="J70" s="35">
        <f>'Licensed FTEs'!I109+'Licensed FTEs'!J109</f>
        <v>0</v>
      </c>
      <c r="K70" s="38">
        <f>'Licensed FTEs'!K109</f>
        <v>0</v>
      </c>
      <c r="L70" s="35">
        <f>'Licensed FTEs'!L109</f>
        <v>0</v>
      </c>
      <c r="M70" s="35">
        <f>'Licensed FTEs'!M109</f>
        <v>0</v>
      </c>
      <c r="N70" s="36">
        <f>'Classified FTEs'!G109</f>
        <v>0</v>
      </c>
      <c r="O70" s="39"/>
    </row>
    <row r="71" spans="1:15" ht="15" x14ac:dyDescent="0.25">
      <c r="A71" s="40">
        <v>88</v>
      </c>
      <c r="B71" s="40" t="s">
        <v>242</v>
      </c>
      <c r="C71" s="41">
        <f>'Licensed FTEs'!C110</f>
        <v>0</v>
      </c>
      <c r="D71" s="41">
        <f>'Licensed FTEs'!D110</f>
        <v>0</v>
      </c>
      <c r="E71" s="41">
        <f>'Licensed FTEs'!E110</f>
        <v>0</v>
      </c>
      <c r="F71" s="41">
        <f>'Licensed FTEs'!F110</f>
        <v>0</v>
      </c>
      <c r="G71" s="41">
        <f>'Licensed FTEs'!G110</f>
        <v>0</v>
      </c>
      <c r="H71" s="42">
        <f>'Licensed FTEs'!H110</f>
        <v>0</v>
      </c>
      <c r="I71" s="43">
        <f>'Classified FTEs'!C110</f>
        <v>0</v>
      </c>
      <c r="J71" s="41">
        <f>'Licensed FTEs'!I110+'Licensed FTEs'!J110</f>
        <v>2</v>
      </c>
      <c r="K71" s="44">
        <f>'Licensed FTEs'!K110</f>
        <v>0</v>
      </c>
      <c r="L71" s="41">
        <f>'Licensed FTEs'!L110</f>
        <v>0</v>
      </c>
      <c r="M71" s="41">
        <f>'Licensed FTEs'!M110</f>
        <v>0</v>
      </c>
      <c r="N71" s="42">
        <f>'Classified FTEs'!G110</f>
        <v>0</v>
      </c>
      <c r="O71" s="39"/>
    </row>
    <row r="72" spans="1:15" ht="15" x14ac:dyDescent="0.25">
      <c r="A72" s="40" t="s">
        <v>101</v>
      </c>
      <c r="B72" s="40" t="s">
        <v>243</v>
      </c>
      <c r="C72" s="41">
        <f>'Licensed FTEs'!C111</f>
        <v>0</v>
      </c>
      <c r="D72" s="41">
        <f>'Licensed FTEs'!D111</f>
        <v>0</v>
      </c>
      <c r="E72" s="41">
        <f>'Licensed FTEs'!E111</f>
        <v>2.5</v>
      </c>
      <c r="F72" s="41">
        <f>'Licensed FTEs'!F111</f>
        <v>27.8</v>
      </c>
      <c r="G72" s="41">
        <f>'Licensed FTEs'!G111</f>
        <v>11.18</v>
      </c>
      <c r="H72" s="42">
        <f>'Licensed FTEs'!H111</f>
        <v>4.25</v>
      </c>
      <c r="I72" s="43">
        <f>'Classified FTEs'!C111</f>
        <v>18.670000000000002</v>
      </c>
      <c r="J72" s="41">
        <f>'Licensed FTEs'!I111+'Licensed FTEs'!J111</f>
        <v>2.4900000000000002</v>
      </c>
      <c r="K72" s="44">
        <f>'Licensed FTEs'!K111</f>
        <v>0</v>
      </c>
      <c r="L72" s="41">
        <f>'Licensed FTEs'!L111</f>
        <v>1</v>
      </c>
      <c r="M72" s="41">
        <f>'Licensed FTEs'!M111</f>
        <v>0</v>
      </c>
      <c r="N72" s="42">
        <f>'Classified FTEs'!G111</f>
        <v>0.5</v>
      </c>
      <c r="O72" s="39"/>
    </row>
    <row r="73" spans="1:15" ht="15" x14ac:dyDescent="0.25">
      <c r="A73" s="40" t="s">
        <v>303</v>
      </c>
      <c r="B73" s="40" t="s">
        <v>304</v>
      </c>
      <c r="C73" s="41">
        <f>'Licensed FTEs'!C112</f>
        <v>0</v>
      </c>
      <c r="D73" s="41">
        <f>'Licensed FTEs'!D112</f>
        <v>0</v>
      </c>
      <c r="E73" s="41">
        <f>'Licensed FTEs'!E112</f>
        <v>0</v>
      </c>
      <c r="F73" s="41">
        <f>'Licensed FTEs'!F112</f>
        <v>0</v>
      </c>
      <c r="G73" s="41">
        <f>'Licensed FTEs'!G112</f>
        <v>7.63</v>
      </c>
      <c r="H73" s="42">
        <f>'Licensed FTEs'!H112</f>
        <v>0</v>
      </c>
      <c r="I73" s="43">
        <f>'Classified FTEs'!C112</f>
        <v>0</v>
      </c>
      <c r="J73" s="41">
        <f>'Licensed FTEs'!I112+'Licensed FTEs'!J112</f>
        <v>0.37</v>
      </c>
      <c r="K73" s="44">
        <f>'Licensed FTEs'!K112</f>
        <v>0</v>
      </c>
      <c r="L73" s="41">
        <f>'Licensed FTEs'!L112</f>
        <v>0</v>
      </c>
      <c r="M73" s="41">
        <f>'Licensed FTEs'!M112</f>
        <v>0</v>
      </c>
      <c r="N73" s="42">
        <f>'Classified FTEs'!G112</f>
        <v>0</v>
      </c>
      <c r="O73" s="39"/>
    </row>
    <row r="74" spans="1:15" ht="15.75" thickBot="1" x14ac:dyDescent="0.3">
      <c r="A74" s="40" t="s">
        <v>102</v>
      </c>
      <c r="B74" s="40" t="s">
        <v>244</v>
      </c>
      <c r="C74" s="41">
        <f>'Licensed FTEs'!C113</f>
        <v>0</v>
      </c>
      <c r="D74" s="41">
        <f>'Licensed FTEs'!D113</f>
        <v>0</v>
      </c>
      <c r="E74" s="41">
        <f>'Licensed FTEs'!E113</f>
        <v>3</v>
      </c>
      <c r="F74" s="41">
        <f>'Licensed FTEs'!F113</f>
        <v>27</v>
      </c>
      <c r="G74" s="41">
        <f>'Licensed FTEs'!G113</f>
        <v>13.25</v>
      </c>
      <c r="H74" s="42">
        <f>'Licensed FTEs'!H113</f>
        <v>2.5</v>
      </c>
      <c r="I74" s="43">
        <f>'Classified FTEs'!C113</f>
        <v>8.2200000000000006</v>
      </c>
      <c r="J74" s="41">
        <f>'Licensed FTEs'!I113+'Licensed FTEs'!J113</f>
        <v>0</v>
      </c>
      <c r="K74" s="44">
        <f>'Licensed FTEs'!K113</f>
        <v>0</v>
      </c>
      <c r="L74" s="41">
        <f>'Licensed FTEs'!L113</f>
        <v>1</v>
      </c>
      <c r="M74" s="41">
        <f>'Licensed FTEs'!M113</f>
        <v>0</v>
      </c>
      <c r="N74" s="42">
        <f>'Classified FTEs'!G113</f>
        <v>0</v>
      </c>
      <c r="O74" s="39"/>
    </row>
    <row r="75" spans="1:15" ht="15" x14ac:dyDescent="0.25">
      <c r="A75" s="50">
        <v>94</v>
      </c>
      <c r="B75" s="34" t="s">
        <v>245</v>
      </c>
      <c r="C75" s="35">
        <f>'Licensed FTEs'!C114</f>
        <v>0</v>
      </c>
      <c r="D75" s="35">
        <f>'Licensed FTEs'!D114</f>
        <v>0</v>
      </c>
      <c r="E75" s="35">
        <f>'Licensed FTEs'!E114</f>
        <v>3</v>
      </c>
      <c r="F75" s="35">
        <f>'Licensed FTEs'!F114</f>
        <v>29.04</v>
      </c>
      <c r="G75" s="35">
        <f>'Licensed FTEs'!G114</f>
        <v>17.52</v>
      </c>
      <c r="H75" s="35">
        <f>'Licensed FTEs'!H114</f>
        <v>3</v>
      </c>
      <c r="I75" s="51">
        <f>'Classified FTEs'!C114</f>
        <v>37.5</v>
      </c>
      <c r="J75" s="36">
        <f>'Licensed FTEs'!I114+'Licensed FTEs'!J114</f>
        <v>1</v>
      </c>
      <c r="K75" s="35">
        <f>'Licensed FTEs'!K114</f>
        <v>0</v>
      </c>
      <c r="L75" s="35">
        <f>'Licensed FTEs'!L114</f>
        <v>1</v>
      </c>
      <c r="M75" s="35">
        <f>'Licensed FTEs'!M114</f>
        <v>2</v>
      </c>
      <c r="N75" s="36">
        <f>'Classified FTEs'!G114</f>
        <v>0</v>
      </c>
      <c r="O75" s="39"/>
    </row>
    <row r="76" spans="1:15" ht="15" x14ac:dyDescent="0.25">
      <c r="A76" s="50">
        <v>95</v>
      </c>
      <c r="B76" s="40" t="s">
        <v>246</v>
      </c>
      <c r="C76" s="41">
        <f>'Licensed FTEs'!C115</f>
        <v>0</v>
      </c>
      <c r="D76" s="41">
        <f>'Licensed FTEs'!D115</f>
        <v>0</v>
      </c>
      <c r="E76" s="41">
        <f>'Licensed FTEs'!E115</f>
        <v>1</v>
      </c>
      <c r="F76" s="41">
        <f>'Licensed FTEs'!F115</f>
        <v>16</v>
      </c>
      <c r="G76" s="41">
        <f>'Licensed FTEs'!G115</f>
        <v>3.3</v>
      </c>
      <c r="H76" s="41">
        <f>'Licensed FTEs'!H115</f>
        <v>1</v>
      </c>
      <c r="I76" s="52">
        <f>'Classified FTEs'!C115</f>
        <v>7.75</v>
      </c>
      <c r="J76" s="42">
        <f>'Licensed FTEs'!I115+'Licensed FTEs'!J115</f>
        <v>0</v>
      </c>
      <c r="K76" s="41">
        <f>'Licensed FTEs'!K115</f>
        <v>0</v>
      </c>
      <c r="L76" s="41">
        <f>'Licensed FTEs'!L115</f>
        <v>0</v>
      </c>
      <c r="M76" s="41">
        <f>'Licensed FTEs'!M115</f>
        <v>0</v>
      </c>
      <c r="N76" s="42">
        <f>'Classified FTEs'!G115</f>
        <v>1</v>
      </c>
      <c r="O76" s="39"/>
    </row>
    <row r="77" spans="1:15" ht="15" x14ac:dyDescent="0.25">
      <c r="A77" s="50">
        <v>90</v>
      </c>
      <c r="B77" s="40" t="s">
        <v>247</v>
      </c>
      <c r="C77" s="41">
        <f>'Licensed FTEs'!C116</f>
        <v>0</v>
      </c>
      <c r="D77" s="41">
        <f>'Licensed FTEs'!D116</f>
        <v>0</v>
      </c>
      <c r="E77" s="41">
        <f>'Licensed FTEs'!E116</f>
        <v>0</v>
      </c>
      <c r="F77" s="41">
        <f>'Licensed FTEs'!F116</f>
        <v>0</v>
      </c>
      <c r="G77" s="41">
        <f>'Licensed FTEs'!G116</f>
        <v>12.3</v>
      </c>
      <c r="H77" s="41">
        <f>'Licensed FTEs'!H116</f>
        <v>0.25</v>
      </c>
      <c r="I77" s="52">
        <f>'Classified FTEs'!C116</f>
        <v>1.75</v>
      </c>
      <c r="J77" s="42">
        <f>'Licensed FTEs'!I116+'Licensed FTEs'!J116</f>
        <v>0</v>
      </c>
      <c r="K77" s="41">
        <f>'Licensed FTEs'!K116</f>
        <v>0</v>
      </c>
      <c r="L77" s="41">
        <f>'Licensed FTEs'!L116</f>
        <v>1</v>
      </c>
      <c r="M77" s="41">
        <f>'Licensed FTEs'!M116</f>
        <v>0.83</v>
      </c>
      <c r="N77" s="42">
        <f>'Classified FTEs'!G116</f>
        <v>0</v>
      </c>
      <c r="O77" s="39"/>
    </row>
    <row r="78" spans="1:15" ht="15" x14ac:dyDescent="0.25">
      <c r="A78" s="50">
        <v>92</v>
      </c>
      <c r="B78" s="40" t="s">
        <v>248</v>
      </c>
      <c r="C78" s="41">
        <f>'Licensed FTEs'!C117</f>
        <v>0</v>
      </c>
      <c r="D78" s="41">
        <f>'Licensed FTEs'!D117</f>
        <v>0</v>
      </c>
      <c r="E78" s="41">
        <f>'Licensed FTEs'!E117</f>
        <v>0</v>
      </c>
      <c r="F78" s="41">
        <f>'Licensed FTEs'!F117</f>
        <v>0</v>
      </c>
      <c r="G78" s="41">
        <f>'Licensed FTEs'!G117</f>
        <v>7.14</v>
      </c>
      <c r="H78" s="41">
        <f>'Licensed FTEs'!H117</f>
        <v>0.53</v>
      </c>
      <c r="I78" s="52">
        <f>'Classified FTEs'!C117</f>
        <v>2</v>
      </c>
      <c r="J78" s="42">
        <f>'Licensed FTEs'!I117+'Licensed FTEs'!J117</f>
        <v>0</v>
      </c>
      <c r="K78" s="41">
        <f>'Licensed FTEs'!K117</f>
        <v>0</v>
      </c>
      <c r="L78" s="41">
        <f>'Licensed FTEs'!L117</f>
        <v>1.5</v>
      </c>
      <c r="M78" s="41">
        <f>'Licensed FTEs'!M117</f>
        <v>0</v>
      </c>
      <c r="N78" s="42">
        <f>'Classified FTEs'!G117</f>
        <v>0</v>
      </c>
      <c r="O78" s="39"/>
    </row>
    <row r="79" spans="1:15" ht="15.75" thickBot="1" x14ac:dyDescent="0.3">
      <c r="A79" s="50" t="s">
        <v>103</v>
      </c>
      <c r="B79" s="45" t="s">
        <v>249</v>
      </c>
      <c r="C79" s="46">
        <f>'Licensed FTEs'!C118</f>
        <v>0</v>
      </c>
      <c r="D79" s="46">
        <f>'Licensed FTEs'!D118</f>
        <v>0</v>
      </c>
      <c r="E79" s="46">
        <f>'Licensed FTEs'!E118</f>
        <v>0</v>
      </c>
      <c r="F79" s="46">
        <f>'Licensed FTEs'!F118</f>
        <v>0</v>
      </c>
      <c r="G79" s="46">
        <f>'Licensed FTEs'!G118</f>
        <v>10.63</v>
      </c>
      <c r="H79" s="46">
        <f>'Licensed FTEs'!H118</f>
        <v>0.5</v>
      </c>
      <c r="I79" s="53">
        <f>'Classified FTEs'!C118</f>
        <v>2.1</v>
      </c>
      <c r="J79" s="47">
        <f>'Licensed FTEs'!I118+'Licensed FTEs'!J118</f>
        <v>1.67</v>
      </c>
      <c r="K79" s="46">
        <f>'Licensed FTEs'!K118</f>
        <v>0</v>
      </c>
      <c r="L79" s="46">
        <f>'Licensed FTEs'!L118</f>
        <v>2.59</v>
      </c>
      <c r="M79" s="46">
        <f>'Licensed FTEs'!M118</f>
        <v>0</v>
      </c>
      <c r="N79" s="47">
        <f>'Classified FTEs'!G118</f>
        <v>0</v>
      </c>
      <c r="O79" s="39"/>
    </row>
    <row r="80" spans="1:15" ht="15" x14ac:dyDescent="0.25">
      <c r="A80" s="50" t="s">
        <v>250</v>
      </c>
      <c r="B80" s="34" t="s">
        <v>251</v>
      </c>
      <c r="C80" s="38">
        <f>'Licensed FTEs'!C119</f>
        <v>0</v>
      </c>
      <c r="D80" s="35">
        <f>'Licensed FTEs'!D119</f>
        <v>0</v>
      </c>
      <c r="E80" s="35">
        <f>'Licensed FTEs'!E119</f>
        <v>1</v>
      </c>
      <c r="F80" s="35">
        <f>'Licensed FTEs'!F119</f>
        <v>10.1</v>
      </c>
      <c r="G80" s="35">
        <f>'Licensed FTEs'!G119</f>
        <v>16.64</v>
      </c>
      <c r="H80" s="36">
        <f>'Licensed FTEs'!H119</f>
        <v>7.5</v>
      </c>
      <c r="I80" s="37">
        <f>'Classified FTEs'!C119</f>
        <v>0</v>
      </c>
      <c r="J80" s="36">
        <f>'Licensed FTEs'!I119+'Licensed FTEs'!J119</f>
        <v>8.9</v>
      </c>
      <c r="K80" s="35">
        <f>'Licensed FTEs'!K119</f>
        <v>0</v>
      </c>
      <c r="L80" s="35">
        <f>'Licensed FTEs'!L119</f>
        <v>0</v>
      </c>
      <c r="M80" s="35">
        <f>'Licensed FTEs'!M119</f>
        <v>0</v>
      </c>
      <c r="N80" s="36">
        <f>'Classified FTEs'!G119</f>
        <v>0</v>
      </c>
      <c r="O80" s="39"/>
    </row>
    <row r="81" spans="1:15" ht="15" x14ac:dyDescent="0.25">
      <c r="A81" s="50" t="s">
        <v>252</v>
      </c>
      <c r="B81" s="40" t="s">
        <v>253</v>
      </c>
      <c r="C81" s="44">
        <f>'Licensed FTEs'!C120</f>
        <v>0</v>
      </c>
      <c r="D81" s="41">
        <f>'Licensed FTEs'!D120</f>
        <v>0</v>
      </c>
      <c r="E81" s="41">
        <f>'Licensed FTEs'!E120</f>
        <v>0.5</v>
      </c>
      <c r="F81" s="41">
        <f>'Licensed FTEs'!F120</f>
        <v>11.1</v>
      </c>
      <c r="G81" s="41">
        <f>'Licensed FTEs'!G120</f>
        <v>8.9499999999999993</v>
      </c>
      <c r="H81" s="42">
        <f>'Licensed FTEs'!H120</f>
        <v>2</v>
      </c>
      <c r="I81" s="43">
        <f>'Classified FTEs'!C120</f>
        <v>8.25</v>
      </c>
      <c r="J81" s="42">
        <f>'Licensed FTEs'!I120+'Licensed FTEs'!J120</f>
        <v>0.5</v>
      </c>
      <c r="K81" s="41">
        <f>'Licensed FTEs'!K120</f>
        <v>0</v>
      </c>
      <c r="L81" s="41">
        <f>'Licensed FTEs'!L120</f>
        <v>0</v>
      </c>
      <c r="M81" s="41">
        <f>'Licensed FTEs'!M120</f>
        <v>0</v>
      </c>
      <c r="N81" s="42">
        <f>'Classified FTEs'!G120</f>
        <v>0</v>
      </c>
      <c r="O81" s="39"/>
    </row>
    <row r="82" spans="1:15" ht="15" x14ac:dyDescent="0.25">
      <c r="A82" s="50" t="s">
        <v>288</v>
      </c>
      <c r="B82" s="40" t="s">
        <v>305</v>
      </c>
      <c r="C82" s="44">
        <f>'Licensed FTEs'!C121</f>
        <v>0</v>
      </c>
      <c r="D82" s="41">
        <f>'Licensed FTEs'!D121</f>
        <v>0</v>
      </c>
      <c r="E82" s="41">
        <f>'Licensed FTEs'!E121</f>
        <v>2</v>
      </c>
      <c r="F82" s="41">
        <f>'Licensed FTEs'!F121</f>
        <v>25.19</v>
      </c>
      <c r="G82" s="41">
        <f>'Licensed FTEs'!G121</f>
        <v>2.89</v>
      </c>
      <c r="H82" s="42">
        <f>'Licensed FTEs'!H121</f>
        <v>3</v>
      </c>
      <c r="I82" s="43">
        <f>'Classified FTEs'!C121</f>
        <v>10</v>
      </c>
      <c r="J82" s="42">
        <f>'Licensed FTEs'!I121+'Licensed FTEs'!J121</f>
        <v>6.33</v>
      </c>
      <c r="K82" s="41">
        <f>'Licensed FTEs'!K121</f>
        <v>0.63</v>
      </c>
      <c r="L82" s="41">
        <f>'Licensed FTEs'!L121</f>
        <v>0</v>
      </c>
      <c r="M82" s="41">
        <f>'Licensed FTEs'!M121</f>
        <v>0</v>
      </c>
      <c r="N82" s="42">
        <f>'Classified FTEs'!G121</f>
        <v>0</v>
      </c>
    </row>
    <row r="83" spans="1:15" ht="15" x14ac:dyDescent="0.25">
      <c r="A83" s="50">
        <v>81</v>
      </c>
      <c r="B83" s="40" t="s">
        <v>254</v>
      </c>
      <c r="C83" s="44">
        <f>'Licensed FTEs'!C122</f>
        <v>0</v>
      </c>
      <c r="D83" s="41">
        <f>'Licensed FTEs'!D122</f>
        <v>0</v>
      </c>
      <c r="E83" s="41">
        <f>'Licensed FTEs'!E122</f>
        <v>1</v>
      </c>
      <c r="F83" s="41">
        <f>'Licensed FTEs'!F122</f>
        <v>4.92</v>
      </c>
      <c r="G83" s="41">
        <f>'Licensed FTEs'!G122</f>
        <v>12.94</v>
      </c>
      <c r="H83" s="42">
        <f>'Licensed FTEs'!H122</f>
        <v>1.75</v>
      </c>
      <c r="I83" s="43">
        <f>'Classified FTEs'!C122</f>
        <v>0</v>
      </c>
      <c r="J83" s="42">
        <f>'Licensed FTEs'!I122+'Licensed FTEs'!J122</f>
        <v>0</v>
      </c>
      <c r="K83" s="41">
        <f>'Licensed FTEs'!K122</f>
        <v>0</v>
      </c>
      <c r="L83" s="41">
        <f>'Licensed FTEs'!L122</f>
        <v>0.25</v>
      </c>
      <c r="M83" s="41">
        <f>'Licensed FTEs'!M122</f>
        <v>0</v>
      </c>
      <c r="N83" s="42">
        <f>'Classified FTEs'!G122</f>
        <v>0</v>
      </c>
    </row>
    <row r="84" spans="1:15" ht="15" x14ac:dyDescent="0.25">
      <c r="A84" s="50" t="s">
        <v>104</v>
      </c>
      <c r="B84" s="40" t="s">
        <v>255</v>
      </c>
      <c r="C84" s="44">
        <f>'Licensed FTEs'!C123</f>
        <v>0</v>
      </c>
      <c r="D84" s="41">
        <f>'Licensed FTEs'!D123</f>
        <v>0</v>
      </c>
      <c r="E84" s="41">
        <f>'Licensed FTEs'!E123</f>
        <v>1</v>
      </c>
      <c r="F84" s="41">
        <f>'Licensed FTEs'!F123</f>
        <v>14.5</v>
      </c>
      <c r="G84" s="41">
        <f>'Licensed FTEs'!G123</f>
        <v>0</v>
      </c>
      <c r="H84" s="42">
        <f>'Licensed FTEs'!H123</f>
        <v>1.5</v>
      </c>
      <c r="I84" s="43">
        <f>'Classified FTEs'!C123</f>
        <v>10.57</v>
      </c>
      <c r="J84" s="42">
        <f>'Licensed FTEs'!I123+'Licensed FTEs'!J123</f>
        <v>0</v>
      </c>
      <c r="K84" s="41">
        <f>'Licensed FTEs'!K123</f>
        <v>0</v>
      </c>
      <c r="L84" s="41">
        <f>'Licensed FTEs'!L123</f>
        <v>0</v>
      </c>
      <c r="M84" s="41">
        <f>'Licensed FTEs'!M123</f>
        <v>0</v>
      </c>
      <c r="N84" s="42">
        <f>'Classified FTEs'!G123</f>
        <v>0</v>
      </c>
    </row>
    <row r="85" spans="1:15" ht="15.75" thickBot="1" x14ac:dyDescent="0.3">
      <c r="A85" s="50" t="s">
        <v>306</v>
      </c>
      <c r="B85" s="45" t="s">
        <v>307</v>
      </c>
      <c r="C85" s="49">
        <f>'Licensed FTEs'!C124</f>
        <v>0</v>
      </c>
      <c r="D85" s="46">
        <f>'Licensed FTEs'!D124</f>
        <v>0</v>
      </c>
      <c r="E85" s="46">
        <f>'Licensed FTEs'!E124</f>
        <v>3</v>
      </c>
      <c r="F85" s="46">
        <f>'Licensed FTEs'!F124</f>
        <v>16</v>
      </c>
      <c r="G85" s="46">
        <f>'Licensed FTEs'!G124</f>
        <v>7.7</v>
      </c>
      <c r="H85" s="47">
        <f>'Licensed FTEs'!H124</f>
        <v>1.5</v>
      </c>
      <c r="I85" s="48">
        <f>'Classified FTEs'!C124</f>
        <v>8</v>
      </c>
      <c r="J85" s="47">
        <f>'Licensed FTEs'!I124+'Licensed FTEs'!J124</f>
        <v>0</v>
      </c>
      <c r="K85" s="46">
        <f>'Licensed FTEs'!K124</f>
        <v>0</v>
      </c>
      <c r="L85" s="46">
        <f>'Licensed FTEs'!L124</f>
        <v>0</v>
      </c>
      <c r="M85" s="46">
        <f>'Licensed FTEs'!M124</f>
        <v>0.5</v>
      </c>
      <c r="N85" s="47">
        <f>'Classified FTEs'!G124</f>
        <v>0</v>
      </c>
    </row>
    <row r="86" spans="1:15" s="59" customFormat="1" ht="13.5" thickBot="1" x14ac:dyDescent="0.25">
      <c r="A86" s="54"/>
      <c r="B86" s="55" t="s">
        <v>60</v>
      </c>
      <c r="C86" s="56">
        <f>SUM(C10:C85)</f>
        <v>0</v>
      </c>
      <c r="D86" s="57">
        <f t="shared" ref="D86:N86" si="0">SUM(D10:D85)</f>
        <v>0</v>
      </c>
      <c r="E86" s="57">
        <f t="shared" si="0"/>
        <v>93.02</v>
      </c>
      <c r="F86" s="57">
        <f t="shared" si="0"/>
        <v>876.12</v>
      </c>
      <c r="G86" s="57">
        <f t="shared" si="0"/>
        <v>698.69999999999982</v>
      </c>
      <c r="H86" s="57">
        <f t="shared" si="0"/>
        <v>138.41000000000003</v>
      </c>
      <c r="I86" s="56">
        <f t="shared" si="0"/>
        <v>564.55000000000018</v>
      </c>
      <c r="J86" s="57">
        <f t="shared" si="0"/>
        <v>69.759999999999991</v>
      </c>
      <c r="K86" s="56">
        <f t="shared" si="0"/>
        <v>5.53</v>
      </c>
      <c r="L86" s="57">
        <f t="shared" si="0"/>
        <v>30.450000000000003</v>
      </c>
      <c r="M86" s="57">
        <f t="shared" si="0"/>
        <v>20.47</v>
      </c>
      <c r="N86" s="58">
        <f t="shared" si="0"/>
        <v>7.8100000000000005</v>
      </c>
    </row>
    <row r="87" spans="1:15" x14ac:dyDescent="0.2">
      <c r="A87" s="60"/>
    </row>
  </sheetData>
  <sortState ref="B7:O64">
    <sortCondition ref="B7:B64"/>
  </sortState>
  <mergeCells count="18">
    <mergeCell ref="E6:E7"/>
    <mergeCell ref="F6:F7"/>
    <mergeCell ref="G6:G7"/>
    <mergeCell ref="H6:H7"/>
    <mergeCell ref="B1:N1"/>
    <mergeCell ref="B2:N2"/>
    <mergeCell ref="B3:N3"/>
    <mergeCell ref="B4:B8"/>
    <mergeCell ref="C4:J4"/>
    <mergeCell ref="K4:N4"/>
    <mergeCell ref="C5:H5"/>
    <mergeCell ref="I5:I7"/>
    <mergeCell ref="J5:J7"/>
    <mergeCell ref="K5:K7"/>
    <mergeCell ref="L5:L7"/>
    <mergeCell ref="M5:M7"/>
    <mergeCell ref="N5:N7"/>
    <mergeCell ref="C6:D6"/>
  </mergeCells>
  <printOptions horizontalCentered="1" verticalCentered="1"/>
  <pageMargins left="0.25" right="0.25" top="0.42" bottom="0.57999999999999996" header="0.3" footer="0.3"/>
  <pageSetup scale="40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9"/>
  <sheetViews>
    <sheetView zoomScale="80" zoomScaleNormal="80" workbookViewId="0">
      <pane xSplit="2" ySplit="9" topLeftCell="C40" activePane="bottomRight" state="frozen"/>
      <selection activeCell="F45" sqref="F45"/>
      <selection pane="topRight" activeCell="F45" sqref="F45"/>
      <selection pane="bottomLeft" activeCell="F45" sqref="F45"/>
      <selection pane="bottomRight" activeCell="E53" sqref="E53"/>
    </sheetView>
  </sheetViews>
  <sheetFormatPr defaultColWidth="9.140625" defaultRowHeight="12.75" x14ac:dyDescent="0.2"/>
  <cols>
    <col min="1" max="1" width="3" style="27" bestFit="1" customWidth="1"/>
    <col min="2" max="2" width="15.28515625" style="27" customWidth="1"/>
    <col min="3" max="4" width="12.28515625" style="27" customWidth="1"/>
    <col min="5" max="5" width="14.140625" style="27" customWidth="1"/>
    <col min="6" max="6" width="14.28515625" style="27" customWidth="1"/>
    <col min="7" max="7" width="15.7109375" style="27" customWidth="1"/>
    <col min="8" max="8" width="13" style="27" customWidth="1"/>
    <col min="9" max="9" width="14.42578125" style="27" customWidth="1"/>
    <col min="10" max="10" width="15" style="27" customWidth="1"/>
    <col min="11" max="11" width="13.28515625" style="27" customWidth="1"/>
    <col min="12" max="12" width="13.7109375" style="27" customWidth="1"/>
    <col min="13" max="13" width="18.140625" style="59" customWidth="1"/>
    <col min="14" max="14" width="9.7109375" style="27" bestFit="1" customWidth="1"/>
    <col min="15" max="16384" width="9.140625" style="27"/>
  </cols>
  <sheetData>
    <row r="1" spans="1:14" ht="18.75" x14ac:dyDescent="0.3">
      <c r="A1" s="27" t="s">
        <v>308</v>
      </c>
      <c r="B1" s="155" t="s">
        <v>259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61"/>
    </row>
    <row r="2" spans="1:14" ht="18.75" x14ac:dyDescent="0.3">
      <c r="B2" s="155" t="s">
        <v>260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62"/>
    </row>
    <row r="3" spans="1:14" ht="19.5" thickBot="1" x14ac:dyDescent="0.35">
      <c r="B3" s="171" t="s">
        <v>291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61"/>
    </row>
    <row r="4" spans="1:14" ht="16.5" customHeight="1" thickBot="1" x14ac:dyDescent="0.3">
      <c r="B4" s="166" t="s">
        <v>0</v>
      </c>
      <c r="C4" s="160" t="s">
        <v>2</v>
      </c>
      <c r="D4" s="159"/>
      <c r="E4" s="159"/>
      <c r="F4" s="159"/>
      <c r="G4" s="159"/>
      <c r="H4" s="159"/>
      <c r="I4" s="159"/>
      <c r="J4" s="159"/>
      <c r="K4" s="159"/>
      <c r="L4" s="163"/>
      <c r="M4" s="174" t="s">
        <v>62</v>
      </c>
      <c r="N4" s="4"/>
    </row>
    <row r="5" spans="1:14" ht="15" customHeight="1" x14ac:dyDescent="0.2">
      <c r="B5" s="172"/>
      <c r="C5" s="166" t="s">
        <v>63</v>
      </c>
      <c r="D5" s="177"/>
      <c r="E5" s="153" t="s">
        <v>127</v>
      </c>
      <c r="F5" s="153" t="s">
        <v>64</v>
      </c>
      <c r="G5" s="153" t="s">
        <v>128</v>
      </c>
      <c r="H5" s="182" t="s">
        <v>129</v>
      </c>
      <c r="I5" s="183"/>
      <c r="J5" s="183"/>
      <c r="K5" s="184"/>
      <c r="L5" s="153" t="s">
        <v>130</v>
      </c>
      <c r="M5" s="175"/>
      <c r="N5" s="4"/>
    </row>
    <row r="6" spans="1:14" ht="13.5" customHeight="1" thickBot="1" x14ac:dyDescent="0.25">
      <c r="B6" s="172"/>
      <c r="C6" s="178"/>
      <c r="D6" s="179"/>
      <c r="E6" s="154"/>
      <c r="F6" s="169"/>
      <c r="G6" s="169"/>
      <c r="H6" s="185"/>
      <c r="I6" s="186"/>
      <c r="J6" s="186"/>
      <c r="K6" s="187"/>
      <c r="L6" s="154"/>
      <c r="M6" s="175"/>
      <c r="N6" s="4"/>
    </row>
    <row r="7" spans="1:14" ht="57" customHeight="1" thickBot="1" x14ac:dyDescent="0.3">
      <c r="B7" s="172"/>
      <c r="C7" s="180"/>
      <c r="D7" s="181"/>
      <c r="E7" s="168"/>
      <c r="F7" s="170"/>
      <c r="G7" s="170"/>
      <c r="H7" s="64" t="s">
        <v>258</v>
      </c>
      <c r="I7" s="20" t="s">
        <v>132</v>
      </c>
      <c r="J7" s="64" t="s">
        <v>133</v>
      </c>
      <c r="K7" s="19" t="s">
        <v>131</v>
      </c>
      <c r="L7" s="168"/>
      <c r="M7" s="175"/>
      <c r="N7" s="4"/>
    </row>
    <row r="8" spans="1:14" ht="43.5" customHeight="1" thickBot="1" x14ac:dyDescent="0.3">
      <c r="B8" s="173"/>
      <c r="C8" s="2" t="s">
        <v>16</v>
      </c>
      <c r="D8" s="65" t="s">
        <v>17</v>
      </c>
      <c r="E8" s="65" t="s">
        <v>17</v>
      </c>
      <c r="F8" s="2" t="s">
        <v>16</v>
      </c>
      <c r="G8" s="65" t="s">
        <v>17</v>
      </c>
      <c r="H8" s="2" t="s">
        <v>16</v>
      </c>
      <c r="I8" s="65" t="s">
        <v>17</v>
      </c>
      <c r="J8" s="65" t="s">
        <v>17</v>
      </c>
      <c r="K8" s="65" t="s">
        <v>17</v>
      </c>
      <c r="L8" s="65" t="s">
        <v>17</v>
      </c>
      <c r="M8" s="176"/>
      <c r="N8" s="4"/>
    </row>
    <row r="9" spans="1:14" ht="13.5" thickBot="1" x14ac:dyDescent="0.25">
      <c r="B9" s="7" t="s">
        <v>18</v>
      </c>
      <c r="C9" s="66"/>
      <c r="D9" s="67"/>
      <c r="E9" s="67"/>
      <c r="F9" s="67"/>
      <c r="G9" s="67"/>
      <c r="H9" s="67"/>
      <c r="I9" s="67"/>
      <c r="J9" s="67"/>
      <c r="K9" s="67"/>
      <c r="L9" s="68"/>
      <c r="M9" s="55"/>
    </row>
    <row r="10" spans="1:14" x14ac:dyDescent="0.2">
      <c r="A10" s="69">
        <v>1</v>
      </c>
      <c r="B10" s="5" t="s">
        <v>19</v>
      </c>
      <c r="C10" s="70">
        <f>'Licensed FTEs'!N7</f>
        <v>22</v>
      </c>
      <c r="D10" s="71">
        <f>'Classified FTEs'!H7+'Classified FTEs'!K7</f>
        <v>1</v>
      </c>
      <c r="E10" s="71">
        <f>'Classified FTEs'!I7+'Classified FTEs'!L7+'Classified FTEs'!M7+'Classified FTEs'!N7+'Classified FTEs'!O7</f>
        <v>98.210000000000008</v>
      </c>
      <c r="F10" s="71">
        <f>'Licensed FTEs'!O7</f>
        <v>113.8</v>
      </c>
      <c r="G10" s="71">
        <f>'Classified FTEs'!E7+'Classified FTEs'!F7+'Classified FTEs'!J7</f>
        <v>274.70999999999998</v>
      </c>
      <c r="H10" s="71">
        <f>'Licensed FTEs'!P7</f>
        <v>95.11</v>
      </c>
      <c r="I10" s="71">
        <f>'Classified FTEs'!V7</f>
        <v>4</v>
      </c>
      <c r="J10" s="71">
        <f>'Classified FTEs'!AD7</f>
        <v>5</v>
      </c>
      <c r="K10" s="71">
        <f>'Classified FTEs'!D7</f>
        <v>0</v>
      </c>
      <c r="L10" s="72">
        <f>'Classified FTEs'!T7+'Classified FTEs'!U7+'Classified FTEs'!W7+'Classified FTEs'!X7+'Classified FTEs'!Y7+'Classified FTEs'!AC7+'Classified FTEs'!AE7+'Classified FTEs'!AF7+'Classified FTEs'!AL7</f>
        <v>1005.94</v>
      </c>
      <c r="M10" s="73">
        <f>SUM(C10:L10)+SUM('instruction-districts'!C10:N10)</f>
        <v>5547.87</v>
      </c>
    </row>
    <row r="11" spans="1:14" x14ac:dyDescent="0.2">
      <c r="A11" s="74">
        <v>2</v>
      </c>
      <c r="B11" s="5" t="s">
        <v>20</v>
      </c>
      <c r="C11" s="75">
        <f>'Licensed FTEs'!N8</f>
        <v>3.25</v>
      </c>
      <c r="D11" s="76">
        <f>'Classified FTEs'!H8+'Classified FTEs'!K8</f>
        <v>0</v>
      </c>
      <c r="E11" s="76">
        <f>'Classified FTEs'!I8+'Classified FTEs'!L8+'Classified FTEs'!M8+'Classified FTEs'!N8+'Classified FTEs'!O8</f>
        <v>1.75</v>
      </c>
      <c r="F11" s="76">
        <f>'Licensed FTEs'!O8</f>
        <v>3.75</v>
      </c>
      <c r="G11" s="76">
        <f>'Classified FTEs'!E8+'Classified FTEs'!F8+'Classified FTEs'!J8</f>
        <v>6.3</v>
      </c>
      <c r="H11" s="76">
        <f>'Licensed FTEs'!P8</f>
        <v>1</v>
      </c>
      <c r="I11" s="76">
        <f>'Classified FTEs'!V8</f>
        <v>0</v>
      </c>
      <c r="J11" s="76">
        <f>'Classified FTEs'!AD8</f>
        <v>0</v>
      </c>
      <c r="K11" s="76">
        <f>'Classified FTEs'!D8</f>
        <v>0.2</v>
      </c>
      <c r="L11" s="77">
        <f>'Classified FTEs'!T8+'Classified FTEs'!U8+'Classified FTEs'!W8+'Classified FTEs'!X8+'Classified FTEs'!Y8+'Classified FTEs'!AC8+'Classified FTEs'!AE8+'Classified FTEs'!AF8+'Classified FTEs'!AL8</f>
        <v>24.72</v>
      </c>
      <c r="M11" s="73">
        <f>SUM(C11:L11)+SUM('instruction-districts'!C11:N11)</f>
        <v>157.46999999999997</v>
      </c>
    </row>
    <row r="12" spans="1:14" x14ac:dyDescent="0.2">
      <c r="A12" s="74">
        <v>3</v>
      </c>
      <c r="B12" s="5" t="s">
        <v>21</v>
      </c>
      <c r="C12" s="75">
        <f>'Licensed FTEs'!N9</f>
        <v>5</v>
      </c>
      <c r="D12" s="76">
        <f>'Classified FTEs'!H9+'Classified FTEs'!K9</f>
        <v>2</v>
      </c>
      <c r="E12" s="76">
        <f>'Classified FTEs'!I9+'Classified FTEs'!L9+'Classified FTEs'!M9+'Classified FTEs'!N9+'Classified FTEs'!O9</f>
        <v>14</v>
      </c>
      <c r="F12" s="76">
        <f>'Licensed FTEs'!O9</f>
        <v>25.3</v>
      </c>
      <c r="G12" s="76">
        <f>'Classified FTEs'!E9+'Classified FTEs'!F9+'Classified FTEs'!J9</f>
        <v>50</v>
      </c>
      <c r="H12" s="76">
        <f>'Licensed FTEs'!P9</f>
        <v>23.4</v>
      </c>
      <c r="I12" s="76">
        <f>'Classified FTEs'!V9</f>
        <v>1</v>
      </c>
      <c r="J12" s="76">
        <f>'Classified FTEs'!AD9</f>
        <v>1</v>
      </c>
      <c r="K12" s="76">
        <f>'Classified FTEs'!D9</f>
        <v>5</v>
      </c>
      <c r="L12" s="77">
        <f>'Classified FTEs'!T9+'Classified FTEs'!U9+'Classified FTEs'!W9+'Classified FTEs'!X9+'Classified FTEs'!Y9+'Classified FTEs'!AC9+'Classified FTEs'!AE9+'Classified FTEs'!AF9+'Classified FTEs'!AL9</f>
        <v>372</v>
      </c>
      <c r="M12" s="73">
        <f>SUM(C12:L12)+SUM('instruction-districts'!C12:N12)</f>
        <v>1444.0600000000002</v>
      </c>
    </row>
    <row r="13" spans="1:14" x14ac:dyDescent="0.2">
      <c r="A13" s="74">
        <v>4</v>
      </c>
      <c r="B13" s="5" t="s">
        <v>22</v>
      </c>
      <c r="C13" s="75">
        <f>'Licensed FTEs'!N10</f>
        <v>3</v>
      </c>
      <c r="D13" s="76">
        <f>'Classified FTEs'!H10+'Classified FTEs'!K10</f>
        <v>1</v>
      </c>
      <c r="E13" s="76">
        <f>'Classified FTEs'!I10+'Classified FTEs'!L10+'Classified FTEs'!M10+'Classified FTEs'!N10+'Classified FTEs'!O10</f>
        <v>16.93</v>
      </c>
      <c r="F13" s="76">
        <f>'Licensed FTEs'!O10</f>
        <v>30.75</v>
      </c>
      <c r="G13" s="76">
        <f>'Classified FTEs'!E10+'Classified FTEs'!F10+'Classified FTEs'!J10</f>
        <v>42.74</v>
      </c>
      <c r="H13" s="76">
        <f>'Licensed FTEs'!P10</f>
        <v>37.03</v>
      </c>
      <c r="I13" s="76">
        <f>'Classified FTEs'!V10</f>
        <v>3.66</v>
      </c>
      <c r="J13" s="76">
        <f>'Classified FTEs'!AD10</f>
        <v>25</v>
      </c>
      <c r="K13" s="76">
        <f>'Classified FTEs'!D10</f>
        <v>2.5</v>
      </c>
      <c r="L13" s="77">
        <f>'Classified FTEs'!T10+'Classified FTEs'!U10+'Classified FTEs'!W10+'Classified FTEs'!X10+'Classified FTEs'!Y10+'Classified FTEs'!AC10+'Classified FTEs'!AE10+'Classified FTEs'!AF10+'Classified FTEs'!AL10</f>
        <v>260.12</v>
      </c>
      <c r="M13" s="73">
        <f>SUM(C13:L13)+SUM('instruction-districts'!C13:N13)</f>
        <v>1491.69</v>
      </c>
    </row>
    <row r="14" spans="1:14" x14ac:dyDescent="0.2">
      <c r="A14" s="74">
        <v>42</v>
      </c>
      <c r="B14" s="6" t="s">
        <v>290</v>
      </c>
      <c r="C14" s="75">
        <f>'Licensed FTEs'!N11</f>
        <v>21</v>
      </c>
      <c r="D14" s="76">
        <f>'Classified FTEs'!H11+'Classified FTEs'!K11</f>
        <v>6</v>
      </c>
      <c r="E14" s="76">
        <f>'Classified FTEs'!I11+'Classified FTEs'!L11+'Classified FTEs'!M11+'Classified FTEs'!N11+'Classified FTEs'!O11</f>
        <v>64</v>
      </c>
      <c r="F14" s="76">
        <f>'Licensed FTEs'!O11</f>
        <v>83</v>
      </c>
      <c r="G14" s="76">
        <f>'Classified FTEs'!E11+'Classified FTEs'!F11+'Classified FTEs'!J11</f>
        <v>107.5</v>
      </c>
      <c r="H14" s="76">
        <f>'Licensed FTEs'!P11</f>
        <v>79.53</v>
      </c>
      <c r="I14" s="76">
        <f>'Classified FTEs'!V11</f>
        <v>1</v>
      </c>
      <c r="J14" s="76">
        <f>'Classified FTEs'!AD11</f>
        <v>1</v>
      </c>
      <c r="K14" s="76">
        <f>'Classified FTEs'!D11</f>
        <v>18.399999999999999</v>
      </c>
      <c r="L14" s="77">
        <f>'Classified FTEs'!T11+'Classified FTEs'!U11+'Classified FTEs'!W11+'Classified FTEs'!X11+'Classified FTEs'!Y11+'Classified FTEs'!AC11+'Classified FTEs'!AE11+'Classified FTEs'!AF11+'Classified FTEs'!AL11</f>
        <v>476.31999999999994</v>
      </c>
      <c r="M14" s="73">
        <f>SUM(C14:L14)+SUM('instruction-districts'!C14:N14)</f>
        <v>2626.9100000000003</v>
      </c>
    </row>
    <row r="15" spans="1:14" ht="13.5" thickBot="1" x14ac:dyDescent="0.25">
      <c r="A15" s="74">
        <v>5</v>
      </c>
      <c r="B15" s="8" t="s">
        <v>23</v>
      </c>
      <c r="C15" s="78">
        <f>'Licensed FTEs'!N12</f>
        <v>5.48</v>
      </c>
      <c r="D15" s="79">
        <f>'Classified FTEs'!H12+'Classified FTEs'!K12</f>
        <v>1</v>
      </c>
      <c r="E15" s="79">
        <f>'Classified FTEs'!I12+'Classified FTEs'!L12+'Classified FTEs'!M12+'Classified FTEs'!N12+'Classified FTEs'!O12</f>
        <v>5.2900000000000009</v>
      </c>
      <c r="F15" s="79">
        <f>'Licensed FTEs'!O12</f>
        <v>10.41</v>
      </c>
      <c r="G15" s="79">
        <f>'Classified FTEs'!E12+'Classified FTEs'!F12+'Classified FTEs'!J12</f>
        <v>18.509999999999998</v>
      </c>
      <c r="H15" s="79">
        <f>'Licensed FTEs'!P12</f>
        <v>3.8</v>
      </c>
      <c r="I15" s="79">
        <f>'Classified FTEs'!V12</f>
        <v>0</v>
      </c>
      <c r="J15" s="79">
        <f>'Classified FTEs'!AD12</f>
        <v>0.5</v>
      </c>
      <c r="K15" s="79">
        <f>'Classified FTEs'!D12</f>
        <v>0</v>
      </c>
      <c r="L15" s="80">
        <f>'Classified FTEs'!T12+'Classified FTEs'!U12+'Classified FTEs'!W12+'Classified FTEs'!X12+'Classified FTEs'!Y12+'Classified FTEs'!AC12+'Classified FTEs'!AE12+'Classified FTEs'!AF12+'Classified FTEs'!AL12</f>
        <v>79.300000000000011</v>
      </c>
      <c r="M15" s="81">
        <f>SUM(C15:L15)+SUM('instruction-districts'!C15:N15)</f>
        <v>403.98000000000008</v>
      </c>
    </row>
    <row r="16" spans="1:14" x14ac:dyDescent="0.2">
      <c r="A16" s="69">
        <v>6</v>
      </c>
      <c r="B16" s="5" t="s">
        <v>24</v>
      </c>
      <c r="C16" s="75">
        <f>'Licensed FTEs'!N13</f>
        <v>0.8</v>
      </c>
      <c r="D16" s="76">
        <f>'Classified FTEs'!H13+'Classified FTEs'!K13</f>
        <v>0.85</v>
      </c>
      <c r="E16" s="76">
        <f>'Classified FTEs'!I13+'Classified FTEs'!L13+'Classified FTEs'!M13+'Classified FTEs'!N13+'Classified FTEs'!O13</f>
        <v>1</v>
      </c>
      <c r="F16" s="76">
        <f>'Licensed FTEs'!O13</f>
        <v>0.86</v>
      </c>
      <c r="G16" s="76">
        <f>'Classified FTEs'!E13+'Classified FTEs'!F13+'Classified FTEs'!J13</f>
        <v>1.5</v>
      </c>
      <c r="H16" s="76">
        <f>'Licensed FTEs'!P13</f>
        <v>0</v>
      </c>
      <c r="I16" s="76">
        <f>'Classified FTEs'!V13</f>
        <v>0</v>
      </c>
      <c r="J16" s="76">
        <f>'Classified FTEs'!AD13</f>
        <v>0.13</v>
      </c>
      <c r="K16" s="76">
        <f>'Classified FTEs'!D13</f>
        <v>0</v>
      </c>
      <c r="L16" s="77">
        <f>'Classified FTEs'!T13+'Classified FTEs'!U13+'Classified FTEs'!W13+'Classified FTEs'!X13+'Classified FTEs'!Y13+'Classified FTEs'!AC13+'Classified FTEs'!AE13+'Classified FTEs'!AF13+'Classified FTEs'!AL13</f>
        <v>8.67</v>
      </c>
      <c r="M16" s="73">
        <f>SUM(C16:L16)+SUM('instruction-districts'!C16:N16)</f>
        <v>38.480000000000004</v>
      </c>
    </row>
    <row r="17" spans="1:13" x14ac:dyDescent="0.2">
      <c r="A17" s="74">
        <v>7</v>
      </c>
      <c r="B17" s="5" t="s">
        <v>25</v>
      </c>
      <c r="C17" s="75">
        <f>'Licensed FTEs'!N14</f>
        <v>20</v>
      </c>
      <c r="D17" s="76">
        <f>'Classified FTEs'!H14+'Classified FTEs'!K14</f>
        <v>13</v>
      </c>
      <c r="E17" s="76">
        <f>'Classified FTEs'!I14+'Classified FTEs'!L14+'Classified FTEs'!M14+'Classified FTEs'!N14+'Classified FTEs'!O14</f>
        <v>70.110000000000014</v>
      </c>
      <c r="F17" s="76">
        <f>'Licensed FTEs'!O14</f>
        <v>166.7</v>
      </c>
      <c r="G17" s="76">
        <f>'Classified FTEs'!E14+'Classified FTEs'!F14+'Classified FTEs'!J14</f>
        <v>224.63</v>
      </c>
      <c r="H17" s="76">
        <f>'Licensed FTEs'!P14</f>
        <v>114.16</v>
      </c>
      <c r="I17" s="76">
        <f>'Classified FTEs'!V14</f>
        <v>1</v>
      </c>
      <c r="J17" s="76">
        <f>'Classified FTEs'!AD14</f>
        <v>4</v>
      </c>
      <c r="K17" s="76">
        <f>'Classified FTEs'!D14</f>
        <v>14.93</v>
      </c>
      <c r="L17" s="77">
        <f>'Classified FTEs'!T14+'Classified FTEs'!U14+'Classified FTEs'!W14+'Classified FTEs'!X14+'Classified FTEs'!Y14+'Classified FTEs'!AC14+'Classified FTEs'!AE14+'Classified FTEs'!AF14+'Classified FTEs'!AL14</f>
        <v>1031.51</v>
      </c>
      <c r="M17" s="73">
        <f>SUM(C17:L17)+SUM('instruction-districts'!C17:N17)</f>
        <v>5809.6900000000005</v>
      </c>
    </row>
    <row r="18" spans="1:13" x14ac:dyDescent="0.2">
      <c r="A18" s="74">
        <v>8</v>
      </c>
      <c r="B18" s="5" t="s">
        <v>26</v>
      </c>
      <c r="C18" s="75">
        <f>'Licensed FTEs'!N15</f>
        <v>2</v>
      </c>
      <c r="D18" s="76">
        <f>'Classified FTEs'!H15+'Classified FTEs'!K15</f>
        <v>1</v>
      </c>
      <c r="E18" s="76">
        <f>'Classified FTEs'!I15+'Classified FTEs'!L15+'Classified FTEs'!M15+'Classified FTEs'!N15+'Classified FTEs'!O15</f>
        <v>10</v>
      </c>
      <c r="F18" s="76">
        <f>'Licensed FTEs'!O15</f>
        <v>13.85</v>
      </c>
      <c r="G18" s="76">
        <f>'Classified FTEs'!E15+'Classified FTEs'!F15+'Classified FTEs'!J15</f>
        <v>20.73</v>
      </c>
      <c r="H18" s="76">
        <f>'Licensed FTEs'!P15</f>
        <v>2.5</v>
      </c>
      <c r="I18" s="76">
        <f>'Classified FTEs'!V15</f>
        <v>1</v>
      </c>
      <c r="J18" s="76">
        <f>'Classified FTEs'!AD15</f>
        <v>1</v>
      </c>
      <c r="K18" s="76">
        <f>'Classified FTEs'!D15</f>
        <v>0.5</v>
      </c>
      <c r="L18" s="77">
        <f>'Classified FTEs'!T15+'Classified FTEs'!U15+'Classified FTEs'!W15+'Classified FTEs'!X15+'Classified FTEs'!Y15+'Classified FTEs'!AC15+'Classified FTEs'!AE15+'Classified FTEs'!AF15+'Classified FTEs'!AL15</f>
        <v>89.12</v>
      </c>
      <c r="M18" s="73">
        <f>SUM(C18:L18)+SUM('instruction-districts'!C18:N18)</f>
        <v>475.43999999999988</v>
      </c>
    </row>
    <row r="19" spans="1:13" x14ac:dyDescent="0.2">
      <c r="A19" s="74">
        <v>9</v>
      </c>
      <c r="B19" s="5" t="s">
        <v>27</v>
      </c>
      <c r="C19" s="75">
        <f>'Licensed FTEs'!N16</f>
        <v>4</v>
      </c>
      <c r="D19" s="76">
        <f>'Classified FTEs'!H16+'Classified FTEs'!K16</f>
        <v>1</v>
      </c>
      <c r="E19" s="76">
        <f>'Classified FTEs'!I16+'Classified FTEs'!L16+'Classified FTEs'!M16+'Classified FTEs'!N16+'Classified FTEs'!O16</f>
        <v>3</v>
      </c>
      <c r="F19" s="76">
        <f>'Licensed FTEs'!O16</f>
        <v>9.35</v>
      </c>
      <c r="G19" s="76">
        <f>'Classified FTEs'!E16+'Classified FTEs'!F16+'Classified FTEs'!J16</f>
        <v>11</v>
      </c>
      <c r="H19" s="76">
        <f>'Licensed FTEs'!P16</f>
        <v>2</v>
      </c>
      <c r="I19" s="76">
        <f>'Classified FTEs'!V16</f>
        <v>1</v>
      </c>
      <c r="J19" s="76">
        <f>'Classified FTEs'!AD16</f>
        <v>1</v>
      </c>
      <c r="K19" s="76">
        <f>'Classified FTEs'!D16</f>
        <v>0</v>
      </c>
      <c r="L19" s="77">
        <f>'Classified FTEs'!T16+'Classified FTEs'!U16+'Classified FTEs'!W16+'Classified FTEs'!X16+'Classified FTEs'!Y16+'Classified FTEs'!AC16+'Classified FTEs'!AE16+'Classified FTEs'!AF16+'Classified FTEs'!AL16</f>
        <v>53.67</v>
      </c>
      <c r="M19" s="73">
        <f>SUM(C19:L19)+SUM('instruction-districts'!C19:N19)</f>
        <v>264.83</v>
      </c>
    </row>
    <row r="20" spans="1:13" ht="13.5" thickBot="1" x14ac:dyDescent="0.25">
      <c r="A20" s="74">
        <v>10</v>
      </c>
      <c r="B20" s="9" t="s">
        <v>28</v>
      </c>
      <c r="C20" s="75">
        <f>'Licensed FTEs'!N17</f>
        <v>0.54</v>
      </c>
      <c r="D20" s="76">
        <f>'Classified FTEs'!H17+'Classified FTEs'!K17</f>
        <v>1</v>
      </c>
      <c r="E20" s="76">
        <f>'Classified FTEs'!I17+'Classified FTEs'!L17+'Classified FTEs'!M17+'Classified FTEs'!N17+'Classified FTEs'!O17</f>
        <v>4.5</v>
      </c>
      <c r="F20" s="76">
        <f>'Licensed FTEs'!O17</f>
        <v>5.04</v>
      </c>
      <c r="G20" s="76">
        <f>'Classified FTEs'!E17+'Classified FTEs'!F17+'Classified FTEs'!J17</f>
        <v>5.7</v>
      </c>
      <c r="H20" s="76">
        <f>'Licensed FTEs'!P17</f>
        <v>1</v>
      </c>
      <c r="I20" s="76">
        <f>'Classified FTEs'!V17</f>
        <v>0</v>
      </c>
      <c r="J20" s="76">
        <f>'Classified FTEs'!AD17</f>
        <v>0</v>
      </c>
      <c r="K20" s="76">
        <f>'Classified FTEs'!D17</f>
        <v>0</v>
      </c>
      <c r="L20" s="77">
        <f>'Classified FTEs'!T17+'Classified FTEs'!U17+'Classified FTEs'!W17+'Classified FTEs'!X17+'Classified FTEs'!Y17+'Classified FTEs'!AC17+'Classified FTEs'!AE17+'Classified FTEs'!AF17+'Classified FTEs'!AL17</f>
        <v>19.600000000000001</v>
      </c>
      <c r="M20" s="81">
        <f>SUM(C20:L20)+SUM('instruction-districts'!C20:N20)</f>
        <v>129.69</v>
      </c>
    </row>
    <row r="21" spans="1:13" x14ac:dyDescent="0.2">
      <c r="A21" s="74">
        <v>11</v>
      </c>
      <c r="B21" s="5" t="s">
        <v>29</v>
      </c>
      <c r="C21" s="70">
        <f>'Licensed FTEs'!N18</f>
        <v>2</v>
      </c>
      <c r="D21" s="71">
        <f>'Classified FTEs'!H18+'Classified FTEs'!K18</f>
        <v>0.25</v>
      </c>
      <c r="E21" s="71">
        <f>'Classified FTEs'!I18+'Classified FTEs'!L18+'Classified FTEs'!M18+'Classified FTEs'!N18+'Classified FTEs'!O18</f>
        <v>4.25</v>
      </c>
      <c r="F21" s="71">
        <f>'Licensed FTEs'!O18</f>
        <v>6</v>
      </c>
      <c r="G21" s="71">
        <f>'Classified FTEs'!E18+'Classified FTEs'!F18+'Classified FTEs'!J18</f>
        <v>10</v>
      </c>
      <c r="H21" s="71">
        <f>'Licensed FTEs'!P18</f>
        <v>2</v>
      </c>
      <c r="I21" s="71">
        <f>'Classified FTEs'!V18</f>
        <v>1</v>
      </c>
      <c r="J21" s="71">
        <f>'Classified FTEs'!AD18</f>
        <v>1</v>
      </c>
      <c r="K21" s="71">
        <f>'Classified FTEs'!D18</f>
        <v>0</v>
      </c>
      <c r="L21" s="72">
        <f>'Classified FTEs'!T18+'Classified FTEs'!U18+'Classified FTEs'!W18+'Classified FTEs'!X18+'Classified FTEs'!Y18+'Classified FTEs'!AC18+'Classified FTEs'!AE18+'Classified FTEs'!AF18+'Classified FTEs'!AL18</f>
        <v>45.38</v>
      </c>
      <c r="M21" s="73">
        <f>SUM(C21:L21)+SUM('instruction-districts'!C21:N21)</f>
        <v>181.63</v>
      </c>
    </row>
    <row r="22" spans="1:13" x14ac:dyDescent="0.2">
      <c r="A22" s="74">
        <v>12</v>
      </c>
      <c r="B22" s="5" t="s">
        <v>30</v>
      </c>
      <c r="C22" s="75">
        <f>'Licensed FTEs'!N19</f>
        <v>40.299999999999997</v>
      </c>
      <c r="D22" s="76">
        <f>'Classified FTEs'!H19+'Classified FTEs'!K19</f>
        <v>1</v>
      </c>
      <c r="E22" s="76">
        <f>'Classified FTEs'!I19+'Classified FTEs'!L19+'Classified FTEs'!M19+'Classified FTEs'!N19+'Classified FTEs'!O19</f>
        <v>100.09</v>
      </c>
      <c r="F22" s="76">
        <f>'Licensed FTEs'!O19</f>
        <v>142.04</v>
      </c>
      <c r="G22" s="76">
        <f>'Classified FTEs'!E19+'Classified FTEs'!F19+'Classified FTEs'!J19</f>
        <v>281.95000000000005</v>
      </c>
      <c r="H22" s="76">
        <f>'Licensed FTEs'!P19</f>
        <v>149.81</v>
      </c>
      <c r="I22" s="76">
        <f>'Classified FTEs'!V19</f>
        <v>2</v>
      </c>
      <c r="J22" s="76">
        <f>'Classified FTEs'!AD19</f>
        <v>0</v>
      </c>
      <c r="K22" s="76">
        <f>'Classified FTEs'!D19</f>
        <v>21.17</v>
      </c>
      <c r="L22" s="77">
        <f>'Classified FTEs'!T19+'Classified FTEs'!U19+'Classified FTEs'!W19+'Classified FTEs'!X19+'Classified FTEs'!Y19+'Classified FTEs'!AC19+'Classified FTEs'!AE19+'Classified FTEs'!AF19+'Classified FTEs'!AL19</f>
        <v>1128.4099999999999</v>
      </c>
      <c r="M22" s="73">
        <f>SUM(C22:L22)+SUM('instruction-districts'!C22:N22)</f>
        <v>5940.5400000000009</v>
      </c>
    </row>
    <row r="23" spans="1:13" x14ac:dyDescent="0.2">
      <c r="A23" s="74">
        <v>13</v>
      </c>
      <c r="B23" s="5" t="s">
        <v>31</v>
      </c>
      <c r="C23" s="75">
        <f>'Licensed FTEs'!N20</f>
        <v>3</v>
      </c>
      <c r="D23" s="76">
        <f>'Classified FTEs'!H20+'Classified FTEs'!K20</f>
        <v>1</v>
      </c>
      <c r="E23" s="76">
        <f>'Classified FTEs'!I20+'Classified FTEs'!L20+'Classified FTEs'!M20+'Classified FTEs'!N20+'Classified FTEs'!O20</f>
        <v>14.4</v>
      </c>
      <c r="F23" s="76">
        <f>'Licensed FTEs'!O20</f>
        <v>18</v>
      </c>
      <c r="G23" s="76">
        <f>'Classified FTEs'!E20+'Classified FTEs'!F20+'Classified FTEs'!J20</f>
        <v>27.9</v>
      </c>
      <c r="H23" s="76">
        <f>'Licensed FTEs'!P20</f>
        <v>9.4700000000000006</v>
      </c>
      <c r="I23" s="76">
        <f>'Classified FTEs'!V20</f>
        <v>1</v>
      </c>
      <c r="J23" s="76">
        <f>'Classified FTEs'!AD20</f>
        <v>1</v>
      </c>
      <c r="K23" s="76">
        <f>'Classified FTEs'!D20</f>
        <v>2.8</v>
      </c>
      <c r="L23" s="77">
        <f>'Classified FTEs'!T20+'Classified FTEs'!U20+'Classified FTEs'!W20+'Classified FTEs'!X20+'Classified FTEs'!Y20+'Classified FTEs'!AC20+'Classified FTEs'!AE20+'Classified FTEs'!AF20+'Classified FTEs'!AL20</f>
        <v>148.6</v>
      </c>
      <c r="M23" s="73">
        <f>SUM(C23:L23)+SUM('instruction-districts'!C23:N23)</f>
        <v>890.52</v>
      </c>
    </row>
    <row r="24" spans="1:13" x14ac:dyDescent="0.2">
      <c r="A24" s="74">
        <v>14</v>
      </c>
      <c r="B24" s="5" t="s">
        <v>32</v>
      </c>
      <c r="C24" s="75">
        <f>'Licensed FTEs'!N21</f>
        <v>26.61</v>
      </c>
      <c r="D24" s="76">
        <f>'Classified FTEs'!H21+'Classified FTEs'!K21</f>
        <v>1</v>
      </c>
      <c r="E24" s="76">
        <f>'Classified FTEs'!I21+'Classified FTEs'!L21+'Classified FTEs'!M21+'Classified FTEs'!N21+'Classified FTEs'!O21</f>
        <v>31.71</v>
      </c>
      <c r="F24" s="76">
        <f>'Licensed FTEs'!O21</f>
        <v>93.31</v>
      </c>
      <c r="G24" s="76">
        <f>'Classified FTEs'!E21+'Classified FTEs'!F21+'Classified FTEs'!J21</f>
        <v>186.82</v>
      </c>
      <c r="H24" s="76">
        <f>'Licensed FTEs'!P21</f>
        <v>102.81</v>
      </c>
      <c r="I24" s="76">
        <f>'Classified FTEs'!V21</f>
        <v>1</v>
      </c>
      <c r="J24" s="76">
        <f>'Classified FTEs'!AD21</f>
        <v>1</v>
      </c>
      <c r="K24" s="76">
        <f>'Classified FTEs'!D21</f>
        <v>8</v>
      </c>
      <c r="L24" s="77">
        <f>'Classified FTEs'!T21+'Classified FTEs'!U21+'Classified FTEs'!W21+'Classified FTEs'!X21+'Classified FTEs'!Y21+'Classified FTEs'!AC21+'Classified FTEs'!AE21+'Classified FTEs'!AF21+'Classified FTEs'!AL21</f>
        <v>759.36</v>
      </c>
      <c r="M24" s="73">
        <f>SUM(C24:L24)+SUM('instruction-districts'!C24:N24)</f>
        <v>3957.2199999999993</v>
      </c>
    </row>
    <row r="25" spans="1:13" ht="13.5" thickBot="1" x14ac:dyDescent="0.25">
      <c r="A25" s="74">
        <v>15</v>
      </c>
      <c r="B25" s="9" t="s">
        <v>33</v>
      </c>
      <c r="C25" s="78">
        <f>'Licensed FTEs'!N22</f>
        <v>1.3</v>
      </c>
      <c r="D25" s="79">
        <f>'Classified FTEs'!H22+'Classified FTEs'!K22</f>
        <v>1</v>
      </c>
      <c r="E25" s="79">
        <f>'Classified FTEs'!I22+'Classified FTEs'!L22+'Classified FTEs'!M22+'Classified FTEs'!N22+'Classified FTEs'!O22</f>
        <v>1.9</v>
      </c>
      <c r="F25" s="79">
        <f>'Licensed FTEs'!O22</f>
        <v>6.2</v>
      </c>
      <c r="G25" s="79">
        <f>'Classified FTEs'!E22+'Classified FTEs'!F22+'Classified FTEs'!J22</f>
        <v>8.129999999999999</v>
      </c>
      <c r="H25" s="79">
        <f>'Licensed FTEs'!P22</f>
        <v>2</v>
      </c>
      <c r="I25" s="79">
        <f>'Classified FTEs'!V22</f>
        <v>0.5</v>
      </c>
      <c r="J25" s="79">
        <f>'Classified FTEs'!AD22</f>
        <v>5</v>
      </c>
      <c r="K25" s="79">
        <f>'Classified FTEs'!D22</f>
        <v>0.5</v>
      </c>
      <c r="L25" s="80">
        <f>'Classified FTEs'!T22+'Classified FTEs'!U22+'Classified FTEs'!W22+'Classified FTEs'!X22+'Classified FTEs'!Y22+'Classified FTEs'!AC22+'Classified FTEs'!AE22+'Classified FTEs'!AF22+'Classified FTEs'!AL22</f>
        <v>33.979999999999997</v>
      </c>
      <c r="M25" s="81">
        <f>SUM(C25:L25)+SUM('instruction-districts'!C25:N25)</f>
        <v>219.46</v>
      </c>
    </row>
    <row r="26" spans="1:13" x14ac:dyDescent="0.2">
      <c r="A26" s="74">
        <v>16</v>
      </c>
      <c r="B26" s="5" t="s">
        <v>34</v>
      </c>
      <c r="C26" s="70">
        <f>'Licensed FTEs'!N23</f>
        <v>1</v>
      </c>
      <c r="D26" s="71">
        <f>'Classified FTEs'!H23+'Classified FTEs'!K23</f>
        <v>1</v>
      </c>
      <c r="E26" s="71">
        <f>'Classified FTEs'!I23+'Classified FTEs'!L23+'Classified FTEs'!M23+'Classified FTEs'!N23+'Classified FTEs'!O23</f>
        <v>2.75</v>
      </c>
      <c r="F26" s="71">
        <f>'Licensed FTEs'!O23</f>
        <v>3.12</v>
      </c>
      <c r="G26" s="71">
        <f>'Classified FTEs'!E23+'Classified FTEs'!F23+'Classified FTEs'!J23</f>
        <v>6.81</v>
      </c>
      <c r="H26" s="71">
        <f>'Licensed FTEs'!P23</f>
        <v>1</v>
      </c>
      <c r="I26" s="71">
        <f>'Classified FTEs'!V23</f>
        <v>0.75</v>
      </c>
      <c r="J26" s="71">
        <f>'Classified FTEs'!AD23</f>
        <v>0.25</v>
      </c>
      <c r="K26" s="71">
        <f>'Classified FTEs'!D23</f>
        <v>0</v>
      </c>
      <c r="L26" s="72">
        <f>'Classified FTEs'!T23+'Classified FTEs'!U23+'Classified FTEs'!W23+'Classified FTEs'!X23+'Classified FTEs'!Y23+'Classified FTEs'!AC23+'Classified FTEs'!AE23+'Classified FTEs'!AF23+'Classified FTEs'!AL23</f>
        <v>23.34</v>
      </c>
      <c r="M26" s="73">
        <f>SUM(C26:L26)+SUM('instruction-districts'!C26:N26)</f>
        <v>150.86000000000001</v>
      </c>
    </row>
    <row r="27" spans="1:13" x14ac:dyDescent="0.2">
      <c r="A27" s="74">
        <v>39</v>
      </c>
      <c r="B27" s="5" t="s">
        <v>57</v>
      </c>
      <c r="C27" s="75">
        <f>'Licensed FTEs'!N24</f>
        <v>5</v>
      </c>
      <c r="D27" s="76">
        <f>'Classified FTEs'!H24+'Classified FTEs'!K24</f>
        <v>1</v>
      </c>
      <c r="E27" s="76">
        <f>'Classified FTEs'!I24+'Classified FTEs'!L24+'Classified FTEs'!M24+'Classified FTEs'!N24+'Classified FTEs'!O24</f>
        <v>10</v>
      </c>
      <c r="F27" s="76">
        <f>'Licensed FTEs'!O24</f>
        <v>12</v>
      </c>
      <c r="G27" s="76">
        <f>'Classified FTEs'!E24+'Classified FTEs'!F24+'Classified FTEs'!J24</f>
        <v>18</v>
      </c>
      <c r="H27" s="76">
        <f>'Licensed FTEs'!P24</f>
        <v>11.7</v>
      </c>
      <c r="I27" s="76">
        <f>'Classified FTEs'!V24</f>
        <v>0</v>
      </c>
      <c r="J27" s="76">
        <f>'Classified FTEs'!AD24</f>
        <v>1</v>
      </c>
      <c r="K27" s="76">
        <f>'Classified FTEs'!D24</f>
        <v>1</v>
      </c>
      <c r="L27" s="77">
        <f>'Classified FTEs'!T24+'Classified FTEs'!U24+'Classified FTEs'!W24+'Classified FTEs'!X24+'Classified FTEs'!Y24+'Classified FTEs'!AC24+'Classified FTEs'!AE24+'Classified FTEs'!AF24+'Classified FTEs'!AL24</f>
        <v>87.75</v>
      </c>
      <c r="M27" s="73">
        <f>SUM(C27:L27)+SUM('instruction-districts'!C27:N27)</f>
        <v>607.94999999999993</v>
      </c>
    </row>
    <row r="28" spans="1:13" x14ac:dyDescent="0.2">
      <c r="A28" s="74">
        <v>17</v>
      </c>
      <c r="B28" s="5" t="s">
        <v>35</v>
      </c>
      <c r="C28" s="75">
        <f>'Licensed FTEs'!N25</f>
        <v>2</v>
      </c>
      <c r="D28" s="76">
        <f>'Classified FTEs'!H25+'Classified FTEs'!K25</f>
        <v>1</v>
      </c>
      <c r="E28" s="76">
        <f>'Classified FTEs'!I25+'Classified FTEs'!L25+'Classified FTEs'!M25+'Classified FTEs'!N25+'Classified FTEs'!O25</f>
        <v>4.75</v>
      </c>
      <c r="F28" s="76">
        <f>'Licensed FTEs'!O25</f>
        <v>8.44</v>
      </c>
      <c r="G28" s="76">
        <f>'Classified FTEs'!E25+'Classified FTEs'!F25+'Classified FTEs'!J25</f>
        <v>9.3800000000000008</v>
      </c>
      <c r="H28" s="76">
        <f>'Licensed FTEs'!P25</f>
        <v>3</v>
      </c>
      <c r="I28" s="76">
        <f>'Classified FTEs'!V25</f>
        <v>1</v>
      </c>
      <c r="J28" s="76">
        <f>'Classified FTEs'!AD25</f>
        <v>1</v>
      </c>
      <c r="K28" s="76">
        <f>'Classified FTEs'!D25</f>
        <v>0.7</v>
      </c>
      <c r="L28" s="77">
        <f>'Classified FTEs'!T25+'Classified FTEs'!U25+'Classified FTEs'!W25+'Classified FTEs'!X25+'Classified FTEs'!Y25+'Classified FTEs'!AC25+'Classified FTEs'!AE25+'Classified FTEs'!AF25+'Classified FTEs'!AL25</f>
        <v>67.59</v>
      </c>
      <c r="M28" s="73">
        <f>SUM(C28:L28)+SUM('instruction-districts'!C28:N28)</f>
        <v>327.8</v>
      </c>
    </row>
    <row r="29" spans="1:13" x14ac:dyDescent="0.2">
      <c r="A29" s="74">
        <v>18</v>
      </c>
      <c r="B29" s="5" t="s">
        <v>36</v>
      </c>
      <c r="C29" s="75">
        <f>'Licensed FTEs'!N26</f>
        <v>1.5</v>
      </c>
      <c r="D29" s="76">
        <f>'Classified FTEs'!H26+'Classified FTEs'!K26</f>
        <v>1</v>
      </c>
      <c r="E29" s="76">
        <f>'Classified FTEs'!I26+'Classified FTEs'!L26+'Classified FTEs'!M26+'Classified FTEs'!N26+'Classified FTEs'!O26</f>
        <v>4.24</v>
      </c>
      <c r="F29" s="76">
        <f>'Licensed FTEs'!O26</f>
        <v>5.86</v>
      </c>
      <c r="G29" s="76">
        <f>'Classified FTEs'!E26+'Classified FTEs'!F26+'Classified FTEs'!J26</f>
        <v>7</v>
      </c>
      <c r="H29" s="76">
        <f>'Licensed FTEs'!P26</f>
        <v>1</v>
      </c>
      <c r="I29" s="76">
        <f>'Classified FTEs'!V26</f>
        <v>1</v>
      </c>
      <c r="J29" s="76">
        <f>'Classified FTEs'!AD26</f>
        <v>1</v>
      </c>
      <c r="K29" s="76">
        <f>'Classified FTEs'!D26</f>
        <v>0.45</v>
      </c>
      <c r="L29" s="77">
        <f>'Classified FTEs'!T26+'Classified FTEs'!U26+'Classified FTEs'!W26+'Classified FTEs'!X26+'Classified FTEs'!Y26+'Classified FTEs'!AC26+'Classified FTEs'!AE26+'Classified FTEs'!AF26+'Classified FTEs'!AL26</f>
        <v>34.6</v>
      </c>
      <c r="M29" s="73">
        <f>SUM(C29:L29)+SUM('instruction-districts'!C29:N29)</f>
        <v>210.45999999999998</v>
      </c>
    </row>
    <row r="30" spans="1:13" ht="13.5" thickBot="1" x14ac:dyDescent="0.25">
      <c r="A30" s="74">
        <v>40</v>
      </c>
      <c r="B30" s="5" t="s">
        <v>58</v>
      </c>
      <c r="C30" s="78">
        <f>'Licensed FTEs'!N27</f>
        <v>3.5</v>
      </c>
      <c r="D30" s="79">
        <f>'Classified FTEs'!H27+'Classified FTEs'!K27</f>
        <v>0</v>
      </c>
      <c r="E30" s="79">
        <f>'Classified FTEs'!I27+'Classified FTEs'!L27+'Classified FTEs'!M27+'Classified FTEs'!N27+'Classified FTEs'!O27</f>
        <v>3.5</v>
      </c>
      <c r="F30" s="79">
        <f>'Licensed FTEs'!O27</f>
        <v>14</v>
      </c>
      <c r="G30" s="79">
        <f>'Classified FTEs'!E27+'Classified FTEs'!F27+'Classified FTEs'!J27</f>
        <v>25.75</v>
      </c>
      <c r="H30" s="79">
        <f>'Licensed FTEs'!P27</f>
        <v>14.2</v>
      </c>
      <c r="I30" s="79">
        <f>'Classified FTEs'!V27</f>
        <v>0</v>
      </c>
      <c r="J30" s="79">
        <f>'Classified FTEs'!AD27</f>
        <v>0</v>
      </c>
      <c r="K30" s="79">
        <f>'Classified FTEs'!D27</f>
        <v>2.5</v>
      </c>
      <c r="L30" s="80">
        <f>'Classified FTEs'!T27+'Classified FTEs'!U27+'Classified FTEs'!W27+'Classified FTEs'!X27+'Classified FTEs'!Y27+'Classified FTEs'!AC27+'Classified FTEs'!AE27+'Classified FTEs'!AF27+'Classified FTEs'!AL27</f>
        <v>97.75</v>
      </c>
      <c r="M30" s="81">
        <f>SUM(C30:L30)+SUM('instruction-districts'!C30:N30)</f>
        <v>596.95000000000005</v>
      </c>
    </row>
    <row r="31" spans="1:13" x14ac:dyDescent="0.2">
      <c r="A31" s="74">
        <v>19</v>
      </c>
      <c r="B31" s="10" t="s">
        <v>37</v>
      </c>
      <c r="C31" s="70">
        <f>'Licensed FTEs'!N28</f>
        <v>12</v>
      </c>
      <c r="D31" s="71">
        <f>'Classified FTEs'!H28+'Classified FTEs'!K28</f>
        <v>1</v>
      </c>
      <c r="E31" s="71">
        <f>'Classified FTEs'!I28+'Classified FTEs'!L28+'Classified FTEs'!M28+'Classified FTEs'!N28+'Classified FTEs'!O28</f>
        <v>24.51</v>
      </c>
      <c r="F31" s="71">
        <f>'Licensed FTEs'!O28</f>
        <v>57</v>
      </c>
      <c r="G31" s="71">
        <f>'Classified FTEs'!E28+'Classified FTEs'!F28+'Classified FTEs'!J28</f>
        <v>115.26</v>
      </c>
      <c r="H31" s="71">
        <f>'Licensed FTEs'!P28</f>
        <v>70.069999999999993</v>
      </c>
      <c r="I31" s="71">
        <f>'Classified FTEs'!V28</f>
        <v>2</v>
      </c>
      <c r="J31" s="71">
        <f>'Classified FTEs'!AD28</f>
        <v>1.6</v>
      </c>
      <c r="K31" s="71">
        <f>'Classified FTEs'!D28</f>
        <v>0</v>
      </c>
      <c r="L31" s="72">
        <f>'Classified FTEs'!T28+'Classified FTEs'!U28+'Classified FTEs'!W28+'Classified FTEs'!X28+'Classified FTEs'!Y28+'Classified FTEs'!AC28+'Classified FTEs'!AE28+'Classified FTEs'!AF28+'Classified FTEs'!AL28</f>
        <v>533.17000000000007</v>
      </c>
      <c r="M31" s="73">
        <f>SUM(C31:L31)+SUM('instruction-districts'!C31:N31)</f>
        <v>2650.1</v>
      </c>
    </row>
    <row r="32" spans="1:13" x14ac:dyDescent="0.2">
      <c r="A32" s="74">
        <v>20</v>
      </c>
      <c r="B32" s="6" t="s">
        <v>38</v>
      </c>
      <c r="C32" s="75">
        <f>'Licensed FTEs'!N29</f>
        <v>2</v>
      </c>
      <c r="D32" s="76">
        <f>'Classified FTEs'!H29+'Classified FTEs'!K29</f>
        <v>1</v>
      </c>
      <c r="E32" s="76">
        <f>'Classified FTEs'!I29+'Classified FTEs'!L29+'Classified FTEs'!M29+'Classified FTEs'!N29+'Classified FTEs'!O29</f>
        <v>2</v>
      </c>
      <c r="F32" s="76">
        <f>'Licensed FTEs'!O29</f>
        <v>7</v>
      </c>
      <c r="G32" s="76">
        <f>'Classified FTEs'!E29+'Classified FTEs'!F29+'Classified FTEs'!J29</f>
        <v>7.71</v>
      </c>
      <c r="H32" s="76">
        <f>'Licensed FTEs'!P29</f>
        <v>2</v>
      </c>
      <c r="I32" s="76">
        <f>'Classified FTEs'!V29</f>
        <v>0</v>
      </c>
      <c r="J32" s="76">
        <f>'Classified FTEs'!AD29</f>
        <v>1</v>
      </c>
      <c r="K32" s="76">
        <f>'Classified FTEs'!D29</f>
        <v>0</v>
      </c>
      <c r="L32" s="77">
        <f>'Classified FTEs'!T29+'Classified FTEs'!U29+'Classified FTEs'!W29+'Classified FTEs'!X29+'Classified FTEs'!Y29+'Classified FTEs'!AC29+'Classified FTEs'!AE29+'Classified FTEs'!AF29+'Classified FTEs'!AL29</f>
        <v>42.41</v>
      </c>
      <c r="M32" s="73">
        <f>SUM(C32:L32)+SUM('instruction-districts'!C32:N32)</f>
        <v>254.08999999999997</v>
      </c>
    </row>
    <row r="33" spans="1:13" x14ac:dyDescent="0.2">
      <c r="A33" s="74">
        <v>21</v>
      </c>
      <c r="B33" s="6" t="s">
        <v>39</v>
      </c>
      <c r="C33" s="75">
        <f>'Licensed FTEs'!N30</f>
        <v>0.83</v>
      </c>
      <c r="D33" s="76">
        <f>'Classified FTEs'!H30+'Classified FTEs'!K30</f>
        <v>1</v>
      </c>
      <c r="E33" s="76">
        <f>'Classified FTEs'!I30+'Classified FTEs'!L30+'Classified FTEs'!M30+'Classified FTEs'!N30+'Classified FTEs'!O30</f>
        <v>1</v>
      </c>
      <c r="F33" s="76">
        <f>'Licensed FTEs'!O30</f>
        <v>2.69</v>
      </c>
      <c r="G33" s="76">
        <f>'Classified FTEs'!E30+'Classified FTEs'!F30+'Classified FTEs'!J30</f>
        <v>4</v>
      </c>
      <c r="H33" s="76">
        <f>'Licensed FTEs'!P30</f>
        <v>0.25</v>
      </c>
      <c r="I33" s="76">
        <f>'Classified FTEs'!V30</f>
        <v>0.5</v>
      </c>
      <c r="J33" s="76">
        <f>'Classified FTEs'!AD30</f>
        <v>0.5</v>
      </c>
      <c r="K33" s="76">
        <f>'Classified FTEs'!D30</f>
        <v>0.5</v>
      </c>
      <c r="L33" s="77">
        <f>'Classified FTEs'!T30+'Classified FTEs'!U30+'Classified FTEs'!W30+'Classified FTEs'!X30+'Classified FTEs'!Y30+'Classified FTEs'!AC30+'Classified FTEs'!AE30+'Classified FTEs'!AF30+'Classified FTEs'!AL30</f>
        <v>29.75</v>
      </c>
      <c r="M33" s="73">
        <f>SUM(C33:L33)+SUM('instruction-districts'!C33:N33)</f>
        <v>116.78</v>
      </c>
    </row>
    <row r="34" spans="1:13" x14ac:dyDescent="0.2">
      <c r="A34" s="74">
        <v>37</v>
      </c>
      <c r="B34" s="5" t="s">
        <v>55</v>
      </c>
      <c r="C34" s="75">
        <f>'Licensed FTEs'!N31</f>
        <v>8</v>
      </c>
      <c r="D34" s="76">
        <f>'Classified FTEs'!H31+'Classified FTEs'!K31</f>
        <v>1</v>
      </c>
      <c r="E34" s="76">
        <f>'Classified FTEs'!I31+'Classified FTEs'!L31+'Classified FTEs'!M31+'Classified FTEs'!N31+'Classified FTEs'!O31</f>
        <v>14.629999999999999</v>
      </c>
      <c r="F34" s="76">
        <f>'Licensed FTEs'!O31</f>
        <v>27.86</v>
      </c>
      <c r="G34" s="76">
        <f>'Classified FTEs'!E31+'Classified FTEs'!F31+'Classified FTEs'!J31</f>
        <v>57.48</v>
      </c>
      <c r="H34" s="76">
        <f>'Licensed FTEs'!P31</f>
        <v>19.38</v>
      </c>
      <c r="I34" s="76">
        <f>'Classified FTEs'!V31</f>
        <v>0</v>
      </c>
      <c r="J34" s="76">
        <f>'Classified FTEs'!AD31</f>
        <v>0</v>
      </c>
      <c r="K34" s="76">
        <f>'Classified FTEs'!D31</f>
        <v>0.49</v>
      </c>
      <c r="L34" s="77">
        <f>'Classified FTEs'!T31+'Classified FTEs'!U31+'Classified FTEs'!W31+'Classified FTEs'!X31+'Classified FTEs'!Y31+'Classified FTEs'!AC31+'Classified FTEs'!AE31+'Classified FTEs'!AF31+'Classified FTEs'!AL31</f>
        <v>183.91000000000003</v>
      </c>
      <c r="M34" s="73">
        <f>SUM(C34:L34)+SUM('instruction-districts'!C34:N34)</f>
        <v>1218.6399999999999</v>
      </c>
    </row>
    <row r="35" spans="1:13" ht="13.5" thickBot="1" x14ac:dyDescent="0.25">
      <c r="A35" s="74">
        <v>22</v>
      </c>
      <c r="B35" s="5" t="s">
        <v>40</v>
      </c>
      <c r="C35" s="75">
        <f>'Licensed FTEs'!N32</f>
        <v>3</v>
      </c>
      <c r="D35" s="76">
        <f>'Classified FTEs'!H32+'Classified FTEs'!K32</f>
        <v>1</v>
      </c>
      <c r="E35" s="76">
        <f>'Classified FTEs'!I32+'Classified FTEs'!L32+'Classified FTEs'!M32+'Classified FTEs'!N32+'Classified FTEs'!O32</f>
        <v>9</v>
      </c>
      <c r="F35" s="76">
        <f>'Licensed FTEs'!O32</f>
        <v>11.1</v>
      </c>
      <c r="G35" s="76">
        <f>'Classified FTEs'!E32+'Classified FTEs'!F32+'Classified FTEs'!J32</f>
        <v>16.57</v>
      </c>
      <c r="H35" s="76">
        <f>'Licensed FTEs'!P32</f>
        <v>7.5</v>
      </c>
      <c r="I35" s="76">
        <f>'Classified FTEs'!V32</f>
        <v>1</v>
      </c>
      <c r="J35" s="76">
        <f>'Classified FTEs'!AD32</f>
        <v>2</v>
      </c>
      <c r="K35" s="76">
        <f>'Classified FTEs'!D32</f>
        <v>2.2999999999999998</v>
      </c>
      <c r="L35" s="77">
        <f>'Classified FTEs'!T32+'Classified FTEs'!U32+'Classified FTEs'!W32+'Classified FTEs'!X32+'Classified FTEs'!Y32+'Classified FTEs'!AC32+'Classified FTEs'!AE32+'Classified FTEs'!AF32+'Classified FTEs'!AL32</f>
        <v>90.13</v>
      </c>
      <c r="M35" s="81">
        <f>SUM(C35:L35)+SUM('instruction-districts'!C35:N35)</f>
        <v>487.6</v>
      </c>
    </row>
    <row r="36" spans="1:13" x14ac:dyDescent="0.2">
      <c r="A36" s="74">
        <v>23</v>
      </c>
      <c r="B36" s="21" t="s">
        <v>41</v>
      </c>
      <c r="C36" s="70">
        <f>'Licensed FTEs'!N33</f>
        <v>1</v>
      </c>
      <c r="D36" s="71">
        <f>'Classified FTEs'!H33+'Classified FTEs'!K33</f>
        <v>1</v>
      </c>
      <c r="E36" s="71">
        <f>'Classified FTEs'!I33+'Classified FTEs'!L33+'Classified FTEs'!M33+'Classified FTEs'!N33+'Classified FTEs'!O33</f>
        <v>1</v>
      </c>
      <c r="F36" s="71">
        <f>'Licensed FTEs'!O33</f>
        <v>1.22</v>
      </c>
      <c r="G36" s="71">
        <f>'Classified FTEs'!E33+'Classified FTEs'!F33+'Classified FTEs'!J33</f>
        <v>3.5</v>
      </c>
      <c r="H36" s="71">
        <f>'Licensed FTEs'!P33</f>
        <v>0</v>
      </c>
      <c r="I36" s="71">
        <f>'Classified FTEs'!V33</f>
        <v>0</v>
      </c>
      <c r="J36" s="71">
        <f>'Classified FTEs'!AD33</f>
        <v>1</v>
      </c>
      <c r="K36" s="71">
        <f>'Classified FTEs'!D33</f>
        <v>0</v>
      </c>
      <c r="L36" s="72">
        <f>'Classified FTEs'!T33+'Classified FTEs'!U33+'Classified FTEs'!W33+'Classified FTEs'!X33+'Classified FTEs'!Y33+'Classified FTEs'!AC33+'Classified FTEs'!AE33+'Classified FTEs'!AF33+'Classified FTEs'!AL33</f>
        <v>11</v>
      </c>
      <c r="M36" s="73">
        <f>SUM(C36:L36)+SUM('instruction-districts'!C36:N36)</f>
        <v>58.55</v>
      </c>
    </row>
    <row r="37" spans="1:13" x14ac:dyDescent="0.2">
      <c r="A37" s="74">
        <v>38</v>
      </c>
      <c r="B37" s="5" t="s">
        <v>56</v>
      </c>
      <c r="C37" s="75">
        <f>'Licensed FTEs'!N34</f>
        <v>7</v>
      </c>
      <c r="D37" s="76">
        <f>'Classified FTEs'!H34+'Classified FTEs'!K34</f>
        <v>4</v>
      </c>
      <c r="E37" s="76">
        <f>'Classified FTEs'!I34+'Classified FTEs'!L34+'Classified FTEs'!M34+'Classified FTEs'!N34+'Classified FTEs'!O34</f>
        <v>26</v>
      </c>
      <c r="F37" s="76">
        <f>'Licensed FTEs'!O34</f>
        <v>28</v>
      </c>
      <c r="G37" s="76">
        <f>'Classified FTEs'!E34+'Classified FTEs'!F34+'Classified FTEs'!J34</f>
        <v>55.160000000000004</v>
      </c>
      <c r="H37" s="76">
        <f>'Licensed FTEs'!P34</f>
        <v>31.1</v>
      </c>
      <c r="I37" s="76">
        <f>'Classified FTEs'!V34</f>
        <v>1</v>
      </c>
      <c r="J37" s="76">
        <f>'Classified FTEs'!AD34</f>
        <v>1</v>
      </c>
      <c r="K37" s="76">
        <f>'Classified FTEs'!D34</f>
        <v>0.84</v>
      </c>
      <c r="L37" s="77">
        <f>'Classified FTEs'!T34+'Classified FTEs'!U34+'Classified FTEs'!W34+'Classified FTEs'!X34+'Classified FTEs'!Y34+'Classified FTEs'!AC34+'Classified FTEs'!AE34+'Classified FTEs'!AF34+'Classified FTEs'!AL34</f>
        <v>179.85000000000002</v>
      </c>
      <c r="M37" s="73">
        <f>SUM(C37:L37)+SUM('instruction-districts'!C37:N37)</f>
        <v>1347.48</v>
      </c>
    </row>
    <row r="38" spans="1:13" x14ac:dyDescent="0.2">
      <c r="A38" s="74">
        <v>24</v>
      </c>
      <c r="B38" s="5" t="s">
        <v>42</v>
      </c>
      <c r="C38" s="75">
        <f>'Licensed FTEs'!N35</f>
        <v>0.8</v>
      </c>
      <c r="D38" s="76">
        <f>'Classified FTEs'!H35+'Classified FTEs'!K35</f>
        <v>1</v>
      </c>
      <c r="E38" s="76">
        <f>'Classified FTEs'!I35+'Classified FTEs'!L35+'Classified FTEs'!M35+'Classified FTEs'!N35+'Classified FTEs'!O35</f>
        <v>1</v>
      </c>
      <c r="F38" s="76">
        <f>'Licensed FTEs'!O35</f>
        <v>1.92</v>
      </c>
      <c r="G38" s="76">
        <f>'Classified FTEs'!E35+'Classified FTEs'!F35+'Classified FTEs'!J35</f>
        <v>1.8</v>
      </c>
      <c r="H38" s="76">
        <f>'Licensed FTEs'!P35</f>
        <v>0.75</v>
      </c>
      <c r="I38" s="76">
        <f>'Classified FTEs'!V35</f>
        <v>0.6</v>
      </c>
      <c r="J38" s="76">
        <f>'Classified FTEs'!AD35</f>
        <v>0.6</v>
      </c>
      <c r="K38" s="76">
        <f>'Classified FTEs'!D35</f>
        <v>0</v>
      </c>
      <c r="L38" s="77">
        <f>'Classified FTEs'!T35+'Classified FTEs'!U35+'Classified FTEs'!W35+'Classified FTEs'!X35+'Classified FTEs'!Y35+'Classified FTEs'!AC35+'Classified FTEs'!AE35+'Classified FTEs'!AF35+'Classified FTEs'!AL35</f>
        <v>7.68</v>
      </c>
      <c r="M38" s="73">
        <f>SUM(C38:L38)+SUM('instruction-districts'!C38:N38)</f>
        <v>57.38</v>
      </c>
    </row>
    <row r="39" spans="1:13" x14ac:dyDescent="0.2">
      <c r="A39" s="74">
        <v>36</v>
      </c>
      <c r="B39" s="5" t="s">
        <v>54</v>
      </c>
      <c r="C39" s="75">
        <f>'Licensed FTEs'!N36</f>
        <v>14.66</v>
      </c>
      <c r="D39" s="76">
        <f>'Classified FTEs'!H36+'Classified FTEs'!K36</f>
        <v>3.64</v>
      </c>
      <c r="E39" s="76">
        <f>'Classified FTEs'!I36+'Classified FTEs'!L36+'Classified FTEs'!M36+'Classified FTEs'!N36+'Classified FTEs'!O36</f>
        <v>60.260000000000005</v>
      </c>
      <c r="F39" s="76">
        <f>'Licensed FTEs'!O36</f>
        <v>66.86</v>
      </c>
      <c r="G39" s="76">
        <f>'Classified FTEs'!E36+'Classified FTEs'!F36+'Classified FTEs'!J36</f>
        <v>122.83</v>
      </c>
      <c r="H39" s="76">
        <f>'Licensed FTEs'!P36</f>
        <v>49.96</v>
      </c>
      <c r="I39" s="76">
        <f>'Classified FTEs'!V36</f>
        <v>1</v>
      </c>
      <c r="J39" s="76">
        <f>'Classified FTEs'!AD36</f>
        <v>3</v>
      </c>
      <c r="K39" s="76">
        <f>'Classified FTEs'!D36</f>
        <v>6.6</v>
      </c>
      <c r="L39" s="77">
        <f>'Classified FTEs'!T36+'Classified FTEs'!U36+'Classified FTEs'!W36+'Classified FTEs'!X36+'Classified FTEs'!Y36+'Classified FTEs'!AC36+'Classified FTEs'!AE36+'Classified FTEs'!AF36+'Classified FTEs'!AL36</f>
        <v>425.61</v>
      </c>
      <c r="M39" s="73">
        <f>SUM(C39:L39)+SUM('instruction-districts'!C39:N39)</f>
        <v>2600.64</v>
      </c>
    </row>
    <row r="40" spans="1:13" ht="13.5" thickBot="1" x14ac:dyDescent="0.25">
      <c r="A40" s="74">
        <v>25</v>
      </c>
      <c r="B40" s="22" t="s">
        <v>43</v>
      </c>
      <c r="C40" s="78">
        <f>'Licensed FTEs'!N37</f>
        <v>4</v>
      </c>
      <c r="D40" s="79">
        <f>'Classified FTEs'!H37+'Classified FTEs'!K37</f>
        <v>1</v>
      </c>
      <c r="E40" s="79">
        <f>'Classified FTEs'!I37+'Classified FTEs'!L37+'Classified FTEs'!M37+'Classified FTEs'!N37+'Classified FTEs'!O37</f>
        <v>7</v>
      </c>
      <c r="F40" s="79">
        <f>'Licensed FTEs'!O37</f>
        <v>15.62</v>
      </c>
      <c r="G40" s="79">
        <f>'Classified FTEs'!E37+'Classified FTEs'!F37+'Classified FTEs'!J37</f>
        <v>17.3</v>
      </c>
      <c r="H40" s="79">
        <f>'Licensed FTEs'!P37</f>
        <v>5</v>
      </c>
      <c r="I40" s="79">
        <f>'Classified FTEs'!V37</f>
        <v>1</v>
      </c>
      <c r="J40" s="79">
        <f>'Classified FTEs'!AD37</f>
        <v>0</v>
      </c>
      <c r="K40" s="79">
        <f>'Classified FTEs'!D37</f>
        <v>2</v>
      </c>
      <c r="L40" s="80">
        <f>'Classified FTEs'!T37+'Classified FTEs'!U37+'Classified FTEs'!W37+'Classified FTEs'!X37+'Classified FTEs'!Y37+'Classified FTEs'!AC37+'Classified FTEs'!AE37+'Classified FTEs'!AF37+'Classified FTEs'!AL37</f>
        <v>92.97</v>
      </c>
      <c r="M40" s="81">
        <f>SUM(C40:L40)+SUM('instruction-districts'!C40:N40)</f>
        <v>412.88999999999993</v>
      </c>
    </row>
    <row r="41" spans="1:13" x14ac:dyDescent="0.2">
      <c r="A41" s="74">
        <v>26</v>
      </c>
      <c r="B41" s="6" t="s">
        <v>44</v>
      </c>
      <c r="C41" s="75">
        <f>'Licensed FTEs'!N38</f>
        <v>1</v>
      </c>
      <c r="D41" s="76">
        <f>'Classified FTEs'!H38+'Classified FTEs'!K38</f>
        <v>0.1</v>
      </c>
      <c r="E41" s="76">
        <f>'Classified FTEs'!I38+'Classified FTEs'!L38+'Classified FTEs'!M38+'Classified FTEs'!N38+'Classified FTEs'!O38</f>
        <v>8.5699999999999985</v>
      </c>
      <c r="F41" s="76">
        <f>'Licensed FTEs'!O38</f>
        <v>11.64</v>
      </c>
      <c r="G41" s="76">
        <f>'Classified FTEs'!E38+'Classified FTEs'!F38+'Classified FTEs'!J38</f>
        <v>11.74</v>
      </c>
      <c r="H41" s="76">
        <f>'Licensed FTEs'!P38</f>
        <v>2.27</v>
      </c>
      <c r="I41" s="76">
        <f>'Classified FTEs'!V38</f>
        <v>1</v>
      </c>
      <c r="J41" s="76">
        <f>'Classified FTEs'!AD38</f>
        <v>1</v>
      </c>
      <c r="K41" s="76">
        <f>'Classified FTEs'!D38</f>
        <v>1</v>
      </c>
      <c r="L41" s="77">
        <f>'Classified FTEs'!T38+'Classified FTEs'!U38+'Classified FTEs'!W38+'Classified FTEs'!X38+'Classified FTEs'!Y38+'Classified FTEs'!AC38+'Classified FTEs'!AE38+'Classified FTEs'!AF38+'Classified FTEs'!AL38</f>
        <v>92.4</v>
      </c>
      <c r="M41" s="73">
        <f>SUM(C41:L41)+SUM('instruction-districts'!C41:N41)</f>
        <v>450.63</v>
      </c>
    </row>
    <row r="42" spans="1:13" x14ac:dyDescent="0.2">
      <c r="A42" s="74">
        <v>27</v>
      </c>
      <c r="B42" s="6" t="s">
        <v>45</v>
      </c>
      <c r="C42" s="75">
        <f>'Licensed FTEs'!N39</f>
        <v>4</v>
      </c>
      <c r="D42" s="76">
        <f>'Classified FTEs'!H39+'Classified FTEs'!K39</f>
        <v>3</v>
      </c>
      <c r="E42" s="76">
        <f>'Classified FTEs'!I39+'Classified FTEs'!L39+'Classified FTEs'!M39+'Classified FTEs'!N39+'Classified FTEs'!O39</f>
        <v>2.25</v>
      </c>
      <c r="F42" s="76">
        <f>'Licensed FTEs'!O39</f>
        <v>11</v>
      </c>
      <c r="G42" s="76">
        <f>'Classified FTEs'!E39+'Classified FTEs'!F39+'Classified FTEs'!J39</f>
        <v>24.75</v>
      </c>
      <c r="H42" s="76">
        <f>'Licensed FTEs'!P39</f>
        <v>2.25</v>
      </c>
      <c r="I42" s="76">
        <f>'Classified FTEs'!V39</f>
        <v>0.5</v>
      </c>
      <c r="J42" s="76">
        <f>'Classified FTEs'!AD39</f>
        <v>0.75</v>
      </c>
      <c r="K42" s="76">
        <f>'Classified FTEs'!D39</f>
        <v>1</v>
      </c>
      <c r="L42" s="77">
        <f>'Classified FTEs'!T39+'Classified FTEs'!U39+'Classified FTEs'!W39+'Classified FTEs'!X39+'Classified FTEs'!Y39+'Classified FTEs'!AC39+'Classified FTEs'!AE39+'Classified FTEs'!AF39+'Classified FTEs'!AL39</f>
        <v>63.75</v>
      </c>
      <c r="M42" s="73">
        <f>SUM(C42:L42)+SUM('instruction-districts'!C42:N42)</f>
        <v>407.44</v>
      </c>
    </row>
    <row r="43" spans="1:13" x14ac:dyDescent="0.2">
      <c r="A43" s="74">
        <v>28</v>
      </c>
      <c r="B43" s="6" t="s">
        <v>46</v>
      </c>
      <c r="C43" s="75">
        <f>'Licensed FTEs'!N40</f>
        <v>1</v>
      </c>
      <c r="D43" s="76">
        <f>'Classified FTEs'!H40+'Classified FTEs'!K40</f>
        <v>1</v>
      </c>
      <c r="E43" s="76">
        <f>'Classified FTEs'!I40+'Classified FTEs'!L40+'Classified FTEs'!M40+'Classified FTEs'!N40+'Classified FTEs'!O40</f>
        <v>2</v>
      </c>
      <c r="F43" s="76">
        <f>'Licensed FTEs'!O40</f>
        <v>4</v>
      </c>
      <c r="G43" s="76">
        <f>'Classified FTEs'!E40+'Classified FTEs'!F40+'Classified FTEs'!J40</f>
        <v>5.88</v>
      </c>
      <c r="H43" s="76">
        <f>'Licensed FTEs'!P40</f>
        <v>1.6</v>
      </c>
      <c r="I43" s="76">
        <f>'Classified FTEs'!V40</f>
        <v>0.5</v>
      </c>
      <c r="J43" s="76">
        <f>'Classified FTEs'!AD40</f>
        <v>1</v>
      </c>
      <c r="K43" s="76">
        <f>'Classified FTEs'!D40</f>
        <v>1</v>
      </c>
      <c r="L43" s="77">
        <f>'Classified FTEs'!T40+'Classified FTEs'!U40+'Classified FTEs'!W40+'Classified FTEs'!X40+'Classified FTEs'!Y40+'Classified FTEs'!AC40+'Classified FTEs'!AE40+'Classified FTEs'!AF40+'Classified FTEs'!AL40</f>
        <v>27.76</v>
      </c>
      <c r="M43" s="73">
        <f>SUM(C43:L43)+SUM('instruction-districts'!C43:N43)</f>
        <v>146.85999999999999</v>
      </c>
    </row>
    <row r="44" spans="1:13" x14ac:dyDescent="0.2">
      <c r="A44" s="74">
        <v>29</v>
      </c>
      <c r="B44" s="5" t="s">
        <v>47</v>
      </c>
      <c r="C44" s="75">
        <f>'Licensed FTEs'!N41</f>
        <v>0.65</v>
      </c>
      <c r="D44" s="76">
        <f>'Classified FTEs'!H41+'Classified FTEs'!K41</f>
        <v>0.88</v>
      </c>
      <c r="E44" s="76">
        <f>'Classified FTEs'!I41+'Classified FTEs'!L41+'Classified FTEs'!M41+'Classified FTEs'!N41+'Classified FTEs'!O41</f>
        <v>0.88</v>
      </c>
      <c r="F44" s="76">
        <f>'Licensed FTEs'!O41</f>
        <v>0.93</v>
      </c>
      <c r="G44" s="76">
        <f>'Classified FTEs'!E41+'Classified FTEs'!F41+'Classified FTEs'!J41</f>
        <v>2.09</v>
      </c>
      <c r="H44" s="76">
        <f>'Licensed FTEs'!P41</f>
        <v>0</v>
      </c>
      <c r="I44" s="76">
        <f>'Classified FTEs'!V41</f>
        <v>0.12</v>
      </c>
      <c r="J44" s="76">
        <f>'Classified FTEs'!AD41</f>
        <v>0.81</v>
      </c>
      <c r="K44" s="76">
        <f>'Classified FTEs'!D41</f>
        <v>0</v>
      </c>
      <c r="L44" s="77">
        <f>'Classified FTEs'!T41+'Classified FTEs'!U41+'Classified FTEs'!W41+'Classified FTEs'!X41+'Classified FTEs'!Y41+'Classified FTEs'!AC41+'Classified FTEs'!AE41+'Classified FTEs'!AF41+'Classified FTEs'!AL41</f>
        <v>4.91</v>
      </c>
      <c r="M44" s="73">
        <f>SUM(C44:L44)+SUM('instruction-districts'!C44:N44)</f>
        <v>39.25</v>
      </c>
    </row>
    <row r="45" spans="1:13" ht="13.5" thickBot="1" x14ac:dyDescent="0.25">
      <c r="A45" s="74">
        <v>30</v>
      </c>
      <c r="B45" s="5" t="s">
        <v>48</v>
      </c>
      <c r="C45" s="78">
        <f>'Licensed FTEs'!N42</f>
        <v>6</v>
      </c>
      <c r="D45" s="79">
        <f>'Classified FTEs'!H42+'Classified FTEs'!K42</f>
        <v>1</v>
      </c>
      <c r="E45" s="79">
        <f>'Classified FTEs'!I42+'Classified FTEs'!L42+'Classified FTEs'!M42+'Classified FTEs'!N42+'Classified FTEs'!O42</f>
        <v>10</v>
      </c>
      <c r="F45" s="79">
        <f>'Licensed FTEs'!O42</f>
        <v>31.3</v>
      </c>
      <c r="G45" s="79">
        <f>'Classified FTEs'!E42+'Classified FTEs'!F42+'Classified FTEs'!J42</f>
        <v>51.85</v>
      </c>
      <c r="H45" s="79">
        <f>'Licensed FTEs'!P42</f>
        <v>18.11</v>
      </c>
      <c r="I45" s="79">
        <f>'Classified FTEs'!V42</f>
        <v>1</v>
      </c>
      <c r="J45" s="79">
        <f>'Classified FTEs'!AD42</f>
        <v>1</v>
      </c>
      <c r="K45" s="79">
        <f>'Classified FTEs'!D42</f>
        <v>6</v>
      </c>
      <c r="L45" s="80">
        <f>'Classified FTEs'!T42+'Classified FTEs'!U42+'Classified FTEs'!W42+'Classified FTEs'!X42+'Classified FTEs'!Y42+'Classified FTEs'!AC42+'Classified FTEs'!AE42+'Classified FTEs'!AF42+'Classified FTEs'!AL42</f>
        <v>226.99</v>
      </c>
      <c r="M45" s="81">
        <f>SUM(C45:L45)+SUM('instruction-districts'!C45:N45)</f>
        <v>1249.6799999999998</v>
      </c>
    </row>
    <row r="46" spans="1:13" x14ac:dyDescent="0.2">
      <c r="A46" s="74">
        <v>31</v>
      </c>
      <c r="B46" s="10" t="s">
        <v>49</v>
      </c>
      <c r="C46" s="70">
        <f>'Licensed FTEs'!N43</f>
        <v>3.5</v>
      </c>
      <c r="D46" s="71">
        <f>'Classified FTEs'!H43+'Classified FTEs'!K43</f>
        <v>1</v>
      </c>
      <c r="E46" s="71">
        <f>'Classified FTEs'!I43+'Classified FTEs'!L43+'Classified FTEs'!M43+'Classified FTEs'!N43+'Classified FTEs'!O43</f>
        <v>8.2800000000000011</v>
      </c>
      <c r="F46" s="71">
        <f>'Licensed FTEs'!O43</f>
        <v>16</v>
      </c>
      <c r="G46" s="71">
        <f>'Classified FTEs'!E43+'Classified FTEs'!F43+'Classified FTEs'!J43</f>
        <v>22.28</v>
      </c>
      <c r="H46" s="71">
        <f>'Licensed FTEs'!P43</f>
        <v>2.48</v>
      </c>
      <c r="I46" s="71">
        <f>'Classified FTEs'!V43</f>
        <v>1</v>
      </c>
      <c r="J46" s="71">
        <f>'Classified FTEs'!AD43</f>
        <v>1</v>
      </c>
      <c r="K46" s="71">
        <f>'Classified FTEs'!D43</f>
        <v>4.25</v>
      </c>
      <c r="L46" s="72">
        <f>'Classified FTEs'!T43+'Classified FTEs'!U43+'Classified FTEs'!W43+'Classified FTEs'!X43+'Classified FTEs'!Y43+'Classified FTEs'!AC43+'Classified FTEs'!AE43+'Classified FTEs'!AF43+'Classified FTEs'!AL43</f>
        <v>82.66</v>
      </c>
      <c r="M46" s="73">
        <f>SUM(C46:L46)+SUM('instruction-districts'!C46:N46)</f>
        <v>561.17000000000007</v>
      </c>
    </row>
    <row r="47" spans="1:13" x14ac:dyDescent="0.2">
      <c r="A47" s="74">
        <v>32</v>
      </c>
      <c r="B47" s="5" t="s">
        <v>50</v>
      </c>
      <c r="C47" s="75">
        <f>'Licensed FTEs'!N44</f>
        <v>2</v>
      </c>
      <c r="D47" s="76">
        <f>'Classified FTEs'!H44+'Classified FTEs'!K44</f>
        <v>1</v>
      </c>
      <c r="E47" s="76">
        <f>'Classified FTEs'!I44+'Classified FTEs'!L44+'Classified FTEs'!M44+'Classified FTEs'!N44+'Classified FTEs'!O44</f>
        <v>8</v>
      </c>
      <c r="F47" s="76">
        <f>'Licensed FTEs'!O44</f>
        <v>11.5</v>
      </c>
      <c r="G47" s="76">
        <f>'Classified FTEs'!E44+'Classified FTEs'!F44+'Classified FTEs'!J44</f>
        <v>19.7</v>
      </c>
      <c r="H47" s="76">
        <f>'Licensed FTEs'!P44</f>
        <v>8.1999999999999993</v>
      </c>
      <c r="I47" s="76">
        <f>'Classified FTEs'!V44</f>
        <v>1</v>
      </c>
      <c r="J47" s="76">
        <f>'Classified FTEs'!AD44</f>
        <v>1</v>
      </c>
      <c r="K47" s="76">
        <f>'Classified FTEs'!D44</f>
        <v>1</v>
      </c>
      <c r="L47" s="77">
        <f>'Classified FTEs'!T44+'Classified FTEs'!U44+'Classified FTEs'!W44+'Classified FTEs'!X44+'Classified FTEs'!Y44+'Classified FTEs'!AC44+'Classified FTEs'!AE44+'Classified FTEs'!AF44+'Classified FTEs'!AL44</f>
        <v>103.30000000000001</v>
      </c>
      <c r="M47" s="73">
        <f>SUM(C47:L47)+SUM('instruction-districts'!C47:N47)</f>
        <v>523.01</v>
      </c>
    </row>
    <row r="48" spans="1:13" x14ac:dyDescent="0.2">
      <c r="A48" s="74">
        <v>33</v>
      </c>
      <c r="B48" s="6" t="s">
        <v>51</v>
      </c>
      <c r="C48" s="75">
        <f>'Licensed FTEs'!N45</f>
        <v>11</v>
      </c>
      <c r="D48" s="76">
        <f>'Classified FTEs'!H45+'Classified FTEs'!K45</f>
        <v>1</v>
      </c>
      <c r="E48" s="76">
        <f>'Classified FTEs'!I45+'Classified FTEs'!L45+'Classified FTEs'!M45+'Classified FTEs'!N45+'Classified FTEs'!O45</f>
        <v>24.32</v>
      </c>
      <c r="F48" s="76">
        <f>'Licensed FTEs'!O45</f>
        <v>56.95</v>
      </c>
      <c r="G48" s="76">
        <f>'Classified FTEs'!E45+'Classified FTEs'!F45+'Classified FTEs'!J45</f>
        <v>125.07</v>
      </c>
      <c r="H48" s="76">
        <f>'Licensed FTEs'!P45</f>
        <v>22.85</v>
      </c>
      <c r="I48" s="76">
        <f>'Classified FTEs'!V45</f>
        <v>2</v>
      </c>
      <c r="J48" s="76">
        <f>'Classified FTEs'!AD45</f>
        <v>1</v>
      </c>
      <c r="K48" s="76">
        <f>'Classified FTEs'!D45</f>
        <v>10.75</v>
      </c>
      <c r="L48" s="77">
        <f>'Classified FTEs'!T45+'Classified FTEs'!U45+'Classified FTEs'!W45+'Classified FTEs'!X45+'Classified FTEs'!Y45+'Classified FTEs'!AC45+'Classified FTEs'!AE45+'Classified FTEs'!AF45+'Classified FTEs'!AL45</f>
        <v>392.19999999999993</v>
      </c>
      <c r="M48" s="73">
        <f>SUM(C48:L48)+SUM('instruction-districts'!C48:N48)</f>
        <v>2330.79</v>
      </c>
    </row>
    <row r="49" spans="1:13" x14ac:dyDescent="0.2">
      <c r="A49" s="74">
        <v>34</v>
      </c>
      <c r="B49" s="6" t="s">
        <v>52</v>
      </c>
      <c r="C49" s="75">
        <f>'Licensed FTEs'!N46</f>
        <v>0.75</v>
      </c>
      <c r="D49" s="76">
        <f>'Classified FTEs'!H46+'Classified FTEs'!K46</f>
        <v>1</v>
      </c>
      <c r="E49" s="76">
        <f>'Classified FTEs'!I46+'Classified FTEs'!L46+'Classified FTEs'!M46+'Classified FTEs'!N46+'Classified FTEs'!O46</f>
        <v>1.26</v>
      </c>
      <c r="F49" s="76">
        <f>'Licensed FTEs'!O46</f>
        <v>2.74</v>
      </c>
      <c r="G49" s="76">
        <f>'Classified FTEs'!E46+'Classified FTEs'!F46+'Classified FTEs'!J46</f>
        <v>4.6099999999999994</v>
      </c>
      <c r="H49" s="76">
        <f>'Licensed FTEs'!P46</f>
        <v>0</v>
      </c>
      <c r="I49" s="76">
        <f>'Classified FTEs'!V46</f>
        <v>0.32</v>
      </c>
      <c r="J49" s="76">
        <f>'Classified FTEs'!AD46</f>
        <v>0.32</v>
      </c>
      <c r="K49" s="76">
        <f>'Classified FTEs'!D46</f>
        <v>0</v>
      </c>
      <c r="L49" s="77">
        <f>'Classified FTEs'!T46+'Classified FTEs'!U46+'Classified FTEs'!W46+'Classified FTEs'!X46+'Classified FTEs'!Y46+'Classified FTEs'!AC46+'Classified FTEs'!AE46+'Classified FTEs'!AF46+'Classified FTEs'!AL46</f>
        <v>11.39</v>
      </c>
      <c r="M49" s="73">
        <f>SUM(C49:L49)+SUM('instruction-districts'!C49:N49)</f>
        <v>70.89</v>
      </c>
    </row>
    <row r="50" spans="1:13" ht="13.5" thickBot="1" x14ac:dyDescent="0.25">
      <c r="A50" s="74">
        <v>35</v>
      </c>
      <c r="B50" s="5" t="s">
        <v>53</v>
      </c>
      <c r="C50" s="78">
        <f>'Licensed FTEs'!N47</f>
        <v>18</v>
      </c>
      <c r="D50" s="79">
        <f>'Classified FTEs'!H47+'Classified FTEs'!K47</f>
        <v>2.33</v>
      </c>
      <c r="E50" s="79">
        <f>'Classified FTEs'!I47+'Classified FTEs'!L47+'Classified FTEs'!M47+'Classified FTEs'!N47+'Classified FTEs'!O47</f>
        <v>21.86</v>
      </c>
      <c r="F50" s="79">
        <f>'Licensed FTEs'!O47</f>
        <v>63</v>
      </c>
      <c r="G50" s="79">
        <f>'Classified FTEs'!E47+'Classified FTEs'!F47+'Classified FTEs'!J47</f>
        <v>85.28</v>
      </c>
      <c r="H50" s="79">
        <f>'Licensed FTEs'!P47</f>
        <v>47.23</v>
      </c>
      <c r="I50" s="79">
        <f>'Classified FTEs'!V47</f>
        <v>2</v>
      </c>
      <c r="J50" s="79">
        <f>'Classified FTEs'!AD47</f>
        <v>3</v>
      </c>
      <c r="K50" s="79">
        <f>'Classified FTEs'!D47</f>
        <v>12.7</v>
      </c>
      <c r="L50" s="80">
        <f>'Classified FTEs'!T47+'Classified FTEs'!U47+'Classified FTEs'!W47+'Classified FTEs'!X47+'Classified FTEs'!Y47+'Classified FTEs'!AC47+'Classified FTEs'!AE47+'Classified FTEs'!AF47+'Classified FTEs'!AL47</f>
        <v>431.48</v>
      </c>
      <c r="M50" s="73">
        <f>SUM(C50:L50)+SUM('instruction-districts'!C50:N50)</f>
        <v>2576.38</v>
      </c>
    </row>
    <row r="51" spans="1:13" ht="13.5" thickBot="1" x14ac:dyDescent="0.25">
      <c r="B51" s="82" t="s">
        <v>59</v>
      </c>
      <c r="C51" s="83">
        <f t="shared" ref="C51:L51" si="0">SUM(C10:C50)</f>
        <v>274.47000000000003</v>
      </c>
      <c r="D51" s="84">
        <f t="shared" si="0"/>
        <v>64.050000000000011</v>
      </c>
      <c r="E51" s="84">
        <f t="shared" si="0"/>
        <v>700.2</v>
      </c>
      <c r="F51" s="84">
        <f t="shared" si="0"/>
        <v>1200.1100000000004</v>
      </c>
      <c r="G51" s="84">
        <f t="shared" si="0"/>
        <v>2099.92</v>
      </c>
      <c r="H51" s="84">
        <f t="shared" si="0"/>
        <v>947.5200000000001</v>
      </c>
      <c r="I51" s="84">
        <f t="shared" si="0"/>
        <v>37.450000000000003</v>
      </c>
      <c r="J51" s="84">
        <f t="shared" si="0"/>
        <v>71.459999999999994</v>
      </c>
      <c r="K51" s="84">
        <f t="shared" si="0"/>
        <v>129.07999999999998</v>
      </c>
      <c r="L51" s="85">
        <f t="shared" si="0"/>
        <v>8881.0499999999993</v>
      </c>
      <c r="M51" s="86">
        <f>SUM(C51:L51)+SUM('instruction-districts'!C51:N51)</f>
        <v>49033.749999999993</v>
      </c>
    </row>
    <row r="52" spans="1:13" ht="13.5" thickBot="1" x14ac:dyDescent="0.25">
      <c r="B52" s="82" t="s">
        <v>60</v>
      </c>
      <c r="C52" s="83">
        <f>'support-charters'!C86</f>
        <v>22.36</v>
      </c>
      <c r="D52" s="83">
        <f>'support-charters'!D86</f>
        <v>28.970000000000002</v>
      </c>
      <c r="E52" s="83">
        <f>'support-charters'!E86</f>
        <v>30.95</v>
      </c>
      <c r="F52" s="83">
        <f>'support-charters'!F86</f>
        <v>100.33000000000001</v>
      </c>
      <c r="G52" s="83">
        <f>'support-charters'!G86</f>
        <v>160.26999999999998</v>
      </c>
      <c r="H52" s="83">
        <f>'support-charters'!H86</f>
        <v>16.88</v>
      </c>
      <c r="I52" s="83">
        <f>'support-charters'!I86</f>
        <v>0</v>
      </c>
      <c r="J52" s="83">
        <f>'support-charters'!J86</f>
        <v>14.18</v>
      </c>
      <c r="K52" s="83">
        <f>'support-charters'!K86</f>
        <v>2.3800000000000003</v>
      </c>
      <c r="L52" s="83">
        <f>'support-charters'!L86</f>
        <v>162.72999999999999</v>
      </c>
      <c r="M52" s="86">
        <f>SUM(C52:L52)+SUM('instruction-districts'!C52:N52)</f>
        <v>3043.87</v>
      </c>
    </row>
    <row r="53" spans="1:13" ht="13.5" thickBot="1" x14ac:dyDescent="0.25">
      <c r="B53" s="82" t="s">
        <v>61</v>
      </c>
      <c r="C53" s="87">
        <f>C51+C52</f>
        <v>296.83000000000004</v>
      </c>
      <c r="D53" s="88">
        <f t="shared" ref="D53:M53" si="1">D51+D52</f>
        <v>93.02000000000001</v>
      </c>
      <c r="E53" s="88">
        <f t="shared" si="1"/>
        <v>731.15000000000009</v>
      </c>
      <c r="F53" s="88">
        <f t="shared" si="1"/>
        <v>1300.4400000000003</v>
      </c>
      <c r="G53" s="88">
        <f t="shared" si="1"/>
        <v>2260.19</v>
      </c>
      <c r="H53" s="88">
        <f t="shared" si="1"/>
        <v>964.40000000000009</v>
      </c>
      <c r="I53" s="88">
        <f t="shared" si="1"/>
        <v>37.450000000000003</v>
      </c>
      <c r="J53" s="88">
        <f t="shared" si="1"/>
        <v>85.639999999999986</v>
      </c>
      <c r="K53" s="88">
        <f t="shared" si="1"/>
        <v>131.45999999999998</v>
      </c>
      <c r="L53" s="81">
        <f t="shared" si="1"/>
        <v>9043.7799999999988</v>
      </c>
      <c r="M53" s="81">
        <f t="shared" si="1"/>
        <v>52077.619999999995</v>
      </c>
    </row>
    <row r="54" spans="1:13" x14ac:dyDescent="0.2"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89"/>
    </row>
    <row r="55" spans="1:13" x14ac:dyDescent="0.2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89"/>
    </row>
    <row r="56" spans="1:13" x14ac:dyDescent="0.2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89"/>
    </row>
    <row r="57" spans="1:13" x14ac:dyDescent="0.2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89"/>
    </row>
    <row r="58" spans="1:13" x14ac:dyDescent="0.2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89"/>
    </row>
    <row r="59" spans="1:13" x14ac:dyDescent="0.2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89"/>
    </row>
    <row r="60" spans="1:13" x14ac:dyDescent="0.2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89"/>
    </row>
    <row r="61" spans="1:13" x14ac:dyDescent="0.2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89"/>
    </row>
    <row r="62" spans="1:13" x14ac:dyDescent="0.2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89"/>
    </row>
    <row r="63" spans="1:13" x14ac:dyDescent="0.2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89"/>
    </row>
    <row r="64" spans="1:13" x14ac:dyDescent="0.2"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89"/>
    </row>
    <row r="65" spans="3:13" x14ac:dyDescent="0.2"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89"/>
    </row>
    <row r="66" spans="3:13" x14ac:dyDescent="0.2"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89"/>
    </row>
    <row r="67" spans="3:13" x14ac:dyDescent="0.2"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89"/>
    </row>
    <row r="68" spans="3:13" x14ac:dyDescent="0.2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89"/>
    </row>
    <row r="69" spans="3:13" x14ac:dyDescent="0.2"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89"/>
    </row>
  </sheetData>
  <sortState ref="A7:N46">
    <sortCondition ref="B7:B46"/>
  </sortState>
  <mergeCells count="12">
    <mergeCell ref="B1:M1"/>
    <mergeCell ref="B2:M2"/>
    <mergeCell ref="B3:M3"/>
    <mergeCell ref="B4:B8"/>
    <mergeCell ref="C4:L4"/>
    <mergeCell ref="M4:M8"/>
    <mergeCell ref="C5:D7"/>
    <mergeCell ref="E5:E7"/>
    <mergeCell ref="F5:F7"/>
    <mergeCell ref="G5:G7"/>
    <mergeCell ref="L5:L7"/>
    <mergeCell ref="H5:K6"/>
  </mergeCells>
  <printOptions horizontalCentered="1" verticalCentered="1"/>
  <pageMargins left="0.6" right="0.25" top="0.38" bottom="0.75" header="0.3" footer="0.3"/>
  <pageSetup scale="70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6"/>
  <sheetViews>
    <sheetView topLeftCell="A2" zoomScale="80" zoomScaleNormal="80" workbookViewId="0">
      <selection activeCell="E53" sqref="E53"/>
    </sheetView>
  </sheetViews>
  <sheetFormatPr defaultColWidth="9.140625" defaultRowHeight="12.75" x14ac:dyDescent="0.2"/>
  <cols>
    <col min="1" max="1" width="3.140625" style="27" bestFit="1" customWidth="1"/>
    <col min="2" max="2" width="33.5703125" style="150" customWidth="1"/>
    <col min="3" max="4" width="12.28515625" style="27" customWidth="1"/>
    <col min="5" max="5" width="14.140625" style="27" customWidth="1"/>
    <col min="6" max="6" width="14.28515625" style="27" customWidth="1"/>
    <col min="7" max="7" width="15.7109375" style="27" customWidth="1"/>
    <col min="8" max="8" width="13" style="27" customWidth="1"/>
    <col min="9" max="9" width="14.42578125" style="27" customWidth="1"/>
    <col min="10" max="10" width="15" style="27" customWidth="1"/>
    <col min="11" max="11" width="13.28515625" style="27" customWidth="1"/>
    <col min="12" max="12" width="13.7109375" style="27" customWidth="1"/>
    <col min="13" max="13" width="18.140625" style="59" customWidth="1"/>
    <col min="14" max="14" width="9.7109375" style="27" bestFit="1" customWidth="1"/>
    <col min="15" max="16384" width="9.140625" style="27"/>
  </cols>
  <sheetData>
    <row r="1" spans="1:14" ht="18.75" x14ac:dyDescent="0.3">
      <c r="A1" s="27" t="s">
        <v>308</v>
      </c>
      <c r="B1" s="155" t="s">
        <v>259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61"/>
    </row>
    <row r="2" spans="1:14" ht="18.75" x14ac:dyDescent="0.3">
      <c r="B2" s="155" t="s">
        <v>260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62"/>
    </row>
    <row r="3" spans="1:14" ht="19.5" thickBot="1" x14ac:dyDescent="0.35">
      <c r="B3" s="171" t="s">
        <v>291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61"/>
    </row>
    <row r="4" spans="1:14" ht="18" customHeight="1" thickBot="1" x14ac:dyDescent="0.3">
      <c r="B4" s="188" t="s">
        <v>0</v>
      </c>
      <c r="C4" s="160" t="s">
        <v>2</v>
      </c>
      <c r="D4" s="159"/>
      <c r="E4" s="159"/>
      <c r="F4" s="159"/>
      <c r="G4" s="159"/>
      <c r="H4" s="159"/>
      <c r="I4" s="159"/>
      <c r="J4" s="159"/>
      <c r="K4" s="159"/>
      <c r="L4" s="163"/>
      <c r="M4" s="190" t="s">
        <v>62</v>
      </c>
      <c r="N4" s="4"/>
    </row>
    <row r="5" spans="1:14" x14ac:dyDescent="0.2">
      <c r="B5" s="189"/>
      <c r="C5" s="166" t="s">
        <v>63</v>
      </c>
      <c r="D5" s="177"/>
      <c r="E5" s="153" t="s">
        <v>127</v>
      </c>
      <c r="F5" s="153" t="s">
        <v>64</v>
      </c>
      <c r="G5" s="153" t="s">
        <v>128</v>
      </c>
      <c r="H5" s="182" t="s">
        <v>129</v>
      </c>
      <c r="I5" s="183"/>
      <c r="J5" s="183"/>
      <c r="K5" s="193"/>
      <c r="L5" s="153" t="s">
        <v>130</v>
      </c>
      <c r="M5" s="191"/>
      <c r="N5" s="4"/>
    </row>
    <row r="6" spans="1:14" ht="13.5" customHeight="1" thickBot="1" x14ac:dyDescent="0.25">
      <c r="B6" s="189"/>
      <c r="C6" s="178"/>
      <c r="D6" s="179"/>
      <c r="E6" s="154"/>
      <c r="F6" s="169"/>
      <c r="G6" s="169"/>
      <c r="H6" s="185"/>
      <c r="I6" s="186"/>
      <c r="J6" s="186"/>
      <c r="K6" s="194"/>
      <c r="L6" s="154"/>
      <c r="M6" s="191"/>
      <c r="N6" s="4"/>
    </row>
    <row r="7" spans="1:14" ht="54" customHeight="1" thickBot="1" x14ac:dyDescent="0.3">
      <c r="B7" s="189"/>
      <c r="C7" s="180"/>
      <c r="D7" s="181"/>
      <c r="E7" s="168"/>
      <c r="F7" s="170"/>
      <c r="G7" s="170"/>
      <c r="H7" s="64" t="s">
        <v>258</v>
      </c>
      <c r="I7" s="2" t="s">
        <v>132</v>
      </c>
      <c r="J7" s="31" t="s">
        <v>133</v>
      </c>
      <c r="K7" s="18" t="s">
        <v>131</v>
      </c>
      <c r="L7" s="168"/>
      <c r="M7" s="191"/>
      <c r="N7" s="4"/>
    </row>
    <row r="8" spans="1:14" ht="44.25" customHeight="1" thickBot="1" x14ac:dyDescent="0.3">
      <c r="B8" s="189"/>
      <c r="C8" s="2" t="s">
        <v>16</v>
      </c>
      <c r="D8" s="65" t="s">
        <v>17</v>
      </c>
      <c r="E8" s="65" t="s">
        <v>17</v>
      </c>
      <c r="F8" s="2" t="s">
        <v>16</v>
      </c>
      <c r="G8" s="65" t="s">
        <v>17</v>
      </c>
      <c r="H8" s="2" t="s">
        <v>16</v>
      </c>
      <c r="I8" s="2" t="s">
        <v>17</v>
      </c>
      <c r="J8" s="2" t="s">
        <v>17</v>
      </c>
      <c r="K8" s="2" t="s">
        <v>17</v>
      </c>
      <c r="L8" s="65" t="s">
        <v>17</v>
      </c>
      <c r="M8" s="192"/>
      <c r="N8" s="4"/>
    </row>
    <row r="9" spans="1:14" ht="17.25" customHeight="1" thickBot="1" x14ac:dyDescent="0.25">
      <c r="A9" s="136"/>
      <c r="B9" s="11" t="s">
        <v>134</v>
      </c>
      <c r="C9" s="137"/>
      <c r="D9" s="138"/>
      <c r="E9" s="138"/>
      <c r="F9" s="139"/>
      <c r="G9" s="138"/>
      <c r="H9" s="139"/>
      <c r="I9" s="139"/>
      <c r="J9" s="139"/>
      <c r="K9" s="139"/>
      <c r="L9" s="138"/>
      <c r="M9" s="140"/>
      <c r="N9" s="4"/>
    </row>
    <row r="10" spans="1:14" ht="17.25" customHeight="1" x14ac:dyDescent="0.25">
      <c r="A10" s="34">
        <v>83</v>
      </c>
      <c r="B10" s="34" t="s">
        <v>187</v>
      </c>
      <c r="C10" s="71">
        <f>'Licensed FTEs'!N49</f>
        <v>0</v>
      </c>
      <c r="D10" s="71">
        <f>'Classified FTEs'!H49+'Classified FTEs'!K49</f>
        <v>1</v>
      </c>
      <c r="E10" s="71">
        <f>'Classified FTEs'!I49+'Classified FTEs'!L49+'Classified FTEs'!M49+'Classified FTEs'!N49+'Classified FTEs'!O49</f>
        <v>1.62</v>
      </c>
      <c r="F10" s="71">
        <f>'Licensed FTEs'!O49</f>
        <v>1</v>
      </c>
      <c r="G10" s="71">
        <f>'Classified FTEs'!E49+'Classified FTEs'!F49+'Classified FTEs'!J49</f>
        <v>0.84</v>
      </c>
      <c r="H10" s="71">
        <f>'Licensed FTEs'!P49</f>
        <v>0</v>
      </c>
      <c r="I10" s="71">
        <f>'Classified FTEs'!V49</f>
        <v>0</v>
      </c>
      <c r="J10" s="71">
        <f>'Classified FTEs'!AD49</f>
        <v>0</v>
      </c>
      <c r="K10" s="71">
        <f>'Classified FTEs'!D49</f>
        <v>0</v>
      </c>
      <c r="L10" s="71">
        <f>'Classified FTEs'!T49+'Classified FTEs'!U49+'Classified FTEs'!W49+'Classified FTEs'!X49+'Classified FTEs'!Y49+'Classified FTEs'!AC49+'Classified FTEs'!AE49+'Classified FTEs'!AF49+'Classified FTEs'!AL49</f>
        <v>0</v>
      </c>
      <c r="M10" s="141">
        <f>SUM(C10:L10)+SUM('instruction-charters'!C10:N10)</f>
        <v>30.67</v>
      </c>
      <c r="N10" s="4"/>
    </row>
    <row r="11" spans="1:14" ht="17.25" customHeight="1" x14ac:dyDescent="0.25">
      <c r="A11" s="40" t="s">
        <v>65</v>
      </c>
      <c r="B11" s="40" t="s">
        <v>188</v>
      </c>
      <c r="C11" s="76">
        <f>'Licensed FTEs'!N50</f>
        <v>1</v>
      </c>
      <c r="D11" s="76">
        <f>'Classified FTEs'!H50+'Classified FTEs'!K50</f>
        <v>2</v>
      </c>
      <c r="E11" s="76">
        <f>'Classified FTEs'!I50+'Classified FTEs'!L50+'Classified FTEs'!M50+'Classified FTEs'!N50+'Classified FTEs'!O50</f>
        <v>3</v>
      </c>
      <c r="F11" s="76">
        <f>'Licensed FTEs'!O50</f>
        <v>1.5</v>
      </c>
      <c r="G11" s="76">
        <f>'Classified FTEs'!E50+'Classified FTEs'!F50+'Classified FTEs'!J50</f>
        <v>6</v>
      </c>
      <c r="H11" s="76">
        <f>'Licensed FTEs'!P50</f>
        <v>0</v>
      </c>
      <c r="I11" s="76">
        <f>'Classified FTEs'!V50</f>
        <v>0</v>
      </c>
      <c r="J11" s="76">
        <f>'Classified FTEs'!AD50</f>
        <v>0</v>
      </c>
      <c r="K11" s="76">
        <f>'Classified FTEs'!D50</f>
        <v>0</v>
      </c>
      <c r="L11" s="76">
        <f>'Classified FTEs'!T50+'Classified FTEs'!U50+'Classified FTEs'!W50+'Classified FTEs'!X50+'Classified FTEs'!Y50+'Classified FTEs'!AC50+'Classified FTEs'!AE50+'Classified FTEs'!AF50+'Classified FTEs'!AL50</f>
        <v>3</v>
      </c>
      <c r="M11" s="142">
        <f>SUM(C11:L11)+SUM('instruction-charters'!C11:N11)</f>
        <v>92.059999999999988</v>
      </c>
      <c r="N11" s="4"/>
    </row>
    <row r="12" spans="1:14" ht="17.25" customHeight="1" x14ac:dyDescent="0.25">
      <c r="A12" s="40">
        <v>74</v>
      </c>
      <c r="B12" s="40" t="s">
        <v>189</v>
      </c>
      <c r="C12" s="76">
        <f>'Licensed FTEs'!N51</f>
        <v>2.1</v>
      </c>
      <c r="D12" s="76">
        <f>'Classified FTEs'!H51+'Classified FTEs'!K51</f>
        <v>0</v>
      </c>
      <c r="E12" s="76">
        <f>'Classified FTEs'!I51+'Classified FTEs'!L51+'Classified FTEs'!M51+'Classified FTEs'!N51+'Classified FTEs'!O51</f>
        <v>0</v>
      </c>
      <c r="F12" s="76">
        <f>'Licensed FTEs'!O51</f>
        <v>4</v>
      </c>
      <c r="G12" s="76">
        <f>'Classified FTEs'!E51+'Classified FTEs'!F51+'Classified FTEs'!J51</f>
        <v>9.89</v>
      </c>
      <c r="H12" s="76">
        <f>'Licensed FTEs'!P51</f>
        <v>1.86</v>
      </c>
      <c r="I12" s="76">
        <f>'Classified FTEs'!V51</f>
        <v>0</v>
      </c>
      <c r="J12" s="76">
        <f>'Classified FTEs'!AD51</f>
        <v>0</v>
      </c>
      <c r="K12" s="76">
        <f>'Classified FTEs'!D51</f>
        <v>0</v>
      </c>
      <c r="L12" s="76">
        <f>'Classified FTEs'!T51+'Classified FTEs'!U51+'Classified FTEs'!W51+'Classified FTEs'!X51+'Classified FTEs'!Y51+'Classified FTEs'!AC51+'Classified FTEs'!AE51+'Classified FTEs'!AF51+'Classified FTEs'!AL51</f>
        <v>11.98</v>
      </c>
      <c r="M12" s="142">
        <f>SUM(C12:L12)+SUM('instruction-charters'!C12:N12)</f>
        <v>94.07</v>
      </c>
      <c r="N12" s="4"/>
    </row>
    <row r="13" spans="1:14" ht="17.25" customHeight="1" x14ac:dyDescent="0.25">
      <c r="A13" s="40" t="s">
        <v>292</v>
      </c>
      <c r="B13" s="40" t="s">
        <v>293</v>
      </c>
      <c r="C13" s="76">
        <f>'Licensed FTEs'!N52</f>
        <v>0</v>
      </c>
      <c r="D13" s="76">
        <f>'Classified FTEs'!H52+'Classified FTEs'!K52</f>
        <v>0</v>
      </c>
      <c r="E13" s="76">
        <f>'Classified FTEs'!I52+'Classified FTEs'!L52+'Classified FTEs'!M52+'Classified FTEs'!N52+'Classified FTEs'!O52</f>
        <v>0</v>
      </c>
      <c r="F13" s="76">
        <f>'Licensed FTEs'!O52</f>
        <v>0</v>
      </c>
      <c r="G13" s="76">
        <f>'Classified FTEs'!E52+'Classified FTEs'!F52+'Classified FTEs'!J52</f>
        <v>1</v>
      </c>
      <c r="H13" s="76">
        <f>'Licensed FTEs'!P52</f>
        <v>0</v>
      </c>
      <c r="I13" s="76">
        <f>'Classified FTEs'!V52</f>
        <v>0</v>
      </c>
      <c r="J13" s="76">
        <f>'Classified FTEs'!AD52</f>
        <v>0</v>
      </c>
      <c r="K13" s="76">
        <f>'Classified FTEs'!D52</f>
        <v>0</v>
      </c>
      <c r="L13" s="76">
        <f>'Classified FTEs'!T52+'Classified FTEs'!U52+'Classified FTEs'!W52+'Classified FTEs'!X52+'Classified FTEs'!Y52+'Classified FTEs'!AC52+'Classified FTEs'!AE52+'Classified FTEs'!AF52+'Classified FTEs'!AL52</f>
        <v>1.5</v>
      </c>
      <c r="M13" s="142">
        <f>SUM(C13:L13)+SUM('instruction-charters'!C13:N13)</f>
        <v>16.3</v>
      </c>
      <c r="N13" s="4"/>
    </row>
    <row r="14" spans="1:14" ht="17.25" customHeight="1" x14ac:dyDescent="0.25">
      <c r="A14" s="40" t="s">
        <v>66</v>
      </c>
      <c r="B14" s="40" t="s">
        <v>190</v>
      </c>
      <c r="C14" s="76">
        <f>'Licensed FTEs'!N53</f>
        <v>2.25</v>
      </c>
      <c r="D14" s="76">
        <f>'Classified FTEs'!H53+'Classified FTEs'!K53</f>
        <v>0.35</v>
      </c>
      <c r="E14" s="76">
        <f>'Classified FTEs'!I53+'Classified FTEs'!L53+'Classified FTEs'!M53+'Classified FTEs'!N53+'Classified FTEs'!O53</f>
        <v>0</v>
      </c>
      <c r="F14" s="76">
        <f>'Licensed FTEs'!O53</f>
        <v>0</v>
      </c>
      <c r="G14" s="76">
        <f>'Classified FTEs'!E53+'Classified FTEs'!F53+'Classified FTEs'!J53</f>
        <v>2</v>
      </c>
      <c r="H14" s="76">
        <f>'Licensed FTEs'!P53</f>
        <v>0</v>
      </c>
      <c r="I14" s="76">
        <f>'Classified FTEs'!V53</f>
        <v>0</v>
      </c>
      <c r="J14" s="76">
        <f>'Classified FTEs'!AD53</f>
        <v>0</v>
      </c>
      <c r="K14" s="76">
        <f>'Classified FTEs'!D53</f>
        <v>0</v>
      </c>
      <c r="L14" s="76">
        <f>'Classified FTEs'!T53+'Classified FTEs'!U53+'Classified FTEs'!W53+'Classified FTEs'!X53+'Classified FTEs'!Y53+'Classified FTEs'!AC53+'Classified FTEs'!AE53+'Classified FTEs'!AF53+'Classified FTEs'!AL53</f>
        <v>0</v>
      </c>
      <c r="M14" s="142">
        <f>SUM(C14:L14)+SUM('instruction-charters'!C14:N14)</f>
        <v>19.28</v>
      </c>
      <c r="N14" s="4"/>
    </row>
    <row r="15" spans="1:14" ht="17.25" customHeight="1" thickBot="1" x14ac:dyDescent="0.3">
      <c r="A15" s="40" t="s">
        <v>67</v>
      </c>
      <c r="B15" s="40" t="s">
        <v>191</v>
      </c>
      <c r="C15" s="79">
        <f>'Licensed FTEs'!N54</f>
        <v>0.67</v>
      </c>
      <c r="D15" s="79">
        <f>'Classified FTEs'!H54+'Classified FTEs'!K54</f>
        <v>0</v>
      </c>
      <c r="E15" s="79">
        <f>'Classified FTEs'!I54+'Classified FTEs'!L54+'Classified FTEs'!M54+'Classified FTEs'!N54+'Classified FTEs'!O54</f>
        <v>0</v>
      </c>
      <c r="F15" s="79">
        <f>'Licensed FTEs'!O54</f>
        <v>1</v>
      </c>
      <c r="G15" s="79">
        <f>'Classified FTEs'!E54+'Classified FTEs'!F54+'Classified FTEs'!J54</f>
        <v>0</v>
      </c>
      <c r="H15" s="79">
        <f>'Licensed FTEs'!P54</f>
        <v>0.53</v>
      </c>
      <c r="I15" s="79">
        <f>'Classified FTEs'!V54</f>
        <v>0</v>
      </c>
      <c r="J15" s="79">
        <f>'Classified FTEs'!AD54</f>
        <v>0</v>
      </c>
      <c r="K15" s="79">
        <f>'Classified FTEs'!D54</f>
        <v>0</v>
      </c>
      <c r="L15" s="79">
        <f>'Classified FTEs'!T54+'Classified FTEs'!U54+'Classified FTEs'!W54+'Classified FTEs'!X54+'Classified FTEs'!Y54+'Classified FTEs'!AC54+'Classified FTEs'!AE54+'Classified FTEs'!AF54+'Classified FTEs'!AL54</f>
        <v>0</v>
      </c>
      <c r="M15" s="143">
        <f>SUM(C15:L15)+SUM('instruction-charters'!C15:N15)</f>
        <v>23.529999999999998</v>
      </c>
      <c r="N15" s="4"/>
    </row>
    <row r="16" spans="1:14" ht="15" x14ac:dyDescent="0.25">
      <c r="A16" s="40" t="s">
        <v>68</v>
      </c>
      <c r="B16" s="40" t="s">
        <v>192</v>
      </c>
      <c r="C16" s="71">
        <f>'Licensed FTEs'!N55</f>
        <v>0</v>
      </c>
      <c r="D16" s="71">
        <f>'Classified FTEs'!H55+'Classified FTEs'!K55</f>
        <v>1</v>
      </c>
      <c r="E16" s="71">
        <f>'Classified FTEs'!I55+'Classified FTEs'!L55+'Classified FTEs'!M55+'Classified FTEs'!N55+'Classified FTEs'!O55</f>
        <v>0.45</v>
      </c>
      <c r="F16" s="71">
        <f>'Licensed FTEs'!O55</f>
        <v>2.25</v>
      </c>
      <c r="G16" s="71">
        <f>'Classified FTEs'!E55+'Classified FTEs'!F55+'Classified FTEs'!J55</f>
        <v>2</v>
      </c>
      <c r="H16" s="71">
        <f>'Licensed FTEs'!P55</f>
        <v>2</v>
      </c>
      <c r="I16" s="71">
        <f>'Classified FTEs'!V55</f>
        <v>0</v>
      </c>
      <c r="J16" s="71">
        <f>'Classified FTEs'!AD55</f>
        <v>1</v>
      </c>
      <c r="K16" s="71">
        <f>'Classified FTEs'!D55</f>
        <v>0</v>
      </c>
      <c r="L16" s="71">
        <f>'Classified FTEs'!T55+'Classified FTEs'!U55+'Classified FTEs'!W55+'Classified FTEs'!X55+'Classified FTEs'!Y55+'Classified FTEs'!AC55+'Classified FTEs'!AE55+'Classified FTEs'!AF55+'Classified FTEs'!AL55</f>
        <v>3.95</v>
      </c>
      <c r="M16" s="141">
        <f>SUM(C16:L16)+SUM('instruction-charters'!C16:N16)</f>
        <v>58.359999999999992</v>
      </c>
    </row>
    <row r="17" spans="1:14" ht="15" x14ac:dyDescent="0.25">
      <c r="A17" s="40">
        <v>87</v>
      </c>
      <c r="B17" s="40" t="s">
        <v>193</v>
      </c>
      <c r="C17" s="76">
        <f>'Licensed FTEs'!N56</f>
        <v>1</v>
      </c>
      <c r="D17" s="76">
        <f>'Classified FTEs'!H56+'Classified FTEs'!K56</f>
        <v>1</v>
      </c>
      <c r="E17" s="76">
        <f>'Classified FTEs'!I56+'Classified FTEs'!L56+'Classified FTEs'!M56+'Classified FTEs'!N56+'Classified FTEs'!O56</f>
        <v>0</v>
      </c>
      <c r="F17" s="76">
        <f>'Licensed FTEs'!O56</f>
        <v>0.9</v>
      </c>
      <c r="G17" s="76">
        <f>'Classified FTEs'!E56+'Classified FTEs'!F56+'Classified FTEs'!J56</f>
        <v>1.17</v>
      </c>
      <c r="H17" s="76">
        <f>'Licensed FTEs'!P56</f>
        <v>0</v>
      </c>
      <c r="I17" s="76">
        <f>'Classified FTEs'!V56</f>
        <v>0</v>
      </c>
      <c r="J17" s="76">
        <f>'Classified FTEs'!AD56</f>
        <v>0</v>
      </c>
      <c r="K17" s="76">
        <f>'Classified FTEs'!D56</f>
        <v>0</v>
      </c>
      <c r="L17" s="76">
        <f>'Classified FTEs'!T56+'Classified FTEs'!U56+'Classified FTEs'!W56+'Classified FTEs'!X56+'Classified FTEs'!Y56+'Classified FTEs'!AC56+'Classified FTEs'!AE56+'Classified FTEs'!AF56+'Classified FTEs'!AL56</f>
        <v>1.5899999999999999</v>
      </c>
      <c r="M17" s="142">
        <f>SUM(C17:L17)+SUM('instruction-charters'!C17:N17)</f>
        <v>31.32</v>
      </c>
    </row>
    <row r="18" spans="1:14" ht="15" x14ac:dyDescent="0.25">
      <c r="A18" s="40" t="s">
        <v>69</v>
      </c>
      <c r="B18" s="40" t="s">
        <v>294</v>
      </c>
      <c r="C18" s="76">
        <f>'Licensed FTEs'!N57</f>
        <v>1</v>
      </c>
      <c r="D18" s="76">
        <f>'Classified FTEs'!H57+'Classified FTEs'!K57</f>
        <v>3</v>
      </c>
      <c r="E18" s="76">
        <f>'Classified FTEs'!I57+'Classified FTEs'!L57+'Classified FTEs'!M57+'Classified FTEs'!N57+'Classified FTEs'!O57</f>
        <v>0</v>
      </c>
      <c r="F18" s="76">
        <f>'Licensed FTEs'!O57</f>
        <v>0</v>
      </c>
      <c r="G18" s="76">
        <f>'Classified FTEs'!E57+'Classified FTEs'!F57+'Classified FTEs'!J57</f>
        <v>1.28</v>
      </c>
      <c r="H18" s="76">
        <f>'Licensed FTEs'!P57</f>
        <v>0.6</v>
      </c>
      <c r="I18" s="76">
        <f>'Classified FTEs'!V57</f>
        <v>0</v>
      </c>
      <c r="J18" s="76">
        <f>'Classified FTEs'!AD57</f>
        <v>0</v>
      </c>
      <c r="K18" s="76">
        <f>'Classified FTEs'!D57</f>
        <v>0</v>
      </c>
      <c r="L18" s="76">
        <f>'Classified FTEs'!T57+'Classified FTEs'!U57+'Classified FTEs'!W57+'Classified FTEs'!X57+'Classified FTEs'!Y57+'Classified FTEs'!AC57+'Classified FTEs'!AE57+'Classified FTEs'!AF57+'Classified FTEs'!AL57</f>
        <v>2.3199999999999998</v>
      </c>
      <c r="M18" s="142">
        <f>SUM(C18:L18)+SUM('instruction-charters'!C18:N18)</f>
        <v>25.81</v>
      </c>
    </row>
    <row r="19" spans="1:14" ht="15" x14ac:dyDescent="0.25">
      <c r="A19" s="40" t="s">
        <v>70</v>
      </c>
      <c r="B19" s="40" t="s">
        <v>194</v>
      </c>
      <c r="C19" s="76">
        <f>'Licensed FTEs'!N58</f>
        <v>0</v>
      </c>
      <c r="D19" s="76">
        <f>'Classified FTEs'!H58+'Classified FTEs'!K58</f>
        <v>0</v>
      </c>
      <c r="E19" s="76">
        <f>'Classified FTEs'!I58+'Classified FTEs'!L58+'Classified FTEs'!M58+'Classified FTEs'!N58+'Classified FTEs'!O58</f>
        <v>0.6</v>
      </c>
      <c r="F19" s="76">
        <f>'Licensed FTEs'!O58</f>
        <v>2</v>
      </c>
      <c r="G19" s="76">
        <f>'Classified FTEs'!E58+'Classified FTEs'!F58+'Classified FTEs'!J58</f>
        <v>1.6</v>
      </c>
      <c r="H19" s="76">
        <f>'Licensed FTEs'!P58</f>
        <v>0</v>
      </c>
      <c r="I19" s="76">
        <f>'Classified FTEs'!V58</f>
        <v>0</v>
      </c>
      <c r="J19" s="76">
        <f>'Classified FTEs'!AD58</f>
        <v>0</v>
      </c>
      <c r="K19" s="76">
        <f>'Classified FTEs'!D58</f>
        <v>0</v>
      </c>
      <c r="L19" s="76">
        <f>'Classified FTEs'!T58+'Classified FTEs'!U58+'Classified FTEs'!W58+'Classified FTEs'!X58+'Classified FTEs'!Y58+'Classified FTEs'!AC58+'Classified FTEs'!AE58+'Classified FTEs'!AF58+'Classified FTEs'!AL58</f>
        <v>3.8</v>
      </c>
      <c r="M19" s="142">
        <f>SUM(C19:L19)+SUM('instruction-charters'!C19:N19)</f>
        <v>30.169999999999998</v>
      </c>
    </row>
    <row r="20" spans="1:14" ht="15" x14ac:dyDescent="0.25">
      <c r="A20" s="40" t="s">
        <v>71</v>
      </c>
      <c r="B20" s="40" t="s">
        <v>195</v>
      </c>
      <c r="C20" s="76">
        <f>'Licensed FTEs'!N59</f>
        <v>0</v>
      </c>
      <c r="D20" s="76">
        <f>'Classified FTEs'!H59+'Classified FTEs'!K59</f>
        <v>0</v>
      </c>
      <c r="E20" s="76">
        <f>'Classified FTEs'!I59+'Classified FTEs'!L59+'Classified FTEs'!M59+'Classified FTEs'!N59+'Classified FTEs'!O59</f>
        <v>1.1000000000000001</v>
      </c>
      <c r="F20" s="76">
        <f>'Licensed FTEs'!O59</f>
        <v>1.17</v>
      </c>
      <c r="G20" s="76">
        <f>'Classified FTEs'!E59+'Classified FTEs'!F59+'Classified FTEs'!J59</f>
        <v>1.6</v>
      </c>
      <c r="H20" s="76">
        <f>'Licensed FTEs'!P59</f>
        <v>0</v>
      </c>
      <c r="I20" s="76">
        <f>'Classified FTEs'!V59</f>
        <v>0</v>
      </c>
      <c r="J20" s="76">
        <f>'Classified FTEs'!AD59</f>
        <v>0</v>
      </c>
      <c r="K20" s="76">
        <f>'Classified FTEs'!D59</f>
        <v>0</v>
      </c>
      <c r="L20" s="76">
        <f>'Classified FTEs'!T59+'Classified FTEs'!U59+'Classified FTEs'!W59+'Classified FTEs'!X59+'Classified FTEs'!Y59+'Classified FTEs'!AC59+'Classified FTEs'!AE59+'Classified FTEs'!AF59+'Classified FTEs'!AL59</f>
        <v>6</v>
      </c>
      <c r="M20" s="142">
        <f>SUM(C20:L20)+SUM('instruction-charters'!C20:N20)</f>
        <v>35.090000000000003</v>
      </c>
    </row>
    <row r="21" spans="1:14" ht="15.75" thickBot="1" x14ac:dyDescent="0.3">
      <c r="A21" s="40" t="s">
        <v>278</v>
      </c>
      <c r="B21" s="40" t="s">
        <v>279</v>
      </c>
      <c r="C21" s="79">
        <f>'Licensed FTEs'!N60</f>
        <v>0</v>
      </c>
      <c r="D21" s="79">
        <f>'Classified FTEs'!H60+'Classified FTEs'!K60</f>
        <v>0</v>
      </c>
      <c r="E21" s="79">
        <f>'Classified FTEs'!I60+'Classified FTEs'!L60+'Classified FTEs'!M60+'Classified FTEs'!N60+'Classified FTEs'!O60</f>
        <v>0</v>
      </c>
      <c r="F21" s="79">
        <f>'Licensed FTEs'!O60</f>
        <v>1.61</v>
      </c>
      <c r="G21" s="79">
        <f>'Classified FTEs'!E60+'Classified FTEs'!F60+'Classified FTEs'!J60</f>
        <v>2.4500000000000002</v>
      </c>
      <c r="H21" s="79">
        <f>'Licensed FTEs'!P60</f>
        <v>0</v>
      </c>
      <c r="I21" s="79">
        <f>'Classified FTEs'!V60</f>
        <v>0</v>
      </c>
      <c r="J21" s="79">
        <f>'Classified FTEs'!AD60</f>
        <v>0</v>
      </c>
      <c r="K21" s="79">
        <f>'Classified FTEs'!D60</f>
        <v>0</v>
      </c>
      <c r="L21" s="79">
        <f>'Classified FTEs'!T60+'Classified FTEs'!U60+'Classified FTEs'!W60+'Classified FTEs'!X60+'Classified FTEs'!Y60+'Classified FTEs'!AC60+'Classified FTEs'!AE60+'Classified FTEs'!AF60+'Classified FTEs'!AL60</f>
        <v>0</v>
      </c>
      <c r="M21" s="143">
        <f>SUM(C21:L21)+SUM('instruction-charters'!C21:N21)</f>
        <v>50.810000000000009</v>
      </c>
    </row>
    <row r="22" spans="1:14" ht="15" x14ac:dyDescent="0.25">
      <c r="A22" s="40" t="s">
        <v>72</v>
      </c>
      <c r="B22" s="40" t="s">
        <v>196</v>
      </c>
      <c r="C22" s="71">
        <f>'Licensed FTEs'!N61</f>
        <v>0</v>
      </c>
      <c r="D22" s="71">
        <f>'Classified FTEs'!H61+'Classified FTEs'!K61</f>
        <v>0.7</v>
      </c>
      <c r="E22" s="71">
        <f>'Classified FTEs'!I61+'Classified FTEs'!L61+'Classified FTEs'!M61+'Classified FTEs'!N61+'Classified FTEs'!O61</f>
        <v>0.6</v>
      </c>
      <c r="F22" s="71">
        <f>'Licensed FTEs'!O61</f>
        <v>0</v>
      </c>
      <c r="G22" s="71">
        <f>'Classified FTEs'!E61+'Classified FTEs'!F61+'Classified FTEs'!J61</f>
        <v>2</v>
      </c>
      <c r="H22" s="71">
        <f>'Licensed FTEs'!P61</f>
        <v>0</v>
      </c>
      <c r="I22" s="71">
        <f>'Classified FTEs'!V61</f>
        <v>0</v>
      </c>
      <c r="J22" s="71">
        <f>'Classified FTEs'!AD61</f>
        <v>0</v>
      </c>
      <c r="K22" s="71">
        <f>'Classified FTEs'!D61</f>
        <v>0</v>
      </c>
      <c r="L22" s="71">
        <f>'Classified FTEs'!T61+'Classified FTEs'!U61+'Classified FTEs'!W61+'Classified FTEs'!X61+'Classified FTEs'!Y61+'Classified FTEs'!AC61+'Classified FTEs'!AE61+'Classified FTEs'!AF61+'Classified FTEs'!AL61</f>
        <v>1.3</v>
      </c>
      <c r="M22" s="141">
        <f>SUM(C22:L22)+SUM('instruction-charters'!C22:N22)</f>
        <v>26.93</v>
      </c>
    </row>
    <row r="23" spans="1:14" ht="15" x14ac:dyDescent="0.25">
      <c r="A23" s="40" t="s">
        <v>73</v>
      </c>
      <c r="B23" s="40" t="s">
        <v>197</v>
      </c>
      <c r="C23" s="76">
        <f>'Licensed FTEs'!N62</f>
        <v>0</v>
      </c>
      <c r="D23" s="76">
        <f>'Classified FTEs'!H62+'Classified FTEs'!K62</f>
        <v>0</v>
      </c>
      <c r="E23" s="76">
        <f>'Classified FTEs'!I62+'Classified FTEs'!L62+'Classified FTEs'!M62+'Classified FTEs'!N62+'Classified FTEs'!O62</f>
        <v>0</v>
      </c>
      <c r="F23" s="76">
        <f>'Licensed FTEs'!O62</f>
        <v>1.3</v>
      </c>
      <c r="G23" s="76">
        <f>'Classified FTEs'!E62+'Classified FTEs'!F62+'Classified FTEs'!J62</f>
        <v>0</v>
      </c>
      <c r="H23" s="76">
        <f>'Licensed FTEs'!P62</f>
        <v>0.51</v>
      </c>
      <c r="I23" s="76">
        <f>'Classified FTEs'!V62</f>
        <v>0</v>
      </c>
      <c r="J23" s="76">
        <f>'Classified FTEs'!AD62</f>
        <v>0</v>
      </c>
      <c r="K23" s="76">
        <f>'Classified FTEs'!D62</f>
        <v>0</v>
      </c>
      <c r="L23" s="76">
        <f>'Classified FTEs'!T62+'Classified FTEs'!U62+'Classified FTEs'!W62+'Classified FTEs'!X62+'Classified FTEs'!Y62+'Classified FTEs'!AC62+'Classified FTEs'!AE62+'Classified FTEs'!AF62+'Classified FTEs'!AL62</f>
        <v>0</v>
      </c>
      <c r="M23" s="142">
        <f>SUM(C23:L23)+SUM('instruction-charters'!C23:N23)</f>
        <v>20.38</v>
      </c>
    </row>
    <row r="24" spans="1:14" ht="15" x14ac:dyDescent="0.25">
      <c r="A24" s="40" t="s">
        <v>74</v>
      </c>
      <c r="B24" s="40" t="s">
        <v>198</v>
      </c>
      <c r="C24" s="76">
        <f>'Licensed FTEs'!N63</f>
        <v>0</v>
      </c>
      <c r="D24" s="76">
        <f>'Classified FTEs'!H63+'Classified FTEs'!K63</f>
        <v>1</v>
      </c>
      <c r="E24" s="76">
        <f>'Classified FTEs'!I63+'Classified FTEs'!L63+'Classified FTEs'!M63+'Classified FTEs'!N63+'Classified FTEs'!O63</f>
        <v>0</v>
      </c>
      <c r="F24" s="76">
        <f>'Licensed FTEs'!O63</f>
        <v>0</v>
      </c>
      <c r="G24" s="76">
        <f>'Classified FTEs'!E63+'Classified FTEs'!F63+'Classified FTEs'!J63</f>
        <v>3.5</v>
      </c>
      <c r="H24" s="76">
        <f>'Licensed FTEs'!P63</f>
        <v>0.21</v>
      </c>
      <c r="I24" s="76">
        <f>'Classified FTEs'!V63</f>
        <v>0</v>
      </c>
      <c r="J24" s="76">
        <f>'Classified FTEs'!AD63</f>
        <v>1</v>
      </c>
      <c r="K24" s="76">
        <f>'Classified FTEs'!D63</f>
        <v>0</v>
      </c>
      <c r="L24" s="76">
        <f>'Classified FTEs'!T63+'Classified FTEs'!U63+'Classified FTEs'!W63+'Classified FTEs'!X63+'Classified FTEs'!Y63+'Classified FTEs'!AC63+'Classified FTEs'!AE63+'Classified FTEs'!AF63+'Classified FTEs'!AL63</f>
        <v>3.1</v>
      </c>
      <c r="M24" s="142">
        <f>SUM(C24:L24)+SUM('instruction-charters'!C24:N24)</f>
        <v>51.410000000000004</v>
      </c>
    </row>
    <row r="25" spans="1:14" ht="15" x14ac:dyDescent="0.25">
      <c r="A25" s="40" t="s">
        <v>280</v>
      </c>
      <c r="B25" s="40" t="s">
        <v>281</v>
      </c>
      <c r="C25" s="76">
        <f>'Licensed FTEs'!N64</f>
        <v>0.86</v>
      </c>
      <c r="D25" s="76">
        <f>'Classified FTEs'!H64+'Classified FTEs'!K64</f>
        <v>0</v>
      </c>
      <c r="E25" s="76">
        <f>'Classified FTEs'!I64+'Classified FTEs'!L64+'Classified FTEs'!M64+'Classified FTEs'!N64+'Classified FTEs'!O64</f>
        <v>1</v>
      </c>
      <c r="F25" s="76">
        <f>'Licensed FTEs'!O64</f>
        <v>1</v>
      </c>
      <c r="G25" s="76">
        <f>'Classified FTEs'!E64+'Classified FTEs'!F64+'Classified FTEs'!J64</f>
        <v>4</v>
      </c>
      <c r="H25" s="76">
        <f>'Licensed FTEs'!P64</f>
        <v>0</v>
      </c>
      <c r="I25" s="76">
        <f>'Classified FTEs'!V64</f>
        <v>0</v>
      </c>
      <c r="J25" s="76">
        <f>'Classified FTEs'!AD64</f>
        <v>0</v>
      </c>
      <c r="K25" s="76">
        <f>'Classified FTEs'!D64</f>
        <v>0</v>
      </c>
      <c r="L25" s="76">
        <f>'Classified FTEs'!T64+'Classified FTEs'!U64+'Classified FTEs'!W64+'Classified FTEs'!X64+'Classified FTEs'!Y64+'Classified FTEs'!AC64+'Classified FTEs'!AE64+'Classified FTEs'!AF64+'Classified FTEs'!AL64</f>
        <v>3</v>
      </c>
      <c r="M25" s="142">
        <f>SUM(C25:L25)+SUM('instruction-charters'!C25:N25)</f>
        <v>58.269999999999996</v>
      </c>
    </row>
    <row r="26" spans="1:14" ht="15" x14ac:dyDescent="0.25">
      <c r="A26" s="40">
        <v>98</v>
      </c>
      <c r="B26" s="40" t="s">
        <v>199</v>
      </c>
      <c r="C26" s="76">
        <f>'Licensed FTEs'!N65</f>
        <v>0</v>
      </c>
      <c r="D26" s="76">
        <f>'Classified FTEs'!H65+'Classified FTEs'!K65</f>
        <v>0.8</v>
      </c>
      <c r="E26" s="76">
        <f>'Classified FTEs'!I65+'Classified FTEs'!L65+'Classified FTEs'!M65+'Classified FTEs'!N65+'Classified FTEs'!O65</f>
        <v>0.5</v>
      </c>
      <c r="F26" s="76">
        <f>'Licensed FTEs'!O65</f>
        <v>1.17</v>
      </c>
      <c r="G26" s="76">
        <f>'Classified FTEs'!E65+'Classified FTEs'!F65+'Classified FTEs'!J65</f>
        <v>2</v>
      </c>
      <c r="H26" s="76">
        <f>'Licensed FTEs'!P65</f>
        <v>0</v>
      </c>
      <c r="I26" s="76">
        <f>'Classified FTEs'!V65</f>
        <v>0</v>
      </c>
      <c r="J26" s="76">
        <f>'Classified FTEs'!AD65</f>
        <v>0</v>
      </c>
      <c r="K26" s="76">
        <f>'Classified FTEs'!D65</f>
        <v>0</v>
      </c>
      <c r="L26" s="76">
        <f>'Classified FTEs'!T65+'Classified FTEs'!U65+'Classified FTEs'!W65+'Classified FTEs'!X65+'Classified FTEs'!Y65+'Classified FTEs'!AC65+'Classified FTEs'!AE65+'Classified FTEs'!AF65+'Classified FTEs'!AL65</f>
        <v>1</v>
      </c>
      <c r="M26" s="142">
        <f>SUM(C26:L26)+SUM('instruction-charters'!C26:N26)</f>
        <v>23.409999999999997</v>
      </c>
    </row>
    <row r="27" spans="1:14" ht="15.75" thickBot="1" x14ac:dyDescent="0.3">
      <c r="A27" s="40">
        <v>82</v>
      </c>
      <c r="B27" s="40" t="s">
        <v>200</v>
      </c>
      <c r="C27" s="79">
        <f>'Licensed FTEs'!N66</f>
        <v>0</v>
      </c>
      <c r="D27" s="79">
        <f>'Classified FTEs'!H66+'Classified FTEs'!K66</f>
        <v>0.3</v>
      </c>
      <c r="E27" s="79">
        <f>'Classified FTEs'!I66+'Classified FTEs'!L66+'Classified FTEs'!M66+'Classified FTEs'!N66+'Classified FTEs'!O66</f>
        <v>1</v>
      </c>
      <c r="F27" s="79">
        <f>'Licensed FTEs'!O66</f>
        <v>1.18</v>
      </c>
      <c r="G27" s="79">
        <f>'Classified FTEs'!E66+'Classified FTEs'!F66+'Classified FTEs'!J66</f>
        <v>2.1</v>
      </c>
      <c r="H27" s="79">
        <f>'Licensed FTEs'!P66</f>
        <v>0.25</v>
      </c>
      <c r="I27" s="79">
        <f>'Classified FTEs'!V66</f>
        <v>0</v>
      </c>
      <c r="J27" s="79">
        <f>'Classified FTEs'!AD66</f>
        <v>0.5</v>
      </c>
      <c r="K27" s="79">
        <f>'Classified FTEs'!D66</f>
        <v>0</v>
      </c>
      <c r="L27" s="79">
        <f>'Classified FTEs'!T66+'Classified FTEs'!U66+'Classified FTEs'!W66+'Classified FTEs'!X66+'Classified FTEs'!Y66+'Classified FTEs'!AC66+'Classified FTEs'!AE66+'Classified FTEs'!AF66+'Classified FTEs'!AL66</f>
        <v>4.8</v>
      </c>
      <c r="M27" s="143">
        <f>SUM(C27:L27)+SUM('instruction-charters'!C27:N27)</f>
        <v>43.989999999999995</v>
      </c>
      <c r="N27" s="144"/>
    </row>
    <row r="28" spans="1:14" ht="15" x14ac:dyDescent="0.25">
      <c r="A28" s="40" t="s">
        <v>201</v>
      </c>
      <c r="B28" s="40" t="s">
        <v>202</v>
      </c>
      <c r="C28" s="71">
        <f>'Licensed FTEs'!N67</f>
        <v>0</v>
      </c>
      <c r="D28" s="71">
        <f>'Classified FTEs'!H67+'Classified FTEs'!K67</f>
        <v>0</v>
      </c>
      <c r="E28" s="71">
        <f>'Classified FTEs'!I67+'Classified FTEs'!L67+'Classified FTEs'!M67+'Classified FTEs'!N67+'Classified FTEs'!O67</f>
        <v>1</v>
      </c>
      <c r="F28" s="71">
        <f>'Licensed FTEs'!O67</f>
        <v>1</v>
      </c>
      <c r="G28" s="71">
        <f>'Classified FTEs'!E67+'Classified FTEs'!F67+'Classified FTEs'!J67</f>
        <v>0</v>
      </c>
      <c r="H28" s="71">
        <f>'Licensed FTEs'!P67</f>
        <v>1</v>
      </c>
      <c r="I28" s="71">
        <f>'Classified FTEs'!V67</f>
        <v>0</v>
      </c>
      <c r="J28" s="71">
        <f>'Classified FTEs'!AD67</f>
        <v>0</v>
      </c>
      <c r="K28" s="71">
        <f>'Classified FTEs'!D67</f>
        <v>1</v>
      </c>
      <c r="L28" s="71">
        <f>'Classified FTEs'!T67+'Classified FTEs'!U67+'Classified FTEs'!W67+'Classified FTEs'!X67+'Classified FTEs'!Y67+'Classified FTEs'!AC67+'Classified FTEs'!AE67+'Classified FTEs'!AF67+'Classified FTEs'!AL67</f>
        <v>2</v>
      </c>
      <c r="M28" s="141">
        <f>SUM(C28:L28)+SUM('instruction-charters'!C28:N28)</f>
        <v>50.25</v>
      </c>
      <c r="N28" s="144"/>
    </row>
    <row r="29" spans="1:14" ht="15" x14ac:dyDescent="0.25">
      <c r="A29" s="40" t="s">
        <v>75</v>
      </c>
      <c r="B29" s="40" t="s">
        <v>203</v>
      </c>
      <c r="C29" s="76">
        <f>'Licensed FTEs'!N68</f>
        <v>0</v>
      </c>
      <c r="D29" s="76">
        <f>'Classified FTEs'!H68+'Classified FTEs'!K68</f>
        <v>0</v>
      </c>
      <c r="E29" s="76">
        <f>'Classified FTEs'!I68+'Classified FTEs'!L68+'Classified FTEs'!M68+'Classified FTEs'!N68+'Classified FTEs'!O68</f>
        <v>0</v>
      </c>
      <c r="F29" s="76">
        <f>'Licensed FTEs'!O68</f>
        <v>1.82</v>
      </c>
      <c r="G29" s="76">
        <f>'Classified FTEs'!E68+'Classified FTEs'!F68+'Classified FTEs'!J68</f>
        <v>4.66</v>
      </c>
      <c r="H29" s="76">
        <f>'Licensed FTEs'!P68</f>
        <v>0</v>
      </c>
      <c r="I29" s="76">
        <f>'Classified FTEs'!V68</f>
        <v>0</v>
      </c>
      <c r="J29" s="76">
        <f>'Classified FTEs'!AD68</f>
        <v>0</v>
      </c>
      <c r="K29" s="76">
        <f>'Classified FTEs'!D68</f>
        <v>0</v>
      </c>
      <c r="L29" s="76">
        <f>'Classified FTEs'!T68+'Classified FTEs'!U68+'Classified FTEs'!W68+'Classified FTEs'!X68+'Classified FTEs'!Y68+'Classified FTEs'!AC68+'Classified FTEs'!AE68+'Classified FTEs'!AF68+'Classified FTEs'!AL68</f>
        <v>1.8</v>
      </c>
      <c r="M29" s="142">
        <f>SUM(C29:L29)+SUM('instruction-charters'!C29:N29)</f>
        <v>52.7</v>
      </c>
      <c r="N29" s="144"/>
    </row>
    <row r="30" spans="1:14" ht="15" x14ac:dyDescent="0.25">
      <c r="A30" s="40" t="s">
        <v>295</v>
      </c>
      <c r="B30" s="40" t="s">
        <v>296</v>
      </c>
      <c r="C30" s="76">
        <f>'Licensed FTEs'!N69</f>
        <v>0</v>
      </c>
      <c r="D30" s="76">
        <f>'Classified FTEs'!H69+'Classified FTEs'!K69</f>
        <v>0</v>
      </c>
      <c r="E30" s="76">
        <f>'Classified FTEs'!I69+'Classified FTEs'!L69+'Classified FTEs'!M69+'Classified FTEs'!N69+'Classified FTEs'!O69</f>
        <v>0.1</v>
      </c>
      <c r="F30" s="76">
        <f>'Licensed FTEs'!O69</f>
        <v>1</v>
      </c>
      <c r="G30" s="76">
        <f>'Classified FTEs'!E69+'Classified FTEs'!F69+'Classified FTEs'!J69</f>
        <v>1.5</v>
      </c>
      <c r="H30" s="76">
        <f>'Licensed FTEs'!P69</f>
        <v>0</v>
      </c>
      <c r="I30" s="76">
        <f>'Classified FTEs'!V69</f>
        <v>0</v>
      </c>
      <c r="J30" s="76">
        <f>'Classified FTEs'!AD69</f>
        <v>0</v>
      </c>
      <c r="K30" s="76">
        <f>'Classified FTEs'!D69</f>
        <v>0</v>
      </c>
      <c r="L30" s="76">
        <f>'Classified FTEs'!T69+'Classified FTEs'!U69+'Classified FTEs'!W69+'Classified FTEs'!X69+'Classified FTEs'!Y69+'Classified FTEs'!AC69+'Classified FTEs'!AE69+'Classified FTEs'!AF69+'Classified FTEs'!AL69</f>
        <v>1.2</v>
      </c>
      <c r="M30" s="142">
        <f>SUM(C30:L30)+SUM('instruction-charters'!C30:N30)</f>
        <v>24.94</v>
      </c>
      <c r="N30" s="144"/>
    </row>
    <row r="31" spans="1:14" ht="15" x14ac:dyDescent="0.25">
      <c r="A31" s="40" t="s">
        <v>76</v>
      </c>
      <c r="B31" s="40" t="s">
        <v>204</v>
      </c>
      <c r="C31" s="76">
        <f>'Licensed FTEs'!N70</f>
        <v>0</v>
      </c>
      <c r="D31" s="76">
        <f>'Classified FTEs'!H70+'Classified FTEs'!K70</f>
        <v>1.05</v>
      </c>
      <c r="E31" s="76">
        <f>'Classified FTEs'!I70+'Classified FTEs'!L70+'Classified FTEs'!M70+'Classified FTEs'!N70+'Classified FTEs'!O70</f>
        <v>0.75</v>
      </c>
      <c r="F31" s="76">
        <f>'Licensed FTEs'!O70</f>
        <v>1</v>
      </c>
      <c r="G31" s="76">
        <f>'Classified FTEs'!E70+'Classified FTEs'!F70+'Classified FTEs'!J70</f>
        <v>1.2000000000000002</v>
      </c>
      <c r="H31" s="76">
        <f>'Licensed FTEs'!P70</f>
        <v>0</v>
      </c>
      <c r="I31" s="76">
        <f>'Classified FTEs'!V70</f>
        <v>0</v>
      </c>
      <c r="J31" s="76">
        <f>'Classified FTEs'!AD70</f>
        <v>0</v>
      </c>
      <c r="K31" s="76">
        <f>'Classified FTEs'!D70</f>
        <v>0</v>
      </c>
      <c r="L31" s="76">
        <f>'Classified FTEs'!T70+'Classified FTEs'!U70+'Classified FTEs'!W70+'Classified FTEs'!X70+'Classified FTEs'!Y70+'Classified FTEs'!AC70+'Classified FTEs'!AE70+'Classified FTEs'!AF70+'Classified FTEs'!AL70</f>
        <v>3.48</v>
      </c>
      <c r="M31" s="142">
        <f>SUM(C31:L31)+SUM('instruction-charters'!C31:N31)</f>
        <v>19.53</v>
      </c>
      <c r="N31" s="144"/>
    </row>
    <row r="32" spans="1:14" ht="15" x14ac:dyDescent="0.25">
      <c r="A32" s="40" t="s">
        <v>282</v>
      </c>
      <c r="B32" s="40" t="s">
        <v>283</v>
      </c>
      <c r="C32" s="76">
        <f>'Licensed FTEs'!N71</f>
        <v>0</v>
      </c>
      <c r="D32" s="76">
        <f>'Classified FTEs'!H71+'Classified FTEs'!K71</f>
        <v>0</v>
      </c>
      <c r="E32" s="76">
        <f>'Classified FTEs'!I71+'Classified FTEs'!L71+'Classified FTEs'!M71+'Classified FTEs'!N71+'Classified FTEs'!O71</f>
        <v>0</v>
      </c>
      <c r="F32" s="76">
        <f>'Licensed FTEs'!O71</f>
        <v>2.6</v>
      </c>
      <c r="G32" s="76">
        <f>'Classified FTEs'!E71+'Classified FTEs'!F71+'Classified FTEs'!J71</f>
        <v>1.78</v>
      </c>
      <c r="H32" s="76">
        <f>'Licensed FTEs'!P71</f>
        <v>0</v>
      </c>
      <c r="I32" s="76">
        <f>'Classified FTEs'!V71</f>
        <v>0</v>
      </c>
      <c r="J32" s="76">
        <f>'Classified FTEs'!AD71</f>
        <v>0</v>
      </c>
      <c r="K32" s="76">
        <f>'Classified FTEs'!D71</f>
        <v>0</v>
      </c>
      <c r="L32" s="76">
        <f>'Classified FTEs'!T71+'Classified FTEs'!U71+'Classified FTEs'!W71+'Classified FTEs'!X71+'Classified FTEs'!Y71+'Classified FTEs'!AC71+'Classified FTEs'!AE71+'Classified FTEs'!AF71+'Classified FTEs'!AL71</f>
        <v>2.0300000000000002</v>
      </c>
      <c r="M32" s="142">
        <f>SUM(C32:L32)+SUM('instruction-charters'!C32:N32)</f>
        <v>47.95</v>
      </c>
      <c r="N32" s="144"/>
    </row>
    <row r="33" spans="1:14" ht="15.75" thickBot="1" x14ac:dyDescent="0.3">
      <c r="A33" s="40" t="s">
        <v>77</v>
      </c>
      <c r="B33" s="40" t="s">
        <v>205</v>
      </c>
      <c r="C33" s="79">
        <f>'Licensed FTEs'!N72</f>
        <v>0</v>
      </c>
      <c r="D33" s="79">
        <f>'Classified FTEs'!H72+'Classified FTEs'!K72</f>
        <v>0</v>
      </c>
      <c r="E33" s="79">
        <f>'Classified FTEs'!I72+'Classified FTEs'!L72+'Classified FTEs'!M72+'Classified FTEs'!N72+'Classified FTEs'!O72</f>
        <v>0</v>
      </c>
      <c r="F33" s="79">
        <f>'Licensed FTEs'!O72</f>
        <v>1</v>
      </c>
      <c r="G33" s="79">
        <f>'Classified FTEs'!E72+'Classified FTEs'!F72+'Classified FTEs'!J72</f>
        <v>0.88</v>
      </c>
      <c r="H33" s="79">
        <f>'Licensed FTEs'!P72</f>
        <v>0</v>
      </c>
      <c r="I33" s="79">
        <f>'Classified FTEs'!V72</f>
        <v>0</v>
      </c>
      <c r="J33" s="79">
        <f>'Classified FTEs'!AD72</f>
        <v>0</v>
      </c>
      <c r="K33" s="79">
        <f>'Classified FTEs'!D72</f>
        <v>0</v>
      </c>
      <c r="L33" s="79">
        <f>'Classified FTEs'!T72+'Classified FTEs'!U72+'Classified FTEs'!W72+'Classified FTEs'!X72+'Classified FTEs'!Y72+'Classified FTEs'!AC72+'Classified FTEs'!AE72+'Classified FTEs'!AF72+'Classified FTEs'!AL72</f>
        <v>0.31</v>
      </c>
      <c r="M33" s="143">
        <f>SUM(C33:L33)+SUM('instruction-charters'!C33:N33)</f>
        <v>11.37</v>
      </c>
      <c r="N33" s="144"/>
    </row>
    <row r="34" spans="1:14" ht="15" x14ac:dyDescent="0.25">
      <c r="A34" s="40" t="s">
        <v>78</v>
      </c>
      <c r="B34" s="40" t="s">
        <v>206</v>
      </c>
      <c r="C34" s="71">
        <f>'Licensed FTEs'!N73</f>
        <v>0</v>
      </c>
      <c r="D34" s="71">
        <f>'Classified FTEs'!H73+'Classified FTEs'!K73</f>
        <v>0</v>
      </c>
      <c r="E34" s="71">
        <f>'Classified FTEs'!I73+'Classified FTEs'!L73+'Classified FTEs'!M73+'Classified FTEs'!N73+'Classified FTEs'!O73</f>
        <v>0</v>
      </c>
      <c r="F34" s="71">
        <f>'Licensed FTEs'!O73</f>
        <v>0.95</v>
      </c>
      <c r="G34" s="71">
        <f>'Classified FTEs'!E73+'Classified FTEs'!F73+'Classified FTEs'!J73</f>
        <v>2.5</v>
      </c>
      <c r="H34" s="71">
        <f>'Licensed FTEs'!P73</f>
        <v>0</v>
      </c>
      <c r="I34" s="71">
        <f>'Classified FTEs'!V73</f>
        <v>0</v>
      </c>
      <c r="J34" s="71">
        <f>'Classified FTEs'!AD73</f>
        <v>0</v>
      </c>
      <c r="K34" s="71">
        <f>'Classified FTEs'!D73</f>
        <v>0</v>
      </c>
      <c r="L34" s="71">
        <f>'Classified FTEs'!T73+'Classified FTEs'!U73+'Classified FTEs'!W73+'Classified FTEs'!X73+'Classified FTEs'!Y73+'Classified FTEs'!AC73+'Classified FTEs'!AE73+'Classified FTEs'!AF73+'Classified FTEs'!AL73</f>
        <v>0</v>
      </c>
      <c r="M34" s="141">
        <f>SUM(C34:L34)+SUM('instruction-charters'!C34:N34)</f>
        <v>17.53</v>
      </c>
      <c r="N34" s="144"/>
    </row>
    <row r="35" spans="1:14" ht="15" x14ac:dyDescent="0.25">
      <c r="A35" s="40">
        <v>93</v>
      </c>
      <c r="B35" s="40" t="s">
        <v>207</v>
      </c>
      <c r="C35" s="76">
        <f>'Licensed FTEs'!N74</f>
        <v>0</v>
      </c>
      <c r="D35" s="76">
        <f>'Classified FTEs'!H74+'Classified FTEs'!K74</f>
        <v>1</v>
      </c>
      <c r="E35" s="76">
        <f>'Classified FTEs'!I74+'Classified FTEs'!L74+'Classified FTEs'!M74+'Classified FTEs'!N74+'Classified FTEs'!O74</f>
        <v>0</v>
      </c>
      <c r="F35" s="76">
        <f>'Licensed FTEs'!O74</f>
        <v>1</v>
      </c>
      <c r="G35" s="76">
        <f>'Classified FTEs'!E74+'Classified FTEs'!F74+'Classified FTEs'!J74</f>
        <v>1</v>
      </c>
      <c r="H35" s="76">
        <f>'Licensed FTEs'!P74</f>
        <v>0</v>
      </c>
      <c r="I35" s="76">
        <f>'Classified FTEs'!V74</f>
        <v>0</v>
      </c>
      <c r="J35" s="76">
        <f>'Classified FTEs'!AD74</f>
        <v>0</v>
      </c>
      <c r="K35" s="76">
        <f>'Classified FTEs'!D74</f>
        <v>0</v>
      </c>
      <c r="L35" s="76">
        <f>'Classified FTEs'!T74+'Classified FTEs'!U74+'Classified FTEs'!W74+'Classified FTEs'!X74+'Classified FTEs'!Y74+'Classified FTEs'!AC74+'Classified FTEs'!AE74+'Classified FTEs'!AF74+'Classified FTEs'!AL74</f>
        <v>0</v>
      </c>
      <c r="M35" s="142">
        <f>SUM(C35:L35)+SUM('instruction-charters'!C35:N35)</f>
        <v>18.580000000000002</v>
      </c>
      <c r="N35" s="144"/>
    </row>
    <row r="36" spans="1:14" ht="15" x14ac:dyDescent="0.25">
      <c r="A36" s="40" t="s">
        <v>83</v>
      </c>
      <c r="B36" s="40" t="s">
        <v>297</v>
      </c>
      <c r="C36" s="76">
        <f>'Licensed FTEs'!N75</f>
        <v>0</v>
      </c>
      <c r="D36" s="76">
        <f>'Classified FTEs'!H75+'Classified FTEs'!K75</f>
        <v>0.1</v>
      </c>
      <c r="E36" s="76">
        <f>'Classified FTEs'!I75+'Classified FTEs'!L75+'Classified FTEs'!M75+'Classified FTEs'!N75+'Classified FTEs'!O75</f>
        <v>2</v>
      </c>
      <c r="F36" s="76">
        <f>'Licensed FTEs'!O75</f>
        <v>2.4</v>
      </c>
      <c r="G36" s="76">
        <f>'Classified FTEs'!E75+'Classified FTEs'!F75+'Classified FTEs'!J75</f>
        <v>2</v>
      </c>
      <c r="H36" s="76">
        <f>'Licensed FTEs'!P75</f>
        <v>0</v>
      </c>
      <c r="I36" s="76">
        <f>'Classified FTEs'!V75</f>
        <v>0</v>
      </c>
      <c r="J36" s="76">
        <f>'Classified FTEs'!AD75</f>
        <v>0</v>
      </c>
      <c r="K36" s="76">
        <f>'Classified FTEs'!D75</f>
        <v>0</v>
      </c>
      <c r="L36" s="76">
        <f>'Classified FTEs'!T75+'Classified FTEs'!U75+'Classified FTEs'!W75+'Classified FTEs'!X75+'Classified FTEs'!Y75+'Classified FTEs'!AC75+'Classified FTEs'!AE75+'Classified FTEs'!AF75+'Classified FTEs'!AL75</f>
        <v>0</v>
      </c>
      <c r="M36" s="142">
        <f>SUM(C36:L36)+SUM('instruction-charters'!C36:N36)</f>
        <v>37.260000000000005</v>
      </c>
      <c r="N36" s="144"/>
    </row>
    <row r="37" spans="1:14" ht="15" x14ac:dyDescent="0.25">
      <c r="A37" s="40" t="s">
        <v>79</v>
      </c>
      <c r="B37" s="40" t="s">
        <v>208</v>
      </c>
      <c r="C37" s="76">
        <f>'Licensed FTEs'!N76</f>
        <v>1</v>
      </c>
      <c r="D37" s="76">
        <f>'Classified FTEs'!H76+'Classified FTEs'!K76</f>
        <v>0</v>
      </c>
      <c r="E37" s="76">
        <f>'Classified FTEs'!I76+'Classified FTEs'!L76+'Classified FTEs'!M76+'Classified FTEs'!N76+'Classified FTEs'!O76</f>
        <v>0</v>
      </c>
      <c r="F37" s="76">
        <f>'Licensed FTEs'!O76</f>
        <v>2</v>
      </c>
      <c r="G37" s="76">
        <f>'Classified FTEs'!E76+'Classified FTEs'!F76+'Classified FTEs'!J76</f>
        <v>3.15</v>
      </c>
      <c r="H37" s="76">
        <f>'Licensed FTEs'!P76</f>
        <v>0</v>
      </c>
      <c r="I37" s="76">
        <f>'Classified FTEs'!V76</f>
        <v>0</v>
      </c>
      <c r="J37" s="76">
        <f>'Classified FTEs'!AD76</f>
        <v>1</v>
      </c>
      <c r="K37" s="76">
        <f>'Classified FTEs'!D76</f>
        <v>0</v>
      </c>
      <c r="L37" s="76">
        <f>'Classified FTEs'!T76+'Classified FTEs'!U76+'Classified FTEs'!W76+'Classified FTEs'!X76+'Classified FTEs'!Y76+'Classified FTEs'!AC76+'Classified FTEs'!AE76+'Classified FTEs'!AF76+'Classified FTEs'!AL76</f>
        <v>4.78</v>
      </c>
      <c r="M37" s="142">
        <f>SUM(C37:L37)+SUM('instruction-charters'!C37:N37)</f>
        <v>64.28</v>
      </c>
      <c r="N37" s="144"/>
    </row>
    <row r="38" spans="1:14" ht="15" x14ac:dyDescent="0.25">
      <c r="A38" s="40" t="s">
        <v>80</v>
      </c>
      <c r="B38" s="40" t="s">
        <v>209</v>
      </c>
      <c r="C38" s="76">
        <f>'Licensed FTEs'!N77</f>
        <v>1</v>
      </c>
      <c r="D38" s="76">
        <f>'Classified FTEs'!H77+'Classified FTEs'!K77</f>
        <v>0</v>
      </c>
      <c r="E38" s="76">
        <f>'Classified FTEs'!I77+'Classified FTEs'!L77+'Classified FTEs'!M77+'Classified FTEs'!N77+'Classified FTEs'!O77</f>
        <v>0</v>
      </c>
      <c r="F38" s="76">
        <f>'Licensed FTEs'!O77</f>
        <v>2</v>
      </c>
      <c r="G38" s="76">
        <f>'Classified FTEs'!E77+'Classified FTEs'!F77+'Classified FTEs'!J77</f>
        <v>0</v>
      </c>
      <c r="H38" s="76">
        <f>'Licensed FTEs'!P77</f>
        <v>0</v>
      </c>
      <c r="I38" s="76">
        <f>'Classified FTEs'!V77</f>
        <v>0</v>
      </c>
      <c r="J38" s="76">
        <f>'Classified FTEs'!AD77</f>
        <v>0</v>
      </c>
      <c r="K38" s="76">
        <f>'Classified FTEs'!D77</f>
        <v>0</v>
      </c>
      <c r="L38" s="76">
        <f>'Classified FTEs'!T77+'Classified FTEs'!U77+'Classified FTEs'!W77+'Classified FTEs'!X77+'Classified FTEs'!Y77+'Classified FTEs'!AC77+'Classified FTEs'!AE77+'Classified FTEs'!AF77+'Classified FTEs'!AL77</f>
        <v>0</v>
      </c>
      <c r="M38" s="142">
        <f>SUM(C38:L38)+SUM('instruction-charters'!C38:N38)</f>
        <v>52.83</v>
      </c>
      <c r="N38" s="144"/>
    </row>
    <row r="39" spans="1:14" ht="15.75" thickBot="1" x14ac:dyDescent="0.3">
      <c r="A39" s="40" t="s">
        <v>81</v>
      </c>
      <c r="B39" s="40" t="s">
        <v>210</v>
      </c>
      <c r="C39" s="79">
        <f>'Licensed FTEs'!N78</f>
        <v>0</v>
      </c>
      <c r="D39" s="79">
        <f>'Classified FTEs'!H78+'Classified FTEs'!K78</f>
        <v>1</v>
      </c>
      <c r="E39" s="79">
        <f>'Classified FTEs'!I78+'Classified FTEs'!L78+'Classified FTEs'!M78+'Classified FTEs'!N78+'Classified FTEs'!O78</f>
        <v>2</v>
      </c>
      <c r="F39" s="79">
        <f>'Licensed FTEs'!O78</f>
        <v>1.1299999999999999</v>
      </c>
      <c r="G39" s="79">
        <f>'Classified FTEs'!E78+'Classified FTEs'!F78+'Classified FTEs'!J78</f>
        <v>2</v>
      </c>
      <c r="H39" s="79">
        <f>'Licensed FTEs'!P78</f>
        <v>0</v>
      </c>
      <c r="I39" s="79">
        <f>'Classified FTEs'!V78</f>
        <v>0</v>
      </c>
      <c r="J39" s="79">
        <f>'Classified FTEs'!AD78</f>
        <v>1</v>
      </c>
      <c r="K39" s="79">
        <f>'Classified FTEs'!D78</f>
        <v>0</v>
      </c>
      <c r="L39" s="79">
        <f>'Classified FTEs'!T78+'Classified FTEs'!U78+'Classified FTEs'!W78+'Classified FTEs'!X78+'Classified FTEs'!Y78+'Classified FTEs'!AC78+'Classified FTEs'!AE78+'Classified FTEs'!AF78+'Classified FTEs'!AL78</f>
        <v>4</v>
      </c>
      <c r="M39" s="143">
        <f>SUM(C39:L39)+SUM('instruction-charters'!C39:N39)</f>
        <v>35.239999999999995</v>
      </c>
      <c r="N39" s="144"/>
    </row>
    <row r="40" spans="1:14" ht="15" x14ac:dyDescent="0.25">
      <c r="A40" s="40" t="s">
        <v>82</v>
      </c>
      <c r="B40" s="40" t="s">
        <v>211</v>
      </c>
      <c r="C40" s="71">
        <f>'Licensed FTEs'!N79</f>
        <v>0.5</v>
      </c>
      <c r="D40" s="71">
        <f>'Classified FTEs'!H79+'Classified FTEs'!K79</f>
        <v>1</v>
      </c>
      <c r="E40" s="71">
        <f>'Classified FTEs'!I79+'Classified FTEs'!L79+'Classified FTEs'!M79+'Classified FTEs'!N79+'Classified FTEs'!O79</f>
        <v>1.75</v>
      </c>
      <c r="F40" s="71">
        <f>'Licensed FTEs'!O79</f>
        <v>1</v>
      </c>
      <c r="G40" s="71">
        <f>'Classified FTEs'!E79+'Classified FTEs'!F79+'Classified FTEs'!J79</f>
        <v>1.75</v>
      </c>
      <c r="H40" s="71">
        <f>'Licensed FTEs'!P79</f>
        <v>0.32</v>
      </c>
      <c r="I40" s="71">
        <f>'Classified FTEs'!V79</f>
        <v>0</v>
      </c>
      <c r="J40" s="71">
        <f>'Classified FTEs'!AD79</f>
        <v>0</v>
      </c>
      <c r="K40" s="71">
        <f>'Classified FTEs'!D79</f>
        <v>0</v>
      </c>
      <c r="L40" s="71">
        <f>'Classified FTEs'!T79+'Classified FTEs'!U79+'Classified FTEs'!W79+'Classified FTEs'!X79+'Classified FTEs'!Y79+'Classified FTEs'!AC79+'Classified FTEs'!AE79+'Classified FTEs'!AF79+'Classified FTEs'!AL79</f>
        <v>0.38</v>
      </c>
      <c r="M40" s="141">
        <f>SUM(C40:L40)+SUM('instruction-charters'!C40:N40)</f>
        <v>62.490000000000009</v>
      </c>
      <c r="N40" s="144"/>
    </row>
    <row r="41" spans="1:14" ht="15" x14ac:dyDescent="0.25">
      <c r="A41" s="40" t="s">
        <v>298</v>
      </c>
      <c r="B41" s="40" t="s">
        <v>299</v>
      </c>
      <c r="C41" s="76">
        <f>'Licensed FTEs'!N80</f>
        <v>0</v>
      </c>
      <c r="D41" s="76">
        <f>'Classified FTEs'!H80+'Classified FTEs'!K80</f>
        <v>0</v>
      </c>
      <c r="E41" s="76">
        <f>'Classified FTEs'!I80+'Classified FTEs'!L80+'Classified FTEs'!M80+'Classified FTEs'!N80+'Classified FTEs'!O80</f>
        <v>0</v>
      </c>
      <c r="F41" s="76">
        <f>'Licensed FTEs'!O80</f>
        <v>0</v>
      </c>
      <c r="G41" s="76">
        <f>'Classified FTEs'!E80+'Classified FTEs'!F80+'Classified FTEs'!J80</f>
        <v>1.66</v>
      </c>
      <c r="H41" s="76">
        <f>'Licensed FTEs'!P80</f>
        <v>0</v>
      </c>
      <c r="I41" s="76">
        <f>'Classified FTEs'!V80</f>
        <v>0</v>
      </c>
      <c r="J41" s="76">
        <f>'Classified FTEs'!AD80</f>
        <v>0</v>
      </c>
      <c r="K41" s="76">
        <f>'Classified FTEs'!D80</f>
        <v>0</v>
      </c>
      <c r="L41" s="76">
        <f>'Classified FTEs'!T80+'Classified FTEs'!U80+'Classified FTEs'!W80+'Classified FTEs'!X80+'Classified FTEs'!Y80+'Classified FTEs'!AC80+'Classified FTEs'!AE80+'Classified FTEs'!AF80+'Classified FTEs'!AL80</f>
        <v>1</v>
      </c>
      <c r="M41" s="142">
        <f>SUM(C41:L41)+SUM('instruction-charters'!C41:N41)</f>
        <v>32.989999999999995</v>
      </c>
      <c r="N41" s="144"/>
    </row>
    <row r="42" spans="1:14" ht="15" x14ac:dyDescent="0.25">
      <c r="A42" s="40" t="s">
        <v>212</v>
      </c>
      <c r="B42" s="40" t="s">
        <v>213</v>
      </c>
      <c r="C42" s="76">
        <f>'Licensed FTEs'!N81</f>
        <v>0.5</v>
      </c>
      <c r="D42" s="76">
        <f>'Classified FTEs'!H81+'Classified FTEs'!K81</f>
        <v>1</v>
      </c>
      <c r="E42" s="76">
        <f>'Classified FTEs'!I81+'Classified FTEs'!L81+'Classified FTEs'!M81+'Classified FTEs'!N81+'Classified FTEs'!O81</f>
        <v>2</v>
      </c>
      <c r="F42" s="76">
        <f>'Licensed FTEs'!O81</f>
        <v>0.11</v>
      </c>
      <c r="G42" s="76">
        <f>'Classified FTEs'!E81+'Classified FTEs'!F81+'Classified FTEs'!J81</f>
        <v>0.3</v>
      </c>
      <c r="H42" s="76">
        <f>'Licensed FTEs'!P81</f>
        <v>0</v>
      </c>
      <c r="I42" s="76">
        <f>'Classified FTEs'!V81</f>
        <v>0</v>
      </c>
      <c r="J42" s="76">
        <f>'Classified FTEs'!AD81</f>
        <v>0.5</v>
      </c>
      <c r="K42" s="76">
        <f>'Classified FTEs'!D81</f>
        <v>0</v>
      </c>
      <c r="L42" s="76">
        <f>'Classified FTEs'!T81+'Classified FTEs'!U81+'Classified FTEs'!W81+'Classified FTEs'!X81+'Classified FTEs'!Y81+'Classified FTEs'!AC81+'Classified FTEs'!AE81+'Classified FTEs'!AF81+'Classified FTEs'!AL81</f>
        <v>1</v>
      </c>
      <c r="M42" s="142">
        <f>SUM(C42:L42)+SUM('instruction-charters'!C42:N42)</f>
        <v>16.87</v>
      </c>
      <c r="N42" s="144"/>
    </row>
    <row r="43" spans="1:14" ht="15" x14ac:dyDescent="0.25">
      <c r="A43" s="40" t="s">
        <v>84</v>
      </c>
      <c r="B43" s="40" t="s">
        <v>300</v>
      </c>
      <c r="C43" s="76">
        <f>'Licensed FTEs'!N82</f>
        <v>0</v>
      </c>
      <c r="D43" s="76">
        <f>'Classified FTEs'!H82+'Classified FTEs'!K82</f>
        <v>0</v>
      </c>
      <c r="E43" s="76">
        <f>'Classified FTEs'!I82+'Classified FTEs'!L82+'Classified FTEs'!M82+'Classified FTEs'!N82+'Classified FTEs'!O82</f>
        <v>0</v>
      </c>
      <c r="F43" s="76">
        <f>'Licensed FTEs'!O82</f>
        <v>1</v>
      </c>
      <c r="G43" s="76">
        <f>'Classified FTEs'!E82+'Classified FTEs'!F82+'Classified FTEs'!J82</f>
        <v>1</v>
      </c>
      <c r="H43" s="76">
        <f>'Licensed FTEs'!P82</f>
        <v>0</v>
      </c>
      <c r="I43" s="76">
        <f>'Classified FTEs'!V82</f>
        <v>0</v>
      </c>
      <c r="J43" s="76">
        <f>'Classified FTEs'!AD82</f>
        <v>0</v>
      </c>
      <c r="K43" s="76">
        <f>'Classified FTEs'!D82</f>
        <v>0</v>
      </c>
      <c r="L43" s="76">
        <f>'Classified FTEs'!T82+'Classified FTEs'!U82+'Classified FTEs'!W82+'Classified FTEs'!X82+'Classified FTEs'!Y82+'Classified FTEs'!AC82+'Classified FTEs'!AE82+'Classified FTEs'!AF82+'Classified FTEs'!AL82</f>
        <v>0.5</v>
      </c>
      <c r="M43" s="142">
        <f>SUM(C43:L43)+SUM('instruction-charters'!C43:N43)</f>
        <v>8.5</v>
      </c>
      <c r="N43" s="144"/>
    </row>
    <row r="44" spans="1:14" ht="15" x14ac:dyDescent="0.25">
      <c r="A44" s="40" t="s">
        <v>85</v>
      </c>
      <c r="B44" s="40" t="s">
        <v>214</v>
      </c>
      <c r="C44" s="76">
        <f>'Licensed FTEs'!N83</f>
        <v>0</v>
      </c>
      <c r="D44" s="76">
        <f>'Classified FTEs'!H83+'Classified FTEs'!K83</f>
        <v>1</v>
      </c>
      <c r="E44" s="76">
        <f>'Classified FTEs'!I83+'Classified FTEs'!L83+'Classified FTEs'!M83+'Classified FTEs'!N83+'Classified FTEs'!O83</f>
        <v>2.38</v>
      </c>
      <c r="F44" s="76">
        <f>'Licensed FTEs'!O83</f>
        <v>0</v>
      </c>
      <c r="G44" s="76">
        <f>'Classified FTEs'!E83+'Classified FTEs'!F83+'Classified FTEs'!J83</f>
        <v>2.9</v>
      </c>
      <c r="H44" s="76">
        <f>'Licensed FTEs'!P83</f>
        <v>0</v>
      </c>
      <c r="I44" s="76">
        <f>'Classified FTEs'!V83</f>
        <v>0</v>
      </c>
      <c r="J44" s="76">
        <f>'Classified FTEs'!AD83</f>
        <v>1</v>
      </c>
      <c r="K44" s="76">
        <f>'Classified FTEs'!D83</f>
        <v>0</v>
      </c>
      <c r="L44" s="76">
        <f>'Classified FTEs'!T83+'Classified FTEs'!U83+'Classified FTEs'!W83+'Classified FTEs'!X83+'Classified FTEs'!Y83+'Classified FTEs'!AC83+'Classified FTEs'!AE83+'Classified FTEs'!AF83+'Classified FTEs'!AL83</f>
        <v>3.54</v>
      </c>
      <c r="M44" s="142">
        <f>SUM(C44:L44)+SUM('instruction-charters'!C44:N44)</f>
        <v>56.67</v>
      </c>
      <c r="N44" s="144"/>
    </row>
    <row r="45" spans="1:14" ht="15.75" thickBot="1" x14ac:dyDescent="0.3">
      <c r="A45" s="40" t="s">
        <v>86</v>
      </c>
      <c r="B45" s="40" t="s">
        <v>215</v>
      </c>
      <c r="C45" s="79">
        <f>'Licensed FTEs'!N84</f>
        <v>0</v>
      </c>
      <c r="D45" s="79">
        <f>'Classified FTEs'!H84+'Classified FTEs'!K84</f>
        <v>0</v>
      </c>
      <c r="E45" s="79">
        <f>'Classified FTEs'!I84+'Classified FTEs'!L84+'Classified FTEs'!M84+'Classified FTEs'!N84+'Classified FTEs'!O84</f>
        <v>0</v>
      </c>
      <c r="F45" s="79">
        <f>'Licensed FTEs'!O84</f>
        <v>3.1</v>
      </c>
      <c r="G45" s="79">
        <f>'Classified FTEs'!E84+'Classified FTEs'!F84+'Classified FTEs'!J84</f>
        <v>4</v>
      </c>
      <c r="H45" s="79">
        <f>'Licensed FTEs'!P84</f>
        <v>0</v>
      </c>
      <c r="I45" s="79">
        <f>'Classified FTEs'!V84</f>
        <v>0</v>
      </c>
      <c r="J45" s="79">
        <f>'Classified FTEs'!AD84</f>
        <v>0</v>
      </c>
      <c r="K45" s="79">
        <f>'Classified FTEs'!D84</f>
        <v>1</v>
      </c>
      <c r="L45" s="79">
        <f>'Classified FTEs'!T84+'Classified FTEs'!U84+'Classified FTEs'!W84+'Classified FTEs'!X84+'Classified FTEs'!Y84+'Classified FTEs'!AC84+'Classified FTEs'!AE84+'Classified FTEs'!AF84+'Classified FTEs'!AL84</f>
        <v>2</v>
      </c>
      <c r="M45" s="143">
        <f>SUM(C45:L45)+SUM('instruction-charters'!C45:N45)</f>
        <v>56.5</v>
      </c>
      <c r="N45" s="144"/>
    </row>
    <row r="46" spans="1:14" ht="15" x14ac:dyDescent="0.25">
      <c r="A46" s="40" t="s">
        <v>87</v>
      </c>
      <c r="B46" s="40" t="s">
        <v>216</v>
      </c>
      <c r="C46" s="71">
        <f>'Licensed FTEs'!N85</f>
        <v>0</v>
      </c>
      <c r="D46" s="71">
        <f>'Classified FTEs'!H85+'Classified FTEs'!K85</f>
        <v>0</v>
      </c>
      <c r="E46" s="71">
        <f>'Classified FTEs'!I85+'Classified FTEs'!L85+'Classified FTEs'!M85+'Classified FTEs'!N85+'Classified FTEs'!O85</f>
        <v>0</v>
      </c>
      <c r="F46" s="71">
        <f>'Licensed FTEs'!O85</f>
        <v>1</v>
      </c>
      <c r="G46" s="71">
        <f>'Classified FTEs'!E85+'Classified FTEs'!F85+'Classified FTEs'!J85</f>
        <v>2.5</v>
      </c>
      <c r="H46" s="71">
        <f>'Licensed FTEs'!P85</f>
        <v>0.4</v>
      </c>
      <c r="I46" s="71">
        <f>'Classified FTEs'!V85</f>
        <v>0</v>
      </c>
      <c r="J46" s="71">
        <f>'Classified FTEs'!AD85</f>
        <v>0</v>
      </c>
      <c r="K46" s="71">
        <f>'Classified FTEs'!D85</f>
        <v>0</v>
      </c>
      <c r="L46" s="71">
        <f>'Classified FTEs'!T85+'Classified FTEs'!U85+'Classified FTEs'!W85+'Classified FTEs'!X85+'Classified FTEs'!Y85+'Classified FTEs'!AC85+'Classified FTEs'!AE85+'Classified FTEs'!AF85+'Classified FTEs'!AL85</f>
        <v>2.25</v>
      </c>
      <c r="M46" s="141">
        <f>SUM(C46:L46)+SUM('instruction-charters'!C46:N46)</f>
        <v>50.08</v>
      </c>
      <c r="N46" s="144"/>
    </row>
    <row r="47" spans="1:14" ht="15" x14ac:dyDescent="0.25">
      <c r="A47" s="40" t="s">
        <v>91</v>
      </c>
      <c r="B47" s="40" t="s">
        <v>217</v>
      </c>
      <c r="C47" s="76">
        <f>'Licensed FTEs'!N86</f>
        <v>0</v>
      </c>
      <c r="D47" s="76">
        <f>'Classified FTEs'!H86+'Classified FTEs'!K86</f>
        <v>0</v>
      </c>
      <c r="E47" s="76">
        <f>'Classified FTEs'!I86+'Classified FTEs'!L86+'Classified FTEs'!M86+'Classified FTEs'!N86+'Classified FTEs'!O86</f>
        <v>0</v>
      </c>
      <c r="F47" s="76">
        <f>'Licensed FTEs'!O86</f>
        <v>3</v>
      </c>
      <c r="G47" s="76">
        <f>'Classified FTEs'!E86+'Classified FTEs'!F86+'Classified FTEs'!J86</f>
        <v>1</v>
      </c>
      <c r="H47" s="76">
        <f>'Licensed FTEs'!P86</f>
        <v>0</v>
      </c>
      <c r="I47" s="76">
        <f>'Classified FTEs'!V86</f>
        <v>0</v>
      </c>
      <c r="J47" s="76">
        <f>'Classified FTEs'!AD86</f>
        <v>0</v>
      </c>
      <c r="K47" s="76">
        <f>'Classified FTEs'!D86</f>
        <v>0</v>
      </c>
      <c r="L47" s="76">
        <f>'Classified FTEs'!T86+'Classified FTEs'!U86+'Classified FTEs'!W86+'Classified FTEs'!X86+'Classified FTEs'!Y86+'Classified FTEs'!AC86+'Classified FTEs'!AE86+'Classified FTEs'!AF86+'Classified FTEs'!AL86</f>
        <v>1.71</v>
      </c>
      <c r="M47" s="142">
        <f>SUM(C47:L47)+SUM('instruction-charters'!C47:N47)</f>
        <v>24.97</v>
      </c>
      <c r="N47" s="144"/>
    </row>
    <row r="48" spans="1:14" ht="15" x14ac:dyDescent="0.25">
      <c r="A48" s="40" t="s">
        <v>88</v>
      </c>
      <c r="B48" s="40" t="s">
        <v>218</v>
      </c>
      <c r="C48" s="76">
        <f>'Licensed FTEs'!N87</f>
        <v>0</v>
      </c>
      <c r="D48" s="76">
        <f>'Classified FTEs'!H87+'Classified FTEs'!K87</f>
        <v>0</v>
      </c>
      <c r="E48" s="76">
        <f>'Classified FTEs'!I87+'Classified FTEs'!L87+'Classified FTEs'!M87+'Classified FTEs'!N87+'Classified FTEs'!O87</f>
        <v>1.1000000000000001</v>
      </c>
      <c r="F48" s="76">
        <f>'Licensed FTEs'!O87</f>
        <v>1</v>
      </c>
      <c r="G48" s="76">
        <f>'Classified FTEs'!E87+'Classified FTEs'!F87+'Classified FTEs'!J87</f>
        <v>1.6</v>
      </c>
      <c r="H48" s="76">
        <f>'Licensed FTEs'!P87</f>
        <v>0.31</v>
      </c>
      <c r="I48" s="76">
        <f>'Classified FTEs'!V87</f>
        <v>0</v>
      </c>
      <c r="J48" s="76">
        <f>'Classified FTEs'!AD87</f>
        <v>0</v>
      </c>
      <c r="K48" s="76">
        <f>'Classified FTEs'!D87</f>
        <v>0</v>
      </c>
      <c r="L48" s="76">
        <f>'Classified FTEs'!T87+'Classified FTEs'!U87+'Classified FTEs'!W87+'Classified FTEs'!X87+'Classified FTEs'!Y87+'Classified FTEs'!AC87+'Classified FTEs'!AE87+'Classified FTEs'!AF87+'Classified FTEs'!AL87</f>
        <v>2.33</v>
      </c>
      <c r="M48" s="142">
        <f>SUM(C48:L48)+SUM('instruction-charters'!C48:N48)</f>
        <v>54.34</v>
      </c>
      <c r="N48" s="144"/>
    </row>
    <row r="49" spans="1:14" ht="15" x14ac:dyDescent="0.25">
      <c r="A49" s="40" t="s">
        <v>89</v>
      </c>
      <c r="B49" s="40" t="s">
        <v>219</v>
      </c>
      <c r="C49" s="76">
        <f>'Licensed FTEs'!N88</f>
        <v>0</v>
      </c>
      <c r="D49" s="76">
        <f>'Classified FTEs'!H88+'Classified FTEs'!K88</f>
        <v>0</v>
      </c>
      <c r="E49" s="76">
        <f>'Classified FTEs'!I88+'Classified FTEs'!L88+'Classified FTEs'!M88+'Classified FTEs'!N88+'Classified FTEs'!O88</f>
        <v>0</v>
      </c>
      <c r="F49" s="76">
        <f>'Licensed FTEs'!O88</f>
        <v>2.5</v>
      </c>
      <c r="G49" s="76">
        <f>'Classified FTEs'!E88+'Classified FTEs'!F88+'Classified FTEs'!J88</f>
        <v>4</v>
      </c>
      <c r="H49" s="76">
        <f>'Licensed FTEs'!P88</f>
        <v>0</v>
      </c>
      <c r="I49" s="76">
        <f>'Classified FTEs'!V88</f>
        <v>0</v>
      </c>
      <c r="J49" s="76">
        <f>'Classified FTEs'!AD88</f>
        <v>1</v>
      </c>
      <c r="K49" s="76">
        <f>'Classified FTEs'!D88</f>
        <v>0</v>
      </c>
      <c r="L49" s="76">
        <f>'Classified FTEs'!T88+'Classified FTEs'!U88+'Classified FTEs'!W88+'Classified FTEs'!X88+'Classified FTEs'!Y88+'Classified FTEs'!AC88+'Classified FTEs'!AE88+'Classified FTEs'!AF88+'Classified FTEs'!AL88</f>
        <v>5.15</v>
      </c>
      <c r="M49" s="142">
        <f>SUM(C49:L49)+SUM('instruction-charters'!C49:N49)</f>
        <v>72.69</v>
      </c>
      <c r="N49" s="144"/>
    </row>
    <row r="50" spans="1:14" ht="15" x14ac:dyDescent="0.25">
      <c r="A50" s="40" t="s">
        <v>90</v>
      </c>
      <c r="B50" s="40" t="s">
        <v>220</v>
      </c>
      <c r="C50" s="76">
        <f>'Licensed FTEs'!N89</f>
        <v>0</v>
      </c>
      <c r="D50" s="76">
        <f>'Classified FTEs'!H89+'Classified FTEs'!K89</f>
        <v>0</v>
      </c>
      <c r="E50" s="76">
        <f>'Classified FTEs'!I89+'Classified FTEs'!L89+'Classified FTEs'!M89+'Classified FTEs'!N89+'Classified FTEs'!O89</f>
        <v>0</v>
      </c>
      <c r="F50" s="76">
        <f>'Licensed FTEs'!O89</f>
        <v>1.2</v>
      </c>
      <c r="G50" s="76">
        <f>'Classified FTEs'!E89+'Classified FTEs'!F89+'Classified FTEs'!J89</f>
        <v>2.73</v>
      </c>
      <c r="H50" s="76">
        <f>'Licensed FTEs'!P89</f>
        <v>0.44</v>
      </c>
      <c r="I50" s="76">
        <f>'Classified FTEs'!V89</f>
        <v>0</v>
      </c>
      <c r="J50" s="76">
        <f>'Classified FTEs'!AD89</f>
        <v>1</v>
      </c>
      <c r="K50" s="76">
        <f>'Classified FTEs'!D89</f>
        <v>0</v>
      </c>
      <c r="L50" s="76">
        <f>'Classified FTEs'!T89+'Classified FTEs'!U89+'Classified FTEs'!W89+'Classified FTEs'!X89+'Classified FTEs'!Y89+'Classified FTEs'!AC89+'Classified FTEs'!AE89+'Classified FTEs'!AF89+'Classified FTEs'!AL89</f>
        <v>1.49</v>
      </c>
      <c r="M50" s="142">
        <f>SUM(C50:L50)+SUM('instruction-charters'!C50:N50)</f>
        <v>45.15</v>
      </c>
      <c r="N50" s="144"/>
    </row>
    <row r="51" spans="1:14" ht="15.75" thickBot="1" x14ac:dyDescent="0.3">
      <c r="A51" s="40" t="s">
        <v>92</v>
      </c>
      <c r="B51" s="40" t="s">
        <v>221</v>
      </c>
      <c r="C51" s="79">
        <f>'Licensed FTEs'!N90</f>
        <v>0</v>
      </c>
      <c r="D51" s="79">
        <f>'Classified FTEs'!H90+'Classified FTEs'!K90</f>
        <v>1</v>
      </c>
      <c r="E51" s="79">
        <f>'Classified FTEs'!I90+'Classified FTEs'!L90+'Classified FTEs'!M90+'Classified FTEs'!N90+'Classified FTEs'!O90</f>
        <v>0</v>
      </c>
      <c r="F51" s="79">
        <f>'Licensed FTEs'!O90</f>
        <v>1</v>
      </c>
      <c r="G51" s="79">
        <f>'Classified FTEs'!E90+'Classified FTEs'!F90+'Classified FTEs'!J90</f>
        <v>3.58</v>
      </c>
      <c r="H51" s="79">
        <f>'Licensed FTEs'!P90</f>
        <v>0</v>
      </c>
      <c r="I51" s="79">
        <f>'Classified FTEs'!V90</f>
        <v>0</v>
      </c>
      <c r="J51" s="79">
        <f>'Classified FTEs'!AD90</f>
        <v>0</v>
      </c>
      <c r="K51" s="79">
        <f>'Classified FTEs'!D90</f>
        <v>0</v>
      </c>
      <c r="L51" s="79">
        <f>'Classified FTEs'!T90+'Classified FTEs'!U90+'Classified FTEs'!W90+'Classified FTEs'!X90+'Classified FTEs'!Y90+'Classified FTEs'!AC90+'Classified FTEs'!AE90+'Classified FTEs'!AF90+'Classified FTEs'!AL90</f>
        <v>2.89</v>
      </c>
      <c r="M51" s="143">
        <f>SUM(C51:L51)+SUM('instruction-charters'!C51:N51)</f>
        <v>46.569999999999993</v>
      </c>
      <c r="N51" s="144"/>
    </row>
    <row r="52" spans="1:14" ht="15" x14ac:dyDescent="0.25">
      <c r="A52" s="40">
        <v>68</v>
      </c>
      <c r="B52" s="40" t="s">
        <v>222</v>
      </c>
      <c r="C52" s="71">
        <f>'Licensed FTEs'!N91</f>
        <v>1</v>
      </c>
      <c r="D52" s="71">
        <f>'Classified FTEs'!H91+'Classified FTEs'!K91</f>
        <v>0</v>
      </c>
      <c r="E52" s="71">
        <f>'Classified FTEs'!I91+'Classified FTEs'!L91+'Classified FTEs'!M91+'Classified FTEs'!N91+'Classified FTEs'!O91</f>
        <v>0</v>
      </c>
      <c r="F52" s="71">
        <f>'Licensed FTEs'!O91</f>
        <v>2.8</v>
      </c>
      <c r="G52" s="71">
        <f>'Classified FTEs'!E91+'Classified FTEs'!F91+'Classified FTEs'!J91</f>
        <v>4.58</v>
      </c>
      <c r="H52" s="71">
        <f>'Licensed FTEs'!P91</f>
        <v>0</v>
      </c>
      <c r="I52" s="71">
        <f>'Classified FTEs'!V91</f>
        <v>0</v>
      </c>
      <c r="J52" s="71">
        <f>'Classified FTEs'!AD91</f>
        <v>1</v>
      </c>
      <c r="K52" s="71">
        <f>'Classified FTEs'!D91</f>
        <v>0</v>
      </c>
      <c r="L52" s="71">
        <f>'Classified FTEs'!T91+'Classified FTEs'!U91+'Classified FTEs'!W91+'Classified FTEs'!X91+'Classified FTEs'!Y91+'Classified FTEs'!AC91+'Classified FTEs'!AE91+'Classified FTEs'!AF91+'Classified FTEs'!AL91</f>
        <v>8.0599999999999987</v>
      </c>
      <c r="M52" s="141">
        <f>SUM(C52:L52)+SUM('instruction-charters'!C52:N52)</f>
        <v>91.24</v>
      </c>
      <c r="N52" s="144"/>
    </row>
    <row r="53" spans="1:14" ht="15" x14ac:dyDescent="0.25">
      <c r="A53" s="40" t="s">
        <v>93</v>
      </c>
      <c r="B53" s="40" t="s">
        <v>223</v>
      </c>
      <c r="C53" s="76">
        <f>'Licensed FTEs'!N92</f>
        <v>0</v>
      </c>
      <c r="D53" s="76">
        <f>'Classified FTEs'!H92+'Classified FTEs'!K92</f>
        <v>0</v>
      </c>
      <c r="E53" s="76">
        <f>'Classified FTEs'!I92+'Classified FTEs'!L92+'Classified FTEs'!M92+'Classified FTEs'!N92+'Classified FTEs'!O92</f>
        <v>0</v>
      </c>
      <c r="F53" s="76">
        <f>'Licensed FTEs'!O92</f>
        <v>1</v>
      </c>
      <c r="G53" s="76">
        <f>'Classified FTEs'!E92+'Classified FTEs'!F92+'Classified FTEs'!J92</f>
        <v>0</v>
      </c>
      <c r="H53" s="76">
        <f>'Licensed FTEs'!P92</f>
        <v>0</v>
      </c>
      <c r="I53" s="76">
        <f>'Classified FTEs'!V92</f>
        <v>0</v>
      </c>
      <c r="J53" s="76">
        <f>'Classified FTEs'!AD92</f>
        <v>0</v>
      </c>
      <c r="K53" s="76">
        <f>'Classified FTEs'!D92</f>
        <v>0</v>
      </c>
      <c r="L53" s="76">
        <f>'Classified FTEs'!T92+'Classified FTEs'!U92+'Classified FTEs'!W92+'Classified FTEs'!X92+'Classified FTEs'!Y92+'Classified FTEs'!AC92+'Classified FTEs'!AE92+'Classified FTEs'!AF92+'Classified FTEs'!AL92</f>
        <v>0</v>
      </c>
      <c r="M53" s="142">
        <f>SUM(C53:L53)+SUM('instruction-charters'!C53:N53)</f>
        <v>20.400000000000002</v>
      </c>
      <c r="N53" s="144"/>
    </row>
    <row r="54" spans="1:14" ht="15" x14ac:dyDescent="0.25">
      <c r="A54" s="40" t="s">
        <v>284</v>
      </c>
      <c r="B54" s="40" t="s">
        <v>285</v>
      </c>
      <c r="C54" s="76">
        <f>'Licensed FTEs'!N93</f>
        <v>1</v>
      </c>
      <c r="D54" s="76">
        <f>'Classified FTEs'!H93+'Classified FTEs'!K93</f>
        <v>0</v>
      </c>
      <c r="E54" s="76">
        <f>'Classified FTEs'!I93+'Classified FTEs'!L93+'Classified FTEs'!M93+'Classified FTEs'!N93+'Classified FTEs'!O93</f>
        <v>0</v>
      </c>
      <c r="F54" s="76">
        <f>'Licensed FTEs'!O93</f>
        <v>1</v>
      </c>
      <c r="G54" s="76">
        <f>'Classified FTEs'!E93+'Classified FTEs'!F93+'Classified FTEs'!J93</f>
        <v>1</v>
      </c>
      <c r="H54" s="76">
        <f>'Licensed FTEs'!P93</f>
        <v>0</v>
      </c>
      <c r="I54" s="76">
        <f>'Classified FTEs'!V93</f>
        <v>0</v>
      </c>
      <c r="J54" s="76">
        <f>'Classified FTEs'!AD93</f>
        <v>0</v>
      </c>
      <c r="K54" s="76">
        <f>'Classified FTEs'!D93</f>
        <v>0</v>
      </c>
      <c r="L54" s="76">
        <f>'Classified FTEs'!T93+'Classified FTEs'!U93+'Classified FTEs'!W93+'Classified FTEs'!X93+'Classified FTEs'!Y93+'Classified FTEs'!AC93+'Classified FTEs'!AE93+'Classified FTEs'!AF93+'Classified FTEs'!AL93</f>
        <v>0</v>
      </c>
      <c r="M54" s="142">
        <f>SUM(C54:L54)+SUM('instruction-charters'!C54:N54)</f>
        <v>13.9</v>
      </c>
      <c r="N54" s="144"/>
    </row>
    <row r="55" spans="1:14" ht="15" x14ac:dyDescent="0.25">
      <c r="A55" s="40" t="s">
        <v>286</v>
      </c>
      <c r="B55" s="40" t="s">
        <v>287</v>
      </c>
      <c r="C55" s="76">
        <f>'Licensed FTEs'!N94</f>
        <v>0</v>
      </c>
      <c r="D55" s="76">
        <f>'Classified FTEs'!H94+'Classified FTEs'!K94</f>
        <v>0</v>
      </c>
      <c r="E55" s="76">
        <f>'Classified FTEs'!I94+'Classified FTEs'!L94+'Classified FTEs'!M94+'Classified FTEs'!N94+'Classified FTEs'!O94</f>
        <v>0</v>
      </c>
      <c r="F55" s="76">
        <f>'Licensed FTEs'!O94</f>
        <v>2.2999999999999998</v>
      </c>
      <c r="G55" s="76">
        <f>'Classified FTEs'!E94+'Classified FTEs'!F94+'Classified FTEs'!J94</f>
        <v>2.72</v>
      </c>
      <c r="H55" s="76">
        <f>'Licensed FTEs'!P94</f>
        <v>0.5</v>
      </c>
      <c r="I55" s="76">
        <f>'Classified FTEs'!V94</f>
        <v>0</v>
      </c>
      <c r="J55" s="76">
        <f>'Classified FTEs'!AD94</f>
        <v>0</v>
      </c>
      <c r="K55" s="76">
        <f>'Classified FTEs'!D94</f>
        <v>0</v>
      </c>
      <c r="L55" s="76">
        <f>'Classified FTEs'!T94+'Classified FTEs'!U94+'Classified FTEs'!W94+'Classified FTEs'!X94+'Classified FTEs'!Y94+'Classified FTEs'!AC94+'Classified FTEs'!AE94+'Classified FTEs'!AF94+'Classified FTEs'!AL94</f>
        <v>2.59</v>
      </c>
      <c r="M55" s="142">
        <f>SUM(C55:L55)+SUM('instruction-charters'!C55:N55)</f>
        <v>54.94</v>
      </c>
      <c r="N55" s="144"/>
    </row>
    <row r="56" spans="1:14" ht="15" x14ac:dyDescent="0.25">
      <c r="A56" s="40" t="s">
        <v>94</v>
      </c>
      <c r="B56" s="40" t="s">
        <v>224</v>
      </c>
      <c r="C56" s="76">
        <f>'Licensed FTEs'!N95</f>
        <v>1.1000000000000001</v>
      </c>
      <c r="D56" s="76">
        <f>'Classified FTEs'!H95+'Classified FTEs'!K95</f>
        <v>0</v>
      </c>
      <c r="E56" s="76">
        <f>'Classified FTEs'!I95+'Classified FTEs'!L95+'Classified FTEs'!M95+'Classified FTEs'!N95+'Classified FTEs'!O95</f>
        <v>0</v>
      </c>
      <c r="F56" s="76">
        <f>'Licensed FTEs'!O95</f>
        <v>4.7699999999999996</v>
      </c>
      <c r="G56" s="76">
        <f>'Classified FTEs'!E95+'Classified FTEs'!F95+'Classified FTEs'!J95</f>
        <v>4</v>
      </c>
      <c r="H56" s="76">
        <f>'Licensed FTEs'!P95</f>
        <v>0</v>
      </c>
      <c r="I56" s="76">
        <f>'Classified FTEs'!V95</f>
        <v>0</v>
      </c>
      <c r="J56" s="76">
        <f>'Classified FTEs'!AD95</f>
        <v>0</v>
      </c>
      <c r="K56" s="76">
        <f>'Classified FTEs'!D95</f>
        <v>0</v>
      </c>
      <c r="L56" s="76">
        <f>'Classified FTEs'!T95+'Classified FTEs'!U95+'Classified FTEs'!W95+'Classified FTEs'!X95+'Classified FTEs'!Y95+'Classified FTEs'!AC95+'Classified FTEs'!AE95+'Classified FTEs'!AF95+'Classified FTEs'!AL95</f>
        <v>3</v>
      </c>
      <c r="M56" s="142">
        <f>SUM(C56:L56)+SUM('instruction-charters'!C56:N56)</f>
        <v>50.129999999999995</v>
      </c>
      <c r="N56" s="144"/>
    </row>
    <row r="57" spans="1:14" ht="15.75" thickBot="1" x14ac:dyDescent="0.3">
      <c r="A57" s="40">
        <v>86</v>
      </c>
      <c r="B57" s="40" t="s">
        <v>225</v>
      </c>
      <c r="C57" s="79">
        <f>'Licensed FTEs'!N96</f>
        <v>1.41</v>
      </c>
      <c r="D57" s="79">
        <f>'Classified FTEs'!H96+'Classified FTEs'!K96</f>
        <v>1</v>
      </c>
      <c r="E57" s="79">
        <f>'Classified FTEs'!I96+'Classified FTEs'!L96+'Classified FTEs'!M96+'Classified FTEs'!N96+'Classified FTEs'!O96</f>
        <v>0</v>
      </c>
      <c r="F57" s="79">
        <f>'Licensed FTEs'!O96</f>
        <v>1.8</v>
      </c>
      <c r="G57" s="79">
        <f>'Classified FTEs'!E96+'Classified FTEs'!F96+'Classified FTEs'!J96</f>
        <v>2.8</v>
      </c>
      <c r="H57" s="79">
        <f>'Licensed FTEs'!P96</f>
        <v>1.2</v>
      </c>
      <c r="I57" s="79">
        <f>'Classified FTEs'!V96</f>
        <v>0</v>
      </c>
      <c r="J57" s="79">
        <f>'Classified FTEs'!AD96</f>
        <v>0.2</v>
      </c>
      <c r="K57" s="79">
        <f>'Classified FTEs'!D96</f>
        <v>0.2</v>
      </c>
      <c r="L57" s="79">
        <f>'Classified FTEs'!T96+'Classified FTEs'!U96+'Classified FTEs'!W96+'Classified FTEs'!X96+'Classified FTEs'!Y96+'Classified FTEs'!AC96+'Classified FTEs'!AE96+'Classified FTEs'!AF96+'Classified FTEs'!AL96</f>
        <v>5.9</v>
      </c>
      <c r="M57" s="143">
        <f>SUM(C57:L57)+SUM('instruction-charters'!C57:N57)</f>
        <v>81.039999999999992</v>
      </c>
      <c r="N57" s="144"/>
    </row>
    <row r="58" spans="1:14" ht="15" x14ac:dyDescent="0.25">
      <c r="A58" s="40" t="s">
        <v>226</v>
      </c>
      <c r="B58" s="40" t="s">
        <v>227</v>
      </c>
      <c r="C58" s="71">
        <f>'Licensed FTEs'!N97</f>
        <v>0</v>
      </c>
      <c r="D58" s="71">
        <f>'Classified FTEs'!H97+'Classified FTEs'!K97</f>
        <v>0</v>
      </c>
      <c r="E58" s="71">
        <f>'Classified FTEs'!I97+'Classified FTEs'!L97+'Classified FTEs'!M97+'Classified FTEs'!N97+'Classified FTEs'!O97</f>
        <v>0</v>
      </c>
      <c r="F58" s="71">
        <f>'Licensed FTEs'!O97</f>
        <v>0</v>
      </c>
      <c r="G58" s="71">
        <f>'Classified FTEs'!E97+'Classified FTEs'!F97+'Classified FTEs'!J97</f>
        <v>4.25</v>
      </c>
      <c r="H58" s="71">
        <f>'Licensed FTEs'!P97</f>
        <v>0</v>
      </c>
      <c r="I58" s="71">
        <f>'Classified FTEs'!V97</f>
        <v>0</v>
      </c>
      <c r="J58" s="71">
        <f>'Classified FTEs'!AD97</f>
        <v>0</v>
      </c>
      <c r="K58" s="71">
        <f>'Classified FTEs'!D97</f>
        <v>0</v>
      </c>
      <c r="L58" s="71">
        <f>'Classified FTEs'!T97+'Classified FTEs'!U97+'Classified FTEs'!W97+'Classified FTEs'!X97+'Classified FTEs'!Y97+'Classified FTEs'!AC97+'Classified FTEs'!AE97+'Classified FTEs'!AF97+'Classified FTEs'!AL97</f>
        <v>2.6</v>
      </c>
      <c r="M58" s="141">
        <f>SUM(C58:L58)+SUM('instruction-charters'!C58:N58)</f>
        <v>59.15</v>
      </c>
      <c r="N58" s="144"/>
    </row>
    <row r="59" spans="1:14" ht="15" x14ac:dyDescent="0.25">
      <c r="A59" s="40" t="s">
        <v>301</v>
      </c>
      <c r="B59" s="40" t="s">
        <v>302</v>
      </c>
      <c r="C59" s="76">
        <f>'Licensed FTEs'!N98</f>
        <v>0</v>
      </c>
      <c r="D59" s="76">
        <f>'Classified FTEs'!H98+'Classified FTEs'!K98</f>
        <v>2</v>
      </c>
      <c r="E59" s="76">
        <f>'Classified FTEs'!I98+'Classified FTEs'!L98+'Classified FTEs'!M98+'Classified FTEs'!N98+'Classified FTEs'!O98</f>
        <v>0</v>
      </c>
      <c r="F59" s="76">
        <f>'Licensed FTEs'!O98</f>
        <v>0.75</v>
      </c>
      <c r="G59" s="76">
        <f>'Classified FTEs'!E98+'Classified FTEs'!F98+'Classified FTEs'!J98</f>
        <v>2</v>
      </c>
      <c r="H59" s="76">
        <f>'Licensed FTEs'!P98</f>
        <v>0</v>
      </c>
      <c r="I59" s="76">
        <f>'Classified FTEs'!V98</f>
        <v>0</v>
      </c>
      <c r="J59" s="76">
        <f>'Classified FTEs'!AD98</f>
        <v>0</v>
      </c>
      <c r="K59" s="76">
        <f>'Classified FTEs'!D98</f>
        <v>0</v>
      </c>
      <c r="L59" s="76">
        <f>'Classified FTEs'!T98+'Classified FTEs'!U98+'Classified FTEs'!W98+'Classified FTEs'!X98+'Classified FTEs'!Y98+'Classified FTEs'!AC98+'Classified FTEs'!AE98+'Classified FTEs'!AF98+'Classified FTEs'!AL98</f>
        <v>4</v>
      </c>
      <c r="M59" s="142">
        <f>SUM(C59:L59)+SUM('instruction-charters'!C59:N59)</f>
        <v>37.61</v>
      </c>
      <c r="N59" s="144"/>
    </row>
    <row r="60" spans="1:14" ht="15" x14ac:dyDescent="0.25">
      <c r="A60" s="40" t="s">
        <v>228</v>
      </c>
      <c r="B60" s="40" t="s">
        <v>229</v>
      </c>
      <c r="C60" s="76">
        <f>'Licensed FTEs'!N99</f>
        <v>1</v>
      </c>
      <c r="D60" s="76">
        <f>'Classified FTEs'!H99+'Classified FTEs'!K99</f>
        <v>0</v>
      </c>
      <c r="E60" s="76">
        <f>'Classified FTEs'!I99+'Classified FTEs'!L99+'Classified FTEs'!M99+'Classified FTEs'!N99+'Classified FTEs'!O99</f>
        <v>0</v>
      </c>
      <c r="F60" s="76">
        <f>'Licensed FTEs'!O99</f>
        <v>0</v>
      </c>
      <c r="G60" s="76">
        <f>'Classified FTEs'!E99+'Classified FTEs'!F99+'Classified FTEs'!J99</f>
        <v>2.36</v>
      </c>
      <c r="H60" s="76">
        <f>'Licensed FTEs'!P99</f>
        <v>0</v>
      </c>
      <c r="I60" s="76">
        <f>'Classified FTEs'!V99</f>
        <v>0</v>
      </c>
      <c r="J60" s="76">
        <f>'Classified FTEs'!AD99</f>
        <v>0</v>
      </c>
      <c r="K60" s="76">
        <f>'Classified FTEs'!D99</f>
        <v>0</v>
      </c>
      <c r="L60" s="76">
        <f>'Classified FTEs'!T99+'Classified FTEs'!U99+'Classified FTEs'!W99+'Classified FTEs'!X99+'Classified FTEs'!Y99+'Classified FTEs'!AC99+'Classified FTEs'!AE99+'Classified FTEs'!AF99+'Classified FTEs'!AL99</f>
        <v>4.38</v>
      </c>
      <c r="M60" s="142">
        <f>SUM(C60:L60)+SUM('instruction-charters'!C60:N60)</f>
        <v>41.769999999999996</v>
      </c>
      <c r="N60" s="144"/>
    </row>
    <row r="61" spans="1:14" ht="15" x14ac:dyDescent="0.25">
      <c r="A61" s="40" t="s">
        <v>95</v>
      </c>
      <c r="B61" s="40" t="s">
        <v>230</v>
      </c>
      <c r="C61" s="76">
        <f>'Licensed FTEs'!N100</f>
        <v>0</v>
      </c>
      <c r="D61" s="76">
        <f>'Classified FTEs'!H100+'Classified FTEs'!K100</f>
        <v>0</v>
      </c>
      <c r="E61" s="76">
        <f>'Classified FTEs'!I100+'Classified FTEs'!L100+'Classified FTEs'!M100+'Classified FTEs'!N100+'Classified FTEs'!O100</f>
        <v>0</v>
      </c>
      <c r="F61" s="76">
        <f>'Licensed FTEs'!O100</f>
        <v>0.75</v>
      </c>
      <c r="G61" s="76">
        <f>'Classified FTEs'!E100+'Classified FTEs'!F100+'Classified FTEs'!J100</f>
        <v>1</v>
      </c>
      <c r="H61" s="76">
        <f>'Licensed FTEs'!P100</f>
        <v>0</v>
      </c>
      <c r="I61" s="76">
        <f>'Classified FTEs'!V100</f>
        <v>0</v>
      </c>
      <c r="J61" s="76">
        <f>'Classified FTEs'!AD100</f>
        <v>0</v>
      </c>
      <c r="K61" s="76">
        <f>'Classified FTEs'!D100</f>
        <v>0</v>
      </c>
      <c r="L61" s="76">
        <f>'Classified FTEs'!T100+'Classified FTEs'!U100+'Classified FTEs'!W100+'Classified FTEs'!X100+'Classified FTEs'!Y100+'Classified FTEs'!AC100+'Classified FTEs'!AE100+'Classified FTEs'!AF100+'Classified FTEs'!AL100</f>
        <v>1.9</v>
      </c>
      <c r="M61" s="142">
        <f>SUM(C61:L61)+SUM('instruction-charters'!C61:N61)</f>
        <v>32.57</v>
      </c>
      <c r="N61" s="144"/>
    </row>
    <row r="62" spans="1:14" ht="15" x14ac:dyDescent="0.25">
      <c r="A62" s="40" t="s">
        <v>96</v>
      </c>
      <c r="B62" s="40" t="s">
        <v>231</v>
      </c>
      <c r="C62" s="76">
        <f>'Licensed FTEs'!N101</f>
        <v>0</v>
      </c>
      <c r="D62" s="76">
        <f>'Classified FTEs'!H101+'Classified FTEs'!K101</f>
        <v>0</v>
      </c>
      <c r="E62" s="76">
        <f>'Classified FTEs'!I101+'Classified FTEs'!L101+'Classified FTEs'!M101+'Classified FTEs'!N101+'Classified FTEs'!O101</f>
        <v>1</v>
      </c>
      <c r="F62" s="76">
        <f>'Licensed FTEs'!O101</f>
        <v>2</v>
      </c>
      <c r="G62" s="76">
        <f>'Classified FTEs'!E101+'Classified FTEs'!F101+'Classified FTEs'!J101</f>
        <v>3</v>
      </c>
      <c r="H62" s="76">
        <f>'Licensed FTEs'!P101</f>
        <v>0</v>
      </c>
      <c r="I62" s="76">
        <f>'Classified FTEs'!V101</f>
        <v>0</v>
      </c>
      <c r="J62" s="76">
        <f>'Classified FTEs'!AD101</f>
        <v>1</v>
      </c>
      <c r="K62" s="76">
        <f>'Classified FTEs'!D101</f>
        <v>0.18</v>
      </c>
      <c r="L62" s="76">
        <f>'Classified FTEs'!T101+'Classified FTEs'!U101+'Classified FTEs'!W101+'Classified FTEs'!X101+'Classified FTEs'!Y101+'Classified FTEs'!AC101+'Classified FTEs'!AE101+'Classified FTEs'!AF101+'Classified FTEs'!AL101</f>
        <v>3.5</v>
      </c>
      <c r="M62" s="142">
        <f>SUM(C62:L62)+SUM('instruction-charters'!C62:N62)</f>
        <v>60.44</v>
      </c>
      <c r="N62" s="144"/>
    </row>
    <row r="63" spans="1:14" ht="15.75" thickBot="1" x14ac:dyDescent="0.3">
      <c r="A63" s="40" t="s">
        <v>97</v>
      </c>
      <c r="B63" s="40" t="s">
        <v>232</v>
      </c>
      <c r="C63" s="79">
        <f>'Licensed FTEs'!N102</f>
        <v>0.5</v>
      </c>
      <c r="D63" s="79">
        <f>'Classified FTEs'!H102+'Classified FTEs'!K102</f>
        <v>2</v>
      </c>
      <c r="E63" s="79">
        <f>'Classified FTEs'!I102+'Classified FTEs'!L102+'Classified FTEs'!M102+'Classified FTEs'!N102+'Classified FTEs'!O102</f>
        <v>0</v>
      </c>
      <c r="F63" s="79">
        <f>'Licensed FTEs'!O102</f>
        <v>0</v>
      </c>
      <c r="G63" s="79">
        <f>'Classified FTEs'!E102+'Classified FTEs'!F102+'Classified FTEs'!J102</f>
        <v>3.5</v>
      </c>
      <c r="H63" s="79">
        <f>'Licensed FTEs'!P102</f>
        <v>0</v>
      </c>
      <c r="I63" s="79">
        <f>'Classified FTEs'!V102</f>
        <v>0</v>
      </c>
      <c r="J63" s="79">
        <f>'Classified FTEs'!AD102</f>
        <v>0</v>
      </c>
      <c r="K63" s="79">
        <f>'Classified FTEs'!D102</f>
        <v>0</v>
      </c>
      <c r="L63" s="79">
        <f>'Classified FTEs'!T102+'Classified FTEs'!U102+'Classified FTEs'!W102+'Classified FTEs'!X102+'Classified FTEs'!Y102+'Classified FTEs'!AC102+'Classified FTEs'!AE102+'Classified FTEs'!AF102+'Classified FTEs'!AL102</f>
        <v>2.64</v>
      </c>
      <c r="M63" s="143">
        <f>SUM(C63:L63)+SUM('instruction-charters'!C63:N63)</f>
        <v>50.989999999999995</v>
      </c>
      <c r="N63" s="144"/>
    </row>
    <row r="64" spans="1:14" ht="15" x14ac:dyDescent="0.25">
      <c r="A64" s="40" t="s">
        <v>233</v>
      </c>
      <c r="B64" s="40" t="s">
        <v>234</v>
      </c>
      <c r="C64" s="71">
        <f>'Licensed FTEs'!N103</f>
        <v>0.17</v>
      </c>
      <c r="D64" s="71">
        <f>'Classified FTEs'!H103+'Classified FTEs'!K103</f>
        <v>0</v>
      </c>
      <c r="E64" s="71">
        <f>'Classified FTEs'!I103+'Classified FTEs'!L103+'Classified FTEs'!M103+'Classified FTEs'!N103+'Classified FTEs'!O103</f>
        <v>0</v>
      </c>
      <c r="F64" s="71">
        <f>'Licensed FTEs'!O103</f>
        <v>0.9</v>
      </c>
      <c r="G64" s="71">
        <f>'Classified FTEs'!E103+'Classified FTEs'!F103+'Classified FTEs'!J103</f>
        <v>1</v>
      </c>
      <c r="H64" s="71">
        <f>'Licensed FTEs'!P103</f>
        <v>0</v>
      </c>
      <c r="I64" s="71">
        <f>'Classified FTEs'!V103</f>
        <v>0</v>
      </c>
      <c r="J64" s="71">
        <f>'Classified FTEs'!AD103</f>
        <v>0</v>
      </c>
      <c r="K64" s="71">
        <f>'Classified FTEs'!D103</f>
        <v>0</v>
      </c>
      <c r="L64" s="71">
        <f>'Classified FTEs'!T103+'Classified FTEs'!U103+'Classified FTEs'!W103+'Classified FTEs'!X103+'Classified FTEs'!Y103+'Classified FTEs'!AC103+'Classified FTEs'!AE103+'Classified FTEs'!AF103+'Classified FTEs'!AL103</f>
        <v>1.95</v>
      </c>
      <c r="M64" s="141">
        <f>SUM(C64:L64)+SUM('instruction-charters'!C64:N64)</f>
        <v>25.65</v>
      </c>
      <c r="N64" s="144"/>
    </row>
    <row r="65" spans="1:14" ht="15" x14ac:dyDescent="0.25">
      <c r="A65" s="40">
        <v>97</v>
      </c>
      <c r="B65" s="40" t="s">
        <v>235</v>
      </c>
      <c r="C65" s="76">
        <f>'Licensed FTEs'!N104</f>
        <v>0</v>
      </c>
      <c r="D65" s="76">
        <f>'Classified FTEs'!H104+'Classified FTEs'!K104</f>
        <v>1</v>
      </c>
      <c r="E65" s="76">
        <f>'Classified FTEs'!I104+'Classified FTEs'!L104+'Classified FTEs'!M104+'Classified FTEs'!N104+'Classified FTEs'!O104</f>
        <v>2</v>
      </c>
      <c r="F65" s="76">
        <f>'Licensed FTEs'!O104</f>
        <v>1</v>
      </c>
      <c r="G65" s="76">
        <f>'Classified FTEs'!E104+'Classified FTEs'!F104+'Classified FTEs'!J104</f>
        <v>1</v>
      </c>
      <c r="H65" s="76">
        <f>'Licensed FTEs'!P104</f>
        <v>0</v>
      </c>
      <c r="I65" s="76">
        <f>'Classified FTEs'!V104</f>
        <v>0</v>
      </c>
      <c r="J65" s="76">
        <f>'Classified FTEs'!AD104</f>
        <v>0</v>
      </c>
      <c r="K65" s="76">
        <f>'Classified FTEs'!D104</f>
        <v>0</v>
      </c>
      <c r="L65" s="76">
        <f>'Classified FTEs'!T104+'Classified FTEs'!U104+'Classified FTEs'!W104+'Classified FTEs'!X104+'Classified FTEs'!Y104+'Classified FTEs'!AC104+'Classified FTEs'!AE104+'Classified FTEs'!AF104+'Classified FTEs'!AL104</f>
        <v>0</v>
      </c>
      <c r="M65" s="142">
        <f>SUM(C65:L65)+SUM('instruction-charters'!C65:N65)</f>
        <v>27.16</v>
      </c>
      <c r="N65" s="144"/>
    </row>
    <row r="66" spans="1:14" ht="15" x14ac:dyDescent="0.25">
      <c r="A66" s="40" t="s">
        <v>236</v>
      </c>
      <c r="B66" s="40" t="s">
        <v>237</v>
      </c>
      <c r="C66" s="76">
        <f>'Licensed FTEs'!N105</f>
        <v>1</v>
      </c>
      <c r="D66" s="76">
        <f>'Classified FTEs'!H105+'Classified FTEs'!K105</f>
        <v>0</v>
      </c>
      <c r="E66" s="76">
        <f>'Classified FTEs'!I105+'Classified FTEs'!L105+'Classified FTEs'!M105+'Classified FTEs'!N105+'Classified FTEs'!O105</f>
        <v>0</v>
      </c>
      <c r="F66" s="76">
        <f>'Licensed FTEs'!O105</f>
        <v>0</v>
      </c>
      <c r="G66" s="76">
        <f>'Classified FTEs'!E105+'Classified FTEs'!F105+'Classified FTEs'!J105</f>
        <v>0</v>
      </c>
      <c r="H66" s="76">
        <f>'Licensed FTEs'!P105</f>
        <v>0</v>
      </c>
      <c r="I66" s="76">
        <f>'Classified FTEs'!V105</f>
        <v>0</v>
      </c>
      <c r="J66" s="76">
        <f>'Classified FTEs'!AD105</f>
        <v>0</v>
      </c>
      <c r="K66" s="76">
        <f>'Classified FTEs'!D105</f>
        <v>0</v>
      </c>
      <c r="L66" s="76">
        <f>'Classified FTEs'!T105+'Classified FTEs'!U105+'Classified FTEs'!W105+'Classified FTEs'!X105+'Classified FTEs'!Y105+'Classified FTEs'!AC105+'Classified FTEs'!AE105+'Classified FTEs'!AF105+'Classified FTEs'!AL105</f>
        <v>0</v>
      </c>
      <c r="M66" s="142">
        <f>SUM(C66:L66)+SUM('instruction-charters'!C66:N66)</f>
        <v>15.75</v>
      </c>
      <c r="N66" s="144"/>
    </row>
    <row r="67" spans="1:14" ht="15" x14ac:dyDescent="0.25">
      <c r="A67" s="40" t="s">
        <v>98</v>
      </c>
      <c r="B67" s="40" t="s">
        <v>238</v>
      </c>
      <c r="C67" s="76">
        <f>'Licensed FTEs'!N106</f>
        <v>0</v>
      </c>
      <c r="D67" s="76">
        <f>'Classified FTEs'!H106+'Classified FTEs'!K106</f>
        <v>0</v>
      </c>
      <c r="E67" s="76">
        <f>'Classified FTEs'!I106+'Classified FTEs'!L106+'Classified FTEs'!M106+'Classified FTEs'!N106+'Classified FTEs'!O106</f>
        <v>1</v>
      </c>
      <c r="F67" s="76">
        <f>'Licensed FTEs'!O106</f>
        <v>1</v>
      </c>
      <c r="G67" s="76">
        <f>'Classified FTEs'!E106+'Classified FTEs'!F106+'Classified FTEs'!J106</f>
        <v>0.94</v>
      </c>
      <c r="H67" s="76">
        <f>'Licensed FTEs'!P106</f>
        <v>0</v>
      </c>
      <c r="I67" s="76">
        <f>'Classified FTEs'!V106</f>
        <v>0</v>
      </c>
      <c r="J67" s="76">
        <f>'Classified FTEs'!AD106</f>
        <v>0</v>
      </c>
      <c r="K67" s="76">
        <f>'Classified FTEs'!D106</f>
        <v>0</v>
      </c>
      <c r="L67" s="76">
        <f>'Classified FTEs'!T106+'Classified FTEs'!U106+'Classified FTEs'!W106+'Classified FTEs'!X106+'Classified FTEs'!Y106+'Classified FTEs'!AC106+'Classified FTEs'!AE106+'Classified FTEs'!AF106+'Classified FTEs'!AL106</f>
        <v>0</v>
      </c>
      <c r="M67" s="142">
        <f>SUM(C67:L67)+SUM('instruction-charters'!C67:N67)</f>
        <v>8.879999999999999</v>
      </c>
      <c r="N67" s="144"/>
    </row>
    <row r="68" spans="1:14" ht="15" x14ac:dyDescent="0.25">
      <c r="A68" s="40">
        <v>89</v>
      </c>
      <c r="B68" s="40" t="s">
        <v>239</v>
      </c>
      <c r="C68" s="76">
        <f>'Licensed FTEs'!N107</f>
        <v>0</v>
      </c>
      <c r="D68" s="76">
        <f>'Classified FTEs'!H107+'Classified FTEs'!K107</f>
        <v>0</v>
      </c>
      <c r="E68" s="76">
        <f>'Classified FTEs'!I107+'Classified FTEs'!L107+'Classified FTEs'!M107+'Classified FTEs'!N107+'Classified FTEs'!O107</f>
        <v>0</v>
      </c>
      <c r="F68" s="76">
        <f>'Licensed FTEs'!O107</f>
        <v>1</v>
      </c>
      <c r="G68" s="76">
        <f>'Classified FTEs'!E107+'Classified FTEs'!F107+'Classified FTEs'!J107</f>
        <v>0</v>
      </c>
      <c r="H68" s="76">
        <f>'Licensed FTEs'!P107</f>
        <v>0.25</v>
      </c>
      <c r="I68" s="76">
        <f>'Classified FTEs'!V107</f>
        <v>0</v>
      </c>
      <c r="J68" s="76">
        <f>'Classified FTEs'!AD107</f>
        <v>0</v>
      </c>
      <c r="K68" s="76">
        <f>'Classified FTEs'!D107</f>
        <v>0</v>
      </c>
      <c r="L68" s="76">
        <f>'Classified FTEs'!T107+'Classified FTEs'!U107+'Classified FTEs'!W107+'Classified FTEs'!X107+'Classified FTEs'!Y107+'Classified FTEs'!AC107+'Classified FTEs'!AE107+'Classified FTEs'!AF107+'Classified FTEs'!AL107</f>
        <v>0</v>
      </c>
      <c r="M68" s="142">
        <f>SUM(C68:L68)+SUM('instruction-charters'!C68:N68)</f>
        <v>18.25</v>
      </c>
      <c r="N68" s="144"/>
    </row>
    <row r="69" spans="1:14" ht="15.75" thickBot="1" x14ac:dyDescent="0.3">
      <c r="A69" s="40" t="s">
        <v>99</v>
      </c>
      <c r="B69" s="40" t="s">
        <v>240</v>
      </c>
      <c r="C69" s="79">
        <f>'Licensed FTEs'!N108</f>
        <v>0</v>
      </c>
      <c r="D69" s="79">
        <f>'Classified FTEs'!H108+'Classified FTEs'!K108</f>
        <v>0</v>
      </c>
      <c r="E69" s="79">
        <f>'Classified FTEs'!I108+'Classified FTEs'!L108+'Classified FTEs'!M108+'Classified FTEs'!N108+'Classified FTEs'!O108</f>
        <v>0</v>
      </c>
      <c r="F69" s="79">
        <f>'Licensed FTEs'!O108</f>
        <v>1.1100000000000001</v>
      </c>
      <c r="G69" s="79">
        <f>'Classified FTEs'!E108+'Classified FTEs'!F108+'Classified FTEs'!J108</f>
        <v>0</v>
      </c>
      <c r="H69" s="79">
        <f>'Licensed FTEs'!P108</f>
        <v>2</v>
      </c>
      <c r="I69" s="79">
        <f>'Classified FTEs'!V108</f>
        <v>0</v>
      </c>
      <c r="J69" s="79">
        <f>'Classified FTEs'!AD108</f>
        <v>0</v>
      </c>
      <c r="K69" s="79">
        <f>'Classified FTEs'!D108</f>
        <v>0</v>
      </c>
      <c r="L69" s="79">
        <f>'Classified FTEs'!T108+'Classified FTEs'!U108+'Classified FTEs'!W108+'Classified FTEs'!X108+'Classified FTEs'!Y108+'Classified FTEs'!AC108+'Classified FTEs'!AE108+'Classified FTEs'!AF108+'Classified FTEs'!AL108</f>
        <v>0</v>
      </c>
      <c r="M69" s="143">
        <f>SUM(C69:L69)+SUM('instruction-charters'!C69:N69)</f>
        <v>30.11</v>
      </c>
      <c r="N69" s="144"/>
    </row>
    <row r="70" spans="1:14" ht="15" x14ac:dyDescent="0.25">
      <c r="A70" s="40" t="s">
        <v>100</v>
      </c>
      <c r="B70" s="40" t="s">
        <v>241</v>
      </c>
      <c r="C70" s="71">
        <f>'Licensed FTEs'!N109</f>
        <v>0</v>
      </c>
      <c r="D70" s="71">
        <f>'Classified FTEs'!H109+'Classified FTEs'!K109</f>
        <v>0</v>
      </c>
      <c r="E70" s="71">
        <f>'Classified FTEs'!I109+'Classified FTEs'!L109+'Classified FTEs'!M109+'Classified FTEs'!N109+'Classified FTEs'!O109</f>
        <v>0</v>
      </c>
      <c r="F70" s="71">
        <f>'Licensed FTEs'!O109</f>
        <v>1</v>
      </c>
      <c r="G70" s="71">
        <f>'Classified FTEs'!E109+'Classified FTEs'!F109+'Classified FTEs'!J109</f>
        <v>2.5</v>
      </c>
      <c r="H70" s="71">
        <f>'Licensed FTEs'!P109</f>
        <v>0</v>
      </c>
      <c r="I70" s="71">
        <f>'Classified FTEs'!V109</f>
        <v>0</v>
      </c>
      <c r="J70" s="71">
        <f>'Classified FTEs'!AD109</f>
        <v>0</v>
      </c>
      <c r="K70" s="71">
        <f>'Classified FTEs'!D109</f>
        <v>0</v>
      </c>
      <c r="L70" s="71">
        <f>'Classified FTEs'!T109+'Classified FTEs'!U109+'Classified FTEs'!W109+'Classified FTEs'!X109+'Classified FTEs'!Y109+'Classified FTEs'!AC109+'Classified FTEs'!AE109+'Classified FTEs'!AF109+'Classified FTEs'!AL109</f>
        <v>0</v>
      </c>
      <c r="M70" s="141">
        <f>SUM(C70:L70)+SUM('instruction-charters'!C70:N70)</f>
        <v>10.64</v>
      </c>
      <c r="N70" s="144"/>
    </row>
    <row r="71" spans="1:14" ht="15" x14ac:dyDescent="0.25">
      <c r="A71" s="40">
        <v>88</v>
      </c>
      <c r="B71" s="40" t="s">
        <v>242</v>
      </c>
      <c r="C71" s="76">
        <f>'Licensed FTEs'!N110</f>
        <v>0</v>
      </c>
      <c r="D71" s="76">
        <f>'Classified FTEs'!H110+'Classified FTEs'!K110</f>
        <v>0</v>
      </c>
      <c r="E71" s="76">
        <f>'Classified FTEs'!I110+'Classified FTEs'!L110+'Classified FTEs'!M110+'Classified FTEs'!N110+'Classified FTEs'!O110</f>
        <v>0</v>
      </c>
      <c r="F71" s="76">
        <f>'Licensed FTEs'!O110</f>
        <v>0</v>
      </c>
      <c r="G71" s="76">
        <f>'Classified FTEs'!E110+'Classified FTEs'!F110+'Classified FTEs'!J110</f>
        <v>0.75</v>
      </c>
      <c r="H71" s="76">
        <f>'Licensed FTEs'!P110</f>
        <v>0</v>
      </c>
      <c r="I71" s="76">
        <f>'Classified FTEs'!V110</f>
        <v>0</v>
      </c>
      <c r="J71" s="76">
        <f>'Classified FTEs'!AD110</f>
        <v>0</v>
      </c>
      <c r="K71" s="76">
        <f>'Classified FTEs'!D110</f>
        <v>0</v>
      </c>
      <c r="L71" s="76">
        <f>'Classified FTEs'!T110+'Classified FTEs'!U110+'Classified FTEs'!W110+'Classified FTEs'!X110+'Classified FTEs'!Y110+'Classified FTEs'!AC110+'Classified FTEs'!AE110+'Classified FTEs'!AF110+'Classified FTEs'!AL110</f>
        <v>0</v>
      </c>
      <c r="M71" s="142">
        <f>SUM(C71:L71)+SUM('instruction-charters'!C71:N71)</f>
        <v>2.75</v>
      </c>
      <c r="N71" s="144"/>
    </row>
    <row r="72" spans="1:14" ht="15" x14ac:dyDescent="0.25">
      <c r="A72" s="40" t="s">
        <v>101</v>
      </c>
      <c r="B72" s="40" t="s">
        <v>243</v>
      </c>
      <c r="C72" s="76">
        <f>'Licensed FTEs'!N111</f>
        <v>0</v>
      </c>
      <c r="D72" s="76">
        <f>'Classified FTEs'!H111+'Classified FTEs'!K111</f>
        <v>0.5</v>
      </c>
      <c r="E72" s="76">
        <f>'Classified FTEs'!I111+'Classified FTEs'!L111+'Classified FTEs'!M111+'Classified FTEs'!N111+'Classified FTEs'!O111</f>
        <v>3</v>
      </c>
      <c r="F72" s="76">
        <f>'Licensed FTEs'!O111</f>
        <v>3</v>
      </c>
      <c r="G72" s="76">
        <f>'Classified FTEs'!E111+'Classified FTEs'!F111+'Classified FTEs'!J111</f>
        <v>3.5</v>
      </c>
      <c r="H72" s="76">
        <f>'Licensed FTEs'!P111</f>
        <v>2</v>
      </c>
      <c r="I72" s="76">
        <f>'Classified FTEs'!V111</f>
        <v>0</v>
      </c>
      <c r="J72" s="76">
        <f>'Classified FTEs'!AD111</f>
        <v>1</v>
      </c>
      <c r="K72" s="76">
        <f>'Classified FTEs'!D111</f>
        <v>0</v>
      </c>
      <c r="L72" s="76">
        <f>'Classified FTEs'!T111+'Classified FTEs'!U111+'Classified FTEs'!W111+'Classified FTEs'!X111+'Classified FTEs'!Y111+'Classified FTEs'!AC111+'Classified FTEs'!AE111+'Classified FTEs'!AF111+'Classified FTEs'!AL111</f>
        <v>7.63</v>
      </c>
      <c r="M72" s="142">
        <f>SUM(C72:L72)+SUM('instruction-charters'!C72:N72)</f>
        <v>89.02</v>
      </c>
      <c r="N72" s="144"/>
    </row>
    <row r="73" spans="1:14" ht="15" x14ac:dyDescent="0.25">
      <c r="A73" s="40" t="s">
        <v>303</v>
      </c>
      <c r="B73" s="40" t="s">
        <v>304</v>
      </c>
      <c r="C73" s="76">
        <f>'Licensed FTEs'!N112</f>
        <v>0</v>
      </c>
      <c r="D73" s="76">
        <f>'Classified FTEs'!H112+'Classified FTEs'!K112</f>
        <v>0</v>
      </c>
      <c r="E73" s="76">
        <f>'Classified FTEs'!I112+'Classified FTEs'!L112+'Classified FTEs'!M112+'Classified FTEs'!N112+'Classified FTEs'!O112</f>
        <v>0</v>
      </c>
      <c r="F73" s="76">
        <f>'Licensed FTEs'!O112</f>
        <v>1</v>
      </c>
      <c r="G73" s="76">
        <f>'Classified FTEs'!E112+'Classified FTEs'!F112+'Classified FTEs'!J112</f>
        <v>0.7</v>
      </c>
      <c r="H73" s="76">
        <f>'Licensed FTEs'!P112</f>
        <v>0</v>
      </c>
      <c r="I73" s="76">
        <f>'Classified FTEs'!V112</f>
        <v>0</v>
      </c>
      <c r="J73" s="76">
        <f>'Classified FTEs'!AD112</f>
        <v>0</v>
      </c>
      <c r="K73" s="76">
        <f>'Classified FTEs'!D112</f>
        <v>0</v>
      </c>
      <c r="L73" s="76">
        <f>'Classified FTEs'!T112+'Classified FTEs'!U112+'Classified FTEs'!W112+'Classified FTEs'!X112+'Classified FTEs'!Y112+'Classified FTEs'!AC112+'Classified FTEs'!AE112+'Classified FTEs'!AF112+'Classified FTEs'!AL112</f>
        <v>0</v>
      </c>
      <c r="M73" s="142">
        <f>SUM(C73:L73)+SUM('instruction-charters'!C73:N73)</f>
        <v>9.6999999999999993</v>
      </c>
      <c r="N73" s="144"/>
    </row>
    <row r="74" spans="1:14" ht="15" x14ac:dyDescent="0.25">
      <c r="A74" s="40" t="s">
        <v>102</v>
      </c>
      <c r="B74" s="40" t="s">
        <v>244</v>
      </c>
      <c r="C74" s="76">
        <f>'Licensed FTEs'!N113</f>
        <v>0</v>
      </c>
      <c r="D74" s="76">
        <f>'Classified FTEs'!H113+'Classified FTEs'!K113</f>
        <v>0</v>
      </c>
      <c r="E74" s="76">
        <f>'Classified FTEs'!I113+'Classified FTEs'!L113+'Classified FTEs'!M113+'Classified FTEs'!N113+'Classified FTEs'!O113</f>
        <v>0</v>
      </c>
      <c r="F74" s="76">
        <f>'Licensed FTEs'!O113</f>
        <v>3.3</v>
      </c>
      <c r="G74" s="76">
        <f>'Classified FTEs'!E113+'Classified FTEs'!F113+'Classified FTEs'!J113</f>
        <v>2.87</v>
      </c>
      <c r="H74" s="76">
        <f>'Licensed FTEs'!P113</f>
        <v>0</v>
      </c>
      <c r="I74" s="76">
        <f>'Classified FTEs'!V113</f>
        <v>0</v>
      </c>
      <c r="J74" s="76">
        <f>'Classified FTEs'!AD113</f>
        <v>0.73</v>
      </c>
      <c r="K74" s="76">
        <f>'Classified FTEs'!D113</f>
        <v>0</v>
      </c>
      <c r="L74" s="76">
        <f>'Classified FTEs'!T113+'Classified FTEs'!U113+'Classified FTEs'!W113+'Classified FTEs'!X113+'Classified FTEs'!Y113+'Classified FTEs'!AC113+'Classified FTEs'!AE113+'Classified FTEs'!AF113+'Classified FTEs'!AL113</f>
        <v>4.3599999999999994</v>
      </c>
      <c r="M74" s="142">
        <f>SUM(C74:L74)+SUM('instruction-charters'!C74:N74)</f>
        <v>66.23</v>
      </c>
      <c r="N74" s="144"/>
    </row>
    <row r="75" spans="1:14" ht="15.75" thickBot="1" x14ac:dyDescent="0.3">
      <c r="A75" s="40">
        <v>94</v>
      </c>
      <c r="B75" s="40" t="s">
        <v>245</v>
      </c>
      <c r="C75" s="79">
        <f>'Licensed FTEs'!N114</f>
        <v>0</v>
      </c>
      <c r="D75" s="79">
        <f>'Classified FTEs'!H114+'Classified FTEs'!K114</f>
        <v>0</v>
      </c>
      <c r="E75" s="79">
        <f>'Classified FTEs'!I114+'Classified FTEs'!L114+'Classified FTEs'!M114+'Classified FTEs'!N114+'Classified FTEs'!O114</f>
        <v>0.65</v>
      </c>
      <c r="F75" s="79">
        <f>'Licensed FTEs'!O114</f>
        <v>3</v>
      </c>
      <c r="G75" s="79">
        <f>'Classified FTEs'!E114+'Classified FTEs'!F114+'Classified FTEs'!J114</f>
        <v>4.8</v>
      </c>
      <c r="H75" s="79">
        <f>'Licensed FTEs'!P114</f>
        <v>1.5</v>
      </c>
      <c r="I75" s="79">
        <f>'Classified FTEs'!V114</f>
        <v>0</v>
      </c>
      <c r="J75" s="79">
        <f>'Classified FTEs'!AD114</f>
        <v>0</v>
      </c>
      <c r="K75" s="79">
        <f>'Classified FTEs'!D114</f>
        <v>0</v>
      </c>
      <c r="L75" s="79">
        <f>'Classified FTEs'!T114+'Classified FTEs'!U114+'Classified FTEs'!W114+'Classified FTEs'!X114+'Classified FTEs'!Y114+'Classified FTEs'!AC114+'Classified FTEs'!AE114+'Classified FTEs'!AF114+'Classified FTEs'!AL114</f>
        <v>6.2</v>
      </c>
      <c r="M75" s="143">
        <f>SUM(C75:L75)+SUM('instruction-charters'!C75:N75)</f>
        <v>110.21000000000001</v>
      </c>
      <c r="N75" s="144"/>
    </row>
    <row r="76" spans="1:14" ht="15" x14ac:dyDescent="0.25">
      <c r="A76" s="40">
        <v>95</v>
      </c>
      <c r="B76" s="40" t="s">
        <v>246</v>
      </c>
      <c r="C76" s="71">
        <f>'Licensed FTEs'!N115</f>
        <v>0</v>
      </c>
      <c r="D76" s="71">
        <f>'Classified FTEs'!H115+'Classified FTEs'!K115</f>
        <v>1</v>
      </c>
      <c r="E76" s="71">
        <f>'Classified FTEs'!I115+'Classified FTEs'!L115+'Classified FTEs'!M115+'Classified FTEs'!N115+'Classified FTEs'!O115</f>
        <v>0.25</v>
      </c>
      <c r="F76" s="71">
        <f>'Licensed FTEs'!O115</f>
        <v>1</v>
      </c>
      <c r="G76" s="71">
        <f>'Classified FTEs'!E115+'Classified FTEs'!F115+'Classified FTEs'!J115</f>
        <v>2</v>
      </c>
      <c r="H76" s="71">
        <f>'Licensed FTEs'!P115</f>
        <v>0</v>
      </c>
      <c r="I76" s="71">
        <f>'Classified FTEs'!V115</f>
        <v>0</v>
      </c>
      <c r="J76" s="71">
        <f>'Classified FTEs'!AD115</f>
        <v>0</v>
      </c>
      <c r="K76" s="71">
        <f>'Classified FTEs'!D115</f>
        <v>0</v>
      </c>
      <c r="L76" s="71">
        <f>'Classified FTEs'!T115+'Classified FTEs'!U115+'Classified FTEs'!W115+'Classified FTEs'!X115+'Classified FTEs'!Y115+'Classified FTEs'!AC115+'Classified FTEs'!AE115+'Classified FTEs'!AF115+'Classified FTEs'!AL115</f>
        <v>1</v>
      </c>
      <c r="M76" s="141">
        <f>SUM(C76:L76)+SUM('instruction-charters'!C76:N76)</f>
        <v>35.299999999999997</v>
      </c>
      <c r="N76" s="144"/>
    </row>
    <row r="77" spans="1:14" ht="15" x14ac:dyDescent="0.25">
      <c r="A77" s="40">
        <v>90</v>
      </c>
      <c r="B77" s="40" t="s">
        <v>247</v>
      </c>
      <c r="C77" s="76">
        <f>'Licensed FTEs'!N116</f>
        <v>0.8</v>
      </c>
      <c r="D77" s="76">
        <f>'Classified FTEs'!H116+'Classified FTEs'!K116</f>
        <v>1</v>
      </c>
      <c r="E77" s="76">
        <f>'Classified FTEs'!I116+'Classified FTEs'!L116+'Classified FTEs'!M116+'Classified FTEs'!N116+'Classified FTEs'!O116</f>
        <v>0</v>
      </c>
      <c r="F77" s="76">
        <f>'Licensed FTEs'!O116</f>
        <v>2.29</v>
      </c>
      <c r="G77" s="76">
        <f>'Classified FTEs'!E116+'Classified FTEs'!F116+'Classified FTEs'!J116</f>
        <v>1</v>
      </c>
      <c r="H77" s="76">
        <f>'Licensed FTEs'!P116</f>
        <v>0</v>
      </c>
      <c r="I77" s="76">
        <f>'Classified FTEs'!V116</f>
        <v>0</v>
      </c>
      <c r="J77" s="76">
        <f>'Classified FTEs'!AD116</f>
        <v>0</v>
      </c>
      <c r="K77" s="76">
        <f>'Classified FTEs'!D116</f>
        <v>0</v>
      </c>
      <c r="L77" s="76">
        <f>'Classified FTEs'!T116+'Classified FTEs'!U116+'Classified FTEs'!W116+'Classified FTEs'!X116+'Classified FTEs'!Y116+'Classified FTEs'!AC116+'Classified FTEs'!AE116+'Classified FTEs'!AF116+'Classified FTEs'!AL116</f>
        <v>0</v>
      </c>
      <c r="M77" s="142">
        <f>SUM(C77:L77)+SUM('instruction-charters'!C77:N77)</f>
        <v>21.22</v>
      </c>
    </row>
    <row r="78" spans="1:14" ht="15" x14ac:dyDescent="0.25">
      <c r="A78" s="40">
        <v>92</v>
      </c>
      <c r="B78" s="40" t="s">
        <v>248</v>
      </c>
      <c r="C78" s="76">
        <f>'Licensed FTEs'!N117</f>
        <v>0</v>
      </c>
      <c r="D78" s="76">
        <f>'Classified FTEs'!H117+'Classified FTEs'!K117</f>
        <v>0.17</v>
      </c>
      <c r="E78" s="76">
        <f>'Classified FTEs'!I117+'Classified FTEs'!L117+'Classified FTEs'!M117+'Classified FTEs'!N117+'Classified FTEs'!O117</f>
        <v>0</v>
      </c>
      <c r="F78" s="76">
        <f>'Licensed FTEs'!O117</f>
        <v>1</v>
      </c>
      <c r="G78" s="76">
        <f>'Classified FTEs'!E117+'Classified FTEs'!F117+'Classified FTEs'!J117</f>
        <v>2</v>
      </c>
      <c r="H78" s="76">
        <f>'Licensed FTEs'!P117</f>
        <v>0</v>
      </c>
      <c r="I78" s="76">
        <f>'Classified FTEs'!V117</f>
        <v>0</v>
      </c>
      <c r="J78" s="76">
        <f>'Classified FTEs'!AD117</f>
        <v>0</v>
      </c>
      <c r="K78" s="76">
        <f>'Classified FTEs'!D117</f>
        <v>0</v>
      </c>
      <c r="L78" s="76">
        <f>'Classified FTEs'!T117+'Classified FTEs'!U117+'Classified FTEs'!W117+'Classified FTEs'!X117+'Classified FTEs'!Y117+'Classified FTEs'!AC117+'Classified FTEs'!AE117+'Classified FTEs'!AF117+'Classified FTEs'!AL117</f>
        <v>0</v>
      </c>
      <c r="M78" s="142">
        <f>SUM(C78:L78)+SUM('instruction-charters'!C78:N78)</f>
        <v>14.34</v>
      </c>
    </row>
    <row r="79" spans="1:14" ht="15" x14ac:dyDescent="0.25">
      <c r="A79" s="40" t="s">
        <v>103</v>
      </c>
      <c r="B79" s="40" t="s">
        <v>249</v>
      </c>
      <c r="C79" s="76">
        <f>'Licensed FTEs'!N118</f>
        <v>0</v>
      </c>
      <c r="D79" s="76">
        <f>'Classified FTEs'!H118+'Classified FTEs'!K118</f>
        <v>0</v>
      </c>
      <c r="E79" s="76">
        <f>'Classified FTEs'!I118+'Classified FTEs'!L118+'Classified FTEs'!M118+'Classified FTEs'!N118+'Classified FTEs'!O118</f>
        <v>0</v>
      </c>
      <c r="F79" s="76">
        <f>'Licensed FTEs'!O118</f>
        <v>1.29</v>
      </c>
      <c r="G79" s="76">
        <f>'Classified FTEs'!E118+'Classified FTEs'!F118+'Classified FTEs'!J118</f>
        <v>2.6</v>
      </c>
      <c r="H79" s="76">
        <f>'Licensed FTEs'!P118</f>
        <v>0</v>
      </c>
      <c r="I79" s="76">
        <f>'Classified FTEs'!V118</f>
        <v>0</v>
      </c>
      <c r="J79" s="76">
        <f>'Classified FTEs'!AD118</f>
        <v>0.75</v>
      </c>
      <c r="K79" s="76">
        <f>'Classified FTEs'!D118</f>
        <v>0</v>
      </c>
      <c r="L79" s="76">
        <f>'Classified FTEs'!T118+'Classified FTEs'!U118+'Classified FTEs'!W118+'Classified FTEs'!X118+'Classified FTEs'!Y118+'Classified FTEs'!AC118+'Classified FTEs'!AE118+'Classified FTEs'!AF118+'Classified FTEs'!AL118</f>
        <v>0</v>
      </c>
      <c r="M79" s="142">
        <f>SUM(C79:L79)+SUM('instruction-charters'!C79:N79)</f>
        <v>22.130000000000003</v>
      </c>
    </row>
    <row r="80" spans="1:14" ht="15.75" thickBot="1" x14ac:dyDescent="0.3">
      <c r="A80" s="40" t="s">
        <v>250</v>
      </c>
      <c r="B80" s="40" t="s">
        <v>251</v>
      </c>
      <c r="C80" s="76">
        <f>'Licensed FTEs'!N119</f>
        <v>1.5</v>
      </c>
      <c r="D80" s="76">
        <f>'Classified FTEs'!H119+'Classified FTEs'!K119</f>
        <v>1</v>
      </c>
      <c r="E80" s="76">
        <f>'Classified FTEs'!I119+'Classified FTEs'!L119+'Classified FTEs'!M119+'Classified FTEs'!N119+'Classified FTEs'!O119</f>
        <v>0</v>
      </c>
      <c r="F80" s="76">
        <f>'Licensed FTEs'!O119</f>
        <v>2.7</v>
      </c>
      <c r="G80" s="76">
        <f>'Classified FTEs'!E119+'Classified FTEs'!F119+'Classified FTEs'!J119</f>
        <v>2</v>
      </c>
      <c r="H80" s="76">
        <f>'Licensed FTEs'!P119</f>
        <v>0</v>
      </c>
      <c r="I80" s="76">
        <f>'Classified FTEs'!V119</f>
        <v>0</v>
      </c>
      <c r="J80" s="76">
        <f>'Classified FTEs'!AD119</f>
        <v>0</v>
      </c>
      <c r="K80" s="76">
        <f>'Classified FTEs'!D119</f>
        <v>0</v>
      </c>
      <c r="L80" s="76">
        <f>'Classified FTEs'!T119+'Classified FTEs'!U119+'Classified FTEs'!W119+'Classified FTEs'!X119+'Classified FTEs'!Y119+'Classified FTEs'!AC119+'Classified FTEs'!AE119+'Classified FTEs'!AF119+'Classified FTEs'!AL119</f>
        <v>0</v>
      </c>
      <c r="M80" s="142">
        <f>SUM(C80:L80)+SUM('instruction-charters'!C80:N80)</f>
        <v>51.34</v>
      </c>
    </row>
    <row r="81" spans="1:13" ht="15" x14ac:dyDescent="0.25">
      <c r="A81" s="40" t="s">
        <v>252</v>
      </c>
      <c r="B81" s="40" t="s">
        <v>253</v>
      </c>
      <c r="C81" s="70">
        <f>'Licensed FTEs'!N120</f>
        <v>0</v>
      </c>
      <c r="D81" s="71">
        <f>'Classified FTEs'!H120+'Classified FTEs'!K120</f>
        <v>0</v>
      </c>
      <c r="E81" s="71">
        <f>'Classified FTEs'!I120+'Classified FTEs'!L120+'Classified FTEs'!M120+'Classified FTEs'!N120+'Classified FTEs'!O120</f>
        <v>0.1</v>
      </c>
      <c r="F81" s="71">
        <f>'Licensed FTEs'!O120</f>
        <v>1</v>
      </c>
      <c r="G81" s="71">
        <f>'Classified FTEs'!E120+'Classified FTEs'!F120+'Classified FTEs'!J120</f>
        <v>2</v>
      </c>
      <c r="H81" s="71">
        <f>'Licensed FTEs'!P120</f>
        <v>0</v>
      </c>
      <c r="I81" s="71">
        <f>'Classified FTEs'!V120</f>
        <v>0</v>
      </c>
      <c r="J81" s="71">
        <f>'Classified FTEs'!AD120</f>
        <v>0</v>
      </c>
      <c r="K81" s="71">
        <f>'Classified FTEs'!D120</f>
        <v>0</v>
      </c>
      <c r="L81" s="72">
        <f>'Classified FTEs'!T120+'Classified FTEs'!U120+'Classified FTEs'!W120+'Classified FTEs'!X120+'Classified FTEs'!Y120+'Classified FTEs'!AC120+'Classified FTEs'!AE120+'Classified FTEs'!AF120+'Classified FTEs'!AL120</f>
        <v>3.4</v>
      </c>
      <c r="M81" s="142">
        <f>SUM(C81:L81)+SUM('instruction-charters'!C81:N81)</f>
        <v>37.799999999999997</v>
      </c>
    </row>
    <row r="82" spans="1:13" ht="15" x14ac:dyDescent="0.25">
      <c r="A82" s="40" t="s">
        <v>288</v>
      </c>
      <c r="B82" s="40" t="s">
        <v>305</v>
      </c>
      <c r="C82" s="75">
        <f>'Licensed FTEs'!N121</f>
        <v>1</v>
      </c>
      <c r="D82" s="76">
        <f>'Classified FTEs'!H121+'Classified FTEs'!K121</f>
        <v>1</v>
      </c>
      <c r="E82" s="76">
        <f>'Classified FTEs'!I121+'Classified FTEs'!L121+'Classified FTEs'!M121+'Classified FTEs'!N121+'Classified FTEs'!O121</f>
        <v>0</v>
      </c>
      <c r="F82" s="76">
        <f>'Licensed FTEs'!O121</f>
        <v>1.3</v>
      </c>
      <c r="G82" s="76">
        <f>'Classified FTEs'!E121+'Classified FTEs'!F121+'Classified FTEs'!J121</f>
        <v>4</v>
      </c>
      <c r="H82" s="76">
        <f>'Licensed FTEs'!P121</f>
        <v>1</v>
      </c>
      <c r="I82" s="76">
        <f>'Classified FTEs'!V121</f>
        <v>0</v>
      </c>
      <c r="J82" s="76">
        <f>'Classified FTEs'!AD121</f>
        <v>0</v>
      </c>
      <c r="K82" s="76">
        <f>'Classified FTEs'!D121</f>
        <v>0</v>
      </c>
      <c r="L82" s="77">
        <f>'Classified FTEs'!T121+'Classified FTEs'!U121+'Classified FTEs'!W121+'Classified FTEs'!X121+'Classified FTEs'!Y121+'Classified FTEs'!AC121+'Classified FTEs'!AE121+'Classified FTEs'!AF121+'Classified FTEs'!AL121</f>
        <v>3.5</v>
      </c>
      <c r="M82" s="142">
        <f>SUM(C82:L82)+SUM('instruction-charters'!C82:N82)</f>
        <v>61.84</v>
      </c>
    </row>
    <row r="83" spans="1:13" ht="15" x14ac:dyDescent="0.25">
      <c r="A83" s="40">
        <v>81</v>
      </c>
      <c r="B83" s="40" t="s">
        <v>254</v>
      </c>
      <c r="C83" s="75">
        <f>'Licensed FTEs'!N122</f>
        <v>0</v>
      </c>
      <c r="D83" s="76">
        <f>'Classified FTEs'!H122+'Classified FTEs'!K122</f>
        <v>0</v>
      </c>
      <c r="E83" s="76">
        <f>'Classified FTEs'!I122+'Classified FTEs'!L122+'Classified FTEs'!M122+'Classified FTEs'!N122+'Classified FTEs'!O122</f>
        <v>0</v>
      </c>
      <c r="F83" s="76">
        <f>'Licensed FTEs'!O122</f>
        <v>1</v>
      </c>
      <c r="G83" s="76">
        <f>'Classified FTEs'!E122+'Classified FTEs'!F122+'Classified FTEs'!J122</f>
        <v>0</v>
      </c>
      <c r="H83" s="76">
        <f>'Licensed FTEs'!P122</f>
        <v>0</v>
      </c>
      <c r="I83" s="76">
        <f>'Classified FTEs'!V122</f>
        <v>0</v>
      </c>
      <c r="J83" s="76">
        <f>'Classified FTEs'!AD122</f>
        <v>0</v>
      </c>
      <c r="K83" s="76">
        <f>'Classified FTEs'!D122</f>
        <v>0</v>
      </c>
      <c r="L83" s="77">
        <f>'Classified FTEs'!T122+'Classified FTEs'!U122+'Classified FTEs'!W122+'Classified FTEs'!X122+'Classified FTEs'!Y122+'Classified FTEs'!AC122+'Classified FTEs'!AE122+'Classified FTEs'!AF122+'Classified FTEs'!AL122</f>
        <v>0</v>
      </c>
      <c r="M83" s="142">
        <f>SUM(C83:L83)+SUM('instruction-charters'!C83:N83)</f>
        <v>21.86</v>
      </c>
    </row>
    <row r="84" spans="1:13" ht="15" x14ac:dyDescent="0.25">
      <c r="A84" s="40" t="s">
        <v>104</v>
      </c>
      <c r="B84" s="40" t="s">
        <v>255</v>
      </c>
      <c r="C84" s="75">
        <f>'Licensed FTEs'!N123</f>
        <v>0</v>
      </c>
      <c r="D84" s="76">
        <f>'Classified FTEs'!H123+'Classified FTEs'!K123</f>
        <v>0</v>
      </c>
      <c r="E84" s="76">
        <f>'Classified FTEs'!I123+'Classified FTEs'!L123+'Classified FTEs'!M123+'Classified FTEs'!N123+'Classified FTEs'!O123</f>
        <v>0</v>
      </c>
      <c r="F84" s="76">
        <f>'Licensed FTEs'!O123</f>
        <v>1</v>
      </c>
      <c r="G84" s="76">
        <f>'Classified FTEs'!E123+'Classified FTEs'!F123+'Classified FTEs'!J123</f>
        <v>1.78</v>
      </c>
      <c r="H84" s="76">
        <f>'Licensed FTEs'!P123</f>
        <v>0</v>
      </c>
      <c r="I84" s="76">
        <f>'Classified FTEs'!V123</f>
        <v>0</v>
      </c>
      <c r="J84" s="76">
        <f>'Classified FTEs'!AD123</f>
        <v>1</v>
      </c>
      <c r="K84" s="76">
        <f>'Classified FTEs'!D123</f>
        <v>0</v>
      </c>
      <c r="L84" s="77">
        <f>'Classified FTEs'!T123+'Classified FTEs'!U123+'Classified FTEs'!W123+'Classified FTEs'!X123+'Classified FTEs'!Y123+'Classified FTEs'!AC123+'Classified FTEs'!AE123+'Classified FTEs'!AF123+'Classified FTEs'!AL123</f>
        <v>2.94</v>
      </c>
      <c r="M84" s="142">
        <f>SUM(C84:L84)+SUM('instruction-charters'!C84:N84)</f>
        <v>34.29</v>
      </c>
    </row>
    <row r="85" spans="1:13" ht="15.75" thickBot="1" x14ac:dyDescent="0.3">
      <c r="A85" s="40" t="s">
        <v>306</v>
      </c>
      <c r="B85" s="40" t="s">
        <v>307</v>
      </c>
      <c r="C85" s="78">
        <f>'Licensed FTEs'!N124</f>
        <v>0</v>
      </c>
      <c r="D85" s="79">
        <f>'Classified FTEs'!H124+'Classified FTEs'!K124</f>
        <v>0</v>
      </c>
      <c r="E85" s="79">
        <f>'Classified FTEs'!I124+'Classified FTEs'!L124+'Classified FTEs'!M124+'Classified FTEs'!N124+'Classified FTEs'!O124</f>
        <v>0</v>
      </c>
      <c r="F85" s="79">
        <f>'Licensed FTEs'!O124</f>
        <v>1.38</v>
      </c>
      <c r="G85" s="79">
        <f>'Classified FTEs'!E124+'Classified FTEs'!F124+'Classified FTEs'!J124</f>
        <v>2.5</v>
      </c>
      <c r="H85" s="79">
        <f>'Licensed FTEs'!P124</f>
        <v>0</v>
      </c>
      <c r="I85" s="79">
        <f>'Classified FTEs'!V124</f>
        <v>0</v>
      </c>
      <c r="J85" s="79">
        <f>'Classified FTEs'!AD124</f>
        <v>0.5</v>
      </c>
      <c r="K85" s="79">
        <f>'Classified FTEs'!D124</f>
        <v>0</v>
      </c>
      <c r="L85" s="80">
        <f>'Classified FTEs'!T124+'Classified FTEs'!U124+'Classified FTEs'!W124+'Classified FTEs'!X124+'Classified FTEs'!Y124+'Classified FTEs'!AC124+'Classified FTEs'!AE124+'Classified FTEs'!AF124+'Classified FTEs'!AL124</f>
        <v>2</v>
      </c>
      <c r="M85" s="142">
        <f>SUM(C85:L85)+SUM('instruction-charters'!C85:N85)</f>
        <v>43.080000000000005</v>
      </c>
    </row>
    <row r="86" spans="1:13" s="59" customFormat="1" ht="13.5" thickBot="1" x14ac:dyDescent="0.25">
      <c r="A86" s="145"/>
      <c r="B86" s="146" t="s">
        <v>60</v>
      </c>
      <c r="C86" s="147">
        <f>SUM(C10:C85)</f>
        <v>22.36</v>
      </c>
      <c r="D86" s="148">
        <f t="shared" ref="D86:M86" si="0">SUM(D10:D85)</f>
        <v>28.970000000000002</v>
      </c>
      <c r="E86" s="148">
        <f t="shared" si="0"/>
        <v>30.95</v>
      </c>
      <c r="F86" s="148">
        <f t="shared" si="0"/>
        <v>100.33000000000001</v>
      </c>
      <c r="G86" s="148">
        <f t="shared" si="0"/>
        <v>160.26999999999998</v>
      </c>
      <c r="H86" s="148">
        <f t="shared" si="0"/>
        <v>16.88</v>
      </c>
      <c r="I86" s="148">
        <f t="shared" si="0"/>
        <v>0</v>
      </c>
      <c r="J86" s="148">
        <f t="shared" si="0"/>
        <v>14.18</v>
      </c>
      <c r="K86" s="148">
        <f t="shared" si="0"/>
        <v>2.3800000000000003</v>
      </c>
      <c r="L86" s="148">
        <f t="shared" si="0"/>
        <v>162.72999999999999</v>
      </c>
      <c r="M86" s="149">
        <f t="shared" si="0"/>
        <v>3043.8700000000008</v>
      </c>
    </row>
  </sheetData>
  <sortState ref="B7:R64">
    <sortCondition ref="B7:B64"/>
  </sortState>
  <mergeCells count="12">
    <mergeCell ref="B1:M1"/>
    <mergeCell ref="B2:M2"/>
    <mergeCell ref="B3:M3"/>
    <mergeCell ref="B4:B8"/>
    <mergeCell ref="C4:L4"/>
    <mergeCell ref="M4:M8"/>
    <mergeCell ref="C5:D7"/>
    <mergeCell ref="E5:E7"/>
    <mergeCell ref="F5:F7"/>
    <mergeCell ref="G5:G7"/>
    <mergeCell ref="H5:K6"/>
    <mergeCell ref="L5:L7"/>
  </mergeCells>
  <printOptions horizontalCentered="1" verticalCentered="1"/>
  <pageMargins left="1.01" right="0.25" top="0.43" bottom="0.75" header="0.3" footer="0.3"/>
  <pageSetup scale="39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zoomScale="80" zoomScaleNormal="80" zoomScaleSheetLayoutView="80" workbookViewId="0">
      <pane xSplit="2" ySplit="6" topLeftCell="C7" activePane="bottomRight" state="frozen"/>
      <selection activeCell="E53" sqref="E53"/>
      <selection pane="topRight" activeCell="E53" sqref="E53"/>
      <selection pane="bottomLeft" activeCell="E53" sqref="E53"/>
      <selection pane="bottomRight" activeCell="E53" sqref="E53"/>
    </sheetView>
  </sheetViews>
  <sheetFormatPr defaultColWidth="9.140625" defaultRowHeight="15" customHeight="1" x14ac:dyDescent="0.2"/>
  <cols>
    <col min="1" max="1" width="4" style="109" customWidth="1"/>
    <col min="2" max="2" width="30.140625" style="110" customWidth="1"/>
    <col min="3" max="4" width="14" style="111" customWidth="1"/>
    <col min="5" max="16" width="13.7109375" style="111" customWidth="1"/>
    <col min="17" max="17" width="12.7109375" style="111" bestFit="1" customWidth="1"/>
    <col min="18" max="16384" width="9.140625" style="111"/>
  </cols>
  <sheetData>
    <row r="1" spans="1:17" ht="15" customHeight="1" x14ac:dyDescent="0.2">
      <c r="A1" s="109" t="s">
        <v>308</v>
      </c>
    </row>
    <row r="2" spans="1:17" ht="15" customHeight="1" thickBot="1" x14ac:dyDescent="0.25"/>
    <row r="3" spans="1:17" ht="15" customHeight="1" thickBot="1" x14ac:dyDescent="0.25">
      <c r="A3" s="112"/>
      <c r="B3" s="198" t="s">
        <v>0</v>
      </c>
      <c r="C3" s="201" t="s">
        <v>135</v>
      </c>
      <c r="D3" s="202"/>
      <c r="E3" s="202"/>
      <c r="F3" s="202"/>
      <c r="G3" s="202"/>
      <c r="H3" s="202"/>
      <c r="I3" s="202"/>
      <c r="J3" s="195" t="s">
        <v>136</v>
      </c>
      <c r="K3" s="195" t="s">
        <v>137</v>
      </c>
      <c r="L3" s="195" t="s">
        <v>138</v>
      </c>
      <c r="M3" s="195" t="s">
        <v>139</v>
      </c>
      <c r="N3" s="195" t="s">
        <v>140</v>
      </c>
      <c r="O3" s="195" t="s">
        <v>141</v>
      </c>
      <c r="P3" s="195" t="s">
        <v>142</v>
      </c>
      <c r="Q3" s="195" t="s">
        <v>143</v>
      </c>
    </row>
    <row r="4" spans="1:17" ht="15" customHeight="1" thickBot="1" x14ac:dyDescent="0.25">
      <c r="A4" s="113"/>
      <c r="B4" s="199"/>
      <c r="C4" s="201" t="s">
        <v>144</v>
      </c>
      <c r="D4" s="202"/>
      <c r="E4" s="195" t="s">
        <v>10</v>
      </c>
      <c r="F4" s="195" t="s">
        <v>11</v>
      </c>
      <c r="G4" s="195" t="s">
        <v>12</v>
      </c>
      <c r="H4" s="195" t="s">
        <v>145</v>
      </c>
      <c r="I4" s="202" t="s">
        <v>146</v>
      </c>
      <c r="J4" s="196"/>
      <c r="K4" s="196"/>
      <c r="L4" s="196"/>
      <c r="M4" s="196"/>
      <c r="N4" s="196"/>
      <c r="O4" s="196"/>
      <c r="P4" s="196"/>
      <c r="Q4" s="196"/>
    </row>
    <row r="5" spans="1:17" ht="15" customHeight="1" thickBot="1" x14ac:dyDescent="0.25">
      <c r="A5" s="113"/>
      <c r="B5" s="199"/>
      <c r="C5" s="114"/>
      <c r="D5" s="115"/>
      <c r="E5" s="196"/>
      <c r="F5" s="196"/>
      <c r="G5" s="196"/>
      <c r="H5" s="196"/>
      <c r="I5" s="203"/>
      <c r="J5" s="196"/>
      <c r="K5" s="196"/>
      <c r="L5" s="196"/>
      <c r="M5" s="196"/>
      <c r="N5" s="196"/>
      <c r="O5" s="196"/>
      <c r="P5" s="196"/>
      <c r="Q5" s="196"/>
    </row>
    <row r="6" spans="1:17" ht="15" customHeight="1" thickBot="1" x14ac:dyDescent="0.25">
      <c r="A6" s="113"/>
      <c r="B6" s="200"/>
      <c r="C6" s="116" t="s">
        <v>14</v>
      </c>
      <c r="D6" s="117" t="s">
        <v>15</v>
      </c>
      <c r="E6" s="197"/>
      <c r="F6" s="197"/>
      <c r="G6" s="197"/>
      <c r="H6" s="197"/>
      <c r="I6" s="204"/>
      <c r="J6" s="197"/>
      <c r="K6" s="197"/>
      <c r="L6" s="197"/>
      <c r="M6" s="197"/>
      <c r="N6" s="197"/>
      <c r="O6" s="197"/>
      <c r="P6" s="197"/>
      <c r="Q6" s="197"/>
    </row>
    <row r="7" spans="1:17" ht="15" customHeight="1" thickBot="1" x14ac:dyDescent="0.3">
      <c r="A7" s="118">
        <v>1</v>
      </c>
      <c r="B7" s="119" t="s">
        <v>147</v>
      </c>
      <c r="C7" s="99">
        <v>10.14</v>
      </c>
      <c r="D7" s="99">
        <v>22.5</v>
      </c>
      <c r="E7" s="99">
        <v>124.04</v>
      </c>
      <c r="F7" s="120">
        <v>1342.61</v>
      </c>
      <c r="G7" s="120">
        <v>1031.49</v>
      </c>
      <c r="H7" s="99">
        <v>264.68</v>
      </c>
      <c r="I7" s="99">
        <v>80.41</v>
      </c>
      <c r="J7" s="99">
        <v>46.68</v>
      </c>
      <c r="K7" s="99">
        <v>0</v>
      </c>
      <c r="L7" s="99">
        <v>82.92</v>
      </c>
      <c r="M7" s="99">
        <v>22.64</v>
      </c>
      <c r="N7" s="99">
        <v>22</v>
      </c>
      <c r="O7" s="99">
        <v>113.8</v>
      </c>
      <c r="P7" s="99">
        <v>95.11</v>
      </c>
      <c r="Q7" s="121">
        <f>SUM(C7:P7)</f>
        <v>3259.0199999999995</v>
      </c>
    </row>
    <row r="8" spans="1:17" ht="15" customHeight="1" thickBot="1" x14ac:dyDescent="0.3">
      <c r="A8" s="118">
        <v>2</v>
      </c>
      <c r="B8" s="122" t="s">
        <v>148</v>
      </c>
      <c r="C8" s="99">
        <v>0.5</v>
      </c>
      <c r="D8" s="99">
        <v>0</v>
      </c>
      <c r="E8" s="99">
        <v>3.44</v>
      </c>
      <c r="F8" s="99">
        <v>34.94</v>
      </c>
      <c r="G8" s="99">
        <v>31.33</v>
      </c>
      <c r="H8" s="99">
        <v>7.35</v>
      </c>
      <c r="I8" s="99">
        <v>0.16</v>
      </c>
      <c r="J8" s="99">
        <v>0.25</v>
      </c>
      <c r="K8" s="99">
        <v>0</v>
      </c>
      <c r="L8" s="99">
        <v>1.53</v>
      </c>
      <c r="M8" s="99">
        <v>0</v>
      </c>
      <c r="N8" s="99">
        <v>3.25</v>
      </c>
      <c r="O8" s="99">
        <v>3.75</v>
      </c>
      <c r="P8" s="99">
        <v>1</v>
      </c>
      <c r="Q8" s="121">
        <f t="shared" ref="Q8:Q71" si="0">SUM(C8:P8)</f>
        <v>87.499999999999986</v>
      </c>
    </row>
    <row r="9" spans="1:17" ht="15" customHeight="1" thickBot="1" x14ac:dyDescent="0.3">
      <c r="A9" s="118">
        <v>3</v>
      </c>
      <c r="B9" s="122" t="s">
        <v>149</v>
      </c>
      <c r="C9" s="99">
        <v>1</v>
      </c>
      <c r="D9" s="99">
        <v>8</v>
      </c>
      <c r="E9" s="99">
        <v>24.81</v>
      </c>
      <c r="F9" s="99">
        <v>186.87</v>
      </c>
      <c r="G9" s="99">
        <v>216.79</v>
      </c>
      <c r="H9" s="99">
        <v>50.72</v>
      </c>
      <c r="I9" s="99">
        <v>13.83</v>
      </c>
      <c r="J9" s="99">
        <v>4</v>
      </c>
      <c r="K9" s="99">
        <v>1.5</v>
      </c>
      <c r="L9" s="99">
        <v>13.84</v>
      </c>
      <c r="M9" s="99">
        <v>5</v>
      </c>
      <c r="N9" s="99">
        <v>5</v>
      </c>
      <c r="O9" s="99">
        <v>25.3</v>
      </c>
      <c r="P9" s="99">
        <v>23.4</v>
      </c>
      <c r="Q9" s="121">
        <f t="shared" si="0"/>
        <v>580.05999999999995</v>
      </c>
    </row>
    <row r="10" spans="1:17" ht="15" customHeight="1" thickBot="1" x14ac:dyDescent="0.3">
      <c r="A10" s="118">
        <v>4</v>
      </c>
      <c r="B10" s="122" t="s">
        <v>150</v>
      </c>
      <c r="C10" s="99">
        <v>0</v>
      </c>
      <c r="D10" s="99">
        <v>6.84</v>
      </c>
      <c r="E10" s="99">
        <v>28.99</v>
      </c>
      <c r="F10" s="99">
        <v>257.86</v>
      </c>
      <c r="G10" s="99">
        <v>281.23</v>
      </c>
      <c r="H10" s="99">
        <v>55.23</v>
      </c>
      <c r="I10" s="99">
        <v>20.41</v>
      </c>
      <c r="J10" s="99">
        <v>20.86</v>
      </c>
      <c r="K10" s="99">
        <v>0</v>
      </c>
      <c r="L10" s="99">
        <v>18.760000000000002</v>
      </c>
      <c r="M10" s="99">
        <v>21</v>
      </c>
      <c r="N10" s="99">
        <v>3</v>
      </c>
      <c r="O10" s="99">
        <v>30.75</v>
      </c>
      <c r="P10" s="99">
        <v>37.03</v>
      </c>
      <c r="Q10" s="121">
        <f t="shared" si="0"/>
        <v>781.96</v>
      </c>
    </row>
    <row r="11" spans="1:17" ht="15" customHeight="1" thickBot="1" x14ac:dyDescent="0.3">
      <c r="A11" s="118">
        <v>42</v>
      </c>
      <c r="B11" s="123" t="s">
        <v>276</v>
      </c>
      <c r="C11" s="99">
        <v>0</v>
      </c>
      <c r="D11" s="99">
        <v>14</v>
      </c>
      <c r="E11" s="99">
        <v>64.11</v>
      </c>
      <c r="F11" s="99">
        <v>632.32000000000005</v>
      </c>
      <c r="G11" s="99">
        <v>590.71</v>
      </c>
      <c r="H11" s="99">
        <v>145.68</v>
      </c>
      <c r="I11" s="99">
        <v>60.51</v>
      </c>
      <c r="J11" s="99">
        <v>49.65</v>
      </c>
      <c r="K11" s="99">
        <v>0.5</v>
      </c>
      <c r="L11" s="99">
        <v>40</v>
      </c>
      <c r="M11" s="99">
        <v>10.99</v>
      </c>
      <c r="N11" s="99">
        <v>21</v>
      </c>
      <c r="O11" s="99">
        <v>83</v>
      </c>
      <c r="P11" s="99">
        <v>79.53</v>
      </c>
      <c r="Q11" s="121">
        <f t="shared" si="0"/>
        <v>1792.0000000000002</v>
      </c>
    </row>
    <row r="12" spans="1:17" ht="15" customHeight="1" thickBot="1" x14ac:dyDescent="0.3">
      <c r="A12" s="118">
        <v>5</v>
      </c>
      <c r="B12" s="119" t="s">
        <v>151</v>
      </c>
      <c r="C12" s="99">
        <v>0</v>
      </c>
      <c r="D12" s="99">
        <v>2</v>
      </c>
      <c r="E12" s="99">
        <v>13</v>
      </c>
      <c r="F12" s="99">
        <v>76.8</v>
      </c>
      <c r="G12" s="99">
        <v>65.02</v>
      </c>
      <c r="H12" s="99">
        <v>20.12</v>
      </c>
      <c r="I12" s="99">
        <v>10.07</v>
      </c>
      <c r="J12" s="99">
        <v>2.68</v>
      </c>
      <c r="K12" s="99">
        <v>2.6</v>
      </c>
      <c r="L12" s="99">
        <v>4.37</v>
      </c>
      <c r="M12" s="99">
        <v>0.86</v>
      </c>
      <c r="N12" s="99">
        <v>5.48</v>
      </c>
      <c r="O12" s="99">
        <v>10.41</v>
      </c>
      <c r="P12" s="99">
        <v>3.8</v>
      </c>
      <c r="Q12" s="121">
        <f t="shared" si="0"/>
        <v>217.21</v>
      </c>
    </row>
    <row r="13" spans="1:17" ht="15" customHeight="1" thickBot="1" x14ac:dyDescent="0.3">
      <c r="A13" s="118">
        <v>6</v>
      </c>
      <c r="B13" s="122" t="s">
        <v>152</v>
      </c>
      <c r="C13" s="99">
        <v>0</v>
      </c>
      <c r="D13" s="99">
        <v>0</v>
      </c>
      <c r="E13" s="99">
        <v>0.84</v>
      </c>
      <c r="F13" s="99">
        <v>4.67</v>
      </c>
      <c r="G13" s="99">
        <v>7.97</v>
      </c>
      <c r="H13" s="99">
        <v>0.86</v>
      </c>
      <c r="I13" s="99">
        <v>1.44</v>
      </c>
      <c r="J13" s="99">
        <v>1</v>
      </c>
      <c r="K13" s="99">
        <v>0</v>
      </c>
      <c r="L13" s="99">
        <v>0</v>
      </c>
      <c r="M13" s="99">
        <v>0.03</v>
      </c>
      <c r="N13" s="99">
        <v>0.8</v>
      </c>
      <c r="O13" s="99">
        <v>0.86</v>
      </c>
      <c r="P13" s="99">
        <v>0</v>
      </c>
      <c r="Q13" s="121">
        <f t="shared" si="0"/>
        <v>18.470000000000002</v>
      </c>
    </row>
    <row r="14" spans="1:17" ht="15" customHeight="1" thickBot="1" x14ac:dyDescent="0.3">
      <c r="A14" s="118">
        <v>7</v>
      </c>
      <c r="B14" s="122" t="s">
        <v>153</v>
      </c>
      <c r="C14" s="99">
        <v>1.67</v>
      </c>
      <c r="D14" s="99">
        <v>24.33</v>
      </c>
      <c r="E14" s="99">
        <v>134.77000000000001</v>
      </c>
      <c r="F14" s="120">
        <v>1288.78</v>
      </c>
      <c r="G14" s="120">
        <v>1063.95</v>
      </c>
      <c r="H14" s="99">
        <v>300.76</v>
      </c>
      <c r="I14" s="99">
        <v>87.37</v>
      </c>
      <c r="J14" s="99">
        <v>67.150000000000006</v>
      </c>
      <c r="K14" s="99">
        <v>34</v>
      </c>
      <c r="L14" s="99">
        <v>77.3</v>
      </c>
      <c r="M14" s="99">
        <v>20.5</v>
      </c>
      <c r="N14" s="99">
        <v>20</v>
      </c>
      <c r="O14" s="99">
        <v>166.7</v>
      </c>
      <c r="P14" s="99">
        <v>114.16</v>
      </c>
      <c r="Q14" s="121">
        <f t="shared" si="0"/>
        <v>3401.44</v>
      </c>
    </row>
    <row r="15" spans="1:17" ht="15" customHeight="1" thickBot="1" x14ac:dyDescent="0.3">
      <c r="A15" s="118">
        <v>8</v>
      </c>
      <c r="B15" s="122" t="s">
        <v>154</v>
      </c>
      <c r="C15" s="99">
        <v>0</v>
      </c>
      <c r="D15" s="99">
        <v>3</v>
      </c>
      <c r="E15" s="99">
        <v>11.5</v>
      </c>
      <c r="F15" s="99">
        <v>95.92</v>
      </c>
      <c r="G15" s="99">
        <v>85.3</v>
      </c>
      <c r="H15" s="99">
        <v>28.84</v>
      </c>
      <c r="I15" s="99">
        <v>3.19</v>
      </c>
      <c r="J15" s="99">
        <v>2.5</v>
      </c>
      <c r="K15" s="99">
        <v>0</v>
      </c>
      <c r="L15" s="99">
        <v>5.65</v>
      </c>
      <c r="M15" s="99">
        <v>6.34</v>
      </c>
      <c r="N15" s="99">
        <v>2</v>
      </c>
      <c r="O15" s="99">
        <v>13.85</v>
      </c>
      <c r="P15" s="99">
        <v>2.5</v>
      </c>
      <c r="Q15" s="121">
        <f t="shared" si="0"/>
        <v>260.59000000000003</v>
      </c>
    </row>
    <row r="16" spans="1:17" ht="15" customHeight="1" thickBot="1" x14ac:dyDescent="0.3">
      <c r="A16" s="118">
        <v>9</v>
      </c>
      <c r="B16" s="123" t="s">
        <v>155</v>
      </c>
      <c r="C16" s="99">
        <v>0</v>
      </c>
      <c r="D16" s="99">
        <v>1</v>
      </c>
      <c r="E16" s="99">
        <v>7.5</v>
      </c>
      <c r="F16" s="99">
        <v>54.26</v>
      </c>
      <c r="G16" s="99">
        <v>50.09</v>
      </c>
      <c r="H16" s="99">
        <v>13.33</v>
      </c>
      <c r="I16" s="99">
        <v>0.17</v>
      </c>
      <c r="J16" s="99">
        <v>0.5</v>
      </c>
      <c r="K16" s="99">
        <v>0</v>
      </c>
      <c r="L16" s="99">
        <v>2</v>
      </c>
      <c r="M16" s="99">
        <v>1.2</v>
      </c>
      <c r="N16" s="99">
        <v>4</v>
      </c>
      <c r="O16" s="99">
        <v>9.35</v>
      </c>
      <c r="P16" s="99">
        <v>2</v>
      </c>
      <c r="Q16" s="121">
        <f t="shared" si="0"/>
        <v>145.39999999999998</v>
      </c>
    </row>
    <row r="17" spans="1:17" ht="15" customHeight="1" thickBot="1" x14ac:dyDescent="0.3">
      <c r="A17" s="118">
        <v>10</v>
      </c>
      <c r="B17" s="119" t="s">
        <v>156</v>
      </c>
      <c r="C17" s="99">
        <v>0.5</v>
      </c>
      <c r="D17" s="99">
        <v>0</v>
      </c>
      <c r="E17" s="99">
        <v>2.74</v>
      </c>
      <c r="F17" s="99">
        <v>24.12</v>
      </c>
      <c r="G17" s="99">
        <v>28.5</v>
      </c>
      <c r="H17" s="99">
        <v>5.4</v>
      </c>
      <c r="I17" s="99">
        <v>0.1</v>
      </c>
      <c r="J17" s="99">
        <v>0.56999999999999995</v>
      </c>
      <c r="K17" s="99">
        <v>0.65</v>
      </c>
      <c r="L17" s="99">
        <v>1.73</v>
      </c>
      <c r="M17" s="99">
        <v>0</v>
      </c>
      <c r="N17" s="99">
        <v>0.54</v>
      </c>
      <c r="O17" s="99">
        <v>5.04</v>
      </c>
      <c r="P17" s="99">
        <v>1</v>
      </c>
      <c r="Q17" s="121">
        <f t="shared" si="0"/>
        <v>70.890000000000015</v>
      </c>
    </row>
    <row r="18" spans="1:17" ht="15" customHeight="1" thickBot="1" x14ac:dyDescent="0.3">
      <c r="A18" s="118">
        <v>11</v>
      </c>
      <c r="B18" s="122" t="s">
        <v>157</v>
      </c>
      <c r="C18" s="99">
        <v>0</v>
      </c>
      <c r="D18" s="99">
        <v>1</v>
      </c>
      <c r="E18" s="99">
        <v>2</v>
      </c>
      <c r="F18" s="99">
        <v>30</v>
      </c>
      <c r="G18" s="99">
        <v>35.81</v>
      </c>
      <c r="H18" s="99">
        <v>10</v>
      </c>
      <c r="I18" s="99">
        <v>0</v>
      </c>
      <c r="J18" s="99">
        <v>1.25</v>
      </c>
      <c r="K18" s="99">
        <v>0</v>
      </c>
      <c r="L18" s="99">
        <v>2</v>
      </c>
      <c r="M18" s="99">
        <v>1</v>
      </c>
      <c r="N18" s="99">
        <v>2</v>
      </c>
      <c r="O18" s="99">
        <v>6</v>
      </c>
      <c r="P18" s="99">
        <v>2</v>
      </c>
      <c r="Q18" s="121">
        <f t="shared" si="0"/>
        <v>93.06</v>
      </c>
    </row>
    <row r="19" spans="1:17" ht="15" customHeight="1" thickBot="1" x14ac:dyDescent="0.3">
      <c r="A19" s="118">
        <v>12</v>
      </c>
      <c r="B19" s="122" t="s">
        <v>158</v>
      </c>
      <c r="C19" s="99">
        <v>0</v>
      </c>
      <c r="D19" s="99">
        <v>27.25</v>
      </c>
      <c r="E19" s="99">
        <v>147.52000000000001</v>
      </c>
      <c r="F19" s="120">
        <v>1293.69</v>
      </c>
      <c r="G19" s="120">
        <v>1184.77</v>
      </c>
      <c r="H19" s="99">
        <v>325.49</v>
      </c>
      <c r="I19" s="99">
        <v>275.36</v>
      </c>
      <c r="J19" s="99">
        <v>17.59</v>
      </c>
      <c r="K19" s="99">
        <v>2</v>
      </c>
      <c r="L19" s="99">
        <v>91.35</v>
      </c>
      <c r="M19" s="99">
        <v>21.5</v>
      </c>
      <c r="N19" s="99">
        <v>40.299999999999997</v>
      </c>
      <c r="O19" s="99">
        <v>142.04</v>
      </c>
      <c r="P19" s="99">
        <v>149.81</v>
      </c>
      <c r="Q19" s="121">
        <f t="shared" si="0"/>
        <v>3718.6700000000005</v>
      </c>
    </row>
    <row r="20" spans="1:17" ht="15" customHeight="1" thickBot="1" x14ac:dyDescent="0.3">
      <c r="A20" s="118">
        <v>13</v>
      </c>
      <c r="B20" s="122" t="s">
        <v>159</v>
      </c>
      <c r="C20" s="99">
        <v>0.5</v>
      </c>
      <c r="D20" s="99">
        <v>8.5</v>
      </c>
      <c r="E20" s="99">
        <v>22.5</v>
      </c>
      <c r="F20" s="99">
        <v>172.67</v>
      </c>
      <c r="G20" s="99">
        <v>162.46</v>
      </c>
      <c r="H20" s="99">
        <v>43.15</v>
      </c>
      <c r="I20" s="99">
        <v>4.5</v>
      </c>
      <c r="J20" s="99">
        <v>4.17</v>
      </c>
      <c r="K20" s="99">
        <v>4</v>
      </c>
      <c r="L20" s="99">
        <v>9.5</v>
      </c>
      <c r="M20" s="99">
        <v>2</v>
      </c>
      <c r="N20" s="99">
        <v>3</v>
      </c>
      <c r="O20" s="99">
        <v>18</v>
      </c>
      <c r="P20" s="99">
        <v>9.4700000000000006</v>
      </c>
      <c r="Q20" s="121">
        <f t="shared" si="0"/>
        <v>464.42</v>
      </c>
    </row>
    <row r="21" spans="1:17" ht="15" customHeight="1" thickBot="1" x14ac:dyDescent="0.3">
      <c r="A21" s="118">
        <v>14</v>
      </c>
      <c r="B21" s="123" t="s">
        <v>160</v>
      </c>
      <c r="C21" s="99">
        <v>3</v>
      </c>
      <c r="D21" s="99">
        <v>19.2</v>
      </c>
      <c r="E21" s="99">
        <v>86.85</v>
      </c>
      <c r="F21" s="99">
        <v>972.98</v>
      </c>
      <c r="G21" s="99">
        <v>790.67</v>
      </c>
      <c r="H21" s="99">
        <v>210.64</v>
      </c>
      <c r="I21" s="99">
        <v>95.98</v>
      </c>
      <c r="J21" s="99">
        <v>17.73</v>
      </c>
      <c r="K21" s="99">
        <v>0</v>
      </c>
      <c r="L21" s="99">
        <v>45.7</v>
      </c>
      <c r="M21" s="99">
        <v>15.13</v>
      </c>
      <c r="N21" s="99">
        <v>26.61</v>
      </c>
      <c r="O21" s="99">
        <v>93.31</v>
      </c>
      <c r="P21" s="99">
        <v>102.81</v>
      </c>
      <c r="Q21" s="121">
        <f t="shared" si="0"/>
        <v>2480.6099999999997</v>
      </c>
    </row>
    <row r="22" spans="1:17" ht="15" customHeight="1" thickBot="1" x14ac:dyDescent="0.3">
      <c r="A22" s="118">
        <v>15</v>
      </c>
      <c r="B22" s="119" t="s">
        <v>161</v>
      </c>
      <c r="C22" s="99">
        <v>0</v>
      </c>
      <c r="D22" s="99">
        <v>1</v>
      </c>
      <c r="E22" s="99">
        <v>4</v>
      </c>
      <c r="F22" s="99">
        <v>43</v>
      </c>
      <c r="G22" s="99">
        <v>41.43</v>
      </c>
      <c r="H22" s="99">
        <v>15.4</v>
      </c>
      <c r="I22" s="99">
        <v>2.5</v>
      </c>
      <c r="J22" s="99">
        <v>0</v>
      </c>
      <c r="K22" s="99">
        <v>0</v>
      </c>
      <c r="L22" s="99">
        <v>0</v>
      </c>
      <c r="M22" s="99">
        <v>0</v>
      </c>
      <c r="N22" s="99">
        <v>1.3</v>
      </c>
      <c r="O22" s="99">
        <v>6.2</v>
      </c>
      <c r="P22" s="99">
        <v>2</v>
      </c>
      <c r="Q22" s="121">
        <f t="shared" si="0"/>
        <v>116.83000000000001</v>
      </c>
    </row>
    <row r="23" spans="1:17" ht="15" customHeight="1" thickBot="1" x14ac:dyDescent="0.3">
      <c r="A23" s="118">
        <v>16</v>
      </c>
      <c r="B23" s="122" t="s">
        <v>162</v>
      </c>
      <c r="C23" s="99">
        <v>1.5</v>
      </c>
      <c r="D23" s="99">
        <v>0</v>
      </c>
      <c r="E23" s="99">
        <v>3.5</v>
      </c>
      <c r="F23" s="99">
        <v>26.15</v>
      </c>
      <c r="G23" s="99">
        <v>32.770000000000003</v>
      </c>
      <c r="H23" s="99">
        <v>5.84</v>
      </c>
      <c r="I23" s="99">
        <v>0.34</v>
      </c>
      <c r="J23" s="99">
        <v>2</v>
      </c>
      <c r="K23" s="99">
        <v>0</v>
      </c>
      <c r="L23" s="99">
        <v>1.75</v>
      </c>
      <c r="M23" s="99">
        <v>0.75</v>
      </c>
      <c r="N23" s="99">
        <v>1</v>
      </c>
      <c r="O23" s="99">
        <v>3.12</v>
      </c>
      <c r="P23" s="99">
        <v>1</v>
      </c>
      <c r="Q23" s="121">
        <f t="shared" si="0"/>
        <v>79.720000000000013</v>
      </c>
    </row>
    <row r="24" spans="1:17" ht="15" customHeight="1" thickBot="1" x14ac:dyDescent="0.3">
      <c r="A24" s="118">
        <v>39</v>
      </c>
      <c r="B24" s="122" t="s">
        <v>163</v>
      </c>
      <c r="C24" s="99">
        <v>0</v>
      </c>
      <c r="D24" s="99">
        <v>3</v>
      </c>
      <c r="E24" s="99">
        <v>17.13</v>
      </c>
      <c r="F24" s="99">
        <v>105.01</v>
      </c>
      <c r="G24" s="99">
        <v>122.86</v>
      </c>
      <c r="H24" s="99">
        <v>31.45</v>
      </c>
      <c r="I24" s="99">
        <v>21.65</v>
      </c>
      <c r="J24" s="99">
        <v>0</v>
      </c>
      <c r="K24" s="99">
        <v>1</v>
      </c>
      <c r="L24" s="99">
        <v>7</v>
      </c>
      <c r="M24" s="99">
        <v>1.9</v>
      </c>
      <c r="N24" s="99">
        <v>5</v>
      </c>
      <c r="O24" s="99">
        <v>12</v>
      </c>
      <c r="P24" s="99">
        <v>11.7</v>
      </c>
      <c r="Q24" s="121">
        <f t="shared" si="0"/>
        <v>339.69999999999993</v>
      </c>
    </row>
    <row r="25" spans="1:17" ht="15" customHeight="1" thickBot="1" x14ac:dyDescent="0.3">
      <c r="A25" s="118">
        <v>17</v>
      </c>
      <c r="B25" s="122" t="s">
        <v>164</v>
      </c>
      <c r="C25" s="99">
        <v>0</v>
      </c>
      <c r="D25" s="99">
        <v>3.5</v>
      </c>
      <c r="E25" s="99">
        <v>7.83</v>
      </c>
      <c r="F25" s="99">
        <v>55.7</v>
      </c>
      <c r="G25" s="99">
        <v>66.430000000000007</v>
      </c>
      <c r="H25" s="99">
        <v>15.67</v>
      </c>
      <c r="I25" s="99">
        <v>2.65</v>
      </c>
      <c r="J25" s="99">
        <v>2.5</v>
      </c>
      <c r="K25" s="99">
        <v>0.75</v>
      </c>
      <c r="L25" s="99">
        <v>0.25</v>
      </c>
      <c r="M25" s="99">
        <v>1.5</v>
      </c>
      <c r="N25" s="99">
        <v>2</v>
      </c>
      <c r="O25" s="99">
        <v>8.44</v>
      </c>
      <c r="P25" s="99">
        <v>3</v>
      </c>
      <c r="Q25" s="121">
        <f t="shared" si="0"/>
        <v>170.22</v>
      </c>
    </row>
    <row r="26" spans="1:17" ht="15" customHeight="1" thickBot="1" x14ac:dyDescent="0.3">
      <c r="A26" s="118">
        <v>18</v>
      </c>
      <c r="B26" s="123" t="s">
        <v>165</v>
      </c>
      <c r="C26" s="99">
        <v>0</v>
      </c>
      <c r="D26" s="99">
        <v>1</v>
      </c>
      <c r="E26" s="99">
        <v>5.5</v>
      </c>
      <c r="F26" s="99">
        <v>48.66</v>
      </c>
      <c r="G26" s="99">
        <v>47.43</v>
      </c>
      <c r="H26" s="99">
        <v>9.66</v>
      </c>
      <c r="I26" s="99">
        <v>1</v>
      </c>
      <c r="J26" s="99">
        <v>0.98</v>
      </c>
      <c r="K26" s="99">
        <v>0</v>
      </c>
      <c r="L26" s="99">
        <v>3</v>
      </c>
      <c r="M26" s="99">
        <v>0.94</v>
      </c>
      <c r="N26" s="99">
        <v>1.5</v>
      </c>
      <c r="O26" s="99">
        <v>5.86</v>
      </c>
      <c r="P26" s="99">
        <v>1</v>
      </c>
      <c r="Q26" s="121">
        <f t="shared" si="0"/>
        <v>126.53</v>
      </c>
    </row>
    <row r="27" spans="1:17" ht="15" customHeight="1" thickBot="1" x14ac:dyDescent="0.3">
      <c r="A27" s="118">
        <v>40</v>
      </c>
      <c r="B27" s="119" t="s">
        <v>166</v>
      </c>
      <c r="C27" s="99">
        <v>0</v>
      </c>
      <c r="D27" s="99">
        <v>1.5</v>
      </c>
      <c r="E27" s="99">
        <v>12.99</v>
      </c>
      <c r="F27" s="99">
        <v>128.06</v>
      </c>
      <c r="G27" s="99">
        <v>124.23</v>
      </c>
      <c r="H27" s="99">
        <v>29.03</v>
      </c>
      <c r="I27" s="99">
        <v>6.57</v>
      </c>
      <c r="J27" s="99">
        <v>7.87</v>
      </c>
      <c r="K27" s="99">
        <v>1</v>
      </c>
      <c r="L27" s="99">
        <v>8</v>
      </c>
      <c r="M27" s="99">
        <v>3</v>
      </c>
      <c r="N27" s="99">
        <v>3.5</v>
      </c>
      <c r="O27" s="99">
        <v>14</v>
      </c>
      <c r="P27" s="99">
        <v>14.2</v>
      </c>
      <c r="Q27" s="121">
        <f t="shared" si="0"/>
        <v>353.95000000000005</v>
      </c>
    </row>
    <row r="28" spans="1:17" ht="15" customHeight="1" thickBot="1" x14ac:dyDescent="0.3">
      <c r="A28" s="118">
        <v>19</v>
      </c>
      <c r="B28" s="122" t="s">
        <v>167</v>
      </c>
      <c r="C28" s="99">
        <v>4</v>
      </c>
      <c r="D28" s="99">
        <v>15.5</v>
      </c>
      <c r="E28" s="99">
        <v>63.55</v>
      </c>
      <c r="F28" s="99">
        <v>571.48</v>
      </c>
      <c r="G28" s="99">
        <v>464.29</v>
      </c>
      <c r="H28" s="99">
        <v>130.33000000000001</v>
      </c>
      <c r="I28" s="99">
        <v>65.27</v>
      </c>
      <c r="J28" s="99">
        <v>49.05</v>
      </c>
      <c r="K28" s="99">
        <v>12.05</v>
      </c>
      <c r="L28" s="99">
        <v>32.31</v>
      </c>
      <c r="M28" s="99">
        <v>12</v>
      </c>
      <c r="N28" s="99">
        <v>12</v>
      </c>
      <c r="O28" s="99">
        <v>57</v>
      </c>
      <c r="P28" s="99">
        <v>70.069999999999993</v>
      </c>
      <c r="Q28" s="121">
        <f t="shared" si="0"/>
        <v>1558.8999999999996</v>
      </c>
    </row>
    <row r="29" spans="1:17" ht="15" customHeight="1" thickBot="1" x14ac:dyDescent="0.3">
      <c r="A29" s="118">
        <v>20</v>
      </c>
      <c r="B29" s="122" t="s">
        <v>168</v>
      </c>
      <c r="C29" s="99">
        <v>0</v>
      </c>
      <c r="D29" s="99">
        <v>1</v>
      </c>
      <c r="E29" s="99">
        <v>6</v>
      </c>
      <c r="F29" s="99">
        <v>52.5</v>
      </c>
      <c r="G29" s="99">
        <v>55.01</v>
      </c>
      <c r="H29" s="99">
        <v>10</v>
      </c>
      <c r="I29" s="99">
        <v>0.17</v>
      </c>
      <c r="J29" s="99">
        <v>1</v>
      </c>
      <c r="K29" s="99">
        <v>0</v>
      </c>
      <c r="L29" s="99">
        <v>0</v>
      </c>
      <c r="M29" s="99">
        <v>0</v>
      </c>
      <c r="N29" s="99">
        <v>2</v>
      </c>
      <c r="O29" s="99">
        <v>7</v>
      </c>
      <c r="P29" s="99">
        <v>2</v>
      </c>
      <c r="Q29" s="121">
        <f t="shared" si="0"/>
        <v>136.68</v>
      </c>
    </row>
    <row r="30" spans="1:17" ht="15" customHeight="1" thickBot="1" x14ac:dyDescent="0.3">
      <c r="A30" s="118">
        <v>21</v>
      </c>
      <c r="B30" s="122" t="s">
        <v>169</v>
      </c>
      <c r="C30" s="99">
        <v>0.5</v>
      </c>
      <c r="D30" s="99">
        <v>0</v>
      </c>
      <c r="E30" s="99">
        <v>1.84</v>
      </c>
      <c r="F30" s="99">
        <v>19.739999999999998</v>
      </c>
      <c r="G30" s="99">
        <v>24.76</v>
      </c>
      <c r="H30" s="99">
        <v>5.17</v>
      </c>
      <c r="I30" s="99">
        <v>1.36</v>
      </c>
      <c r="J30" s="99">
        <v>1.24</v>
      </c>
      <c r="K30" s="99">
        <v>0.2</v>
      </c>
      <c r="L30" s="99">
        <v>1</v>
      </c>
      <c r="M30" s="99">
        <v>0.7</v>
      </c>
      <c r="N30" s="99">
        <v>0.83</v>
      </c>
      <c r="O30" s="99">
        <v>2.69</v>
      </c>
      <c r="P30" s="99">
        <v>0.25</v>
      </c>
      <c r="Q30" s="121">
        <f t="shared" si="0"/>
        <v>60.280000000000008</v>
      </c>
    </row>
    <row r="31" spans="1:17" ht="15" customHeight="1" thickBot="1" x14ac:dyDescent="0.3">
      <c r="A31" s="118">
        <v>37</v>
      </c>
      <c r="B31" s="123" t="s">
        <v>170</v>
      </c>
      <c r="C31" s="99">
        <v>0</v>
      </c>
      <c r="D31" s="99">
        <v>5.5</v>
      </c>
      <c r="E31" s="99">
        <v>40.5</v>
      </c>
      <c r="F31" s="99">
        <v>257.61</v>
      </c>
      <c r="G31" s="99">
        <v>194.24</v>
      </c>
      <c r="H31" s="99">
        <v>66.2</v>
      </c>
      <c r="I31" s="99">
        <v>34.619999999999997</v>
      </c>
      <c r="J31" s="99">
        <v>35.31</v>
      </c>
      <c r="K31" s="99">
        <v>14.13</v>
      </c>
      <c r="L31" s="99">
        <v>15</v>
      </c>
      <c r="M31" s="99">
        <v>18.5</v>
      </c>
      <c r="N31" s="99">
        <v>8</v>
      </c>
      <c r="O31" s="99">
        <v>27.86</v>
      </c>
      <c r="P31" s="99">
        <v>19.38</v>
      </c>
      <c r="Q31" s="121">
        <f t="shared" si="0"/>
        <v>736.85</v>
      </c>
    </row>
    <row r="32" spans="1:17" ht="15" customHeight="1" thickBot="1" x14ac:dyDescent="0.3">
      <c r="A32" s="118">
        <v>22</v>
      </c>
      <c r="B32" s="119" t="s">
        <v>171</v>
      </c>
      <c r="C32" s="99">
        <v>0</v>
      </c>
      <c r="D32" s="99">
        <v>1</v>
      </c>
      <c r="E32" s="99">
        <v>7.75</v>
      </c>
      <c r="F32" s="99">
        <v>90.17</v>
      </c>
      <c r="G32" s="99">
        <v>125.83</v>
      </c>
      <c r="H32" s="99">
        <v>21.36</v>
      </c>
      <c r="I32" s="99">
        <v>17.440000000000001</v>
      </c>
      <c r="J32" s="99">
        <v>9.75</v>
      </c>
      <c r="K32" s="99">
        <v>4.55</v>
      </c>
      <c r="L32" s="99">
        <v>6.8</v>
      </c>
      <c r="M32" s="99">
        <v>7.19</v>
      </c>
      <c r="N32" s="99">
        <v>3</v>
      </c>
      <c r="O32" s="99">
        <v>11.1</v>
      </c>
      <c r="P32" s="99">
        <v>7.5</v>
      </c>
      <c r="Q32" s="121">
        <f t="shared" si="0"/>
        <v>313.44000000000005</v>
      </c>
    </row>
    <row r="33" spans="1:17" ht="15" customHeight="1" thickBot="1" x14ac:dyDescent="0.3">
      <c r="A33" s="118">
        <v>23</v>
      </c>
      <c r="B33" s="122" t="s">
        <v>172</v>
      </c>
      <c r="C33" s="99">
        <v>0.75</v>
      </c>
      <c r="D33" s="99">
        <v>0</v>
      </c>
      <c r="E33" s="99">
        <v>1.34</v>
      </c>
      <c r="F33" s="99">
        <v>9.32</v>
      </c>
      <c r="G33" s="99">
        <v>12.55</v>
      </c>
      <c r="H33" s="99">
        <v>2.0699999999999998</v>
      </c>
      <c r="I33" s="99">
        <v>1</v>
      </c>
      <c r="J33" s="99">
        <v>0</v>
      </c>
      <c r="K33" s="99">
        <v>0.5</v>
      </c>
      <c r="L33" s="99">
        <v>0.5</v>
      </c>
      <c r="M33" s="99">
        <v>0</v>
      </c>
      <c r="N33" s="99">
        <v>1</v>
      </c>
      <c r="O33" s="99">
        <v>1.22</v>
      </c>
      <c r="P33" s="99">
        <v>0</v>
      </c>
      <c r="Q33" s="121">
        <f t="shared" si="0"/>
        <v>30.25</v>
      </c>
    </row>
    <row r="34" spans="1:17" ht="15" customHeight="1" thickBot="1" x14ac:dyDescent="0.3">
      <c r="A34" s="118">
        <v>38</v>
      </c>
      <c r="B34" s="122" t="s">
        <v>173</v>
      </c>
      <c r="C34" s="99">
        <v>2.5</v>
      </c>
      <c r="D34" s="99">
        <v>3</v>
      </c>
      <c r="E34" s="99">
        <v>34.5</v>
      </c>
      <c r="F34" s="99">
        <v>270.05</v>
      </c>
      <c r="G34" s="99">
        <v>253.42</v>
      </c>
      <c r="H34" s="99">
        <v>92.94</v>
      </c>
      <c r="I34" s="99">
        <v>36.35</v>
      </c>
      <c r="J34" s="99">
        <v>9.6300000000000008</v>
      </c>
      <c r="K34" s="99">
        <v>0</v>
      </c>
      <c r="L34" s="99">
        <v>15.5</v>
      </c>
      <c r="M34" s="99">
        <v>3.33</v>
      </c>
      <c r="N34" s="99">
        <v>7</v>
      </c>
      <c r="O34" s="99">
        <v>28</v>
      </c>
      <c r="P34" s="99">
        <v>31.1</v>
      </c>
      <c r="Q34" s="121">
        <f t="shared" si="0"/>
        <v>787.32000000000016</v>
      </c>
    </row>
    <row r="35" spans="1:17" ht="15" customHeight="1" thickBot="1" x14ac:dyDescent="0.3">
      <c r="A35" s="118">
        <v>24</v>
      </c>
      <c r="B35" s="122" t="s">
        <v>174</v>
      </c>
      <c r="C35" s="99">
        <v>0</v>
      </c>
      <c r="D35" s="99">
        <v>0</v>
      </c>
      <c r="E35" s="99">
        <v>2</v>
      </c>
      <c r="F35" s="99">
        <v>11.33</v>
      </c>
      <c r="G35" s="99">
        <v>16.690000000000001</v>
      </c>
      <c r="H35" s="99">
        <v>2</v>
      </c>
      <c r="I35" s="99">
        <v>1.26</v>
      </c>
      <c r="J35" s="99">
        <v>0</v>
      </c>
      <c r="K35" s="99">
        <v>0.5</v>
      </c>
      <c r="L35" s="99">
        <v>0.5</v>
      </c>
      <c r="M35" s="99">
        <v>0</v>
      </c>
      <c r="N35" s="99">
        <v>0.8</v>
      </c>
      <c r="O35" s="99">
        <v>1.92</v>
      </c>
      <c r="P35" s="99">
        <v>0.75</v>
      </c>
      <c r="Q35" s="121">
        <f t="shared" si="0"/>
        <v>37.75</v>
      </c>
    </row>
    <row r="36" spans="1:17" ht="15" customHeight="1" thickBot="1" x14ac:dyDescent="0.3">
      <c r="A36" s="118">
        <v>36</v>
      </c>
      <c r="B36" s="123" t="s">
        <v>175</v>
      </c>
      <c r="C36" s="99">
        <v>0</v>
      </c>
      <c r="D36" s="99">
        <v>7.5</v>
      </c>
      <c r="E36" s="99">
        <v>82.46</v>
      </c>
      <c r="F36" s="99">
        <v>509.4</v>
      </c>
      <c r="G36" s="99">
        <v>414.6</v>
      </c>
      <c r="H36" s="99">
        <v>144.51</v>
      </c>
      <c r="I36" s="99">
        <v>89.86</v>
      </c>
      <c r="J36" s="99">
        <v>22.74</v>
      </c>
      <c r="K36" s="99">
        <v>12.35</v>
      </c>
      <c r="L36" s="99">
        <v>25.2</v>
      </c>
      <c r="M36" s="99">
        <v>38</v>
      </c>
      <c r="N36" s="99">
        <v>14.66</v>
      </c>
      <c r="O36" s="99">
        <v>66.86</v>
      </c>
      <c r="P36" s="99">
        <v>49.96</v>
      </c>
      <c r="Q36" s="121">
        <f t="shared" si="0"/>
        <v>1478.1</v>
      </c>
    </row>
    <row r="37" spans="1:17" ht="15" customHeight="1" thickBot="1" x14ac:dyDescent="0.3">
      <c r="A37" s="118">
        <v>25</v>
      </c>
      <c r="B37" s="119" t="s">
        <v>176</v>
      </c>
      <c r="C37" s="99">
        <v>1</v>
      </c>
      <c r="D37" s="99">
        <v>2.75</v>
      </c>
      <c r="E37" s="99">
        <v>9.0399999999999991</v>
      </c>
      <c r="F37" s="99">
        <v>62.21</v>
      </c>
      <c r="G37" s="99">
        <v>80.88</v>
      </c>
      <c r="H37" s="99">
        <v>15.34</v>
      </c>
      <c r="I37" s="99">
        <v>15.35</v>
      </c>
      <c r="J37" s="99">
        <v>6</v>
      </c>
      <c r="K37" s="99">
        <v>4</v>
      </c>
      <c r="L37" s="99">
        <v>3.31</v>
      </c>
      <c r="M37" s="99">
        <v>1</v>
      </c>
      <c r="N37" s="99">
        <v>4</v>
      </c>
      <c r="O37" s="99">
        <v>15.62</v>
      </c>
      <c r="P37" s="99">
        <v>5</v>
      </c>
      <c r="Q37" s="121">
        <f t="shared" si="0"/>
        <v>225.5</v>
      </c>
    </row>
    <row r="38" spans="1:17" ht="15" customHeight="1" thickBot="1" x14ac:dyDescent="0.3">
      <c r="A38" s="118">
        <v>26</v>
      </c>
      <c r="B38" s="122" t="s">
        <v>177</v>
      </c>
      <c r="C38" s="99">
        <v>0</v>
      </c>
      <c r="D38" s="99">
        <v>4.5</v>
      </c>
      <c r="E38" s="99">
        <v>11.33</v>
      </c>
      <c r="F38" s="99">
        <v>80.069999999999993</v>
      </c>
      <c r="G38" s="99">
        <v>102.72</v>
      </c>
      <c r="H38" s="99">
        <v>30.23</v>
      </c>
      <c r="I38" s="99">
        <v>4.5</v>
      </c>
      <c r="J38" s="99">
        <v>2</v>
      </c>
      <c r="K38" s="99">
        <v>0</v>
      </c>
      <c r="L38" s="99">
        <v>4.82</v>
      </c>
      <c r="M38" s="99">
        <v>0</v>
      </c>
      <c r="N38" s="99">
        <v>1</v>
      </c>
      <c r="O38" s="99">
        <v>11.64</v>
      </c>
      <c r="P38" s="99">
        <v>2.27</v>
      </c>
      <c r="Q38" s="121">
        <f t="shared" si="0"/>
        <v>255.08</v>
      </c>
    </row>
    <row r="39" spans="1:17" ht="15" customHeight="1" thickBot="1" x14ac:dyDescent="0.3">
      <c r="A39" s="118">
        <v>27</v>
      </c>
      <c r="B39" s="122" t="s">
        <v>178</v>
      </c>
      <c r="C39" s="99">
        <v>0</v>
      </c>
      <c r="D39" s="99">
        <v>2.71</v>
      </c>
      <c r="E39" s="99">
        <v>7</v>
      </c>
      <c r="F39" s="99">
        <v>54.49</v>
      </c>
      <c r="G39" s="99">
        <v>86.38</v>
      </c>
      <c r="H39" s="99">
        <v>12.99</v>
      </c>
      <c r="I39" s="99">
        <v>3.98</v>
      </c>
      <c r="J39" s="99">
        <v>1</v>
      </c>
      <c r="K39" s="99">
        <v>0</v>
      </c>
      <c r="L39" s="99">
        <v>3.89</v>
      </c>
      <c r="M39" s="99">
        <v>0</v>
      </c>
      <c r="N39" s="99">
        <v>4</v>
      </c>
      <c r="O39" s="99">
        <v>11</v>
      </c>
      <c r="P39" s="99">
        <v>2.25</v>
      </c>
      <c r="Q39" s="121">
        <f t="shared" si="0"/>
        <v>189.68999999999997</v>
      </c>
    </row>
    <row r="40" spans="1:17" ht="15" customHeight="1" thickBot="1" x14ac:dyDescent="0.3">
      <c r="A40" s="118">
        <v>28</v>
      </c>
      <c r="B40" s="122" t="s">
        <v>179</v>
      </c>
      <c r="C40" s="99">
        <v>0</v>
      </c>
      <c r="D40" s="99">
        <v>0.13</v>
      </c>
      <c r="E40" s="99">
        <v>3</v>
      </c>
      <c r="F40" s="99">
        <v>33.200000000000003</v>
      </c>
      <c r="G40" s="99">
        <v>30.11</v>
      </c>
      <c r="H40" s="99">
        <v>4.87</v>
      </c>
      <c r="I40" s="99">
        <v>2.16</v>
      </c>
      <c r="J40" s="99">
        <v>0</v>
      </c>
      <c r="K40" s="99">
        <v>1</v>
      </c>
      <c r="L40" s="99">
        <v>2</v>
      </c>
      <c r="M40" s="99">
        <v>1</v>
      </c>
      <c r="N40" s="99">
        <v>1</v>
      </c>
      <c r="O40" s="99">
        <v>4</v>
      </c>
      <c r="P40" s="99">
        <v>1.6</v>
      </c>
      <c r="Q40" s="121">
        <f t="shared" si="0"/>
        <v>84.07</v>
      </c>
    </row>
    <row r="41" spans="1:17" ht="15" customHeight="1" thickBot="1" x14ac:dyDescent="0.3">
      <c r="A41" s="118">
        <v>29</v>
      </c>
      <c r="B41" s="123" t="s">
        <v>180</v>
      </c>
      <c r="C41" s="99">
        <v>0</v>
      </c>
      <c r="D41" s="99">
        <v>0.5</v>
      </c>
      <c r="E41" s="99">
        <v>0.5</v>
      </c>
      <c r="F41" s="99">
        <v>8.32</v>
      </c>
      <c r="G41" s="99">
        <v>8.1</v>
      </c>
      <c r="H41" s="99">
        <v>1.64</v>
      </c>
      <c r="I41" s="99">
        <v>1.04</v>
      </c>
      <c r="J41" s="99">
        <v>0.5</v>
      </c>
      <c r="K41" s="99">
        <v>0.25</v>
      </c>
      <c r="L41" s="99">
        <v>0.41</v>
      </c>
      <c r="M41" s="99">
        <v>0</v>
      </c>
      <c r="N41" s="99">
        <v>0.65</v>
      </c>
      <c r="O41" s="99">
        <v>0.93</v>
      </c>
      <c r="P41" s="99">
        <v>0</v>
      </c>
      <c r="Q41" s="121">
        <f t="shared" si="0"/>
        <v>22.84</v>
      </c>
    </row>
    <row r="42" spans="1:17" ht="15" customHeight="1" thickBot="1" x14ac:dyDescent="0.3">
      <c r="A42" s="118">
        <v>30</v>
      </c>
      <c r="B42" s="119" t="s">
        <v>181</v>
      </c>
      <c r="C42" s="99">
        <v>1</v>
      </c>
      <c r="D42" s="99">
        <v>7</v>
      </c>
      <c r="E42" s="99">
        <v>29.98</v>
      </c>
      <c r="F42" s="99">
        <v>263.08999999999997</v>
      </c>
      <c r="G42" s="99">
        <v>270.45999999999998</v>
      </c>
      <c r="H42" s="99">
        <v>77.040000000000006</v>
      </c>
      <c r="I42" s="99">
        <v>15.91</v>
      </c>
      <c r="J42" s="99">
        <v>16.850000000000001</v>
      </c>
      <c r="K42" s="99">
        <v>2.06</v>
      </c>
      <c r="L42" s="99">
        <v>16.27</v>
      </c>
      <c r="M42" s="99">
        <v>3.05</v>
      </c>
      <c r="N42" s="99">
        <v>6</v>
      </c>
      <c r="O42" s="99">
        <v>31.3</v>
      </c>
      <c r="P42" s="99">
        <v>18.11</v>
      </c>
      <c r="Q42" s="121">
        <f t="shared" si="0"/>
        <v>758.11999999999978</v>
      </c>
    </row>
    <row r="43" spans="1:17" ht="15" customHeight="1" thickBot="1" x14ac:dyDescent="0.3">
      <c r="A43" s="118">
        <v>31</v>
      </c>
      <c r="B43" s="122" t="s">
        <v>182</v>
      </c>
      <c r="C43" s="99">
        <v>0</v>
      </c>
      <c r="D43" s="99">
        <v>3</v>
      </c>
      <c r="E43" s="99">
        <v>17.48</v>
      </c>
      <c r="F43" s="99">
        <v>129.72999999999999</v>
      </c>
      <c r="G43" s="99">
        <v>90.68</v>
      </c>
      <c r="H43" s="99">
        <v>29.81</v>
      </c>
      <c r="I43" s="99">
        <v>17.09</v>
      </c>
      <c r="J43" s="99">
        <v>3.48</v>
      </c>
      <c r="K43" s="99">
        <v>2.93</v>
      </c>
      <c r="L43" s="99">
        <v>5.3</v>
      </c>
      <c r="M43" s="99">
        <v>0.74</v>
      </c>
      <c r="N43" s="99">
        <v>3.5</v>
      </c>
      <c r="O43" s="99">
        <v>16</v>
      </c>
      <c r="P43" s="99">
        <v>2.48</v>
      </c>
      <c r="Q43" s="121">
        <f t="shared" si="0"/>
        <v>322.22000000000003</v>
      </c>
    </row>
    <row r="44" spans="1:17" ht="15" customHeight="1" thickBot="1" x14ac:dyDescent="0.3">
      <c r="A44" s="118">
        <v>32</v>
      </c>
      <c r="B44" s="122" t="s">
        <v>183</v>
      </c>
      <c r="C44" s="99">
        <v>0</v>
      </c>
      <c r="D44" s="99">
        <v>4</v>
      </c>
      <c r="E44" s="99">
        <v>10.92</v>
      </c>
      <c r="F44" s="99">
        <v>111.37</v>
      </c>
      <c r="G44" s="99">
        <v>97.02</v>
      </c>
      <c r="H44" s="99">
        <v>28.35</v>
      </c>
      <c r="I44" s="99">
        <v>19</v>
      </c>
      <c r="J44" s="99">
        <v>3</v>
      </c>
      <c r="K44" s="99">
        <v>4</v>
      </c>
      <c r="L44" s="99">
        <v>6.5</v>
      </c>
      <c r="M44" s="99">
        <v>7</v>
      </c>
      <c r="N44" s="99">
        <v>2</v>
      </c>
      <c r="O44" s="99">
        <v>11.5</v>
      </c>
      <c r="P44" s="99">
        <v>8.1999999999999993</v>
      </c>
      <c r="Q44" s="121">
        <f t="shared" si="0"/>
        <v>312.85999999999996</v>
      </c>
    </row>
    <row r="45" spans="1:17" ht="15" customHeight="1" thickBot="1" x14ac:dyDescent="0.3">
      <c r="A45" s="118">
        <v>33</v>
      </c>
      <c r="B45" s="122" t="s">
        <v>184</v>
      </c>
      <c r="C45" s="99">
        <v>0</v>
      </c>
      <c r="D45" s="99">
        <v>8.44</v>
      </c>
      <c r="E45" s="99">
        <v>65.510000000000005</v>
      </c>
      <c r="F45" s="99">
        <v>466.58</v>
      </c>
      <c r="G45" s="99">
        <v>506.65</v>
      </c>
      <c r="H45" s="99">
        <v>113.91</v>
      </c>
      <c r="I45" s="99">
        <v>84.51</v>
      </c>
      <c r="J45" s="99">
        <v>32.53</v>
      </c>
      <c r="K45" s="99">
        <v>12.35</v>
      </c>
      <c r="L45" s="99">
        <v>39.03</v>
      </c>
      <c r="M45" s="99">
        <v>15.9</v>
      </c>
      <c r="N45" s="99">
        <v>11</v>
      </c>
      <c r="O45" s="99">
        <v>56.95</v>
      </c>
      <c r="P45" s="99">
        <v>22.85</v>
      </c>
      <c r="Q45" s="121">
        <f t="shared" si="0"/>
        <v>1436.2099999999998</v>
      </c>
    </row>
    <row r="46" spans="1:17" ht="15" customHeight="1" thickBot="1" x14ac:dyDescent="0.3">
      <c r="A46" s="118">
        <v>34</v>
      </c>
      <c r="B46" s="122" t="s">
        <v>185</v>
      </c>
      <c r="C46" s="99">
        <v>0</v>
      </c>
      <c r="D46" s="99">
        <v>0.25</v>
      </c>
      <c r="E46" s="99">
        <v>1.27</v>
      </c>
      <c r="F46" s="99">
        <v>12.76</v>
      </c>
      <c r="G46" s="99">
        <v>18.18</v>
      </c>
      <c r="H46" s="99">
        <v>2.65</v>
      </c>
      <c r="I46" s="99">
        <v>0</v>
      </c>
      <c r="J46" s="99">
        <v>1.25</v>
      </c>
      <c r="K46" s="99">
        <v>0</v>
      </c>
      <c r="L46" s="99">
        <v>0.86</v>
      </c>
      <c r="M46" s="99">
        <v>0</v>
      </c>
      <c r="N46" s="99">
        <v>0.75</v>
      </c>
      <c r="O46" s="99">
        <v>2.74</v>
      </c>
      <c r="P46" s="99">
        <v>0</v>
      </c>
      <c r="Q46" s="121">
        <f t="shared" si="0"/>
        <v>40.71</v>
      </c>
    </row>
    <row r="47" spans="1:17" ht="15" customHeight="1" thickBot="1" x14ac:dyDescent="0.3">
      <c r="A47" s="118">
        <v>35</v>
      </c>
      <c r="B47" s="123" t="s">
        <v>186</v>
      </c>
      <c r="C47" s="99">
        <v>0</v>
      </c>
      <c r="D47" s="99">
        <v>10</v>
      </c>
      <c r="E47" s="99">
        <v>62.03</v>
      </c>
      <c r="F47" s="99">
        <v>564.70000000000005</v>
      </c>
      <c r="G47" s="99">
        <v>519.45000000000005</v>
      </c>
      <c r="H47" s="99">
        <v>166.78</v>
      </c>
      <c r="I47" s="99">
        <v>60.22</v>
      </c>
      <c r="J47" s="99">
        <v>24.75</v>
      </c>
      <c r="K47" s="99">
        <v>18.86</v>
      </c>
      <c r="L47" s="99">
        <v>37.28</v>
      </c>
      <c r="M47" s="99">
        <v>13.83</v>
      </c>
      <c r="N47" s="99">
        <v>18</v>
      </c>
      <c r="O47" s="99">
        <v>63</v>
      </c>
      <c r="P47" s="99">
        <v>47.23</v>
      </c>
      <c r="Q47" s="121">
        <f t="shared" si="0"/>
        <v>1606.1299999999999</v>
      </c>
    </row>
    <row r="48" spans="1:17" s="128" customFormat="1" ht="15" customHeight="1" thickBot="1" x14ac:dyDescent="0.25">
      <c r="A48" s="124"/>
      <c r="B48" s="125" t="s">
        <v>277</v>
      </c>
      <c r="C48" s="126">
        <f>SUM(C7:C47)</f>
        <v>28.560000000000002</v>
      </c>
      <c r="D48" s="126">
        <f t="shared" ref="D48:P48" si="1">SUM(D7:D47)</f>
        <v>224.4</v>
      </c>
      <c r="E48" s="126">
        <f t="shared" si="1"/>
        <v>1183.5600000000002</v>
      </c>
      <c r="F48" s="126">
        <f t="shared" si="1"/>
        <v>10453.189999999999</v>
      </c>
      <c r="G48" s="126">
        <f t="shared" si="1"/>
        <v>9433.260000000002</v>
      </c>
      <c r="H48" s="126">
        <f t="shared" si="1"/>
        <v>2547.4899999999998</v>
      </c>
      <c r="I48" s="127">
        <f t="shared" si="1"/>
        <v>1159.3000000000002</v>
      </c>
      <c r="J48" s="126">
        <f t="shared" si="1"/>
        <v>470.01</v>
      </c>
      <c r="K48" s="126">
        <f t="shared" si="1"/>
        <v>137.72999999999999</v>
      </c>
      <c r="L48" s="126">
        <f t="shared" si="1"/>
        <v>633.12999999999988</v>
      </c>
      <c r="M48" s="126">
        <f t="shared" si="1"/>
        <v>258.52000000000004</v>
      </c>
      <c r="N48" s="126">
        <f t="shared" si="1"/>
        <v>274.47000000000003</v>
      </c>
      <c r="O48" s="126">
        <f t="shared" si="1"/>
        <v>1200.1100000000004</v>
      </c>
      <c r="P48" s="126">
        <f t="shared" si="1"/>
        <v>947.5200000000001</v>
      </c>
      <c r="Q48" s="121">
        <f t="shared" si="0"/>
        <v>28951.25</v>
      </c>
    </row>
    <row r="49" spans="1:17" s="128" customFormat="1" ht="15" customHeight="1" thickBot="1" x14ac:dyDescent="0.3">
      <c r="A49" s="105">
        <v>83</v>
      </c>
      <c r="B49" s="99" t="s">
        <v>187</v>
      </c>
      <c r="C49" s="99">
        <v>0</v>
      </c>
      <c r="D49" s="99">
        <v>0</v>
      </c>
      <c r="E49" s="99">
        <v>0</v>
      </c>
      <c r="F49" s="99">
        <v>0</v>
      </c>
      <c r="G49" s="99">
        <v>19.59</v>
      </c>
      <c r="H49" s="99">
        <v>1</v>
      </c>
      <c r="I49" s="99">
        <v>0.17</v>
      </c>
      <c r="J49" s="99">
        <v>0</v>
      </c>
      <c r="K49" s="99">
        <v>0</v>
      </c>
      <c r="L49" s="99">
        <v>3</v>
      </c>
      <c r="M49" s="99">
        <v>0</v>
      </c>
      <c r="N49" s="99">
        <v>0</v>
      </c>
      <c r="O49" s="99">
        <v>1</v>
      </c>
      <c r="P49" s="99">
        <v>0</v>
      </c>
      <c r="Q49" s="121">
        <f t="shared" si="0"/>
        <v>24.76</v>
      </c>
    </row>
    <row r="50" spans="1:17" s="128" customFormat="1" ht="15" customHeight="1" thickBot="1" x14ac:dyDescent="0.3">
      <c r="A50" s="105" t="s">
        <v>65</v>
      </c>
      <c r="B50" s="99" t="s">
        <v>188</v>
      </c>
      <c r="C50" s="99">
        <v>0</v>
      </c>
      <c r="D50" s="99">
        <v>0</v>
      </c>
      <c r="E50" s="99">
        <v>3</v>
      </c>
      <c r="F50" s="99">
        <v>25.61</v>
      </c>
      <c r="G50" s="99">
        <v>33.18</v>
      </c>
      <c r="H50" s="99">
        <v>6</v>
      </c>
      <c r="I50" s="99">
        <v>2.92</v>
      </c>
      <c r="J50" s="99">
        <v>2</v>
      </c>
      <c r="K50" s="99">
        <v>0.25</v>
      </c>
      <c r="L50" s="99">
        <v>2</v>
      </c>
      <c r="M50" s="99">
        <v>0.6</v>
      </c>
      <c r="N50" s="99">
        <v>1</v>
      </c>
      <c r="O50" s="99">
        <v>1.5</v>
      </c>
      <c r="P50" s="99">
        <v>0</v>
      </c>
      <c r="Q50" s="121">
        <f t="shared" si="0"/>
        <v>78.059999999999988</v>
      </c>
    </row>
    <row r="51" spans="1:17" s="128" customFormat="1" ht="15" customHeight="1" thickBot="1" x14ac:dyDescent="0.3">
      <c r="A51" s="105">
        <v>74</v>
      </c>
      <c r="B51" s="99" t="s">
        <v>189</v>
      </c>
      <c r="C51" s="99">
        <v>0</v>
      </c>
      <c r="D51" s="99">
        <v>0</v>
      </c>
      <c r="E51" s="99">
        <v>3</v>
      </c>
      <c r="F51" s="99">
        <v>27.01</v>
      </c>
      <c r="G51" s="99">
        <v>16.96</v>
      </c>
      <c r="H51" s="99">
        <v>1</v>
      </c>
      <c r="I51" s="99">
        <v>2.69</v>
      </c>
      <c r="J51" s="99">
        <v>0</v>
      </c>
      <c r="K51" s="99">
        <v>0.35</v>
      </c>
      <c r="L51" s="99">
        <v>0.35</v>
      </c>
      <c r="M51" s="99">
        <v>0</v>
      </c>
      <c r="N51" s="99">
        <v>2.1</v>
      </c>
      <c r="O51" s="99">
        <v>4</v>
      </c>
      <c r="P51" s="99">
        <v>1.86</v>
      </c>
      <c r="Q51" s="121">
        <f t="shared" si="0"/>
        <v>59.32</v>
      </c>
    </row>
    <row r="52" spans="1:17" s="128" customFormat="1" ht="15" customHeight="1" thickBot="1" x14ac:dyDescent="0.3">
      <c r="A52" s="105" t="s">
        <v>292</v>
      </c>
      <c r="B52" s="99" t="s">
        <v>293</v>
      </c>
      <c r="C52" s="99">
        <v>0</v>
      </c>
      <c r="D52" s="99">
        <v>0</v>
      </c>
      <c r="E52" s="99">
        <v>0.5</v>
      </c>
      <c r="F52" s="99">
        <v>5.9</v>
      </c>
      <c r="G52" s="99">
        <v>3.73</v>
      </c>
      <c r="H52" s="99">
        <v>0.5</v>
      </c>
      <c r="I52" s="99">
        <v>0.67</v>
      </c>
      <c r="J52" s="99">
        <v>0</v>
      </c>
      <c r="K52" s="99">
        <v>0</v>
      </c>
      <c r="L52" s="99">
        <v>0</v>
      </c>
      <c r="M52" s="99">
        <v>0</v>
      </c>
      <c r="N52" s="99">
        <v>0</v>
      </c>
      <c r="O52" s="99">
        <v>0</v>
      </c>
      <c r="P52" s="99">
        <v>0</v>
      </c>
      <c r="Q52" s="121">
        <f t="shared" si="0"/>
        <v>11.3</v>
      </c>
    </row>
    <row r="53" spans="1:17" s="128" customFormat="1" ht="15" customHeight="1" thickBot="1" x14ac:dyDescent="0.3">
      <c r="A53" s="105" t="s">
        <v>66</v>
      </c>
      <c r="B53" s="99" t="s">
        <v>190</v>
      </c>
      <c r="C53" s="99">
        <v>0</v>
      </c>
      <c r="D53" s="99">
        <v>0</v>
      </c>
      <c r="E53" s="99">
        <v>0</v>
      </c>
      <c r="F53" s="99">
        <v>0</v>
      </c>
      <c r="G53" s="99">
        <v>13.6</v>
      </c>
      <c r="H53" s="99">
        <v>1.08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99">
        <v>2.25</v>
      </c>
      <c r="O53" s="99">
        <v>0</v>
      </c>
      <c r="P53" s="99">
        <v>0</v>
      </c>
      <c r="Q53" s="121">
        <f t="shared" si="0"/>
        <v>16.93</v>
      </c>
    </row>
    <row r="54" spans="1:17" s="128" customFormat="1" ht="15" customHeight="1" thickBot="1" x14ac:dyDescent="0.3">
      <c r="A54" s="105" t="s">
        <v>67</v>
      </c>
      <c r="B54" s="99" t="s">
        <v>191</v>
      </c>
      <c r="C54" s="99">
        <v>0</v>
      </c>
      <c r="D54" s="99">
        <v>0</v>
      </c>
      <c r="E54" s="99">
        <v>2</v>
      </c>
      <c r="F54" s="99">
        <v>18</v>
      </c>
      <c r="G54" s="99">
        <v>0</v>
      </c>
      <c r="H54" s="99">
        <v>1</v>
      </c>
      <c r="I54" s="99">
        <v>0</v>
      </c>
      <c r="J54" s="99">
        <v>0.33</v>
      </c>
      <c r="K54" s="99">
        <v>0</v>
      </c>
      <c r="L54" s="99">
        <v>0</v>
      </c>
      <c r="M54" s="99">
        <v>0</v>
      </c>
      <c r="N54" s="99">
        <v>0.67</v>
      </c>
      <c r="O54" s="99">
        <v>1</v>
      </c>
      <c r="P54" s="99">
        <v>0.53</v>
      </c>
      <c r="Q54" s="121">
        <f t="shared" si="0"/>
        <v>23.53</v>
      </c>
    </row>
    <row r="55" spans="1:17" ht="15" customHeight="1" thickBot="1" x14ac:dyDescent="0.3">
      <c r="A55" s="105" t="s">
        <v>68</v>
      </c>
      <c r="B55" s="99" t="s">
        <v>192</v>
      </c>
      <c r="C55" s="99">
        <v>0</v>
      </c>
      <c r="D55" s="99">
        <v>0</v>
      </c>
      <c r="E55" s="99">
        <v>2</v>
      </c>
      <c r="F55" s="99">
        <v>18</v>
      </c>
      <c r="G55" s="99">
        <v>9.5</v>
      </c>
      <c r="H55" s="99">
        <v>2.5099999999999998</v>
      </c>
      <c r="I55" s="99">
        <v>0.5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2.25</v>
      </c>
      <c r="P55" s="99">
        <v>2</v>
      </c>
      <c r="Q55" s="121">
        <f t="shared" si="0"/>
        <v>36.76</v>
      </c>
    </row>
    <row r="56" spans="1:17" ht="15" customHeight="1" thickBot="1" x14ac:dyDescent="0.3">
      <c r="A56" s="105">
        <v>87</v>
      </c>
      <c r="B56" s="99" t="s">
        <v>193</v>
      </c>
      <c r="C56" s="99">
        <v>0</v>
      </c>
      <c r="D56" s="99">
        <v>0</v>
      </c>
      <c r="E56" s="99">
        <v>0</v>
      </c>
      <c r="F56" s="99">
        <v>0</v>
      </c>
      <c r="G56" s="99">
        <v>15.73</v>
      </c>
      <c r="H56" s="99">
        <v>0</v>
      </c>
      <c r="I56" s="99">
        <v>1.72</v>
      </c>
      <c r="J56" s="99">
        <v>0</v>
      </c>
      <c r="K56" s="99">
        <v>0</v>
      </c>
      <c r="L56" s="99">
        <v>1</v>
      </c>
      <c r="M56" s="99">
        <v>0</v>
      </c>
      <c r="N56" s="99">
        <v>1</v>
      </c>
      <c r="O56" s="99">
        <v>0.9</v>
      </c>
      <c r="P56" s="99">
        <v>0</v>
      </c>
      <c r="Q56" s="121">
        <f t="shared" si="0"/>
        <v>20.349999999999998</v>
      </c>
    </row>
    <row r="57" spans="1:17" ht="15" customHeight="1" thickBot="1" x14ac:dyDescent="0.3">
      <c r="A57" s="105" t="s">
        <v>69</v>
      </c>
      <c r="B57" s="99" t="s">
        <v>294</v>
      </c>
      <c r="C57" s="99">
        <v>0</v>
      </c>
      <c r="D57" s="99">
        <v>0</v>
      </c>
      <c r="E57" s="99">
        <v>2.2799999999999998</v>
      </c>
      <c r="F57" s="99">
        <v>11</v>
      </c>
      <c r="G57" s="99">
        <v>1.5</v>
      </c>
      <c r="H57" s="99">
        <v>1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1</v>
      </c>
      <c r="O57" s="99">
        <v>0</v>
      </c>
      <c r="P57" s="99">
        <v>0.6</v>
      </c>
      <c r="Q57" s="121">
        <f t="shared" si="0"/>
        <v>17.380000000000003</v>
      </c>
    </row>
    <row r="58" spans="1:17" ht="15" customHeight="1" thickBot="1" x14ac:dyDescent="0.3">
      <c r="A58" s="105" t="s">
        <v>70</v>
      </c>
      <c r="B58" s="99" t="s">
        <v>194</v>
      </c>
      <c r="C58" s="99">
        <v>0</v>
      </c>
      <c r="D58" s="99">
        <v>0</v>
      </c>
      <c r="E58" s="99">
        <v>0</v>
      </c>
      <c r="F58" s="99">
        <v>0</v>
      </c>
      <c r="G58" s="99">
        <v>18.34</v>
      </c>
      <c r="H58" s="99">
        <v>2</v>
      </c>
      <c r="I58" s="99">
        <v>0</v>
      </c>
      <c r="J58" s="99">
        <v>0</v>
      </c>
      <c r="K58" s="99">
        <v>0</v>
      </c>
      <c r="L58" s="99">
        <v>1</v>
      </c>
      <c r="M58" s="99">
        <v>0.33</v>
      </c>
      <c r="N58" s="99">
        <v>0</v>
      </c>
      <c r="O58" s="99">
        <v>2</v>
      </c>
      <c r="P58" s="99">
        <v>0</v>
      </c>
      <c r="Q58" s="121">
        <f t="shared" si="0"/>
        <v>23.669999999999998</v>
      </c>
    </row>
    <row r="59" spans="1:17" ht="15" customHeight="1" thickBot="1" x14ac:dyDescent="0.3">
      <c r="A59" s="105" t="s">
        <v>71</v>
      </c>
      <c r="B59" s="99" t="s">
        <v>195</v>
      </c>
      <c r="C59" s="99">
        <v>0</v>
      </c>
      <c r="D59" s="99">
        <v>0</v>
      </c>
      <c r="E59" s="99">
        <v>4</v>
      </c>
      <c r="F59" s="99">
        <v>11.75</v>
      </c>
      <c r="G59" s="99">
        <v>2.8</v>
      </c>
      <c r="H59" s="99">
        <v>2</v>
      </c>
      <c r="I59" s="99">
        <v>0.17</v>
      </c>
      <c r="J59" s="99">
        <v>0</v>
      </c>
      <c r="K59" s="99">
        <v>0</v>
      </c>
      <c r="L59" s="99">
        <v>0</v>
      </c>
      <c r="M59" s="99">
        <v>1</v>
      </c>
      <c r="N59" s="99">
        <v>0</v>
      </c>
      <c r="O59" s="99">
        <v>1.17</v>
      </c>
      <c r="P59" s="99">
        <v>0</v>
      </c>
      <c r="Q59" s="121">
        <f t="shared" si="0"/>
        <v>22.89</v>
      </c>
    </row>
    <row r="60" spans="1:17" ht="15" customHeight="1" thickBot="1" x14ac:dyDescent="0.3">
      <c r="A60" s="105" t="s">
        <v>278</v>
      </c>
      <c r="B60" s="99" t="s">
        <v>279</v>
      </c>
      <c r="C60" s="99">
        <v>0</v>
      </c>
      <c r="D60" s="99">
        <v>0</v>
      </c>
      <c r="E60" s="99">
        <v>1.5</v>
      </c>
      <c r="F60" s="99">
        <v>17.920000000000002</v>
      </c>
      <c r="G60" s="99">
        <v>10.41</v>
      </c>
      <c r="H60" s="99">
        <v>2.14</v>
      </c>
      <c r="I60" s="99">
        <v>0.5</v>
      </c>
      <c r="J60" s="99">
        <v>0.5</v>
      </c>
      <c r="K60" s="99">
        <v>0.04</v>
      </c>
      <c r="L60" s="99">
        <v>0.06</v>
      </c>
      <c r="M60" s="99">
        <v>1</v>
      </c>
      <c r="N60" s="99">
        <v>0</v>
      </c>
      <c r="O60" s="99">
        <v>1.61</v>
      </c>
      <c r="P60" s="99">
        <v>0</v>
      </c>
      <c r="Q60" s="121">
        <f t="shared" si="0"/>
        <v>35.68</v>
      </c>
    </row>
    <row r="61" spans="1:17" ht="15" customHeight="1" thickBot="1" x14ac:dyDescent="0.3">
      <c r="A61" s="105" t="s">
        <v>72</v>
      </c>
      <c r="B61" s="99" t="s">
        <v>196</v>
      </c>
      <c r="C61" s="99">
        <v>0</v>
      </c>
      <c r="D61" s="99">
        <v>0</v>
      </c>
      <c r="E61" s="99">
        <v>0</v>
      </c>
      <c r="F61" s="99">
        <v>0</v>
      </c>
      <c r="G61" s="99">
        <v>16.48</v>
      </c>
      <c r="H61" s="99">
        <v>2</v>
      </c>
      <c r="I61" s="99">
        <v>0</v>
      </c>
      <c r="J61" s="99">
        <v>0.75</v>
      </c>
      <c r="K61" s="99">
        <v>0</v>
      </c>
      <c r="L61" s="99">
        <v>1</v>
      </c>
      <c r="M61" s="99">
        <v>0.1</v>
      </c>
      <c r="N61" s="99">
        <v>0</v>
      </c>
      <c r="O61" s="99">
        <v>0</v>
      </c>
      <c r="P61" s="99">
        <v>0</v>
      </c>
      <c r="Q61" s="121">
        <f t="shared" si="0"/>
        <v>20.330000000000002</v>
      </c>
    </row>
    <row r="62" spans="1:17" ht="15" customHeight="1" thickBot="1" x14ac:dyDescent="0.3">
      <c r="A62" s="105" t="s">
        <v>73</v>
      </c>
      <c r="B62" s="99" t="s">
        <v>197</v>
      </c>
      <c r="C62" s="99">
        <v>0</v>
      </c>
      <c r="D62" s="99">
        <v>0</v>
      </c>
      <c r="E62" s="99">
        <v>1.03</v>
      </c>
      <c r="F62" s="99">
        <v>13.14</v>
      </c>
      <c r="G62" s="99">
        <v>0</v>
      </c>
      <c r="H62" s="99">
        <v>1.03</v>
      </c>
      <c r="I62" s="99">
        <v>0</v>
      </c>
      <c r="J62" s="99">
        <v>0</v>
      </c>
      <c r="K62" s="99">
        <v>0.77</v>
      </c>
      <c r="L62" s="99">
        <v>0</v>
      </c>
      <c r="M62" s="99">
        <v>2.6</v>
      </c>
      <c r="N62" s="99">
        <v>0</v>
      </c>
      <c r="O62" s="99">
        <v>1.3</v>
      </c>
      <c r="P62" s="99">
        <v>0.51</v>
      </c>
      <c r="Q62" s="121">
        <f t="shared" si="0"/>
        <v>20.380000000000003</v>
      </c>
    </row>
    <row r="63" spans="1:17" ht="15" customHeight="1" thickBot="1" x14ac:dyDescent="0.3">
      <c r="A63" s="105" t="s">
        <v>74</v>
      </c>
      <c r="B63" s="99" t="s">
        <v>198</v>
      </c>
      <c r="C63" s="99">
        <v>0</v>
      </c>
      <c r="D63" s="99">
        <v>0</v>
      </c>
      <c r="E63" s="99">
        <v>1.08</v>
      </c>
      <c r="F63" s="99">
        <v>16.16</v>
      </c>
      <c r="G63" s="99">
        <v>8.43</v>
      </c>
      <c r="H63" s="99">
        <v>2.3199999999999998</v>
      </c>
      <c r="I63" s="99">
        <v>0.36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0.21</v>
      </c>
      <c r="Q63" s="121">
        <f t="shared" si="0"/>
        <v>28.560000000000002</v>
      </c>
    </row>
    <row r="64" spans="1:17" ht="15" customHeight="1" thickBot="1" x14ac:dyDescent="0.3">
      <c r="A64" s="105" t="s">
        <v>280</v>
      </c>
      <c r="B64" s="99" t="s">
        <v>281</v>
      </c>
      <c r="C64" s="99">
        <v>0</v>
      </c>
      <c r="D64" s="99">
        <v>0</v>
      </c>
      <c r="E64" s="99">
        <v>1.5</v>
      </c>
      <c r="F64" s="99">
        <v>19.27</v>
      </c>
      <c r="G64" s="99">
        <v>6.8</v>
      </c>
      <c r="H64" s="99">
        <v>0</v>
      </c>
      <c r="I64" s="99">
        <v>0.84</v>
      </c>
      <c r="J64" s="99">
        <v>1</v>
      </c>
      <c r="K64" s="99">
        <v>0</v>
      </c>
      <c r="L64" s="99">
        <v>0</v>
      </c>
      <c r="M64" s="99">
        <v>0</v>
      </c>
      <c r="N64" s="99">
        <v>0.86</v>
      </c>
      <c r="O64" s="99">
        <v>1</v>
      </c>
      <c r="P64" s="99">
        <v>0</v>
      </c>
      <c r="Q64" s="121">
        <f t="shared" si="0"/>
        <v>31.27</v>
      </c>
    </row>
    <row r="65" spans="1:17" ht="15" customHeight="1" thickBot="1" x14ac:dyDescent="0.3">
      <c r="A65" s="105">
        <v>98</v>
      </c>
      <c r="B65" s="99" t="s">
        <v>199</v>
      </c>
      <c r="C65" s="99">
        <v>0</v>
      </c>
      <c r="D65" s="99">
        <v>0</v>
      </c>
      <c r="E65" s="99">
        <v>0</v>
      </c>
      <c r="F65" s="99">
        <v>0</v>
      </c>
      <c r="G65" s="99">
        <v>12.19</v>
      </c>
      <c r="H65" s="99">
        <v>0.28000000000000003</v>
      </c>
      <c r="I65" s="99">
        <v>0.31</v>
      </c>
      <c r="J65" s="99">
        <v>0.83</v>
      </c>
      <c r="K65" s="99">
        <v>0</v>
      </c>
      <c r="L65" s="99">
        <v>1.33</v>
      </c>
      <c r="M65" s="99">
        <v>0</v>
      </c>
      <c r="N65" s="99">
        <v>0</v>
      </c>
      <c r="O65" s="99">
        <v>1.17</v>
      </c>
      <c r="P65" s="99">
        <v>0</v>
      </c>
      <c r="Q65" s="121">
        <f t="shared" si="0"/>
        <v>16.11</v>
      </c>
    </row>
    <row r="66" spans="1:17" ht="15" customHeight="1" thickBot="1" x14ac:dyDescent="0.3">
      <c r="A66" s="105">
        <v>82</v>
      </c>
      <c r="B66" s="99" t="s">
        <v>200</v>
      </c>
      <c r="C66" s="99">
        <v>0</v>
      </c>
      <c r="D66" s="99">
        <v>0</v>
      </c>
      <c r="E66" s="99">
        <v>2</v>
      </c>
      <c r="F66" s="99">
        <v>19.100000000000001</v>
      </c>
      <c r="G66" s="99">
        <v>6.57</v>
      </c>
      <c r="H66" s="99">
        <v>2</v>
      </c>
      <c r="I66" s="99">
        <v>0.05</v>
      </c>
      <c r="J66" s="99">
        <v>1</v>
      </c>
      <c r="K66" s="99">
        <v>0</v>
      </c>
      <c r="L66" s="99">
        <v>0</v>
      </c>
      <c r="M66" s="99">
        <v>0</v>
      </c>
      <c r="N66" s="99">
        <v>0</v>
      </c>
      <c r="O66" s="99">
        <v>1.18</v>
      </c>
      <c r="P66" s="99">
        <v>0.25</v>
      </c>
      <c r="Q66" s="121">
        <f t="shared" si="0"/>
        <v>32.150000000000006</v>
      </c>
    </row>
    <row r="67" spans="1:17" ht="15" customHeight="1" thickBot="1" x14ac:dyDescent="0.3">
      <c r="A67" s="105" t="s">
        <v>201</v>
      </c>
      <c r="B67" s="99" t="s">
        <v>202</v>
      </c>
      <c r="C67" s="99">
        <v>0</v>
      </c>
      <c r="D67" s="99">
        <v>0</v>
      </c>
      <c r="E67" s="99">
        <v>2</v>
      </c>
      <c r="F67" s="99">
        <v>13.54</v>
      </c>
      <c r="G67" s="99">
        <v>6.71</v>
      </c>
      <c r="H67" s="99">
        <v>2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1</v>
      </c>
      <c r="P67" s="99">
        <v>1</v>
      </c>
      <c r="Q67" s="121">
        <f t="shared" si="0"/>
        <v>26.25</v>
      </c>
    </row>
    <row r="68" spans="1:17" ht="15" customHeight="1" thickBot="1" x14ac:dyDescent="0.3">
      <c r="A68" s="105" t="s">
        <v>75</v>
      </c>
      <c r="B68" s="99" t="s">
        <v>203</v>
      </c>
      <c r="C68" s="99">
        <v>0</v>
      </c>
      <c r="D68" s="99">
        <v>0</v>
      </c>
      <c r="E68" s="99">
        <v>5</v>
      </c>
      <c r="F68" s="99">
        <v>28.57</v>
      </c>
      <c r="G68" s="99">
        <v>0.43</v>
      </c>
      <c r="H68" s="99">
        <v>1.38</v>
      </c>
      <c r="I68" s="99">
        <v>1.2</v>
      </c>
      <c r="J68" s="99">
        <v>0</v>
      </c>
      <c r="K68" s="99">
        <v>0</v>
      </c>
      <c r="L68" s="99">
        <v>0</v>
      </c>
      <c r="M68" s="99">
        <v>0</v>
      </c>
      <c r="N68" s="99">
        <v>0</v>
      </c>
      <c r="O68" s="99">
        <v>1.82</v>
      </c>
      <c r="P68" s="99">
        <v>0</v>
      </c>
      <c r="Q68" s="121">
        <f t="shared" si="0"/>
        <v>38.400000000000006</v>
      </c>
    </row>
    <row r="69" spans="1:17" ht="15" customHeight="1" thickBot="1" x14ac:dyDescent="0.3">
      <c r="A69" s="105" t="s">
        <v>295</v>
      </c>
      <c r="B69" s="99" t="s">
        <v>296</v>
      </c>
      <c r="C69" s="99">
        <v>0</v>
      </c>
      <c r="D69" s="99">
        <v>0</v>
      </c>
      <c r="E69" s="99">
        <v>2</v>
      </c>
      <c r="F69" s="99">
        <v>16</v>
      </c>
      <c r="G69" s="99">
        <v>0</v>
      </c>
      <c r="H69" s="99">
        <v>0.64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1</v>
      </c>
      <c r="P69" s="99">
        <v>0</v>
      </c>
      <c r="Q69" s="121">
        <f t="shared" si="0"/>
        <v>19.64</v>
      </c>
    </row>
    <row r="70" spans="1:17" ht="15" customHeight="1" thickBot="1" x14ac:dyDescent="0.3">
      <c r="A70" s="105" t="s">
        <v>76</v>
      </c>
      <c r="B70" s="99" t="s">
        <v>204</v>
      </c>
      <c r="C70" s="99">
        <v>0</v>
      </c>
      <c r="D70" s="99">
        <v>0</v>
      </c>
      <c r="E70" s="99">
        <v>0.8</v>
      </c>
      <c r="F70" s="99">
        <v>4</v>
      </c>
      <c r="G70" s="99">
        <v>0</v>
      </c>
      <c r="H70" s="99">
        <v>0.5</v>
      </c>
      <c r="I70" s="99">
        <v>0.5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1</v>
      </c>
      <c r="P70" s="99">
        <v>0</v>
      </c>
      <c r="Q70" s="121">
        <f t="shared" si="0"/>
        <v>6.8</v>
      </c>
    </row>
    <row r="71" spans="1:17" ht="15" customHeight="1" thickBot="1" x14ac:dyDescent="0.3">
      <c r="A71" s="105" t="s">
        <v>282</v>
      </c>
      <c r="B71" s="99" t="s">
        <v>283</v>
      </c>
      <c r="C71" s="99">
        <v>0</v>
      </c>
      <c r="D71" s="99">
        <v>0</v>
      </c>
      <c r="E71" s="99">
        <v>2</v>
      </c>
      <c r="F71" s="99">
        <v>19.5</v>
      </c>
      <c r="G71" s="99">
        <v>9.16</v>
      </c>
      <c r="H71" s="99">
        <v>1.1000000000000001</v>
      </c>
      <c r="I71" s="99">
        <v>0.17</v>
      </c>
      <c r="J71" s="99">
        <v>0</v>
      </c>
      <c r="K71" s="99">
        <v>0</v>
      </c>
      <c r="L71" s="99">
        <v>0.9</v>
      </c>
      <c r="M71" s="99">
        <v>0.45</v>
      </c>
      <c r="N71" s="99">
        <v>0</v>
      </c>
      <c r="O71" s="99">
        <v>2.6</v>
      </c>
      <c r="P71" s="99">
        <v>0</v>
      </c>
      <c r="Q71" s="121">
        <f t="shared" si="0"/>
        <v>35.88000000000001</v>
      </c>
    </row>
    <row r="72" spans="1:17" ht="15" customHeight="1" thickBot="1" x14ac:dyDescent="0.3">
      <c r="A72" s="105" t="s">
        <v>77</v>
      </c>
      <c r="B72" s="99" t="s">
        <v>205</v>
      </c>
      <c r="C72" s="99">
        <v>0</v>
      </c>
      <c r="D72" s="99">
        <v>0</v>
      </c>
      <c r="E72" s="99">
        <v>0</v>
      </c>
      <c r="F72" s="99">
        <v>0</v>
      </c>
      <c r="G72" s="99">
        <v>7.09</v>
      </c>
      <c r="H72" s="99">
        <v>0.13</v>
      </c>
      <c r="I72" s="99">
        <v>0.15</v>
      </c>
      <c r="J72" s="99">
        <v>0.5</v>
      </c>
      <c r="K72" s="99">
        <v>0</v>
      </c>
      <c r="L72" s="99">
        <v>0.5</v>
      </c>
      <c r="M72" s="99">
        <v>0</v>
      </c>
      <c r="N72" s="99">
        <v>0</v>
      </c>
      <c r="O72" s="99">
        <v>1</v>
      </c>
      <c r="P72" s="99">
        <v>0</v>
      </c>
      <c r="Q72" s="121">
        <f t="shared" ref="Q72:Q127" si="2">SUM(C72:P72)</f>
        <v>9.370000000000001</v>
      </c>
    </row>
    <row r="73" spans="1:17" ht="15" customHeight="1" thickBot="1" x14ac:dyDescent="0.3">
      <c r="A73" s="105" t="s">
        <v>78</v>
      </c>
      <c r="B73" s="99" t="s">
        <v>206</v>
      </c>
      <c r="C73" s="99">
        <v>0</v>
      </c>
      <c r="D73" s="99">
        <v>0</v>
      </c>
      <c r="E73" s="99">
        <v>0</v>
      </c>
      <c r="F73" s="99">
        <v>0</v>
      </c>
      <c r="G73" s="99">
        <v>11.58</v>
      </c>
      <c r="H73" s="99">
        <v>0</v>
      </c>
      <c r="I73" s="99">
        <v>0</v>
      </c>
      <c r="J73" s="99">
        <v>0</v>
      </c>
      <c r="K73" s="99">
        <v>0</v>
      </c>
      <c r="L73" s="99">
        <v>2</v>
      </c>
      <c r="M73" s="99">
        <v>0</v>
      </c>
      <c r="N73" s="99">
        <v>0</v>
      </c>
      <c r="O73" s="99">
        <v>0.95</v>
      </c>
      <c r="P73" s="99">
        <v>0</v>
      </c>
      <c r="Q73" s="121">
        <f t="shared" si="2"/>
        <v>14.53</v>
      </c>
    </row>
    <row r="74" spans="1:17" ht="15" customHeight="1" thickBot="1" x14ac:dyDescent="0.3">
      <c r="A74" s="105">
        <v>93</v>
      </c>
      <c r="B74" s="99" t="s">
        <v>207</v>
      </c>
      <c r="C74" s="99">
        <v>0</v>
      </c>
      <c r="D74" s="99">
        <v>0</v>
      </c>
      <c r="E74" s="99">
        <v>0.72</v>
      </c>
      <c r="F74" s="99">
        <v>8.24</v>
      </c>
      <c r="G74" s="99">
        <v>1.33</v>
      </c>
      <c r="H74" s="99">
        <v>1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s="99">
        <v>0</v>
      </c>
      <c r="O74" s="99">
        <v>1</v>
      </c>
      <c r="P74" s="99">
        <v>0</v>
      </c>
      <c r="Q74" s="121">
        <f t="shared" si="2"/>
        <v>12.290000000000001</v>
      </c>
    </row>
    <row r="75" spans="1:17" ht="15" customHeight="1" thickBot="1" x14ac:dyDescent="0.3">
      <c r="A75" s="105" t="s">
        <v>83</v>
      </c>
      <c r="B75" s="99" t="s">
        <v>297</v>
      </c>
      <c r="C75" s="99">
        <v>0</v>
      </c>
      <c r="D75" s="99">
        <v>0</v>
      </c>
      <c r="E75" s="99">
        <v>0</v>
      </c>
      <c r="F75" s="99">
        <v>0</v>
      </c>
      <c r="G75" s="99">
        <v>26.67</v>
      </c>
      <c r="H75" s="99">
        <v>0.5</v>
      </c>
      <c r="I75" s="99">
        <v>0.34</v>
      </c>
      <c r="J75" s="99">
        <v>1.5</v>
      </c>
      <c r="K75" s="99">
        <v>0</v>
      </c>
      <c r="L75" s="99">
        <v>0</v>
      </c>
      <c r="M75" s="99">
        <v>0.75</v>
      </c>
      <c r="N75" s="99">
        <v>0</v>
      </c>
      <c r="O75" s="99">
        <v>2.4</v>
      </c>
      <c r="P75" s="99">
        <v>0</v>
      </c>
      <c r="Q75" s="121">
        <f t="shared" si="2"/>
        <v>32.160000000000004</v>
      </c>
    </row>
    <row r="76" spans="1:17" ht="15" customHeight="1" thickBot="1" x14ac:dyDescent="0.3">
      <c r="A76" s="105" t="s">
        <v>79</v>
      </c>
      <c r="B76" s="99" t="s">
        <v>208</v>
      </c>
      <c r="C76" s="99">
        <v>0</v>
      </c>
      <c r="D76" s="99">
        <v>0</v>
      </c>
      <c r="E76" s="99">
        <v>2</v>
      </c>
      <c r="F76" s="99">
        <v>22.36</v>
      </c>
      <c r="G76" s="99">
        <v>7.5</v>
      </c>
      <c r="H76" s="99">
        <v>2</v>
      </c>
      <c r="I76" s="99">
        <v>0.3</v>
      </c>
      <c r="J76" s="99">
        <v>1</v>
      </c>
      <c r="K76" s="99">
        <v>0</v>
      </c>
      <c r="L76" s="99">
        <v>0</v>
      </c>
      <c r="M76" s="99">
        <v>1</v>
      </c>
      <c r="N76" s="99">
        <v>1</v>
      </c>
      <c r="O76" s="99">
        <v>2</v>
      </c>
      <c r="P76" s="99">
        <v>0</v>
      </c>
      <c r="Q76" s="121">
        <f t="shared" si="2"/>
        <v>39.159999999999997</v>
      </c>
    </row>
    <row r="77" spans="1:17" ht="15" customHeight="1" thickBot="1" x14ac:dyDescent="0.3">
      <c r="A77" s="105" t="s">
        <v>80</v>
      </c>
      <c r="B77" s="99" t="s">
        <v>209</v>
      </c>
      <c r="C77" s="99">
        <v>0</v>
      </c>
      <c r="D77" s="99">
        <v>0</v>
      </c>
      <c r="E77" s="99">
        <v>1.5</v>
      </c>
      <c r="F77" s="99">
        <v>17</v>
      </c>
      <c r="G77" s="99">
        <v>24.71</v>
      </c>
      <c r="H77" s="99">
        <v>2</v>
      </c>
      <c r="I77" s="99">
        <v>1.62</v>
      </c>
      <c r="J77" s="99">
        <v>2</v>
      </c>
      <c r="K77" s="99">
        <v>0.17</v>
      </c>
      <c r="L77" s="99">
        <v>0.83</v>
      </c>
      <c r="M77" s="99">
        <v>0</v>
      </c>
      <c r="N77" s="99">
        <v>1</v>
      </c>
      <c r="O77" s="99">
        <v>2</v>
      </c>
      <c r="P77" s="99">
        <v>0</v>
      </c>
      <c r="Q77" s="121">
        <f t="shared" si="2"/>
        <v>52.83</v>
      </c>
    </row>
    <row r="78" spans="1:17" ht="15" customHeight="1" thickBot="1" x14ac:dyDescent="0.3">
      <c r="A78" s="105" t="s">
        <v>81</v>
      </c>
      <c r="B78" s="99" t="s">
        <v>210</v>
      </c>
      <c r="C78" s="99">
        <v>0</v>
      </c>
      <c r="D78" s="99">
        <v>0</v>
      </c>
      <c r="E78" s="99">
        <v>1</v>
      </c>
      <c r="F78" s="99">
        <v>9.0500000000000007</v>
      </c>
      <c r="G78" s="99">
        <v>4.7</v>
      </c>
      <c r="H78" s="99">
        <v>2</v>
      </c>
      <c r="I78" s="99">
        <v>0.36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1.1299999999999999</v>
      </c>
      <c r="P78" s="99">
        <v>0</v>
      </c>
      <c r="Q78" s="121">
        <f t="shared" si="2"/>
        <v>18.239999999999998</v>
      </c>
    </row>
    <row r="79" spans="1:17" ht="15" customHeight="1" thickBot="1" x14ac:dyDescent="0.3">
      <c r="A79" s="105" t="s">
        <v>82</v>
      </c>
      <c r="B79" s="99" t="s">
        <v>211</v>
      </c>
      <c r="C79" s="99">
        <v>0</v>
      </c>
      <c r="D79" s="99">
        <v>0</v>
      </c>
      <c r="E79" s="99">
        <v>1</v>
      </c>
      <c r="F79" s="99">
        <v>14.21</v>
      </c>
      <c r="G79" s="99">
        <v>12</v>
      </c>
      <c r="H79" s="99">
        <v>4.0199999999999996</v>
      </c>
      <c r="I79" s="99">
        <v>0.03</v>
      </c>
      <c r="J79" s="99">
        <v>0</v>
      </c>
      <c r="K79" s="99">
        <v>0</v>
      </c>
      <c r="L79" s="99">
        <v>0.53</v>
      </c>
      <c r="M79" s="99">
        <v>0</v>
      </c>
      <c r="N79" s="99">
        <v>0.5</v>
      </c>
      <c r="O79" s="99">
        <v>1</v>
      </c>
      <c r="P79" s="99">
        <v>0.32</v>
      </c>
      <c r="Q79" s="121">
        <f t="shared" si="2"/>
        <v>33.610000000000007</v>
      </c>
    </row>
    <row r="80" spans="1:17" ht="15" customHeight="1" thickBot="1" x14ac:dyDescent="0.3">
      <c r="A80" s="105" t="s">
        <v>298</v>
      </c>
      <c r="B80" s="99" t="s">
        <v>299</v>
      </c>
      <c r="C80" s="99">
        <v>0</v>
      </c>
      <c r="D80" s="99">
        <v>0</v>
      </c>
      <c r="E80" s="99">
        <v>1.5</v>
      </c>
      <c r="F80" s="99">
        <v>15</v>
      </c>
      <c r="G80" s="99">
        <v>0</v>
      </c>
      <c r="H80" s="99">
        <v>1.18</v>
      </c>
      <c r="I80" s="99">
        <v>0</v>
      </c>
      <c r="J80" s="99">
        <v>0</v>
      </c>
      <c r="K80" s="99">
        <v>0</v>
      </c>
      <c r="L80" s="99">
        <v>0</v>
      </c>
      <c r="M80" s="99">
        <v>0</v>
      </c>
      <c r="N80" s="99">
        <v>0</v>
      </c>
      <c r="O80" s="99">
        <v>0</v>
      </c>
      <c r="P80" s="99">
        <v>0</v>
      </c>
      <c r="Q80" s="121">
        <f t="shared" si="2"/>
        <v>17.68</v>
      </c>
    </row>
    <row r="81" spans="1:17" ht="15" customHeight="1" thickBot="1" x14ac:dyDescent="0.3">
      <c r="A81" s="105" t="s">
        <v>212</v>
      </c>
      <c r="B81" s="99" t="s">
        <v>213</v>
      </c>
      <c r="C81" s="99">
        <v>0</v>
      </c>
      <c r="D81" s="99">
        <v>0</v>
      </c>
      <c r="E81" s="99">
        <v>0</v>
      </c>
      <c r="F81" s="99">
        <v>0</v>
      </c>
      <c r="G81" s="99">
        <v>8.5500000000000007</v>
      </c>
      <c r="H81" s="99">
        <v>0.25</v>
      </c>
      <c r="I81" s="99">
        <v>0.1</v>
      </c>
      <c r="J81" s="99">
        <v>0.81</v>
      </c>
      <c r="K81" s="99">
        <v>0</v>
      </c>
      <c r="L81" s="99">
        <v>0</v>
      </c>
      <c r="M81" s="99">
        <v>0</v>
      </c>
      <c r="N81" s="99">
        <v>0.5</v>
      </c>
      <c r="O81" s="99">
        <v>0.11</v>
      </c>
      <c r="P81" s="99">
        <v>0</v>
      </c>
      <c r="Q81" s="121">
        <f t="shared" si="2"/>
        <v>10.32</v>
      </c>
    </row>
    <row r="82" spans="1:17" ht="15" customHeight="1" thickBot="1" x14ac:dyDescent="0.3">
      <c r="A82" s="105" t="s">
        <v>84</v>
      </c>
      <c r="B82" s="99" t="s">
        <v>300</v>
      </c>
      <c r="C82" s="99">
        <v>0</v>
      </c>
      <c r="D82" s="99">
        <v>0</v>
      </c>
      <c r="E82" s="99">
        <v>1</v>
      </c>
      <c r="F82" s="99">
        <v>3</v>
      </c>
      <c r="G82" s="99">
        <v>0</v>
      </c>
      <c r="H82" s="99">
        <v>1</v>
      </c>
      <c r="I82" s="99">
        <v>0</v>
      </c>
      <c r="J82" s="99">
        <v>0</v>
      </c>
      <c r="K82" s="99">
        <v>0</v>
      </c>
      <c r="L82" s="99">
        <v>0</v>
      </c>
      <c r="M82" s="99">
        <v>0</v>
      </c>
      <c r="N82" s="99">
        <v>0</v>
      </c>
      <c r="O82" s="99">
        <v>1</v>
      </c>
      <c r="P82" s="99">
        <v>0</v>
      </c>
      <c r="Q82" s="121">
        <f t="shared" si="2"/>
        <v>6</v>
      </c>
    </row>
    <row r="83" spans="1:17" ht="15" customHeight="1" thickBot="1" x14ac:dyDescent="0.3">
      <c r="A83" s="105" t="s">
        <v>85</v>
      </c>
      <c r="B83" s="99" t="s">
        <v>214</v>
      </c>
      <c r="C83" s="99">
        <v>0</v>
      </c>
      <c r="D83" s="99">
        <v>0</v>
      </c>
      <c r="E83" s="99">
        <v>2</v>
      </c>
      <c r="F83" s="99">
        <v>17</v>
      </c>
      <c r="G83" s="99">
        <v>14.35</v>
      </c>
      <c r="H83" s="99">
        <v>2</v>
      </c>
      <c r="I83" s="99">
        <v>0</v>
      </c>
      <c r="J83" s="99">
        <v>2.0099999999999998</v>
      </c>
      <c r="K83" s="99">
        <v>0</v>
      </c>
      <c r="L83" s="99">
        <v>0.5</v>
      </c>
      <c r="M83" s="99">
        <v>1</v>
      </c>
      <c r="N83" s="99">
        <v>0</v>
      </c>
      <c r="O83" s="99">
        <v>0</v>
      </c>
      <c r="P83" s="99">
        <v>0</v>
      </c>
      <c r="Q83" s="121">
        <f t="shared" si="2"/>
        <v>38.86</v>
      </c>
    </row>
    <row r="84" spans="1:17" ht="15" customHeight="1" thickBot="1" x14ac:dyDescent="0.3">
      <c r="A84" s="105" t="s">
        <v>86</v>
      </c>
      <c r="B84" s="99" t="s">
        <v>215</v>
      </c>
      <c r="C84" s="99">
        <v>0</v>
      </c>
      <c r="D84" s="99">
        <v>0</v>
      </c>
      <c r="E84" s="99">
        <v>1.5</v>
      </c>
      <c r="F84" s="99">
        <v>18.63</v>
      </c>
      <c r="G84" s="99">
        <v>10.050000000000001</v>
      </c>
      <c r="H84" s="99">
        <v>1</v>
      </c>
      <c r="I84" s="99">
        <v>0</v>
      </c>
      <c r="J84" s="99">
        <v>0</v>
      </c>
      <c r="K84" s="99">
        <v>0</v>
      </c>
      <c r="L84" s="99">
        <v>0.22</v>
      </c>
      <c r="M84" s="99">
        <v>1</v>
      </c>
      <c r="N84" s="99">
        <v>0</v>
      </c>
      <c r="O84" s="99">
        <v>3.1</v>
      </c>
      <c r="P84" s="99">
        <v>0</v>
      </c>
      <c r="Q84" s="121">
        <f t="shared" si="2"/>
        <v>35.5</v>
      </c>
    </row>
    <row r="85" spans="1:17" ht="15" customHeight="1" thickBot="1" x14ac:dyDescent="0.3">
      <c r="A85" s="105" t="s">
        <v>87</v>
      </c>
      <c r="B85" s="99" t="s">
        <v>216</v>
      </c>
      <c r="C85" s="99">
        <v>0</v>
      </c>
      <c r="D85" s="99">
        <v>0</v>
      </c>
      <c r="E85" s="99">
        <v>2</v>
      </c>
      <c r="F85" s="99">
        <v>13.2</v>
      </c>
      <c r="G85" s="99">
        <v>10.28</v>
      </c>
      <c r="H85" s="99">
        <v>1.75</v>
      </c>
      <c r="I85" s="99">
        <v>1.3</v>
      </c>
      <c r="J85" s="99">
        <v>0</v>
      </c>
      <c r="K85" s="99">
        <v>0.2</v>
      </c>
      <c r="L85" s="99">
        <v>0.2</v>
      </c>
      <c r="M85" s="99">
        <v>0.25</v>
      </c>
      <c r="N85" s="99">
        <v>0</v>
      </c>
      <c r="O85" s="99">
        <v>1</v>
      </c>
      <c r="P85" s="99">
        <v>0.4</v>
      </c>
      <c r="Q85" s="121">
        <f t="shared" si="2"/>
        <v>30.579999999999995</v>
      </c>
    </row>
    <row r="86" spans="1:17" ht="15" customHeight="1" thickBot="1" x14ac:dyDescent="0.3">
      <c r="A86" s="105" t="s">
        <v>91</v>
      </c>
      <c r="B86" s="99" t="s">
        <v>217</v>
      </c>
      <c r="C86" s="99">
        <v>0</v>
      </c>
      <c r="D86" s="99">
        <v>0</v>
      </c>
      <c r="E86" s="99">
        <v>0</v>
      </c>
      <c r="F86" s="99">
        <v>0</v>
      </c>
      <c r="G86" s="99">
        <v>15.12</v>
      </c>
      <c r="H86" s="99">
        <v>1</v>
      </c>
      <c r="I86" s="99">
        <v>1.1399999999999999</v>
      </c>
      <c r="J86" s="99">
        <v>0</v>
      </c>
      <c r="K86" s="99">
        <v>0</v>
      </c>
      <c r="L86" s="99">
        <v>1</v>
      </c>
      <c r="M86" s="99">
        <v>0</v>
      </c>
      <c r="N86" s="99">
        <v>0</v>
      </c>
      <c r="O86" s="99">
        <v>3</v>
      </c>
      <c r="P86" s="99">
        <v>0</v>
      </c>
      <c r="Q86" s="121">
        <f t="shared" si="2"/>
        <v>21.259999999999998</v>
      </c>
    </row>
    <row r="87" spans="1:17" ht="15" customHeight="1" thickBot="1" x14ac:dyDescent="0.3">
      <c r="A87" s="105" t="s">
        <v>88</v>
      </c>
      <c r="B87" s="99" t="s">
        <v>218</v>
      </c>
      <c r="C87" s="99">
        <v>0</v>
      </c>
      <c r="D87" s="99">
        <v>0</v>
      </c>
      <c r="E87" s="99">
        <v>2</v>
      </c>
      <c r="F87" s="99">
        <v>19</v>
      </c>
      <c r="G87" s="99">
        <v>0</v>
      </c>
      <c r="H87" s="99">
        <v>1</v>
      </c>
      <c r="I87" s="99">
        <v>1</v>
      </c>
      <c r="J87" s="99">
        <v>0</v>
      </c>
      <c r="K87" s="99">
        <v>0</v>
      </c>
      <c r="L87" s="99">
        <v>0</v>
      </c>
      <c r="M87" s="99">
        <v>0</v>
      </c>
      <c r="N87" s="99">
        <v>0</v>
      </c>
      <c r="O87" s="99">
        <v>1</v>
      </c>
      <c r="P87" s="99">
        <v>0.31</v>
      </c>
      <c r="Q87" s="121">
        <f t="shared" si="2"/>
        <v>24.31</v>
      </c>
    </row>
    <row r="88" spans="1:17" ht="15" customHeight="1" thickBot="1" x14ac:dyDescent="0.3">
      <c r="A88" s="105" t="s">
        <v>89</v>
      </c>
      <c r="B88" s="99" t="s">
        <v>219</v>
      </c>
      <c r="C88" s="99">
        <v>0</v>
      </c>
      <c r="D88" s="99">
        <v>0</v>
      </c>
      <c r="E88" s="99">
        <v>2</v>
      </c>
      <c r="F88" s="99">
        <v>25</v>
      </c>
      <c r="G88" s="99">
        <v>12.05</v>
      </c>
      <c r="H88" s="99">
        <v>2.95</v>
      </c>
      <c r="I88" s="99">
        <v>1.17</v>
      </c>
      <c r="J88" s="99">
        <v>0.63</v>
      </c>
      <c r="K88" s="99">
        <v>0.04</v>
      </c>
      <c r="L88" s="99">
        <v>0.74</v>
      </c>
      <c r="M88" s="99">
        <v>1</v>
      </c>
      <c r="N88" s="99">
        <v>0</v>
      </c>
      <c r="O88" s="99">
        <v>2.5</v>
      </c>
      <c r="P88" s="99">
        <v>0</v>
      </c>
      <c r="Q88" s="121">
        <f t="shared" si="2"/>
        <v>48.080000000000005</v>
      </c>
    </row>
    <row r="89" spans="1:17" ht="15" customHeight="1" thickBot="1" x14ac:dyDescent="0.3">
      <c r="A89" s="105" t="s">
        <v>90</v>
      </c>
      <c r="B89" s="99" t="s">
        <v>220</v>
      </c>
      <c r="C89" s="99">
        <v>0</v>
      </c>
      <c r="D89" s="99">
        <v>0</v>
      </c>
      <c r="E89" s="99">
        <v>1</v>
      </c>
      <c r="F89" s="99">
        <v>11.8</v>
      </c>
      <c r="G89" s="99">
        <v>8.25</v>
      </c>
      <c r="H89" s="99">
        <v>1</v>
      </c>
      <c r="I89" s="99">
        <v>0</v>
      </c>
      <c r="J89" s="99">
        <v>1.25</v>
      </c>
      <c r="K89" s="99">
        <v>0.25</v>
      </c>
      <c r="L89" s="99">
        <v>0.75</v>
      </c>
      <c r="M89" s="99">
        <v>1</v>
      </c>
      <c r="N89" s="99">
        <v>0</v>
      </c>
      <c r="O89" s="99">
        <v>1.2</v>
      </c>
      <c r="P89" s="99">
        <v>0.44</v>
      </c>
      <c r="Q89" s="121">
        <f t="shared" si="2"/>
        <v>26.94</v>
      </c>
    </row>
    <row r="90" spans="1:17" ht="15" customHeight="1" thickBot="1" x14ac:dyDescent="0.3">
      <c r="A90" s="105" t="s">
        <v>92</v>
      </c>
      <c r="B90" s="99" t="s">
        <v>221</v>
      </c>
      <c r="C90" s="99">
        <v>0</v>
      </c>
      <c r="D90" s="99">
        <v>0</v>
      </c>
      <c r="E90" s="99">
        <v>2.5</v>
      </c>
      <c r="F90" s="99">
        <v>11.82</v>
      </c>
      <c r="G90" s="99">
        <v>6.51</v>
      </c>
      <c r="H90" s="99">
        <v>3.48</v>
      </c>
      <c r="I90" s="99">
        <v>0</v>
      </c>
      <c r="J90" s="99">
        <v>0</v>
      </c>
      <c r="K90" s="99">
        <v>0.5</v>
      </c>
      <c r="L90" s="99">
        <v>0</v>
      </c>
      <c r="M90" s="99">
        <v>0</v>
      </c>
      <c r="N90" s="99">
        <v>0</v>
      </c>
      <c r="O90" s="99">
        <v>1</v>
      </c>
      <c r="P90" s="99">
        <v>0</v>
      </c>
      <c r="Q90" s="121">
        <f t="shared" si="2"/>
        <v>25.81</v>
      </c>
    </row>
    <row r="91" spans="1:17" ht="15" customHeight="1" thickBot="1" x14ac:dyDescent="0.3">
      <c r="A91" s="105">
        <v>68</v>
      </c>
      <c r="B91" s="99" t="s">
        <v>222</v>
      </c>
      <c r="C91" s="99">
        <v>0</v>
      </c>
      <c r="D91" s="99">
        <v>0</v>
      </c>
      <c r="E91" s="99">
        <v>2</v>
      </c>
      <c r="F91" s="99">
        <v>22</v>
      </c>
      <c r="G91" s="99">
        <v>20.100000000000001</v>
      </c>
      <c r="H91" s="99">
        <v>3.75</v>
      </c>
      <c r="I91" s="99">
        <v>1.6</v>
      </c>
      <c r="J91" s="99">
        <v>0</v>
      </c>
      <c r="K91" s="99">
        <v>0.25</v>
      </c>
      <c r="L91" s="99">
        <v>0.25</v>
      </c>
      <c r="M91" s="99">
        <v>0.5</v>
      </c>
      <c r="N91" s="99">
        <v>1</v>
      </c>
      <c r="O91" s="99">
        <v>2.8</v>
      </c>
      <c r="P91" s="99">
        <v>0</v>
      </c>
      <c r="Q91" s="121">
        <f t="shared" si="2"/>
        <v>54.25</v>
      </c>
    </row>
    <row r="92" spans="1:17" ht="15" customHeight="1" thickBot="1" x14ac:dyDescent="0.3">
      <c r="A92" s="105" t="s">
        <v>93</v>
      </c>
      <c r="B92" s="99" t="s">
        <v>223</v>
      </c>
      <c r="C92" s="99">
        <v>0</v>
      </c>
      <c r="D92" s="99">
        <v>0</v>
      </c>
      <c r="E92" s="99">
        <v>1.5</v>
      </c>
      <c r="F92" s="99">
        <v>14.5</v>
      </c>
      <c r="G92" s="99">
        <v>0</v>
      </c>
      <c r="H92" s="99">
        <v>1.8</v>
      </c>
      <c r="I92" s="99">
        <v>1</v>
      </c>
      <c r="J92" s="99">
        <v>0</v>
      </c>
      <c r="K92" s="99">
        <v>0.6</v>
      </c>
      <c r="L92" s="99">
        <v>0</v>
      </c>
      <c r="M92" s="99">
        <v>0</v>
      </c>
      <c r="N92" s="99">
        <v>0</v>
      </c>
      <c r="O92" s="99">
        <v>1</v>
      </c>
      <c r="P92" s="99">
        <v>0</v>
      </c>
      <c r="Q92" s="121">
        <f t="shared" si="2"/>
        <v>20.400000000000002</v>
      </c>
    </row>
    <row r="93" spans="1:17" ht="15" customHeight="1" thickBot="1" x14ac:dyDescent="0.3">
      <c r="A93" s="105" t="s">
        <v>284</v>
      </c>
      <c r="B93" s="99" t="s">
        <v>285</v>
      </c>
      <c r="C93" s="99">
        <v>0</v>
      </c>
      <c r="D93" s="99">
        <v>0</v>
      </c>
      <c r="E93" s="99">
        <v>0</v>
      </c>
      <c r="F93" s="99">
        <v>0</v>
      </c>
      <c r="G93" s="99">
        <v>9.4</v>
      </c>
      <c r="H93" s="99">
        <v>0</v>
      </c>
      <c r="I93" s="99">
        <v>0.25</v>
      </c>
      <c r="J93" s="99">
        <v>0</v>
      </c>
      <c r="K93" s="99">
        <v>0</v>
      </c>
      <c r="L93" s="99">
        <v>0.75</v>
      </c>
      <c r="M93" s="99">
        <v>0</v>
      </c>
      <c r="N93" s="99">
        <v>1</v>
      </c>
      <c r="O93" s="99">
        <v>1</v>
      </c>
      <c r="P93" s="99">
        <v>0</v>
      </c>
      <c r="Q93" s="121">
        <f t="shared" si="2"/>
        <v>12.4</v>
      </c>
    </row>
    <row r="94" spans="1:17" ht="15" customHeight="1" thickBot="1" x14ac:dyDescent="0.3">
      <c r="A94" s="105" t="s">
        <v>286</v>
      </c>
      <c r="B94" s="99" t="s">
        <v>287</v>
      </c>
      <c r="C94" s="99">
        <v>0</v>
      </c>
      <c r="D94" s="99">
        <v>0</v>
      </c>
      <c r="E94" s="99">
        <v>2</v>
      </c>
      <c r="F94" s="99">
        <v>19.98</v>
      </c>
      <c r="G94" s="99">
        <v>7.9</v>
      </c>
      <c r="H94" s="99">
        <v>2.5299999999999998</v>
      </c>
      <c r="I94" s="99">
        <v>0.05</v>
      </c>
      <c r="J94" s="99">
        <v>1.3</v>
      </c>
      <c r="K94" s="99">
        <v>0.75</v>
      </c>
      <c r="L94" s="99">
        <v>0.12</v>
      </c>
      <c r="M94" s="99">
        <v>0</v>
      </c>
      <c r="N94" s="99">
        <v>0</v>
      </c>
      <c r="O94" s="99">
        <v>2.2999999999999998</v>
      </c>
      <c r="P94" s="99">
        <v>0.5</v>
      </c>
      <c r="Q94" s="121">
        <f t="shared" si="2"/>
        <v>37.429999999999993</v>
      </c>
    </row>
    <row r="95" spans="1:17" ht="15" customHeight="1" thickBot="1" x14ac:dyDescent="0.3">
      <c r="A95" s="105" t="s">
        <v>94</v>
      </c>
      <c r="B95" s="99" t="s">
        <v>224</v>
      </c>
      <c r="C95" s="99">
        <v>0</v>
      </c>
      <c r="D95" s="99">
        <v>0</v>
      </c>
      <c r="E95" s="99">
        <v>0</v>
      </c>
      <c r="F95" s="99">
        <v>0</v>
      </c>
      <c r="G95" s="99">
        <v>32.39</v>
      </c>
      <c r="H95" s="99">
        <v>1</v>
      </c>
      <c r="I95" s="99">
        <v>1.87</v>
      </c>
      <c r="J95" s="99">
        <v>0</v>
      </c>
      <c r="K95" s="99">
        <v>0</v>
      </c>
      <c r="L95" s="99">
        <v>1</v>
      </c>
      <c r="M95" s="99">
        <v>1</v>
      </c>
      <c r="N95" s="99">
        <v>1.1000000000000001</v>
      </c>
      <c r="O95" s="99">
        <v>4.7699999999999996</v>
      </c>
      <c r="P95" s="99">
        <v>0</v>
      </c>
      <c r="Q95" s="121">
        <f t="shared" si="2"/>
        <v>43.129999999999995</v>
      </c>
    </row>
    <row r="96" spans="1:17" ht="15" customHeight="1" thickBot="1" x14ac:dyDescent="0.3">
      <c r="A96" s="105">
        <v>86</v>
      </c>
      <c r="B96" s="99" t="s">
        <v>225</v>
      </c>
      <c r="C96" s="99">
        <v>0</v>
      </c>
      <c r="D96" s="99">
        <v>0</v>
      </c>
      <c r="E96" s="99">
        <v>1.06</v>
      </c>
      <c r="F96" s="99">
        <v>13.73</v>
      </c>
      <c r="G96" s="99">
        <v>17.75</v>
      </c>
      <c r="H96" s="99">
        <v>0.36</v>
      </c>
      <c r="I96" s="99">
        <v>0.7</v>
      </c>
      <c r="J96" s="99">
        <v>0.37</v>
      </c>
      <c r="K96" s="99">
        <v>0</v>
      </c>
      <c r="L96" s="99">
        <v>0</v>
      </c>
      <c r="M96" s="99">
        <v>1.06</v>
      </c>
      <c r="N96" s="99">
        <v>1.41</v>
      </c>
      <c r="O96" s="99">
        <v>1.8</v>
      </c>
      <c r="P96" s="99">
        <v>1.2</v>
      </c>
      <c r="Q96" s="121">
        <f t="shared" si="2"/>
        <v>39.44</v>
      </c>
    </row>
    <row r="97" spans="1:17" ht="15" customHeight="1" thickBot="1" x14ac:dyDescent="0.3">
      <c r="A97" s="105" t="s">
        <v>226</v>
      </c>
      <c r="B97" s="99" t="s">
        <v>227</v>
      </c>
      <c r="C97" s="99">
        <v>0</v>
      </c>
      <c r="D97" s="99">
        <v>0</v>
      </c>
      <c r="E97" s="99">
        <v>0.5</v>
      </c>
      <c r="F97" s="99">
        <v>26</v>
      </c>
      <c r="G97" s="99">
        <v>0</v>
      </c>
      <c r="H97" s="99">
        <v>1</v>
      </c>
      <c r="I97" s="99">
        <v>1</v>
      </c>
      <c r="J97" s="99">
        <v>0</v>
      </c>
      <c r="K97" s="99">
        <v>0.5</v>
      </c>
      <c r="L97" s="99">
        <v>0</v>
      </c>
      <c r="M97" s="99">
        <v>0</v>
      </c>
      <c r="N97" s="99">
        <v>0</v>
      </c>
      <c r="O97" s="99">
        <v>0</v>
      </c>
      <c r="P97" s="99">
        <v>0</v>
      </c>
      <c r="Q97" s="121">
        <f t="shared" si="2"/>
        <v>29</v>
      </c>
    </row>
    <row r="98" spans="1:17" ht="15" customHeight="1" thickBot="1" x14ac:dyDescent="0.3">
      <c r="A98" s="105" t="s">
        <v>301</v>
      </c>
      <c r="B98" s="99" t="s">
        <v>302</v>
      </c>
      <c r="C98" s="99">
        <v>0</v>
      </c>
      <c r="D98" s="99">
        <v>0</v>
      </c>
      <c r="E98" s="99">
        <v>2.56</v>
      </c>
      <c r="F98" s="99">
        <v>12.72</v>
      </c>
      <c r="G98" s="99">
        <v>8.58</v>
      </c>
      <c r="H98" s="99">
        <v>1.75</v>
      </c>
      <c r="I98" s="99">
        <v>0</v>
      </c>
      <c r="J98" s="99">
        <v>0</v>
      </c>
      <c r="K98" s="99">
        <v>0</v>
      </c>
      <c r="L98" s="99">
        <v>0.25</v>
      </c>
      <c r="M98" s="99">
        <v>0</v>
      </c>
      <c r="N98" s="99">
        <v>0</v>
      </c>
      <c r="O98" s="99">
        <v>0.75</v>
      </c>
      <c r="P98" s="99">
        <v>0</v>
      </c>
      <c r="Q98" s="121">
        <f t="shared" si="2"/>
        <v>26.61</v>
      </c>
    </row>
    <row r="99" spans="1:17" ht="15" customHeight="1" thickBot="1" x14ac:dyDescent="0.3">
      <c r="A99" s="105" t="s">
        <v>228</v>
      </c>
      <c r="B99" s="99" t="s">
        <v>229</v>
      </c>
      <c r="C99" s="99">
        <v>0</v>
      </c>
      <c r="D99" s="99">
        <v>0</v>
      </c>
      <c r="E99" s="99">
        <v>1.5</v>
      </c>
      <c r="F99" s="99">
        <v>20.399999999999999</v>
      </c>
      <c r="G99" s="99">
        <v>1.7</v>
      </c>
      <c r="H99" s="99">
        <v>2.4</v>
      </c>
      <c r="I99" s="99">
        <v>0</v>
      </c>
      <c r="J99" s="99">
        <v>0</v>
      </c>
      <c r="K99" s="99">
        <v>0</v>
      </c>
      <c r="L99" s="99">
        <v>0</v>
      </c>
      <c r="M99" s="99">
        <v>0.5</v>
      </c>
      <c r="N99" s="99">
        <v>1</v>
      </c>
      <c r="O99" s="99">
        <v>0</v>
      </c>
      <c r="P99" s="99">
        <v>0</v>
      </c>
      <c r="Q99" s="121">
        <f t="shared" si="2"/>
        <v>27.499999999999996</v>
      </c>
    </row>
    <row r="100" spans="1:17" ht="15" customHeight="1" thickBot="1" x14ac:dyDescent="0.3">
      <c r="A100" s="105" t="s">
        <v>95</v>
      </c>
      <c r="B100" s="99" t="s">
        <v>230</v>
      </c>
      <c r="C100" s="99">
        <v>0</v>
      </c>
      <c r="D100" s="99">
        <v>0</v>
      </c>
      <c r="E100" s="99">
        <v>1</v>
      </c>
      <c r="F100" s="99">
        <v>12.67</v>
      </c>
      <c r="G100" s="99">
        <v>0</v>
      </c>
      <c r="H100" s="99">
        <v>1.25</v>
      </c>
      <c r="I100" s="99">
        <v>0</v>
      </c>
      <c r="J100" s="99">
        <v>0</v>
      </c>
      <c r="K100" s="99">
        <v>0</v>
      </c>
      <c r="L100" s="99">
        <v>0</v>
      </c>
      <c r="M100" s="99">
        <v>0</v>
      </c>
      <c r="N100" s="99">
        <v>0</v>
      </c>
      <c r="O100" s="99">
        <v>0.75</v>
      </c>
      <c r="P100" s="99">
        <v>0</v>
      </c>
      <c r="Q100" s="121">
        <f t="shared" si="2"/>
        <v>15.67</v>
      </c>
    </row>
    <row r="101" spans="1:17" ht="15" customHeight="1" thickBot="1" x14ac:dyDescent="0.3">
      <c r="A101" s="105" t="s">
        <v>96</v>
      </c>
      <c r="B101" s="99" t="s">
        <v>231</v>
      </c>
      <c r="C101" s="99">
        <v>0</v>
      </c>
      <c r="D101" s="99">
        <v>0</v>
      </c>
      <c r="E101" s="99">
        <v>2</v>
      </c>
      <c r="F101" s="99">
        <v>25.14</v>
      </c>
      <c r="G101" s="99">
        <v>6.82</v>
      </c>
      <c r="H101" s="99">
        <v>3</v>
      </c>
      <c r="I101" s="99">
        <v>0.8</v>
      </c>
      <c r="J101" s="99">
        <v>0</v>
      </c>
      <c r="K101" s="99">
        <v>0</v>
      </c>
      <c r="L101" s="99">
        <v>0</v>
      </c>
      <c r="M101" s="99">
        <v>1</v>
      </c>
      <c r="N101" s="99">
        <v>0</v>
      </c>
      <c r="O101" s="99">
        <v>2</v>
      </c>
      <c r="P101" s="99">
        <v>0</v>
      </c>
      <c r="Q101" s="121">
        <f t="shared" si="2"/>
        <v>40.76</v>
      </c>
    </row>
    <row r="102" spans="1:17" ht="15" customHeight="1" thickBot="1" x14ac:dyDescent="0.3">
      <c r="A102" s="105" t="s">
        <v>97</v>
      </c>
      <c r="B102" s="99" t="s">
        <v>232</v>
      </c>
      <c r="C102" s="99">
        <v>0</v>
      </c>
      <c r="D102" s="99">
        <v>0</v>
      </c>
      <c r="E102" s="99">
        <v>1.49</v>
      </c>
      <c r="F102" s="99">
        <v>17.95</v>
      </c>
      <c r="G102" s="99">
        <v>13.53</v>
      </c>
      <c r="H102" s="99">
        <v>1</v>
      </c>
      <c r="I102" s="99">
        <v>0.1</v>
      </c>
      <c r="J102" s="99">
        <v>0</v>
      </c>
      <c r="K102" s="99">
        <v>0.23</v>
      </c>
      <c r="L102" s="99">
        <v>0.23</v>
      </c>
      <c r="M102" s="99">
        <v>1</v>
      </c>
      <c r="N102" s="99">
        <v>0.5</v>
      </c>
      <c r="O102" s="99">
        <v>0</v>
      </c>
      <c r="P102" s="99">
        <v>0</v>
      </c>
      <c r="Q102" s="121">
        <f t="shared" si="2"/>
        <v>36.029999999999994</v>
      </c>
    </row>
    <row r="103" spans="1:17" ht="15" customHeight="1" thickBot="1" x14ac:dyDescent="0.3">
      <c r="A103" s="105" t="s">
        <v>233</v>
      </c>
      <c r="B103" s="99" t="s">
        <v>234</v>
      </c>
      <c r="C103" s="99">
        <v>0</v>
      </c>
      <c r="D103" s="99">
        <v>0</v>
      </c>
      <c r="E103" s="99">
        <v>0</v>
      </c>
      <c r="F103" s="99">
        <v>0</v>
      </c>
      <c r="G103" s="99">
        <v>16.079999999999998</v>
      </c>
      <c r="H103" s="99">
        <v>2.88</v>
      </c>
      <c r="I103" s="99">
        <v>1.07</v>
      </c>
      <c r="J103" s="99">
        <v>0</v>
      </c>
      <c r="K103" s="99">
        <v>0</v>
      </c>
      <c r="L103" s="99">
        <v>0.6</v>
      </c>
      <c r="M103" s="99">
        <v>0</v>
      </c>
      <c r="N103" s="99">
        <v>0.17</v>
      </c>
      <c r="O103" s="99">
        <v>0.9</v>
      </c>
      <c r="P103" s="99">
        <v>0</v>
      </c>
      <c r="Q103" s="121">
        <f t="shared" si="2"/>
        <v>21.7</v>
      </c>
    </row>
    <row r="104" spans="1:17" ht="15" customHeight="1" thickBot="1" x14ac:dyDescent="0.3">
      <c r="A104" s="105">
        <v>97</v>
      </c>
      <c r="B104" s="99" t="s">
        <v>235</v>
      </c>
      <c r="C104" s="99">
        <v>0</v>
      </c>
      <c r="D104" s="99">
        <v>0</v>
      </c>
      <c r="E104" s="99">
        <v>0</v>
      </c>
      <c r="F104" s="99">
        <v>2.1</v>
      </c>
      <c r="G104" s="99">
        <v>12.56</v>
      </c>
      <c r="H104" s="99">
        <v>1</v>
      </c>
      <c r="I104" s="99">
        <v>0</v>
      </c>
      <c r="J104" s="99">
        <v>0</v>
      </c>
      <c r="K104" s="99">
        <v>0</v>
      </c>
      <c r="L104" s="99">
        <v>0</v>
      </c>
      <c r="M104" s="99">
        <v>0</v>
      </c>
      <c r="N104" s="99">
        <v>0</v>
      </c>
      <c r="O104" s="99">
        <v>1</v>
      </c>
      <c r="P104" s="99">
        <v>0</v>
      </c>
      <c r="Q104" s="121">
        <f t="shared" si="2"/>
        <v>16.66</v>
      </c>
    </row>
    <row r="105" spans="1:17" ht="15" customHeight="1" thickBot="1" x14ac:dyDescent="0.3">
      <c r="A105" s="105" t="s">
        <v>236</v>
      </c>
      <c r="B105" s="99" t="s">
        <v>237</v>
      </c>
      <c r="C105" s="99">
        <v>0</v>
      </c>
      <c r="D105" s="99">
        <v>0</v>
      </c>
      <c r="E105" s="99">
        <v>0</v>
      </c>
      <c r="F105" s="99">
        <v>2</v>
      </c>
      <c r="G105" s="99">
        <v>11.58</v>
      </c>
      <c r="H105" s="99">
        <v>1.17</v>
      </c>
      <c r="I105" s="99">
        <v>0</v>
      </c>
      <c r="J105" s="99">
        <v>0</v>
      </c>
      <c r="K105" s="99">
        <v>0</v>
      </c>
      <c r="L105" s="99">
        <v>0</v>
      </c>
      <c r="M105" s="99">
        <v>0</v>
      </c>
      <c r="N105" s="99">
        <v>1</v>
      </c>
      <c r="O105" s="99">
        <v>0</v>
      </c>
      <c r="P105" s="99">
        <v>0</v>
      </c>
      <c r="Q105" s="121">
        <f t="shared" si="2"/>
        <v>15.75</v>
      </c>
    </row>
    <row r="106" spans="1:17" ht="15" customHeight="1" thickBot="1" x14ac:dyDescent="0.3">
      <c r="A106" s="105" t="s">
        <v>98</v>
      </c>
      <c r="B106" s="99" t="s">
        <v>238</v>
      </c>
      <c r="C106" s="99">
        <v>0</v>
      </c>
      <c r="D106" s="99">
        <v>0</v>
      </c>
      <c r="E106" s="99">
        <v>0</v>
      </c>
      <c r="F106" s="99">
        <v>0</v>
      </c>
      <c r="G106" s="99">
        <v>4.25</v>
      </c>
      <c r="H106" s="99">
        <v>0</v>
      </c>
      <c r="I106" s="99">
        <v>0</v>
      </c>
      <c r="J106" s="99">
        <v>0</v>
      </c>
      <c r="K106" s="99">
        <v>0</v>
      </c>
      <c r="L106" s="99">
        <v>1</v>
      </c>
      <c r="M106" s="99">
        <v>0</v>
      </c>
      <c r="N106" s="99">
        <v>0</v>
      </c>
      <c r="O106" s="99">
        <v>1</v>
      </c>
      <c r="P106" s="99">
        <v>0</v>
      </c>
      <c r="Q106" s="121">
        <f t="shared" si="2"/>
        <v>6.25</v>
      </c>
    </row>
    <row r="107" spans="1:17" ht="15" customHeight="1" thickBot="1" x14ac:dyDescent="0.3">
      <c r="A107" s="105">
        <v>89</v>
      </c>
      <c r="B107" s="99" t="s">
        <v>239</v>
      </c>
      <c r="C107" s="99">
        <v>0</v>
      </c>
      <c r="D107" s="99">
        <v>0</v>
      </c>
      <c r="E107" s="99">
        <v>2</v>
      </c>
      <c r="F107" s="99">
        <v>14</v>
      </c>
      <c r="G107" s="99">
        <v>0</v>
      </c>
      <c r="H107" s="99">
        <v>1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1</v>
      </c>
      <c r="P107" s="99">
        <v>0.25</v>
      </c>
      <c r="Q107" s="121">
        <f t="shared" si="2"/>
        <v>18.25</v>
      </c>
    </row>
    <row r="108" spans="1:17" ht="15" customHeight="1" thickBot="1" x14ac:dyDescent="0.3">
      <c r="A108" s="105" t="s">
        <v>99</v>
      </c>
      <c r="B108" s="99" t="s">
        <v>240</v>
      </c>
      <c r="C108" s="99">
        <v>0</v>
      </c>
      <c r="D108" s="99">
        <v>0</v>
      </c>
      <c r="E108" s="99">
        <v>0</v>
      </c>
      <c r="F108" s="99">
        <v>1.5</v>
      </c>
      <c r="G108" s="99">
        <v>4</v>
      </c>
      <c r="H108" s="99">
        <v>21.5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1.1100000000000001</v>
      </c>
      <c r="P108" s="99">
        <v>2</v>
      </c>
      <c r="Q108" s="121">
        <f t="shared" si="2"/>
        <v>30.11</v>
      </c>
    </row>
    <row r="109" spans="1:17" ht="15" customHeight="1" thickBot="1" x14ac:dyDescent="0.3">
      <c r="A109" s="105" t="s">
        <v>100</v>
      </c>
      <c r="B109" s="99" t="s">
        <v>241</v>
      </c>
      <c r="C109" s="99">
        <v>0</v>
      </c>
      <c r="D109" s="99">
        <v>0</v>
      </c>
      <c r="E109" s="99">
        <v>0</v>
      </c>
      <c r="F109" s="99">
        <v>0</v>
      </c>
      <c r="G109" s="99">
        <v>7.14</v>
      </c>
      <c r="H109" s="99">
        <v>0</v>
      </c>
      <c r="I109" s="99">
        <v>0</v>
      </c>
      <c r="J109" s="99">
        <v>0</v>
      </c>
      <c r="K109" s="99">
        <v>0</v>
      </c>
      <c r="L109" s="99">
        <v>0</v>
      </c>
      <c r="M109" s="99">
        <v>0</v>
      </c>
      <c r="N109" s="99">
        <v>0</v>
      </c>
      <c r="O109" s="99">
        <v>1</v>
      </c>
      <c r="P109" s="99">
        <v>0</v>
      </c>
      <c r="Q109" s="121">
        <f t="shared" si="2"/>
        <v>8.14</v>
      </c>
    </row>
    <row r="110" spans="1:17" ht="15" customHeight="1" thickBot="1" x14ac:dyDescent="0.3">
      <c r="A110" s="105">
        <v>88</v>
      </c>
      <c r="B110" s="99" t="s">
        <v>242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2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121">
        <f t="shared" si="2"/>
        <v>2</v>
      </c>
    </row>
    <row r="111" spans="1:17" ht="15" customHeight="1" thickBot="1" x14ac:dyDescent="0.3">
      <c r="A111" s="105" t="s">
        <v>101</v>
      </c>
      <c r="B111" s="99" t="s">
        <v>243</v>
      </c>
      <c r="C111" s="99">
        <v>0</v>
      </c>
      <c r="D111" s="99">
        <v>0</v>
      </c>
      <c r="E111" s="99">
        <v>2.5</v>
      </c>
      <c r="F111" s="99">
        <v>27.8</v>
      </c>
      <c r="G111" s="99">
        <v>11.18</v>
      </c>
      <c r="H111" s="99">
        <v>4.25</v>
      </c>
      <c r="I111" s="99">
        <v>0.49</v>
      </c>
      <c r="J111" s="99">
        <v>2</v>
      </c>
      <c r="K111" s="99">
        <v>0</v>
      </c>
      <c r="L111" s="99">
        <v>1</v>
      </c>
      <c r="M111" s="99">
        <v>0</v>
      </c>
      <c r="N111" s="99">
        <v>0</v>
      </c>
      <c r="O111" s="99">
        <v>3</v>
      </c>
      <c r="P111" s="99">
        <v>2</v>
      </c>
      <c r="Q111" s="121">
        <f t="shared" si="2"/>
        <v>54.220000000000006</v>
      </c>
    </row>
    <row r="112" spans="1:17" ht="15" customHeight="1" thickBot="1" x14ac:dyDescent="0.3">
      <c r="A112" s="105" t="s">
        <v>303</v>
      </c>
      <c r="B112" s="99" t="s">
        <v>304</v>
      </c>
      <c r="C112" s="99">
        <v>0</v>
      </c>
      <c r="D112" s="99">
        <v>0</v>
      </c>
      <c r="E112" s="99">
        <v>0</v>
      </c>
      <c r="F112" s="99">
        <v>0</v>
      </c>
      <c r="G112" s="99">
        <v>7.63</v>
      </c>
      <c r="H112" s="99">
        <v>0</v>
      </c>
      <c r="I112" s="99">
        <v>0.37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1</v>
      </c>
      <c r="P112" s="99">
        <v>0</v>
      </c>
      <c r="Q112" s="121">
        <f t="shared" si="2"/>
        <v>9</v>
      </c>
    </row>
    <row r="113" spans="1:17" ht="15" customHeight="1" thickBot="1" x14ac:dyDescent="0.3">
      <c r="A113" s="105" t="s">
        <v>102</v>
      </c>
      <c r="B113" s="99" t="s">
        <v>244</v>
      </c>
      <c r="C113" s="99">
        <v>0</v>
      </c>
      <c r="D113" s="99">
        <v>0</v>
      </c>
      <c r="E113" s="99">
        <v>3</v>
      </c>
      <c r="F113" s="99">
        <v>27</v>
      </c>
      <c r="G113" s="99">
        <v>13.25</v>
      </c>
      <c r="H113" s="99">
        <v>2.5</v>
      </c>
      <c r="I113" s="99">
        <v>0</v>
      </c>
      <c r="J113" s="99">
        <v>0</v>
      </c>
      <c r="K113" s="99">
        <v>0</v>
      </c>
      <c r="L113" s="99">
        <v>1</v>
      </c>
      <c r="M113" s="99">
        <v>0</v>
      </c>
      <c r="N113" s="99">
        <v>0</v>
      </c>
      <c r="O113" s="99">
        <v>3.3</v>
      </c>
      <c r="P113" s="99">
        <v>0</v>
      </c>
      <c r="Q113" s="121">
        <f t="shared" si="2"/>
        <v>50.05</v>
      </c>
    </row>
    <row r="114" spans="1:17" ht="15" customHeight="1" thickBot="1" x14ac:dyDescent="0.3">
      <c r="A114" s="105">
        <v>94</v>
      </c>
      <c r="B114" s="99" t="s">
        <v>245</v>
      </c>
      <c r="C114" s="99">
        <v>0</v>
      </c>
      <c r="D114" s="99">
        <v>0</v>
      </c>
      <c r="E114" s="99">
        <v>3</v>
      </c>
      <c r="F114" s="99">
        <v>29.04</v>
      </c>
      <c r="G114" s="99">
        <v>17.52</v>
      </c>
      <c r="H114" s="99">
        <v>3</v>
      </c>
      <c r="I114" s="99">
        <v>0</v>
      </c>
      <c r="J114" s="99">
        <v>1</v>
      </c>
      <c r="K114" s="99">
        <v>0</v>
      </c>
      <c r="L114" s="99">
        <v>1</v>
      </c>
      <c r="M114" s="99">
        <v>2</v>
      </c>
      <c r="N114" s="99">
        <v>0</v>
      </c>
      <c r="O114" s="99">
        <v>3</v>
      </c>
      <c r="P114" s="99">
        <v>1.5</v>
      </c>
      <c r="Q114" s="121">
        <f t="shared" si="2"/>
        <v>61.06</v>
      </c>
    </row>
    <row r="115" spans="1:17" ht="15" customHeight="1" thickBot="1" x14ac:dyDescent="0.3">
      <c r="A115" s="105">
        <v>95</v>
      </c>
      <c r="B115" s="99" t="s">
        <v>246</v>
      </c>
      <c r="C115" s="99">
        <v>0</v>
      </c>
      <c r="D115" s="99">
        <v>0</v>
      </c>
      <c r="E115" s="99">
        <v>1</v>
      </c>
      <c r="F115" s="99">
        <v>16</v>
      </c>
      <c r="G115" s="99">
        <v>3.3</v>
      </c>
      <c r="H115" s="99">
        <v>1</v>
      </c>
      <c r="I115" s="99">
        <v>0</v>
      </c>
      <c r="J115" s="99">
        <v>0</v>
      </c>
      <c r="K115" s="99">
        <v>0</v>
      </c>
      <c r="L115" s="99">
        <v>0</v>
      </c>
      <c r="M115" s="99">
        <v>0</v>
      </c>
      <c r="N115" s="99">
        <v>0</v>
      </c>
      <c r="O115" s="99">
        <v>1</v>
      </c>
      <c r="P115" s="99">
        <v>0</v>
      </c>
      <c r="Q115" s="121">
        <f t="shared" si="2"/>
        <v>22.3</v>
      </c>
    </row>
    <row r="116" spans="1:17" ht="15" customHeight="1" thickBot="1" x14ac:dyDescent="0.3">
      <c r="A116" s="105">
        <v>90</v>
      </c>
      <c r="B116" s="99" t="s">
        <v>247</v>
      </c>
      <c r="C116" s="99">
        <v>0</v>
      </c>
      <c r="D116" s="99">
        <v>0</v>
      </c>
      <c r="E116" s="99">
        <v>0</v>
      </c>
      <c r="F116" s="99">
        <v>0</v>
      </c>
      <c r="G116" s="99">
        <v>12.3</v>
      </c>
      <c r="H116" s="99">
        <v>0.25</v>
      </c>
      <c r="I116" s="99">
        <v>0</v>
      </c>
      <c r="J116" s="99">
        <v>0</v>
      </c>
      <c r="K116" s="99">
        <v>0</v>
      </c>
      <c r="L116" s="99">
        <v>1</v>
      </c>
      <c r="M116" s="99">
        <v>0.83</v>
      </c>
      <c r="N116" s="99">
        <v>0.8</v>
      </c>
      <c r="O116" s="99">
        <v>2.29</v>
      </c>
      <c r="P116" s="99">
        <v>0</v>
      </c>
      <c r="Q116" s="121">
        <f t="shared" si="2"/>
        <v>17.470000000000002</v>
      </c>
    </row>
    <row r="117" spans="1:17" ht="15" customHeight="1" thickBot="1" x14ac:dyDescent="0.3">
      <c r="A117" s="105">
        <v>92</v>
      </c>
      <c r="B117" s="99" t="s">
        <v>248</v>
      </c>
      <c r="C117" s="99">
        <v>0</v>
      </c>
      <c r="D117" s="99">
        <v>0</v>
      </c>
      <c r="E117" s="99">
        <v>0</v>
      </c>
      <c r="F117" s="99">
        <v>0</v>
      </c>
      <c r="G117" s="99">
        <v>7.14</v>
      </c>
      <c r="H117" s="99">
        <v>0.53</v>
      </c>
      <c r="I117" s="99">
        <v>0</v>
      </c>
      <c r="J117" s="99">
        <v>0</v>
      </c>
      <c r="K117" s="99">
        <v>0</v>
      </c>
      <c r="L117" s="99">
        <v>1.5</v>
      </c>
      <c r="M117" s="99">
        <v>0</v>
      </c>
      <c r="N117" s="99">
        <v>0</v>
      </c>
      <c r="O117" s="99">
        <v>1</v>
      </c>
      <c r="P117" s="99">
        <v>0</v>
      </c>
      <c r="Q117" s="121">
        <f t="shared" si="2"/>
        <v>10.17</v>
      </c>
    </row>
    <row r="118" spans="1:17" ht="15" customHeight="1" thickBot="1" x14ac:dyDescent="0.3">
      <c r="A118" s="105" t="s">
        <v>103</v>
      </c>
      <c r="B118" s="99" t="s">
        <v>249</v>
      </c>
      <c r="C118" s="99">
        <v>0</v>
      </c>
      <c r="D118" s="99">
        <v>0</v>
      </c>
      <c r="E118" s="99">
        <v>0</v>
      </c>
      <c r="F118" s="99">
        <v>0</v>
      </c>
      <c r="G118" s="99">
        <v>10.63</v>
      </c>
      <c r="H118" s="99">
        <v>0.5</v>
      </c>
      <c r="I118" s="99">
        <v>1.67</v>
      </c>
      <c r="J118" s="99">
        <v>0</v>
      </c>
      <c r="K118" s="99">
        <v>0</v>
      </c>
      <c r="L118" s="99">
        <v>2.59</v>
      </c>
      <c r="M118" s="99">
        <v>0</v>
      </c>
      <c r="N118" s="99">
        <v>0</v>
      </c>
      <c r="O118" s="99">
        <v>1.29</v>
      </c>
      <c r="P118" s="99">
        <v>0</v>
      </c>
      <c r="Q118" s="121">
        <f t="shared" si="2"/>
        <v>16.68</v>
      </c>
    </row>
    <row r="119" spans="1:17" ht="15" customHeight="1" thickBot="1" x14ac:dyDescent="0.3">
      <c r="A119" s="105" t="s">
        <v>250</v>
      </c>
      <c r="B119" s="99" t="s">
        <v>251</v>
      </c>
      <c r="C119" s="99">
        <v>0</v>
      </c>
      <c r="D119" s="99">
        <v>0</v>
      </c>
      <c r="E119" s="99">
        <v>1</v>
      </c>
      <c r="F119" s="99">
        <v>10.1</v>
      </c>
      <c r="G119" s="99">
        <v>16.64</v>
      </c>
      <c r="H119" s="99">
        <v>7.5</v>
      </c>
      <c r="I119" s="99">
        <v>6.9</v>
      </c>
      <c r="J119" s="99">
        <v>2</v>
      </c>
      <c r="K119" s="99">
        <v>0</v>
      </c>
      <c r="L119" s="99">
        <v>0</v>
      </c>
      <c r="M119" s="99">
        <v>0</v>
      </c>
      <c r="N119" s="99">
        <v>1.5</v>
      </c>
      <c r="O119" s="99">
        <v>2.7</v>
      </c>
      <c r="P119" s="99">
        <v>0</v>
      </c>
      <c r="Q119" s="121">
        <f t="shared" si="2"/>
        <v>48.34</v>
      </c>
    </row>
    <row r="120" spans="1:17" ht="15" customHeight="1" thickBot="1" x14ac:dyDescent="0.3">
      <c r="A120" s="105" t="s">
        <v>252</v>
      </c>
      <c r="B120" s="99" t="s">
        <v>253</v>
      </c>
      <c r="C120" s="99">
        <v>0</v>
      </c>
      <c r="D120" s="99">
        <v>0</v>
      </c>
      <c r="E120" s="99">
        <v>0.5</v>
      </c>
      <c r="F120" s="99">
        <v>11.1</v>
      </c>
      <c r="G120" s="99">
        <v>8.9499999999999993</v>
      </c>
      <c r="H120" s="99">
        <v>2</v>
      </c>
      <c r="I120" s="99">
        <v>0.5</v>
      </c>
      <c r="J120" s="99">
        <v>0</v>
      </c>
      <c r="K120" s="99">
        <v>0</v>
      </c>
      <c r="L120" s="99">
        <v>0</v>
      </c>
      <c r="M120" s="99">
        <v>0</v>
      </c>
      <c r="N120" s="99">
        <v>0</v>
      </c>
      <c r="O120" s="99">
        <v>1</v>
      </c>
      <c r="P120" s="99">
        <v>0</v>
      </c>
      <c r="Q120" s="121">
        <f t="shared" si="2"/>
        <v>24.049999999999997</v>
      </c>
    </row>
    <row r="121" spans="1:17" ht="15" customHeight="1" thickBot="1" x14ac:dyDescent="0.3">
      <c r="A121" s="105" t="s">
        <v>288</v>
      </c>
      <c r="B121" s="99" t="s">
        <v>305</v>
      </c>
      <c r="C121" s="99">
        <v>0</v>
      </c>
      <c r="D121" s="99">
        <v>0</v>
      </c>
      <c r="E121" s="99">
        <v>2</v>
      </c>
      <c r="F121" s="99">
        <v>25.19</v>
      </c>
      <c r="G121" s="99">
        <v>2.89</v>
      </c>
      <c r="H121" s="99">
        <v>3</v>
      </c>
      <c r="I121" s="99">
        <v>6.33</v>
      </c>
      <c r="J121" s="99">
        <v>0</v>
      </c>
      <c r="K121" s="99">
        <v>0.63</v>
      </c>
      <c r="L121" s="99">
        <v>0</v>
      </c>
      <c r="M121" s="99">
        <v>0</v>
      </c>
      <c r="N121" s="99">
        <v>1</v>
      </c>
      <c r="O121" s="99">
        <v>1.3</v>
      </c>
      <c r="P121" s="99">
        <v>1</v>
      </c>
      <c r="Q121" s="121">
        <f t="shared" si="2"/>
        <v>43.339999999999996</v>
      </c>
    </row>
    <row r="122" spans="1:17" ht="15" customHeight="1" thickBot="1" x14ac:dyDescent="0.3">
      <c r="A122" s="105">
        <v>81</v>
      </c>
      <c r="B122" s="99" t="s">
        <v>254</v>
      </c>
      <c r="C122" s="99">
        <v>0</v>
      </c>
      <c r="D122" s="99">
        <v>0</v>
      </c>
      <c r="E122" s="99">
        <v>1</v>
      </c>
      <c r="F122" s="99">
        <v>4.92</v>
      </c>
      <c r="G122" s="99">
        <v>12.94</v>
      </c>
      <c r="H122" s="99">
        <v>1.75</v>
      </c>
      <c r="I122" s="99">
        <v>0</v>
      </c>
      <c r="J122" s="99">
        <v>0</v>
      </c>
      <c r="K122" s="99">
        <v>0</v>
      </c>
      <c r="L122" s="99">
        <v>0.25</v>
      </c>
      <c r="M122" s="99">
        <v>0</v>
      </c>
      <c r="N122" s="99">
        <v>0</v>
      </c>
      <c r="O122" s="99">
        <v>1</v>
      </c>
      <c r="P122" s="99">
        <v>0</v>
      </c>
      <c r="Q122" s="121">
        <f t="shared" si="2"/>
        <v>21.86</v>
      </c>
    </row>
    <row r="123" spans="1:17" ht="15" customHeight="1" thickBot="1" x14ac:dyDescent="0.3">
      <c r="A123" s="105" t="s">
        <v>104</v>
      </c>
      <c r="B123" s="99" t="s">
        <v>255</v>
      </c>
      <c r="C123" s="99">
        <v>0</v>
      </c>
      <c r="D123" s="99">
        <v>0</v>
      </c>
      <c r="E123" s="99">
        <v>1</v>
      </c>
      <c r="F123" s="99">
        <v>14.5</v>
      </c>
      <c r="G123" s="99">
        <v>0</v>
      </c>
      <c r="H123" s="99">
        <v>1.5</v>
      </c>
      <c r="I123" s="99">
        <v>0</v>
      </c>
      <c r="J123" s="99">
        <v>0</v>
      </c>
      <c r="K123" s="99">
        <v>0</v>
      </c>
      <c r="L123" s="99">
        <v>0</v>
      </c>
      <c r="M123" s="99">
        <v>0</v>
      </c>
      <c r="N123" s="99">
        <v>0</v>
      </c>
      <c r="O123" s="99">
        <v>1</v>
      </c>
      <c r="P123" s="99">
        <v>0</v>
      </c>
      <c r="Q123" s="121">
        <f t="shared" si="2"/>
        <v>18</v>
      </c>
    </row>
    <row r="124" spans="1:17" ht="15" customHeight="1" thickBot="1" x14ac:dyDescent="0.3">
      <c r="A124" s="105" t="s">
        <v>306</v>
      </c>
      <c r="B124" s="99" t="s">
        <v>307</v>
      </c>
      <c r="C124" s="99">
        <v>0</v>
      </c>
      <c r="D124" s="99">
        <v>0</v>
      </c>
      <c r="E124" s="99">
        <v>3</v>
      </c>
      <c r="F124" s="99">
        <v>16</v>
      </c>
      <c r="G124" s="99">
        <v>7.7</v>
      </c>
      <c r="H124" s="99">
        <v>1.5</v>
      </c>
      <c r="I124" s="99">
        <v>0</v>
      </c>
      <c r="J124" s="99">
        <v>0</v>
      </c>
      <c r="K124" s="99">
        <v>0</v>
      </c>
      <c r="L124" s="99">
        <v>0</v>
      </c>
      <c r="M124" s="99">
        <v>0.5</v>
      </c>
      <c r="N124" s="99">
        <v>0</v>
      </c>
      <c r="O124" s="99">
        <v>1.38</v>
      </c>
      <c r="P124" s="99">
        <v>0</v>
      </c>
      <c r="Q124" s="121">
        <f t="shared" si="2"/>
        <v>30.08</v>
      </c>
    </row>
    <row r="125" spans="1:17" s="128" customFormat="1" ht="15" customHeight="1" thickBot="1" x14ac:dyDescent="0.25">
      <c r="A125" s="124"/>
      <c r="B125" s="125" t="s">
        <v>256</v>
      </c>
      <c r="C125" s="129">
        <f>SUM(C49:C124)</f>
        <v>0</v>
      </c>
      <c r="D125" s="129">
        <f t="shared" ref="D125:O125" si="3">SUM(D49:D124)</f>
        <v>0</v>
      </c>
      <c r="E125" s="129">
        <f t="shared" si="3"/>
        <v>93.02</v>
      </c>
      <c r="F125" s="129">
        <f t="shared" si="3"/>
        <v>876.12</v>
      </c>
      <c r="G125" s="129">
        <f t="shared" si="3"/>
        <v>698.69999999999982</v>
      </c>
      <c r="H125" s="129">
        <f t="shared" si="3"/>
        <v>138.41000000000003</v>
      </c>
      <c r="I125" s="129">
        <f t="shared" si="3"/>
        <v>46.980000000000004</v>
      </c>
      <c r="J125" s="129">
        <f t="shared" si="3"/>
        <v>22.78</v>
      </c>
      <c r="K125" s="129">
        <f t="shared" si="3"/>
        <v>5.53</v>
      </c>
      <c r="L125" s="129">
        <f t="shared" si="3"/>
        <v>30.450000000000003</v>
      </c>
      <c r="M125" s="129">
        <f t="shared" si="3"/>
        <v>20.47</v>
      </c>
      <c r="N125" s="129">
        <f t="shared" si="3"/>
        <v>22.36</v>
      </c>
      <c r="O125" s="129">
        <f t="shared" si="3"/>
        <v>100.33000000000001</v>
      </c>
      <c r="P125" s="129">
        <f t="shared" ref="P125" si="4">SUM(P49:P124)</f>
        <v>16.88</v>
      </c>
      <c r="Q125" s="121">
        <f t="shared" si="2"/>
        <v>2072.0299999999997</v>
      </c>
    </row>
    <row r="126" spans="1:17" ht="15" customHeight="1" thickBot="1" x14ac:dyDescent="0.3">
      <c r="A126" s="130"/>
      <c r="B126" s="131" t="s">
        <v>289</v>
      </c>
      <c r="C126" s="99">
        <v>0</v>
      </c>
      <c r="D126" s="99">
        <v>21.06</v>
      </c>
      <c r="E126" s="99">
        <v>0</v>
      </c>
      <c r="F126" s="99">
        <v>0</v>
      </c>
      <c r="G126" s="99">
        <v>1</v>
      </c>
      <c r="H126" s="99">
        <v>91.21</v>
      </c>
      <c r="I126" s="99">
        <v>9.36</v>
      </c>
      <c r="J126" s="99">
        <v>15.79</v>
      </c>
      <c r="K126" s="99">
        <v>1</v>
      </c>
      <c r="L126" s="99">
        <v>0</v>
      </c>
      <c r="M126" s="99">
        <v>1</v>
      </c>
      <c r="N126" s="99">
        <v>2</v>
      </c>
      <c r="O126" s="99">
        <v>0</v>
      </c>
      <c r="P126" s="99">
        <v>15.52</v>
      </c>
      <c r="Q126" s="121">
        <f t="shared" si="2"/>
        <v>157.94</v>
      </c>
    </row>
    <row r="127" spans="1:17" s="128" customFormat="1" ht="15" customHeight="1" thickBot="1" x14ac:dyDescent="0.25">
      <c r="A127" s="132"/>
      <c r="B127" s="131" t="s">
        <v>257</v>
      </c>
      <c r="C127" s="133">
        <f t="shared" ref="C127:P127" si="5">SUM(C48+C125+C126)</f>
        <v>28.560000000000002</v>
      </c>
      <c r="D127" s="134">
        <f t="shared" si="5"/>
        <v>245.46</v>
      </c>
      <c r="E127" s="134">
        <f t="shared" si="5"/>
        <v>1276.5800000000002</v>
      </c>
      <c r="F127" s="134">
        <f t="shared" si="5"/>
        <v>11329.31</v>
      </c>
      <c r="G127" s="134">
        <f t="shared" si="5"/>
        <v>10132.960000000003</v>
      </c>
      <c r="H127" s="134">
        <f t="shared" si="5"/>
        <v>2777.1099999999997</v>
      </c>
      <c r="I127" s="135">
        <f t="shared" si="5"/>
        <v>1215.6400000000001</v>
      </c>
      <c r="J127" s="134">
        <f t="shared" si="5"/>
        <v>508.58</v>
      </c>
      <c r="K127" s="134">
        <f t="shared" si="5"/>
        <v>144.26</v>
      </c>
      <c r="L127" s="134">
        <f t="shared" si="5"/>
        <v>663.57999999999993</v>
      </c>
      <c r="M127" s="134">
        <f t="shared" si="5"/>
        <v>279.99</v>
      </c>
      <c r="N127" s="134">
        <f t="shared" si="5"/>
        <v>298.83000000000004</v>
      </c>
      <c r="O127" s="134">
        <f t="shared" si="5"/>
        <v>1300.4400000000003</v>
      </c>
      <c r="P127" s="134">
        <f t="shared" si="5"/>
        <v>979.92000000000007</v>
      </c>
      <c r="Q127" s="121">
        <f t="shared" si="2"/>
        <v>31181.22</v>
      </c>
    </row>
  </sheetData>
  <mergeCells count="16">
    <mergeCell ref="B3:B6"/>
    <mergeCell ref="C3:I3"/>
    <mergeCell ref="J3:J6"/>
    <mergeCell ref="K3:K6"/>
    <mergeCell ref="L3:L6"/>
    <mergeCell ref="C4:D4"/>
    <mergeCell ref="E4:E6"/>
    <mergeCell ref="F4:F6"/>
    <mergeCell ref="G4:G6"/>
    <mergeCell ref="H4:H6"/>
    <mergeCell ref="I4:I6"/>
    <mergeCell ref="M3:M6"/>
    <mergeCell ref="N3:N6"/>
    <mergeCell ref="O3:O6"/>
    <mergeCell ref="P3:P6"/>
    <mergeCell ref="Q3:Q6"/>
  </mergeCells>
  <pageMargins left="0.25" right="0.25" top="0.33" bottom="0.75" header="0.3" footer="0.3"/>
  <pageSetup scale="53" orientation="landscape" horizontalDpi="1200" r:id="rId1"/>
  <headerFooter>
    <oddFooter>&amp;LDATA SOURCE:
CACTUS Database June 30, 2010</oddFooter>
  </headerFooter>
  <rowBreaks count="2" manualBreakCount="2">
    <brk id="48" max="16" man="1"/>
    <brk id="109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6"/>
  <sheetViews>
    <sheetView zoomScale="80" zoomScaleNormal="80" workbookViewId="0">
      <pane xSplit="2" ySplit="6" topLeftCell="C7" activePane="bottomRight" state="frozen"/>
      <selection activeCell="E53" sqref="E53"/>
      <selection pane="topRight" activeCell="E53" sqref="E53"/>
      <selection pane="bottomLeft" activeCell="E53" sqref="E53"/>
      <selection pane="bottomRight" activeCell="E53" sqref="E53"/>
    </sheetView>
  </sheetViews>
  <sheetFormatPr defaultRowHeight="12.75" x14ac:dyDescent="0.25"/>
  <cols>
    <col min="1" max="1" width="4.42578125" style="15" bestFit="1" customWidth="1"/>
    <col min="2" max="2" width="44.7109375" style="90" customWidth="1"/>
    <col min="3" max="3" width="12" style="91" customWidth="1"/>
    <col min="4" max="4" width="10.85546875" style="91" customWidth="1"/>
    <col min="5" max="9" width="9.42578125" style="91" bestFit="1" customWidth="1"/>
    <col min="10" max="10" width="13.5703125" style="91" bestFit="1" customWidth="1"/>
    <col min="11" max="12" width="9.42578125" style="91" bestFit="1" customWidth="1"/>
    <col min="13" max="13" width="15.85546875" style="91" bestFit="1" customWidth="1"/>
    <col min="14" max="15" width="9.42578125" style="91" customWidth="1"/>
    <col min="16" max="16" width="9.7109375" style="90" bestFit="1" customWidth="1"/>
    <col min="17" max="18" width="9.42578125" style="91" bestFit="1" customWidth="1"/>
    <col min="19" max="19" width="13.140625" style="91" bestFit="1" customWidth="1"/>
    <col min="20" max="20" width="11.140625" style="90" bestFit="1" customWidth="1"/>
    <col min="21" max="22" width="9.42578125" style="91" bestFit="1" customWidth="1"/>
    <col min="23" max="23" width="10.140625" style="91" bestFit="1" customWidth="1"/>
    <col min="24" max="24" width="10.5703125" style="91" customWidth="1"/>
    <col min="25" max="25" width="10" style="91" customWidth="1"/>
    <col min="26" max="26" width="9.28515625" style="90" bestFit="1" customWidth="1"/>
    <col min="27" max="27" width="9.28515625" style="91" bestFit="1" customWidth="1"/>
    <col min="28" max="28" width="10.42578125" style="91" customWidth="1"/>
    <col min="29" max="29" width="9.28515625" style="90" bestFit="1" customWidth="1"/>
    <col min="30" max="31" width="9.28515625" style="91" bestFit="1" customWidth="1"/>
    <col min="32" max="32" width="10.5703125" style="91" customWidth="1"/>
    <col min="33" max="33" width="11.7109375" style="90" bestFit="1" customWidth="1"/>
    <col min="34" max="34" width="9.28515625" style="91" bestFit="1" customWidth="1"/>
    <col min="35" max="35" width="10" style="91" customWidth="1"/>
    <col min="36" max="37" width="9.28515625" style="91" bestFit="1" customWidth="1"/>
    <col min="38" max="38" width="9.28515625" style="90" bestFit="1" customWidth="1"/>
    <col min="39" max="39" width="12.7109375" style="90" customWidth="1"/>
    <col min="40" max="257" width="9.140625" style="91"/>
    <col min="258" max="258" width="24.7109375" style="91" bestFit="1" customWidth="1"/>
    <col min="259" max="513" width="9.140625" style="91"/>
    <col min="514" max="514" width="24.7109375" style="91" bestFit="1" customWidth="1"/>
    <col min="515" max="769" width="9.140625" style="91"/>
    <col min="770" max="770" width="24.7109375" style="91" bestFit="1" customWidth="1"/>
    <col min="771" max="1025" width="9.140625" style="91"/>
    <col min="1026" max="1026" width="24.7109375" style="91" bestFit="1" customWidth="1"/>
    <col min="1027" max="1281" width="9.140625" style="91"/>
    <col min="1282" max="1282" width="24.7109375" style="91" bestFit="1" customWidth="1"/>
    <col min="1283" max="1537" width="9.140625" style="91"/>
    <col min="1538" max="1538" width="24.7109375" style="91" bestFit="1" customWidth="1"/>
    <col min="1539" max="1793" width="9.140625" style="91"/>
    <col min="1794" max="1794" width="24.7109375" style="91" bestFit="1" customWidth="1"/>
    <col min="1795" max="2049" width="9.140625" style="91"/>
    <col min="2050" max="2050" width="24.7109375" style="91" bestFit="1" customWidth="1"/>
    <col min="2051" max="2305" width="9.140625" style="91"/>
    <col min="2306" max="2306" width="24.7109375" style="91" bestFit="1" customWidth="1"/>
    <col min="2307" max="2561" width="9.140625" style="91"/>
    <col min="2562" max="2562" width="24.7109375" style="91" bestFit="1" customWidth="1"/>
    <col min="2563" max="2817" width="9.140625" style="91"/>
    <col min="2818" max="2818" width="24.7109375" style="91" bestFit="1" customWidth="1"/>
    <col min="2819" max="3073" width="9.140625" style="91"/>
    <col min="3074" max="3074" width="24.7109375" style="91" bestFit="1" customWidth="1"/>
    <col min="3075" max="3329" width="9.140625" style="91"/>
    <col min="3330" max="3330" width="24.7109375" style="91" bestFit="1" customWidth="1"/>
    <col min="3331" max="3585" width="9.140625" style="91"/>
    <col min="3586" max="3586" width="24.7109375" style="91" bestFit="1" customWidth="1"/>
    <col min="3587" max="3841" width="9.140625" style="91"/>
    <col min="3842" max="3842" width="24.7109375" style="91" bestFit="1" customWidth="1"/>
    <col min="3843" max="4097" width="9.140625" style="91"/>
    <col min="4098" max="4098" width="24.7109375" style="91" bestFit="1" customWidth="1"/>
    <col min="4099" max="4353" width="9.140625" style="91"/>
    <col min="4354" max="4354" width="24.7109375" style="91" bestFit="1" customWidth="1"/>
    <col min="4355" max="4609" width="9.140625" style="91"/>
    <col min="4610" max="4610" width="24.7109375" style="91" bestFit="1" customWidth="1"/>
    <col min="4611" max="4865" width="9.140625" style="91"/>
    <col min="4866" max="4866" width="24.7109375" style="91" bestFit="1" customWidth="1"/>
    <col min="4867" max="5121" width="9.140625" style="91"/>
    <col min="5122" max="5122" width="24.7109375" style="91" bestFit="1" customWidth="1"/>
    <col min="5123" max="5377" width="9.140625" style="91"/>
    <col min="5378" max="5378" width="24.7109375" style="91" bestFit="1" customWidth="1"/>
    <col min="5379" max="5633" width="9.140625" style="91"/>
    <col min="5634" max="5634" width="24.7109375" style="91" bestFit="1" customWidth="1"/>
    <col min="5635" max="5889" width="9.140625" style="91"/>
    <col min="5890" max="5890" width="24.7109375" style="91" bestFit="1" customWidth="1"/>
    <col min="5891" max="6145" width="9.140625" style="91"/>
    <col min="6146" max="6146" width="24.7109375" style="91" bestFit="1" customWidth="1"/>
    <col min="6147" max="6401" width="9.140625" style="91"/>
    <col min="6402" max="6402" width="24.7109375" style="91" bestFit="1" customWidth="1"/>
    <col min="6403" max="6657" width="9.140625" style="91"/>
    <col min="6658" max="6658" width="24.7109375" style="91" bestFit="1" customWidth="1"/>
    <col min="6659" max="6913" width="9.140625" style="91"/>
    <col min="6914" max="6914" width="24.7109375" style="91" bestFit="1" customWidth="1"/>
    <col min="6915" max="7169" width="9.140625" style="91"/>
    <col min="7170" max="7170" width="24.7109375" style="91" bestFit="1" customWidth="1"/>
    <col min="7171" max="7425" width="9.140625" style="91"/>
    <col min="7426" max="7426" width="24.7109375" style="91" bestFit="1" customWidth="1"/>
    <col min="7427" max="7681" width="9.140625" style="91"/>
    <col min="7682" max="7682" width="24.7109375" style="91" bestFit="1" customWidth="1"/>
    <col min="7683" max="7937" width="9.140625" style="91"/>
    <col min="7938" max="7938" width="24.7109375" style="91" bestFit="1" customWidth="1"/>
    <col min="7939" max="8193" width="9.140625" style="91"/>
    <col min="8194" max="8194" width="24.7109375" style="91" bestFit="1" customWidth="1"/>
    <col min="8195" max="8449" width="9.140625" style="91"/>
    <col min="8450" max="8450" width="24.7109375" style="91" bestFit="1" customWidth="1"/>
    <col min="8451" max="8705" width="9.140625" style="91"/>
    <col min="8706" max="8706" width="24.7109375" style="91" bestFit="1" customWidth="1"/>
    <col min="8707" max="8961" width="9.140625" style="91"/>
    <col min="8962" max="8962" width="24.7109375" style="91" bestFit="1" customWidth="1"/>
    <col min="8963" max="9217" width="9.140625" style="91"/>
    <col min="9218" max="9218" width="24.7109375" style="91" bestFit="1" customWidth="1"/>
    <col min="9219" max="9473" width="9.140625" style="91"/>
    <col min="9474" max="9474" width="24.7109375" style="91" bestFit="1" customWidth="1"/>
    <col min="9475" max="9729" width="9.140625" style="91"/>
    <col min="9730" max="9730" width="24.7109375" style="91" bestFit="1" customWidth="1"/>
    <col min="9731" max="9985" width="9.140625" style="91"/>
    <col min="9986" max="9986" width="24.7109375" style="91" bestFit="1" customWidth="1"/>
    <col min="9987" max="10241" width="9.140625" style="91"/>
    <col min="10242" max="10242" width="24.7109375" style="91" bestFit="1" customWidth="1"/>
    <col min="10243" max="10497" width="9.140625" style="91"/>
    <col min="10498" max="10498" width="24.7109375" style="91" bestFit="1" customWidth="1"/>
    <col min="10499" max="10753" width="9.140625" style="91"/>
    <col min="10754" max="10754" width="24.7109375" style="91" bestFit="1" customWidth="1"/>
    <col min="10755" max="11009" width="9.140625" style="91"/>
    <col min="11010" max="11010" width="24.7109375" style="91" bestFit="1" customWidth="1"/>
    <col min="11011" max="11265" width="9.140625" style="91"/>
    <col min="11266" max="11266" width="24.7109375" style="91" bestFit="1" customWidth="1"/>
    <col min="11267" max="11521" width="9.140625" style="91"/>
    <col min="11522" max="11522" width="24.7109375" style="91" bestFit="1" customWidth="1"/>
    <col min="11523" max="11777" width="9.140625" style="91"/>
    <col min="11778" max="11778" width="24.7109375" style="91" bestFit="1" customWidth="1"/>
    <col min="11779" max="12033" width="9.140625" style="91"/>
    <col min="12034" max="12034" width="24.7109375" style="91" bestFit="1" customWidth="1"/>
    <col min="12035" max="12289" width="9.140625" style="91"/>
    <col min="12290" max="12290" width="24.7109375" style="91" bestFit="1" customWidth="1"/>
    <col min="12291" max="12545" width="9.140625" style="91"/>
    <col min="12546" max="12546" width="24.7109375" style="91" bestFit="1" customWidth="1"/>
    <col min="12547" max="12801" width="9.140625" style="91"/>
    <col min="12802" max="12802" width="24.7109375" style="91" bestFit="1" customWidth="1"/>
    <col min="12803" max="13057" width="9.140625" style="91"/>
    <col min="13058" max="13058" width="24.7109375" style="91" bestFit="1" customWidth="1"/>
    <col min="13059" max="13313" width="9.140625" style="91"/>
    <col min="13314" max="13314" width="24.7109375" style="91" bestFit="1" customWidth="1"/>
    <col min="13315" max="13569" width="9.140625" style="91"/>
    <col min="13570" max="13570" width="24.7109375" style="91" bestFit="1" customWidth="1"/>
    <col min="13571" max="13825" width="9.140625" style="91"/>
    <col min="13826" max="13826" width="24.7109375" style="91" bestFit="1" customWidth="1"/>
    <col min="13827" max="14081" width="9.140625" style="91"/>
    <col min="14082" max="14082" width="24.7109375" style="91" bestFit="1" customWidth="1"/>
    <col min="14083" max="14337" width="9.140625" style="91"/>
    <col min="14338" max="14338" width="24.7109375" style="91" bestFit="1" customWidth="1"/>
    <col min="14339" max="14593" width="9.140625" style="91"/>
    <col min="14594" max="14594" width="24.7109375" style="91" bestFit="1" customWidth="1"/>
    <col min="14595" max="14849" width="9.140625" style="91"/>
    <col min="14850" max="14850" width="24.7109375" style="91" bestFit="1" customWidth="1"/>
    <col min="14851" max="15105" width="9.140625" style="91"/>
    <col min="15106" max="15106" width="24.7109375" style="91" bestFit="1" customWidth="1"/>
    <col min="15107" max="15361" width="9.140625" style="91"/>
    <col min="15362" max="15362" width="24.7109375" style="91" bestFit="1" customWidth="1"/>
    <col min="15363" max="15617" width="9.140625" style="91"/>
    <col min="15618" max="15618" width="24.7109375" style="91" bestFit="1" customWidth="1"/>
    <col min="15619" max="15873" width="9.140625" style="91"/>
    <col min="15874" max="15874" width="24.7109375" style="91" bestFit="1" customWidth="1"/>
    <col min="15875" max="16129" width="9.140625" style="91"/>
    <col min="16130" max="16130" width="24.7109375" style="91" bestFit="1" customWidth="1"/>
    <col min="16131" max="16384" width="9.140625" style="91"/>
  </cols>
  <sheetData>
    <row r="1" spans="1:40" x14ac:dyDescent="0.25">
      <c r="A1" s="15" t="s">
        <v>308</v>
      </c>
    </row>
    <row r="4" spans="1:40" ht="13.5" thickBot="1" x14ac:dyDescent="0.3"/>
    <row r="5" spans="1:40" s="93" customFormat="1" ht="30.75" customHeight="1" thickBot="1" x14ac:dyDescent="0.3">
      <c r="A5" s="16"/>
      <c r="B5" s="205" t="s">
        <v>0</v>
      </c>
      <c r="C5" s="92" t="s">
        <v>107</v>
      </c>
      <c r="D5" s="207" t="s">
        <v>110</v>
      </c>
      <c r="E5" s="210"/>
      <c r="F5" s="207" t="s">
        <v>111</v>
      </c>
      <c r="G5" s="209"/>
      <c r="H5" s="211" t="s">
        <v>112</v>
      </c>
      <c r="I5" s="209"/>
      <c r="J5" s="92" t="s">
        <v>262</v>
      </c>
      <c r="K5" s="207" t="s">
        <v>113</v>
      </c>
      <c r="L5" s="208"/>
      <c r="M5" s="208"/>
      <c r="N5" s="208"/>
      <c r="O5" s="209"/>
      <c r="P5" s="92"/>
      <c r="Q5" s="207" t="s">
        <v>114</v>
      </c>
      <c r="R5" s="208"/>
      <c r="S5" s="208"/>
      <c r="T5" s="209"/>
      <c r="U5" s="207" t="s">
        <v>115</v>
      </c>
      <c r="V5" s="208"/>
      <c r="W5" s="208"/>
      <c r="X5" s="208"/>
      <c r="Y5" s="208"/>
      <c r="Z5" s="209"/>
      <c r="AA5" s="207" t="s">
        <v>116</v>
      </c>
      <c r="AB5" s="208"/>
      <c r="AC5" s="209"/>
      <c r="AD5" s="207" t="s">
        <v>108</v>
      </c>
      <c r="AE5" s="208"/>
      <c r="AF5" s="208"/>
      <c r="AG5" s="209"/>
      <c r="AH5" s="207" t="s">
        <v>263</v>
      </c>
      <c r="AI5" s="209"/>
      <c r="AJ5" s="207" t="s">
        <v>264</v>
      </c>
      <c r="AK5" s="208"/>
      <c r="AL5" s="209"/>
      <c r="AM5" s="92"/>
    </row>
    <row r="6" spans="1:40" s="93" customFormat="1" ht="60.75" thickBot="1" x14ac:dyDescent="0.3">
      <c r="A6" s="16"/>
      <c r="B6" s="206"/>
      <c r="C6" s="92" t="s">
        <v>265</v>
      </c>
      <c r="D6" s="94" t="s">
        <v>117</v>
      </c>
      <c r="E6" s="94" t="s">
        <v>266</v>
      </c>
      <c r="F6" s="94" t="s">
        <v>266</v>
      </c>
      <c r="G6" s="94" t="s">
        <v>118</v>
      </c>
      <c r="H6" s="95" t="s">
        <v>267</v>
      </c>
      <c r="I6" s="96" t="s">
        <v>266</v>
      </c>
      <c r="J6" s="96" t="s">
        <v>266</v>
      </c>
      <c r="K6" s="96" t="s">
        <v>268</v>
      </c>
      <c r="L6" s="96" t="s">
        <v>267</v>
      </c>
      <c r="M6" s="92" t="s">
        <v>119</v>
      </c>
      <c r="N6" s="97" t="s">
        <v>266</v>
      </c>
      <c r="O6" s="96" t="s">
        <v>269</v>
      </c>
      <c r="P6" s="96" t="s">
        <v>121</v>
      </c>
      <c r="Q6" s="96" t="s">
        <v>266</v>
      </c>
      <c r="R6" s="92" t="s">
        <v>122</v>
      </c>
      <c r="S6" s="92" t="s">
        <v>270</v>
      </c>
      <c r="T6" s="96" t="s">
        <v>271</v>
      </c>
      <c r="U6" s="92" t="s">
        <v>266</v>
      </c>
      <c r="V6" s="92" t="s">
        <v>122</v>
      </c>
      <c r="W6" s="92" t="s">
        <v>123</v>
      </c>
      <c r="X6" s="92" t="s">
        <v>272</v>
      </c>
      <c r="Y6" s="92" t="s">
        <v>120</v>
      </c>
      <c r="Z6" s="92" t="s">
        <v>273</v>
      </c>
      <c r="AA6" s="92" t="s">
        <v>267</v>
      </c>
      <c r="AB6" s="92" t="s">
        <v>120</v>
      </c>
      <c r="AC6" s="92" t="s">
        <v>124</v>
      </c>
      <c r="AD6" s="92" t="s">
        <v>267</v>
      </c>
      <c r="AE6" s="92" t="s">
        <v>266</v>
      </c>
      <c r="AF6" s="92" t="s">
        <v>125</v>
      </c>
      <c r="AG6" s="92" t="s">
        <v>126</v>
      </c>
      <c r="AH6" s="92" t="s">
        <v>266</v>
      </c>
      <c r="AI6" s="92" t="s">
        <v>120</v>
      </c>
      <c r="AJ6" s="92" t="s">
        <v>274</v>
      </c>
      <c r="AK6" s="92" t="s">
        <v>267</v>
      </c>
      <c r="AL6" s="92" t="s">
        <v>275</v>
      </c>
      <c r="AM6" s="92" t="s">
        <v>109</v>
      </c>
      <c r="AN6" s="16"/>
    </row>
    <row r="7" spans="1:40" ht="15.75" thickBot="1" x14ac:dyDescent="0.3">
      <c r="A7" s="12">
        <v>1</v>
      </c>
      <c r="B7" s="98" t="s">
        <v>147</v>
      </c>
      <c r="C7" s="99">
        <v>830.99</v>
      </c>
      <c r="D7" s="99">
        <v>0</v>
      </c>
      <c r="E7" s="99">
        <v>34.82</v>
      </c>
      <c r="F7" s="99">
        <v>29.25</v>
      </c>
      <c r="G7" s="99">
        <v>69</v>
      </c>
      <c r="H7" s="99">
        <v>0</v>
      </c>
      <c r="I7" s="99">
        <v>1</v>
      </c>
      <c r="J7" s="99">
        <v>210.64</v>
      </c>
      <c r="K7" s="99">
        <v>1</v>
      </c>
      <c r="L7" s="99">
        <v>8</v>
      </c>
      <c r="M7" s="99">
        <v>3</v>
      </c>
      <c r="N7" s="99">
        <v>11.21</v>
      </c>
      <c r="O7" s="99">
        <v>75</v>
      </c>
      <c r="P7" s="100">
        <f>SUM(K7:O7)</f>
        <v>98.210000000000008</v>
      </c>
      <c r="Q7" s="99">
        <v>2</v>
      </c>
      <c r="R7" s="99">
        <v>8</v>
      </c>
      <c r="S7" s="99">
        <v>360.55</v>
      </c>
      <c r="T7" s="100">
        <f>SUM(Q7:S7)</f>
        <v>370.55</v>
      </c>
      <c r="U7" s="99">
        <v>5.84</v>
      </c>
      <c r="V7" s="99">
        <v>4</v>
      </c>
      <c r="W7" s="99">
        <v>227.74</v>
      </c>
      <c r="X7" s="99">
        <v>7</v>
      </c>
      <c r="Y7" s="99">
        <v>59.62</v>
      </c>
      <c r="Z7" s="100">
        <f>SUM(U7:Y7)</f>
        <v>304.2</v>
      </c>
      <c r="AA7" s="99">
        <v>0</v>
      </c>
      <c r="AB7" s="99">
        <v>0</v>
      </c>
      <c r="AC7" s="100">
        <f>SUM(AA7:AB7)</f>
        <v>0</v>
      </c>
      <c r="AD7" s="99">
        <v>5</v>
      </c>
      <c r="AE7" s="99">
        <v>2</v>
      </c>
      <c r="AF7" s="99">
        <v>333.19</v>
      </c>
      <c r="AG7" s="100">
        <f>SUM(AD7:AF7)</f>
        <v>340.19</v>
      </c>
      <c r="AH7" s="99">
        <v>0</v>
      </c>
      <c r="AI7" s="99">
        <v>0</v>
      </c>
      <c r="AJ7" s="99">
        <v>0</v>
      </c>
      <c r="AK7" s="99">
        <v>0</v>
      </c>
      <c r="AL7" s="100">
        <f>SUM(AH7:AK7)</f>
        <v>0</v>
      </c>
      <c r="AM7" s="100">
        <f>SUM(C7+D7+E7+F7+G7+H7+I7+J7+P7+T7+Z7+AC7+AG7+AL7)</f>
        <v>2288.85</v>
      </c>
    </row>
    <row r="8" spans="1:40" ht="15.75" thickBot="1" x14ac:dyDescent="0.3">
      <c r="A8" s="12">
        <v>2</v>
      </c>
      <c r="B8" s="101" t="s">
        <v>148</v>
      </c>
      <c r="C8" s="99">
        <v>34</v>
      </c>
      <c r="D8" s="99">
        <v>0.2</v>
      </c>
      <c r="E8" s="99">
        <v>0</v>
      </c>
      <c r="F8" s="99">
        <v>0</v>
      </c>
      <c r="G8" s="99">
        <v>3</v>
      </c>
      <c r="H8" s="99">
        <v>0</v>
      </c>
      <c r="I8" s="99">
        <v>1</v>
      </c>
      <c r="J8" s="99">
        <v>6.3</v>
      </c>
      <c r="K8" s="99">
        <v>0</v>
      </c>
      <c r="L8" s="99">
        <v>0</v>
      </c>
      <c r="M8" s="99">
        <v>0</v>
      </c>
      <c r="N8" s="99">
        <v>0.75</v>
      </c>
      <c r="O8" s="99">
        <v>0</v>
      </c>
      <c r="P8" s="100">
        <f t="shared" ref="P8:P71" si="0">SUM(K8:O8)</f>
        <v>0.75</v>
      </c>
      <c r="Q8" s="99">
        <v>0</v>
      </c>
      <c r="R8" s="99">
        <v>1</v>
      </c>
      <c r="S8" s="99">
        <v>10.53</v>
      </c>
      <c r="T8" s="100">
        <f t="shared" ref="T8:T47" si="1">SUM(Q8:S8)</f>
        <v>11.53</v>
      </c>
      <c r="U8" s="99">
        <v>0</v>
      </c>
      <c r="V8" s="99">
        <v>0</v>
      </c>
      <c r="W8" s="99">
        <v>4.2</v>
      </c>
      <c r="X8" s="99">
        <v>0.79</v>
      </c>
      <c r="Y8" s="99">
        <v>0</v>
      </c>
      <c r="Z8" s="100">
        <f t="shared" ref="Z8:Z71" si="2">SUM(U8:Y8)</f>
        <v>4.99</v>
      </c>
      <c r="AA8" s="99">
        <v>0</v>
      </c>
      <c r="AB8" s="99">
        <v>0</v>
      </c>
      <c r="AC8" s="100">
        <f t="shared" ref="AC8:AC71" si="3">SUM(AA8:AB8)</f>
        <v>0</v>
      </c>
      <c r="AD8" s="99">
        <v>0</v>
      </c>
      <c r="AE8" s="99">
        <v>0.25</v>
      </c>
      <c r="AF8" s="99">
        <v>7.95</v>
      </c>
      <c r="AG8" s="100">
        <f t="shared" ref="AG8:AG47" si="4">SUM(AD8:AF8)</f>
        <v>8.1999999999999993</v>
      </c>
      <c r="AH8" s="99">
        <v>0</v>
      </c>
      <c r="AI8" s="99">
        <v>0</v>
      </c>
      <c r="AJ8" s="99">
        <v>0</v>
      </c>
      <c r="AK8" s="99">
        <v>0</v>
      </c>
      <c r="AL8" s="100">
        <f t="shared" ref="AL8:AL71" si="5">SUM(AH8:AK8)</f>
        <v>0</v>
      </c>
      <c r="AM8" s="100">
        <f t="shared" ref="AM8:AM71" si="6">SUM(C8+D8+E8+F8+G8+H8+I8+J8+P8+T8+Z8+AC8+AG8+AL8)</f>
        <v>69.97</v>
      </c>
    </row>
    <row r="9" spans="1:40" ht="15.75" thickBot="1" x14ac:dyDescent="0.3">
      <c r="A9" s="12">
        <v>3</v>
      </c>
      <c r="B9" s="101" t="s">
        <v>149</v>
      </c>
      <c r="C9" s="99">
        <v>409</v>
      </c>
      <c r="D9" s="99">
        <v>5</v>
      </c>
      <c r="E9" s="99">
        <v>8</v>
      </c>
      <c r="F9" s="99">
        <v>5</v>
      </c>
      <c r="G9" s="99">
        <v>10</v>
      </c>
      <c r="H9" s="99">
        <v>1</v>
      </c>
      <c r="I9" s="99">
        <v>2</v>
      </c>
      <c r="J9" s="99">
        <v>37</v>
      </c>
      <c r="K9" s="99">
        <v>1</v>
      </c>
      <c r="L9" s="99">
        <v>2</v>
      </c>
      <c r="M9" s="99">
        <v>6</v>
      </c>
      <c r="N9" s="99">
        <v>4</v>
      </c>
      <c r="O9" s="99">
        <v>0</v>
      </c>
      <c r="P9" s="100">
        <f t="shared" si="0"/>
        <v>13</v>
      </c>
      <c r="Q9" s="99">
        <v>1</v>
      </c>
      <c r="R9" s="99">
        <v>0</v>
      </c>
      <c r="S9" s="99">
        <v>75</v>
      </c>
      <c r="T9" s="100">
        <f t="shared" si="1"/>
        <v>76</v>
      </c>
      <c r="U9" s="99">
        <v>2</v>
      </c>
      <c r="V9" s="99">
        <v>1</v>
      </c>
      <c r="W9" s="99">
        <v>89</v>
      </c>
      <c r="X9" s="99">
        <v>2</v>
      </c>
      <c r="Y9" s="99">
        <v>19</v>
      </c>
      <c r="Z9" s="100">
        <f t="shared" si="2"/>
        <v>113</v>
      </c>
      <c r="AA9" s="99">
        <v>0</v>
      </c>
      <c r="AB9" s="99">
        <v>0</v>
      </c>
      <c r="AC9" s="100">
        <f t="shared" si="3"/>
        <v>0</v>
      </c>
      <c r="AD9" s="99">
        <v>1</v>
      </c>
      <c r="AE9" s="99">
        <v>1</v>
      </c>
      <c r="AF9" s="99">
        <v>106</v>
      </c>
      <c r="AG9" s="100">
        <f t="shared" si="4"/>
        <v>108</v>
      </c>
      <c r="AH9" s="99">
        <v>2</v>
      </c>
      <c r="AI9" s="99">
        <v>75</v>
      </c>
      <c r="AJ9" s="99">
        <v>0</v>
      </c>
      <c r="AK9" s="99">
        <v>0</v>
      </c>
      <c r="AL9" s="100">
        <f t="shared" si="5"/>
        <v>77</v>
      </c>
      <c r="AM9" s="100">
        <f t="shared" si="6"/>
        <v>864</v>
      </c>
    </row>
    <row r="10" spans="1:40" ht="15.75" thickBot="1" x14ac:dyDescent="0.3">
      <c r="A10" s="12">
        <v>4</v>
      </c>
      <c r="B10" s="101" t="s">
        <v>150</v>
      </c>
      <c r="C10" s="99">
        <v>357.78</v>
      </c>
      <c r="D10" s="99">
        <v>2.5</v>
      </c>
      <c r="E10" s="99">
        <v>0.39</v>
      </c>
      <c r="F10" s="99">
        <v>0</v>
      </c>
      <c r="G10" s="99">
        <v>0</v>
      </c>
      <c r="H10" s="99">
        <v>0</v>
      </c>
      <c r="I10" s="99">
        <v>12.07</v>
      </c>
      <c r="J10" s="99">
        <v>42.35</v>
      </c>
      <c r="K10" s="99">
        <v>1</v>
      </c>
      <c r="L10" s="99">
        <v>1</v>
      </c>
      <c r="M10" s="99">
        <v>1</v>
      </c>
      <c r="N10" s="99">
        <v>2.86</v>
      </c>
      <c r="O10" s="99">
        <v>0</v>
      </c>
      <c r="P10" s="100">
        <f t="shared" si="0"/>
        <v>5.8599999999999994</v>
      </c>
      <c r="Q10" s="99">
        <v>0</v>
      </c>
      <c r="R10" s="99">
        <v>10</v>
      </c>
      <c r="S10" s="99">
        <v>86.81</v>
      </c>
      <c r="T10" s="100">
        <f t="shared" si="1"/>
        <v>96.81</v>
      </c>
      <c r="U10" s="99">
        <v>1.71</v>
      </c>
      <c r="V10" s="99">
        <v>3.66</v>
      </c>
      <c r="W10" s="99">
        <v>80.55</v>
      </c>
      <c r="X10" s="99">
        <v>5</v>
      </c>
      <c r="Y10" s="99">
        <v>1.71</v>
      </c>
      <c r="Z10" s="100">
        <f t="shared" si="2"/>
        <v>92.63</v>
      </c>
      <c r="AA10" s="99">
        <v>2</v>
      </c>
      <c r="AB10" s="99">
        <v>17.420000000000002</v>
      </c>
      <c r="AC10" s="100">
        <f t="shared" si="3"/>
        <v>19.420000000000002</v>
      </c>
      <c r="AD10" s="99">
        <v>25</v>
      </c>
      <c r="AE10" s="99">
        <v>1</v>
      </c>
      <c r="AF10" s="99">
        <v>52.35</v>
      </c>
      <c r="AG10" s="100">
        <f t="shared" si="4"/>
        <v>78.349999999999994</v>
      </c>
      <c r="AH10" s="99">
        <v>0</v>
      </c>
      <c r="AI10" s="99">
        <v>0</v>
      </c>
      <c r="AJ10" s="99">
        <v>1.57</v>
      </c>
      <c r="AK10" s="99">
        <v>0</v>
      </c>
      <c r="AL10" s="100">
        <f t="shared" si="5"/>
        <v>1.57</v>
      </c>
      <c r="AM10" s="100">
        <f t="shared" si="6"/>
        <v>709.73</v>
      </c>
    </row>
    <row r="11" spans="1:40" ht="15.75" thickBot="1" x14ac:dyDescent="0.3">
      <c r="A11" s="12">
        <v>42</v>
      </c>
      <c r="B11" s="102" t="s">
        <v>276</v>
      </c>
      <c r="C11" s="99">
        <v>130.38</v>
      </c>
      <c r="D11" s="99">
        <v>18.399999999999999</v>
      </c>
      <c r="E11" s="99">
        <v>6</v>
      </c>
      <c r="F11" s="99">
        <v>17.5</v>
      </c>
      <c r="G11" s="99">
        <v>30.31</v>
      </c>
      <c r="H11" s="99">
        <v>5</v>
      </c>
      <c r="I11" s="99">
        <v>7</v>
      </c>
      <c r="J11" s="99">
        <v>84</v>
      </c>
      <c r="K11" s="99">
        <v>1</v>
      </c>
      <c r="L11" s="99">
        <v>14</v>
      </c>
      <c r="M11" s="99">
        <v>2</v>
      </c>
      <c r="N11" s="99">
        <v>27</v>
      </c>
      <c r="O11" s="99">
        <v>14</v>
      </c>
      <c r="P11" s="100">
        <f t="shared" si="0"/>
        <v>58</v>
      </c>
      <c r="Q11" s="99">
        <v>3</v>
      </c>
      <c r="R11" s="99">
        <v>12</v>
      </c>
      <c r="S11" s="99">
        <v>164</v>
      </c>
      <c r="T11" s="100">
        <f t="shared" si="1"/>
        <v>179</v>
      </c>
      <c r="U11" s="99">
        <v>3</v>
      </c>
      <c r="V11" s="99">
        <v>1</v>
      </c>
      <c r="W11" s="99">
        <v>82.53</v>
      </c>
      <c r="X11" s="99">
        <v>10</v>
      </c>
      <c r="Y11" s="99">
        <v>6</v>
      </c>
      <c r="Z11" s="100">
        <f t="shared" si="2"/>
        <v>102.53</v>
      </c>
      <c r="AA11" s="99">
        <v>0</v>
      </c>
      <c r="AB11" s="99">
        <v>0</v>
      </c>
      <c r="AC11" s="100">
        <f t="shared" si="3"/>
        <v>0</v>
      </c>
      <c r="AD11" s="99">
        <v>1</v>
      </c>
      <c r="AE11" s="99">
        <v>2</v>
      </c>
      <c r="AF11" s="99">
        <v>122.31</v>
      </c>
      <c r="AG11" s="100">
        <f t="shared" si="4"/>
        <v>125.31</v>
      </c>
      <c r="AH11" s="99">
        <v>9.5</v>
      </c>
      <c r="AI11" s="99">
        <v>51.98</v>
      </c>
      <c r="AJ11" s="99">
        <v>9</v>
      </c>
      <c r="AK11" s="99">
        <v>1</v>
      </c>
      <c r="AL11" s="100">
        <f t="shared" si="5"/>
        <v>71.47999999999999</v>
      </c>
      <c r="AM11" s="100">
        <f t="shared" si="6"/>
        <v>834.91000000000008</v>
      </c>
    </row>
    <row r="12" spans="1:40" ht="15.75" thickBot="1" x14ac:dyDescent="0.3">
      <c r="A12" s="12">
        <v>5</v>
      </c>
      <c r="B12" s="98" t="s">
        <v>151</v>
      </c>
      <c r="C12" s="99">
        <v>82.17</v>
      </c>
      <c r="D12" s="99">
        <v>0</v>
      </c>
      <c r="E12" s="99">
        <v>0</v>
      </c>
      <c r="F12" s="99">
        <v>3.39</v>
      </c>
      <c r="G12" s="99">
        <v>0</v>
      </c>
      <c r="H12" s="99">
        <v>0</v>
      </c>
      <c r="I12" s="99">
        <v>1.74</v>
      </c>
      <c r="J12" s="99">
        <v>15.12</v>
      </c>
      <c r="K12" s="99">
        <v>1</v>
      </c>
      <c r="L12" s="99">
        <v>0</v>
      </c>
      <c r="M12" s="99">
        <v>2.2400000000000002</v>
      </c>
      <c r="N12" s="99">
        <v>1.31</v>
      </c>
      <c r="O12" s="99">
        <v>0</v>
      </c>
      <c r="P12" s="100">
        <f t="shared" si="0"/>
        <v>4.5500000000000007</v>
      </c>
      <c r="Q12" s="99">
        <v>0.88</v>
      </c>
      <c r="R12" s="99">
        <v>1</v>
      </c>
      <c r="S12" s="99">
        <v>30.93</v>
      </c>
      <c r="T12" s="100">
        <f t="shared" si="1"/>
        <v>32.81</v>
      </c>
      <c r="U12" s="99">
        <v>0.84</v>
      </c>
      <c r="V12" s="99">
        <v>0</v>
      </c>
      <c r="W12" s="99">
        <v>12.33</v>
      </c>
      <c r="X12" s="99">
        <v>4</v>
      </c>
      <c r="Y12" s="99">
        <v>0</v>
      </c>
      <c r="Z12" s="100">
        <f t="shared" si="2"/>
        <v>17.170000000000002</v>
      </c>
      <c r="AA12" s="99">
        <v>0</v>
      </c>
      <c r="AB12" s="99">
        <v>8</v>
      </c>
      <c r="AC12" s="100">
        <f t="shared" si="3"/>
        <v>8</v>
      </c>
      <c r="AD12" s="99">
        <v>0.5</v>
      </c>
      <c r="AE12" s="99">
        <v>3.15</v>
      </c>
      <c r="AF12" s="99">
        <v>18.170000000000002</v>
      </c>
      <c r="AG12" s="100">
        <f t="shared" si="4"/>
        <v>21.82</v>
      </c>
      <c r="AH12" s="99">
        <v>0</v>
      </c>
      <c r="AI12" s="99">
        <v>0</v>
      </c>
      <c r="AJ12" s="99">
        <v>0</v>
      </c>
      <c r="AK12" s="99">
        <v>0</v>
      </c>
      <c r="AL12" s="100">
        <f t="shared" si="5"/>
        <v>0</v>
      </c>
      <c r="AM12" s="100">
        <f t="shared" si="6"/>
        <v>186.76999999999998</v>
      </c>
    </row>
    <row r="13" spans="1:40" ht="15.75" thickBot="1" x14ac:dyDescent="0.3">
      <c r="A13" s="12">
        <v>6</v>
      </c>
      <c r="B13" s="101" t="s">
        <v>152</v>
      </c>
      <c r="C13" s="99">
        <v>7.86</v>
      </c>
      <c r="D13" s="99">
        <v>0</v>
      </c>
      <c r="E13" s="99">
        <v>0</v>
      </c>
      <c r="F13" s="99">
        <v>0</v>
      </c>
      <c r="G13" s="99">
        <v>0</v>
      </c>
      <c r="H13" s="99">
        <v>0</v>
      </c>
      <c r="I13" s="99">
        <v>1</v>
      </c>
      <c r="J13" s="99">
        <v>1.5</v>
      </c>
      <c r="K13" s="99">
        <v>0.85</v>
      </c>
      <c r="L13" s="99">
        <v>0</v>
      </c>
      <c r="M13" s="99">
        <v>0</v>
      </c>
      <c r="N13" s="99">
        <v>0</v>
      </c>
      <c r="O13" s="99">
        <v>0</v>
      </c>
      <c r="P13" s="100">
        <f t="shared" si="0"/>
        <v>0.85</v>
      </c>
      <c r="Q13" s="99">
        <v>0</v>
      </c>
      <c r="R13" s="99">
        <v>0</v>
      </c>
      <c r="S13" s="99">
        <v>3.46</v>
      </c>
      <c r="T13" s="100">
        <f t="shared" si="1"/>
        <v>3.46</v>
      </c>
      <c r="U13" s="99">
        <v>0.15</v>
      </c>
      <c r="V13" s="99">
        <v>0</v>
      </c>
      <c r="W13" s="99">
        <v>1.53</v>
      </c>
      <c r="X13" s="99">
        <v>0.77</v>
      </c>
      <c r="Y13" s="99">
        <v>0</v>
      </c>
      <c r="Z13" s="100">
        <f t="shared" si="2"/>
        <v>2.4500000000000002</v>
      </c>
      <c r="AA13" s="99">
        <v>0</v>
      </c>
      <c r="AB13" s="99">
        <v>0</v>
      </c>
      <c r="AC13" s="100">
        <f t="shared" si="3"/>
        <v>0</v>
      </c>
      <c r="AD13" s="99">
        <v>0.13</v>
      </c>
      <c r="AE13" s="99">
        <v>0</v>
      </c>
      <c r="AF13" s="99">
        <v>1.76</v>
      </c>
      <c r="AG13" s="100">
        <f t="shared" si="4"/>
        <v>1.8900000000000001</v>
      </c>
      <c r="AH13" s="99">
        <v>0</v>
      </c>
      <c r="AI13" s="99">
        <v>0</v>
      </c>
      <c r="AJ13" s="99">
        <v>1</v>
      </c>
      <c r="AK13" s="99">
        <v>0</v>
      </c>
      <c r="AL13" s="100">
        <f t="shared" si="5"/>
        <v>1</v>
      </c>
      <c r="AM13" s="100">
        <f t="shared" si="6"/>
        <v>20.009999999999998</v>
      </c>
    </row>
    <row r="14" spans="1:40" ht="15.75" thickBot="1" x14ac:dyDescent="0.3">
      <c r="A14" s="12">
        <v>7</v>
      </c>
      <c r="B14" s="101" t="s">
        <v>153</v>
      </c>
      <c r="C14" s="99">
        <v>995.82</v>
      </c>
      <c r="D14" s="99">
        <v>14.93</v>
      </c>
      <c r="E14" s="99">
        <v>2.48</v>
      </c>
      <c r="F14" s="99">
        <v>55.34</v>
      </c>
      <c r="G14" s="99">
        <v>53.25</v>
      </c>
      <c r="H14" s="99">
        <v>12</v>
      </c>
      <c r="I14" s="99">
        <v>2.97</v>
      </c>
      <c r="J14" s="99">
        <v>166.81</v>
      </c>
      <c r="K14" s="99">
        <v>1</v>
      </c>
      <c r="L14" s="99">
        <v>3.97</v>
      </c>
      <c r="M14" s="99">
        <v>10.9</v>
      </c>
      <c r="N14" s="99">
        <v>35.200000000000003</v>
      </c>
      <c r="O14" s="99">
        <v>17.07</v>
      </c>
      <c r="P14" s="100">
        <f t="shared" si="0"/>
        <v>68.140000000000015</v>
      </c>
      <c r="Q14" s="99">
        <v>9.17</v>
      </c>
      <c r="R14" s="99">
        <v>7.92</v>
      </c>
      <c r="S14" s="99">
        <v>488.37</v>
      </c>
      <c r="T14" s="100">
        <f t="shared" si="1"/>
        <v>505.46</v>
      </c>
      <c r="U14" s="99">
        <v>6.83</v>
      </c>
      <c r="V14" s="99">
        <v>1</v>
      </c>
      <c r="W14" s="99">
        <v>136.78</v>
      </c>
      <c r="X14" s="99">
        <v>10.79</v>
      </c>
      <c r="Y14" s="99">
        <v>56.44</v>
      </c>
      <c r="Z14" s="100">
        <f t="shared" si="2"/>
        <v>211.84</v>
      </c>
      <c r="AA14" s="99">
        <v>4</v>
      </c>
      <c r="AB14" s="99">
        <v>47.91</v>
      </c>
      <c r="AC14" s="100">
        <f t="shared" si="3"/>
        <v>51.91</v>
      </c>
      <c r="AD14" s="99">
        <v>4</v>
      </c>
      <c r="AE14" s="99">
        <v>3.16</v>
      </c>
      <c r="AF14" s="99">
        <v>249.7</v>
      </c>
      <c r="AG14" s="100">
        <f t="shared" si="4"/>
        <v>256.86</v>
      </c>
      <c r="AH14" s="99">
        <v>0</v>
      </c>
      <c r="AI14" s="99">
        <v>0</v>
      </c>
      <c r="AJ14" s="99">
        <v>8.44</v>
      </c>
      <c r="AK14" s="99">
        <v>2</v>
      </c>
      <c r="AL14" s="100">
        <f t="shared" si="5"/>
        <v>10.44</v>
      </c>
      <c r="AM14" s="100">
        <f t="shared" si="6"/>
        <v>2408.25</v>
      </c>
    </row>
    <row r="15" spans="1:40" ht="15.75" thickBot="1" x14ac:dyDescent="0.3">
      <c r="A15" s="12">
        <v>8</v>
      </c>
      <c r="B15" s="101" t="s">
        <v>154</v>
      </c>
      <c r="C15" s="99">
        <v>87.1</v>
      </c>
      <c r="D15" s="99">
        <v>0.5</v>
      </c>
      <c r="E15" s="99">
        <v>0</v>
      </c>
      <c r="F15" s="99">
        <v>0</v>
      </c>
      <c r="G15" s="99">
        <v>4.4000000000000004</v>
      </c>
      <c r="H15" s="99">
        <v>0</v>
      </c>
      <c r="I15" s="99">
        <v>0.5</v>
      </c>
      <c r="J15" s="99">
        <v>20.73</v>
      </c>
      <c r="K15" s="99">
        <v>1</v>
      </c>
      <c r="L15" s="99">
        <v>0</v>
      </c>
      <c r="M15" s="99">
        <v>3.5</v>
      </c>
      <c r="N15" s="99">
        <v>3</v>
      </c>
      <c r="O15" s="99">
        <v>3</v>
      </c>
      <c r="P15" s="100">
        <f t="shared" si="0"/>
        <v>10.5</v>
      </c>
      <c r="Q15" s="99">
        <v>0</v>
      </c>
      <c r="R15" s="99">
        <v>1</v>
      </c>
      <c r="S15" s="99">
        <v>34</v>
      </c>
      <c r="T15" s="100">
        <f t="shared" si="1"/>
        <v>35</v>
      </c>
      <c r="U15" s="99">
        <v>0</v>
      </c>
      <c r="V15" s="99">
        <v>1</v>
      </c>
      <c r="W15" s="99">
        <v>19.600000000000001</v>
      </c>
      <c r="X15" s="99">
        <v>3.38</v>
      </c>
      <c r="Y15" s="99">
        <v>0</v>
      </c>
      <c r="Z15" s="100">
        <f t="shared" si="2"/>
        <v>23.98</v>
      </c>
      <c r="AA15" s="99">
        <v>0</v>
      </c>
      <c r="AB15" s="99">
        <v>0</v>
      </c>
      <c r="AC15" s="100">
        <f t="shared" si="3"/>
        <v>0</v>
      </c>
      <c r="AD15" s="99">
        <v>1</v>
      </c>
      <c r="AE15" s="99">
        <v>1</v>
      </c>
      <c r="AF15" s="99">
        <v>26.14</v>
      </c>
      <c r="AG15" s="100">
        <f t="shared" si="4"/>
        <v>28.14</v>
      </c>
      <c r="AH15" s="99">
        <v>0</v>
      </c>
      <c r="AI15" s="99">
        <v>0</v>
      </c>
      <c r="AJ15" s="99">
        <v>4</v>
      </c>
      <c r="AK15" s="99">
        <v>0</v>
      </c>
      <c r="AL15" s="100">
        <f t="shared" si="5"/>
        <v>4</v>
      </c>
      <c r="AM15" s="100">
        <f t="shared" si="6"/>
        <v>214.85000000000002</v>
      </c>
    </row>
    <row r="16" spans="1:40" ht="15.75" thickBot="1" x14ac:dyDescent="0.3">
      <c r="A16" s="12">
        <v>9</v>
      </c>
      <c r="B16" s="102" t="s">
        <v>155</v>
      </c>
      <c r="C16" s="99">
        <v>40.26</v>
      </c>
      <c r="D16" s="99">
        <v>0</v>
      </c>
      <c r="E16" s="99">
        <v>0</v>
      </c>
      <c r="F16" s="99">
        <v>0</v>
      </c>
      <c r="G16" s="99">
        <v>8.5</v>
      </c>
      <c r="H16" s="99">
        <v>0</v>
      </c>
      <c r="I16" s="99">
        <v>1</v>
      </c>
      <c r="J16" s="99">
        <v>11</v>
      </c>
      <c r="K16" s="99">
        <v>1</v>
      </c>
      <c r="L16" s="99">
        <v>0</v>
      </c>
      <c r="M16" s="99">
        <v>2</v>
      </c>
      <c r="N16" s="99">
        <v>0</v>
      </c>
      <c r="O16" s="99">
        <v>0</v>
      </c>
      <c r="P16" s="100">
        <f t="shared" si="0"/>
        <v>3</v>
      </c>
      <c r="Q16" s="99">
        <v>1</v>
      </c>
      <c r="R16" s="99">
        <v>0</v>
      </c>
      <c r="S16" s="99">
        <v>27</v>
      </c>
      <c r="T16" s="100">
        <f t="shared" si="1"/>
        <v>28</v>
      </c>
      <c r="U16" s="99">
        <v>1</v>
      </c>
      <c r="V16" s="99">
        <v>1</v>
      </c>
      <c r="W16" s="99">
        <v>8.42</v>
      </c>
      <c r="X16" s="99">
        <v>1</v>
      </c>
      <c r="Y16" s="99">
        <v>0</v>
      </c>
      <c r="Z16" s="100">
        <f t="shared" si="2"/>
        <v>11.42</v>
      </c>
      <c r="AA16" s="99">
        <v>0</v>
      </c>
      <c r="AB16" s="99">
        <v>0</v>
      </c>
      <c r="AC16" s="100">
        <f t="shared" si="3"/>
        <v>0</v>
      </c>
      <c r="AD16" s="99">
        <v>1</v>
      </c>
      <c r="AE16" s="99">
        <v>0</v>
      </c>
      <c r="AF16" s="99">
        <v>14.25</v>
      </c>
      <c r="AG16" s="100">
        <f t="shared" si="4"/>
        <v>15.25</v>
      </c>
      <c r="AH16" s="99">
        <v>0</v>
      </c>
      <c r="AI16" s="99">
        <v>0</v>
      </c>
      <c r="AJ16" s="99">
        <v>0</v>
      </c>
      <c r="AK16" s="99">
        <v>1</v>
      </c>
      <c r="AL16" s="100">
        <f t="shared" si="5"/>
        <v>1</v>
      </c>
      <c r="AM16" s="100">
        <f t="shared" si="6"/>
        <v>119.42999999999999</v>
      </c>
    </row>
    <row r="17" spans="1:39" ht="15.75" thickBot="1" x14ac:dyDescent="0.3">
      <c r="A17" s="12">
        <v>10</v>
      </c>
      <c r="B17" s="98" t="s">
        <v>156</v>
      </c>
      <c r="C17" s="99">
        <v>26.5</v>
      </c>
      <c r="D17" s="99">
        <v>0</v>
      </c>
      <c r="E17" s="99">
        <v>0</v>
      </c>
      <c r="F17" s="99">
        <v>0</v>
      </c>
      <c r="G17" s="99">
        <v>1.5</v>
      </c>
      <c r="H17" s="99">
        <v>0</v>
      </c>
      <c r="I17" s="99">
        <v>0.5</v>
      </c>
      <c r="J17" s="99">
        <v>5.7</v>
      </c>
      <c r="K17" s="99">
        <v>1</v>
      </c>
      <c r="L17" s="99">
        <v>1</v>
      </c>
      <c r="M17" s="99">
        <v>3</v>
      </c>
      <c r="N17" s="99">
        <v>0</v>
      </c>
      <c r="O17" s="99">
        <v>0</v>
      </c>
      <c r="P17" s="100">
        <f t="shared" si="0"/>
        <v>5</v>
      </c>
      <c r="Q17" s="99">
        <v>0</v>
      </c>
      <c r="R17" s="99">
        <v>0</v>
      </c>
      <c r="S17" s="99">
        <v>9.3000000000000007</v>
      </c>
      <c r="T17" s="100">
        <f t="shared" si="1"/>
        <v>9.3000000000000007</v>
      </c>
      <c r="U17" s="99">
        <v>0.5</v>
      </c>
      <c r="V17" s="99">
        <v>0</v>
      </c>
      <c r="W17" s="99">
        <v>3</v>
      </c>
      <c r="X17" s="99">
        <v>0</v>
      </c>
      <c r="Y17" s="99">
        <v>0</v>
      </c>
      <c r="Z17" s="100">
        <f t="shared" si="2"/>
        <v>3.5</v>
      </c>
      <c r="AA17" s="99">
        <v>0</v>
      </c>
      <c r="AB17" s="99">
        <v>0</v>
      </c>
      <c r="AC17" s="100">
        <f t="shared" si="3"/>
        <v>0</v>
      </c>
      <c r="AD17" s="99">
        <v>0</v>
      </c>
      <c r="AE17" s="99">
        <v>0</v>
      </c>
      <c r="AF17" s="99">
        <v>6.8</v>
      </c>
      <c r="AG17" s="100">
        <f t="shared" si="4"/>
        <v>6.8</v>
      </c>
      <c r="AH17" s="99">
        <v>0</v>
      </c>
      <c r="AI17" s="99">
        <v>0</v>
      </c>
      <c r="AJ17" s="99">
        <v>0</v>
      </c>
      <c r="AK17" s="99">
        <v>0</v>
      </c>
      <c r="AL17" s="100">
        <f t="shared" si="5"/>
        <v>0</v>
      </c>
      <c r="AM17" s="100">
        <f t="shared" si="6"/>
        <v>58.8</v>
      </c>
    </row>
    <row r="18" spans="1:39" ht="15.75" thickBot="1" x14ac:dyDescent="0.3">
      <c r="A18" s="12">
        <v>11</v>
      </c>
      <c r="B18" s="101" t="s">
        <v>157</v>
      </c>
      <c r="C18" s="99">
        <v>24.06</v>
      </c>
      <c r="D18" s="99">
        <v>0</v>
      </c>
      <c r="E18" s="99">
        <v>4</v>
      </c>
      <c r="F18" s="99">
        <v>1</v>
      </c>
      <c r="G18" s="99">
        <v>2.63</v>
      </c>
      <c r="H18" s="99">
        <v>0.25</v>
      </c>
      <c r="I18" s="99">
        <v>1</v>
      </c>
      <c r="J18" s="99">
        <v>5</v>
      </c>
      <c r="K18" s="99">
        <v>0</v>
      </c>
      <c r="L18" s="99">
        <v>0</v>
      </c>
      <c r="M18" s="99">
        <v>1</v>
      </c>
      <c r="N18" s="99">
        <v>2.25</v>
      </c>
      <c r="O18" s="99">
        <v>0</v>
      </c>
      <c r="P18" s="100">
        <f t="shared" si="0"/>
        <v>3.25</v>
      </c>
      <c r="Q18" s="99">
        <v>0</v>
      </c>
      <c r="R18" s="99">
        <v>1</v>
      </c>
      <c r="S18" s="99">
        <v>14.5</v>
      </c>
      <c r="T18" s="100">
        <f t="shared" si="1"/>
        <v>15.5</v>
      </c>
      <c r="U18" s="99">
        <v>0</v>
      </c>
      <c r="V18" s="99">
        <v>1</v>
      </c>
      <c r="W18" s="99">
        <v>8</v>
      </c>
      <c r="X18" s="99">
        <v>1</v>
      </c>
      <c r="Y18" s="99">
        <v>0</v>
      </c>
      <c r="Z18" s="100">
        <f t="shared" si="2"/>
        <v>10</v>
      </c>
      <c r="AA18" s="99">
        <v>0</v>
      </c>
      <c r="AB18" s="99">
        <v>0</v>
      </c>
      <c r="AC18" s="100">
        <f t="shared" si="3"/>
        <v>0</v>
      </c>
      <c r="AD18" s="99">
        <v>1</v>
      </c>
      <c r="AE18" s="99">
        <v>0</v>
      </c>
      <c r="AF18" s="99">
        <v>11.38</v>
      </c>
      <c r="AG18" s="100">
        <f t="shared" si="4"/>
        <v>12.38</v>
      </c>
      <c r="AH18" s="99">
        <v>0</v>
      </c>
      <c r="AI18" s="99">
        <v>8.5</v>
      </c>
      <c r="AJ18" s="99">
        <v>0</v>
      </c>
      <c r="AK18" s="99">
        <v>1</v>
      </c>
      <c r="AL18" s="100">
        <f t="shared" si="5"/>
        <v>9.5</v>
      </c>
      <c r="AM18" s="100">
        <f t="shared" si="6"/>
        <v>88.57</v>
      </c>
    </row>
    <row r="19" spans="1:39" ht="15.75" thickBot="1" x14ac:dyDescent="0.3">
      <c r="A19" s="12">
        <v>12</v>
      </c>
      <c r="B19" s="101" t="s">
        <v>158</v>
      </c>
      <c r="C19" s="99">
        <v>653.97</v>
      </c>
      <c r="D19" s="99">
        <v>21.17</v>
      </c>
      <c r="E19" s="99">
        <v>55.85</v>
      </c>
      <c r="F19" s="99">
        <v>74.61</v>
      </c>
      <c r="G19" s="99">
        <v>33.28</v>
      </c>
      <c r="H19" s="99">
        <v>0</v>
      </c>
      <c r="I19" s="99">
        <v>5</v>
      </c>
      <c r="J19" s="99">
        <v>151.49</v>
      </c>
      <c r="K19" s="99">
        <v>1</v>
      </c>
      <c r="L19" s="99">
        <v>8</v>
      </c>
      <c r="M19" s="99">
        <v>4</v>
      </c>
      <c r="N19" s="99">
        <v>32.11</v>
      </c>
      <c r="O19" s="99">
        <v>50.98</v>
      </c>
      <c r="P19" s="100">
        <f t="shared" si="0"/>
        <v>96.09</v>
      </c>
      <c r="Q19" s="99">
        <v>7</v>
      </c>
      <c r="R19" s="99">
        <v>22.14</v>
      </c>
      <c r="S19" s="99">
        <v>399.97</v>
      </c>
      <c r="T19" s="100">
        <f t="shared" si="1"/>
        <v>429.11</v>
      </c>
      <c r="U19" s="99">
        <v>3</v>
      </c>
      <c r="V19" s="99">
        <v>2</v>
      </c>
      <c r="W19" s="99">
        <v>138.28</v>
      </c>
      <c r="X19" s="99">
        <v>8.4499999999999993</v>
      </c>
      <c r="Y19" s="99">
        <v>0</v>
      </c>
      <c r="Z19" s="100">
        <f t="shared" si="2"/>
        <v>151.72999999999999</v>
      </c>
      <c r="AA19" s="99">
        <v>0</v>
      </c>
      <c r="AB19" s="99">
        <v>0</v>
      </c>
      <c r="AC19" s="100">
        <f t="shared" si="3"/>
        <v>0</v>
      </c>
      <c r="AD19" s="99">
        <v>0</v>
      </c>
      <c r="AE19" s="99">
        <v>26.56</v>
      </c>
      <c r="AF19" s="99">
        <v>429.47</v>
      </c>
      <c r="AG19" s="100">
        <f t="shared" si="4"/>
        <v>456.03000000000003</v>
      </c>
      <c r="AH19" s="99">
        <v>0</v>
      </c>
      <c r="AI19" s="99">
        <v>0</v>
      </c>
      <c r="AJ19" s="99">
        <v>92.54</v>
      </c>
      <c r="AK19" s="99">
        <v>1</v>
      </c>
      <c r="AL19" s="100">
        <f t="shared" si="5"/>
        <v>93.54</v>
      </c>
      <c r="AM19" s="100">
        <f t="shared" si="6"/>
        <v>2221.8700000000003</v>
      </c>
    </row>
    <row r="20" spans="1:39" ht="15.75" thickBot="1" x14ac:dyDescent="0.3">
      <c r="A20" s="12">
        <v>13</v>
      </c>
      <c r="B20" s="101" t="s">
        <v>159</v>
      </c>
      <c r="C20" s="99">
        <v>219.2</v>
      </c>
      <c r="D20" s="99">
        <v>2.8</v>
      </c>
      <c r="E20" s="99">
        <v>2.7</v>
      </c>
      <c r="F20" s="99">
        <v>1.3</v>
      </c>
      <c r="G20" s="99">
        <v>10.199999999999999</v>
      </c>
      <c r="H20" s="99">
        <v>0</v>
      </c>
      <c r="I20" s="99">
        <v>0.5</v>
      </c>
      <c r="J20" s="99">
        <v>23.9</v>
      </c>
      <c r="K20" s="99">
        <v>1</v>
      </c>
      <c r="L20" s="99">
        <v>0</v>
      </c>
      <c r="M20" s="99">
        <v>2</v>
      </c>
      <c r="N20" s="99">
        <v>5.9</v>
      </c>
      <c r="O20" s="99">
        <v>6</v>
      </c>
      <c r="P20" s="100">
        <f t="shared" si="0"/>
        <v>14.9</v>
      </c>
      <c r="Q20" s="99">
        <v>0.3</v>
      </c>
      <c r="R20" s="99">
        <v>2</v>
      </c>
      <c r="S20" s="99">
        <v>59.9</v>
      </c>
      <c r="T20" s="100">
        <f t="shared" si="1"/>
        <v>62.199999999999996</v>
      </c>
      <c r="U20" s="99">
        <v>1.7</v>
      </c>
      <c r="V20" s="99">
        <v>1</v>
      </c>
      <c r="W20" s="99">
        <v>32.1</v>
      </c>
      <c r="X20" s="99">
        <v>5.3</v>
      </c>
      <c r="Y20" s="99">
        <v>1</v>
      </c>
      <c r="Z20" s="100">
        <f t="shared" si="2"/>
        <v>41.1</v>
      </c>
      <c r="AA20" s="99">
        <v>0</v>
      </c>
      <c r="AB20" s="99">
        <v>0</v>
      </c>
      <c r="AC20" s="100">
        <f t="shared" si="3"/>
        <v>0</v>
      </c>
      <c r="AD20" s="99">
        <v>1</v>
      </c>
      <c r="AE20" s="99">
        <v>5</v>
      </c>
      <c r="AF20" s="99">
        <v>37.299999999999997</v>
      </c>
      <c r="AG20" s="100">
        <f t="shared" si="4"/>
        <v>43.3</v>
      </c>
      <c r="AH20" s="99">
        <v>0</v>
      </c>
      <c r="AI20" s="99">
        <v>1</v>
      </c>
      <c r="AJ20" s="99">
        <v>3</v>
      </c>
      <c r="AK20" s="99">
        <v>0</v>
      </c>
      <c r="AL20" s="100">
        <f t="shared" si="5"/>
        <v>4</v>
      </c>
      <c r="AM20" s="100">
        <f t="shared" si="6"/>
        <v>426.09999999999997</v>
      </c>
    </row>
    <row r="21" spans="1:39" ht="15.75" thickBot="1" x14ac:dyDescent="0.3">
      <c r="A21" s="12">
        <v>14</v>
      </c>
      <c r="B21" s="102" t="s">
        <v>160</v>
      </c>
      <c r="C21" s="99">
        <v>484.72</v>
      </c>
      <c r="D21" s="99">
        <v>8</v>
      </c>
      <c r="E21" s="99">
        <v>14.34</v>
      </c>
      <c r="F21" s="99">
        <v>24</v>
      </c>
      <c r="G21" s="99">
        <v>3</v>
      </c>
      <c r="H21" s="99">
        <v>0</v>
      </c>
      <c r="I21" s="99">
        <v>3.96</v>
      </c>
      <c r="J21" s="99">
        <v>148.47999999999999</v>
      </c>
      <c r="K21" s="99">
        <v>1</v>
      </c>
      <c r="L21" s="99">
        <v>3</v>
      </c>
      <c r="M21" s="99">
        <v>6.75</v>
      </c>
      <c r="N21" s="99">
        <v>18</v>
      </c>
      <c r="O21" s="99">
        <v>0</v>
      </c>
      <c r="P21" s="100">
        <f t="shared" si="0"/>
        <v>28.75</v>
      </c>
      <c r="Q21" s="99">
        <v>12</v>
      </c>
      <c r="R21" s="99">
        <v>5</v>
      </c>
      <c r="S21" s="99">
        <v>251.28</v>
      </c>
      <c r="T21" s="100">
        <f t="shared" si="1"/>
        <v>268.27999999999997</v>
      </c>
      <c r="U21" s="99">
        <v>22.43</v>
      </c>
      <c r="V21" s="99">
        <v>1</v>
      </c>
      <c r="W21" s="99">
        <v>85.5</v>
      </c>
      <c r="X21" s="99">
        <v>12</v>
      </c>
      <c r="Y21" s="99">
        <v>0</v>
      </c>
      <c r="Z21" s="100">
        <f t="shared" si="2"/>
        <v>120.93</v>
      </c>
      <c r="AA21" s="99">
        <v>1</v>
      </c>
      <c r="AB21" s="99">
        <v>66.87</v>
      </c>
      <c r="AC21" s="100">
        <f t="shared" si="3"/>
        <v>67.87</v>
      </c>
      <c r="AD21" s="99">
        <v>1</v>
      </c>
      <c r="AE21" s="99">
        <v>8</v>
      </c>
      <c r="AF21" s="99">
        <v>258.07</v>
      </c>
      <c r="AG21" s="100">
        <f t="shared" si="4"/>
        <v>267.07</v>
      </c>
      <c r="AH21" s="99">
        <v>31.21</v>
      </c>
      <c r="AI21" s="99">
        <v>1</v>
      </c>
      <c r="AJ21" s="99">
        <v>4</v>
      </c>
      <c r="AK21" s="99">
        <v>1</v>
      </c>
      <c r="AL21" s="100">
        <f t="shared" si="5"/>
        <v>37.21</v>
      </c>
      <c r="AM21" s="100">
        <f t="shared" si="6"/>
        <v>1476.61</v>
      </c>
    </row>
    <row r="22" spans="1:39" ht="15.75" thickBot="1" x14ac:dyDescent="0.3">
      <c r="A22" s="12">
        <v>15</v>
      </c>
      <c r="B22" s="98" t="s">
        <v>161</v>
      </c>
      <c r="C22" s="99">
        <v>48.15</v>
      </c>
      <c r="D22" s="99">
        <v>0.5</v>
      </c>
      <c r="E22" s="99">
        <v>1</v>
      </c>
      <c r="F22" s="99">
        <v>0.33</v>
      </c>
      <c r="G22" s="99">
        <v>3.47</v>
      </c>
      <c r="H22" s="99">
        <v>0</v>
      </c>
      <c r="I22" s="99">
        <v>0.5</v>
      </c>
      <c r="J22" s="99">
        <v>6.8</v>
      </c>
      <c r="K22" s="99">
        <v>1</v>
      </c>
      <c r="L22" s="99">
        <v>0</v>
      </c>
      <c r="M22" s="99">
        <v>0</v>
      </c>
      <c r="N22" s="99">
        <v>1.4</v>
      </c>
      <c r="O22" s="99">
        <v>0</v>
      </c>
      <c r="P22" s="100">
        <f t="shared" si="0"/>
        <v>2.4</v>
      </c>
      <c r="Q22" s="99">
        <v>0.34</v>
      </c>
      <c r="R22" s="99">
        <v>6</v>
      </c>
      <c r="S22" s="99">
        <v>11.67</v>
      </c>
      <c r="T22" s="100">
        <f t="shared" si="1"/>
        <v>18.009999999999998</v>
      </c>
      <c r="U22" s="99">
        <v>0.24</v>
      </c>
      <c r="V22" s="99">
        <v>0.5</v>
      </c>
      <c r="W22" s="99">
        <v>4.76</v>
      </c>
      <c r="X22" s="99">
        <v>0</v>
      </c>
      <c r="Y22" s="99">
        <v>0</v>
      </c>
      <c r="Z22" s="100">
        <f t="shared" si="2"/>
        <v>5.5</v>
      </c>
      <c r="AA22" s="99">
        <v>0</v>
      </c>
      <c r="AB22" s="99">
        <v>0</v>
      </c>
      <c r="AC22" s="100">
        <f t="shared" si="3"/>
        <v>0</v>
      </c>
      <c r="AD22" s="99">
        <v>5</v>
      </c>
      <c r="AE22" s="99">
        <v>0</v>
      </c>
      <c r="AF22" s="99">
        <v>10.97</v>
      </c>
      <c r="AG22" s="100">
        <f t="shared" si="4"/>
        <v>15.97</v>
      </c>
      <c r="AH22" s="99">
        <v>0</v>
      </c>
      <c r="AI22" s="99">
        <v>0</v>
      </c>
      <c r="AJ22" s="99">
        <v>0</v>
      </c>
      <c r="AK22" s="99">
        <v>0</v>
      </c>
      <c r="AL22" s="100">
        <f t="shared" si="5"/>
        <v>0</v>
      </c>
      <c r="AM22" s="100">
        <f t="shared" si="6"/>
        <v>102.63</v>
      </c>
    </row>
    <row r="23" spans="1:39" ht="15.75" thickBot="1" x14ac:dyDescent="0.3">
      <c r="A23" s="12">
        <v>16</v>
      </c>
      <c r="B23" s="101" t="s">
        <v>162</v>
      </c>
      <c r="C23" s="99">
        <v>33.57</v>
      </c>
      <c r="D23" s="99">
        <v>0</v>
      </c>
      <c r="E23" s="99">
        <v>0</v>
      </c>
      <c r="F23" s="99">
        <v>0</v>
      </c>
      <c r="G23" s="99">
        <v>2.67</v>
      </c>
      <c r="H23" s="99">
        <v>0</v>
      </c>
      <c r="I23" s="99">
        <v>1</v>
      </c>
      <c r="J23" s="99">
        <v>6.81</v>
      </c>
      <c r="K23" s="99">
        <v>1</v>
      </c>
      <c r="L23" s="99">
        <v>0</v>
      </c>
      <c r="M23" s="99">
        <v>0.75</v>
      </c>
      <c r="N23" s="99">
        <v>1</v>
      </c>
      <c r="O23" s="99">
        <v>0</v>
      </c>
      <c r="P23" s="100">
        <f t="shared" si="0"/>
        <v>2.75</v>
      </c>
      <c r="Q23" s="99">
        <v>0</v>
      </c>
      <c r="R23" s="99">
        <v>0.25</v>
      </c>
      <c r="S23" s="99">
        <v>8.3699999999999992</v>
      </c>
      <c r="T23" s="100">
        <f t="shared" si="1"/>
        <v>8.6199999999999992</v>
      </c>
      <c r="U23" s="99">
        <v>0</v>
      </c>
      <c r="V23" s="99">
        <v>0.75</v>
      </c>
      <c r="W23" s="99">
        <v>7.01</v>
      </c>
      <c r="X23" s="99">
        <v>0</v>
      </c>
      <c r="Y23" s="99">
        <v>0</v>
      </c>
      <c r="Z23" s="100">
        <f t="shared" si="2"/>
        <v>7.76</v>
      </c>
      <c r="AA23" s="99">
        <v>1</v>
      </c>
      <c r="AB23" s="99">
        <v>0</v>
      </c>
      <c r="AC23" s="100">
        <f t="shared" si="3"/>
        <v>1</v>
      </c>
      <c r="AD23" s="99">
        <v>0.25</v>
      </c>
      <c r="AE23" s="99">
        <v>0</v>
      </c>
      <c r="AF23" s="99">
        <v>6.71</v>
      </c>
      <c r="AG23" s="100">
        <f t="shared" si="4"/>
        <v>6.96</v>
      </c>
      <c r="AH23" s="99">
        <v>0</v>
      </c>
      <c r="AI23" s="99">
        <v>0</v>
      </c>
      <c r="AJ23" s="99">
        <v>0</v>
      </c>
      <c r="AK23" s="99">
        <v>0</v>
      </c>
      <c r="AL23" s="100">
        <f t="shared" si="5"/>
        <v>0</v>
      </c>
      <c r="AM23" s="100">
        <f t="shared" si="6"/>
        <v>71.14</v>
      </c>
    </row>
    <row r="24" spans="1:39" ht="15.75" thickBot="1" x14ac:dyDescent="0.3">
      <c r="A24" s="12">
        <v>39</v>
      </c>
      <c r="B24" s="101" t="s">
        <v>163</v>
      </c>
      <c r="C24" s="99">
        <v>142.5</v>
      </c>
      <c r="D24" s="99">
        <v>1</v>
      </c>
      <c r="E24" s="99">
        <v>3.5</v>
      </c>
      <c r="F24" s="99">
        <v>1.5</v>
      </c>
      <c r="G24" s="99">
        <v>7</v>
      </c>
      <c r="H24" s="99">
        <v>0</v>
      </c>
      <c r="I24" s="99">
        <v>7</v>
      </c>
      <c r="J24" s="99">
        <v>13</v>
      </c>
      <c r="K24" s="99">
        <v>1</v>
      </c>
      <c r="L24" s="99">
        <v>0</v>
      </c>
      <c r="M24" s="99">
        <v>1</v>
      </c>
      <c r="N24" s="99">
        <v>2</v>
      </c>
      <c r="O24" s="99">
        <v>0</v>
      </c>
      <c r="P24" s="100">
        <f t="shared" si="0"/>
        <v>4</v>
      </c>
      <c r="Q24" s="99">
        <v>0</v>
      </c>
      <c r="R24" s="99">
        <v>1</v>
      </c>
      <c r="S24" s="99">
        <v>42.5</v>
      </c>
      <c r="T24" s="100">
        <f t="shared" si="1"/>
        <v>43.5</v>
      </c>
      <c r="U24" s="99">
        <v>0</v>
      </c>
      <c r="V24" s="99">
        <v>0</v>
      </c>
      <c r="W24" s="99">
        <v>0</v>
      </c>
      <c r="X24" s="99">
        <v>0</v>
      </c>
      <c r="Y24" s="99">
        <v>0</v>
      </c>
      <c r="Z24" s="100">
        <f t="shared" si="2"/>
        <v>0</v>
      </c>
      <c r="AA24" s="99">
        <v>7</v>
      </c>
      <c r="AB24" s="99">
        <v>0</v>
      </c>
      <c r="AC24" s="100">
        <f t="shared" si="3"/>
        <v>7</v>
      </c>
      <c r="AD24" s="99">
        <v>1</v>
      </c>
      <c r="AE24" s="99">
        <v>3</v>
      </c>
      <c r="AF24" s="99">
        <v>34.25</v>
      </c>
      <c r="AG24" s="100">
        <f t="shared" si="4"/>
        <v>38.25</v>
      </c>
      <c r="AH24" s="99">
        <v>0</v>
      </c>
      <c r="AI24" s="99">
        <v>0</v>
      </c>
      <c r="AJ24" s="99">
        <v>0</v>
      </c>
      <c r="AK24" s="99">
        <v>0</v>
      </c>
      <c r="AL24" s="100">
        <f t="shared" si="5"/>
        <v>0</v>
      </c>
      <c r="AM24" s="100">
        <f t="shared" si="6"/>
        <v>268.25</v>
      </c>
    </row>
    <row r="25" spans="1:39" ht="15.75" thickBot="1" x14ac:dyDescent="0.3">
      <c r="A25" s="12">
        <v>17</v>
      </c>
      <c r="B25" s="101" t="s">
        <v>164</v>
      </c>
      <c r="C25" s="99">
        <v>67.66</v>
      </c>
      <c r="D25" s="99">
        <v>0.7</v>
      </c>
      <c r="E25" s="99">
        <v>0</v>
      </c>
      <c r="F25" s="99">
        <v>0</v>
      </c>
      <c r="G25" s="99">
        <v>4.5</v>
      </c>
      <c r="H25" s="99">
        <v>0</v>
      </c>
      <c r="I25" s="99">
        <v>1.75</v>
      </c>
      <c r="J25" s="99">
        <v>9.3800000000000008</v>
      </c>
      <c r="K25" s="99">
        <v>1</v>
      </c>
      <c r="L25" s="99">
        <v>0</v>
      </c>
      <c r="M25" s="99">
        <v>2</v>
      </c>
      <c r="N25" s="99">
        <v>0</v>
      </c>
      <c r="O25" s="99">
        <v>1</v>
      </c>
      <c r="P25" s="100">
        <f t="shared" si="0"/>
        <v>4</v>
      </c>
      <c r="Q25" s="99">
        <v>0.25</v>
      </c>
      <c r="R25" s="99">
        <v>1</v>
      </c>
      <c r="S25" s="99">
        <v>25.9</v>
      </c>
      <c r="T25" s="100">
        <f t="shared" si="1"/>
        <v>27.15</v>
      </c>
      <c r="U25" s="99">
        <v>1</v>
      </c>
      <c r="V25" s="99">
        <v>1</v>
      </c>
      <c r="W25" s="99">
        <v>11.85</v>
      </c>
      <c r="X25" s="99">
        <v>1</v>
      </c>
      <c r="Y25" s="99">
        <v>0</v>
      </c>
      <c r="Z25" s="100">
        <f t="shared" si="2"/>
        <v>14.85</v>
      </c>
      <c r="AA25" s="99">
        <v>0</v>
      </c>
      <c r="AB25" s="99">
        <v>0</v>
      </c>
      <c r="AC25" s="100">
        <f t="shared" si="3"/>
        <v>0</v>
      </c>
      <c r="AD25" s="99">
        <v>1</v>
      </c>
      <c r="AE25" s="99">
        <v>0.25</v>
      </c>
      <c r="AF25" s="99">
        <v>26.34</v>
      </c>
      <c r="AG25" s="100">
        <f t="shared" si="4"/>
        <v>27.59</v>
      </c>
      <c r="AH25" s="99">
        <v>0</v>
      </c>
      <c r="AI25" s="99">
        <v>0</v>
      </c>
      <c r="AJ25" s="99">
        <v>0</v>
      </c>
      <c r="AK25" s="99">
        <v>0</v>
      </c>
      <c r="AL25" s="100">
        <f t="shared" si="5"/>
        <v>0</v>
      </c>
      <c r="AM25" s="100">
        <f t="shared" si="6"/>
        <v>157.57999999999998</v>
      </c>
    </row>
    <row r="26" spans="1:39" ht="15.75" thickBot="1" x14ac:dyDescent="0.3">
      <c r="A26" s="12">
        <v>18</v>
      </c>
      <c r="B26" s="102" t="s">
        <v>165</v>
      </c>
      <c r="C26" s="99">
        <v>30.58</v>
      </c>
      <c r="D26" s="99">
        <v>0.45</v>
      </c>
      <c r="E26" s="99">
        <v>0</v>
      </c>
      <c r="F26" s="99">
        <v>0</v>
      </c>
      <c r="G26" s="99">
        <v>4.0599999999999996</v>
      </c>
      <c r="H26" s="99">
        <v>0</v>
      </c>
      <c r="I26" s="99">
        <v>2</v>
      </c>
      <c r="J26" s="99">
        <v>7</v>
      </c>
      <c r="K26" s="99">
        <v>1</v>
      </c>
      <c r="L26" s="99">
        <v>0</v>
      </c>
      <c r="M26" s="99">
        <v>0.74</v>
      </c>
      <c r="N26" s="99">
        <v>0</v>
      </c>
      <c r="O26" s="99">
        <v>1.5</v>
      </c>
      <c r="P26" s="100">
        <f t="shared" si="0"/>
        <v>3.24</v>
      </c>
      <c r="Q26" s="99">
        <v>0</v>
      </c>
      <c r="R26" s="99">
        <v>1</v>
      </c>
      <c r="S26" s="99">
        <v>11.54</v>
      </c>
      <c r="T26" s="100">
        <f t="shared" si="1"/>
        <v>12.54</v>
      </c>
      <c r="U26" s="99">
        <v>0.25</v>
      </c>
      <c r="V26" s="99">
        <v>1</v>
      </c>
      <c r="W26" s="99">
        <v>9.66</v>
      </c>
      <c r="X26" s="99">
        <v>1</v>
      </c>
      <c r="Y26" s="99">
        <v>0</v>
      </c>
      <c r="Z26" s="100">
        <f t="shared" si="2"/>
        <v>11.91</v>
      </c>
      <c r="AA26" s="99">
        <v>0</v>
      </c>
      <c r="AB26" s="99">
        <v>0</v>
      </c>
      <c r="AC26" s="100">
        <f t="shared" si="3"/>
        <v>0</v>
      </c>
      <c r="AD26" s="99">
        <v>1</v>
      </c>
      <c r="AE26" s="99">
        <v>0</v>
      </c>
      <c r="AF26" s="99">
        <v>11.15</v>
      </c>
      <c r="AG26" s="100">
        <f t="shared" si="4"/>
        <v>12.15</v>
      </c>
      <c r="AH26" s="99">
        <v>0</v>
      </c>
      <c r="AI26" s="99">
        <v>0</v>
      </c>
      <c r="AJ26" s="99">
        <v>0</v>
      </c>
      <c r="AK26" s="99">
        <v>0</v>
      </c>
      <c r="AL26" s="100">
        <f t="shared" si="5"/>
        <v>0</v>
      </c>
      <c r="AM26" s="100">
        <f t="shared" si="6"/>
        <v>83.93</v>
      </c>
    </row>
    <row r="27" spans="1:39" ht="15.75" thickBot="1" x14ac:dyDescent="0.3">
      <c r="A27" s="12">
        <v>40</v>
      </c>
      <c r="B27" s="98" t="s">
        <v>166</v>
      </c>
      <c r="C27" s="99">
        <v>107.25</v>
      </c>
      <c r="D27" s="99">
        <v>2.5</v>
      </c>
      <c r="E27" s="99">
        <v>0.25</v>
      </c>
      <c r="F27" s="99">
        <v>0</v>
      </c>
      <c r="G27" s="99">
        <v>6.25</v>
      </c>
      <c r="H27" s="99">
        <v>0</v>
      </c>
      <c r="I27" s="99">
        <v>0</v>
      </c>
      <c r="J27" s="99">
        <v>25.5</v>
      </c>
      <c r="K27" s="99">
        <v>0</v>
      </c>
      <c r="L27" s="99">
        <v>0</v>
      </c>
      <c r="M27" s="99">
        <v>2.25</v>
      </c>
      <c r="N27" s="99">
        <v>1.25</v>
      </c>
      <c r="O27" s="99">
        <v>0</v>
      </c>
      <c r="P27" s="100">
        <f t="shared" si="0"/>
        <v>3.5</v>
      </c>
      <c r="Q27" s="99">
        <v>1.25</v>
      </c>
      <c r="R27" s="99">
        <v>0</v>
      </c>
      <c r="S27" s="99">
        <v>43.25</v>
      </c>
      <c r="T27" s="100">
        <f t="shared" si="1"/>
        <v>44.5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Z27" s="100">
        <f t="shared" si="2"/>
        <v>0</v>
      </c>
      <c r="AA27" s="99">
        <v>0</v>
      </c>
      <c r="AB27" s="99">
        <v>0</v>
      </c>
      <c r="AC27" s="100">
        <f t="shared" si="3"/>
        <v>0</v>
      </c>
      <c r="AD27" s="99">
        <v>0</v>
      </c>
      <c r="AE27" s="99">
        <v>0</v>
      </c>
      <c r="AF27" s="99">
        <v>38.25</v>
      </c>
      <c r="AG27" s="100">
        <f t="shared" si="4"/>
        <v>38.25</v>
      </c>
      <c r="AH27" s="99">
        <v>0</v>
      </c>
      <c r="AI27" s="99">
        <v>15</v>
      </c>
      <c r="AJ27" s="99">
        <v>0</v>
      </c>
      <c r="AK27" s="99">
        <v>0</v>
      </c>
      <c r="AL27" s="100">
        <f t="shared" si="5"/>
        <v>15</v>
      </c>
      <c r="AM27" s="100">
        <f t="shared" si="6"/>
        <v>243</v>
      </c>
    </row>
    <row r="28" spans="1:39" ht="15.75" thickBot="1" x14ac:dyDescent="0.3">
      <c r="A28" s="12">
        <v>19</v>
      </c>
      <c r="B28" s="101" t="s">
        <v>167</v>
      </c>
      <c r="C28" s="99">
        <v>395.22</v>
      </c>
      <c r="D28" s="99">
        <v>0</v>
      </c>
      <c r="E28" s="99">
        <v>10.88</v>
      </c>
      <c r="F28" s="99">
        <v>4.6500000000000004</v>
      </c>
      <c r="G28" s="99">
        <v>18.440000000000001</v>
      </c>
      <c r="H28" s="99">
        <v>0</v>
      </c>
      <c r="I28" s="99">
        <v>16.510000000000002</v>
      </c>
      <c r="J28" s="99">
        <v>99.73</v>
      </c>
      <c r="K28" s="99">
        <v>1</v>
      </c>
      <c r="L28" s="99">
        <v>1</v>
      </c>
      <c r="M28" s="99">
        <v>1</v>
      </c>
      <c r="N28" s="99">
        <v>6</v>
      </c>
      <c r="O28" s="99">
        <v>0</v>
      </c>
      <c r="P28" s="100">
        <f t="shared" si="0"/>
        <v>9</v>
      </c>
      <c r="Q28" s="99">
        <v>2.89</v>
      </c>
      <c r="R28" s="99">
        <v>2.4</v>
      </c>
      <c r="S28" s="99">
        <v>221.88</v>
      </c>
      <c r="T28" s="100">
        <f t="shared" si="1"/>
        <v>227.17</v>
      </c>
      <c r="U28" s="99">
        <v>6</v>
      </c>
      <c r="V28" s="99">
        <v>2</v>
      </c>
      <c r="W28" s="99">
        <v>85.51</v>
      </c>
      <c r="X28" s="99">
        <v>8</v>
      </c>
      <c r="Y28" s="99">
        <v>0</v>
      </c>
      <c r="Z28" s="100">
        <f t="shared" si="2"/>
        <v>101.51</v>
      </c>
      <c r="AA28" s="99">
        <v>0</v>
      </c>
      <c r="AB28" s="99">
        <v>63.92</v>
      </c>
      <c r="AC28" s="100">
        <f t="shared" si="3"/>
        <v>63.92</v>
      </c>
      <c r="AD28" s="99">
        <v>1.6</v>
      </c>
      <c r="AE28" s="99">
        <v>27.73</v>
      </c>
      <c r="AF28" s="99">
        <v>111.84</v>
      </c>
      <c r="AG28" s="100">
        <f t="shared" si="4"/>
        <v>141.17000000000002</v>
      </c>
      <c r="AH28" s="99">
        <v>0</v>
      </c>
      <c r="AI28" s="99">
        <v>0</v>
      </c>
      <c r="AJ28" s="99">
        <v>2.5</v>
      </c>
      <c r="AK28" s="99">
        <v>0.5</v>
      </c>
      <c r="AL28" s="100">
        <f t="shared" si="5"/>
        <v>3</v>
      </c>
      <c r="AM28" s="100">
        <f t="shared" si="6"/>
        <v>1091.1999999999998</v>
      </c>
    </row>
    <row r="29" spans="1:39" ht="15.75" thickBot="1" x14ac:dyDescent="0.3">
      <c r="A29" s="12">
        <v>20</v>
      </c>
      <c r="B29" s="101" t="s">
        <v>168</v>
      </c>
      <c r="C29" s="99">
        <v>59.38</v>
      </c>
      <c r="D29" s="99">
        <v>0</v>
      </c>
      <c r="E29" s="99">
        <v>0</v>
      </c>
      <c r="F29" s="99">
        <v>0</v>
      </c>
      <c r="G29" s="99">
        <v>3.91</v>
      </c>
      <c r="H29" s="99">
        <v>0</v>
      </c>
      <c r="I29" s="99">
        <v>1</v>
      </c>
      <c r="J29" s="99">
        <v>7.71</v>
      </c>
      <c r="K29" s="99">
        <v>1</v>
      </c>
      <c r="L29" s="99">
        <v>0</v>
      </c>
      <c r="M29" s="99">
        <v>0</v>
      </c>
      <c r="N29" s="99">
        <v>1</v>
      </c>
      <c r="O29" s="99">
        <v>0</v>
      </c>
      <c r="P29" s="100">
        <f t="shared" si="0"/>
        <v>2</v>
      </c>
      <c r="Q29" s="99">
        <v>0</v>
      </c>
      <c r="R29" s="99">
        <v>1</v>
      </c>
      <c r="S29" s="99">
        <v>14.59</v>
      </c>
      <c r="T29" s="100">
        <f t="shared" si="1"/>
        <v>15.59</v>
      </c>
      <c r="U29" s="99">
        <v>1</v>
      </c>
      <c r="V29" s="99">
        <v>0</v>
      </c>
      <c r="W29" s="99">
        <v>10.130000000000001</v>
      </c>
      <c r="X29" s="99">
        <v>1.57</v>
      </c>
      <c r="Y29" s="99">
        <v>1.34</v>
      </c>
      <c r="Z29" s="100">
        <f t="shared" si="2"/>
        <v>14.040000000000001</v>
      </c>
      <c r="AA29" s="99">
        <v>0</v>
      </c>
      <c r="AB29" s="99">
        <v>0</v>
      </c>
      <c r="AC29" s="100">
        <f t="shared" si="3"/>
        <v>0</v>
      </c>
      <c r="AD29" s="99">
        <v>1</v>
      </c>
      <c r="AE29" s="99">
        <v>0</v>
      </c>
      <c r="AF29" s="99">
        <v>12.78</v>
      </c>
      <c r="AG29" s="100">
        <f t="shared" si="4"/>
        <v>13.78</v>
      </c>
      <c r="AH29" s="99">
        <v>0</v>
      </c>
      <c r="AI29" s="99">
        <v>0</v>
      </c>
      <c r="AJ29" s="99">
        <v>0</v>
      </c>
      <c r="AK29" s="99">
        <v>0</v>
      </c>
      <c r="AL29" s="100">
        <f t="shared" si="5"/>
        <v>0</v>
      </c>
      <c r="AM29" s="100">
        <f t="shared" si="6"/>
        <v>117.41000000000001</v>
      </c>
    </row>
    <row r="30" spans="1:39" ht="15.75" thickBot="1" x14ac:dyDescent="0.3">
      <c r="A30" s="12">
        <v>21</v>
      </c>
      <c r="B30" s="101" t="s">
        <v>169</v>
      </c>
      <c r="C30" s="99">
        <v>17.25</v>
      </c>
      <c r="D30" s="99">
        <v>0.5</v>
      </c>
      <c r="E30" s="99">
        <v>0</v>
      </c>
      <c r="F30" s="99">
        <v>0</v>
      </c>
      <c r="G30" s="99">
        <v>2</v>
      </c>
      <c r="H30" s="99">
        <v>0</v>
      </c>
      <c r="I30" s="99">
        <v>0.5</v>
      </c>
      <c r="J30" s="99">
        <v>4</v>
      </c>
      <c r="K30" s="99">
        <v>1</v>
      </c>
      <c r="L30" s="99">
        <v>0</v>
      </c>
      <c r="M30" s="99">
        <v>0</v>
      </c>
      <c r="N30" s="99">
        <v>0.5</v>
      </c>
      <c r="O30" s="99">
        <v>0</v>
      </c>
      <c r="P30" s="100">
        <f t="shared" si="0"/>
        <v>1.5</v>
      </c>
      <c r="Q30" s="99">
        <v>0</v>
      </c>
      <c r="R30" s="99">
        <v>0</v>
      </c>
      <c r="S30" s="99">
        <v>9.75</v>
      </c>
      <c r="T30" s="100">
        <f t="shared" si="1"/>
        <v>9.75</v>
      </c>
      <c r="U30" s="99">
        <v>0</v>
      </c>
      <c r="V30" s="99">
        <v>0.5</v>
      </c>
      <c r="W30" s="99">
        <v>10.5</v>
      </c>
      <c r="X30" s="99">
        <v>0.5</v>
      </c>
      <c r="Y30" s="99">
        <v>0</v>
      </c>
      <c r="Z30" s="100">
        <f t="shared" si="2"/>
        <v>11.5</v>
      </c>
      <c r="AA30" s="99">
        <v>0</v>
      </c>
      <c r="AB30" s="99">
        <v>1.5</v>
      </c>
      <c r="AC30" s="100">
        <f t="shared" si="3"/>
        <v>1.5</v>
      </c>
      <c r="AD30" s="99">
        <v>0.5</v>
      </c>
      <c r="AE30" s="99">
        <v>0</v>
      </c>
      <c r="AF30" s="99">
        <v>7.5</v>
      </c>
      <c r="AG30" s="100">
        <f t="shared" si="4"/>
        <v>8</v>
      </c>
      <c r="AH30" s="99">
        <v>0</v>
      </c>
      <c r="AI30" s="99">
        <v>0</v>
      </c>
      <c r="AJ30" s="99">
        <v>0</v>
      </c>
      <c r="AK30" s="99">
        <v>0</v>
      </c>
      <c r="AL30" s="100">
        <f t="shared" si="5"/>
        <v>0</v>
      </c>
      <c r="AM30" s="100">
        <f t="shared" si="6"/>
        <v>56.5</v>
      </c>
    </row>
    <row r="31" spans="1:39" ht="15.75" thickBot="1" x14ac:dyDescent="0.3">
      <c r="A31" s="12">
        <v>37</v>
      </c>
      <c r="B31" s="102" t="s">
        <v>170</v>
      </c>
      <c r="C31" s="99">
        <v>220.29</v>
      </c>
      <c r="D31" s="99">
        <v>0.49</v>
      </c>
      <c r="E31" s="99">
        <v>7.6</v>
      </c>
      <c r="F31" s="99">
        <v>22.88</v>
      </c>
      <c r="G31" s="99">
        <v>3.99</v>
      </c>
      <c r="H31" s="99">
        <v>1</v>
      </c>
      <c r="I31" s="99">
        <v>3.38</v>
      </c>
      <c r="J31" s="99">
        <v>27</v>
      </c>
      <c r="K31" s="99">
        <v>0</v>
      </c>
      <c r="L31" s="99">
        <v>0</v>
      </c>
      <c r="M31" s="99">
        <v>0</v>
      </c>
      <c r="N31" s="99">
        <v>10</v>
      </c>
      <c r="O31" s="99">
        <v>1.25</v>
      </c>
      <c r="P31" s="100">
        <f t="shared" si="0"/>
        <v>11.25</v>
      </c>
      <c r="Q31" s="99">
        <v>1.65</v>
      </c>
      <c r="R31" s="99">
        <v>1</v>
      </c>
      <c r="S31" s="99">
        <v>70.23</v>
      </c>
      <c r="T31" s="100">
        <f t="shared" si="1"/>
        <v>72.88000000000001</v>
      </c>
      <c r="U31" s="99">
        <v>0</v>
      </c>
      <c r="V31" s="99">
        <v>0</v>
      </c>
      <c r="W31" s="99">
        <v>1</v>
      </c>
      <c r="X31" s="99">
        <v>0</v>
      </c>
      <c r="Y31" s="99">
        <v>0</v>
      </c>
      <c r="Z31" s="100">
        <f t="shared" si="2"/>
        <v>1</v>
      </c>
      <c r="AA31" s="99">
        <v>0</v>
      </c>
      <c r="AB31" s="99">
        <v>1.75</v>
      </c>
      <c r="AC31" s="100">
        <f t="shared" si="3"/>
        <v>1.75</v>
      </c>
      <c r="AD31" s="99">
        <v>0</v>
      </c>
      <c r="AE31" s="99">
        <v>2</v>
      </c>
      <c r="AF31" s="99">
        <v>104.48</v>
      </c>
      <c r="AG31" s="100">
        <f t="shared" si="4"/>
        <v>106.48</v>
      </c>
      <c r="AH31" s="99">
        <v>1</v>
      </c>
      <c r="AI31" s="99">
        <v>0</v>
      </c>
      <c r="AJ31" s="99">
        <v>0.8</v>
      </c>
      <c r="AK31" s="99">
        <v>0</v>
      </c>
      <c r="AL31" s="100">
        <f t="shared" si="5"/>
        <v>1.8</v>
      </c>
      <c r="AM31" s="100">
        <f t="shared" si="6"/>
        <v>481.79</v>
      </c>
    </row>
    <row r="32" spans="1:39" ht="15.75" thickBot="1" x14ac:dyDescent="0.3">
      <c r="A32" s="12">
        <v>22</v>
      </c>
      <c r="B32" s="98" t="s">
        <v>171</v>
      </c>
      <c r="C32" s="99">
        <v>49.66</v>
      </c>
      <c r="D32" s="99">
        <v>2.2999999999999998</v>
      </c>
      <c r="E32" s="99">
        <v>3</v>
      </c>
      <c r="F32" s="99">
        <v>1</v>
      </c>
      <c r="G32" s="99">
        <v>2.5</v>
      </c>
      <c r="H32" s="99">
        <v>0</v>
      </c>
      <c r="I32" s="99">
        <v>1.5</v>
      </c>
      <c r="J32" s="99">
        <v>12.57</v>
      </c>
      <c r="K32" s="99">
        <v>1</v>
      </c>
      <c r="L32" s="99">
        <v>0</v>
      </c>
      <c r="M32" s="99">
        <v>1</v>
      </c>
      <c r="N32" s="99">
        <v>0</v>
      </c>
      <c r="O32" s="99">
        <v>6.5</v>
      </c>
      <c r="P32" s="100">
        <f t="shared" si="0"/>
        <v>8.5</v>
      </c>
      <c r="Q32" s="99">
        <v>0</v>
      </c>
      <c r="R32" s="99">
        <v>1</v>
      </c>
      <c r="S32" s="99">
        <v>32.630000000000003</v>
      </c>
      <c r="T32" s="100">
        <f t="shared" si="1"/>
        <v>33.630000000000003</v>
      </c>
      <c r="U32" s="99">
        <v>1.8</v>
      </c>
      <c r="V32" s="99">
        <v>1</v>
      </c>
      <c r="W32" s="99">
        <v>23.32</v>
      </c>
      <c r="X32" s="99">
        <v>3</v>
      </c>
      <c r="Y32" s="99">
        <v>0</v>
      </c>
      <c r="Z32" s="100">
        <f t="shared" si="2"/>
        <v>29.12</v>
      </c>
      <c r="AA32" s="99">
        <v>0</v>
      </c>
      <c r="AB32" s="99">
        <v>0</v>
      </c>
      <c r="AC32" s="100">
        <f t="shared" si="3"/>
        <v>0</v>
      </c>
      <c r="AD32" s="99">
        <v>2</v>
      </c>
      <c r="AE32" s="99">
        <v>0.81</v>
      </c>
      <c r="AF32" s="99">
        <v>16.14</v>
      </c>
      <c r="AG32" s="100">
        <f t="shared" si="4"/>
        <v>18.95</v>
      </c>
      <c r="AH32" s="99">
        <v>1</v>
      </c>
      <c r="AI32" s="99">
        <v>10.43</v>
      </c>
      <c r="AJ32" s="99">
        <v>0</v>
      </c>
      <c r="AK32" s="99">
        <v>0</v>
      </c>
      <c r="AL32" s="100">
        <f t="shared" si="5"/>
        <v>11.43</v>
      </c>
      <c r="AM32" s="100">
        <f t="shared" si="6"/>
        <v>174.16</v>
      </c>
    </row>
    <row r="33" spans="1:39" ht="15.75" thickBot="1" x14ac:dyDescent="0.3">
      <c r="A33" s="12">
        <v>23</v>
      </c>
      <c r="B33" s="101" t="s">
        <v>172</v>
      </c>
      <c r="C33" s="99">
        <v>10</v>
      </c>
      <c r="D33" s="99">
        <v>0</v>
      </c>
      <c r="E33" s="99">
        <v>0</v>
      </c>
      <c r="F33" s="99">
        <v>0</v>
      </c>
      <c r="G33" s="99">
        <v>0.8</v>
      </c>
      <c r="H33" s="99">
        <v>0</v>
      </c>
      <c r="I33" s="99">
        <v>1</v>
      </c>
      <c r="J33" s="99">
        <v>3.5</v>
      </c>
      <c r="K33" s="99">
        <v>1</v>
      </c>
      <c r="L33" s="99">
        <v>0</v>
      </c>
      <c r="M33" s="99">
        <v>0</v>
      </c>
      <c r="N33" s="99">
        <v>0</v>
      </c>
      <c r="O33" s="99">
        <v>0</v>
      </c>
      <c r="P33" s="100">
        <f t="shared" si="0"/>
        <v>1</v>
      </c>
      <c r="Q33" s="99">
        <v>0</v>
      </c>
      <c r="R33" s="99">
        <v>0</v>
      </c>
      <c r="S33" s="99">
        <v>4.25</v>
      </c>
      <c r="T33" s="100">
        <f t="shared" si="1"/>
        <v>4.25</v>
      </c>
      <c r="U33" s="99">
        <v>0.25</v>
      </c>
      <c r="V33" s="99">
        <v>0</v>
      </c>
      <c r="W33" s="99">
        <v>3.25</v>
      </c>
      <c r="X33" s="99">
        <v>0.75</v>
      </c>
      <c r="Y33" s="99">
        <v>0</v>
      </c>
      <c r="Z33" s="100">
        <f t="shared" si="2"/>
        <v>4.25</v>
      </c>
      <c r="AA33" s="99">
        <v>0</v>
      </c>
      <c r="AB33" s="99">
        <v>0</v>
      </c>
      <c r="AC33" s="100">
        <f t="shared" si="3"/>
        <v>0</v>
      </c>
      <c r="AD33" s="99">
        <v>1</v>
      </c>
      <c r="AE33" s="99">
        <v>0</v>
      </c>
      <c r="AF33" s="99">
        <v>2.5</v>
      </c>
      <c r="AG33" s="100">
        <f t="shared" si="4"/>
        <v>3.5</v>
      </c>
      <c r="AH33" s="99">
        <v>0</v>
      </c>
      <c r="AI33" s="99">
        <v>0</v>
      </c>
      <c r="AJ33" s="99">
        <v>0</v>
      </c>
      <c r="AK33" s="99">
        <v>0</v>
      </c>
      <c r="AL33" s="100">
        <f t="shared" si="5"/>
        <v>0</v>
      </c>
      <c r="AM33" s="100">
        <f t="shared" si="6"/>
        <v>28.3</v>
      </c>
    </row>
    <row r="34" spans="1:39" ht="15.75" thickBot="1" x14ac:dyDescent="0.3">
      <c r="A34" s="12">
        <v>38</v>
      </c>
      <c r="B34" s="101" t="s">
        <v>173</v>
      </c>
      <c r="C34" s="99">
        <v>278.07</v>
      </c>
      <c r="D34" s="99">
        <v>0.84</v>
      </c>
      <c r="E34" s="99">
        <v>7.77</v>
      </c>
      <c r="F34" s="99">
        <v>8.83</v>
      </c>
      <c r="G34" s="99">
        <v>14.24</v>
      </c>
      <c r="H34" s="99">
        <v>3</v>
      </c>
      <c r="I34" s="99">
        <v>3.5</v>
      </c>
      <c r="J34" s="99">
        <v>38.56</v>
      </c>
      <c r="K34" s="99">
        <v>1</v>
      </c>
      <c r="L34" s="99">
        <v>2</v>
      </c>
      <c r="M34" s="99">
        <v>3.44</v>
      </c>
      <c r="N34" s="99">
        <v>9</v>
      </c>
      <c r="O34" s="99">
        <v>8.06</v>
      </c>
      <c r="P34" s="100">
        <f t="shared" si="0"/>
        <v>23.5</v>
      </c>
      <c r="Q34" s="99">
        <v>0</v>
      </c>
      <c r="R34" s="99">
        <v>0</v>
      </c>
      <c r="S34" s="99">
        <v>53.93</v>
      </c>
      <c r="T34" s="100">
        <f t="shared" si="1"/>
        <v>53.93</v>
      </c>
      <c r="U34" s="99">
        <v>0.5</v>
      </c>
      <c r="V34" s="99">
        <v>1</v>
      </c>
      <c r="W34" s="99">
        <v>27.72</v>
      </c>
      <c r="X34" s="99">
        <v>3</v>
      </c>
      <c r="Y34" s="99">
        <v>0</v>
      </c>
      <c r="Z34" s="100">
        <f t="shared" si="2"/>
        <v>32.22</v>
      </c>
      <c r="AA34" s="99">
        <v>0</v>
      </c>
      <c r="AB34" s="99">
        <v>11.78</v>
      </c>
      <c r="AC34" s="100">
        <f t="shared" si="3"/>
        <v>11.78</v>
      </c>
      <c r="AD34" s="99">
        <v>1</v>
      </c>
      <c r="AE34" s="99">
        <v>7.06</v>
      </c>
      <c r="AF34" s="99">
        <v>65.86</v>
      </c>
      <c r="AG34" s="100">
        <f t="shared" si="4"/>
        <v>73.92</v>
      </c>
      <c r="AH34" s="99">
        <v>0</v>
      </c>
      <c r="AI34" s="99">
        <v>0</v>
      </c>
      <c r="AJ34" s="99">
        <v>8</v>
      </c>
      <c r="AK34" s="99">
        <v>2</v>
      </c>
      <c r="AL34" s="100">
        <f t="shared" si="5"/>
        <v>10</v>
      </c>
      <c r="AM34" s="100">
        <f t="shared" si="6"/>
        <v>560.15999999999985</v>
      </c>
    </row>
    <row r="35" spans="1:39" ht="15.75" thickBot="1" x14ac:dyDescent="0.3">
      <c r="A35" s="12">
        <v>24</v>
      </c>
      <c r="B35" s="101" t="s">
        <v>174</v>
      </c>
      <c r="C35" s="99">
        <v>6.95</v>
      </c>
      <c r="D35" s="99">
        <v>0</v>
      </c>
      <c r="E35" s="99">
        <v>0</v>
      </c>
      <c r="F35" s="99">
        <v>0</v>
      </c>
      <c r="G35" s="99">
        <v>0</v>
      </c>
      <c r="H35" s="99">
        <v>0</v>
      </c>
      <c r="I35" s="99">
        <v>1</v>
      </c>
      <c r="J35" s="99">
        <v>1.8</v>
      </c>
      <c r="K35" s="99">
        <v>1</v>
      </c>
      <c r="L35" s="99">
        <v>0</v>
      </c>
      <c r="M35" s="99">
        <v>0</v>
      </c>
      <c r="N35" s="99">
        <v>0</v>
      </c>
      <c r="O35" s="99">
        <v>0</v>
      </c>
      <c r="P35" s="100">
        <f t="shared" si="0"/>
        <v>1</v>
      </c>
      <c r="Q35" s="99">
        <v>0</v>
      </c>
      <c r="R35" s="99">
        <v>1</v>
      </c>
      <c r="S35" s="99">
        <v>0</v>
      </c>
      <c r="T35" s="100">
        <f t="shared" si="1"/>
        <v>1</v>
      </c>
      <c r="U35" s="99">
        <v>0</v>
      </c>
      <c r="V35" s="99">
        <v>0.6</v>
      </c>
      <c r="W35" s="99">
        <v>3.03</v>
      </c>
      <c r="X35" s="99">
        <v>0</v>
      </c>
      <c r="Y35" s="99">
        <v>0</v>
      </c>
      <c r="Z35" s="100">
        <f t="shared" si="2"/>
        <v>3.63</v>
      </c>
      <c r="AA35" s="99">
        <v>0</v>
      </c>
      <c r="AB35" s="99">
        <v>0</v>
      </c>
      <c r="AC35" s="100">
        <f t="shared" si="3"/>
        <v>0</v>
      </c>
      <c r="AD35" s="99">
        <v>0.6</v>
      </c>
      <c r="AE35" s="99">
        <v>0</v>
      </c>
      <c r="AF35" s="99">
        <v>3.65</v>
      </c>
      <c r="AG35" s="100">
        <f t="shared" si="4"/>
        <v>4.25</v>
      </c>
      <c r="AH35" s="99">
        <v>0</v>
      </c>
      <c r="AI35" s="99">
        <v>0</v>
      </c>
      <c r="AJ35" s="99">
        <v>0</v>
      </c>
      <c r="AK35" s="99">
        <v>0</v>
      </c>
      <c r="AL35" s="100">
        <f t="shared" si="5"/>
        <v>0</v>
      </c>
      <c r="AM35" s="100">
        <f t="shared" si="6"/>
        <v>19.63</v>
      </c>
    </row>
    <row r="36" spans="1:39" ht="15.75" thickBot="1" x14ac:dyDescent="0.3">
      <c r="A36" s="12">
        <v>36</v>
      </c>
      <c r="B36" s="102" t="s">
        <v>175</v>
      </c>
      <c r="C36" s="99">
        <v>491.31</v>
      </c>
      <c r="D36" s="99">
        <v>6.6</v>
      </c>
      <c r="E36" s="99">
        <v>3.14</v>
      </c>
      <c r="F36" s="99">
        <v>56.91</v>
      </c>
      <c r="G36" s="99">
        <v>8.2899999999999991</v>
      </c>
      <c r="H36" s="99">
        <v>2.64</v>
      </c>
      <c r="I36" s="99">
        <v>3</v>
      </c>
      <c r="J36" s="99">
        <v>62.78</v>
      </c>
      <c r="K36" s="99">
        <v>1</v>
      </c>
      <c r="L36" s="99">
        <v>7.05</v>
      </c>
      <c r="M36" s="99">
        <v>2</v>
      </c>
      <c r="N36" s="99">
        <v>17.93</v>
      </c>
      <c r="O36" s="99">
        <v>30.28</v>
      </c>
      <c r="P36" s="100">
        <f t="shared" si="0"/>
        <v>58.260000000000005</v>
      </c>
      <c r="Q36" s="99">
        <v>2</v>
      </c>
      <c r="R36" s="99">
        <v>7</v>
      </c>
      <c r="S36" s="99">
        <v>207.58</v>
      </c>
      <c r="T36" s="100">
        <f t="shared" si="1"/>
        <v>216.58</v>
      </c>
      <c r="U36" s="99">
        <v>7</v>
      </c>
      <c r="V36" s="99">
        <v>1</v>
      </c>
      <c r="W36" s="99">
        <v>56.21</v>
      </c>
      <c r="X36" s="99">
        <v>5</v>
      </c>
      <c r="Y36" s="99">
        <v>0</v>
      </c>
      <c r="Z36" s="100">
        <f t="shared" si="2"/>
        <v>69.210000000000008</v>
      </c>
      <c r="AA36" s="99">
        <v>0</v>
      </c>
      <c r="AB36" s="99">
        <v>1</v>
      </c>
      <c r="AC36" s="100">
        <f t="shared" si="3"/>
        <v>1</v>
      </c>
      <c r="AD36" s="99">
        <v>3</v>
      </c>
      <c r="AE36" s="99">
        <v>0</v>
      </c>
      <c r="AF36" s="99">
        <v>131.47</v>
      </c>
      <c r="AG36" s="100">
        <f t="shared" si="4"/>
        <v>134.47</v>
      </c>
      <c r="AH36" s="99">
        <v>0</v>
      </c>
      <c r="AI36" s="99">
        <v>4.3499999999999996</v>
      </c>
      <c r="AJ36" s="99">
        <v>0</v>
      </c>
      <c r="AK36" s="99">
        <v>4</v>
      </c>
      <c r="AL36" s="100">
        <f t="shared" si="5"/>
        <v>8.35</v>
      </c>
      <c r="AM36" s="100">
        <f t="shared" si="6"/>
        <v>1122.54</v>
      </c>
    </row>
    <row r="37" spans="1:39" ht="15.75" thickBot="1" x14ac:dyDescent="0.3">
      <c r="A37" s="12">
        <v>25</v>
      </c>
      <c r="B37" s="98" t="s">
        <v>176</v>
      </c>
      <c r="C37" s="99">
        <v>56.3</v>
      </c>
      <c r="D37" s="99">
        <v>2</v>
      </c>
      <c r="E37" s="99">
        <v>0</v>
      </c>
      <c r="F37" s="99">
        <v>2.5</v>
      </c>
      <c r="G37" s="99">
        <v>9.82</v>
      </c>
      <c r="H37" s="99">
        <v>0</v>
      </c>
      <c r="I37" s="99">
        <v>1</v>
      </c>
      <c r="J37" s="99">
        <v>14.8</v>
      </c>
      <c r="K37" s="99">
        <v>1</v>
      </c>
      <c r="L37" s="99">
        <v>0</v>
      </c>
      <c r="M37" s="99">
        <v>2</v>
      </c>
      <c r="N37" s="99">
        <v>2</v>
      </c>
      <c r="O37" s="99">
        <v>2</v>
      </c>
      <c r="P37" s="100">
        <f t="shared" si="0"/>
        <v>7</v>
      </c>
      <c r="Q37" s="99">
        <v>1</v>
      </c>
      <c r="R37" s="99">
        <v>2</v>
      </c>
      <c r="S37" s="99">
        <v>49.7</v>
      </c>
      <c r="T37" s="100">
        <f t="shared" si="1"/>
        <v>52.7</v>
      </c>
      <c r="U37" s="99">
        <v>1</v>
      </c>
      <c r="V37" s="99">
        <v>1</v>
      </c>
      <c r="W37" s="99">
        <v>27.4</v>
      </c>
      <c r="X37" s="99">
        <v>5</v>
      </c>
      <c r="Y37" s="99">
        <v>0</v>
      </c>
      <c r="Z37" s="100">
        <f t="shared" si="2"/>
        <v>34.4</v>
      </c>
      <c r="AA37" s="99">
        <v>0</v>
      </c>
      <c r="AB37" s="99">
        <v>0</v>
      </c>
      <c r="AC37" s="100">
        <f t="shared" si="3"/>
        <v>0</v>
      </c>
      <c r="AD37" s="99">
        <v>0</v>
      </c>
      <c r="AE37" s="99">
        <v>0</v>
      </c>
      <c r="AF37" s="99">
        <v>5.87</v>
      </c>
      <c r="AG37" s="100">
        <f t="shared" si="4"/>
        <v>5.87</v>
      </c>
      <c r="AH37" s="99">
        <v>0</v>
      </c>
      <c r="AI37" s="99">
        <v>0</v>
      </c>
      <c r="AJ37" s="99">
        <v>1</v>
      </c>
      <c r="AK37" s="99">
        <v>0</v>
      </c>
      <c r="AL37" s="100">
        <f t="shared" si="5"/>
        <v>1</v>
      </c>
      <c r="AM37" s="100">
        <f t="shared" si="6"/>
        <v>187.39000000000001</v>
      </c>
    </row>
    <row r="38" spans="1:39" ht="15.75" thickBot="1" x14ac:dyDescent="0.3">
      <c r="A38" s="12">
        <v>26</v>
      </c>
      <c r="B38" s="101" t="s">
        <v>177</v>
      </c>
      <c r="C38" s="99">
        <v>71.19</v>
      </c>
      <c r="D38" s="99">
        <v>1</v>
      </c>
      <c r="E38" s="99">
        <v>1</v>
      </c>
      <c r="F38" s="99">
        <v>0</v>
      </c>
      <c r="G38" s="99">
        <v>8.5500000000000007</v>
      </c>
      <c r="H38" s="99">
        <v>0</v>
      </c>
      <c r="I38" s="99">
        <v>1.65</v>
      </c>
      <c r="J38" s="99">
        <v>10.74</v>
      </c>
      <c r="K38" s="99">
        <v>0.1</v>
      </c>
      <c r="L38" s="99">
        <v>0.5</v>
      </c>
      <c r="M38" s="99">
        <v>1.4</v>
      </c>
      <c r="N38" s="99">
        <v>4.6500000000000004</v>
      </c>
      <c r="O38" s="99">
        <v>0.37</v>
      </c>
      <c r="P38" s="100">
        <f t="shared" si="0"/>
        <v>7.0200000000000005</v>
      </c>
      <c r="Q38" s="99">
        <v>0.5</v>
      </c>
      <c r="R38" s="99">
        <v>1</v>
      </c>
      <c r="S38" s="99">
        <v>32.11</v>
      </c>
      <c r="T38" s="100">
        <f t="shared" si="1"/>
        <v>33.61</v>
      </c>
      <c r="U38" s="99">
        <v>1.22</v>
      </c>
      <c r="V38" s="99">
        <v>1</v>
      </c>
      <c r="W38" s="99">
        <v>17.600000000000001</v>
      </c>
      <c r="X38" s="99">
        <v>1.5</v>
      </c>
      <c r="Y38" s="99">
        <v>0</v>
      </c>
      <c r="Z38" s="100">
        <f t="shared" si="2"/>
        <v>21.32</v>
      </c>
      <c r="AA38" s="99">
        <v>0</v>
      </c>
      <c r="AB38" s="99">
        <v>0</v>
      </c>
      <c r="AC38" s="100">
        <f t="shared" si="3"/>
        <v>0</v>
      </c>
      <c r="AD38" s="99">
        <v>1</v>
      </c>
      <c r="AE38" s="99">
        <v>0.5</v>
      </c>
      <c r="AF38" s="99">
        <v>37.72</v>
      </c>
      <c r="AG38" s="100">
        <f t="shared" si="4"/>
        <v>39.22</v>
      </c>
      <c r="AH38" s="99">
        <v>0.25</v>
      </c>
      <c r="AI38" s="99">
        <v>0</v>
      </c>
      <c r="AJ38" s="99">
        <v>0</v>
      </c>
      <c r="AK38" s="99">
        <v>0</v>
      </c>
      <c r="AL38" s="100">
        <f t="shared" si="5"/>
        <v>0.25</v>
      </c>
      <c r="AM38" s="100">
        <f t="shared" si="6"/>
        <v>195.54999999999998</v>
      </c>
    </row>
    <row r="39" spans="1:39" ht="15.75" thickBot="1" x14ac:dyDescent="0.3">
      <c r="A39" s="12">
        <v>27</v>
      </c>
      <c r="B39" s="101" t="s">
        <v>178</v>
      </c>
      <c r="C39" s="99">
        <v>113.75</v>
      </c>
      <c r="D39" s="99">
        <v>1</v>
      </c>
      <c r="E39" s="99">
        <v>22.5</v>
      </c>
      <c r="F39" s="99">
        <v>0</v>
      </c>
      <c r="G39" s="99">
        <v>8</v>
      </c>
      <c r="H39" s="99">
        <v>2</v>
      </c>
      <c r="I39" s="99">
        <v>0.75</v>
      </c>
      <c r="J39" s="99">
        <v>2.25</v>
      </c>
      <c r="K39" s="99">
        <v>1</v>
      </c>
      <c r="L39" s="99">
        <v>0</v>
      </c>
      <c r="M39" s="99">
        <v>1</v>
      </c>
      <c r="N39" s="99">
        <v>0.5</v>
      </c>
      <c r="O39" s="99">
        <v>0</v>
      </c>
      <c r="P39" s="100">
        <f t="shared" si="0"/>
        <v>2.5</v>
      </c>
      <c r="Q39" s="99">
        <v>0</v>
      </c>
      <c r="R39" s="99">
        <v>1</v>
      </c>
      <c r="S39" s="99">
        <v>29.5</v>
      </c>
      <c r="T39" s="100">
        <f t="shared" si="1"/>
        <v>30.5</v>
      </c>
      <c r="U39" s="99">
        <v>0.5</v>
      </c>
      <c r="V39" s="99">
        <v>0.5</v>
      </c>
      <c r="W39" s="99">
        <v>9.75</v>
      </c>
      <c r="X39" s="99">
        <v>0</v>
      </c>
      <c r="Y39" s="99">
        <v>0</v>
      </c>
      <c r="Z39" s="100">
        <f t="shared" si="2"/>
        <v>10.75</v>
      </c>
      <c r="AA39" s="99">
        <v>0</v>
      </c>
      <c r="AB39" s="99">
        <v>0</v>
      </c>
      <c r="AC39" s="100">
        <f t="shared" si="3"/>
        <v>0</v>
      </c>
      <c r="AD39" s="99">
        <v>0.75</v>
      </c>
      <c r="AE39" s="99">
        <v>0</v>
      </c>
      <c r="AF39" s="99">
        <v>23</v>
      </c>
      <c r="AG39" s="100">
        <f t="shared" si="4"/>
        <v>23.75</v>
      </c>
      <c r="AH39" s="99">
        <v>0</v>
      </c>
      <c r="AI39" s="99">
        <v>0</v>
      </c>
      <c r="AJ39" s="99">
        <v>0</v>
      </c>
      <c r="AK39" s="99">
        <v>0</v>
      </c>
      <c r="AL39" s="100">
        <f t="shared" si="5"/>
        <v>0</v>
      </c>
      <c r="AM39" s="100">
        <f t="shared" si="6"/>
        <v>217.75</v>
      </c>
    </row>
    <row r="40" spans="1:39" ht="15.75" thickBot="1" x14ac:dyDescent="0.3">
      <c r="A40" s="12">
        <v>28</v>
      </c>
      <c r="B40" s="101" t="s">
        <v>179</v>
      </c>
      <c r="C40" s="99">
        <v>22.77</v>
      </c>
      <c r="D40" s="99">
        <v>1</v>
      </c>
      <c r="E40" s="99">
        <v>1</v>
      </c>
      <c r="F40" s="99">
        <v>0</v>
      </c>
      <c r="G40" s="99">
        <v>0.88</v>
      </c>
      <c r="H40" s="99">
        <v>0</v>
      </c>
      <c r="I40" s="99">
        <v>1</v>
      </c>
      <c r="J40" s="99">
        <v>4.88</v>
      </c>
      <c r="K40" s="99">
        <v>1</v>
      </c>
      <c r="L40" s="99">
        <v>0</v>
      </c>
      <c r="M40" s="99">
        <v>0</v>
      </c>
      <c r="N40" s="99">
        <v>1</v>
      </c>
      <c r="O40" s="99">
        <v>0</v>
      </c>
      <c r="P40" s="100">
        <f t="shared" si="0"/>
        <v>2</v>
      </c>
      <c r="Q40" s="99">
        <v>0</v>
      </c>
      <c r="R40" s="99">
        <v>0</v>
      </c>
      <c r="S40" s="99">
        <v>12.13</v>
      </c>
      <c r="T40" s="100">
        <f t="shared" si="1"/>
        <v>12.13</v>
      </c>
      <c r="U40" s="99">
        <v>0</v>
      </c>
      <c r="V40" s="99">
        <v>0.5</v>
      </c>
      <c r="W40" s="99">
        <v>8</v>
      </c>
      <c r="X40" s="99">
        <v>0.5</v>
      </c>
      <c r="Y40" s="99">
        <v>0</v>
      </c>
      <c r="Z40" s="100">
        <f t="shared" si="2"/>
        <v>9</v>
      </c>
      <c r="AA40" s="99">
        <v>3</v>
      </c>
      <c r="AB40" s="99">
        <v>0</v>
      </c>
      <c r="AC40" s="100">
        <f t="shared" si="3"/>
        <v>3</v>
      </c>
      <c r="AD40" s="99">
        <v>1</v>
      </c>
      <c r="AE40" s="99">
        <v>0</v>
      </c>
      <c r="AF40" s="99">
        <v>4.13</v>
      </c>
      <c r="AG40" s="100">
        <f t="shared" si="4"/>
        <v>5.13</v>
      </c>
      <c r="AH40" s="99">
        <v>0</v>
      </c>
      <c r="AI40" s="99">
        <v>0</v>
      </c>
      <c r="AJ40" s="99">
        <v>0</v>
      </c>
      <c r="AK40" s="99">
        <v>0</v>
      </c>
      <c r="AL40" s="100">
        <f t="shared" si="5"/>
        <v>0</v>
      </c>
      <c r="AM40" s="100">
        <f t="shared" si="6"/>
        <v>62.790000000000006</v>
      </c>
    </row>
    <row r="41" spans="1:39" ht="15.75" thickBot="1" x14ac:dyDescent="0.3">
      <c r="A41" s="12">
        <v>29</v>
      </c>
      <c r="B41" s="102" t="s">
        <v>180</v>
      </c>
      <c r="C41" s="99">
        <v>5.81</v>
      </c>
      <c r="D41" s="99">
        <v>0</v>
      </c>
      <c r="E41" s="99">
        <v>1.04</v>
      </c>
      <c r="F41" s="99">
        <v>0</v>
      </c>
      <c r="G41" s="99">
        <v>0.91</v>
      </c>
      <c r="H41" s="99">
        <v>0.44</v>
      </c>
      <c r="I41" s="99">
        <v>0</v>
      </c>
      <c r="J41" s="99">
        <v>1.05</v>
      </c>
      <c r="K41" s="99">
        <v>0.44</v>
      </c>
      <c r="L41" s="99">
        <v>0</v>
      </c>
      <c r="M41" s="99">
        <v>0</v>
      </c>
      <c r="N41" s="99">
        <v>0.88</v>
      </c>
      <c r="O41" s="99">
        <v>0</v>
      </c>
      <c r="P41" s="100">
        <f t="shared" si="0"/>
        <v>1.32</v>
      </c>
      <c r="Q41" s="99">
        <v>0</v>
      </c>
      <c r="R41" s="99">
        <v>0.52</v>
      </c>
      <c r="S41" s="99">
        <v>3.07</v>
      </c>
      <c r="T41" s="100">
        <f t="shared" si="1"/>
        <v>3.59</v>
      </c>
      <c r="U41" s="99">
        <v>0.12</v>
      </c>
      <c r="V41" s="99">
        <v>0.12</v>
      </c>
      <c r="W41" s="99">
        <v>0.5</v>
      </c>
      <c r="X41" s="99">
        <v>0.12</v>
      </c>
      <c r="Y41" s="99">
        <v>0</v>
      </c>
      <c r="Z41" s="100">
        <f t="shared" si="2"/>
        <v>0.86</v>
      </c>
      <c r="AA41" s="99">
        <v>0</v>
      </c>
      <c r="AB41" s="99">
        <v>0</v>
      </c>
      <c r="AC41" s="100">
        <f t="shared" si="3"/>
        <v>0</v>
      </c>
      <c r="AD41" s="99">
        <v>0.81</v>
      </c>
      <c r="AE41" s="99">
        <v>0.14000000000000001</v>
      </c>
      <c r="AF41" s="99">
        <v>0.44</v>
      </c>
      <c r="AG41" s="100">
        <f t="shared" si="4"/>
        <v>1.3900000000000001</v>
      </c>
      <c r="AH41" s="99">
        <v>0</v>
      </c>
      <c r="AI41" s="99">
        <v>0</v>
      </c>
      <c r="AJ41" s="99">
        <v>0</v>
      </c>
      <c r="AK41" s="99">
        <v>0</v>
      </c>
      <c r="AL41" s="100">
        <f t="shared" si="5"/>
        <v>0</v>
      </c>
      <c r="AM41" s="100">
        <f t="shared" si="6"/>
        <v>16.41</v>
      </c>
    </row>
    <row r="42" spans="1:39" ht="15.75" thickBot="1" x14ac:dyDescent="0.3">
      <c r="A42" s="12">
        <v>30</v>
      </c>
      <c r="B42" s="98" t="s">
        <v>181</v>
      </c>
      <c r="C42" s="99">
        <v>167.22</v>
      </c>
      <c r="D42" s="99">
        <v>6</v>
      </c>
      <c r="E42" s="99">
        <v>12.55</v>
      </c>
      <c r="F42" s="99">
        <v>5.3</v>
      </c>
      <c r="G42" s="99">
        <v>26.5</v>
      </c>
      <c r="H42" s="99">
        <v>0</v>
      </c>
      <c r="I42" s="99">
        <v>1</v>
      </c>
      <c r="J42" s="99">
        <v>34</v>
      </c>
      <c r="K42" s="99">
        <v>1</v>
      </c>
      <c r="L42" s="99">
        <v>1</v>
      </c>
      <c r="M42" s="99">
        <v>1</v>
      </c>
      <c r="N42" s="99">
        <v>7</v>
      </c>
      <c r="O42" s="99">
        <v>0</v>
      </c>
      <c r="P42" s="100">
        <f t="shared" si="0"/>
        <v>10</v>
      </c>
      <c r="Q42" s="99">
        <v>0.5</v>
      </c>
      <c r="R42" s="99">
        <v>1</v>
      </c>
      <c r="S42" s="99">
        <v>62.2</v>
      </c>
      <c r="T42" s="100">
        <f t="shared" si="1"/>
        <v>63.7</v>
      </c>
      <c r="U42" s="99">
        <v>1.5</v>
      </c>
      <c r="V42" s="99">
        <v>1</v>
      </c>
      <c r="W42" s="99">
        <v>46.18</v>
      </c>
      <c r="X42" s="99">
        <v>3</v>
      </c>
      <c r="Y42" s="99">
        <v>1.5</v>
      </c>
      <c r="Z42" s="100">
        <f t="shared" si="2"/>
        <v>53.18</v>
      </c>
      <c r="AA42" s="99">
        <v>0</v>
      </c>
      <c r="AB42" s="99">
        <v>1</v>
      </c>
      <c r="AC42" s="100">
        <f t="shared" si="3"/>
        <v>1</v>
      </c>
      <c r="AD42" s="99">
        <v>1</v>
      </c>
      <c r="AE42" s="99">
        <v>2</v>
      </c>
      <c r="AF42" s="99">
        <v>107.11</v>
      </c>
      <c r="AG42" s="100">
        <f t="shared" si="4"/>
        <v>110.11</v>
      </c>
      <c r="AH42" s="99">
        <v>0</v>
      </c>
      <c r="AI42" s="99">
        <v>0</v>
      </c>
      <c r="AJ42" s="99">
        <v>1</v>
      </c>
      <c r="AK42" s="99">
        <v>0</v>
      </c>
      <c r="AL42" s="100">
        <f t="shared" si="5"/>
        <v>1</v>
      </c>
      <c r="AM42" s="100">
        <f t="shared" si="6"/>
        <v>491.56000000000006</v>
      </c>
    </row>
    <row r="43" spans="1:39" ht="15.75" thickBot="1" x14ac:dyDescent="0.3">
      <c r="A43" s="12">
        <v>31</v>
      </c>
      <c r="B43" s="101" t="s">
        <v>182</v>
      </c>
      <c r="C43" s="99">
        <v>109</v>
      </c>
      <c r="D43" s="99">
        <v>4.25</v>
      </c>
      <c r="E43" s="99">
        <v>2.5</v>
      </c>
      <c r="F43" s="99">
        <v>0.5</v>
      </c>
      <c r="G43" s="99">
        <v>9.48</v>
      </c>
      <c r="H43" s="99">
        <v>0</v>
      </c>
      <c r="I43" s="99">
        <v>3</v>
      </c>
      <c r="J43" s="99">
        <v>19.28</v>
      </c>
      <c r="K43" s="99">
        <v>1</v>
      </c>
      <c r="L43" s="99">
        <v>0</v>
      </c>
      <c r="M43" s="99">
        <v>5.28</v>
      </c>
      <c r="N43" s="99">
        <v>0</v>
      </c>
      <c r="O43" s="99">
        <v>0</v>
      </c>
      <c r="P43" s="100">
        <f t="shared" si="0"/>
        <v>6.28</v>
      </c>
      <c r="Q43" s="99">
        <v>1</v>
      </c>
      <c r="R43" s="99">
        <v>2</v>
      </c>
      <c r="S43" s="99">
        <v>35.46</v>
      </c>
      <c r="T43" s="100">
        <f t="shared" si="1"/>
        <v>38.46</v>
      </c>
      <c r="U43" s="99">
        <v>3</v>
      </c>
      <c r="V43" s="99">
        <v>1</v>
      </c>
      <c r="W43" s="99">
        <v>0</v>
      </c>
      <c r="X43" s="99">
        <v>2</v>
      </c>
      <c r="Y43" s="99">
        <v>1.5</v>
      </c>
      <c r="Z43" s="100">
        <f t="shared" si="2"/>
        <v>7.5</v>
      </c>
      <c r="AA43" s="99">
        <v>1</v>
      </c>
      <c r="AB43" s="99">
        <v>6</v>
      </c>
      <c r="AC43" s="100">
        <f t="shared" si="3"/>
        <v>7</v>
      </c>
      <c r="AD43" s="99">
        <v>1</v>
      </c>
      <c r="AE43" s="99">
        <v>1.73</v>
      </c>
      <c r="AF43" s="99">
        <v>28.97</v>
      </c>
      <c r="AG43" s="100">
        <f t="shared" si="4"/>
        <v>31.7</v>
      </c>
      <c r="AH43" s="99">
        <v>0</v>
      </c>
      <c r="AI43" s="99">
        <v>0</v>
      </c>
      <c r="AJ43" s="99">
        <v>0</v>
      </c>
      <c r="AK43" s="99">
        <v>0</v>
      </c>
      <c r="AL43" s="100">
        <f t="shared" si="5"/>
        <v>0</v>
      </c>
      <c r="AM43" s="100">
        <f t="shared" si="6"/>
        <v>238.95000000000002</v>
      </c>
    </row>
    <row r="44" spans="1:39" ht="15.75" thickBot="1" x14ac:dyDescent="0.3">
      <c r="A44" s="12">
        <v>32</v>
      </c>
      <c r="B44" s="101" t="s">
        <v>183</v>
      </c>
      <c r="C44" s="99">
        <v>73.650000000000006</v>
      </c>
      <c r="D44" s="99">
        <v>1</v>
      </c>
      <c r="E44" s="99">
        <v>0</v>
      </c>
      <c r="F44" s="99">
        <v>0</v>
      </c>
      <c r="G44" s="99">
        <v>1.5</v>
      </c>
      <c r="H44" s="99">
        <v>0</v>
      </c>
      <c r="I44" s="99">
        <v>4</v>
      </c>
      <c r="J44" s="99">
        <v>19.7</v>
      </c>
      <c r="K44" s="99">
        <v>1</v>
      </c>
      <c r="L44" s="99">
        <v>1</v>
      </c>
      <c r="M44" s="99">
        <v>1</v>
      </c>
      <c r="N44" s="99">
        <v>2</v>
      </c>
      <c r="O44" s="99">
        <v>0</v>
      </c>
      <c r="P44" s="100">
        <f t="shared" si="0"/>
        <v>5</v>
      </c>
      <c r="Q44" s="99">
        <v>0</v>
      </c>
      <c r="R44" s="99">
        <v>1</v>
      </c>
      <c r="S44" s="99">
        <v>38.5</v>
      </c>
      <c r="T44" s="100">
        <f t="shared" si="1"/>
        <v>39.5</v>
      </c>
      <c r="U44" s="99">
        <v>1</v>
      </c>
      <c r="V44" s="99">
        <v>1</v>
      </c>
      <c r="W44" s="99">
        <v>20.9</v>
      </c>
      <c r="X44" s="99">
        <v>2</v>
      </c>
      <c r="Y44" s="99">
        <v>2</v>
      </c>
      <c r="Z44" s="100">
        <f t="shared" si="2"/>
        <v>26.9</v>
      </c>
      <c r="AA44" s="99">
        <v>0</v>
      </c>
      <c r="AB44" s="99">
        <v>0</v>
      </c>
      <c r="AC44" s="100">
        <f t="shared" si="3"/>
        <v>0</v>
      </c>
      <c r="AD44" s="99">
        <v>1</v>
      </c>
      <c r="AE44" s="99">
        <v>7.4</v>
      </c>
      <c r="AF44" s="99">
        <v>24.5</v>
      </c>
      <c r="AG44" s="100">
        <f t="shared" si="4"/>
        <v>32.9</v>
      </c>
      <c r="AH44" s="99">
        <v>0</v>
      </c>
      <c r="AI44" s="99">
        <v>6</v>
      </c>
      <c r="AJ44" s="99">
        <v>0</v>
      </c>
      <c r="AK44" s="99">
        <v>0</v>
      </c>
      <c r="AL44" s="100">
        <f t="shared" si="5"/>
        <v>6</v>
      </c>
      <c r="AM44" s="100">
        <f t="shared" si="6"/>
        <v>210.15000000000003</v>
      </c>
    </row>
    <row r="45" spans="1:39" ht="15.75" thickBot="1" x14ac:dyDescent="0.3">
      <c r="A45" s="12">
        <v>33</v>
      </c>
      <c r="B45" s="101" t="s">
        <v>184</v>
      </c>
      <c r="C45" s="99">
        <v>294.14</v>
      </c>
      <c r="D45" s="99">
        <v>10.75</v>
      </c>
      <c r="E45" s="99">
        <v>0</v>
      </c>
      <c r="F45" s="99">
        <v>13.35</v>
      </c>
      <c r="G45" s="99">
        <v>44.1</v>
      </c>
      <c r="H45" s="99">
        <v>0</v>
      </c>
      <c r="I45" s="99">
        <v>0.97</v>
      </c>
      <c r="J45" s="99">
        <v>111.72</v>
      </c>
      <c r="K45" s="99">
        <v>1</v>
      </c>
      <c r="L45" s="99">
        <v>1</v>
      </c>
      <c r="M45" s="99">
        <v>2</v>
      </c>
      <c r="N45" s="99">
        <v>18.62</v>
      </c>
      <c r="O45" s="99">
        <v>1.73</v>
      </c>
      <c r="P45" s="100">
        <f t="shared" si="0"/>
        <v>24.35</v>
      </c>
      <c r="Q45" s="99">
        <v>1.96</v>
      </c>
      <c r="R45" s="99">
        <v>2</v>
      </c>
      <c r="S45" s="99">
        <v>167.72</v>
      </c>
      <c r="T45" s="100">
        <f t="shared" si="1"/>
        <v>171.68</v>
      </c>
      <c r="U45" s="99">
        <v>3.92</v>
      </c>
      <c r="V45" s="99">
        <v>2</v>
      </c>
      <c r="W45" s="99">
        <v>74.48</v>
      </c>
      <c r="X45" s="99">
        <v>6.5</v>
      </c>
      <c r="Y45" s="99">
        <v>18.52</v>
      </c>
      <c r="Z45" s="100">
        <f t="shared" si="2"/>
        <v>105.42</v>
      </c>
      <c r="AA45" s="99">
        <v>0</v>
      </c>
      <c r="AB45" s="99">
        <v>0</v>
      </c>
      <c r="AC45" s="100">
        <f t="shared" si="3"/>
        <v>0</v>
      </c>
      <c r="AD45" s="99">
        <v>1</v>
      </c>
      <c r="AE45" s="99">
        <v>20.260000000000002</v>
      </c>
      <c r="AF45" s="99">
        <v>94.84</v>
      </c>
      <c r="AG45" s="100">
        <f t="shared" si="4"/>
        <v>116.10000000000001</v>
      </c>
      <c r="AH45" s="99">
        <v>0</v>
      </c>
      <c r="AI45" s="99">
        <v>0</v>
      </c>
      <c r="AJ45" s="99">
        <v>1</v>
      </c>
      <c r="AK45" s="99">
        <v>1</v>
      </c>
      <c r="AL45" s="100">
        <f t="shared" si="5"/>
        <v>2</v>
      </c>
      <c r="AM45" s="100">
        <f t="shared" si="6"/>
        <v>894.58000000000015</v>
      </c>
    </row>
    <row r="46" spans="1:39" ht="15.75" thickBot="1" x14ac:dyDescent="0.3">
      <c r="A46" s="12">
        <v>34</v>
      </c>
      <c r="B46" s="101" t="s">
        <v>185</v>
      </c>
      <c r="C46" s="99">
        <v>10.07</v>
      </c>
      <c r="D46" s="99">
        <v>0</v>
      </c>
      <c r="E46" s="99">
        <v>0</v>
      </c>
      <c r="F46" s="99">
        <v>0.73</v>
      </c>
      <c r="G46" s="99">
        <v>1.21</v>
      </c>
      <c r="H46" s="99">
        <v>0</v>
      </c>
      <c r="I46" s="99">
        <v>0</v>
      </c>
      <c r="J46" s="99">
        <v>3.88</v>
      </c>
      <c r="K46" s="99">
        <v>1</v>
      </c>
      <c r="L46" s="99">
        <v>0</v>
      </c>
      <c r="M46" s="99">
        <v>0</v>
      </c>
      <c r="N46" s="99">
        <v>1.26</v>
      </c>
      <c r="O46" s="99">
        <v>0</v>
      </c>
      <c r="P46" s="100">
        <f t="shared" si="0"/>
        <v>2.2599999999999998</v>
      </c>
      <c r="Q46" s="99">
        <v>0</v>
      </c>
      <c r="R46" s="99">
        <v>2</v>
      </c>
      <c r="S46" s="99">
        <v>2.88</v>
      </c>
      <c r="T46" s="100">
        <f t="shared" si="1"/>
        <v>4.88</v>
      </c>
      <c r="U46" s="99">
        <v>0</v>
      </c>
      <c r="V46" s="99">
        <v>0.32</v>
      </c>
      <c r="W46" s="99">
        <v>2.57</v>
      </c>
      <c r="X46" s="99">
        <v>0</v>
      </c>
      <c r="Y46" s="99">
        <v>0</v>
      </c>
      <c r="Z46" s="100">
        <f t="shared" si="2"/>
        <v>2.8899999999999997</v>
      </c>
      <c r="AA46" s="99">
        <v>0</v>
      </c>
      <c r="AB46" s="99">
        <v>0</v>
      </c>
      <c r="AC46" s="100">
        <f t="shared" si="3"/>
        <v>0</v>
      </c>
      <c r="AD46" s="99">
        <v>0.32</v>
      </c>
      <c r="AE46" s="99">
        <v>0</v>
      </c>
      <c r="AF46" s="99">
        <v>3.81</v>
      </c>
      <c r="AG46" s="100">
        <f t="shared" si="4"/>
        <v>4.13</v>
      </c>
      <c r="AH46" s="99">
        <v>0</v>
      </c>
      <c r="AI46" s="99">
        <v>0.13</v>
      </c>
      <c r="AJ46" s="99">
        <v>0</v>
      </c>
      <c r="AK46" s="99">
        <v>0</v>
      </c>
      <c r="AL46" s="100">
        <f t="shared" si="5"/>
        <v>0.13</v>
      </c>
      <c r="AM46" s="100">
        <f t="shared" si="6"/>
        <v>30.179999999999996</v>
      </c>
    </row>
    <row r="47" spans="1:39" ht="15.75" thickBot="1" x14ac:dyDescent="0.3">
      <c r="A47" s="12">
        <v>35</v>
      </c>
      <c r="B47" s="101" t="s">
        <v>186</v>
      </c>
      <c r="C47" s="99">
        <v>383.9</v>
      </c>
      <c r="D47" s="99">
        <v>12.7</v>
      </c>
      <c r="E47" s="99">
        <v>12.53</v>
      </c>
      <c r="F47" s="99">
        <v>9.75</v>
      </c>
      <c r="G47" s="99">
        <v>27.7</v>
      </c>
      <c r="H47" s="99">
        <v>2.33</v>
      </c>
      <c r="I47" s="99">
        <v>6.92</v>
      </c>
      <c r="J47" s="99">
        <v>63</v>
      </c>
      <c r="K47" s="99">
        <v>0</v>
      </c>
      <c r="L47" s="99">
        <v>0</v>
      </c>
      <c r="M47" s="99">
        <v>12.94</v>
      </c>
      <c r="N47" s="99">
        <v>2</v>
      </c>
      <c r="O47" s="99">
        <v>0</v>
      </c>
      <c r="P47" s="100">
        <f t="shared" si="0"/>
        <v>14.94</v>
      </c>
      <c r="Q47" s="99">
        <v>2</v>
      </c>
      <c r="R47" s="99">
        <v>2</v>
      </c>
      <c r="S47" s="99">
        <v>141.38</v>
      </c>
      <c r="T47" s="100">
        <f t="shared" si="1"/>
        <v>145.38</v>
      </c>
      <c r="U47" s="99">
        <v>2</v>
      </c>
      <c r="V47" s="99">
        <v>2</v>
      </c>
      <c r="W47" s="99">
        <v>89.72</v>
      </c>
      <c r="X47" s="99">
        <v>8</v>
      </c>
      <c r="Y47" s="99">
        <v>0</v>
      </c>
      <c r="Z47" s="100">
        <f t="shared" si="2"/>
        <v>101.72</v>
      </c>
      <c r="AA47" s="99">
        <v>0</v>
      </c>
      <c r="AB47" s="99">
        <v>0</v>
      </c>
      <c r="AC47" s="100">
        <f t="shared" si="3"/>
        <v>0</v>
      </c>
      <c r="AD47" s="99">
        <v>3</v>
      </c>
      <c r="AE47" s="99">
        <v>1</v>
      </c>
      <c r="AF47" s="99">
        <v>181.38</v>
      </c>
      <c r="AG47" s="100">
        <f t="shared" si="4"/>
        <v>185.38</v>
      </c>
      <c r="AH47" s="99">
        <v>0</v>
      </c>
      <c r="AI47" s="99">
        <v>0</v>
      </c>
      <c r="AJ47" s="99">
        <v>4</v>
      </c>
      <c r="AK47" s="99">
        <v>0</v>
      </c>
      <c r="AL47" s="100">
        <f t="shared" si="5"/>
        <v>4</v>
      </c>
      <c r="AM47" s="100">
        <f t="shared" si="6"/>
        <v>970.25</v>
      </c>
    </row>
    <row r="48" spans="1:39" s="90" customFormat="1" ht="13.5" thickBot="1" x14ac:dyDescent="0.3">
      <c r="A48" s="25"/>
      <c r="B48" s="13" t="s">
        <v>59</v>
      </c>
      <c r="C48" s="103">
        <f>SUM(C7:C47)</f>
        <v>7649.45</v>
      </c>
      <c r="D48" s="103">
        <f t="shared" ref="D48:O48" si="7">SUM(D7:D47)</f>
        <v>129.07999999999998</v>
      </c>
      <c r="E48" s="103">
        <f t="shared" si="7"/>
        <v>218.83999999999997</v>
      </c>
      <c r="F48" s="103">
        <f t="shared" si="7"/>
        <v>339.62000000000006</v>
      </c>
      <c r="G48" s="103">
        <f t="shared" si="7"/>
        <v>449.84000000000009</v>
      </c>
      <c r="H48" s="103">
        <f t="shared" si="7"/>
        <v>29.660000000000004</v>
      </c>
      <c r="I48" s="103">
        <f t="shared" si="7"/>
        <v>105.17</v>
      </c>
      <c r="J48" s="103">
        <f t="shared" si="7"/>
        <v>1541.46</v>
      </c>
      <c r="K48" s="103">
        <f t="shared" si="7"/>
        <v>34.39</v>
      </c>
      <c r="L48" s="103">
        <f t="shared" si="7"/>
        <v>54.519999999999996</v>
      </c>
      <c r="M48" s="103">
        <f t="shared" si="7"/>
        <v>88.19</v>
      </c>
      <c r="N48" s="103">
        <f t="shared" si="7"/>
        <v>233.58000000000004</v>
      </c>
      <c r="O48" s="103">
        <f t="shared" si="7"/>
        <v>218.73999999999998</v>
      </c>
      <c r="P48" s="104">
        <f t="shared" si="0"/>
        <v>629.42000000000007</v>
      </c>
      <c r="Q48" s="103">
        <f t="shared" ref="Q48:AL48" si="8">SUM(Q7:Q47)</f>
        <v>51.690000000000005</v>
      </c>
      <c r="R48" s="103">
        <f t="shared" si="8"/>
        <v>108.23</v>
      </c>
      <c r="S48" s="103">
        <f t="shared" si="8"/>
        <v>3348.3200000000006</v>
      </c>
      <c r="T48" s="103">
        <f t="shared" si="8"/>
        <v>3508.2400000000007</v>
      </c>
      <c r="U48" s="103">
        <f t="shared" si="8"/>
        <v>81.3</v>
      </c>
      <c r="V48" s="103">
        <f t="shared" si="8"/>
        <v>37.450000000000003</v>
      </c>
      <c r="W48" s="103">
        <f t="shared" si="8"/>
        <v>1480.6100000000001</v>
      </c>
      <c r="X48" s="103">
        <f t="shared" si="8"/>
        <v>123.91999999999999</v>
      </c>
      <c r="Y48" s="103">
        <f t="shared" si="8"/>
        <v>168.63</v>
      </c>
      <c r="Z48" s="103">
        <f t="shared" si="8"/>
        <v>1891.91</v>
      </c>
      <c r="AA48" s="103">
        <f t="shared" si="8"/>
        <v>19</v>
      </c>
      <c r="AB48" s="103">
        <f t="shared" si="8"/>
        <v>227.15</v>
      </c>
      <c r="AC48" s="103">
        <f t="shared" si="8"/>
        <v>246.15</v>
      </c>
      <c r="AD48" s="103">
        <f t="shared" si="8"/>
        <v>71.459999999999994</v>
      </c>
      <c r="AE48" s="103">
        <f t="shared" si="8"/>
        <v>127.00000000000001</v>
      </c>
      <c r="AF48" s="103">
        <f t="shared" si="8"/>
        <v>2770.4999999999995</v>
      </c>
      <c r="AG48" s="103">
        <f t="shared" si="8"/>
        <v>2968.9599999999996</v>
      </c>
      <c r="AH48" s="103">
        <f t="shared" si="8"/>
        <v>44.96</v>
      </c>
      <c r="AI48" s="103">
        <f t="shared" si="8"/>
        <v>173.39</v>
      </c>
      <c r="AJ48" s="103">
        <f t="shared" si="8"/>
        <v>141.85000000000002</v>
      </c>
      <c r="AK48" s="103">
        <f t="shared" si="8"/>
        <v>14.5</v>
      </c>
      <c r="AL48" s="103">
        <f t="shared" si="8"/>
        <v>374.7</v>
      </c>
      <c r="AM48" s="104">
        <f t="shared" si="6"/>
        <v>20082.5</v>
      </c>
    </row>
    <row r="49" spans="1:39" s="90" customFormat="1" ht="15.75" thickBot="1" x14ac:dyDescent="0.3">
      <c r="A49" s="105">
        <v>83</v>
      </c>
      <c r="B49" s="99" t="s">
        <v>187</v>
      </c>
      <c r="C49" s="99">
        <v>2.4500000000000002</v>
      </c>
      <c r="D49" s="99">
        <v>0</v>
      </c>
      <c r="E49" s="99">
        <v>0</v>
      </c>
      <c r="F49" s="99">
        <v>0</v>
      </c>
      <c r="G49" s="99">
        <v>0</v>
      </c>
      <c r="H49" s="99">
        <v>0</v>
      </c>
      <c r="I49" s="99">
        <v>0.8</v>
      </c>
      <c r="J49" s="99">
        <v>0.84</v>
      </c>
      <c r="K49" s="99">
        <v>1</v>
      </c>
      <c r="L49" s="99">
        <v>0</v>
      </c>
      <c r="M49" s="99">
        <v>0.13</v>
      </c>
      <c r="N49" s="99">
        <v>0</v>
      </c>
      <c r="O49" s="99">
        <v>0.69</v>
      </c>
      <c r="P49" s="106">
        <f t="shared" si="0"/>
        <v>1.8199999999999998</v>
      </c>
      <c r="Q49" s="99">
        <v>0</v>
      </c>
      <c r="R49" s="99">
        <v>0</v>
      </c>
      <c r="S49" s="99">
        <v>0</v>
      </c>
      <c r="T49" s="107">
        <f>SUM(Q49:S49)</f>
        <v>0</v>
      </c>
      <c r="U49" s="99">
        <v>0</v>
      </c>
      <c r="V49" s="99">
        <v>0</v>
      </c>
      <c r="W49" s="99">
        <v>0</v>
      </c>
      <c r="X49" s="99">
        <v>0</v>
      </c>
      <c r="Y49" s="99">
        <v>0</v>
      </c>
      <c r="Z49" s="106">
        <f t="shared" si="2"/>
        <v>0</v>
      </c>
      <c r="AA49" s="99">
        <v>0</v>
      </c>
      <c r="AB49" s="99">
        <v>0</v>
      </c>
      <c r="AC49" s="106">
        <f t="shared" si="3"/>
        <v>0</v>
      </c>
      <c r="AD49" s="99">
        <v>0</v>
      </c>
      <c r="AE49" s="99">
        <v>0</v>
      </c>
      <c r="AF49" s="99">
        <v>0</v>
      </c>
      <c r="AG49" s="107">
        <f>SUM(AD49:AF49)</f>
        <v>0</v>
      </c>
      <c r="AH49" s="99">
        <v>0</v>
      </c>
      <c r="AI49" s="99">
        <v>0</v>
      </c>
      <c r="AJ49" s="99">
        <v>0</v>
      </c>
      <c r="AK49" s="99">
        <v>0</v>
      </c>
      <c r="AL49" s="106">
        <f t="shared" si="5"/>
        <v>0</v>
      </c>
      <c r="AM49" s="106">
        <f t="shared" si="6"/>
        <v>5.91</v>
      </c>
    </row>
    <row r="50" spans="1:39" s="90" customFormat="1" ht="15.75" thickBot="1" x14ac:dyDescent="0.3">
      <c r="A50" s="105" t="s">
        <v>65</v>
      </c>
      <c r="B50" s="99" t="s">
        <v>188</v>
      </c>
      <c r="C50" s="99">
        <v>0</v>
      </c>
      <c r="D50" s="99">
        <v>0</v>
      </c>
      <c r="E50" s="99">
        <v>5</v>
      </c>
      <c r="F50" s="99">
        <v>0</v>
      </c>
      <c r="G50" s="99">
        <v>0</v>
      </c>
      <c r="H50" s="99">
        <v>1</v>
      </c>
      <c r="I50" s="99">
        <v>2</v>
      </c>
      <c r="J50" s="99">
        <v>1</v>
      </c>
      <c r="K50" s="99">
        <v>1</v>
      </c>
      <c r="L50" s="99">
        <v>0</v>
      </c>
      <c r="M50" s="99">
        <v>0</v>
      </c>
      <c r="N50" s="99">
        <v>1</v>
      </c>
      <c r="O50" s="99">
        <v>0</v>
      </c>
      <c r="P50" s="100">
        <f t="shared" si="0"/>
        <v>2</v>
      </c>
      <c r="Q50" s="99">
        <v>0</v>
      </c>
      <c r="R50" s="99">
        <v>0</v>
      </c>
      <c r="S50" s="99">
        <v>3</v>
      </c>
      <c r="T50" s="104">
        <f t="shared" ref="T50:T113" si="9">SUM(Q50:S50)</f>
        <v>3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Z50" s="100">
        <f t="shared" si="2"/>
        <v>0</v>
      </c>
      <c r="AA50" s="99">
        <v>0</v>
      </c>
      <c r="AB50" s="99">
        <v>0</v>
      </c>
      <c r="AC50" s="100">
        <f t="shared" si="3"/>
        <v>0</v>
      </c>
      <c r="AD50" s="99">
        <v>0</v>
      </c>
      <c r="AE50" s="99">
        <v>0</v>
      </c>
      <c r="AF50" s="99">
        <v>0</v>
      </c>
      <c r="AG50" s="104">
        <f t="shared" ref="AG50:AG113" si="10">SUM(AD50:AF50)</f>
        <v>0</v>
      </c>
      <c r="AH50" s="99">
        <v>0</v>
      </c>
      <c r="AI50" s="99">
        <v>0</v>
      </c>
      <c r="AJ50" s="99">
        <v>0</v>
      </c>
      <c r="AK50" s="99">
        <v>0</v>
      </c>
      <c r="AL50" s="100">
        <f t="shared" si="5"/>
        <v>0</v>
      </c>
      <c r="AM50" s="100">
        <f t="shared" si="6"/>
        <v>14</v>
      </c>
    </row>
    <row r="51" spans="1:39" s="90" customFormat="1" ht="15.75" thickBot="1" x14ac:dyDescent="0.3">
      <c r="A51" s="105">
        <v>74</v>
      </c>
      <c r="B51" s="99" t="s">
        <v>189</v>
      </c>
      <c r="C51" s="99">
        <v>12.88</v>
      </c>
      <c r="D51" s="99">
        <v>0</v>
      </c>
      <c r="E51" s="99">
        <v>0</v>
      </c>
      <c r="F51" s="99">
        <v>2.4900000000000002</v>
      </c>
      <c r="G51" s="99">
        <v>0</v>
      </c>
      <c r="H51" s="99">
        <v>0</v>
      </c>
      <c r="I51" s="99">
        <v>0</v>
      </c>
      <c r="J51" s="99">
        <v>7.4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100">
        <f t="shared" si="0"/>
        <v>0</v>
      </c>
      <c r="Q51" s="99">
        <v>3.86</v>
      </c>
      <c r="R51" s="99">
        <v>0</v>
      </c>
      <c r="S51" s="99">
        <v>3.81</v>
      </c>
      <c r="T51" s="104">
        <f t="shared" si="9"/>
        <v>7.67</v>
      </c>
      <c r="U51" s="99">
        <v>0</v>
      </c>
      <c r="V51" s="99">
        <v>0</v>
      </c>
      <c r="W51" s="99">
        <v>3.68</v>
      </c>
      <c r="X51" s="99">
        <v>0</v>
      </c>
      <c r="Y51" s="99">
        <v>0</v>
      </c>
      <c r="Z51" s="100">
        <f t="shared" si="2"/>
        <v>3.68</v>
      </c>
      <c r="AA51" s="99">
        <v>0</v>
      </c>
      <c r="AB51" s="99">
        <v>0</v>
      </c>
      <c r="AC51" s="100">
        <f t="shared" si="3"/>
        <v>0</v>
      </c>
      <c r="AD51" s="99">
        <v>0</v>
      </c>
      <c r="AE51" s="99">
        <v>0</v>
      </c>
      <c r="AF51" s="99">
        <v>0.63</v>
      </c>
      <c r="AG51" s="104">
        <f t="shared" si="10"/>
        <v>0.63</v>
      </c>
      <c r="AH51" s="99">
        <v>0</v>
      </c>
      <c r="AI51" s="99">
        <v>0</v>
      </c>
      <c r="AJ51" s="99">
        <v>0</v>
      </c>
      <c r="AK51" s="99">
        <v>0</v>
      </c>
      <c r="AL51" s="100">
        <f t="shared" si="5"/>
        <v>0</v>
      </c>
      <c r="AM51" s="100">
        <f t="shared" si="6"/>
        <v>34.750000000000007</v>
      </c>
    </row>
    <row r="52" spans="1:39" s="90" customFormat="1" ht="15.75" thickBot="1" x14ac:dyDescent="0.3">
      <c r="A52" s="105" t="s">
        <v>292</v>
      </c>
      <c r="B52" s="99" t="s">
        <v>293</v>
      </c>
      <c r="C52" s="99">
        <v>2.5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1</v>
      </c>
      <c r="K52" s="99">
        <v>0</v>
      </c>
      <c r="L52" s="99">
        <v>0</v>
      </c>
      <c r="M52" s="99">
        <v>0</v>
      </c>
      <c r="N52" s="99">
        <v>0</v>
      </c>
      <c r="O52" s="99">
        <v>0</v>
      </c>
      <c r="P52" s="100">
        <f t="shared" si="0"/>
        <v>0</v>
      </c>
      <c r="Q52" s="99">
        <v>0</v>
      </c>
      <c r="R52" s="99">
        <v>0</v>
      </c>
      <c r="S52" s="99">
        <v>0.75</v>
      </c>
      <c r="T52" s="104">
        <f t="shared" si="9"/>
        <v>0.75</v>
      </c>
      <c r="U52" s="99">
        <v>0</v>
      </c>
      <c r="V52" s="99">
        <v>0</v>
      </c>
      <c r="W52" s="99">
        <v>0</v>
      </c>
      <c r="X52" s="99">
        <v>0</v>
      </c>
      <c r="Y52" s="99">
        <v>0</v>
      </c>
      <c r="Z52" s="100">
        <f t="shared" si="2"/>
        <v>0</v>
      </c>
      <c r="AA52" s="99">
        <v>0</v>
      </c>
      <c r="AB52" s="99">
        <v>0</v>
      </c>
      <c r="AC52" s="100">
        <f t="shared" si="3"/>
        <v>0</v>
      </c>
      <c r="AD52" s="99">
        <v>0</v>
      </c>
      <c r="AE52" s="99">
        <v>0</v>
      </c>
      <c r="AF52" s="99">
        <v>0.25</v>
      </c>
      <c r="AG52" s="104">
        <f t="shared" si="10"/>
        <v>0.25</v>
      </c>
      <c r="AH52" s="99">
        <v>0</v>
      </c>
      <c r="AI52" s="99">
        <v>0.5</v>
      </c>
      <c r="AJ52" s="99">
        <v>0</v>
      </c>
      <c r="AK52" s="99">
        <v>0</v>
      </c>
      <c r="AL52" s="100">
        <f t="shared" si="5"/>
        <v>0.5</v>
      </c>
      <c r="AM52" s="100">
        <f t="shared" si="6"/>
        <v>5</v>
      </c>
    </row>
    <row r="53" spans="1:39" s="90" customFormat="1" ht="15.75" thickBot="1" x14ac:dyDescent="0.3">
      <c r="A53" s="105" t="s">
        <v>66</v>
      </c>
      <c r="B53" s="99" t="s">
        <v>190</v>
      </c>
      <c r="C53" s="99">
        <v>0</v>
      </c>
      <c r="D53" s="99">
        <v>0</v>
      </c>
      <c r="E53" s="99">
        <v>0.43</v>
      </c>
      <c r="F53" s="99">
        <v>0.56999999999999995</v>
      </c>
      <c r="G53" s="99">
        <v>0</v>
      </c>
      <c r="H53" s="99">
        <v>0</v>
      </c>
      <c r="I53" s="99">
        <v>0</v>
      </c>
      <c r="J53" s="99">
        <v>1</v>
      </c>
      <c r="K53" s="99">
        <v>0.35</v>
      </c>
      <c r="L53" s="99">
        <v>0</v>
      </c>
      <c r="M53" s="99">
        <v>0</v>
      </c>
      <c r="N53" s="99">
        <v>0</v>
      </c>
      <c r="O53" s="99">
        <v>0</v>
      </c>
      <c r="P53" s="100">
        <f t="shared" si="0"/>
        <v>0.35</v>
      </c>
      <c r="Q53" s="99">
        <v>0</v>
      </c>
      <c r="R53" s="99">
        <v>0</v>
      </c>
      <c r="S53" s="99">
        <v>0</v>
      </c>
      <c r="T53" s="104">
        <f t="shared" si="9"/>
        <v>0</v>
      </c>
      <c r="U53" s="99">
        <v>0</v>
      </c>
      <c r="V53" s="99">
        <v>0</v>
      </c>
      <c r="W53" s="99">
        <v>0</v>
      </c>
      <c r="X53" s="99">
        <v>0</v>
      </c>
      <c r="Y53" s="99">
        <v>0</v>
      </c>
      <c r="Z53" s="100">
        <f t="shared" si="2"/>
        <v>0</v>
      </c>
      <c r="AA53" s="99">
        <v>0</v>
      </c>
      <c r="AB53" s="99">
        <v>0</v>
      </c>
      <c r="AC53" s="100">
        <f t="shared" si="3"/>
        <v>0</v>
      </c>
      <c r="AD53" s="99">
        <v>0</v>
      </c>
      <c r="AE53" s="99">
        <v>0</v>
      </c>
      <c r="AF53" s="99">
        <v>0</v>
      </c>
      <c r="AG53" s="104">
        <f t="shared" si="10"/>
        <v>0</v>
      </c>
      <c r="AH53" s="99">
        <v>0</v>
      </c>
      <c r="AI53" s="99">
        <v>0</v>
      </c>
      <c r="AJ53" s="99">
        <v>0</v>
      </c>
      <c r="AK53" s="99">
        <v>0</v>
      </c>
      <c r="AL53" s="100">
        <f t="shared" si="5"/>
        <v>0</v>
      </c>
      <c r="AM53" s="100">
        <f t="shared" si="6"/>
        <v>2.35</v>
      </c>
    </row>
    <row r="54" spans="1:39" s="90" customFormat="1" ht="15.75" thickBot="1" x14ac:dyDescent="0.3">
      <c r="A54" s="105" t="s">
        <v>67</v>
      </c>
      <c r="B54" s="99" t="s">
        <v>191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100">
        <f t="shared" si="0"/>
        <v>0</v>
      </c>
      <c r="Q54" s="99"/>
      <c r="R54" s="99"/>
      <c r="S54" s="99"/>
      <c r="T54" s="104">
        <f t="shared" si="9"/>
        <v>0</v>
      </c>
      <c r="U54" s="99"/>
      <c r="V54" s="99"/>
      <c r="W54" s="99"/>
      <c r="X54" s="99"/>
      <c r="Y54" s="99"/>
      <c r="Z54" s="100">
        <f t="shared" si="2"/>
        <v>0</v>
      </c>
      <c r="AA54" s="99"/>
      <c r="AB54" s="99"/>
      <c r="AC54" s="100">
        <f t="shared" si="3"/>
        <v>0</v>
      </c>
      <c r="AD54" s="99"/>
      <c r="AE54" s="99"/>
      <c r="AF54" s="99"/>
      <c r="AG54" s="104">
        <f t="shared" si="10"/>
        <v>0</v>
      </c>
      <c r="AH54" s="99"/>
      <c r="AI54" s="99"/>
      <c r="AJ54" s="99"/>
      <c r="AK54" s="99"/>
      <c r="AL54" s="100">
        <f t="shared" si="5"/>
        <v>0</v>
      </c>
      <c r="AM54" s="100">
        <f t="shared" si="6"/>
        <v>0</v>
      </c>
    </row>
    <row r="55" spans="1:39" ht="15.75" thickBot="1" x14ac:dyDescent="0.3">
      <c r="A55" s="105" t="s">
        <v>68</v>
      </c>
      <c r="B55" s="99" t="s">
        <v>192</v>
      </c>
      <c r="C55" s="99">
        <v>11.7</v>
      </c>
      <c r="D55" s="99">
        <v>0</v>
      </c>
      <c r="E55" s="99">
        <v>0</v>
      </c>
      <c r="F55" s="99">
        <v>0</v>
      </c>
      <c r="G55" s="99">
        <v>1.5</v>
      </c>
      <c r="H55" s="99">
        <v>0</v>
      </c>
      <c r="I55" s="99">
        <v>0</v>
      </c>
      <c r="J55" s="99">
        <v>2</v>
      </c>
      <c r="K55" s="99">
        <v>1</v>
      </c>
      <c r="L55" s="99">
        <v>0</v>
      </c>
      <c r="M55" s="99">
        <v>0.45</v>
      </c>
      <c r="N55" s="99">
        <v>0</v>
      </c>
      <c r="O55" s="99">
        <v>0</v>
      </c>
      <c r="P55" s="100">
        <f t="shared" si="0"/>
        <v>1.45</v>
      </c>
      <c r="Q55" s="99">
        <v>0</v>
      </c>
      <c r="R55" s="99">
        <v>1</v>
      </c>
      <c r="S55" s="99">
        <v>2</v>
      </c>
      <c r="T55" s="104">
        <f t="shared" si="9"/>
        <v>3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100">
        <f t="shared" si="2"/>
        <v>0</v>
      </c>
      <c r="AA55" s="99">
        <v>0</v>
      </c>
      <c r="AB55" s="99">
        <v>0</v>
      </c>
      <c r="AC55" s="100">
        <f t="shared" si="3"/>
        <v>0</v>
      </c>
      <c r="AD55" s="99">
        <v>1</v>
      </c>
      <c r="AE55" s="99">
        <v>0</v>
      </c>
      <c r="AF55" s="99">
        <v>0.95</v>
      </c>
      <c r="AG55" s="104">
        <f t="shared" si="10"/>
        <v>1.95</v>
      </c>
      <c r="AH55" s="99">
        <v>0</v>
      </c>
      <c r="AI55" s="99">
        <v>0</v>
      </c>
      <c r="AJ55" s="99">
        <v>0</v>
      </c>
      <c r="AK55" s="99">
        <v>0</v>
      </c>
      <c r="AL55" s="100">
        <f t="shared" si="5"/>
        <v>0</v>
      </c>
      <c r="AM55" s="100">
        <f t="shared" si="6"/>
        <v>21.599999999999998</v>
      </c>
    </row>
    <row r="56" spans="1:39" ht="15.75" thickBot="1" x14ac:dyDescent="0.3">
      <c r="A56" s="105">
        <v>87</v>
      </c>
      <c r="B56" s="99" t="s">
        <v>193</v>
      </c>
      <c r="C56" s="99">
        <v>6.4</v>
      </c>
      <c r="D56" s="99">
        <v>0</v>
      </c>
      <c r="E56" s="99">
        <v>0</v>
      </c>
      <c r="F56" s="99">
        <v>0</v>
      </c>
      <c r="G56" s="99">
        <v>0.81</v>
      </c>
      <c r="H56" s="99">
        <v>0</v>
      </c>
      <c r="I56" s="99">
        <v>0</v>
      </c>
      <c r="J56" s="99">
        <v>1.17</v>
      </c>
      <c r="K56" s="99">
        <v>1</v>
      </c>
      <c r="L56" s="99">
        <v>0</v>
      </c>
      <c r="M56" s="99">
        <v>0</v>
      </c>
      <c r="N56" s="99">
        <v>0</v>
      </c>
      <c r="O56" s="99">
        <v>0</v>
      </c>
      <c r="P56" s="100">
        <f t="shared" si="0"/>
        <v>1</v>
      </c>
      <c r="Q56" s="99">
        <v>0</v>
      </c>
      <c r="R56" s="99">
        <v>1</v>
      </c>
      <c r="S56" s="99">
        <v>0.59</v>
      </c>
      <c r="T56" s="104">
        <f t="shared" si="9"/>
        <v>1.5899999999999999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100">
        <f t="shared" si="2"/>
        <v>0</v>
      </c>
      <c r="AA56" s="99">
        <v>0</v>
      </c>
      <c r="AB56" s="99">
        <v>0</v>
      </c>
      <c r="AC56" s="100">
        <f t="shared" si="3"/>
        <v>0</v>
      </c>
      <c r="AD56" s="99">
        <v>0</v>
      </c>
      <c r="AE56" s="99">
        <v>0</v>
      </c>
      <c r="AF56" s="99">
        <v>0</v>
      </c>
      <c r="AG56" s="104">
        <f t="shared" si="10"/>
        <v>0</v>
      </c>
      <c r="AH56" s="99">
        <v>0</v>
      </c>
      <c r="AI56" s="99">
        <v>0</v>
      </c>
      <c r="AJ56" s="99">
        <v>0</v>
      </c>
      <c r="AK56" s="99">
        <v>0</v>
      </c>
      <c r="AL56" s="100">
        <f t="shared" si="5"/>
        <v>0</v>
      </c>
      <c r="AM56" s="100">
        <f t="shared" si="6"/>
        <v>10.97</v>
      </c>
    </row>
    <row r="57" spans="1:39" ht="15.75" thickBot="1" x14ac:dyDescent="0.3">
      <c r="A57" s="105" t="s">
        <v>69</v>
      </c>
      <c r="B57" s="99" t="s">
        <v>294</v>
      </c>
      <c r="C57" s="99">
        <v>1.83</v>
      </c>
      <c r="D57" s="99">
        <v>0</v>
      </c>
      <c r="E57" s="99">
        <v>0</v>
      </c>
      <c r="F57" s="99">
        <v>0</v>
      </c>
      <c r="G57" s="99">
        <v>0</v>
      </c>
      <c r="H57" s="99">
        <v>2</v>
      </c>
      <c r="I57" s="99">
        <v>0</v>
      </c>
      <c r="J57" s="99">
        <v>1.28</v>
      </c>
      <c r="K57" s="99">
        <v>1</v>
      </c>
      <c r="L57" s="99">
        <v>0</v>
      </c>
      <c r="M57" s="99">
        <v>0</v>
      </c>
      <c r="N57" s="99">
        <v>0</v>
      </c>
      <c r="O57" s="99">
        <v>0</v>
      </c>
      <c r="P57" s="100">
        <f t="shared" si="0"/>
        <v>1</v>
      </c>
      <c r="Q57" s="99">
        <v>0</v>
      </c>
      <c r="R57" s="99">
        <v>0</v>
      </c>
      <c r="S57" s="99">
        <v>0.18</v>
      </c>
      <c r="T57" s="104">
        <f t="shared" si="9"/>
        <v>0.18</v>
      </c>
      <c r="U57" s="99">
        <v>0</v>
      </c>
      <c r="V57" s="99">
        <v>0</v>
      </c>
      <c r="W57" s="99">
        <v>0.73</v>
      </c>
      <c r="X57" s="99">
        <v>0</v>
      </c>
      <c r="Y57" s="99">
        <v>0</v>
      </c>
      <c r="Z57" s="100">
        <f t="shared" si="2"/>
        <v>0.73</v>
      </c>
      <c r="AA57" s="99">
        <v>0</v>
      </c>
      <c r="AB57" s="99">
        <v>0</v>
      </c>
      <c r="AC57" s="100">
        <f t="shared" si="3"/>
        <v>0</v>
      </c>
      <c r="AD57" s="99">
        <v>0</v>
      </c>
      <c r="AE57" s="99">
        <v>0</v>
      </c>
      <c r="AF57" s="99">
        <v>1.41</v>
      </c>
      <c r="AG57" s="104">
        <f t="shared" si="10"/>
        <v>1.41</v>
      </c>
      <c r="AH57" s="99">
        <v>0</v>
      </c>
      <c r="AI57" s="99">
        <v>0</v>
      </c>
      <c r="AJ57" s="99">
        <v>0</v>
      </c>
      <c r="AK57" s="99">
        <v>0</v>
      </c>
      <c r="AL57" s="100">
        <f t="shared" si="5"/>
        <v>0</v>
      </c>
      <c r="AM57" s="100">
        <f t="shared" si="6"/>
        <v>8.43</v>
      </c>
    </row>
    <row r="58" spans="1:39" ht="15.75" thickBot="1" x14ac:dyDescent="0.3">
      <c r="A58" s="105" t="s">
        <v>70</v>
      </c>
      <c r="B58" s="99" t="s">
        <v>194</v>
      </c>
      <c r="C58" s="99">
        <v>0</v>
      </c>
      <c r="D58" s="99">
        <v>0</v>
      </c>
      <c r="E58" s="99">
        <v>0</v>
      </c>
      <c r="F58" s="99">
        <v>0</v>
      </c>
      <c r="G58" s="99">
        <v>0.5</v>
      </c>
      <c r="H58" s="99">
        <v>0</v>
      </c>
      <c r="I58" s="99">
        <v>0.1</v>
      </c>
      <c r="J58" s="99">
        <v>1.6</v>
      </c>
      <c r="K58" s="99">
        <v>0</v>
      </c>
      <c r="L58" s="99">
        <v>0.5</v>
      </c>
      <c r="M58" s="99">
        <v>0</v>
      </c>
      <c r="N58" s="99">
        <v>0</v>
      </c>
      <c r="O58" s="99">
        <v>0</v>
      </c>
      <c r="P58" s="100">
        <f t="shared" si="0"/>
        <v>0.5</v>
      </c>
      <c r="Q58" s="99">
        <v>0</v>
      </c>
      <c r="R58" s="99">
        <v>0</v>
      </c>
      <c r="S58" s="99">
        <v>1</v>
      </c>
      <c r="T58" s="104">
        <f t="shared" si="9"/>
        <v>1</v>
      </c>
      <c r="U58" s="99">
        <v>0</v>
      </c>
      <c r="V58" s="99">
        <v>0</v>
      </c>
      <c r="W58" s="99">
        <v>0</v>
      </c>
      <c r="X58" s="99">
        <v>0</v>
      </c>
      <c r="Y58" s="99">
        <v>0</v>
      </c>
      <c r="Z58" s="100">
        <f t="shared" si="2"/>
        <v>0</v>
      </c>
      <c r="AA58" s="99">
        <v>0</v>
      </c>
      <c r="AB58" s="99">
        <v>0</v>
      </c>
      <c r="AC58" s="100">
        <f t="shared" si="3"/>
        <v>0</v>
      </c>
      <c r="AD58" s="99">
        <v>0</v>
      </c>
      <c r="AE58" s="99">
        <v>0</v>
      </c>
      <c r="AF58" s="99">
        <v>2.8</v>
      </c>
      <c r="AG58" s="104">
        <f t="shared" si="10"/>
        <v>2.8</v>
      </c>
      <c r="AH58" s="99">
        <v>0</v>
      </c>
      <c r="AI58" s="99">
        <v>0</v>
      </c>
      <c r="AJ58" s="99">
        <v>0</v>
      </c>
      <c r="AK58" s="99">
        <v>0</v>
      </c>
      <c r="AL58" s="100">
        <f t="shared" si="5"/>
        <v>0</v>
      </c>
      <c r="AM58" s="100">
        <f t="shared" si="6"/>
        <v>6.5</v>
      </c>
    </row>
    <row r="59" spans="1:39" ht="15.75" thickBot="1" x14ac:dyDescent="0.3">
      <c r="A59" s="105" t="s">
        <v>71</v>
      </c>
      <c r="B59" s="99" t="s">
        <v>195</v>
      </c>
      <c r="C59" s="99">
        <v>3</v>
      </c>
      <c r="D59" s="99">
        <v>0</v>
      </c>
      <c r="E59" s="99">
        <v>0</v>
      </c>
      <c r="F59" s="99">
        <v>0</v>
      </c>
      <c r="G59" s="99">
        <v>0.5</v>
      </c>
      <c r="H59" s="99">
        <v>0</v>
      </c>
      <c r="I59" s="99">
        <v>0.1</v>
      </c>
      <c r="J59" s="99">
        <v>1.6</v>
      </c>
      <c r="K59" s="99">
        <v>0</v>
      </c>
      <c r="L59" s="99">
        <v>1</v>
      </c>
      <c r="M59" s="99">
        <v>0</v>
      </c>
      <c r="N59" s="99">
        <v>0</v>
      </c>
      <c r="O59" s="99">
        <v>0</v>
      </c>
      <c r="P59" s="100">
        <f t="shared" si="0"/>
        <v>1</v>
      </c>
      <c r="Q59" s="99">
        <v>0</v>
      </c>
      <c r="R59" s="99">
        <v>0</v>
      </c>
      <c r="S59" s="99">
        <v>1.5</v>
      </c>
      <c r="T59" s="104">
        <f t="shared" si="9"/>
        <v>1.5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Z59" s="100">
        <f t="shared" si="2"/>
        <v>0</v>
      </c>
      <c r="AA59" s="99">
        <v>0</v>
      </c>
      <c r="AB59" s="99">
        <v>0</v>
      </c>
      <c r="AC59" s="100">
        <f t="shared" si="3"/>
        <v>0</v>
      </c>
      <c r="AD59" s="99">
        <v>0</v>
      </c>
      <c r="AE59" s="99">
        <v>0</v>
      </c>
      <c r="AF59" s="99">
        <v>1.5</v>
      </c>
      <c r="AG59" s="104">
        <f t="shared" si="10"/>
        <v>1.5</v>
      </c>
      <c r="AH59" s="99">
        <v>0</v>
      </c>
      <c r="AI59" s="99">
        <v>3</v>
      </c>
      <c r="AJ59" s="99">
        <v>0</v>
      </c>
      <c r="AK59" s="99">
        <v>0</v>
      </c>
      <c r="AL59" s="100">
        <f t="shared" si="5"/>
        <v>3</v>
      </c>
      <c r="AM59" s="100">
        <f t="shared" si="6"/>
        <v>12.2</v>
      </c>
    </row>
    <row r="60" spans="1:39" ht="15.75" thickBot="1" x14ac:dyDescent="0.3">
      <c r="A60" s="105" t="s">
        <v>278</v>
      </c>
      <c r="B60" s="99" t="s">
        <v>279</v>
      </c>
      <c r="C60" s="99">
        <v>12.68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2.4500000000000002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100">
        <f t="shared" si="0"/>
        <v>0</v>
      </c>
      <c r="Q60" s="99">
        <v>0</v>
      </c>
      <c r="R60" s="99">
        <v>0</v>
      </c>
      <c r="S60" s="99">
        <v>0</v>
      </c>
      <c r="T60" s="104">
        <f t="shared" si="9"/>
        <v>0</v>
      </c>
      <c r="U60" s="99">
        <v>0</v>
      </c>
      <c r="V60" s="99">
        <v>0</v>
      </c>
      <c r="W60" s="99">
        <v>0</v>
      </c>
      <c r="X60" s="99">
        <v>0</v>
      </c>
      <c r="Y60" s="99">
        <v>0</v>
      </c>
      <c r="Z60" s="100">
        <f t="shared" si="2"/>
        <v>0</v>
      </c>
      <c r="AA60" s="99">
        <v>0</v>
      </c>
      <c r="AB60" s="99">
        <v>0</v>
      </c>
      <c r="AC60" s="100">
        <f t="shared" si="3"/>
        <v>0</v>
      </c>
      <c r="AD60" s="99">
        <v>0</v>
      </c>
      <c r="AE60" s="99">
        <v>0</v>
      </c>
      <c r="AF60" s="99">
        <v>0</v>
      </c>
      <c r="AG60" s="104">
        <f t="shared" si="10"/>
        <v>0</v>
      </c>
      <c r="AH60" s="99">
        <v>0</v>
      </c>
      <c r="AI60" s="99">
        <v>0</v>
      </c>
      <c r="AJ60" s="99">
        <v>0</v>
      </c>
      <c r="AK60" s="99">
        <v>0</v>
      </c>
      <c r="AL60" s="100">
        <f t="shared" si="5"/>
        <v>0</v>
      </c>
      <c r="AM60" s="100">
        <f t="shared" si="6"/>
        <v>15.129999999999999</v>
      </c>
    </row>
    <row r="61" spans="1:39" ht="15.75" thickBot="1" x14ac:dyDescent="0.3">
      <c r="A61" s="105" t="s">
        <v>72</v>
      </c>
      <c r="B61" s="99" t="s">
        <v>196</v>
      </c>
      <c r="C61" s="99">
        <v>2</v>
      </c>
      <c r="D61" s="99">
        <v>0</v>
      </c>
      <c r="E61" s="99">
        <v>1</v>
      </c>
      <c r="F61" s="99">
        <v>1</v>
      </c>
      <c r="G61" s="99">
        <v>0</v>
      </c>
      <c r="H61" s="99">
        <v>0.2</v>
      </c>
      <c r="I61" s="99">
        <v>0.3</v>
      </c>
      <c r="J61" s="99">
        <v>0</v>
      </c>
      <c r="K61" s="99">
        <v>0.5</v>
      </c>
      <c r="L61" s="99">
        <v>0</v>
      </c>
      <c r="M61" s="99">
        <v>0</v>
      </c>
      <c r="N61" s="99">
        <v>0.3</v>
      </c>
      <c r="O61" s="99">
        <v>0</v>
      </c>
      <c r="P61" s="100">
        <f t="shared" si="0"/>
        <v>0.8</v>
      </c>
      <c r="Q61" s="99">
        <v>0</v>
      </c>
      <c r="R61" s="99">
        <v>0</v>
      </c>
      <c r="S61" s="99">
        <v>1</v>
      </c>
      <c r="T61" s="104">
        <f t="shared" si="9"/>
        <v>1</v>
      </c>
      <c r="U61" s="99">
        <v>0</v>
      </c>
      <c r="V61" s="99">
        <v>0</v>
      </c>
      <c r="W61" s="99">
        <v>0.3</v>
      </c>
      <c r="X61" s="99">
        <v>0</v>
      </c>
      <c r="Y61" s="99">
        <v>0</v>
      </c>
      <c r="Z61" s="100">
        <f t="shared" si="2"/>
        <v>0.3</v>
      </c>
      <c r="AA61" s="99">
        <v>0</v>
      </c>
      <c r="AB61" s="99">
        <v>0</v>
      </c>
      <c r="AC61" s="100">
        <f t="shared" si="3"/>
        <v>0</v>
      </c>
      <c r="AD61" s="99">
        <v>0</v>
      </c>
      <c r="AE61" s="99">
        <v>0</v>
      </c>
      <c r="AF61" s="99">
        <v>0</v>
      </c>
      <c r="AG61" s="104">
        <f t="shared" si="10"/>
        <v>0</v>
      </c>
      <c r="AH61" s="99">
        <v>0</v>
      </c>
      <c r="AI61" s="99">
        <v>0</v>
      </c>
      <c r="AJ61" s="99">
        <v>0</v>
      </c>
      <c r="AK61" s="99">
        <v>0</v>
      </c>
      <c r="AL61" s="100">
        <f t="shared" si="5"/>
        <v>0</v>
      </c>
      <c r="AM61" s="100">
        <f t="shared" si="6"/>
        <v>6.6</v>
      </c>
    </row>
    <row r="62" spans="1:39" ht="15.75" thickBot="1" x14ac:dyDescent="0.3">
      <c r="A62" s="105" t="s">
        <v>73</v>
      </c>
      <c r="B62" s="99" t="s">
        <v>197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100">
        <f t="shared" si="0"/>
        <v>0</v>
      </c>
      <c r="Q62" s="99"/>
      <c r="R62" s="99"/>
      <c r="S62" s="99"/>
      <c r="T62" s="104">
        <f t="shared" si="9"/>
        <v>0</v>
      </c>
      <c r="U62" s="99"/>
      <c r="V62" s="99"/>
      <c r="W62" s="99"/>
      <c r="X62" s="99"/>
      <c r="Y62" s="99"/>
      <c r="Z62" s="100">
        <f t="shared" si="2"/>
        <v>0</v>
      </c>
      <c r="AA62" s="99"/>
      <c r="AB62" s="99"/>
      <c r="AC62" s="100">
        <f t="shared" si="3"/>
        <v>0</v>
      </c>
      <c r="AD62" s="99"/>
      <c r="AE62" s="99"/>
      <c r="AF62" s="99"/>
      <c r="AG62" s="104">
        <f t="shared" si="10"/>
        <v>0</v>
      </c>
      <c r="AH62" s="99"/>
      <c r="AI62" s="99"/>
      <c r="AJ62" s="99"/>
      <c r="AK62" s="99"/>
      <c r="AL62" s="100">
        <f t="shared" si="5"/>
        <v>0</v>
      </c>
      <c r="AM62" s="100">
        <f t="shared" si="6"/>
        <v>0</v>
      </c>
    </row>
    <row r="63" spans="1:39" ht="15.75" thickBot="1" x14ac:dyDescent="0.3">
      <c r="A63" s="105" t="s">
        <v>74</v>
      </c>
      <c r="B63" s="99" t="s">
        <v>198</v>
      </c>
      <c r="C63" s="99">
        <v>13.5</v>
      </c>
      <c r="D63" s="99">
        <v>0</v>
      </c>
      <c r="E63" s="99">
        <v>0.75</v>
      </c>
      <c r="F63" s="99">
        <v>0</v>
      </c>
      <c r="G63" s="99">
        <v>0.75</v>
      </c>
      <c r="H63" s="99">
        <v>1</v>
      </c>
      <c r="I63" s="99">
        <v>0</v>
      </c>
      <c r="J63" s="99">
        <v>2.75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100">
        <f t="shared" si="0"/>
        <v>0</v>
      </c>
      <c r="Q63" s="99">
        <v>0</v>
      </c>
      <c r="R63" s="99">
        <v>0</v>
      </c>
      <c r="S63" s="99">
        <v>0.75</v>
      </c>
      <c r="T63" s="104">
        <f t="shared" si="9"/>
        <v>0.75</v>
      </c>
      <c r="U63" s="99">
        <v>0</v>
      </c>
      <c r="V63" s="99">
        <v>0</v>
      </c>
      <c r="W63" s="99">
        <v>0.1</v>
      </c>
      <c r="X63" s="99">
        <v>0</v>
      </c>
      <c r="Y63" s="99">
        <v>0</v>
      </c>
      <c r="Z63" s="100">
        <f t="shared" si="2"/>
        <v>0.1</v>
      </c>
      <c r="AA63" s="99">
        <v>0</v>
      </c>
      <c r="AB63" s="99">
        <v>0</v>
      </c>
      <c r="AC63" s="100">
        <f t="shared" si="3"/>
        <v>0</v>
      </c>
      <c r="AD63" s="99">
        <v>1</v>
      </c>
      <c r="AE63" s="99">
        <v>0</v>
      </c>
      <c r="AF63" s="99">
        <v>2.25</v>
      </c>
      <c r="AG63" s="104">
        <f t="shared" si="10"/>
        <v>3.25</v>
      </c>
      <c r="AH63" s="99">
        <v>0</v>
      </c>
      <c r="AI63" s="99">
        <v>0</v>
      </c>
      <c r="AJ63" s="99">
        <v>0</v>
      </c>
      <c r="AK63" s="99">
        <v>0</v>
      </c>
      <c r="AL63" s="100">
        <f t="shared" si="5"/>
        <v>0</v>
      </c>
      <c r="AM63" s="100">
        <f t="shared" si="6"/>
        <v>22.85</v>
      </c>
    </row>
    <row r="64" spans="1:39" ht="15.75" thickBot="1" x14ac:dyDescent="0.3">
      <c r="A64" s="105" t="s">
        <v>280</v>
      </c>
      <c r="B64" s="99" t="s">
        <v>281</v>
      </c>
      <c r="C64" s="99">
        <v>19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4</v>
      </c>
      <c r="K64" s="99">
        <v>0</v>
      </c>
      <c r="L64" s="99">
        <v>1</v>
      </c>
      <c r="M64" s="99">
        <v>0</v>
      </c>
      <c r="N64" s="99">
        <v>0</v>
      </c>
      <c r="O64" s="99">
        <v>0</v>
      </c>
      <c r="P64" s="100">
        <f t="shared" si="0"/>
        <v>1</v>
      </c>
      <c r="Q64" s="99">
        <v>0</v>
      </c>
      <c r="R64" s="99">
        <v>0</v>
      </c>
      <c r="S64" s="99">
        <v>1</v>
      </c>
      <c r="T64" s="104">
        <f t="shared" si="9"/>
        <v>1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Z64" s="100">
        <f t="shared" si="2"/>
        <v>0</v>
      </c>
      <c r="AA64" s="99">
        <v>0</v>
      </c>
      <c r="AB64" s="99">
        <v>0</v>
      </c>
      <c r="AC64" s="100">
        <f t="shared" si="3"/>
        <v>0</v>
      </c>
      <c r="AD64" s="99">
        <v>0</v>
      </c>
      <c r="AE64" s="99">
        <v>0</v>
      </c>
      <c r="AF64" s="99">
        <v>2</v>
      </c>
      <c r="AG64" s="104">
        <f t="shared" si="10"/>
        <v>2</v>
      </c>
      <c r="AH64" s="99">
        <v>0</v>
      </c>
      <c r="AI64" s="99">
        <v>0</v>
      </c>
      <c r="AJ64" s="99">
        <v>0</v>
      </c>
      <c r="AK64" s="99">
        <v>0</v>
      </c>
      <c r="AL64" s="100">
        <f t="shared" si="5"/>
        <v>0</v>
      </c>
      <c r="AM64" s="100">
        <f t="shared" si="6"/>
        <v>27</v>
      </c>
    </row>
    <row r="65" spans="1:39" ht="15.75" thickBot="1" x14ac:dyDescent="0.3">
      <c r="A65" s="105">
        <v>98</v>
      </c>
      <c r="B65" s="99" t="s">
        <v>199</v>
      </c>
      <c r="C65" s="99">
        <v>3</v>
      </c>
      <c r="D65" s="99">
        <v>0</v>
      </c>
      <c r="E65" s="99">
        <v>0</v>
      </c>
      <c r="F65" s="99">
        <v>1</v>
      </c>
      <c r="G65" s="99">
        <v>0</v>
      </c>
      <c r="H65" s="99">
        <v>0.3</v>
      </c>
      <c r="I65" s="99">
        <v>0.2</v>
      </c>
      <c r="J65" s="99">
        <v>1</v>
      </c>
      <c r="K65" s="99">
        <v>0.5</v>
      </c>
      <c r="L65" s="99">
        <v>0</v>
      </c>
      <c r="M65" s="99">
        <v>0</v>
      </c>
      <c r="N65" s="99">
        <v>0.3</v>
      </c>
      <c r="O65" s="99">
        <v>0</v>
      </c>
      <c r="P65" s="100">
        <f t="shared" si="0"/>
        <v>0.8</v>
      </c>
      <c r="Q65" s="99">
        <v>0</v>
      </c>
      <c r="R65" s="99">
        <v>0</v>
      </c>
      <c r="S65" s="99">
        <v>1</v>
      </c>
      <c r="T65" s="104">
        <f t="shared" si="9"/>
        <v>1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Z65" s="100">
        <f t="shared" si="2"/>
        <v>0</v>
      </c>
      <c r="AA65" s="99">
        <v>0</v>
      </c>
      <c r="AB65" s="99">
        <v>0</v>
      </c>
      <c r="AC65" s="100">
        <f t="shared" si="3"/>
        <v>0</v>
      </c>
      <c r="AD65" s="99">
        <v>0</v>
      </c>
      <c r="AE65" s="99">
        <v>0</v>
      </c>
      <c r="AF65" s="99">
        <v>0</v>
      </c>
      <c r="AG65" s="104">
        <f t="shared" si="10"/>
        <v>0</v>
      </c>
      <c r="AH65" s="99">
        <v>0</v>
      </c>
      <c r="AI65" s="99">
        <v>0</v>
      </c>
      <c r="AJ65" s="99">
        <v>0</v>
      </c>
      <c r="AK65" s="99">
        <v>0</v>
      </c>
      <c r="AL65" s="100">
        <f t="shared" si="5"/>
        <v>0</v>
      </c>
      <c r="AM65" s="100">
        <f t="shared" si="6"/>
        <v>7.3</v>
      </c>
    </row>
    <row r="66" spans="1:39" ht="15.75" thickBot="1" x14ac:dyDescent="0.3">
      <c r="A66" s="105">
        <v>82</v>
      </c>
      <c r="B66" s="99" t="s">
        <v>200</v>
      </c>
      <c r="C66" s="99">
        <v>3.14</v>
      </c>
      <c r="D66" s="99">
        <v>0</v>
      </c>
      <c r="E66" s="99">
        <v>2</v>
      </c>
      <c r="F66" s="99">
        <v>0</v>
      </c>
      <c r="G66" s="99">
        <v>0</v>
      </c>
      <c r="H66" s="99">
        <v>0.3</v>
      </c>
      <c r="I66" s="99">
        <v>0.1</v>
      </c>
      <c r="J66" s="99">
        <v>0.1</v>
      </c>
      <c r="K66" s="99">
        <v>0</v>
      </c>
      <c r="L66" s="99">
        <v>0</v>
      </c>
      <c r="M66" s="99">
        <v>0.7</v>
      </c>
      <c r="N66" s="99">
        <v>0.2</v>
      </c>
      <c r="O66" s="99">
        <v>0</v>
      </c>
      <c r="P66" s="100">
        <f t="shared" si="0"/>
        <v>0.89999999999999991</v>
      </c>
      <c r="Q66" s="99">
        <v>0</v>
      </c>
      <c r="R66" s="99">
        <v>1</v>
      </c>
      <c r="S66" s="99">
        <v>1.5</v>
      </c>
      <c r="T66" s="104">
        <f t="shared" si="9"/>
        <v>2.5</v>
      </c>
      <c r="U66" s="99">
        <v>0</v>
      </c>
      <c r="V66" s="99">
        <v>0</v>
      </c>
      <c r="W66" s="99">
        <v>0</v>
      </c>
      <c r="X66" s="99">
        <v>0</v>
      </c>
      <c r="Y66" s="99">
        <v>0</v>
      </c>
      <c r="Z66" s="100">
        <f t="shared" si="2"/>
        <v>0</v>
      </c>
      <c r="AA66" s="99">
        <v>0</v>
      </c>
      <c r="AB66" s="99">
        <v>0</v>
      </c>
      <c r="AC66" s="100">
        <f t="shared" si="3"/>
        <v>0</v>
      </c>
      <c r="AD66" s="99">
        <v>0.5</v>
      </c>
      <c r="AE66" s="99">
        <v>0</v>
      </c>
      <c r="AF66" s="99">
        <v>2.2999999999999998</v>
      </c>
      <c r="AG66" s="104">
        <f t="shared" si="10"/>
        <v>2.8</v>
      </c>
      <c r="AH66" s="99">
        <v>0</v>
      </c>
      <c r="AI66" s="99">
        <v>0</v>
      </c>
      <c r="AJ66" s="99">
        <v>0</v>
      </c>
      <c r="AK66" s="99">
        <v>0</v>
      </c>
      <c r="AL66" s="100">
        <f t="shared" si="5"/>
        <v>0</v>
      </c>
      <c r="AM66" s="100">
        <f t="shared" si="6"/>
        <v>11.84</v>
      </c>
    </row>
    <row r="67" spans="1:39" ht="15.75" thickBot="1" x14ac:dyDescent="0.3">
      <c r="A67" s="105" t="s">
        <v>201</v>
      </c>
      <c r="B67" s="99" t="s">
        <v>202</v>
      </c>
      <c r="C67" s="99">
        <v>20</v>
      </c>
      <c r="D67" s="99">
        <v>1</v>
      </c>
      <c r="E67" s="99">
        <v>0</v>
      </c>
      <c r="F67" s="99">
        <v>0</v>
      </c>
      <c r="G67" s="99">
        <v>0</v>
      </c>
      <c r="H67" s="99">
        <v>0</v>
      </c>
      <c r="I67" s="99">
        <v>1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100">
        <f t="shared" si="0"/>
        <v>0</v>
      </c>
      <c r="Q67" s="99">
        <v>0</v>
      </c>
      <c r="R67" s="99">
        <v>1</v>
      </c>
      <c r="S67" s="99">
        <v>1</v>
      </c>
      <c r="T67" s="104">
        <f t="shared" si="9"/>
        <v>2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Z67" s="100">
        <f t="shared" si="2"/>
        <v>0</v>
      </c>
      <c r="AA67" s="99">
        <v>0</v>
      </c>
      <c r="AB67" s="99">
        <v>0</v>
      </c>
      <c r="AC67" s="100">
        <f t="shared" si="3"/>
        <v>0</v>
      </c>
      <c r="AD67" s="99">
        <v>0</v>
      </c>
      <c r="AE67" s="99">
        <v>0</v>
      </c>
      <c r="AF67" s="99">
        <v>0</v>
      </c>
      <c r="AG67" s="104">
        <f t="shared" si="10"/>
        <v>0</v>
      </c>
      <c r="AH67" s="99">
        <v>0</v>
      </c>
      <c r="AI67" s="99">
        <v>0</v>
      </c>
      <c r="AJ67" s="99">
        <v>0</v>
      </c>
      <c r="AK67" s="99">
        <v>0</v>
      </c>
      <c r="AL67" s="100">
        <f t="shared" si="5"/>
        <v>0</v>
      </c>
      <c r="AM67" s="100">
        <f t="shared" si="6"/>
        <v>24</v>
      </c>
    </row>
    <row r="68" spans="1:39" ht="15.75" thickBot="1" x14ac:dyDescent="0.3">
      <c r="A68" s="105" t="s">
        <v>75</v>
      </c>
      <c r="B68" s="99" t="s">
        <v>203</v>
      </c>
      <c r="C68" s="99">
        <v>7.84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4.66</v>
      </c>
      <c r="K68" s="99">
        <v>0</v>
      </c>
      <c r="L68" s="99">
        <v>0</v>
      </c>
      <c r="M68" s="99">
        <v>0</v>
      </c>
      <c r="N68" s="99">
        <v>0</v>
      </c>
      <c r="O68" s="99">
        <v>0</v>
      </c>
      <c r="P68" s="100">
        <f t="shared" si="0"/>
        <v>0</v>
      </c>
      <c r="Q68" s="99">
        <v>0</v>
      </c>
      <c r="R68" s="99">
        <v>0</v>
      </c>
      <c r="S68" s="99">
        <v>1.8</v>
      </c>
      <c r="T68" s="104">
        <f t="shared" si="9"/>
        <v>1.8</v>
      </c>
      <c r="U68" s="99">
        <v>0</v>
      </c>
      <c r="V68" s="99">
        <v>0</v>
      </c>
      <c r="W68" s="99">
        <v>0</v>
      </c>
      <c r="X68" s="99">
        <v>0</v>
      </c>
      <c r="Y68" s="99">
        <v>0</v>
      </c>
      <c r="Z68" s="100">
        <f t="shared" si="2"/>
        <v>0</v>
      </c>
      <c r="AA68" s="99">
        <v>0</v>
      </c>
      <c r="AB68" s="99">
        <v>0</v>
      </c>
      <c r="AC68" s="100">
        <f t="shared" si="3"/>
        <v>0</v>
      </c>
      <c r="AD68" s="99">
        <v>0</v>
      </c>
      <c r="AE68" s="99">
        <v>0</v>
      </c>
      <c r="AF68" s="99">
        <v>0</v>
      </c>
      <c r="AG68" s="104">
        <f t="shared" si="10"/>
        <v>0</v>
      </c>
      <c r="AH68" s="99">
        <v>0</v>
      </c>
      <c r="AI68" s="99">
        <v>0</v>
      </c>
      <c r="AJ68" s="99">
        <v>0</v>
      </c>
      <c r="AK68" s="99">
        <v>0</v>
      </c>
      <c r="AL68" s="100">
        <f t="shared" si="5"/>
        <v>0</v>
      </c>
      <c r="AM68" s="100">
        <f t="shared" si="6"/>
        <v>14.3</v>
      </c>
    </row>
    <row r="69" spans="1:39" ht="15.75" thickBot="1" x14ac:dyDescent="0.3">
      <c r="A69" s="105" t="s">
        <v>295</v>
      </c>
      <c r="B69" s="99" t="s">
        <v>296</v>
      </c>
      <c r="C69" s="99">
        <v>2.5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0.1</v>
      </c>
      <c r="J69" s="99">
        <v>1.5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100">
        <f t="shared" si="0"/>
        <v>0</v>
      </c>
      <c r="Q69" s="99">
        <v>0</v>
      </c>
      <c r="R69" s="99">
        <v>0</v>
      </c>
      <c r="S69" s="99">
        <v>0</v>
      </c>
      <c r="T69" s="104">
        <f t="shared" si="9"/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Z69" s="100">
        <f t="shared" si="2"/>
        <v>0</v>
      </c>
      <c r="AA69" s="99">
        <v>0</v>
      </c>
      <c r="AB69" s="99">
        <v>0</v>
      </c>
      <c r="AC69" s="100">
        <f t="shared" si="3"/>
        <v>0</v>
      </c>
      <c r="AD69" s="99">
        <v>0</v>
      </c>
      <c r="AE69" s="99">
        <v>0</v>
      </c>
      <c r="AF69" s="99">
        <v>1.2</v>
      </c>
      <c r="AG69" s="104">
        <f t="shared" si="10"/>
        <v>1.2</v>
      </c>
      <c r="AH69" s="99">
        <v>0</v>
      </c>
      <c r="AI69" s="99">
        <v>0</v>
      </c>
      <c r="AJ69" s="99">
        <v>0</v>
      </c>
      <c r="AK69" s="99">
        <v>0</v>
      </c>
      <c r="AL69" s="100">
        <f t="shared" si="5"/>
        <v>0</v>
      </c>
      <c r="AM69" s="100">
        <f t="shared" si="6"/>
        <v>5.3</v>
      </c>
    </row>
    <row r="70" spans="1:39" ht="15.75" thickBot="1" x14ac:dyDescent="0.3">
      <c r="A70" s="105" t="s">
        <v>76</v>
      </c>
      <c r="B70" s="99" t="s">
        <v>204</v>
      </c>
      <c r="C70" s="99">
        <v>5.75</v>
      </c>
      <c r="D70" s="99">
        <v>0</v>
      </c>
      <c r="E70" s="99">
        <v>0.4</v>
      </c>
      <c r="F70" s="99">
        <v>0</v>
      </c>
      <c r="G70" s="99">
        <v>0.5</v>
      </c>
      <c r="H70" s="99">
        <v>0.3</v>
      </c>
      <c r="I70" s="99">
        <v>0</v>
      </c>
      <c r="J70" s="99">
        <v>0.8</v>
      </c>
      <c r="K70" s="99">
        <v>0.75</v>
      </c>
      <c r="L70" s="99">
        <v>0</v>
      </c>
      <c r="M70" s="99">
        <v>0.75</v>
      </c>
      <c r="N70" s="99">
        <v>0</v>
      </c>
      <c r="O70" s="99">
        <v>0</v>
      </c>
      <c r="P70" s="100">
        <f t="shared" si="0"/>
        <v>1.5</v>
      </c>
      <c r="Q70" s="99">
        <v>0</v>
      </c>
      <c r="R70" s="99">
        <v>0</v>
      </c>
      <c r="S70" s="99">
        <v>0</v>
      </c>
      <c r="T70" s="104">
        <f t="shared" si="9"/>
        <v>0</v>
      </c>
      <c r="U70" s="99">
        <v>0</v>
      </c>
      <c r="V70" s="99">
        <v>0</v>
      </c>
      <c r="W70" s="99">
        <v>2.1</v>
      </c>
      <c r="X70" s="99">
        <v>0</v>
      </c>
      <c r="Y70" s="99">
        <v>0</v>
      </c>
      <c r="Z70" s="100">
        <f t="shared" si="2"/>
        <v>2.1</v>
      </c>
      <c r="AA70" s="99">
        <v>0</v>
      </c>
      <c r="AB70" s="99">
        <v>0</v>
      </c>
      <c r="AC70" s="100">
        <f t="shared" si="3"/>
        <v>0</v>
      </c>
      <c r="AD70" s="99">
        <v>0</v>
      </c>
      <c r="AE70" s="99">
        <v>0</v>
      </c>
      <c r="AF70" s="99">
        <v>1.38</v>
      </c>
      <c r="AG70" s="104">
        <f t="shared" si="10"/>
        <v>1.38</v>
      </c>
      <c r="AH70" s="99">
        <v>0</v>
      </c>
      <c r="AI70" s="99">
        <v>0</v>
      </c>
      <c r="AJ70" s="99">
        <v>0</v>
      </c>
      <c r="AK70" s="99">
        <v>0</v>
      </c>
      <c r="AL70" s="100">
        <f t="shared" si="5"/>
        <v>0</v>
      </c>
      <c r="AM70" s="100">
        <f t="shared" si="6"/>
        <v>12.73</v>
      </c>
    </row>
    <row r="71" spans="1:39" ht="15.75" thickBot="1" x14ac:dyDescent="0.3">
      <c r="A71" s="105" t="s">
        <v>282</v>
      </c>
      <c r="B71" s="99" t="s">
        <v>283</v>
      </c>
      <c r="C71" s="99">
        <v>8.26</v>
      </c>
      <c r="D71" s="99">
        <v>0</v>
      </c>
      <c r="E71" s="99">
        <v>0</v>
      </c>
      <c r="F71" s="99">
        <v>0</v>
      </c>
      <c r="G71" s="99">
        <v>0</v>
      </c>
      <c r="H71" s="99">
        <v>0</v>
      </c>
      <c r="I71" s="99">
        <v>0</v>
      </c>
      <c r="J71" s="99">
        <v>1.78</v>
      </c>
      <c r="K71" s="99">
        <v>0</v>
      </c>
      <c r="L71" s="99">
        <v>0</v>
      </c>
      <c r="M71" s="99">
        <v>0</v>
      </c>
      <c r="N71" s="99">
        <v>0</v>
      </c>
      <c r="O71" s="99">
        <v>0</v>
      </c>
      <c r="P71" s="100">
        <f t="shared" si="0"/>
        <v>0</v>
      </c>
      <c r="Q71" s="99">
        <v>0</v>
      </c>
      <c r="R71" s="99">
        <v>0.85</v>
      </c>
      <c r="S71" s="99">
        <v>0.38</v>
      </c>
      <c r="T71" s="104">
        <f t="shared" si="9"/>
        <v>1.23</v>
      </c>
      <c r="U71" s="99">
        <v>0</v>
      </c>
      <c r="V71" s="99">
        <v>0</v>
      </c>
      <c r="W71" s="99">
        <v>0</v>
      </c>
      <c r="X71" s="99">
        <v>0</v>
      </c>
      <c r="Y71" s="99">
        <v>0</v>
      </c>
      <c r="Z71" s="100">
        <f t="shared" si="2"/>
        <v>0</v>
      </c>
      <c r="AA71" s="99">
        <v>0</v>
      </c>
      <c r="AB71" s="99">
        <v>0.8</v>
      </c>
      <c r="AC71" s="100">
        <f t="shared" si="3"/>
        <v>0.8</v>
      </c>
      <c r="AD71" s="99">
        <v>0</v>
      </c>
      <c r="AE71" s="99">
        <v>0</v>
      </c>
      <c r="AF71" s="99">
        <v>0</v>
      </c>
      <c r="AG71" s="104">
        <f t="shared" si="10"/>
        <v>0</v>
      </c>
      <c r="AH71" s="99">
        <v>0</v>
      </c>
      <c r="AI71" s="99">
        <v>0</v>
      </c>
      <c r="AJ71" s="99">
        <v>0</v>
      </c>
      <c r="AK71" s="99">
        <v>0</v>
      </c>
      <c r="AL71" s="100">
        <f t="shared" si="5"/>
        <v>0</v>
      </c>
      <c r="AM71" s="100">
        <f t="shared" si="6"/>
        <v>12.07</v>
      </c>
    </row>
    <row r="72" spans="1:39" ht="15.75" thickBot="1" x14ac:dyDescent="0.3">
      <c r="A72" s="105" t="s">
        <v>77</v>
      </c>
      <c r="B72" s="99" t="s">
        <v>205</v>
      </c>
      <c r="C72" s="99">
        <v>0.81</v>
      </c>
      <c r="D72" s="99">
        <v>0</v>
      </c>
      <c r="E72" s="99">
        <v>0</v>
      </c>
      <c r="F72" s="99">
        <v>0</v>
      </c>
      <c r="G72" s="99">
        <v>0</v>
      </c>
      <c r="H72" s="99">
        <v>0</v>
      </c>
      <c r="I72" s="99">
        <v>0</v>
      </c>
      <c r="J72" s="99">
        <v>0.88</v>
      </c>
      <c r="K72" s="99">
        <v>0</v>
      </c>
      <c r="L72" s="99">
        <v>0</v>
      </c>
      <c r="M72" s="99">
        <v>0</v>
      </c>
      <c r="N72" s="99">
        <v>0</v>
      </c>
      <c r="O72" s="99">
        <v>0</v>
      </c>
      <c r="P72" s="100">
        <f t="shared" ref="P72:P124" si="11">SUM(K72:O72)</f>
        <v>0</v>
      </c>
      <c r="Q72" s="99">
        <v>0</v>
      </c>
      <c r="R72" s="99">
        <v>0</v>
      </c>
      <c r="S72" s="99">
        <v>0</v>
      </c>
      <c r="T72" s="104">
        <f t="shared" si="9"/>
        <v>0</v>
      </c>
      <c r="U72" s="99">
        <v>0</v>
      </c>
      <c r="V72" s="99">
        <v>0</v>
      </c>
      <c r="W72" s="99">
        <v>0</v>
      </c>
      <c r="X72" s="99">
        <v>0</v>
      </c>
      <c r="Y72" s="99">
        <v>0</v>
      </c>
      <c r="Z72" s="100">
        <f t="shared" ref="Z72:Z124" si="12">SUM(U72:Y72)</f>
        <v>0</v>
      </c>
      <c r="AA72" s="99">
        <v>0</v>
      </c>
      <c r="AB72" s="99">
        <v>0</v>
      </c>
      <c r="AC72" s="100">
        <f t="shared" ref="AC72:AC124" si="13">SUM(AA72:AB72)</f>
        <v>0</v>
      </c>
      <c r="AD72" s="99">
        <v>0</v>
      </c>
      <c r="AE72" s="99">
        <v>0</v>
      </c>
      <c r="AF72" s="99">
        <v>0.31</v>
      </c>
      <c r="AG72" s="104">
        <f t="shared" si="10"/>
        <v>0.31</v>
      </c>
      <c r="AH72" s="99">
        <v>0</v>
      </c>
      <c r="AI72" s="99">
        <v>0</v>
      </c>
      <c r="AJ72" s="99">
        <v>0</v>
      </c>
      <c r="AK72" s="99">
        <v>0</v>
      </c>
      <c r="AL72" s="100">
        <f t="shared" ref="AL72:AL124" si="14">SUM(AH72:AK72)</f>
        <v>0</v>
      </c>
      <c r="AM72" s="100">
        <f t="shared" ref="AM72:AM126" si="15">SUM(C72+D72+E72+F72+G72+H72+I72+J72+P72+T72+Z72+AC72+AG72+AL72)</f>
        <v>2</v>
      </c>
    </row>
    <row r="73" spans="1:39" ht="15.75" thickBot="1" x14ac:dyDescent="0.3">
      <c r="A73" s="105" t="s">
        <v>78</v>
      </c>
      <c r="B73" s="99" t="s">
        <v>206</v>
      </c>
      <c r="C73" s="99">
        <v>0.5</v>
      </c>
      <c r="D73" s="99">
        <v>0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2.5</v>
      </c>
      <c r="K73" s="99">
        <v>0</v>
      </c>
      <c r="L73" s="99">
        <v>0</v>
      </c>
      <c r="M73" s="99">
        <v>0</v>
      </c>
      <c r="N73" s="99">
        <v>0</v>
      </c>
      <c r="O73" s="99">
        <v>0</v>
      </c>
      <c r="P73" s="100">
        <f t="shared" si="11"/>
        <v>0</v>
      </c>
      <c r="Q73" s="99">
        <v>0</v>
      </c>
      <c r="R73" s="99">
        <v>0</v>
      </c>
      <c r="S73" s="99">
        <v>0</v>
      </c>
      <c r="T73" s="104">
        <f t="shared" si="9"/>
        <v>0</v>
      </c>
      <c r="U73" s="99">
        <v>0</v>
      </c>
      <c r="V73" s="99">
        <v>0</v>
      </c>
      <c r="W73" s="99">
        <v>0</v>
      </c>
      <c r="X73" s="99">
        <v>0</v>
      </c>
      <c r="Y73" s="99">
        <v>0</v>
      </c>
      <c r="Z73" s="100">
        <f t="shared" si="12"/>
        <v>0</v>
      </c>
      <c r="AA73" s="99">
        <v>0</v>
      </c>
      <c r="AB73" s="99">
        <v>0</v>
      </c>
      <c r="AC73" s="100">
        <f t="shared" si="13"/>
        <v>0</v>
      </c>
      <c r="AD73" s="99">
        <v>0</v>
      </c>
      <c r="AE73" s="99">
        <v>0</v>
      </c>
      <c r="AF73" s="99">
        <v>0</v>
      </c>
      <c r="AG73" s="104">
        <f t="shared" si="10"/>
        <v>0</v>
      </c>
      <c r="AH73" s="99">
        <v>0</v>
      </c>
      <c r="AI73" s="99">
        <v>0</v>
      </c>
      <c r="AJ73" s="99">
        <v>0</v>
      </c>
      <c r="AK73" s="99">
        <v>0</v>
      </c>
      <c r="AL73" s="100">
        <f t="shared" si="14"/>
        <v>0</v>
      </c>
      <c r="AM73" s="100">
        <f t="shared" si="15"/>
        <v>3</v>
      </c>
    </row>
    <row r="74" spans="1:39" ht="15.75" thickBot="1" x14ac:dyDescent="0.3">
      <c r="A74" s="105">
        <v>93</v>
      </c>
      <c r="B74" s="99" t="s">
        <v>207</v>
      </c>
      <c r="C74" s="99">
        <v>4.29</v>
      </c>
      <c r="D74" s="99">
        <v>0</v>
      </c>
      <c r="E74" s="99">
        <v>0</v>
      </c>
      <c r="F74" s="99">
        <v>0</v>
      </c>
      <c r="G74" s="99">
        <v>0</v>
      </c>
      <c r="H74" s="99">
        <v>0</v>
      </c>
      <c r="I74" s="99">
        <v>0</v>
      </c>
      <c r="J74" s="99">
        <v>1</v>
      </c>
      <c r="K74" s="99">
        <v>1</v>
      </c>
      <c r="L74" s="99">
        <v>0</v>
      </c>
      <c r="M74" s="99">
        <v>0</v>
      </c>
      <c r="N74" s="99">
        <v>0</v>
      </c>
      <c r="O74" s="99">
        <v>0</v>
      </c>
      <c r="P74" s="100">
        <f t="shared" si="11"/>
        <v>1</v>
      </c>
      <c r="Q74" s="99">
        <v>0</v>
      </c>
      <c r="R74" s="99">
        <v>0</v>
      </c>
      <c r="S74" s="99">
        <v>0</v>
      </c>
      <c r="T74" s="104">
        <f t="shared" si="9"/>
        <v>0</v>
      </c>
      <c r="U74" s="99">
        <v>0</v>
      </c>
      <c r="V74" s="99">
        <v>0</v>
      </c>
      <c r="W74" s="99">
        <v>0</v>
      </c>
      <c r="X74" s="99">
        <v>0</v>
      </c>
      <c r="Y74" s="99">
        <v>0</v>
      </c>
      <c r="Z74" s="100">
        <f t="shared" si="12"/>
        <v>0</v>
      </c>
      <c r="AA74" s="99">
        <v>0</v>
      </c>
      <c r="AB74" s="99">
        <v>0</v>
      </c>
      <c r="AC74" s="100">
        <f t="shared" si="13"/>
        <v>0</v>
      </c>
      <c r="AD74" s="99">
        <v>0</v>
      </c>
      <c r="AE74" s="99">
        <v>0</v>
      </c>
      <c r="AF74" s="99">
        <v>0</v>
      </c>
      <c r="AG74" s="104">
        <f t="shared" si="10"/>
        <v>0</v>
      </c>
      <c r="AH74" s="99">
        <v>0</v>
      </c>
      <c r="AI74" s="99">
        <v>0</v>
      </c>
      <c r="AJ74" s="99">
        <v>0</v>
      </c>
      <c r="AK74" s="99">
        <v>0</v>
      </c>
      <c r="AL74" s="100">
        <f t="shared" si="14"/>
        <v>0</v>
      </c>
      <c r="AM74" s="100">
        <f t="shared" si="15"/>
        <v>6.29</v>
      </c>
    </row>
    <row r="75" spans="1:39" ht="15.75" thickBot="1" x14ac:dyDescent="0.3">
      <c r="A75" s="105" t="s">
        <v>83</v>
      </c>
      <c r="B75" s="99" t="s">
        <v>297</v>
      </c>
      <c r="C75" s="99">
        <v>1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1</v>
      </c>
      <c r="J75" s="99">
        <v>2</v>
      </c>
      <c r="K75" s="99">
        <v>0.1</v>
      </c>
      <c r="L75" s="99">
        <v>0</v>
      </c>
      <c r="M75" s="99">
        <v>1</v>
      </c>
      <c r="N75" s="99">
        <v>0</v>
      </c>
      <c r="O75" s="99">
        <v>0</v>
      </c>
      <c r="P75" s="100">
        <f t="shared" si="11"/>
        <v>1.1000000000000001</v>
      </c>
      <c r="Q75" s="99">
        <v>0</v>
      </c>
      <c r="R75" s="99">
        <v>0</v>
      </c>
      <c r="S75" s="99">
        <v>0</v>
      </c>
      <c r="T75" s="104">
        <f t="shared" si="9"/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Z75" s="100">
        <f t="shared" si="12"/>
        <v>0</v>
      </c>
      <c r="AA75" s="99">
        <v>0</v>
      </c>
      <c r="AB75" s="99">
        <v>0</v>
      </c>
      <c r="AC75" s="100">
        <f t="shared" si="13"/>
        <v>0</v>
      </c>
      <c r="AD75" s="99">
        <v>0</v>
      </c>
      <c r="AE75" s="99">
        <v>0</v>
      </c>
      <c r="AF75" s="99">
        <v>0</v>
      </c>
      <c r="AG75" s="104">
        <f t="shared" si="10"/>
        <v>0</v>
      </c>
      <c r="AH75" s="99">
        <v>0</v>
      </c>
      <c r="AI75" s="99">
        <v>0</v>
      </c>
      <c r="AJ75" s="99">
        <v>0</v>
      </c>
      <c r="AK75" s="99">
        <v>0</v>
      </c>
      <c r="AL75" s="100">
        <f t="shared" si="14"/>
        <v>0</v>
      </c>
      <c r="AM75" s="100">
        <f t="shared" si="15"/>
        <v>5.0999999999999996</v>
      </c>
    </row>
    <row r="76" spans="1:39" ht="15.75" thickBot="1" x14ac:dyDescent="0.3">
      <c r="A76" s="105" t="s">
        <v>79</v>
      </c>
      <c r="B76" s="99" t="s">
        <v>208</v>
      </c>
      <c r="C76" s="99">
        <v>16.190000000000001</v>
      </c>
      <c r="D76" s="99">
        <v>0</v>
      </c>
      <c r="E76" s="99">
        <v>0.19</v>
      </c>
      <c r="F76" s="99">
        <v>0</v>
      </c>
      <c r="G76" s="99">
        <v>0</v>
      </c>
      <c r="H76" s="99">
        <v>0</v>
      </c>
      <c r="I76" s="99">
        <v>0</v>
      </c>
      <c r="J76" s="99">
        <v>2.96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100">
        <f t="shared" si="11"/>
        <v>0</v>
      </c>
      <c r="Q76" s="99">
        <v>0</v>
      </c>
      <c r="R76" s="99">
        <v>1</v>
      </c>
      <c r="S76" s="99">
        <v>2.33</v>
      </c>
      <c r="T76" s="104">
        <f t="shared" si="9"/>
        <v>3.33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Z76" s="100">
        <f t="shared" si="12"/>
        <v>0</v>
      </c>
      <c r="AA76" s="99">
        <v>0</v>
      </c>
      <c r="AB76" s="99">
        <v>0</v>
      </c>
      <c r="AC76" s="100">
        <f t="shared" si="13"/>
        <v>0</v>
      </c>
      <c r="AD76" s="99">
        <v>1</v>
      </c>
      <c r="AE76" s="99">
        <v>0</v>
      </c>
      <c r="AF76" s="99">
        <v>1.45</v>
      </c>
      <c r="AG76" s="104">
        <f t="shared" si="10"/>
        <v>2.4500000000000002</v>
      </c>
      <c r="AH76" s="99">
        <v>0</v>
      </c>
      <c r="AI76" s="99">
        <v>0</v>
      </c>
      <c r="AJ76" s="99">
        <v>0</v>
      </c>
      <c r="AK76" s="99">
        <v>0</v>
      </c>
      <c r="AL76" s="100">
        <f t="shared" si="14"/>
        <v>0</v>
      </c>
      <c r="AM76" s="100">
        <f t="shared" si="15"/>
        <v>25.12</v>
      </c>
    </row>
    <row r="77" spans="1:39" ht="15.75" thickBot="1" x14ac:dyDescent="0.3">
      <c r="A77" s="105" t="s">
        <v>80</v>
      </c>
      <c r="B77" s="99" t="s">
        <v>209</v>
      </c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100">
        <f t="shared" si="11"/>
        <v>0</v>
      </c>
      <c r="Q77" s="99"/>
      <c r="R77" s="99"/>
      <c r="S77" s="99"/>
      <c r="T77" s="104">
        <f t="shared" si="9"/>
        <v>0</v>
      </c>
      <c r="U77" s="99"/>
      <c r="V77" s="99"/>
      <c r="W77" s="99"/>
      <c r="X77" s="99"/>
      <c r="Y77" s="99"/>
      <c r="Z77" s="100">
        <f t="shared" si="12"/>
        <v>0</v>
      </c>
      <c r="AA77" s="99"/>
      <c r="AB77" s="99"/>
      <c r="AC77" s="100">
        <f t="shared" si="13"/>
        <v>0</v>
      </c>
      <c r="AD77" s="99"/>
      <c r="AE77" s="99"/>
      <c r="AF77" s="99"/>
      <c r="AG77" s="104">
        <f t="shared" si="10"/>
        <v>0</v>
      </c>
      <c r="AH77" s="99"/>
      <c r="AI77" s="99"/>
      <c r="AJ77" s="99"/>
      <c r="AK77" s="99"/>
      <c r="AL77" s="100">
        <f t="shared" si="14"/>
        <v>0</v>
      </c>
      <c r="AM77" s="100">
        <f t="shared" si="15"/>
        <v>0</v>
      </c>
    </row>
    <row r="78" spans="1:39" ht="15.75" thickBot="1" x14ac:dyDescent="0.3">
      <c r="A78" s="105" t="s">
        <v>81</v>
      </c>
      <c r="B78" s="99" t="s">
        <v>210</v>
      </c>
      <c r="C78" s="99">
        <v>7</v>
      </c>
      <c r="D78" s="99">
        <v>0</v>
      </c>
      <c r="E78" s="99">
        <v>0</v>
      </c>
      <c r="F78" s="99">
        <v>2</v>
      </c>
      <c r="G78" s="99">
        <v>0</v>
      </c>
      <c r="H78" s="99">
        <v>1</v>
      </c>
      <c r="I78" s="99">
        <v>1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1</v>
      </c>
      <c r="P78" s="100">
        <f t="shared" si="11"/>
        <v>1</v>
      </c>
      <c r="Q78" s="99">
        <v>0</v>
      </c>
      <c r="R78" s="99">
        <v>0</v>
      </c>
      <c r="S78" s="99">
        <v>1</v>
      </c>
      <c r="T78" s="104">
        <f t="shared" si="9"/>
        <v>1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Z78" s="100">
        <f t="shared" si="12"/>
        <v>0</v>
      </c>
      <c r="AA78" s="99">
        <v>0</v>
      </c>
      <c r="AB78" s="99">
        <v>0</v>
      </c>
      <c r="AC78" s="100">
        <f t="shared" si="13"/>
        <v>0</v>
      </c>
      <c r="AD78" s="99">
        <v>1</v>
      </c>
      <c r="AE78" s="99">
        <v>0</v>
      </c>
      <c r="AF78" s="99">
        <v>3</v>
      </c>
      <c r="AG78" s="104">
        <f t="shared" si="10"/>
        <v>4</v>
      </c>
      <c r="AH78" s="99">
        <v>0</v>
      </c>
      <c r="AI78" s="99">
        <v>0</v>
      </c>
      <c r="AJ78" s="99">
        <v>0</v>
      </c>
      <c r="AK78" s="99">
        <v>0</v>
      </c>
      <c r="AL78" s="100">
        <f t="shared" si="14"/>
        <v>0</v>
      </c>
      <c r="AM78" s="100">
        <f t="shared" si="15"/>
        <v>17</v>
      </c>
    </row>
    <row r="79" spans="1:39" ht="15.75" thickBot="1" x14ac:dyDescent="0.3">
      <c r="A79" s="105" t="s">
        <v>82</v>
      </c>
      <c r="B79" s="99" t="s">
        <v>211</v>
      </c>
      <c r="C79" s="99">
        <v>23.25</v>
      </c>
      <c r="D79" s="99">
        <v>0</v>
      </c>
      <c r="E79" s="99">
        <v>0.75</v>
      </c>
      <c r="F79" s="99">
        <v>0</v>
      </c>
      <c r="G79" s="99">
        <v>0.75</v>
      </c>
      <c r="H79" s="99">
        <v>0</v>
      </c>
      <c r="I79" s="99">
        <v>1</v>
      </c>
      <c r="J79" s="99">
        <v>1</v>
      </c>
      <c r="K79" s="99">
        <v>1</v>
      </c>
      <c r="L79" s="99">
        <v>0</v>
      </c>
      <c r="M79" s="99">
        <v>0.75</v>
      </c>
      <c r="N79" s="99">
        <v>0</v>
      </c>
      <c r="O79" s="99">
        <v>0</v>
      </c>
      <c r="P79" s="100">
        <f t="shared" si="11"/>
        <v>1.75</v>
      </c>
      <c r="Q79" s="99">
        <v>0</v>
      </c>
      <c r="R79" s="99">
        <v>0</v>
      </c>
      <c r="S79" s="99">
        <v>0</v>
      </c>
      <c r="T79" s="104">
        <f t="shared" si="9"/>
        <v>0</v>
      </c>
      <c r="U79" s="99">
        <v>0</v>
      </c>
      <c r="V79" s="99">
        <v>0</v>
      </c>
      <c r="W79" s="99">
        <v>0</v>
      </c>
      <c r="X79" s="99">
        <v>0</v>
      </c>
      <c r="Y79" s="99">
        <v>0</v>
      </c>
      <c r="Z79" s="100">
        <f t="shared" si="12"/>
        <v>0</v>
      </c>
      <c r="AA79" s="99">
        <v>0</v>
      </c>
      <c r="AB79" s="99">
        <v>0</v>
      </c>
      <c r="AC79" s="100">
        <f t="shared" si="13"/>
        <v>0</v>
      </c>
      <c r="AD79" s="99">
        <v>0</v>
      </c>
      <c r="AE79" s="99">
        <v>0</v>
      </c>
      <c r="AF79" s="99">
        <v>0.38</v>
      </c>
      <c r="AG79" s="104">
        <f t="shared" si="10"/>
        <v>0.38</v>
      </c>
      <c r="AH79" s="99">
        <v>0</v>
      </c>
      <c r="AI79" s="99">
        <v>0</v>
      </c>
      <c r="AJ79" s="99">
        <v>0</v>
      </c>
      <c r="AK79" s="99">
        <v>0</v>
      </c>
      <c r="AL79" s="100">
        <f t="shared" si="14"/>
        <v>0</v>
      </c>
      <c r="AM79" s="100">
        <f t="shared" si="15"/>
        <v>28.88</v>
      </c>
    </row>
    <row r="80" spans="1:39" ht="15.75" thickBot="1" x14ac:dyDescent="0.3">
      <c r="A80" s="105" t="s">
        <v>298</v>
      </c>
      <c r="B80" s="99" t="s">
        <v>299</v>
      </c>
      <c r="C80" s="99">
        <v>12.65</v>
      </c>
      <c r="D80" s="99">
        <v>0</v>
      </c>
      <c r="E80" s="99">
        <v>0</v>
      </c>
      <c r="F80" s="99">
        <v>0</v>
      </c>
      <c r="G80" s="99">
        <v>0</v>
      </c>
      <c r="H80" s="99">
        <v>0</v>
      </c>
      <c r="I80" s="99">
        <v>0</v>
      </c>
      <c r="J80" s="99">
        <v>1.66</v>
      </c>
      <c r="K80" s="99">
        <v>0</v>
      </c>
      <c r="L80" s="99">
        <v>0</v>
      </c>
      <c r="M80" s="99">
        <v>0</v>
      </c>
      <c r="N80" s="99">
        <v>0</v>
      </c>
      <c r="O80" s="99">
        <v>0</v>
      </c>
      <c r="P80" s="100">
        <f t="shared" si="11"/>
        <v>0</v>
      </c>
      <c r="Q80" s="99">
        <v>0</v>
      </c>
      <c r="R80" s="99">
        <v>0</v>
      </c>
      <c r="S80" s="99">
        <v>1</v>
      </c>
      <c r="T80" s="104">
        <f t="shared" si="9"/>
        <v>1</v>
      </c>
      <c r="U80" s="99">
        <v>0</v>
      </c>
      <c r="V80" s="99">
        <v>0</v>
      </c>
      <c r="W80" s="99">
        <v>0</v>
      </c>
      <c r="X80" s="99">
        <v>0</v>
      </c>
      <c r="Y80" s="99">
        <v>0</v>
      </c>
      <c r="Z80" s="100">
        <f t="shared" si="12"/>
        <v>0</v>
      </c>
      <c r="AA80" s="99">
        <v>0</v>
      </c>
      <c r="AB80" s="99">
        <v>0</v>
      </c>
      <c r="AC80" s="100">
        <f t="shared" si="13"/>
        <v>0</v>
      </c>
      <c r="AD80" s="99">
        <v>0</v>
      </c>
      <c r="AE80" s="99">
        <v>0</v>
      </c>
      <c r="AF80" s="99">
        <v>0</v>
      </c>
      <c r="AG80" s="104">
        <f t="shared" si="10"/>
        <v>0</v>
      </c>
      <c r="AH80" s="99">
        <v>0</v>
      </c>
      <c r="AI80" s="99">
        <v>0</v>
      </c>
      <c r="AJ80" s="99">
        <v>0</v>
      </c>
      <c r="AK80" s="99">
        <v>0</v>
      </c>
      <c r="AL80" s="100">
        <f t="shared" si="14"/>
        <v>0</v>
      </c>
      <c r="AM80" s="100">
        <f t="shared" si="15"/>
        <v>15.31</v>
      </c>
    </row>
    <row r="81" spans="1:39" ht="15.75" thickBot="1" x14ac:dyDescent="0.3">
      <c r="A81" s="105" t="s">
        <v>212</v>
      </c>
      <c r="B81" s="99" t="s">
        <v>213</v>
      </c>
      <c r="C81" s="99">
        <v>1.75</v>
      </c>
      <c r="D81" s="99">
        <v>0</v>
      </c>
      <c r="E81" s="99">
        <v>0</v>
      </c>
      <c r="F81" s="99">
        <v>0.3</v>
      </c>
      <c r="G81" s="99">
        <v>0</v>
      </c>
      <c r="H81" s="99">
        <v>0</v>
      </c>
      <c r="I81" s="99">
        <v>0</v>
      </c>
      <c r="J81" s="99">
        <v>0</v>
      </c>
      <c r="K81" s="99">
        <v>1</v>
      </c>
      <c r="L81" s="99">
        <v>1</v>
      </c>
      <c r="M81" s="99">
        <v>0</v>
      </c>
      <c r="N81" s="99">
        <v>1</v>
      </c>
      <c r="O81" s="99">
        <v>0</v>
      </c>
      <c r="P81" s="100">
        <f t="shared" si="11"/>
        <v>3</v>
      </c>
      <c r="Q81" s="99">
        <v>0</v>
      </c>
      <c r="R81" s="99">
        <v>0</v>
      </c>
      <c r="S81" s="99">
        <v>0</v>
      </c>
      <c r="T81" s="104">
        <f t="shared" si="9"/>
        <v>0</v>
      </c>
      <c r="U81" s="99">
        <v>0</v>
      </c>
      <c r="V81" s="99">
        <v>0</v>
      </c>
      <c r="W81" s="99">
        <v>0</v>
      </c>
      <c r="X81" s="99">
        <v>0</v>
      </c>
      <c r="Y81" s="99">
        <v>0</v>
      </c>
      <c r="Z81" s="100">
        <f t="shared" si="12"/>
        <v>0</v>
      </c>
      <c r="AA81" s="99">
        <v>0</v>
      </c>
      <c r="AB81" s="99">
        <v>0</v>
      </c>
      <c r="AC81" s="100">
        <f t="shared" si="13"/>
        <v>0</v>
      </c>
      <c r="AD81" s="99">
        <v>0.5</v>
      </c>
      <c r="AE81" s="99">
        <v>0</v>
      </c>
      <c r="AF81" s="99">
        <v>1</v>
      </c>
      <c r="AG81" s="104">
        <f t="shared" si="10"/>
        <v>1.5</v>
      </c>
      <c r="AH81" s="99">
        <v>0</v>
      </c>
      <c r="AI81" s="99">
        <v>0</v>
      </c>
      <c r="AJ81" s="99">
        <v>0</v>
      </c>
      <c r="AK81" s="99">
        <v>0</v>
      </c>
      <c r="AL81" s="100">
        <f t="shared" si="14"/>
        <v>0</v>
      </c>
      <c r="AM81" s="100">
        <f t="shared" si="15"/>
        <v>6.55</v>
      </c>
    </row>
    <row r="82" spans="1:39" ht="15.75" thickBot="1" x14ac:dyDescent="0.3">
      <c r="A82" s="105" t="s">
        <v>84</v>
      </c>
      <c r="B82" s="99" t="s">
        <v>300</v>
      </c>
      <c r="C82" s="99">
        <v>1</v>
      </c>
      <c r="D82" s="99">
        <v>0</v>
      </c>
      <c r="E82" s="99">
        <v>0</v>
      </c>
      <c r="F82" s="99">
        <v>0</v>
      </c>
      <c r="G82" s="99">
        <v>0</v>
      </c>
      <c r="H82" s="99">
        <v>0</v>
      </c>
      <c r="I82" s="99">
        <v>0</v>
      </c>
      <c r="J82" s="99">
        <v>1</v>
      </c>
      <c r="K82" s="99">
        <v>0</v>
      </c>
      <c r="L82" s="99">
        <v>0</v>
      </c>
      <c r="M82" s="99">
        <v>0</v>
      </c>
      <c r="N82" s="99">
        <v>0</v>
      </c>
      <c r="O82" s="99">
        <v>0</v>
      </c>
      <c r="P82" s="100">
        <f t="shared" si="11"/>
        <v>0</v>
      </c>
      <c r="Q82" s="99">
        <v>0</v>
      </c>
      <c r="R82" s="99">
        <v>0</v>
      </c>
      <c r="S82" s="99">
        <v>0.5</v>
      </c>
      <c r="T82" s="104">
        <f t="shared" si="9"/>
        <v>0.5</v>
      </c>
      <c r="U82" s="99">
        <v>0</v>
      </c>
      <c r="V82" s="99">
        <v>0</v>
      </c>
      <c r="W82" s="99">
        <v>0</v>
      </c>
      <c r="X82" s="99">
        <v>0</v>
      </c>
      <c r="Y82" s="99">
        <v>0</v>
      </c>
      <c r="Z82" s="100">
        <f t="shared" si="12"/>
        <v>0</v>
      </c>
      <c r="AA82" s="99">
        <v>0</v>
      </c>
      <c r="AB82" s="99">
        <v>0</v>
      </c>
      <c r="AC82" s="100">
        <f t="shared" si="13"/>
        <v>0</v>
      </c>
      <c r="AD82" s="99">
        <v>0</v>
      </c>
      <c r="AE82" s="99">
        <v>0</v>
      </c>
      <c r="AF82" s="99">
        <v>0</v>
      </c>
      <c r="AG82" s="104">
        <f t="shared" si="10"/>
        <v>0</v>
      </c>
      <c r="AH82" s="99">
        <v>0</v>
      </c>
      <c r="AI82" s="99">
        <v>0</v>
      </c>
      <c r="AJ82" s="99">
        <v>0</v>
      </c>
      <c r="AK82" s="99">
        <v>0</v>
      </c>
      <c r="AL82" s="100">
        <f t="shared" si="14"/>
        <v>0</v>
      </c>
      <c r="AM82" s="100">
        <f t="shared" si="15"/>
        <v>2.5</v>
      </c>
    </row>
    <row r="83" spans="1:39" ht="15.75" thickBot="1" x14ac:dyDescent="0.3">
      <c r="A83" s="105" t="s">
        <v>85</v>
      </c>
      <c r="B83" s="99" t="s">
        <v>214</v>
      </c>
      <c r="C83" s="99">
        <v>6.99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2.9</v>
      </c>
      <c r="K83" s="99">
        <v>1</v>
      </c>
      <c r="L83" s="99">
        <v>0</v>
      </c>
      <c r="M83" s="99">
        <v>0</v>
      </c>
      <c r="N83" s="99">
        <v>2.38</v>
      </c>
      <c r="O83" s="99">
        <v>0</v>
      </c>
      <c r="P83" s="100">
        <f t="shared" si="11"/>
        <v>3.38</v>
      </c>
      <c r="Q83" s="99">
        <v>0</v>
      </c>
      <c r="R83" s="99">
        <v>0</v>
      </c>
      <c r="S83" s="99">
        <v>1</v>
      </c>
      <c r="T83" s="104">
        <f t="shared" si="9"/>
        <v>1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Z83" s="100">
        <f t="shared" si="12"/>
        <v>0</v>
      </c>
      <c r="AA83" s="99">
        <v>0</v>
      </c>
      <c r="AB83" s="99">
        <v>0</v>
      </c>
      <c r="AC83" s="100">
        <f t="shared" si="13"/>
        <v>0</v>
      </c>
      <c r="AD83" s="99">
        <v>1</v>
      </c>
      <c r="AE83" s="99">
        <v>0</v>
      </c>
      <c r="AF83" s="99">
        <v>2.54</v>
      </c>
      <c r="AG83" s="104">
        <f t="shared" si="10"/>
        <v>3.54</v>
      </c>
      <c r="AH83" s="99">
        <v>0</v>
      </c>
      <c r="AI83" s="99">
        <v>0</v>
      </c>
      <c r="AJ83" s="99">
        <v>0</v>
      </c>
      <c r="AK83" s="99">
        <v>0</v>
      </c>
      <c r="AL83" s="100">
        <f t="shared" si="14"/>
        <v>0</v>
      </c>
      <c r="AM83" s="100">
        <f t="shared" si="15"/>
        <v>17.809999999999999</v>
      </c>
    </row>
    <row r="84" spans="1:39" ht="15.75" thickBot="1" x14ac:dyDescent="0.3">
      <c r="A84" s="105" t="s">
        <v>86</v>
      </c>
      <c r="B84" s="99" t="s">
        <v>215</v>
      </c>
      <c r="C84" s="99">
        <v>14</v>
      </c>
      <c r="D84" s="99">
        <v>1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4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100">
        <f t="shared" si="11"/>
        <v>0</v>
      </c>
      <c r="Q84" s="99">
        <v>0</v>
      </c>
      <c r="R84" s="99">
        <v>0</v>
      </c>
      <c r="S84" s="99">
        <v>2</v>
      </c>
      <c r="T84" s="104">
        <f t="shared" si="9"/>
        <v>2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Z84" s="100">
        <f t="shared" si="12"/>
        <v>0</v>
      </c>
      <c r="AA84" s="99">
        <v>0</v>
      </c>
      <c r="AB84" s="99">
        <v>0</v>
      </c>
      <c r="AC84" s="100">
        <f t="shared" si="13"/>
        <v>0</v>
      </c>
      <c r="AD84" s="99">
        <v>0</v>
      </c>
      <c r="AE84" s="99">
        <v>0</v>
      </c>
      <c r="AF84" s="99">
        <v>0</v>
      </c>
      <c r="AG84" s="104">
        <f t="shared" si="10"/>
        <v>0</v>
      </c>
      <c r="AH84" s="99">
        <v>0</v>
      </c>
      <c r="AI84" s="99">
        <v>0</v>
      </c>
      <c r="AJ84" s="99">
        <v>0</v>
      </c>
      <c r="AK84" s="99">
        <v>0</v>
      </c>
      <c r="AL84" s="100">
        <f t="shared" si="14"/>
        <v>0</v>
      </c>
      <c r="AM84" s="100">
        <f t="shared" si="15"/>
        <v>21</v>
      </c>
    </row>
    <row r="85" spans="1:39" ht="15.75" thickBot="1" x14ac:dyDescent="0.3">
      <c r="A85" s="105" t="s">
        <v>87</v>
      </c>
      <c r="B85" s="99" t="s">
        <v>216</v>
      </c>
      <c r="C85" s="99">
        <v>14.75</v>
      </c>
      <c r="D85" s="99">
        <v>0</v>
      </c>
      <c r="E85" s="99">
        <v>0.5</v>
      </c>
      <c r="F85" s="99">
        <v>0</v>
      </c>
      <c r="G85" s="99">
        <v>0</v>
      </c>
      <c r="H85" s="99">
        <v>0</v>
      </c>
      <c r="I85" s="99">
        <v>0</v>
      </c>
      <c r="J85" s="99">
        <v>2</v>
      </c>
      <c r="K85" s="99">
        <v>0</v>
      </c>
      <c r="L85" s="99">
        <v>0</v>
      </c>
      <c r="M85" s="99">
        <v>0</v>
      </c>
      <c r="N85" s="99">
        <v>0</v>
      </c>
      <c r="O85" s="99">
        <v>0</v>
      </c>
      <c r="P85" s="100">
        <f t="shared" si="11"/>
        <v>0</v>
      </c>
      <c r="Q85" s="99">
        <v>0</v>
      </c>
      <c r="R85" s="99">
        <v>0</v>
      </c>
      <c r="S85" s="99">
        <v>2.25</v>
      </c>
      <c r="T85" s="104">
        <f t="shared" si="9"/>
        <v>2.25</v>
      </c>
      <c r="U85" s="99">
        <v>0</v>
      </c>
      <c r="V85" s="99">
        <v>0</v>
      </c>
      <c r="W85" s="99">
        <v>0</v>
      </c>
      <c r="X85" s="99">
        <v>0</v>
      </c>
      <c r="Y85" s="99">
        <v>0</v>
      </c>
      <c r="Z85" s="100">
        <f t="shared" si="12"/>
        <v>0</v>
      </c>
      <c r="AA85" s="99">
        <v>0</v>
      </c>
      <c r="AB85" s="99">
        <v>0</v>
      </c>
      <c r="AC85" s="100">
        <f t="shared" si="13"/>
        <v>0</v>
      </c>
      <c r="AD85" s="99">
        <v>0</v>
      </c>
      <c r="AE85" s="99">
        <v>0</v>
      </c>
      <c r="AF85" s="99">
        <v>0</v>
      </c>
      <c r="AG85" s="104">
        <f t="shared" si="10"/>
        <v>0</v>
      </c>
      <c r="AH85" s="99">
        <v>0</v>
      </c>
      <c r="AI85" s="99">
        <v>0</v>
      </c>
      <c r="AJ85" s="99">
        <v>0</v>
      </c>
      <c r="AK85" s="99">
        <v>0</v>
      </c>
      <c r="AL85" s="100">
        <f t="shared" si="14"/>
        <v>0</v>
      </c>
      <c r="AM85" s="100">
        <f t="shared" si="15"/>
        <v>19.5</v>
      </c>
    </row>
    <row r="86" spans="1:39" ht="15.75" thickBot="1" x14ac:dyDescent="0.3">
      <c r="A86" s="105" t="s">
        <v>91</v>
      </c>
      <c r="B86" s="99" t="s">
        <v>217</v>
      </c>
      <c r="C86" s="99">
        <v>1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1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100">
        <f t="shared" si="11"/>
        <v>0</v>
      </c>
      <c r="Q86" s="99">
        <v>0</v>
      </c>
      <c r="R86" s="99">
        <v>0</v>
      </c>
      <c r="S86" s="99">
        <v>0.46</v>
      </c>
      <c r="T86" s="104">
        <f t="shared" si="9"/>
        <v>0.46</v>
      </c>
      <c r="U86" s="99">
        <v>0</v>
      </c>
      <c r="V86" s="99">
        <v>0</v>
      </c>
      <c r="W86" s="99">
        <v>1.25</v>
      </c>
      <c r="X86" s="99">
        <v>0</v>
      </c>
      <c r="Y86" s="99">
        <v>0</v>
      </c>
      <c r="Z86" s="100">
        <f t="shared" si="12"/>
        <v>1.25</v>
      </c>
      <c r="AA86" s="99">
        <v>0</v>
      </c>
      <c r="AB86" s="99">
        <v>0</v>
      </c>
      <c r="AC86" s="100">
        <f t="shared" si="13"/>
        <v>0</v>
      </c>
      <c r="AD86" s="99">
        <v>0</v>
      </c>
      <c r="AE86" s="99">
        <v>0</v>
      </c>
      <c r="AF86" s="99">
        <v>0</v>
      </c>
      <c r="AG86" s="104">
        <f t="shared" si="10"/>
        <v>0</v>
      </c>
      <c r="AH86" s="99">
        <v>0</v>
      </c>
      <c r="AI86" s="99">
        <v>0</v>
      </c>
      <c r="AJ86" s="99">
        <v>0</v>
      </c>
      <c r="AK86" s="99">
        <v>0</v>
      </c>
      <c r="AL86" s="100">
        <f t="shared" si="14"/>
        <v>0</v>
      </c>
      <c r="AM86" s="100">
        <f t="shared" si="15"/>
        <v>3.71</v>
      </c>
    </row>
    <row r="87" spans="1:39" ht="15.75" thickBot="1" x14ac:dyDescent="0.3">
      <c r="A87" s="105" t="s">
        <v>88</v>
      </c>
      <c r="B87" s="99" t="s">
        <v>218</v>
      </c>
      <c r="C87" s="99">
        <v>25</v>
      </c>
      <c r="D87" s="99">
        <v>0</v>
      </c>
      <c r="E87" s="99">
        <v>0</v>
      </c>
      <c r="F87" s="99">
        <v>0</v>
      </c>
      <c r="G87" s="99">
        <v>0</v>
      </c>
      <c r="H87" s="99">
        <v>0</v>
      </c>
      <c r="I87" s="99">
        <v>0.1</v>
      </c>
      <c r="J87" s="99">
        <v>1.6</v>
      </c>
      <c r="K87" s="99">
        <v>0</v>
      </c>
      <c r="L87" s="99">
        <v>1</v>
      </c>
      <c r="M87" s="99">
        <v>0</v>
      </c>
      <c r="N87" s="99">
        <v>0</v>
      </c>
      <c r="O87" s="99">
        <v>0</v>
      </c>
      <c r="P87" s="100">
        <f t="shared" si="11"/>
        <v>1</v>
      </c>
      <c r="Q87" s="99">
        <v>0</v>
      </c>
      <c r="R87" s="99">
        <v>0</v>
      </c>
      <c r="S87" s="99">
        <v>0</v>
      </c>
      <c r="T87" s="104">
        <f t="shared" si="9"/>
        <v>0</v>
      </c>
      <c r="U87" s="99">
        <v>0</v>
      </c>
      <c r="V87" s="99">
        <v>0</v>
      </c>
      <c r="W87" s="99">
        <v>0</v>
      </c>
      <c r="X87" s="99">
        <v>0</v>
      </c>
      <c r="Y87" s="99">
        <v>0</v>
      </c>
      <c r="Z87" s="100">
        <f t="shared" si="12"/>
        <v>0</v>
      </c>
      <c r="AA87" s="99">
        <v>0</v>
      </c>
      <c r="AB87" s="99">
        <v>0</v>
      </c>
      <c r="AC87" s="100">
        <f t="shared" si="13"/>
        <v>0</v>
      </c>
      <c r="AD87" s="99">
        <v>0</v>
      </c>
      <c r="AE87" s="99">
        <v>0</v>
      </c>
      <c r="AF87" s="99">
        <v>2.33</v>
      </c>
      <c r="AG87" s="104">
        <f t="shared" si="10"/>
        <v>2.33</v>
      </c>
      <c r="AH87" s="99">
        <v>0</v>
      </c>
      <c r="AI87" s="99">
        <v>0</v>
      </c>
      <c r="AJ87" s="99">
        <v>0</v>
      </c>
      <c r="AK87" s="99">
        <v>0</v>
      </c>
      <c r="AL87" s="100">
        <f t="shared" si="14"/>
        <v>0</v>
      </c>
      <c r="AM87" s="100">
        <f t="shared" si="15"/>
        <v>30.03</v>
      </c>
    </row>
    <row r="88" spans="1:39" ht="15.75" thickBot="1" x14ac:dyDescent="0.3">
      <c r="A88" s="105" t="s">
        <v>89</v>
      </c>
      <c r="B88" s="99" t="s">
        <v>219</v>
      </c>
      <c r="C88" s="99">
        <v>14.46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4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100">
        <f t="shared" si="11"/>
        <v>0</v>
      </c>
      <c r="Q88" s="99">
        <v>0</v>
      </c>
      <c r="R88" s="99">
        <v>0</v>
      </c>
      <c r="S88" s="99">
        <v>0</v>
      </c>
      <c r="T88" s="104">
        <f t="shared" si="9"/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Z88" s="100">
        <f t="shared" si="12"/>
        <v>0</v>
      </c>
      <c r="AA88" s="99">
        <v>0</v>
      </c>
      <c r="AB88" s="99">
        <v>1.29</v>
      </c>
      <c r="AC88" s="100">
        <f t="shared" si="13"/>
        <v>1.29</v>
      </c>
      <c r="AD88" s="99">
        <v>1</v>
      </c>
      <c r="AE88" s="99">
        <v>0</v>
      </c>
      <c r="AF88" s="99">
        <v>3.86</v>
      </c>
      <c r="AG88" s="104">
        <f t="shared" si="10"/>
        <v>4.8599999999999994</v>
      </c>
      <c r="AH88" s="99">
        <v>0</v>
      </c>
      <c r="AI88" s="99">
        <v>0</v>
      </c>
      <c r="AJ88" s="99">
        <v>0</v>
      </c>
      <c r="AK88" s="99">
        <v>0</v>
      </c>
      <c r="AL88" s="100">
        <f t="shared" si="14"/>
        <v>0</v>
      </c>
      <c r="AM88" s="100">
        <f t="shared" si="15"/>
        <v>24.61</v>
      </c>
    </row>
    <row r="89" spans="1:39" ht="15.75" thickBot="1" x14ac:dyDescent="0.3">
      <c r="A89" s="105" t="s">
        <v>90</v>
      </c>
      <c r="B89" s="99" t="s">
        <v>220</v>
      </c>
      <c r="C89" s="99">
        <v>12.99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2.73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100">
        <f t="shared" si="11"/>
        <v>0</v>
      </c>
      <c r="Q89" s="99">
        <v>0</v>
      </c>
      <c r="R89" s="99">
        <v>0</v>
      </c>
      <c r="S89" s="99">
        <v>0</v>
      </c>
      <c r="T89" s="104">
        <f t="shared" si="9"/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Z89" s="100">
        <f t="shared" si="12"/>
        <v>0</v>
      </c>
      <c r="AA89" s="99">
        <v>0</v>
      </c>
      <c r="AB89" s="99">
        <v>0</v>
      </c>
      <c r="AC89" s="100">
        <f t="shared" si="13"/>
        <v>0</v>
      </c>
      <c r="AD89" s="99">
        <v>1</v>
      </c>
      <c r="AE89" s="99">
        <v>0</v>
      </c>
      <c r="AF89" s="99">
        <v>1.49</v>
      </c>
      <c r="AG89" s="104">
        <f t="shared" si="10"/>
        <v>2.4900000000000002</v>
      </c>
      <c r="AH89" s="99">
        <v>0</v>
      </c>
      <c r="AI89" s="99">
        <v>0</v>
      </c>
      <c r="AJ89" s="99">
        <v>0</v>
      </c>
      <c r="AK89" s="99">
        <v>0</v>
      </c>
      <c r="AL89" s="100">
        <f t="shared" si="14"/>
        <v>0</v>
      </c>
      <c r="AM89" s="100">
        <f t="shared" si="15"/>
        <v>18.21</v>
      </c>
    </row>
    <row r="90" spans="1:39" ht="15.75" thickBot="1" x14ac:dyDescent="0.3">
      <c r="A90" s="105" t="s">
        <v>92</v>
      </c>
      <c r="B90" s="99" t="s">
        <v>221</v>
      </c>
      <c r="C90" s="99">
        <v>12.79</v>
      </c>
      <c r="D90" s="99">
        <v>0</v>
      </c>
      <c r="E90" s="99">
        <v>0</v>
      </c>
      <c r="F90" s="99">
        <v>1</v>
      </c>
      <c r="G90" s="99">
        <v>0.5</v>
      </c>
      <c r="H90" s="99">
        <v>0</v>
      </c>
      <c r="I90" s="99">
        <v>0</v>
      </c>
      <c r="J90" s="99">
        <v>2.58</v>
      </c>
      <c r="K90" s="99">
        <v>1</v>
      </c>
      <c r="L90" s="99">
        <v>0</v>
      </c>
      <c r="M90" s="99">
        <v>0</v>
      </c>
      <c r="N90" s="99">
        <v>0</v>
      </c>
      <c r="O90" s="99">
        <v>0</v>
      </c>
      <c r="P90" s="100">
        <f t="shared" si="11"/>
        <v>1</v>
      </c>
      <c r="Q90" s="99">
        <v>0</v>
      </c>
      <c r="R90" s="99">
        <v>0</v>
      </c>
      <c r="S90" s="99">
        <v>2.89</v>
      </c>
      <c r="T90" s="104">
        <f t="shared" si="9"/>
        <v>2.89</v>
      </c>
      <c r="U90" s="99">
        <v>0</v>
      </c>
      <c r="V90" s="99">
        <v>0</v>
      </c>
      <c r="W90" s="99">
        <v>0</v>
      </c>
      <c r="X90" s="99">
        <v>0</v>
      </c>
      <c r="Y90" s="99">
        <v>0</v>
      </c>
      <c r="Z90" s="100">
        <f t="shared" si="12"/>
        <v>0</v>
      </c>
      <c r="AA90" s="99">
        <v>0</v>
      </c>
      <c r="AB90" s="99">
        <v>0</v>
      </c>
      <c r="AC90" s="100">
        <f t="shared" si="13"/>
        <v>0</v>
      </c>
      <c r="AD90" s="99">
        <v>0</v>
      </c>
      <c r="AE90" s="99">
        <v>0</v>
      </c>
      <c r="AF90" s="99">
        <v>0</v>
      </c>
      <c r="AG90" s="104">
        <f t="shared" si="10"/>
        <v>0</v>
      </c>
      <c r="AH90" s="99">
        <v>0</v>
      </c>
      <c r="AI90" s="99">
        <v>0</v>
      </c>
      <c r="AJ90" s="99">
        <v>0</v>
      </c>
      <c r="AK90" s="99">
        <v>0</v>
      </c>
      <c r="AL90" s="100">
        <f t="shared" si="14"/>
        <v>0</v>
      </c>
      <c r="AM90" s="100">
        <f t="shared" si="15"/>
        <v>20.759999999999998</v>
      </c>
    </row>
    <row r="91" spans="1:39" ht="15.75" thickBot="1" x14ac:dyDescent="0.3">
      <c r="A91" s="105">
        <v>68</v>
      </c>
      <c r="B91" s="99" t="s">
        <v>222</v>
      </c>
      <c r="C91" s="99">
        <v>23.35</v>
      </c>
      <c r="D91" s="99">
        <v>0</v>
      </c>
      <c r="E91" s="99">
        <v>0</v>
      </c>
      <c r="F91" s="99">
        <v>0</v>
      </c>
      <c r="G91" s="99">
        <v>0</v>
      </c>
      <c r="H91" s="99">
        <v>0</v>
      </c>
      <c r="I91" s="99">
        <v>0</v>
      </c>
      <c r="J91" s="99">
        <v>4.58</v>
      </c>
      <c r="K91" s="99">
        <v>0</v>
      </c>
      <c r="L91" s="99">
        <v>0</v>
      </c>
      <c r="M91" s="99">
        <v>0</v>
      </c>
      <c r="N91" s="99">
        <v>0</v>
      </c>
      <c r="O91" s="99">
        <v>0</v>
      </c>
      <c r="P91" s="100">
        <f t="shared" si="11"/>
        <v>0</v>
      </c>
      <c r="Q91" s="99">
        <v>0</v>
      </c>
      <c r="R91" s="99">
        <v>0</v>
      </c>
      <c r="S91" s="99">
        <v>0</v>
      </c>
      <c r="T91" s="104">
        <f t="shared" si="9"/>
        <v>0</v>
      </c>
      <c r="U91" s="99">
        <v>0</v>
      </c>
      <c r="V91" s="99">
        <v>0</v>
      </c>
      <c r="W91" s="99">
        <v>0</v>
      </c>
      <c r="X91" s="99">
        <v>0</v>
      </c>
      <c r="Y91" s="99">
        <v>0</v>
      </c>
      <c r="Z91" s="100">
        <f t="shared" si="12"/>
        <v>0</v>
      </c>
      <c r="AA91" s="99">
        <v>0</v>
      </c>
      <c r="AB91" s="99">
        <v>3.54</v>
      </c>
      <c r="AC91" s="100">
        <f t="shared" si="13"/>
        <v>3.54</v>
      </c>
      <c r="AD91" s="99">
        <v>1</v>
      </c>
      <c r="AE91" s="99">
        <v>0</v>
      </c>
      <c r="AF91" s="99">
        <v>4.5199999999999996</v>
      </c>
      <c r="AG91" s="104">
        <f t="shared" si="10"/>
        <v>5.52</v>
      </c>
      <c r="AH91" s="99">
        <v>0</v>
      </c>
      <c r="AI91" s="99">
        <v>0</v>
      </c>
      <c r="AJ91" s="99">
        <v>0</v>
      </c>
      <c r="AK91" s="99">
        <v>0</v>
      </c>
      <c r="AL91" s="100">
        <f t="shared" si="14"/>
        <v>0</v>
      </c>
      <c r="AM91" s="100">
        <f t="shared" si="15"/>
        <v>36.989999999999995</v>
      </c>
    </row>
    <row r="92" spans="1:39" ht="15.75" thickBot="1" x14ac:dyDescent="0.3">
      <c r="A92" s="105" t="s">
        <v>93</v>
      </c>
      <c r="B92" s="99" t="s">
        <v>223</v>
      </c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100">
        <f t="shared" si="11"/>
        <v>0</v>
      </c>
      <c r="Q92" s="99"/>
      <c r="R92" s="99"/>
      <c r="S92" s="99"/>
      <c r="T92" s="104">
        <f t="shared" si="9"/>
        <v>0</v>
      </c>
      <c r="U92" s="99"/>
      <c r="V92" s="99"/>
      <c r="W92" s="99"/>
      <c r="X92" s="99"/>
      <c r="Y92" s="99"/>
      <c r="Z92" s="100">
        <f t="shared" si="12"/>
        <v>0</v>
      </c>
      <c r="AA92" s="99"/>
      <c r="AB92" s="99"/>
      <c r="AC92" s="100">
        <f t="shared" si="13"/>
        <v>0</v>
      </c>
      <c r="AD92" s="99"/>
      <c r="AE92" s="99"/>
      <c r="AF92" s="99"/>
      <c r="AG92" s="104">
        <f t="shared" si="10"/>
        <v>0</v>
      </c>
      <c r="AH92" s="99"/>
      <c r="AI92" s="99"/>
      <c r="AJ92" s="99"/>
      <c r="AK92" s="99"/>
      <c r="AL92" s="100">
        <f t="shared" si="14"/>
        <v>0</v>
      </c>
      <c r="AM92" s="100">
        <f t="shared" si="15"/>
        <v>0</v>
      </c>
    </row>
    <row r="93" spans="1:39" ht="15.75" thickBot="1" x14ac:dyDescent="0.3">
      <c r="A93" s="105" t="s">
        <v>284</v>
      </c>
      <c r="B93" s="99" t="s">
        <v>285</v>
      </c>
      <c r="C93" s="99">
        <v>0.5</v>
      </c>
      <c r="D93" s="99">
        <v>0</v>
      </c>
      <c r="E93" s="99">
        <v>0</v>
      </c>
      <c r="F93" s="99">
        <v>0</v>
      </c>
      <c r="G93" s="99">
        <v>0</v>
      </c>
      <c r="H93" s="99">
        <v>0</v>
      </c>
      <c r="I93" s="99">
        <v>0</v>
      </c>
      <c r="J93" s="99">
        <v>1</v>
      </c>
      <c r="K93" s="99">
        <v>0</v>
      </c>
      <c r="L93" s="99">
        <v>0</v>
      </c>
      <c r="M93" s="99">
        <v>0</v>
      </c>
      <c r="N93" s="99">
        <v>0</v>
      </c>
      <c r="O93" s="99">
        <v>0</v>
      </c>
      <c r="P93" s="100">
        <f t="shared" si="11"/>
        <v>0</v>
      </c>
      <c r="Q93" s="99">
        <v>0</v>
      </c>
      <c r="R93" s="99">
        <v>0</v>
      </c>
      <c r="S93" s="99">
        <v>0</v>
      </c>
      <c r="T93" s="104">
        <f t="shared" si="9"/>
        <v>0</v>
      </c>
      <c r="U93" s="99">
        <v>0</v>
      </c>
      <c r="V93" s="99">
        <v>0</v>
      </c>
      <c r="W93" s="99">
        <v>0</v>
      </c>
      <c r="X93" s="99">
        <v>0</v>
      </c>
      <c r="Y93" s="99">
        <v>0</v>
      </c>
      <c r="Z93" s="100">
        <f t="shared" si="12"/>
        <v>0</v>
      </c>
      <c r="AA93" s="99">
        <v>0</v>
      </c>
      <c r="AB93" s="99">
        <v>0</v>
      </c>
      <c r="AC93" s="100">
        <f t="shared" si="13"/>
        <v>0</v>
      </c>
      <c r="AD93" s="99">
        <v>0</v>
      </c>
      <c r="AE93" s="99">
        <v>0</v>
      </c>
      <c r="AF93" s="99">
        <v>0</v>
      </c>
      <c r="AG93" s="104">
        <f t="shared" si="10"/>
        <v>0</v>
      </c>
      <c r="AH93" s="99">
        <v>0</v>
      </c>
      <c r="AI93" s="99">
        <v>0</v>
      </c>
      <c r="AJ93" s="99">
        <v>0</v>
      </c>
      <c r="AK93" s="99">
        <v>0</v>
      </c>
      <c r="AL93" s="100">
        <f t="shared" si="14"/>
        <v>0</v>
      </c>
      <c r="AM93" s="100">
        <f t="shared" si="15"/>
        <v>1.5</v>
      </c>
    </row>
    <row r="94" spans="1:39" ht="15.75" thickBot="1" x14ac:dyDescent="0.3">
      <c r="A94" s="105" t="s">
        <v>286</v>
      </c>
      <c r="B94" s="99" t="s">
        <v>287</v>
      </c>
      <c r="C94" s="99">
        <v>12.2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2.72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100">
        <f t="shared" si="11"/>
        <v>0</v>
      </c>
      <c r="Q94" s="99">
        <v>0</v>
      </c>
      <c r="R94" s="99">
        <v>0</v>
      </c>
      <c r="S94" s="99">
        <v>0</v>
      </c>
      <c r="T94" s="104">
        <f t="shared" si="9"/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Z94" s="100">
        <f t="shared" si="12"/>
        <v>0</v>
      </c>
      <c r="AA94" s="99">
        <v>0</v>
      </c>
      <c r="AB94" s="99">
        <v>1.93</v>
      </c>
      <c r="AC94" s="100">
        <f t="shared" si="13"/>
        <v>1.93</v>
      </c>
      <c r="AD94" s="99">
        <v>0</v>
      </c>
      <c r="AE94" s="99">
        <v>0</v>
      </c>
      <c r="AF94" s="99">
        <v>0.66</v>
      </c>
      <c r="AG94" s="104">
        <f t="shared" si="10"/>
        <v>0.66</v>
      </c>
      <c r="AH94" s="99">
        <v>0</v>
      </c>
      <c r="AI94" s="99">
        <v>0</v>
      </c>
      <c r="AJ94" s="99">
        <v>0</v>
      </c>
      <c r="AK94" s="99">
        <v>0</v>
      </c>
      <c r="AL94" s="100">
        <f t="shared" si="14"/>
        <v>0</v>
      </c>
      <c r="AM94" s="100">
        <f t="shared" si="15"/>
        <v>17.510000000000002</v>
      </c>
    </row>
    <row r="95" spans="1:39" ht="15.75" thickBot="1" x14ac:dyDescent="0.3">
      <c r="A95" s="105" t="s">
        <v>94</v>
      </c>
      <c r="B95" s="99" t="s">
        <v>224</v>
      </c>
      <c r="C95" s="99">
        <v>0</v>
      </c>
      <c r="D95" s="99">
        <v>0</v>
      </c>
      <c r="E95" s="99">
        <v>0</v>
      </c>
      <c r="F95" s="99">
        <v>1</v>
      </c>
      <c r="G95" s="99">
        <v>0</v>
      </c>
      <c r="H95" s="99">
        <v>0</v>
      </c>
      <c r="I95" s="99">
        <v>0</v>
      </c>
      <c r="J95" s="99">
        <v>3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100">
        <f t="shared" si="11"/>
        <v>0</v>
      </c>
      <c r="Q95" s="99">
        <v>0</v>
      </c>
      <c r="R95" s="99">
        <v>1</v>
      </c>
      <c r="S95" s="99">
        <v>2</v>
      </c>
      <c r="T95" s="104">
        <f t="shared" si="9"/>
        <v>3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Z95" s="100">
        <f t="shared" si="12"/>
        <v>0</v>
      </c>
      <c r="AA95" s="99">
        <v>0</v>
      </c>
      <c r="AB95" s="99">
        <v>0</v>
      </c>
      <c r="AC95" s="100">
        <f t="shared" si="13"/>
        <v>0</v>
      </c>
      <c r="AD95" s="99">
        <v>0</v>
      </c>
      <c r="AE95" s="99">
        <v>0</v>
      </c>
      <c r="AF95" s="99">
        <v>0</v>
      </c>
      <c r="AG95" s="104">
        <f t="shared" si="10"/>
        <v>0</v>
      </c>
      <c r="AH95" s="99">
        <v>0</v>
      </c>
      <c r="AI95" s="99">
        <v>0</v>
      </c>
      <c r="AJ95" s="99">
        <v>0</v>
      </c>
      <c r="AK95" s="99">
        <v>0</v>
      </c>
      <c r="AL95" s="100">
        <f t="shared" si="14"/>
        <v>0</v>
      </c>
      <c r="AM95" s="100">
        <f t="shared" si="15"/>
        <v>7</v>
      </c>
    </row>
    <row r="96" spans="1:39" ht="15.75" thickBot="1" x14ac:dyDescent="0.3">
      <c r="A96" s="105">
        <v>86</v>
      </c>
      <c r="B96" s="99" t="s">
        <v>225</v>
      </c>
      <c r="C96" s="99">
        <v>31.5</v>
      </c>
      <c r="D96" s="99">
        <v>0.2</v>
      </c>
      <c r="E96" s="99">
        <v>2</v>
      </c>
      <c r="F96" s="99">
        <v>0.8</v>
      </c>
      <c r="G96" s="99">
        <v>0</v>
      </c>
      <c r="H96" s="99">
        <v>0</v>
      </c>
      <c r="I96" s="99">
        <v>0</v>
      </c>
      <c r="J96" s="99">
        <v>0</v>
      </c>
      <c r="K96" s="99">
        <v>1</v>
      </c>
      <c r="L96" s="99">
        <v>0</v>
      </c>
      <c r="M96" s="99">
        <v>0</v>
      </c>
      <c r="N96" s="99">
        <v>0</v>
      </c>
      <c r="O96" s="99">
        <v>0</v>
      </c>
      <c r="P96" s="100">
        <f t="shared" si="11"/>
        <v>1</v>
      </c>
      <c r="Q96" s="99">
        <v>0</v>
      </c>
      <c r="R96" s="99">
        <v>0</v>
      </c>
      <c r="S96" s="99">
        <v>1</v>
      </c>
      <c r="T96" s="104">
        <f t="shared" si="9"/>
        <v>1</v>
      </c>
      <c r="U96" s="99">
        <v>0</v>
      </c>
      <c r="V96" s="99">
        <v>0</v>
      </c>
      <c r="W96" s="99">
        <v>1</v>
      </c>
      <c r="X96" s="99">
        <v>0</v>
      </c>
      <c r="Y96" s="99">
        <v>0</v>
      </c>
      <c r="Z96" s="100">
        <f t="shared" si="12"/>
        <v>1</v>
      </c>
      <c r="AA96" s="99">
        <v>0</v>
      </c>
      <c r="AB96" s="99">
        <v>0</v>
      </c>
      <c r="AC96" s="100">
        <f t="shared" si="13"/>
        <v>0</v>
      </c>
      <c r="AD96" s="99">
        <v>0.2</v>
      </c>
      <c r="AE96" s="99">
        <v>1</v>
      </c>
      <c r="AF96" s="99">
        <v>2.9</v>
      </c>
      <c r="AG96" s="104">
        <f t="shared" si="10"/>
        <v>4.0999999999999996</v>
      </c>
      <c r="AH96" s="99">
        <v>0</v>
      </c>
      <c r="AI96" s="99">
        <v>0</v>
      </c>
      <c r="AJ96" s="99">
        <v>0</v>
      </c>
      <c r="AK96" s="99">
        <v>0</v>
      </c>
      <c r="AL96" s="100">
        <f t="shared" si="14"/>
        <v>0</v>
      </c>
      <c r="AM96" s="100">
        <f t="shared" si="15"/>
        <v>41.6</v>
      </c>
    </row>
    <row r="97" spans="1:39" ht="15.75" thickBot="1" x14ac:dyDescent="0.3">
      <c r="A97" s="105" t="s">
        <v>226</v>
      </c>
      <c r="B97" s="99" t="s">
        <v>227</v>
      </c>
      <c r="C97" s="99">
        <v>23.3</v>
      </c>
      <c r="D97" s="99">
        <v>0</v>
      </c>
      <c r="E97" s="99">
        <v>0.5</v>
      </c>
      <c r="F97" s="99">
        <v>0</v>
      </c>
      <c r="G97" s="99">
        <v>0</v>
      </c>
      <c r="H97" s="99">
        <v>0</v>
      </c>
      <c r="I97" s="99">
        <v>0</v>
      </c>
      <c r="J97" s="99">
        <v>3.75</v>
      </c>
      <c r="K97" s="99">
        <v>0</v>
      </c>
      <c r="L97" s="99">
        <v>0</v>
      </c>
      <c r="M97" s="99">
        <v>0</v>
      </c>
      <c r="N97" s="99">
        <v>0</v>
      </c>
      <c r="O97" s="99">
        <v>0</v>
      </c>
      <c r="P97" s="100">
        <f t="shared" si="11"/>
        <v>0</v>
      </c>
      <c r="Q97" s="99">
        <v>0</v>
      </c>
      <c r="R97" s="99">
        <v>0</v>
      </c>
      <c r="S97" s="99">
        <v>2.6</v>
      </c>
      <c r="T97" s="104">
        <f t="shared" si="9"/>
        <v>2.6</v>
      </c>
      <c r="U97" s="99">
        <v>0</v>
      </c>
      <c r="V97" s="99">
        <v>0</v>
      </c>
      <c r="W97" s="99">
        <v>0</v>
      </c>
      <c r="X97" s="99">
        <v>0</v>
      </c>
      <c r="Y97" s="99">
        <v>0</v>
      </c>
      <c r="Z97" s="100">
        <f t="shared" si="12"/>
        <v>0</v>
      </c>
      <c r="AA97" s="99">
        <v>0</v>
      </c>
      <c r="AB97" s="99">
        <v>0</v>
      </c>
      <c r="AC97" s="100">
        <f t="shared" si="13"/>
        <v>0</v>
      </c>
      <c r="AD97" s="99">
        <v>0</v>
      </c>
      <c r="AE97" s="99">
        <v>0</v>
      </c>
      <c r="AF97" s="99">
        <v>0</v>
      </c>
      <c r="AG97" s="104">
        <f t="shared" si="10"/>
        <v>0</v>
      </c>
      <c r="AH97" s="99">
        <v>0</v>
      </c>
      <c r="AI97" s="99">
        <v>0</v>
      </c>
      <c r="AJ97" s="99">
        <v>0</v>
      </c>
      <c r="AK97" s="99">
        <v>0</v>
      </c>
      <c r="AL97" s="100">
        <f t="shared" si="14"/>
        <v>0</v>
      </c>
      <c r="AM97" s="100">
        <f t="shared" si="15"/>
        <v>30.150000000000002</v>
      </c>
    </row>
    <row r="98" spans="1:39" ht="15.75" thickBot="1" x14ac:dyDescent="0.3">
      <c r="A98" s="105" t="s">
        <v>301</v>
      </c>
      <c r="B98" s="99" t="s">
        <v>302</v>
      </c>
      <c r="C98" s="99">
        <v>3</v>
      </c>
      <c r="D98" s="99">
        <v>0</v>
      </c>
      <c r="E98" s="99">
        <v>0</v>
      </c>
      <c r="F98" s="99">
        <v>0</v>
      </c>
      <c r="G98" s="99">
        <v>0</v>
      </c>
      <c r="H98" s="99">
        <v>2</v>
      </c>
      <c r="I98" s="99">
        <v>0</v>
      </c>
      <c r="J98" s="99">
        <v>2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100">
        <f t="shared" si="11"/>
        <v>0</v>
      </c>
      <c r="Q98" s="99">
        <v>0</v>
      </c>
      <c r="R98" s="99">
        <v>0</v>
      </c>
      <c r="S98" s="99">
        <v>0</v>
      </c>
      <c r="T98" s="104">
        <f t="shared" si="9"/>
        <v>0</v>
      </c>
      <c r="U98" s="99">
        <v>0</v>
      </c>
      <c r="V98" s="99">
        <v>0</v>
      </c>
      <c r="W98" s="99">
        <v>1</v>
      </c>
      <c r="X98" s="99">
        <v>0</v>
      </c>
      <c r="Y98" s="99">
        <v>0</v>
      </c>
      <c r="Z98" s="100">
        <f t="shared" si="12"/>
        <v>1</v>
      </c>
      <c r="AA98" s="99">
        <v>0</v>
      </c>
      <c r="AB98" s="99">
        <v>0</v>
      </c>
      <c r="AC98" s="100">
        <f t="shared" si="13"/>
        <v>0</v>
      </c>
      <c r="AD98" s="99">
        <v>0</v>
      </c>
      <c r="AE98" s="99">
        <v>0</v>
      </c>
      <c r="AF98" s="99">
        <v>3</v>
      </c>
      <c r="AG98" s="104">
        <f t="shared" si="10"/>
        <v>3</v>
      </c>
      <c r="AH98" s="99">
        <v>0</v>
      </c>
      <c r="AI98" s="99">
        <v>0</v>
      </c>
      <c r="AJ98" s="99">
        <v>0</v>
      </c>
      <c r="AK98" s="99">
        <v>0</v>
      </c>
      <c r="AL98" s="100">
        <f t="shared" si="14"/>
        <v>0</v>
      </c>
      <c r="AM98" s="100">
        <f t="shared" si="15"/>
        <v>11</v>
      </c>
    </row>
    <row r="99" spans="1:39" ht="15.75" thickBot="1" x14ac:dyDescent="0.3">
      <c r="A99" s="105" t="s">
        <v>228</v>
      </c>
      <c r="B99" s="99" t="s">
        <v>229</v>
      </c>
      <c r="C99" s="99">
        <v>7.53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2.36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100">
        <f t="shared" si="11"/>
        <v>0</v>
      </c>
      <c r="Q99" s="99">
        <v>0</v>
      </c>
      <c r="R99" s="99">
        <v>0</v>
      </c>
      <c r="S99" s="99">
        <v>0</v>
      </c>
      <c r="T99" s="104">
        <f t="shared" si="9"/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Z99" s="100">
        <f t="shared" si="12"/>
        <v>0</v>
      </c>
      <c r="AA99" s="99">
        <v>0</v>
      </c>
      <c r="AB99" s="99">
        <v>3.67</v>
      </c>
      <c r="AC99" s="100">
        <f t="shared" si="13"/>
        <v>3.67</v>
      </c>
      <c r="AD99" s="99">
        <v>0</v>
      </c>
      <c r="AE99" s="99">
        <v>0</v>
      </c>
      <c r="AF99" s="99">
        <v>0.71</v>
      </c>
      <c r="AG99" s="104">
        <f t="shared" si="10"/>
        <v>0.71</v>
      </c>
      <c r="AH99" s="99">
        <v>0</v>
      </c>
      <c r="AI99" s="99">
        <v>0</v>
      </c>
      <c r="AJ99" s="99">
        <v>0</v>
      </c>
      <c r="AK99" s="99">
        <v>0</v>
      </c>
      <c r="AL99" s="100">
        <f t="shared" si="14"/>
        <v>0</v>
      </c>
      <c r="AM99" s="100">
        <f t="shared" si="15"/>
        <v>14.27</v>
      </c>
    </row>
    <row r="100" spans="1:39" ht="15.75" thickBot="1" x14ac:dyDescent="0.3">
      <c r="A100" s="105" t="s">
        <v>95</v>
      </c>
      <c r="B100" s="99" t="s">
        <v>230</v>
      </c>
      <c r="C100" s="99">
        <v>13.5</v>
      </c>
      <c r="D100" s="99">
        <v>0</v>
      </c>
      <c r="E100" s="99">
        <v>0</v>
      </c>
      <c r="F100" s="99">
        <v>0</v>
      </c>
      <c r="G100" s="99">
        <v>0.5</v>
      </c>
      <c r="H100" s="99">
        <v>0</v>
      </c>
      <c r="I100" s="99">
        <v>0</v>
      </c>
      <c r="J100" s="99">
        <v>1</v>
      </c>
      <c r="K100" s="99">
        <v>0</v>
      </c>
      <c r="L100" s="99">
        <v>0</v>
      </c>
      <c r="M100" s="99">
        <v>0</v>
      </c>
      <c r="N100" s="99">
        <v>0</v>
      </c>
      <c r="O100" s="99">
        <v>0</v>
      </c>
      <c r="P100" s="100">
        <f t="shared" si="11"/>
        <v>0</v>
      </c>
      <c r="Q100" s="99">
        <v>0</v>
      </c>
      <c r="R100" s="99">
        <v>0</v>
      </c>
      <c r="S100" s="99">
        <v>1</v>
      </c>
      <c r="T100" s="104">
        <f t="shared" si="9"/>
        <v>1</v>
      </c>
      <c r="U100" s="99">
        <v>0</v>
      </c>
      <c r="V100" s="99">
        <v>0</v>
      </c>
      <c r="W100" s="99">
        <v>0</v>
      </c>
      <c r="X100" s="99">
        <v>0</v>
      </c>
      <c r="Y100" s="99">
        <v>0</v>
      </c>
      <c r="Z100" s="100">
        <f t="shared" si="12"/>
        <v>0</v>
      </c>
      <c r="AA100" s="99">
        <v>0</v>
      </c>
      <c r="AB100" s="99">
        <v>0</v>
      </c>
      <c r="AC100" s="100">
        <f t="shared" si="13"/>
        <v>0</v>
      </c>
      <c r="AD100" s="99">
        <v>0</v>
      </c>
      <c r="AE100" s="99">
        <v>0</v>
      </c>
      <c r="AF100" s="99">
        <v>0.9</v>
      </c>
      <c r="AG100" s="104">
        <f t="shared" si="10"/>
        <v>0.9</v>
      </c>
      <c r="AH100" s="99">
        <v>0</v>
      </c>
      <c r="AI100" s="99">
        <v>0</v>
      </c>
      <c r="AJ100" s="99">
        <v>0</v>
      </c>
      <c r="AK100" s="99">
        <v>0</v>
      </c>
      <c r="AL100" s="100">
        <f t="shared" si="14"/>
        <v>0</v>
      </c>
      <c r="AM100" s="100">
        <f t="shared" si="15"/>
        <v>16.899999999999999</v>
      </c>
    </row>
    <row r="101" spans="1:39" ht="15.75" thickBot="1" x14ac:dyDescent="0.3">
      <c r="A101" s="105" t="s">
        <v>96</v>
      </c>
      <c r="B101" s="99" t="s">
        <v>231</v>
      </c>
      <c r="C101" s="99">
        <v>11</v>
      </c>
      <c r="D101" s="99">
        <v>0.18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3</v>
      </c>
      <c r="K101" s="99">
        <v>0</v>
      </c>
      <c r="L101" s="99">
        <v>0</v>
      </c>
      <c r="M101" s="99">
        <v>1</v>
      </c>
      <c r="N101" s="99">
        <v>0</v>
      </c>
      <c r="O101" s="99">
        <v>0</v>
      </c>
      <c r="P101" s="100">
        <f t="shared" si="11"/>
        <v>1</v>
      </c>
      <c r="Q101" s="99">
        <v>0</v>
      </c>
      <c r="R101" s="99">
        <v>0</v>
      </c>
      <c r="S101" s="99">
        <v>1</v>
      </c>
      <c r="T101" s="104">
        <f t="shared" si="9"/>
        <v>1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Z101" s="100">
        <f t="shared" si="12"/>
        <v>0</v>
      </c>
      <c r="AA101" s="99">
        <v>0</v>
      </c>
      <c r="AB101" s="99">
        <v>0</v>
      </c>
      <c r="AC101" s="100">
        <f t="shared" si="13"/>
        <v>0</v>
      </c>
      <c r="AD101" s="99">
        <v>1</v>
      </c>
      <c r="AE101" s="99">
        <v>0</v>
      </c>
      <c r="AF101" s="99">
        <v>2.5</v>
      </c>
      <c r="AG101" s="104">
        <f t="shared" si="10"/>
        <v>3.5</v>
      </c>
      <c r="AH101" s="99">
        <v>0</v>
      </c>
      <c r="AI101" s="99">
        <v>0</v>
      </c>
      <c r="AJ101" s="99">
        <v>0</v>
      </c>
      <c r="AK101" s="99">
        <v>0</v>
      </c>
      <c r="AL101" s="100">
        <f t="shared" si="14"/>
        <v>0</v>
      </c>
      <c r="AM101" s="100">
        <f t="shared" si="15"/>
        <v>19.68</v>
      </c>
    </row>
    <row r="102" spans="1:39" ht="15.75" thickBot="1" x14ac:dyDescent="0.3">
      <c r="A102" s="105" t="s">
        <v>97</v>
      </c>
      <c r="B102" s="99" t="s">
        <v>232</v>
      </c>
      <c r="C102" s="99">
        <v>6.82</v>
      </c>
      <c r="D102" s="99">
        <v>0</v>
      </c>
      <c r="E102" s="99">
        <v>0.5</v>
      </c>
      <c r="F102" s="99">
        <v>0</v>
      </c>
      <c r="G102" s="99">
        <v>0</v>
      </c>
      <c r="H102" s="99">
        <v>1</v>
      </c>
      <c r="I102" s="99">
        <v>0</v>
      </c>
      <c r="J102" s="99">
        <v>3</v>
      </c>
      <c r="K102" s="99">
        <v>1</v>
      </c>
      <c r="L102" s="99">
        <v>0</v>
      </c>
      <c r="M102" s="99">
        <v>0</v>
      </c>
      <c r="N102" s="99">
        <v>0</v>
      </c>
      <c r="O102" s="99">
        <v>0</v>
      </c>
      <c r="P102" s="100">
        <f t="shared" si="11"/>
        <v>1</v>
      </c>
      <c r="Q102" s="99">
        <v>0</v>
      </c>
      <c r="R102" s="99">
        <v>0</v>
      </c>
      <c r="S102" s="99">
        <v>1.36</v>
      </c>
      <c r="T102" s="104">
        <f t="shared" si="9"/>
        <v>1.36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Z102" s="100">
        <f t="shared" si="12"/>
        <v>0</v>
      </c>
      <c r="AA102" s="99">
        <v>0</v>
      </c>
      <c r="AB102" s="99">
        <v>0</v>
      </c>
      <c r="AC102" s="100">
        <f t="shared" si="13"/>
        <v>0</v>
      </c>
      <c r="AD102" s="99">
        <v>0</v>
      </c>
      <c r="AE102" s="99">
        <v>0</v>
      </c>
      <c r="AF102" s="99">
        <v>1.28</v>
      </c>
      <c r="AG102" s="104">
        <f t="shared" si="10"/>
        <v>1.28</v>
      </c>
      <c r="AH102" s="99">
        <v>0</v>
      </c>
      <c r="AI102" s="99">
        <v>0</v>
      </c>
      <c r="AJ102" s="99">
        <v>0</v>
      </c>
      <c r="AK102" s="99">
        <v>0</v>
      </c>
      <c r="AL102" s="100">
        <f t="shared" si="14"/>
        <v>0</v>
      </c>
      <c r="AM102" s="100">
        <f t="shared" si="15"/>
        <v>14.959999999999999</v>
      </c>
    </row>
    <row r="103" spans="1:39" ht="15.75" thickBot="1" x14ac:dyDescent="0.3">
      <c r="A103" s="105" t="s">
        <v>233</v>
      </c>
      <c r="B103" s="99" t="s">
        <v>234</v>
      </c>
      <c r="C103" s="99">
        <v>1</v>
      </c>
      <c r="D103" s="99">
        <v>0</v>
      </c>
      <c r="E103" s="99">
        <v>0</v>
      </c>
      <c r="F103" s="99">
        <v>0</v>
      </c>
      <c r="G103" s="99">
        <v>0</v>
      </c>
      <c r="H103" s="99">
        <v>0</v>
      </c>
      <c r="I103" s="99">
        <v>0</v>
      </c>
      <c r="J103" s="99">
        <v>1</v>
      </c>
      <c r="K103" s="99">
        <v>0</v>
      </c>
      <c r="L103" s="99">
        <v>0</v>
      </c>
      <c r="M103" s="99">
        <v>0</v>
      </c>
      <c r="N103" s="99">
        <v>0</v>
      </c>
      <c r="O103" s="99">
        <v>0</v>
      </c>
      <c r="P103" s="100">
        <f t="shared" si="11"/>
        <v>0</v>
      </c>
      <c r="Q103" s="99">
        <v>0</v>
      </c>
      <c r="R103" s="99">
        <v>0</v>
      </c>
      <c r="S103" s="99">
        <v>0.63</v>
      </c>
      <c r="T103" s="104">
        <f t="shared" si="9"/>
        <v>0.63</v>
      </c>
      <c r="U103" s="99">
        <v>0</v>
      </c>
      <c r="V103" s="99">
        <v>0</v>
      </c>
      <c r="W103" s="99">
        <v>0.57999999999999996</v>
      </c>
      <c r="X103" s="99">
        <v>0</v>
      </c>
      <c r="Y103" s="99">
        <v>0.3</v>
      </c>
      <c r="Z103" s="100">
        <f t="shared" si="12"/>
        <v>0.87999999999999989</v>
      </c>
      <c r="AA103" s="99">
        <v>0</v>
      </c>
      <c r="AB103" s="99">
        <v>0</v>
      </c>
      <c r="AC103" s="100">
        <f t="shared" si="13"/>
        <v>0</v>
      </c>
      <c r="AD103" s="99">
        <v>0</v>
      </c>
      <c r="AE103" s="99">
        <v>0</v>
      </c>
      <c r="AF103" s="99">
        <v>0.44</v>
      </c>
      <c r="AG103" s="104">
        <f t="shared" si="10"/>
        <v>0.44</v>
      </c>
      <c r="AH103" s="99">
        <v>0</v>
      </c>
      <c r="AI103" s="99">
        <v>0</v>
      </c>
      <c r="AJ103" s="99">
        <v>0</v>
      </c>
      <c r="AK103" s="99">
        <v>0</v>
      </c>
      <c r="AL103" s="100">
        <f t="shared" si="14"/>
        <v>0</v>
      </c>
      <c r="AM103" s="100">
        <f t="shared" si="15"/>
        <v>3.9499999999999997</v>
      </c>
    </row>
    <row r="104" spans="1:39" ht="15.75" thickBot="1" x14ac:dyDescent="0.3">
      <c r="A104" s="105">
        <v>97</v>
      </c>
      <c r="B104" s="99" t="s">
        <v>235</v>
      </c>
      <c r="C104" s="99">
        <v>6.5</v>
      </c>
      <c r="D104" s="99">
        <v>0</v>
      </c>
      <c r="E104" s="99">
        <v>0</v>
      </c>
      <c r="F104" s="99">
        <v>0</v>
      </c>
      <c r="G104" s="99">
        <v>0</v>
      </c>
      <c r="H104" s="99">
        <v>0</v>
      </c>
      <c r="I104" s="99">
        <v>0</v>
      </c>
      <c r="J104" s="99">
        <v>1</v>
      </c>
      <c r="K104" s="99">
        <v>1</v>
      </c>
      <c r="L104" s="99">
        <v>1</v>
      </c>
      <c r="M104" s="99">
        <v>0</v>
      </c>
      <c r="N104" s="99">
        <v>0</v>
      </c>
      <c r="O104" s="99">
        <v>1</v>
      </c>
      <c r="P104" s="100">
        <f t="shared" si="11"/>
        <v>3</v>
      </c>
      <c r="Q104" s="99">
        <v>0</v>
      </c>
      <c r="R104" s="99">
        <v>0</v>
      </c>
      <c r="S104" s="99">
        <v>0</v>
      </c>
      <c r="T104" s="104">
        <f t="shared" si="9"/>
        <v>0</v>
      </c>
      <c r="U104" s="99">
        <v>0</v>
      </c>
      <c r="V104" s="99">
        <v>0</v>
      </c>
      <c r="W104" s="99">
        <v>0</v>
      </c>
      <c r="X104" s="99">
        <v>0</v>
      </c>
      <c r="Y104" s="99">
        <v>0</v>
      </c>
      <c r="Z104" s="100">
        <f t="shared" si="12"/>
        <v>0</v>
      </c>
      <c r="AA104" s="99">
        <v>0</v>
      </c>
      <c r="AB104" s="99">
        <v>0</v>
      </c>
      <c r="AC104" s="100">
        <f t="shared" si="13"/>
        <v>0</v>
      </c>
      <c r="AD104" s="99">
        <v>0</v>
      </c>
      <c r="AE104" s="99">
        <v>0</v>
      </c>
      <c r="AF104" s="99">
        <v>0</v>
      </c>
      <c r="AG104" s="104">
        <f t="shared" si="10"/>
        <v>0</v>
      </c>
      <c r="AH104" s="99">
        <v>0</v>
      </c>
      <c r="AI104" s="99">
        <v>0</v>
      </c>
      <c r="AJ104" s="99">
        <v>0</v>
      </c>
      <c r="AK104" s="99">
        <v>0</v>
      </c>
      <c r="AL104" s="100">
        <f t="shared" si="14"/>
        <v>0</v>
      </c>
      <c r="AM104" s="100">
        <f t="shared" si="15"/>
        <v>10.5</v>
      </c>
    </row>
    <row r="105" spans="1:39" ht="15.75" thickBot="1" x14ac:dyDescent="0.3">
      <c r="A105" s="105" t="s">
        <v>236</v>
      </c>
      <c r="B105" s="99" t="s">
        <v>237</v>
      </c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100">
        <f t="shared" si="11"/>
        <v>0</v>
      </c>
      <c r="Q105" s="99"/>
      <c r="R105" s="99"/>
      <c r="S105" s="99"/>
      <c r="T105" s="104">
        <f t="shared" si="9"/>
        <v>0</v>
      </c>
      <c r="U105" s="99"/>
      <c r="V105" s="99"/>
      <c r="W105" s="99"/>
      <c r="X105" s="99"/>
      <c r="Y105" s="99"/>
      <c r="Z105" s="100">
        <f t="shared" si="12"/>
        <v>0</v>
      </c>
      <c r="AA105" s="99"/>
      <c r="AB105" s="99"/>
      <c r="AC105" s="100">
        <f t="shared" si="13"/>
        <v>0</v>
      </c>
      <c r="AD105" s="99"/>
      <c r="AE105" s="99"/>
      <c r="AF105" s="99"/>
      <c r="AG105" s="104">
        <f t="shared" si="10"/>
        <v>0</v>
      </c>
      <c r="AH105" s="99"/>
      <c r="AI105" s="99"/>
      <c r="AJ105" s="99"/>
      <c r="AK105" s="99"/>
      <c r="AL105" s="100">
        <f t="shared" si="14"/>
        <v>0</v>
      </c>
      <c r="AM105" s="100">
        <f t="shared" si="15"/>
        <v>0</v>
      </c>
    </row>
    <row r="106" spans="1:39" ht="15.75" thickBot="1" x14ac:dyDescent="0.3">
      <c r="A106" s="105" t="s">
        <v>98</v>
      </c>
      <c r="B106" s="99" t="s">
        <v>238</v>
      </c>
      <c r="C106" s="99">
        <v>0.69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0.94</v>
      </c>
      <c r="K106" s="99">
        <v>0</v>
      </c>
      <c r="L106" s="99">
        <v>0</v>
      </c>
      <c r="M106" s="99">
        <v>1</v>
      </c>
      <c r="N106" s="99">
        <v>0</v>
      </c>
      <c r="O106" s="99">
        <v>0</v>
      </c>
      <c r="P106" s="100">
        <f t="shared" si="11"/>
        <v>1</v>
      </c>
      <c r="Q106" s="99">
        <v>0</v>
      </c>
      <c r="R106" s="99">
        <v>0</v>
      </c>
      <c r="S106" s="99">
        <v>0</v>
      </c>
      <c r="T106" s="104">
        <f t="shared" si="9"/>
        <v>0</v>
      </c>
      <c r="U106" s="99">
        <v>0</v>
      </c>
      <c r="V106" s="99">
        <v>0</v>
      </c>
      <c r="W106" s="99">
        <v>0</v>
      </c>
      <c r="X106" s="99">
        <v>0</v>
      </c>
      <c r="Y106" s="99">
        <v>0</v>
      </c>
      <c r="Z106" s="100">
        <f t="shared" si="12"/>
        <v>0</v>
      </c>
      <c r="AA106" s="99">
        <v>0</v>
      </c>
      <c r="AB106" s="99">
        <v>0</v>
      </c>
      <c r="AC106" s="100">
        <f t="shared" si="13"/>
        <v>0</v>
      </c>
      <c r="AD106" s="99">
        <v>0</v>
      </c>
      <c r="AE106" s="99">
        <v>0</v>
      </c>
      <c r="AF106" s="99">
        <v>0</v>
      </c>
      <c r="AG106" s="104">
        <f t="shared" si="10"/>
        <v>0</v>
      </c>
      <c r="AH106" s="99">
        <v>0</v>
      </c>
      <c r="AI106" s="99">
        <v>0</v>
      </c>
      <c r="AJ106" s="99">
        <v>0</v>
      </c>
      <c r="AK106" s="99">
        <v>0</v>
      </c>
      <c r="AL106" s="100">
        <f t="shared" si="14"/>
        <v>0</v>
      </c>
      <c r="AM106" s="100">
        <f t="shared" si="15"/>
        <v>2.63</v>
      </c>
    </row>
    <row r="107" spans="1:39" ht="15.75" thickBot="1" x14ac:dyDescent="0.3">
      <c r="A107" s="105">
        <v>89</v>
      </c>
      <c r="B107" s="99" t="s">
        <v>239</v>
      </c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100">
        <f t="shared" si="11"/>
        <v>0</v>
      </c>
      <c r="Q107" s="99"/>
      <c r="R107" s="99"/>
      <c r="S107" s="99"/>
      <c r="T107" s="104">
        <f t="shared" si="9"/>
        <v>0</v>
      </c>
      <c r="U107" s="99"/>
      <c r="V107" s="99"/>
      <c r="W107" s="99"/>
      <c r="X107" s="99"/>
      <c r="Y107" s="99"/>
      <c r="Z107" s="100">
        <f t="shared" si="12"/>
        <v>0</v>
      </c>
      <c r="AA107" s="99"/>
      <c r="AB107" s="99"/>
      <c r="AC107" s="100">
        <f t="shared" si="13"/>
        <v>0</v>
      </c>
      <c r="AD107" s="99"/>
      <c r="AE107" s="99"/>
      <c r="AF107" s="99"/>
      <c r="AG107" s="104">
        <f t="shared" si="10"/>
        <v>0</v>
      </c>
      <c r="AH107" s="99"/>
      <c r="AI107" s="99"/>
      <c r="AJ107" s="99"/>
      <c r="AK107" s="99"/>
      <c r="AL107" s="100">
        <f t="shared" si="14"/>
        <v>0</v>
      </c>
      <c r="AM107" s="100">
        <f t="shared" si="15"/>
        <v>0</v>
      </c>
    </row>
    <row r="108" spans="1:39" ht="15.75" thickBot="1" x14ac:dyDescent="0.3">
      <c r="A108" s="105" t="s">
        <v>99</v>
      </c>
      <c r="B108" s="99" t="s">
        <v>240</v>
      </c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100">
        <f t="shared" si="11"/>
        <v>0</v>
      </c>
      <c r="Q108" s="99"/>
      <c r="R108" s="99"/>
      <c r="S108" s="99"/>
      <c r="T108" s="104">
        <f t="shared" si="9"/>
        <v>0</v>
      </c>
      <c r="U108" s="99"/>
      <c r="V108" s="99"/>
      <c r="W108" s="99"/>
      <c r="X108" s="99"/>
      <c r="Y108" s="99"/>
      <c r="Z108" s="100">
        <f t="shared" si="12"/>
        <v>0</v>
      </c>
      <c r="AA108" s="99"/>
      <c r="AB108" s="99"/>
      <c r="AC108" s="100">
        <f t="shared" si="13"/>
        <v>0</v>
      </c>
      <c r="AD108" s="99"/>
      <c r="AE108" s="99"/>
      <c r="AF108" s="99"/>
      <c r="AG108" s="104">
        <f t="shared" si="10"/>
        <v>0</v>
      </c>
      <c r="AH108" s="99"/>
      <c r="AI108" s="99"/>
      <c r="AJ108" s="99"/>
      <c r="AK108" s="99"/>
      <c r="AL108" s="100">
        <f t="shared" si="14"/>
        <v>0</v>
      </c>
      <c r="AM108" s="100">
        <f t="shared" si="15"/>
        <v>0</v>
      </c>
    </row>
    <row r="109" spans="1:39" ht="15.75" thickBot="1" x14ac:dyDescent="0.3">
      <c r="A109" s="105" t="s">
        <v>100</v>
      </c>
      <c r="B109" s="99" t="s">
        <v>241</v>
      </c>
      <c r="C109" s="99">
        <v>0</v>
      </c>
      <c r="D109" s="99">
        <v>0</v>
      </c>
      <c r="E109" s="99">
        <v>0</v>
      </c>
      <c r="F109" s="99">
        <v>2.5</v>
      </c>
      <c r="G109" s="99">
        <v>0</v>
      </c>
      <c r="H109" s="99">
        <v>0</v>
      </c>
      <c r="I109" s="99">
        <v>0</v>
      </c>
      <c r="J109" s="99">
        <v>0</v>
      </c>
      <c r="K109" s="99">
        <v>0</v>
      </c>
      <c r="L109" s="99">
        <v>0</v>
      </c>
      <c r="M109" s="99">
        <v>0</v>
      </c>
      <c r="N109" s="99">
        <v>0</v>
      </c>
      <c r="O109" s="99">
        <v>0</v>
      </c>
      <c r="P109" s="100">
        <f t="shared" si="11"/>
        <v>0</v>
      </c>
      <c r="Q109" s="99">
        <v>0</v>
      </c>
      <c r="R109" s="99">
        <v>0</v>
      </c>
      <c r="S109" s="99">
        <v>0</v>
      </c>
      <c r="T109" s="104">
        <f t="shared" si="9"/>
        <v>0</v>
      </c>
      <c r="U109" s="99">
        <v>0</v>
      </c>
      <c r="V109" s="99">
        <v>0</v>
      </c>
      <c r="W109" s="99">
        <v>0</v>
      </c>
      <c r="X109" s="99">
        <v>0</v>
      </c>
      <c r="Y109" s="99">
        <v>0</v>
      </c>
      <c r="Z109" s="100">
        <f t="shared" si="12"/>
        <v>0</v>
      </c>
      <c r="AA109" s="99">
        <v>0</v>
      </c>
      <c r="AB109" s="99">
        <v>0</v>
      </c>
      <c r="AC109" s="100">
        <f t="shared" si="13"/>
        <v>0</v>
      </c>
      <c r="AD109" s="99">
        <v>0</v>
      </c>
      <c r="AE109" s="99">
        <v>0</v>
      </c>
      <c r="AF109" s="99">
        <v>0</v>
      </c>
      <c r="AG109" s="104">
        <f t="shared" si="10"/>
        <v>0</v>
      </c>
      <c r="AH109" s="99">
        <v>0</v>
      </c>
      <c r="AI109" s="99">
        <v>0</v>
      </c>
      <c r="AJ109" s="99">
        <v>0</v>
      </c>
      <c r="AK109" s="99">
        <v>0</v>
      </c>
      <c r="AL109" s="100">
        <f t="shared" si="14"/>
        <v>0</v>
      </c>
      <c r="AM109" s="100">
        <f t="shared" si="15"/>
        <v>2.5</v>
      </c>
    </row>
    <row r="110" spans="1:39" ht="15.75" thickBot="1" x14ac:dyDescent="0.3">
      <c r="A110" s="105">
        <v>88</v>
      </c>
      <c r="B110" s="99" t="s">
        <v>242</v>
      </c>
      <c r="C110" s="99">
        <v>0</v>
      </c>
      <c r="D110" s="99">
        <v>0</v>
      </c>
      <c r="E110" s="99">
        <v>0</v>
      </c>
      <c r="F110" s="99">
        <v>0.75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100">
        <f t="shared" si="11"/>
        <v>0</v>
      </c>
      <c r="Q110" s="99">
        <v>0</v>
      </c>
      <c r="R110" s="99">
        <v>0</v>
      </c>
      <c r="S110" s="99">
        <v>0</v>
      </c>
      <c r="T110" s="104">
        <f t="shared" si="9"/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Z110" s="100">
        <f t="shared" si="12"/>
        <v>0</v>
      </c>
      <c r="AA110" s="99">
        <v>0</v>
      </c>
      <c r="AB110" s="99">
        <v>0</v>
      </c>
      <c r="AC110" s="100">
        <f t="shared" si="13"/>
        <v>0</v>
      </c>
      <c r="AD110" s="99">
        <v>0</v>
      </c>
      <c r="AE110" s="99">
        <v>0</v>
      </c>
      <c r="AF110" s="99">
        <v>0</v>
      </c>
      <c r="AG110" s="104">
        <f t="shared" si="10"/>
        <v>0</v>
      </c>
      <c r="AH110" s="99">
        <v>0</v>
      </c>
      <c r="AI110" s="99">
        <v>0</v>
      </c>
      <c r="AJ110" s="99">
        <v>0</v>
      </c>
      <c r="AK110" s="99">
        <v>0</v>
      </c>
      <c r="AL110" s="100">
        <f t="shared" si="14"/>
        <v>0</v>
      </c>
      <c r="AM110" s="100">
        <f t="shared" si="15"/>
        <v>0.75</v>
      </c>
    </row>
    <row r="111" spans="1:39" ht="15.75" thickBot="1" x14ac:dyDescent="0.3">
      <c r="A111" s="105" t="s">
        <v>101</v>
      </c>
      <c r="B111" s="99" t="s">
        <v>243</v>
      </c>
      <c r="C111" s="99">
        <v>18.670000000000002</v>
      </c>
      <c r="D111" s="99">
        <v>0</v>
      </c>
      <c r="E111" s="99">
        <v>0</v>
      </c>
      <c r="F111" s="99">
        <v>0</v>
      </c>
      <c r="G111" s="99">
        <v>0.5</v>
      </c>
      <c r="H111" s="99">
        <v>0</v>
      </c>
      <c r="I111" s="99">
        <v>0</v>
      </c>
      <c r="J111" s="99">
        <v>3.5</v>
      </c>
      <c r="K111" s="99">
        <v>0.5</v>
      </c>
      <c r="L111" s="99">
        <v>3</v>
      </c>
      <c r="M111" s="99">
        <v>0</v>
      </c>
      <c r="N111" s="99">
        <v>0</v>
      </c>
      <c r="O111" s="99">
        <v>0</v>
      </c>
      <c r="P111" s="100">
        <f t="shared" si="11"/>
        <v>3.5</v>
      </c>
      <c r="Q111" s="99">
        <v>0</v>
      </c>
      <c r="R111" s="99">
        <v>2</v>
      </c>
      <c r="S111" s="99">
        <v>3</v>
      </c>
      <c r="T111" s="104">
        <f t="shared" si="9"/>
        <v>5</v>
      </c>
      <c r="U111" s="99">
        <v>0</v>
      </c>
      <c r="V111" s="99">
        <v>0</v>
      </c>
      <c r="W111" s="99">
        <v>0</v>
      </c>
      <c r="X111" s="99">
        <v>0</v>
      </c>
      <c r="Y111" s="99">
        <v>0</v>
      </c>
      <c r="Z111" s="100">
        <f t="shared" si="12"/>
        <v>0</v>
      </c>
      <c r="AA111" s="99">
        <v>0</v>
      </c>
      <c r="AB111" s="99">
        <v>0</v>
      </c>
      <c r="AC111" s="100">
        <f t="shared" si="13"/>
        <v>0</v>
      </c>
      <c r="AD111" s="99">
        <v>1</v>
      </c>
      <c r="AE111" s="99">
        <v>0.57999999999999996</v>
      </c>
      <c r="AF111" s="99">
        <v>2.0499999999999998</v>
      </c>
      <c r="AG111" s="104">
        <f t="shared" si="10"/>
        <v>3.63</v>
      </c>
      <c r="AH111" s="99">
        <v>0</v>
      </c>
      <c r="AI111" s="99">
        <v>0</v>
      </c>
      <c r="AJ111" s="99">
        <v>0</v>
      </c>
      <c r="AK111" s="99">
        <v>0</v>
      </c>
      <c r="AL111" s="100">
        <f t="shared" si="14"/>
        <v>0</v>
      </c>
      <c r="AM111" s="100">
        <f t="shared" si="15"/>
        <v>34.800000000000004</v>
      </c>
    </row>
    <row r="112" spans="1:39" ht="15.75" thickBot="1" x14ac:dyDescent="0.3">
      <c r="A112" s="105" t="s">
        <v>303</v>
      </c>
      <c r="B112" s="99" t="s">
        <v>304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0.7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100">
        <f t="shared" si="11"/>
        <v>0</v>
      </c>
      <c r="Q112" s="99">
        <v>0</v>
      </c>
      <c r="R112" s="99">
        <v>0</v>
      </c>
      <c r="S112" s="99">
        <v>0</v>
      </c>
      <c r="T112" s="104">
        <f t="shared" si="9"/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Z112" s="100">
        <f t="shared" si="12"/>
        <v>0</v>
      </c>
      <c r="AA112" s="99">
        <v>0</v>
      </c>
      <c r="AB112" s="99">
        <v>0</v>
      </c>
      <c r="AC112" s="100">
        <f t="shared" si="13"/>
        <v>0</v>
      </c>
      <c r="AD112" s="99">
        <v>0</v>
      </c>
      <c r="AE112" s="99">
        <v>0</v>
      </c>
      <c r="AF112" s="99">
        <v>0</v>
      </c>
      <c r="AG112" s="104">
        <f t="shared" si="10"/>
        <v>0</v>
      </c>
      <c r="AH112" s="99">
        <v>0</v>
      </c>
      <c r="AI112" s="99">
        <v>0</v>
      </c>
      <c r="AJ112" s="99">
        <v>0</v>
      </c>
      <c r="AK112" s="99">
        <v>0</v>
      </c>
      <c r="AL112" s="100">
        <f t="shared" si="14"/>
        <v>0</v>
      </c>
      <c r="AM112" s="100">
        <f t="shared" si="15"/>
        <v>0.7</v>
      </c>
    </row>
    <row r="113" spans="1:39" ht="15.75" thickBot="1" x14ac:dyDescent="0.3">
      <c r="A113" s="105" t="s">
        <v>102</v>
      </c>
      <c r="B113" s="99" t="s">
        <v>244</v>
      </c>
      <c r="C113" s="99">
        <v>8.2200000000000006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2.87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100">
        <f t="shared" si="11"/>
        <v>0</v>
      </c>
      <c r="Q113" s="99">
        <v>0</v>
      </c>
      <c r="R113" s="99">
        <v>0</v>
      </c>
      <c r="S113" s="99">
        <v>1.6</v>
      </c>
      <c r="T113" s="104">
        <f t="shared" si="9"/>
        <v>1.6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Z113" s="100">
        <f t="shared" si="12"/>
        <v>0</v>
      </c>
      <c r="AA113" s="99">
        <v>0</v>
      </c>
      <c r="AB113" s="99">
        <v>0.84</v>
      </c>
      <c r="AC113" s="100">
        <f t="shared" si="13"/>
        <v>0.84</v>
      </c>
      <c r="AD113" s="99">
        <v>0.73</v>
      </c>
      <c r="AE113" s="99">
        <v>0</v>
      </c>
      <c r="AF113" s="99">
        <v>1.92</v>
      </c>
      <c r="AG113" s="104">
        <f t="shared" si="10"/>
        <v>2.65</v>
      </c>
      <c r="AH113" s="99">
        <v>0</v>
      </c>
      <c r="AI113" s="99">
        <v>0</v>
      </c>
      <c r="AJ113" s="99">
        <v>0</v>
      </c>
      <c r="AK113" s="99">
        <v>0</v>
      </c>
      <c r="AL113" s="100">
        <f t="shared" si="14"/>
        <v>0</v>
      </c>
      <c r="AM113" s="100">
        <f t="shared" si="15"/>
        <v>16.18</v>
      </c>
    </row>
    <row r="114" spans="1:39" ht="15.75" thickBot="1" x14ac:dyDescent="0.3">
      <c r="A114" s="105">
        <v>94</v>
      </c>
      <c r="B114" s="99" t="s">
        <v>245</v>
      </c>
      <c r="C114" s="99">
        <v>37.5</v>
      </c>
      <c r="D114" s="99">
        <v>0</v>
      </c>
      <c r="E114" s="99">
        <v>0</v>
      </c>
      <c r="F114" s="99">
        <v>0</v>
      </c>
      <c r="G114" s="99">
        <v>0</v>
      </c>
      <c r="H114" s="99">
        <v>0</v>
      </c>
      <c r="I114" s="99">
        <v>0.15</v>
      </c>
      <c r="J114" s="99">
        <v>4.8</v>
      </c>
      <c r="K114" s="99">
        <v>0</v>
      </c>
      <c r="L114" s="99">
        <v>0.5</v>
      </c>
      <c r="M114" s="99">
        <v>0</v>
      </c>
      <c r="N114" s="99">
        <v>0</v>
      </c>
      <c r="O114" s="99">
        <v>0</v>
      </c>
      <c r="P114" s="100">
        <f t="shared" si="11"/>
        <v>0.5</v>
      </c>
      <c r="Q114" s="99">
        <v>0</v>
      </c>
      <c r="R114" s="99">
        <v>0</v>
      </c>
      <c r="S114" s="99">
        <v>6.2</v>
      </c>
      <c r="T114" s="104">
        <f t="shared" ref="T114:T124" si="16">SUM(Q114:S114)</f>
        <v>6.2</v>
      </c>
      <c r="U114" s="99">
        <v>0</v>
      </c>
      <c r="V114" s="99">
        <v>0</v>
      </c>
      <c r="W114" s="99">
        <v>0</v>
      </c>
      <c r="X114" s="99">
        <v>0</v>
      </c>
      <c r="Y114" s="99">
        <v>0</v>
      </c>
      <c r="Z114" s="100">
        <f t="shared" si="12"/>
        <v>0</v>
      </c>
      <c r="AA114" s="99">
        <v>0</v>
      </c>
      <c r="AB114" s="99">
        <v>0</v>
      </c>
      <c r="AC114" s="100">
        <f t="shared" si="13"/>
        <v>0</v>
      </c>
      <c r="AD114" s="99">
        <v>0</v>
      </c>
      <c r="AE114" s="99">
        <v>0</v>
      </c>
      <c r="AF114" s="99">
        <v>0</v>
      </c>
      <c r="AG114" s="104">
        <f t="shared" ref="AG114:AG124" si="17">SUM(AD114:AF114)</f>
        <v>0</v>
      </c>
      <c r="AH114" s="99">
        <v>0</v>
      </c>
      <c r="AI114" s="99">
        <v>0</v>
      </c>
      <c r="AJ114" s="99">
        <v>0</v>
      </c>
      <c r="AK114" s="99">
        <v>0</v>
      </c>
      <c r="AL114" s="100">
        <f t="shared" si="14"/>
        <v>0</v>
      </c>
      <c r="AM114" s="100">
        <f t="shared" si="15"/>
        <v>49.15</v>
      </c>
    </row>
    <row r="115" spans="1:39" ht="15.75" thickBot="1" x14ac:dyDescent="0.3">
      <c r="A115" s="105">
        <v>95</v>
      </c>
      <c r="B115" s="99" t="s">
        <v>246</v>
      </c>
      <c r="C115" s="99">
        <v>7.75</v>
      </c>
      <c r="D115" s="99">
        <v>0</v>
      </c>
      <c r="E115" s="99">
        <v>0</v>
      </c>
      <c r="F115" s="99">
        <v>0</v>
      </c>
      <c r="G115" s="99">
        <v>1</v>
      </c>
      <c r="H115" s="99">
        <v>0</v>
      </c>
      <c r="I115" s="99">
        <v>0</v>
      </c>
      <c r="J115" s="99">
        <v>2</v>
      </c>
      <c r="K115" s="99">
        <v>1</v>
      </c>
      <c r="L115" s="99">
        <v>0</v>
      </c>
      <c r="M115" s="99">
        <v>0.25</v>
      </c>
      <c r="N115" s="99">
        <v>0</v>
      </c>
      <c r="O115" s="99">
        <v>0</v>
      </c>
      <c r="P115" s="100">
        <f t="shared" si="11"/>
        <v>1.25</v>
      </c>
      <c r="Q115" s="99">
        <v>0</v>
      </c>
      <c r="R115" s="99">
        <v>1</v>
      </c>
      <c r="S115" s="99">
        <v>0</v>
      </c>
      <c r="T115" s="104">
        <f t="shared" si="16"/>
        <v>1</v>
      </c>
      <c r="U115" s="99">
        <v>0</v>
      </c>
      <c r="V115" s="99">
        <v>0</v>
      </c>
      <c r="W115" s="99">
        <v>0</v>
      </c>
      <c r="X115" s="99">
        <v>0</v>
      </c>
      <c r="Y115" s="99">
        <v>0</v>
      </c>
      <c r="Z115" s="100">
        <f t="shared" si="12"/>
        <v>0</v>
      </c>
      <c r="AA115" s="99">
        <v>0</v>
      </c>
      <c r="AB115" s="99">
        <v>0</v>
      </c>
      <c r="AC115" s="100">
        <f t="shared" si="13"/>
        <v>0</v>
      </c>
      <c r="AD115" s="99">
        <v>0</v>
      </c>
      <c r="AE115" s="99">
        <v>0</v>
      </c>
      <c r="AF115" s="99">
        <v>0</v>
      </c>
      <c r="AG115" s="104">
        <f t="shared" si="17"/>
        <v>0</v>
      </c>
      <c r="AH115" s="99">
        <v>0</v>
      </c>
      <c r="AI115" s="99">
        <v>0</v>
      </c>
      <c r="AJ115" s="99">
        <v>0</v>
      </c>
      <c r="AK115" s="99">
        <v>0</v>
      </c>
      <c r="AL115" s="100">
        <f t="shared" si="14"/>
        <v>0</v>
      </c>
      <c r="AM115" s="100">
        <f t="shared" si="15"/>
        <v>13</v>
      </c>
    </row>
    <row r="116" spans="1:39" ht="15.75" thickBot="1" x14ac:dyDescent="0.3">
      <c r="A116" s="105">
        <v>90</v>
      </c>
      <c r="B116" s="99" t="s">
        <v>247</v>
      </c>
      <c r="C116" s="99">
        <v>1.75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1</v>
      </c>
      <c r="K116" s="99">
        <v>1</v>
      </c>
      <c r="L116" s="99">
        <v>0</v>
      </c>
      <c r="M116" s="99">
        <v>0</v>
      </c>
      <c r="N116" s="99">
        <v>0</v>
      </c>
      <c r="O116" s="99">
        <v>0</v>
      </c>
      <c r="P116" s="100">
        <f t="shared" si="11"/>
        <v>1</v>
      </c>
      <c r="Q116" s="99">
        <v>0</v>
      </c>
      <c r="R116" s="99">
        <v>0</v>
      </c>
      <c r="S116" s="99">
        <v>0</v>
      </c>
      <c r="T116" s="104">
        <f t="shared" si="16"/>
        <v>0</v>
      </c>
      <c r="U116" s="99">
        <v>0</v>
      </c>
      <c r="V116" s="99">
        <v>0</v>
      </c>
      <c r="W116" s="99">
        <v>0</v>
      </c>
      <c r="X116" s="99">
        <v>0</v>
      </c>
      <c r="Y116" s="99">
        <v>0</v>
      </c>
      <c r="Z116" s="100">
        <f t="shared" si="12"/>
        <v>0</v>
      </c>
      <c r="AA116" s="99">
        <v>0</v>
      </c>
      <c r="AB116" s="99">
        <v>0</v>
      </c>
      <c r="AC116" s="100">
        <f t="shared" si="13"/>
        <v>0</v>
      </c>
      <c r="AD116" s="99">
        <v>0</v>
      </c>
      <c r="AE116" s="99">
        <v>0</v>
      </c>
      <c r="AF116" s="99">
        <v>0</v>
      </c>
      <c r="AG116" s="104">
        <f t="shared" si="17"/>
        <v>0</v>
      </c>
      <c r="AH116" s="99">
        <v>0</v>
      </c>
      <c r="AI116" s="99">
        <v>0</v>
      </c>
      <c r="AJ116" s="99">
        <v>0</v>
      </c>
      <c r="AK116" s="99">
        <v>0</v>
      </c>
      <c r="AL116" s="100">
        <f t="shared" si="14"/>
        <v>0</v>
      </c>
      <c r="AM116" s="100">
        <f t="shared" si="15"/>
        <v>3.75</v>
      </c>
    </row>
    <row r="117" spans="1:39" ht="15.75" thickBot="1" x14ac:dyDescent="0.3">
      <c r="A117" s="105">
        <v>92</v>
      </c>
      <c r="B117" s="99" t="s">
        <v>248</v>
      </c>
      <c r="C117" s="99">
        <v>2</v>
      </c>
      <c r="D117" s="99">
        <v>0</v>
      </c>
      <c r="E117" s="99">
        <v>1</v>
      </c>
      <c r="F117" s="99">
        <v>0</v>
      </c>
      <c r="G117" s="99">
        <v>0</v>
      </c>
      <c r="H117" s="99">
        <v>0</v>
      </c>
      <c r="I117" s="99">
        <v>0</v>
      </c>
      <c r="J117" s="99">
        <v>1</v>
      </c>
      <c r="K117" s="99">
        <v>0.17</v>
      </c>
      <c r="L117" s="99">
        <v>0</v>
      </c>
      <c r="M117" s="99">
        <v>0</v>
      </c>
      <c r="N117" s="99">
        <v>0</v>
      </c>
      <c r="O117" s="99">
        <v>0</v>
      </c>
      <c r="P117" s="100">
        <f t="shared" si="11"/>
        <v>0.17</v>
      </c>
      <c r="Q117" s="99">
        <v>0</v>
      </c>
      <c r="R117" s="99">
        <v>0</v>
      </c>
      <c r="S117" s="99">
        <v>0</v>
      </c>
      <c r="T117" s="104">
        <f t="shared" si="16"/>
        <v>0</v>
      </c>
      <c r="U117" s="99">
        <v>0</v>
      </c>
      <c r="V117" s="99">
        <v>0</v>
      </c>
      <c r="W117" s="99">
        <v>0</v>
      </c>
      <c r="X117" s="99">
        <v>0</v>
      </c>
      <c r="Y117" s="99">
        <v>0</v>
      </c>
      <c r="Z117" s="100">
        <f t="shared" si="12"/>
        <v>0</v>
      </c>
      <c r="AA117" s="99">
        <v>0</v>
      </c>
      <c r="AB117" s="99">
        <v>0</v>
      </c>
      <c r="AC117" s="100">
        <f t="shared" si="13"/>
        <v>0</v>
      </c>
      <c r="AD117" s="99">
        <v>0</v>
      </c>
      <c r="AE117" s="99">
        <v>0</v>
      </c>
      <c r="AF117" s="99">
        <v>0</v>
      </c>
      <c r="AG117" s="104">
        <f t="shared" si="17"/>
        <v>0</v>
      </c>
      <c r="AH117" s="99">
        <v>0</v>
      </c>
      <c r="AI117" s="99">
        <v>0</v>
      </c>
      <c r="AJ117" s="99">
        <v>0</v>
      </c>
      <c r="AK117" s="99">
        <v>0</v>
      </c>
      <c r="AL117" s="100">
        <f t="shared" si="14"/>
        <v>0</v>
      </c>
      <c r="AM117" s="100">
        <f t="shared" si="15"/>
        <v>4.17</v>
      </c>
    </row>
    <row r="118" spans="1:39" ht="15.75" thickBot="1" x14ac:dyDescent="0.3">
      <c r="A118" s="105" t="s">
        <v>103</v>
      </c>
      <c r="B118" s="99" t="s">
        <v>249</v>
      </c>
      <c r="C118" s="99">
        <v>2.1</v>
      </c>
      <c r="D118" s="99">
        <v>0</v>
      </c>
      <c r="E118" s="99">
        <v>1.6</v>
      </c>
      <c r="F118" s="99">
        <v>0</v>
      </c>
      <c r="G118" s="99">
        <v>0</v>
      </c>
      <c r="H118" s="99">
        <v>0</v>
      </c>
      <c r="I118" s="99">
        <v>0</v>
      </c>
      <c r="J118" s="99">
        <v>1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100">
        <f t="shared" si="11"/>
        <v>0</v>
      </c>
      <c r="Q118" s="99">
        <v>0</v>
      </c>
      <c r="R118" s="99">
        <v>0</v>
      </c>
      <c r="S118" s="99">
        <v>0</v>
      </c>
      <c r="T118" s="104">
        <f t="shared" si="16"/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Z118" s="100">
        <f t="shared" si="12"/>
        <v>0</v>
      </c>
      <c r="AA118" s="99">
        <v>0</v>
      </c>
      <c r="AB118" s="99">
        <v>0</v>
      </c>
      <c r="AC118" s="100">
        <f t="shared" si="13"/>
        <v>0</v>
      </c>
      <c r="AD118" s="99">
        <v>0.75</v>
      </c>
      <c r="AE118" s="99">
        <v>0</v>
      </c>
      <c r="AF118" s="99">
        <v>0</v>
      </c>
      <c r="AG118" s="104">
        <f t="shared" si="17"/>
        <v>0.75</v>
      </c>
      <c r="AH118" s="99">
        <v>0</v>
      </c>
      <c r="AI118" s="99">
        <v>0</v>
      </c>
      <c r="AJ118" s="99">
        <v>0</v>
      </c>
      <c r="AK118" s="99">
        <v>0</v>
      </c>
      <c r="AL118" s="100">
        <f t="shared" si="14"/>
        <v>0</v>
      </c>
      <c r="AM118" s="100">
        <f t="shared" si="15"/>
        <v>5.45</v>
      </c>
    </row>
    <row r="119" spans="1:39" ht="15.75" thickBot="1" x14ac:dyDescent="0.3">
      <c r="A119" s="105" t="s">
        <v>250</v>
      </c>
      <c r="B119" s="99" t="s">
        <v>251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2</v>
      </c>
      <c r="K119" s="99">
        <v>1</v>
      </c>
      <c r="L119" s="99">
        <v>0</v>
      </c>
      <c r="M119" s="99">
        <v>0</v>
      </c>
      <c r="N119" s="99">
        <v>0</v>
      </c>
      <c r="O119" s="99">
        <v>0</v>
      </c>
      <c r="P119" s="100">
        <f t="shared" si="11"/>
        <v>1</v>
      </c>
      <c r="Q119" s="99">
        <v>0</v>
      </c>
      <c r="R119" s="99">
        <v>0</v>
      </c>
      <c r="S119" s="99">
        <v>0</v>
      </c>
      <c r="T119" s="104">
        <f t="shared" si="16"/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Z119" s="100">
        <f t="shared" si="12"/>
        <v>0</v>
      </c>
      <c r="AA119" s="99">
        <v>0</v>
      </c>
      <c r="AB119" s="99">
        <v>0</v>
      </c>
      <c r="AC119" s="100">
        <f t="shared" si="13"/>
        <v>0</v>
      </c>
      <c r="AD119" s="99">
        <v>0</v>
      </c>
      <c r="AE119" s="99">
        <v>0</v>
      </c>
      <c r="AF119" s="99">
        <v>0</v>
      </c>
      <c r="AG119" s="104">
        <f t="shared" si="17"/>
        <v>0</v>
      </c>
      <c r="AH119" s="99">
        <v>0</v>
      </c>
      <c r="AI119" s="99">
        <v>0</v>
      </c>
      <c r="AJ119" s="99">
        <v>0</v>
      </c>
      <c r="AK119" s="99">
        <v>0</v>
      </c>
      <c r="AL119" s="100">
        <f t="shared" si="14"/>
        <v>0</v>
      </c>
      <c r="AM119" s="100">
        <f t="shared" si="15"/>
        <v>3</v>
      </c>
    </row>
    <row r="120" spans="1:39" ht="15.75" thickBot="1" x14ac:dyDescent="0.3">
      <c r="A120" s="105" t="s">
        <v>252</v>
      </c>
      <c r="B120" s="99" t="s">
        <v>253</v>
      </c>
      <c r="C120" s="99">
        <v>8.25</v>
      </c>
      <c r="D120" s="99">
        <v>0</v>
      </c>
      <c r="E120" s="99">
        <v>0</v>
      </c>
      <c r="F120" s="99">
        <v>0</v>
      </c>
      <c r="G120" s="99">
        <v>0</v>
      </c>
      <c r="H120" s="99">
        <v>0</v>
      </c>
      <c r="I120" s="99">
        <v>0.1</v>
      </c>
      <c r="J120" s="99">
        <v>2</v>
      </c>
      <c r="K120" s="99">
        <v>0</v>
      </c>
      <c r="L120" s="99">
        <v>0</v>
      </c>
      <c r="M120" s="99">
        <v>0</v>
      </c>
      <c r="N120" s="99">
        <v>0</v>
      </c>
      <c r="O120" s="99">
        <v>0</v>
      </c>
      <c r="P120" s="100">
        <f t="shared" si="11"/>
        <v>0</v>
      </c>
      <c r="Q120" s="99">
        <v>0</v>
      </c>
      <c r="R120" s="99">
        <v>0</v>
      </c>
      <c r="S120" s="99">
        <v>0</v>
      </c>
      <c r="T120" s="104">
        <f t="shared" si="16"/>
        <v>0</v>
      </c>
      <c r="U120" s="99">
        <v>0</v>
      </c>
      <c r="V120" s="99">
        <v>0</v>
      </c>
      <c r="W120" s="99">
        <v>0</v>
      </c>
      <c r="X120" s="99">
        <v>0</v>
      </c>
      <c r="Y120" s="99">
        <v>0</v>
      </c>
      <c r="Z120" s="100">
        <f t="shared" si="12"/>
        <v>0</v>
      </c>
      <c r="AA120" s="99">
        <v>0</v>
      </c>
      <c r="AB120" s="99">
        <v>0</v>
      </c>
      <c r="AC120" s="100">
        <f t="shared" si="13"/>
        <v>0</v>
      </c>
      <c r="AD120" s="99">
        <v>0</v>
      </c>
      <c r="AE120" s="99">
        <v>0</v>
      </c>
      <c r="AF120" s="99">
        <v>3.4</v>
      </c>
      <c r="AG120" s="104">
        <f t="shared" si="17"/>
        <v>3.4</v>
      </c>
      <c r="AH120" s="99">
        <v>0</v>
      </c>
      <c r="AI120" s="99">
        <v>0</v>
      </c>
      <c r="AJ120" s="99">
        <v>0</v>
      </c>
      <c r="AK120" s="99">
        <v>0</v>
      </c>
      <c r="AL120" s="100">
        <f t="shared" si="14"/>
        <v>0</v>
      </c>
      <c r="AM120" s="100">
        <f t="shared" si="15"/>
        <v>13.75</v>
      </c>
    </row>
    <row r="121" spans="1:39" ht="15.75" thickBot="1" x14ac:dyDescent="0.3">
      <c r="A121" s="105" t="s">
        <v>288</v>
      </c>
      <c r="B121" s="99" t="s">
        <v>305</v>
      </c>
      <c r="C121" s="99">
        <v>10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4</v>
      </c>
      <c r="K121" s="99">
        <v>1</v>
      </c>
      <c r="L121" s="99">
        <v>0</v>
      </c>
      <c r="M121" s="99">
        <v>0</v>
      </c>
      <c r="N121" s="99">
        <v>0</v>
      </c>
      <c r="O121" s="99">
        <v>0</v>
      </c>
      <c r="P121" s="100">
        <f t="shared" si="11"/>
        <v>1</v>
      </c>
      <c r="Q121" s="99">
        <v>0</v>
      </c>
      <c r="R121" s="99">
        <v>2</v>
      </c>
      <c r="S121" s="99">
        <v>1.5</v>
      </c>
      <c r="T121" s="104">
        <f t="shared" si="16"/>
        <v>3.5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Z121" s="100">
        <f t="shared" si="12"/>
        <v>0</v>
      </c>
      <c r="AA121" s="99">
        <v>0</v>
      </c>
      <c r="AB121" s="99">
        <v>0</v>
      </c>
      <c r="AC121" s="100">
        <f t="shared" si="13"/>
        <v>0</v>
      </c>
      <c r="AD121" s="99">
        <v>0</v>
      </c>
      <c r="AE121" s="99">
        <v>0</v>
      </c>
      <c r="AF121" s="99">
        <v>0</v>
      </c>
      <c r="AG121" s="104">
        <f t="shared" si="17"/>
        <v>0</v>
      </c>
      <c r="AH121" s="99">
        <v>0</v>
      </c>
      <c r="AI121" s="99">
        <v>0</v>
      </c>
      <c r="AJ121" s="99">
        <v>0</v>
      </c>
      <c r="AK121" s="99">
        <v>0</v>
      </c>
      <c r="AL121" s="100">
        <f t="shared" si="14"/>
        <v>0</v>
      </c>
      <c r="AM121" s="100">
        <f t="shared" si="15"/>
        <v>18.5</v>
      </c>
    </row>
    <row r="122" spans="1:39" ht="15.75" thickBot="1" x14ac:dyDescent="0.3">
      <c r="A122" s="105">
        <v>81</v>
      </c>
      <c r="B122" s="99" t="s">
        <v>254</v>
      </c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100">
        <f t="shared" si="11"/>
        <v>0</v>
      </c>
      <c r="Q122" s="99"/>
      <c r="R122" s="99"/>
      <c r="S122" s="99"/>
      <c r="T122" s="104">
        <f t="shared" si="16"/>
        <v>0</v>
      </c>
      <c r="U122" s="99"/>
      <c r="V122" s="99"/>
      <c r="W122" s="99"/>
      <c r="X122" s="99"/>
      <c r="Y122" s="99"/>
      <c r="Z122" s="100">
        <f t="shared" si="12"/>
        <v>0</v>
      </c>
      <c r="AA122" s="99"/>
      <c r="AB122" s="99"/>
      <c r="AC122" s="100">
        <f t="shared" si="13"/>
        <v>0</v>
      </c>
      <c r="AD122" s="99"/>
      <c r="AE122" s="99"/>
      <c r="AF122" s="99"/>
      <c r="AG122" s="104">
        <f t="shared" si="17"/>
        <v>0</v>
      </c>
      <c r="AH122" s="99"/>
      <c r="AI122" s="99"/>
      <c r="AJ122" s="99"/>
      <c r="AK122" s="99"/>
      <c r="AL122" s="100">
        <f t="shared" si="14"/>
        <v>0</v>
      </c>
      <c r="AM122" s="100">
        <f t="shared" si="15"/>
        <v>0</v>
      </c>
    </row>
    <row r="123" spans="1:39" ht="15.75" thickBot="1" x14ac:dyDescent="0.3">
      <c r="A123" s="105" t="s">
        <v>104</v>
      </c>
      <c r="B123" s="99" t="s">
        <v>255</v>
      </c>
      <c r="C123" s="99">
        <v>10.57</v>
      </c>
      <c r="D123" s="99">
        <v>0</v>
      </c>
      <c r="E123" s="99">
        <v>0</v>
      </c>
      <c r="F123" s="99">
        <v>0</v>
      </c>
      <c r="G123" s="99">
        <v>0</v>
      </c>
      <c r="H123" s="99">
        <v>0</v>
      </c>
      <c r="I123" s="99">
        <v>0</v>
      </c>
      <c r="J123" s="99">
        <v>1.78</v>
      </c>
      <c r="K123" s="99">
        <v>0</v>
      </c>
      <c r="L123" s="99">
        <v>0</v>
      </c>
      <c r="M123" s="99">
        <v>0</v>
      </c>
      <c r="N123" s="99">
        <v>0</v>
      </c>
      <c r="O123" s="99">
        <v>0</v>
      </c>
      <c r="P123" s="100">
        <f t="shared" si="11"/>
        <v>0</v>
      </c>
      <c r="Q123" s="99">
        <v>0</v>
      </c>
      <c r="R123" s="99">
        <v>0</v>
      </c>
      <c r="S123" s="99">
        <v>1</v>
      </c>
      <c r="T123" s="104">
        <f t="shared" si="16"/>
        <v>1</v>
      </c>
      <c r="U123" s="99">
        <v>0</v>
      </c>
      <c r="V123" s="99">
        <v>0</v>
      </c>
      <c r="W123" s="99">
        <v>0</v>
      </c>
      <c r="X123" s="99">
        <v>0</v>
      </c>
      <c r="Y123" s="99">
        <v>0</v>
      </c>
      <c r="Z123" s="100">
        <f t="shared" si="12"/>
        <v>0</v>
      </c>
      <c r="AA123" s="99">
        <v>0</v>
      </c>
      <c r="AB123" s="99">
        <v>0.78</v>
      </c>
      <c r="AC123" s="100">
        <f t="shared" si="13"/>
        <v>0.78</v>
      </c>
      <c r="AD123" s="99">
        <v>1</v>
      </c>
      <c r="AE123" s="99">
        <v>0</v>
      </c>
      <c r="AF123" s="99">
        <v>1.1599999999999999</v>
      </c>
      <c r="AG123" s="104">
        <f t="shared" si="17"/>
        <v>2.16</v>
      </c>
      <c r="AH123" s="99">
        <v>0</v>
      </c>
      <c r="AI123" s="99">
        <v>0</v>
      </c>
      <c r="AJ123" s="99">
        <v>0</v>
      </c>
      <c r="AK123" s="99">
        <v>0</v>
      </c>
      <c r="AL123" s="100">
        <f t="shared" si="14"/>
        <v>0</v>
      </c>
      <c r="AM123" s="100">
        <f t="shared" si="15"/>
        <v>16.29</v>
      </c>
    </row>
    <row r="124" spans="1:39" ht="15.75" thickBot="1" x14ac:dyDescent="0.3">
      <c r="A124" s="105" t="s">
        <v>306</v>
      </c>
      <c r="B124" s="99" t="s">
        <v>307</v>
      </c>
      <c r="C124" s="99">
        <v>8</v>
      </c>
      <c r="D124" s="99">
        <v>0</v>
      </c>
      <c r="E124" s="99">
        <v>0</v>
      </c>
      <c r="F124" s="99">
        <v>0</v>
      </c>
      <c r="G124" s="99">
        <v>0</v>
      </c>
      <c r="H124" s="99">
        <v>0</v>
      </c>
      <c r="I124" s="99">
        <v>0</v>
      </c>
      <c r="J124" s="99">
        <v>2.5</v>
      </c>
      <c r="K124" s="99">
        <v>0</v>
      </c>
      <c r="L124" s="99">
        <v>0</v>
      </c>
      <c r="M124" s="99">
        <v>0</v>
      </c>
      <c r="N124" s="99">
        <v>0</v>
      </c>
      <c r="O124" s="99">
        <v>0</v>
      </c>
      <c r="P124" s="100">
        <f t="shared" si="11"/>
        <v>0</v>
      </c>
      <c r="Q124" s="99">
        <v>0</v>
      </c>
      <c r="R124" s="99">
        <v>1</v>
      </c>
      <c r="S124" s="99">
        <v>0</v>
      </c>
      <c r="T124" s="100">
        <f t="shared" si="16"/>
        <v>1</v>
      </c>
      <c r="U124" s="99">
        <v>0</v>
      </c>
      <c r="V124" s="99">
        <v>0</v>
      </c>
      <c r="W124" s="99">
        <v>0</v>
      </c>
      <c r="X124" s="99">
        <v>0</v>
      </c>
      <c r="Y124" s="99">
        <v>0</v>
      </c>
      <c r="Z124" s="100">
        <f t="shared" si="12"/>
        <v>0</v>
      </c>
      <c r="AA124" s="99">
        <v>0</v>
      </c>
      <c r="AB124" s="99">
        <v>1</v>
      </c>
      <c r="AC124" s="100">
        <f t="shared" si="13"/>
        <v>1</v>
      </c>
      <c r="AD124" s="99">
        <v>0.5</v>
      </c>
      <c r="AE124" s="99">
        <v>0</v>
      </c>
      <c r="AF124" s="99">
        <v>0</v>
      </c>
      <c r="AG124" s="100">
        <f t="shared" si="17"/>
        <v>0.5</v>
      </c>
      <c r="AH124" s="99">
        <v>0</v>
      </c>
      <c r="AI124" s="99">
        <v>0</v>
      </c>
      <c r="AJ124" s="99">
        <v>0</v>
      </c>
      <c r="AK124" s="99">
        <v>0</v>
      </c>
      <c r="AL124" s="100">
        <f t="shared" si="14"/>
        <v>0</v>
      </c>
      <c r="AM124" s="100">
        <f t="shared" si="15"/>
        <v>13</v>
      </c>
    </row>
    <row r="125" spans="1:39" s="90" customFormat="1" ht="13.5" thickBot="1" x14ac:dyDescent="0.3">
      <c r="A125" s="17"/>
      <c r="B125" s="14" t="s">
        <v>105</v>
      </c>
      <c r="C125" s="108">
        <f>SUM(C49:C124)</f>
        <v>564.55000000000018</v>
      </c>
      <c r="D125" s="108">
        <f t="shared" ref="D125:O125" si="18">SUM(D49:D124)</f>
        <v>2.3800000000000003</v>
      </c>
      <c r="E125" s="108">
        <f t="shared" si="18"/>
        <v>16.62</v>
      </c>
      <c r="F125" s="108">
        <f t="shared" si="18"/>
        <v>13.41</v>
      </c>
      <c r="G125" s="108">
        <f t="shared" si="18"/>
        <v>7.8100000000000005</v>
      </c>
      <c r="H125" s="108">
        <f t="shared" si="18"/>
        <v>9.1</v>
      </c>
      <c r="I125" s="108">
        <f t="shared" si="18"/>
        <v>8.0499999999999989</v>
      </c>
      <c r="J125" s="108">
        <f t="shared" si="18"/>
        <v>130.24</v>
      </c>
      <c r="K125" s="108">
        <f t="shared" si="18"/>
        <v>19.87</v>
      </c>
      <c r="L125" s="108">
        <f t="shared" si="18"/>
        <v>9</v>
      </c>
      <c r="M125" s="108">
        <f t="shared" si="18"/>
        <v>6.03</v>
      </c>
      <c r="N125" s="108">
        <f t="shared" si="18"/>
        <v>5.18</v>
      </c>
      <c r="O125" s="108">
        <f t="shared" si="18"/>
        <v>2.69</v>
      </c>
      <c r="P125" s="108">
        <f t="shared" ref="P125:AL125" si="19">SUM(P49:P124)</f>
        <v>42.77</v>
      </c>
      <c r="Q125" s="108">
        <f t="shared" si="19"/>
        <v>3.86</v>
      </c>
      <c r="R125" s="108">
        <f t="shared" si="19"/>
        <v>12.85</v>
      </c>
      <c r="S125" s="108">
        <f t="shared" si="19"/>
        <v>57.580000000000005</v>
      </c>
      <c r="T125" s="108">
        <f t="shared" si="19"/>
        <v>74.290000000000006</v>
      </c>
      <c r="U125" s="108">
        <f t="shared" si="19"/>
        <v>0</v>
      </c>
      <c r="V125" s="108">
        <f t="shared" si="19"/>
        <v>0</v>
      </c>
      <c r="W125" s="108">
        <f t="shared" si="19"/>
        <v>10.74</v>
      </c>
      <c r="X125" s="108">
        <f t="shared" si="19"/>
        <v>0</v>
      </c>
      <c r="Y125" s="108">
        <f t="shared" si="19"/>
        <v>0.3</v>
      </c>
      <c r="Z125" s="108">
        <f t="shared" si="19"/>
        <v>11.04</v>
      </c>
      <c r="AA125" s="108">
        <f t="shared" si="19"/>
        <v>0</v>
      </c>
      <c r="AB125" s="108">
        <f t="shared" si="19"/>
        <v>13.85</v>
      </c>
      <c r="AC125" s="108">
        <f t="shared" si="19"/>
        <v>13.85</v>
      </c>
      <c r="AD125" s="108">
        <f t="shared" si="19"/>
        <v>14.18</v>
      </c>
      <c r="AE125" s="108">
        <f t="shared" si="19"/>
        <v>1.58</v>
      </c>
      <c r="AF125" s="108">
        <f t="shared" si="19"/>
        <v>58.469999999999985</v>
      </c>
      <c r="AG125" s="104">
        <f t="shared" ref="AG125:AG126" si="20">SUM(AD125:AF125)</f>
        <v>74.22999999999999</v>
      </c>
      <c r="AH125" s="108">
        <f t="shared" si="19"/>
        <v>0</v>
      </c>
      <c r="AI125" s="108">
        <f t="shared" si="19"/>
        <v>3.5</v>
      </c>
      <c r="AJ125" s="108">
        <f t="shared" si="19"/>
        <v>0</v>
      </c>
      <c r="AK125" s="108">
        <f t="shared" si="19"/>
        <v>0</v>
      </c>
      <c r="AL125" s="108">
        <f t="shared" si="19"/>
        <v>3.5</v>
      </c>
      <c r="AM125" s="104">
        <f t="shared" si="15"/>
        <v>971.84</v>
      </c>
    </row>
    <row r="126" spans="1:39" s="90" customFormat="1" ht="13.5" thickBot="1" x14ac:dyDescent="0.3">
      <c r="A126" s="17"/>
      <c r="B126" s="14" t="s">
        <v>106</v>
      </c>
      <c r="C126" s="108">
        <f>SUM(C48+C125)</f>
        <v>8214</v>
      </c>
      <c r="D126" s="108">
        <f t="shared" ref="D126:AL126" si="21">SUM(D48+D125)</f>
        <v>131.45999999999998</v>
      </c>
      <c r="E126" s="108">
        <f t="shared" si="21"/>
        <v>235.45999999999998</v>
      </c>
      <c r="F126" s="108">
        <f t="shared" si="21"/>
        <v>353.03000000000009</v>
      </c>
      <c r="G126" s="108">
        <f t="shared" si="21"/>
        <v>457.65000000000009</v>
      </c>
      <c r="H126" s="108">
        <f t="shared" si="21"/>
        <v>38.760000000000005</v>
      </c>
      <c r="I126" s="108">
        <f t="shared" si="21"/>
        <v>113.22</v>
      </c>
      <c r="J126" s="108">
        <f t="shared" si="21"/>
        <v>1671.7</v>
      </c>
      <c r="K126" s="108">
        <f t="shared" si="21"/>
        <v>54.260000000000005</v>
      </c>
      <c r="L126" s="108">
        <f t="shared" si="21"/>
        <v>63.519999999999996</v>
      </c>
      <c r="M126" s="108">
        <f t="shared" si="21"/>
        <v>94.22</v>
      </c>
      <c r="N126" s="108">
        <f t="shared" si="21"/>
        <v>238.76000000000005</v>
      </c>
      <c r="O126" s="108">
        <f t="shared" si="21"/>
        <v>221.42999999999998</v>
      </c>
      <c r="P126" s="108">
        <f t="shared" si="21"/>
        <v>672.19</v>
      </c>
      <c r="Q126" s="108">
        <f t="shared" si="21"/>
        <v>55.550000000000004</v>
      </c>
      <c r="R126" s="108">
        <f t="shared" si="21"/>
        <v>121.08</v>
      </c>
      <c r="S126" s="108">
        <f t="shared" si="21"/>
        <v>3405.9000000000005</v>
      </c>
      <c r="T126" s="108">
        <f t="shared" si="21"/>
        <v>3582.5300000000007</v>
      </c>
      <c r="U126" s="108">
        <f t="shared" si="21"/>
        <v>81.3</v>
      </c>
      <c r="V126" s="108">
        <f t="shared" si="21"/>
        <v>37.450000000000003</v>
      </c>
      <c r="W126" s="108">
        <f t="shared" si="21"/>
        <v>1491.3500000000001</v>
      </c>
      <c r="X126" s="108">
        <f t="shared" si="21"/>
        <v>123.91999999999999</v>
      </c>
      <c r="Y126" s="108">
        <f t="shared" si="21"/>
        <v>168.93</v>
      </c>
      <c r="Z126" s="108">
        <f t="shared" si="21"/>
        <v>1902.95</v>
      </c>
      <c r="AA126" s="108">
        <f t="shared" si="21"/>
        <v>19</v>
      </c>
      <c r="AB126" s="108">
        <f t="shared" si="21"/>
        <v>241</v>
      </c>
      <c r="AC126" s="108">
        <f t="shared" si="21"/>
        <v>260</v>
      </c>
      <c r="AD126" s="108">
        <f t="shared" si="21"/>
        <v>85.639999999999986</v>
      </c>
      <c r="AE126" s="108">
        <f t="shared" si="21"/>
        <v>128.58000000000001</v>
      </c>
      <c r="AF126" s="108">
        <f t="shared" si="21"/>
        <v>2828.9699999999993</v>
      </c>
      <c r="AG126" s="104">
        <f t="shared" si="20"/>
        <v>3043.1899999999991</v>
      </c>
      <c r="AH126" s="108">
        <f t="shared" si="21"/>
        <v>44.96</v>
      </c>
      <c r="AI126" s="108">
        <f t="shared" si="21"/>
        <v>176.89</v>
      </c>
      <c r="AJ126" s="108">
        <f t="shared" si="21"/>
        <v>141.85000000000002</v>
      </c>
      <c r="AK126" s="108">
        <f t="shared" si="21"/>
        <v>14.5</v>
      </c>
      <c r="AL126" s="108">
        <f t="shared" si="21"/>
        <v>378.2</v>
      </c>
      <c r="AM126" s="100">
        <f t="shared" si="15"/>
        <v>21054.34</v>
      </c>
    </row>
  </sheetData>
  <mergeCells count="11">
    <mergeCell ref="B5:B6"/>
    <mergeCell ref="AA5:AC5"/>
    <mergeCell ref="AD5:AG5"/>
    <mergeCell ref="AH5:AI5"/>
    <mergeCell ref="AJ5:AL5"/>
    <mergeCell ref="D5:E5"/>
    <mergeCell ref="F5:G5"/>
    <mergeCell ref="H5:I5"/>
    <mergeCell ref="K5:O5"/>
    <mergeCell ref="Q5:T5"/>
    <mergeCell ref="U5:Z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instruction-districts</vt:lpstr>
      <vt:lpstr>instruction-charters</vt:lpstr>
      <vt:lpstr>support-districts</vt:lpstr>
      <vt:lpstr>support-charters</vt:lpstr>
      <vt:lpstr>Licensed FTEs</vt:lpstr>
      <vt:lpstr>Classified FTEs</vt:lpstr>
      <vt:lpstr>'Classified FTEs'!Print_Area</vt:lpstr>
      <vt:lpstr>'instruction-charters'!Print_Area</vt:lpstr>
      <vt:lpstr>'instruction-districts'!Print_Area</vt:lpstr>
      <vt:lpstr>'Licensed FTEs'!Print_Area</vt:lpstr>
      <vt:lpstr>'support-charters'!Print_Area</vt:lpstr>
      <vt:lpstr>'support-districts'!Print_Area</vt:lpstr>
      <vt:lpstr>'Classified FTEs'!Print_Titles</vt:lpstr>
      <vt:lpstr>'Licensed FTEs'!Print_Titles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Crawford, Paul</cp:lastModifiedBy>
  <cp:lastPrinted>2010-12-21T22:27:06Z</cp:lastPrinted>
  <dcterms:created xsi:type="dcterms:W3CDTF">2008-10-06T17:22:04Z</dcterms:created>
  <dcterms:modified xsi:type="dcterms:W3CDTF">2012-01-05T20:37:06Z</dcterms:modified>
</cp:coreProperties>
</file>