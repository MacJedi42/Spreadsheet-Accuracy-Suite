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65" yWindow="15" windowWidth="15360" windowHeight="8370" tabRatio="599" activeTab="1"/>
  </bookViews>
  <sheets>
    <sheet name="Summary" sheetId="59" r:id="rId1"/>
    <sheet name="Central" sheetId="65" r:id="rId2"/>
    <sheet name="HOJ" sheetId="72" r:id="rId3"/>
    <sheet name="North, Vista Annex" sheetId="64" r:id="rId4"/>
    <sheet name="North, Vista" sheetId="71" r:id="rId5"/>
    <sheet name="Madge Bradley" sheetId="67" r:id="rId6"/>
    <sheet name="South" sheetId="63" r:id="rId7"/>
    <sheet name="Juvenile" sheetId="68" r:id="rId8"/>
    <sheet name="Family" sheetId="69" r:id="rId9"/>
    <sheet name="East" sheetId="62" r:id="rId10"/>
    <sheet name="KMF" sheetId="70" r:id="rId11"/>
  </sheets>
  <definedNames>
    <definedName name="_xlnm._FilterDatabase" localSheetId="1" hidden="1">Central!$A$7:$J$12</definedName>
    <definedName name="_xlnm._FilterDatabase" localSheetId="2" hidden="1">HOJ!$A$7:$J$8</definedName>
    <definedName name="_xlnm.Print_Area" localSheetId="1">Central!$A$1:$J$30</definedName>
    <definedName name="_xlnm.Print_Area" localSheetId="9">East!$A$1:$K$39</definedName>
    <definedName name="_xlnm.Print_Area" localSheetId="8">Family!$A$1:$K$27</definedName>
    <definedName name="_xlnm.Print_Area" localSheetId="2">HOJ!$A$1:$J$45</definedName>
    <definedName name="_xlnm.Print_Area" localSheetId="10">KMF!$A$1:$J$23</definedName>
    <definedName name="_xlnm.Print_Area" localSheetId="5">'Madge Bradley'!$A$1:$J$21</definedName>
    <definedName name="_xlnm.Print_Area" localSheetId="4">'North, Vista'!$A$1:$J$63</definedName>
    <definedName name="_xlnm.Print_Area" localSheetId="6">South!$A$1:$K$26</definedName>
    <definedName name="_xlnm.Print_Titles" localSheetId="1">Central!$1:$7</definedName>
    <definedName name="_xlnm.Print_Titles" localSheetId="9">East!$1:$8</definedName>
    <definedName name="_xlnm.Print_Titles" localSheetId="8">Family!$1:$8</definedName>
    <definedName name="_xlnm.Print_Titles" localSheetId="2">HOJ!$1:$7</definedName>
    <definedName name="_xlnm.Print_Titles" localSheetId="7">Juvenile!$1:$8</definedName>
    <definedName name="_xlnm.Print_Titles" localSheetId="10">KMF!$1:$8</definedName>
    <definedName name="_xlnm.Print_Titles" localSheetId="5">'Madge Bradley'!$1:$8</definedName>
    <definedName name="_xlnm.Print_Titles" localSheetId="4">'North, Vista'!$1:$8</definedName>
    <definedName name="_xlnm.Print_Titles" localSheetId="3">'North, Vista Annex'!$1:$8</definedName>
    <definedName name="_xlnm.Print_Titles" localSheetId="6">South!$1:$8</definedName>
  </definedNames>
  <calcPr calcId="145621"/>
</workbook>
</file>

<file path=xl/calcChain.xml><?xml version="1.0" encoding="utf-8"?>
<calcChain xmlns="http://schemas.openxmlformats.org/spreadsheetml/2006/main">
  <c r="G12" i="59" l="1"/>
  <c r="F12" i="59"/>
  <c r="E12" i="59"/>
  <c r="D12" i="59"/>
  <c r="C12" i="59"/>
  <c r="J22" i="70" l="1"/>
  <c r="I22" i="70"/>
  <c r="H22" i="70"/>
  <c r="G22" i="70"/>
  <c r="F22" i="70"/>
  <c r="J38" i="62"/>
  <c r="I38" i="62"/>
  <c r="H38" i="62"/>
  <c r="G38" i="62"/>
  <c r="F38" i="62"/>
  <c r="J25" i="69"/>
  <c r="I25" i="69"/>
  <c r="H25" i="69"/>
  <c r="G25" i="69"/>
  <c r="F25" i="69"/>
  <c r="J13" i="68"/>
  <c r="I13" i="68"/>
  <c r="H13" i="68"/>
  <c r="G13" i="68"/>
  <c r="F13" i="68"/>
  <c r="J25" i="63"/>
  <c r="I25" i="63"/>
  <c r="H25" i="63"/>
  <c r="G25" i="63"/>
  <c r="F25" i="63"/>
  <c r="J20" i="67"/>
  <c r="I20" i="67"/>
  <c r="H20" i="67"/>
  <c r="G20" i="67"/>
  <c r="F20" i="67"/>
  <c r="J62" i="71"/>
  <c r="I62" i="71"/>
  <c r="H62" i="71"/>
  <c r="G62" i="71"/>
  <c r="F62" i="71"/>
  <c r="J14" i="64"/>
  <c r="I14" i="64"/>
  <c r="H14" i="64"/>
  <c r="G14" i="64"/>
  <c r="F14" i="64"/>
  <c r="J44" i="72"/>
  <c r="I44" i="72"/>
  <c r="H44" i="72"/>
  <c r="G44" i="72"/>
  <c r="F44" i="72"/>
  <c r="J28" i="65"/>
  <c r="I28" i="65"/>
  <c r="H28" i="65"/>
  <c r="G28" i="65"/>
  <c r="F28" i="65"/>
</calcChain>
</file>

<file path=xl/sharedStrings.xml><?xml version="1.0" encoding="utf-8"?>
<sst xmlns="http://schemas.openxmlformats.org/spreadsheetml/2006/main" count="520" uniqueCount="217">
  <si>
    <t xml:space="preserve">MODEL </t>
  </si>
  <si>
    <t>SERIAL #</t>
  </si>
  <si>
    <t>RAPIDPRINT AR-E</t>
  </si>
  <si>
    <t>AMANO PIX 3000</t>
  </si>
  <si>
    <t>WIDMER T-3</t>
  </si>
  <si>
    <t>WHITAKER ET</t>
  </si>
  <si>
    <t>AMANO PIX3000</t>
  </si>
  <si>
    <t>Service Address:</t>
  </si>
  <si>
    <t>Service address:</t>
  </si>
  <si>
    <t>North County Division</t>
  </si>
  <si>
    <t>325 South Melrose Drive, Annex</t>
  </si>
  <si>
    <t>Vista, CA 92081</t>
  </si>
  <si>
    <t>874788DI</t>
  </si>
  <si>
    <t>874960LI</t>
  </si>
  <si>
    <t>874966LI</t>
  </si>
  <si>
    <t xml:space="preserve">NORTH COUNTY </t>
  </si>
  <si>
    <t>325 South Melrose Drive</t>
  </si>
  <si>
    <t>283052</t>
  </si>
  <si>
    <t>AMANO 4746</t>
  </si>
  <si>
    <t>851959HE</t>
  </si>
  <si>
    <t xml:space="preserve">WHITAKER ET </t>
  </si>
  <si>
    <t>855852BF</t>
  </si>
  <si>
    <t>855847BF</t>
  </si>
  <si>
    <t>855848BF</t>
  </si>
  <si>
    <t>855844BF</t>
  </si>
  <si>
    <t>855855BF</t>
  </si>
  <si>
    <t>855858BF</t>
  </si>
  <si>
    <t>855851BF</t>
  </si>
  <si>
    <t>854878SE</t>
  </si>
  <si>
    <t>855854BF</t>
  </si>
  <si>
    <t>855845BF</t>
  </si>
  <si>
    <t>855856BF</t>
  </si>
  <si>
    <t>866961HG</t>
  </si>
  <si>
    <t>866960HG</t>
  </si>
  <si>
    <t xml:space="preserve">WHITAKER BROS. </t>
  </si>
  <si>
    <t>854869SE</t>
  </si>
  <si>
    <t>855849BF</t>
  </si>
  <si>
    <t>866954HG</t>
  </si>
  <si>
    <t>866947HG</t>
  </si>
  <si>
    <t>SOUTH COUNTY</t>
  </si>
  <si>
    <t>South County Division</t>
  </si>
  <si>
    <t>500 Third Ave.</t>
  </si>
  <si>
    <t>Chula Vista, CA 91910</t>
  </si>
  <si>
    <t>155319</t>
  </si>
  <si>
    <t>93191</t>
  </si>
  <si>
    <t>842168CD</t>
  </si>
  <si>
    <t xml:space="preserve">WHITAKER   </t>
  </si>
  <si>
    <t>854872SE</t>
  </si>
  <si>
    <t>91692</t>
  </si>
  <si>
    <t>WHITAKER</t>
  </si>
  <si>
    <t>AMANO PIX3000X</t>
  </si>
  <si>
    <t>WHITAKER TD</t>
  </si>
  <si>
    <t xml:space="preserve">EAST COUNTY </t>
  </si>
  <si>
    <t>East County Division</t>
  </si>
  <si>
    <t>250 E. Main St.</t>
  </si>
  <si>
    <t>El Cajon, CA 92020</t>
  </si>
  <si>
    <t>76796</t>
  </si>
  <si>
    <t>WHITAKER ETC</t>
  </si>
  <si>
    <t>857346DF</t>
  </si>
  <si>
    <t>91070</t>
  </si>
  <si>
    <t>846428MD</t>
  </si>
  <si>
    <t>77167</t>
  </si>
  <si>
    <t>91426</t>
  </si>
  <si>
    <t>489875</t>
  </si>
  <si>
    <t>489876</t>
  </si>
  <si>
    <t>489877</t>
  </si>
  <si>
    <t>468664</t>
  </si>
  <si>
    <t>286992</t>
  </si>
  <si>
    <t>RAPIDPRINT ARL-E</t>
  </si>
  <si>
    <t>502308</t>
  </si>
  <si>
    <t>502309</t>
  </si>
  <si>
    <t>502310</t>
  </si>
  <si>
    <t>502311</t>
  </si>
  <si>
    <t>502348</t>
  </si>
  <si>
    <t>341161146</t>
  </si>
  <si>
    <t xml:space="preserve">WIDMER </t>
  </si>
  <si>
    <t>10509</t>
  </si>
  <si>
    <t>OLD ID #</t>
  </si>
  <si>
    <t>2211</t>
  </si>
  <si>
    <t>2209</t>
  </si>
  <si>
    <t>2210</t>
  </si>
  <si>
    <t>1993</t>
  </si>
  <si>
    <t>1997</t>
  </si>
  <si>
    <t>1996</t>
  </si>
  <si>
    <t>1994</t>
  </si>
  <si>
    <t>1995</t>
  </si>
  <si>
    <t>2002</t>
  </si>
  <si>
    <t>1990</t>
  </si>
  <si>
    <t>1999</t>
  </si>
  <si>
    <t>2047</t>
  </si>
  <si>
    <t>2001</t>
  </si>
  <si>
    <t>2046</t>
  </si>
  <si>
    <t>2000</t>
  </si>
  <si>
    <t>1998</t>
  </si>
  <si>
    <t>n/a</t>
  </si>
  <si>
    <t>N/A</t>
  </si>
  <si>
    <t xml:space="preserve">Rapidprint AR-E </t>
  </si>
  <si>
    <t>WIDMER E-3 Embosser</t>
  </si>
  <si>
    <t>3504</t>
  </si>
  <si>
    <t>2298</t>
  </si>
  <si>
    <t>2392</t>
  </si>
  <si>
    <t>3266</t>
  </si>
  <si>
    <t>2299</t>
  </si>
  <si>
    <t>2297</t>
  </si>
  <si>
    <t>2400</t>
  </si>
  <si>
    <t>2399</t>
  </si>
  <si>
    <t>0133224MN</t>
  </si>
  <si>
    <t>WIDMER N-3 Numbering</t>
  </si>
  <si>
    <t xml:space="preserve">CENTRAL COURTHOUSE </t>
  </si>
  <si>
    <t>220 W. Broadway</t>
  </si>
  <si>
    <t>San Diego, CA 92101</t>
  </si>
  <si>
    <t>0025592MK</t>
  </si>
  <si>
    <t>NOT YET</t>
  </si>
  <si>
    <t>RAPIDPRINT AN-E</t>
  </si>
  <si>
    <t>WIDMER N-3</t>
  </si>
  <si>
    <t>none</t>
  </si>
  <si>
    <t>RAPIDPRINT ARC-E</t>
  </si>
  <si>
    <t>WHITAKER MODEL ET</t>
  </si>
  <si>
    <t>874699SH</t>
  </si>
  <si>
    <t>866967HG</t>
  </si>
  <si>
    <t>F11876</t>
  </si>
  <si>
    <t>25599MK</t>
  </si>
  <si>
    <t>64236ML</t>
  </si>
  <si>
    <t>0874696SH</t>
  </si>
  <si>
    <t>AMANO PIX 3000 X</t>
  </si>
  <si>
    <t>0025597MK</t>
  </si>
  <si>
    <t>20024</t>
  </si>
  <si>
    <t>-</t>
  </si>
  <si>
    <t xml:space="preserve">HALL OF JUSTICE </t>
  </si>
  <si>
    <t>330 W. Broadway</t>
  </si>
  <si>
    <t>AMANO PIX21</t>
  </si>
  <si>
    <t>AMANO PIX 3000X</t>
  </si>
  <si>
    <t>NONE</t>
  </si>
  <si>
    <t>AMANO PIX 3200X</t>
  </si>
  <si>
    <t>91709</t>
  </si>
  <si>
    <t>10029</t>
  </si>
  <si>
    <t>10923</t>
  </si>
  <si>
    <t>AMANO 3000 X</t>
  </si>
  <si>
    <t>ACROPRINT ES700</t>
  </si>
  <si>
    <t>77451</t>
  </si>
  <si>
    <t xml:space="preserve">MADGE BRADLEY </t>
  </si>
  <si>
    <t>Madge Bradley Building</t>
  </si>
  <si>
    <t>1409 4th Ave.</t>
  </si>
  <si>
    <t>WHITAKER BROS. ET</t>
  </si>
  <si>
    <t>858002HF</t>
  </si>
  <si>
    <t xml:space="preserve">WIDMER SPN-RH Side Printer </t>
  </si>
  <si>
    <t>WHITAKER BROS ET</t>
  </si>
  <si>
    <t>130686LN</t>
  </si>
  <si>
    <t>64243ML</t>
  </si>
  <si>
    <t>118777DN</t>
  </si>
  <si>
    <t>RAPIDPRINT ARL-E* (recondtd)</t>
  </si>
  <si>
    <t>JUVENILE COURT</t>
  </si>
  <si>
    <t>Juvenile Court</t>
  </si>
  <si>
    <t>2851 Meadow Lark Dr.</t>
  </si>
  <si>
    <t>San Diego, CA 92123</t>
  </si>
  <si>
    <t>854880SE</t>
  </si>
  <si>
    <t>RAPID PRINT AR-E</t>
  </si>
  <si>
    <t>866953HG</t>
  </si>
  <si>
    <t xml:space="preserve">FAMILY COURT </t>
  </si>
  <si>
    <t>Family Court</t>
  </si>
  <si>
    <t>25598MK</t>
  </si>
  <si>
    <t>92906km</t>
  </si>
  <si>
    <t>92905km</t>
  </si>
  <si>
    <t>118779DN</t>
  </si>
  <si>
    <t>130677LN</t>
  </si>
  <si>
    <t>130696LN</t>
  </si>
  <si>
    <t>130670LN</t>
  </si>
  <si>
    <t>118774DN</t>
  </si>
  <si>
    <t>130672LN</t>
  </si>
  <si>
    <t>WIDMER SPN RH</t>
  </si>
  <si>
    <t>KEARNY MESA FACILITY (KMF)</t>
  </si>
  <si>
    <t>Traffic &amp; Small Claims Court</t>
  </si>
  <si>
    <t>8950 Clairemont Mesa Blvd</t>
  </si>
  <si>
    <t>470280</t>
  </si>
  <si>
    <t>307775</t>
  </si>
  <si>
    <t>10676</t>
  </si>
  <si>
    <t>150633DP</t>
  </si>
  <si>
    <t>151754DP</t>
  </si>
  <si>
    <t>866963HG</t>
  </si>
  <si>
    <t>849732CE</t>
  </si>
  <si>
    <t>76450</t>
  </si>
  <si>
    <t>Widmer T-3</t>
  </si>
  <si>
    <t># of MACHINES</t>
  </si>
  <si>
    <t>Central</t>
  </si>
  <si>
    <t>Hall of Justice (HOJ)</t>
  </si>
  <si>
    <t>North, Vista Annex</t>
  </si>
  <si>
    <t>North, Vista</t>
  </si>
  <si>
    <t>Madge Bradley</t>
  </si>
  <si>
    <t>South</t>
  </si>
  <si>
    <t>Juvenile</t>
  </si>
  <si>
    <t>Family</t>
  </si>
  <si>
    <t>East</t>
  </si>
  <si>
    <t>KMF</t>
  </si>
  <si>
    <t>Page</t>
  </si>
  <si>
    <t>WHITAKER MODEL ED</t>
  </si>
  <si>
    <t>Balboa ID#</t>
  </si>
  <si>
    <t>Whitaker</t>
  </si>
  <si>
    <t>0118773DN</t>
  </si>
  <si>
    <t>Whitaker AR-E</t>
  </si>
  <si>
    <t>0874965LI</t>
  </si>
  <si>
    <t>PRICE Base Year</t>
  </si>
  <si>
    <t>PRICE Year 1</t>
  </si>
  <si>
    <t>PRICE Year 2</t>
  </si>
  <si>
    <t>PRICE Year 3</t>
  </si>
  <si>
    <t>PRICE Year 4</t>
  </si>
  <si>
    <t>1555 Sixth Ave.</t>
  </si>
  <si>
    <r>
      <t xml:space="preserve">WIDMER </t>
    </r>
    <r>
      <rPr>
        <b/>
        <sz val="12"/>
        <rFont val="Arial"/>
        <family val="2"/>
      </rPr>
      <t>N3 N</t>
    </r>
    <r>
      <rPr>
        <sz val="12"/>
        <rFont val="Arial"/>
        <family val="2"/>
      </rPr>
      <t>umbering</t>
    </r>
  </si>
  <si>
    <t>TOTAL *</t>
  </si>
  <si>
    <t>ATTACHMENT 9 PRICE SCHEDULE</t>
  </si>
  <si>
    <t>* transfer these totals to summary sheet</t>
  </si>
  <si>
    <t>* transfer these totals to Bidder's Total Offer &amp; Signature Page (Attachment 10)</t>
  </si>
  <si>
    <t>TOTAL ANNUAL PRICE              Base Year</t>
  </si>
  <si>
    <t>TOTAL ANNUAL PRICE                 Option Year 1</t>
  </si>
  <si>
    <t>TOTAL ANNUAL PRICE              Option Year 2</t>
  </si>
  <si>
    <t>TOTAL ANNUAL PRICE                 Option Year 3</t>
  </si>
  <si>
    <t>TOTAL ANNUAL PRICE                Option Year 4</t>
  </si>
  <si>
    <t>NORTH COUNTY ANNEX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</si>
</sst>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0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i/>
      <sz val="12"/>
      <name val="Arial"/>
      <family val="2"/>
    </font>
    <font>
      <sz val="12"/>
      <name val="Arial'"/>
    </font>
    <font>
      <strike/>
      <sz val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117">
    <xf numFmtId="0" fontId="0" fillId="0" borderId="0" xfId="0"/>
    <xf numFmtId="0" fontId="4" fillId="0" borderId="0" xfId="2" applyFont="1" applyFill="1" applyBorder="1"/>
    <xf numFmtId="0" fontId="4" fillId="0" borderId="0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44" fontId="4" fillId="0" borderId="1" xfId="3" applyNumberFormat="1" applyFont="1" applyFill="1" applyBorder="1" applyAlignment="1">
      <alignment horizontal="center"/>
    </xf>
    <xf numFmtId="0" fontId="5" fillId="0" borderId="0" xfId="2" applyFont="1" applyFill="1"/>
    <xf numFmtId="0" fontId="4" fillId="0" borderId="0" xfId="2" applyFont="1" applyFill="1"/>
    <xf numFmtId="164" fontId="4" fillId="0" borderId="1" xfId="2" applyNumberFormat="1" applyFont="1" applyFill="1" applyBorder="1" applyAlignment="1">
      <alignment horizontal="center"/>
    </xf>
    <xf numFmtId="164" fontId="4" fillId="0" borderId="1" xfId="3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/>
    <xf numFmtId="0" fontId="5" fillId="0" borderId="0" xfId="2" applyFont="1" applyAlignment="1">
      <alignment horizontal="center"/>
    </xf>
    <xf numFmtId="164" fontId="4" fillId="0" borderId="0" xfId="2" applyNumberFormat="1" applyFont="1"/>
    <xf numFmtId="164" fontId="4" fillId="0" borderId="1" xfId="3" applyNumberFormat="1" applyFont="1" applyBorder="1"/>
    <xf numFmtId="44" fontId="4" fillId="0" borderId="0" xfId="2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4" fillId="0" borderId="0" xfId="1" applyFont="1"/>
    <xf numFmtId="164" fontId="4" fillId="0" borderId="1" xfId="0" applyNumberFormat="1" applyFont="1" applyBorder="1" applyAlignment="1">
      <alignment horizontal="center"/>
    </xf>
    <xf numFmtId="164" fontId="4" fillId="0" borderId="0" xfId="2" applyNumberFormat="1" applyFont="1" applyFill="1"/>
    <xf numFmtId="164" fontId="4" fillId="0" borderId="0" xfId="3" applyNumberFormat="1" applyFont="1" applyFill="1"/>
    <xf numFmtId="164" fontId="4" fillId="0" borderId="1" xfId="2" applyNumberFormat="1" applyFont="1" applyFill="1" applyBorder="1"/>
    <xf numFmtId="0" fontId="4" fillId="0" borderId="4" xfId="0" applyFont="1" applyBorder="1"/>
    <xf numFmtId="0" fontId="4" fillId="0" borderId="7" xfId="0" applyFont="1" applyBorder="1" applyAlignment="1">
      <alignment horizontal="center"/>
    </xf>
    <xf numFmtId="0" fontId="4" fillId="0" borderId="6" xfId="0" applyFont="1" applyBorder="1"/>
    <xf numFmtId="0" fontId="4" fillId="0" borderId="5" xfId="0" applyFont="1" applyBorder="1"/>
    <xf numFmtId="0" fontId="4" fillId="0" borderId="5" xfId="0" applyFont="1" applyFill="1" applyBorder="1"/>
    <xf numFmtId="0" fontId="4" fillId="0" borderId="4" xfId="0" applyFont="1" applyFill="1" applyBorder="1"/>
    <xf numFmtId="0" fontId="5" fillId="0" borderId="0" xfId="2" applyFont="1" applyFill="1" applyAlignment="1">
      <alignment horizontal="center"/>
    </xf>
    <xf numFmtId="0" fontId="4" fillId="0" borderId="0" xfId="2" applyFont="1" applyFill="1" applyAlignment="1">
      <alignment horizontal="center"/>
    </xf>
    <xf numFmtId="0" fontId="4" fillId="0" borderId="1" xfId="2" applyFont="1" applyFill="1" applyBorder="1"/>
    <xf numFmtId="0" fontId="5" fillId="0" borderId="1" xfId="2" applyFont="1" applyFill="1" applyBorder="1" applyAlignment="1">
      <alignment horizontal="center"/>
    </xf>
    <xf numFmtId="44" fontId="5" fillId="0" borderId="1" xfId="3" applyFont="1" applyFill="1" applyBorder="1" applyAlignment="1">
      <alignment horizontal="center"/>
    </xf>
    <xf numFmtId="0" fontId="5" fillId="0" borderId="1" xfId="2" applyNumberFormat="1" applyFont="1" applyFill="1" applyBorder="1" applyAlignment="1" applyProtection="1">
      <alignment horizontal="center"/>
    </xf>
    <xf numFmtId="0" fontId="4" fillId="0" borderId="1" xfId="2" applyFont="1" applyFill="1" applyBorder="1" applyAlignment="1">
      <alignment horizontal="left"/>
    </xf>
    <xf numFmtId="49" fontId="4" fillId="0" borderId="1" xfId="2" applyNumberFormat="1" applyFont="1" applyFill="1" applyBorder="1" applyAlignment="1">
      <alignment horizontal="center"/>
    </xf>
    <xf numFmtId="44" fontId="4" fillId="0" borderId="0" xfId="3" applyFont="1" applyFill="1"/>
    <xf numFmtId="0" fontId="5" fillId="0" borderId="0" xfId="0" applyFont="1" applyFill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0" xfId="0" applyFont="1" applyFill="1"/>
    <xf numFmtId="49" fontId="4" fillId="0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/>
    <xf numFmtId="44" fontId="4" fillId="0" borderId="0" xfId="3" applyFont="1"/>
    <xf numFmtId="0" fontId="4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4" fillId="0" borderId="1" xfId="2" applyFont="1" applyBorder="1"/>
    <xf numFmtId="0" fontId="5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6" fillId="0" borderId="0" xfId="2" applyFont="1"/>
    <xf numFmtId="0" fontId="4" fillId="0" borderId="0" xfId="2" applyFont="1" applyBorder="1"/>
    <xf numFmtId="0" fontId="4" fillId="0" borderId="0" xfId="2" applyFont="1" applyBorder="1" applyAlignment="1">
      <alignment horizontal="center"/>
    </xf>
    <xf numFmtId="44" fontId="5" fillId="0" borderId="0" xfId="2" applyNumberFormat="1" applyFont="1" applyAlignment="1">
      <alignment horizontal="center"/>
    </xf>
    <xf numFmtId="44" fontId="4" fillId="0" borderId="0" xfId="2" applyNumberFormat="1" applyFont="1" applyAlignment="1">
      <alignment horizontal="center"/>
    </xf>
    <xf numFmtId="49" fontId="4" fillId="0" borderId="1" xfId="2" applyNumberFormat="1" applyFont="1" applyBorder="1" applyAlignment="1">
      <alignment horizontal="center"/>
    </xf>
    <xf numFmtId="0" fontId="4" fillId="0" borderId="2" xfId="2" applyFont="1" applyBorder="1"/>
    <xf numFmtId="0" fontId="4" fillId="0" borderId="2" xfId="2" applyFont="1" applyBorder="1" applyAlignment="1">
      <alignment horizontal="center"/>
    </xf>
    <xf numFmtId="164" fontId="4" fillId="0" borderId="2" xfId="2" applyNumberFormat="1" applyFont="1" applyBorder="1"/>
    <xf numFmtId="164" fontId="4" fillId="0" borderId="2" xfId="2" applyNumberFormat="1" applyFont="1" applyFill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left"/>
    </xf>
    <xf numFmtId="0" fontId="4" fillId="0" borderId="1" xfId="2" applyFont="1" applyBorder="1" applyAlignment="1">
      <alignment wrapText="1"/>
    </xf>
    <xf numFmtId="0" fontId="4" fillId="0" borderId="0" xfId="2" applyFont="1" applyAlignment="1">
      <alignment wrapText="1"/>
    </xf>
    <xf numFmtId="0" fontId="4" fillId="0" borderId="0" xfId="2" applyFont="1" applyFill="1" applyBorder="1" applyAlignment="1">
      <alignment horizontal="left" wrapText="1"/>
    </xf>
    <xf numFmtId="0" fontId="7" fillId="0" borderId="0" xfId="2" applyFont="1" applyFill="1" applyBorder="1"/>
    <xf numFmtId="164" fontId="8" fillId="0" borderId="1" xfId="2" applyNumberFormat="1" applyFont="1" applyBorder="1" applyAlignment="1">
      <alignment horizontal="center"/>
    </xf>
    <xf numFmtId="0" fontId="4" fillId="0" borderId="1" xfId="2" applyFont="1" applyFill="1" applyBorder="1" applyAlignment="1">
      <alignment wrapText="1"/>
    </xf>
    <xf numFmtId="0" fontId="4" fillId="0" borderId="2" xfId="2" applyFont="1" applyFill="1" applyBorder="1"/>
    <xf numFmtId="0" fontId="4" fillId="0" borderId="2" xfId="2" applyFont="1" applyFill="1" applyBorder="1" applyAlignment="1">
      <alignment horizontal="center"/>
    </xf>
    <xf numFmtId="164" fontId="4" fillId="0" borderId="2" xfId="2" applyNumberFormat="1" applyFont="1" applyFill="1" applyBorder="1" applyAlignment="1">
      <alignment horizontal="left"/>
    </xf>
    <xf numFmtId="164" fontId="4" fillId="0" borderId="1" xfId="2" applyNumberFormat="1" applyFont="1" applyFill="1" applyBorder="1" applyAlignment="1">
      <alignment horizontal="left"/>
    </xf>
    <xf numFmtId="164" fontId="4" fillId="0" borderId="1" xfId="2" applyNumberFormat="1" applyFont="1" applyFill="1" applyBorder="1" applyAlignment="1"/>
    <xf numFmtId="164" fontId="4" fillId="0" borderId="1" xfId="2" applyNumberFormat="1" applyFont="1" applyBorder="1" applyAlignment="1"/>
    <xf numFmtId="0" fontId="9" fillId="0" borderId="0" xfId="2" applyFont="1"/>
    <xf numFmtId="44" fontId="4" fillId="0" borderId="0" xfId="2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44" fontId="5" fillId="0" borderId="1" xfId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0" fontId="4" fillId="0" borderId="0" xfId="2" applyFont="1" applyFill="1" applyAlignment="1">
      <alignment horizontal="left"/>
    </xf>
    <xf numFmtId="0" fontId="5" fillId="0" borderId="0" xfId="2" applyFont="1" applyFill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164" fontId="4" fillId="0" borderId="1" xfId="0" applyNumberFormat="1" applyFont="1" applyBorder="1"/>
    <xf numFmtId="164" fontId="4" fillId="0" borderId="12" xfId="0" applyNumberFormat="1" applyFont="1" applyBorder="1"/>
    <xf numFmtId="164" fontId="4" fillId="0" borderId="11" xfId="0" applyNumberFormat="1" applyFont="1" applyBorder="1"/>
    <xf numFmtId="164" fontId="4" fillId="0" borderId="0" xfId="0" applyNumberFormat="1" applyFont="1" applyBorder="1"/>
    <xf numFmtId="44" fontId="5" fillId="0" borderId="11" xfId="3" applyFont="1" applyFill="1" applyBorder="1" applyAlignment="1">
      <alignment horizontal="center" wrapText="1"/>
    </xf>
    <xf numFmtId="0" fontId="5" fillId="0" borderId="11" xfId="2" applyNumberFormat="1" applyFont="1" applyFill="1" applyBorder="1" applyAlignment="1" applyProtection="1">
      <alignment horizontal="center" wrapText="1"/>
    </xf>
    <xf numFmtId="0" fontId="5" fillId="0" borderId="10" xfId="0" applyFont="1" applyBorder="1" applyAlignment="1">
      <alignment horizontal="center"/>
    </xf>
    <xf numFmtId="164" fontId="4" fillId="0" borderId="13" xfId="0" applyNumberFormat="1" applyFont="1" applyBorder="1"/>
    <xf numFmtId="0" fontId="7" fillId="0" borderId="0" xfId="2" applyFont="1" applyFill="1"/>
    <xf numFmtId="0" fontId="7" fillId="0" borderId="0" xfId="0" applyFont="1"/>
    <xf numFmtId="0" fontId="5" fillId="0" borderId="0" xfId="2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2" applyFont="1" applyFill="1" applyAlignment="1">
      <alignment horizontal="center"/>
    </xf>
  </cellXfs>
  <cellStyles count="4">
    <cellStyle name="Currency" xfId="1" builtinId="4"/>
    <cellStyle name="Currency 2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view="pageLayout" zoomScaleNormal="100" workbookViewId="0">
      <selection activeCell="C2" sqref="C2"/>
    </sheetView>
  </sheetViews>
  <sheetFormatPr defaultColWidth="19.7109375" defaultRowHeight="15"/>
  <cols>
    <col min="1" max="1" width="22.28515625" style="17" customWidth="1"/>
    <col min="2" max="2" width="18.28515625" style="17" customWidth="1"/>
    <col min="3" max="16384" width="19.7109375" style="17"/>
  </cols>
  <sheetData>
    <row r="1" spans="1:7" ht="48.75" customHeight="1" thickBot="1">
      <c r="A1" s="25" t="s">
        <v>193</v>
      </c>
      <c r="B1" s="26" t="s">
        <v>182</v>
      </c>
      <c r="C1" s="105" t="s">
        <v>211</v>
      </c>
      <c r="D1" s="105" t="s">
        <v>212</v>
      </c>
      <c r="E1" s="105" t="s">
        <v>213</v>
      </c>
      <c r="F1" s="106" t="s">
        <v>214</v>
      </c>
      <c r="G1" s="105" t="s">
        <v>215</v>
      </c>
    </row>
    <row r="2" spans="1:7">
      <c r="A2" s="27" t="s">
        <v>183</v>
      </c>
      <c r="B2" s="98">
        <v>20</v>
      </c>
      <c r="C2" s="102"/>
      <c r="D2" s="102"/>
      <c r="E2" s="102"/>
      <c r="F2" s="102"/>
      <c r="G2" s="102"/>
    </row>
    <row r="3" spans="1:7">
      <c r="A3" s="28" t="s">
        <v>184</v>
      </c>
      <c r="B3" s="99">
        <v>36</v>
      </c>
      <c r="C3" s="101"/>
      <c r="D3" s="101"/>
      <c r="E3" s="101"/>
      <c r="F3" s="101"/>
      <c r="G3" s="101"/>
    </row>
    <row r="4" spans="1:7">
      <c r="A4" s="28" t="s">
        <v>185</v>
      </c>
      <c r="B4" s="99">
        <v>5</v>
      </c>
      <c r="C4" s="101"/>
      <c r="D4" s="101"/>
      <c r="E4" s="101"/>
      <c r="F4" s="101"/>
      <c r="G4" s="101"/>
    </row>
    <row r="5" spans="1:7">
      <c r="A5" s="29" t="s">
        <v>186</v>
      </c>
      <c r="B5" s="100">
        <v>53</v>
      </c>
      <c r="C5" s="101"/>
      <c r="D5" s="101"/>
      <c r="E5" s="101"/>
      <c r="F5" s="101"/>
      <c r="G5" s="101"/>
    </row>
    <row r="6" spans="1:7">
      <c r="A6" s="28" t="s">
        <v>187</v>
      </c>
      <c r="B6" s="99">
        <v>11</v>
      </c>
      <c r="C6" s="101"/>
      <c r="D6" s="101"/>
      <c r="E6" s="101"/>
      <c r="F6" s="101"/>
      <c r="G6" s="101"/>
    </row>
    <row r="7" spans="1:7">
      <c r="A7" s="28" t="s">
        <v>188</v>
      </c>
      <c r="B7" s="99">
        <v>16</v>
      </c>
      <c r="C7" s="101"/>
      <c r="D7" s="101"/>
      <c r="E7" s="101"/>
      <c r="F7" s="101"/>
      <c r="G7" s="101"/>
    </row>
    <row r="8" spans="1:7">
      <c r="A8" s="28" t="s">
        <v>189</v>
      </c>
      <c r="B8" s="99">
        <v>4</v>
      </c>
      <c r="C8" s="101"/>
      <c r="D8" s="101"/>
      <c r="E8" s="101"/>
      <c r="F8" s="101"/>
      <c r="G8" s="101"/>
    </row>
    <row r="9" spans="1:7">
      <c r="A9" s="28" t="s">
        <v>190</v>
      </c>
      <c r="B9" s="99">
        <v>16</v>
      </c>
      <c r="C9" s="101"/>
      <c r="D9" s="101"/>
      <c r="E9" s="101"/>
      <c r="F9" s="101"/>
      <c r="G9" s="101"/>
    </row>
    <row r="10" spans="1:7">
      <c r="A10" s="28" t="s">
        <v>191</v>
      </c>
      <c r="B10" s="99">
        <v>29</v>
      </c>
      <c r="C10" s="101"/>
      <c r="D10" s="101"/>
      <c r="E10" s="101"/>
      <c r="F10" s="101"/>
      <c r="G10" s="101"/>
    </row>
    <row r="11" spans="1:7" ht="15.75" thickBot="1">
      <c r="A11" s="28" t="s">
        <v>192</v>
      </c>
      <c r="B11" s="99">
        <v>13</v>
      </c>
      <c r="C11" s="103"/>
      <c r="D11" s="103"/>
      <c r="E11" s="103"/>
      <c r="F11" s="103"/>
      <c r="G11" s="103"/>
    </row>
    <row r="12" spans="1:7" ht="24" customHeight="1" thickBot="1">
      <c r="A12" s="30"/>
      <c r="B12" s="107" t="s">
        <v>207</v>
      </c>
      <c r="C12" s="108">
        <f>SUM(C2:C11)</f>
        <v>0</v>
      </c>
      <c r="D12" s="108">
        <f t="shared" ref="D12:G12" si="0">SUM(D2:D11)</f>
        <v>0</v>
      </c>
      <c r="E12" s="108">
        <f t="shared" si="0"/>
        <v>0</v>
      </c>
      <c r="F12" s="108">
        <f t="shared" si="0"/>
        <v>0</v>
      </c>
      <c r="G12" s="108">
        <f t="shared" si="0"/>
        <v>0</v>
      </c>
    </row>
    <row r="13" spans="1:7" ht="20.25" customHeight="1">
      <c r="B13" s="110" t="s">
        <v>210</v>
      </c>
      <c r="C13" s="104"/>
      <c r="D13" s="104"/>
      <c r="E13" s="104"/>
      <c r="F13" s="104"/>
      <c r="G13" s="104"/>
    </row>
  </sheetData>
  <phoneticPr fontId="3" type="noConversion"/>
  <pageMargins left="0.75" right="0.75" top="1" bottom="1" header="0.5" footer="0.5"/>
  <pageSetup scale="88" orientation="landscape" r:id="rId1"/>
  <headerFooter alignWithMargins="0">
    <oddHeader>&amp;LTime/Date Stamp EMA &amp; Service
IFB #YR3869-14&amp;C&amp;"Arial,Bold"&amp;12ATTACHMENT 9
PRICE SCHEDULE SUMMARY&amp;R&amp;"Arial,Italic"totals below are from individual price schedule pages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Normal="100" workbookViewId="0">
      <selection activeCell="F8" sqref="F8"/>
    </sheetView>
  </sheetViews>
  <sheetFormatPr defaultRowHeight="15"/>
  <cols>
    <col min="1" max="1" width="4.42578125" style="6" customWidth="1"/>
    <col min="2" max="2" width="26.7109375" style="6" customWidth="1"/>
    <col min="3" max="3" width="13.42578125" style="32" customWidth="1"/>
    <col min="4" max="4" width="13.5703125" style="32" bestFit="1" customWidth="1"/>
    <col min="5" max="5" width="10.42578125" style="32" customWidth="1"/>
    <col min="6" max="6" width="20.28515625" style="32" customWidth="1"/>
    <col min="7" max="8" width="18.28515625" style="32" customWidth="1"/>
    <col min="9" max="9" width="16.140625" style="32" customWidth="1"/>
    <col min="10" max="10" width="16.140625" style="39" customWidth="1"/>
    <col min="11" max="11" width="9" style="6" customWidth="1"/>
    <col min="12" max="12" width="9.140625" style="6"/>
    <col min="13" max="13" width="11.85546875" style="6" customWidth="1"/>
    <col min="14" max="16384" width="9.140625" style="6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1" t="s">
        <v>108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10" ht="15.75">
      <c r="A3" s="31"/>
      <c r="B3" s="6" t="s">
        <v>7</v>
      </c>
      <c r="C3" s="31"/>
      <c r="D3" s="31"/>
      <c r="E3" s="31"/>
      <c r="F3" s="31"/>
      <c r="G3" s="31"/>
      <c r="H3" s="31"/>
      <c r="I3" s="31"/>
      <c r="J3" s="31"/>
    </row>
    <row r="4" spans="1:10" ht="15.75">
      <c r="A4" s="31"/>
      <c r="B4" s="6" t="s">
        <v>109</v>
      </c>
      <c r="C4" s="31"/>
      <c r="D4" s="31"/>
      <c r="E4" s="31"/>
      <c r="F4" s="31"/>
      <c r="G4" s="31"/>
      <c r="H4" s="31"/>
      <c r="I4" s="31"/>
      <c r="J4" s="31"/>
    </row>
    <row r="5" spans="1:10" ht="15.75">
      <c r="A5" s="31"/>
      <c r="B5" s="6" t="s">
        <v>110</v>
      </c>
      <c r="C5" s="31"/>
      <c r="D5" s="31"/>
      <c r="E5" s="31"/>
      <c r="F5" s="31"/>
      <c r="G5" s="31"/>
      <c r="H5" s="31"/>
      <c r="I5" s="31"/>
      <c r="J5" s="31"/>
    </row>
    <row r="6" spans="1:10" ht="15.75">
      <c r="A6" s="31"/>
      <c r="E6" s="31"/>
      <c r="F6" s="31"/>
      <c r="G6" s="31"/>
      <c r="H6" s="31"/>
      <c r="I6" s="31"/>
      <c r="J6" s="31"/>
    </row>
    <row r="7" spans="1:10" ht="15.75">
      <c r="A7" s="33"/>
      <c r="B7" s="34" t="s">
        <v>0</v>
      </c>
      <c r="C7" s="34" t="s">
        <v>1</v>
      </c>
      <c r="D7" s="34" t="s">
        <v>195</v>
      </c>
      <c r="E7" s="34" t="s">
        <v>77</v>
      </c>
      <c r="F7" s="35" t="s">
        <v>200</v>
      </c>
      <c r="G7" s="35" t="s">
        <v>201</v>
      </c>
      <c r="H7" s="35" t="s">
        <v>202</v>
      </c>
      <c r="I7" s="36" t="s">
        <v>203</v>
      </c>
      <c r="J7" s="35" t="s">
        <v>204</v>
      </c>
    </row>
    <row r="8" spans="1:10">
      <c r="A8" s="33">
        <v>1</v>
      </c>
      <c r="B8" s="37" t="s">
        <v>5</v>
      </c>
      <c r="C8" s="3" t="s">
        <v>111</v>
      </c>
      <c r="D8" s="3">
        <v>2032</v>
      </c>
      <c r="E8" s="3">
        <v>10265</v>
      </c>
      <c r="F8" s="7"/>
      <c r="G8" s="7"/>
      <c r="H8" s="7"/>
      <c r="I8" s="7"/>
      <c r="J8" s="8"/>
    </row>
    <row r="9" spans="1:10">
      <c r="A9" s="33">
        <v>2</v>
      </c>
      <c r="B9" s="33" t="s">
        <v>113</v>
      </c>
      <c r="C9" s="3">
        <v>362084</v>
      </c>
      <c r="D9" s="3">
        <v>2365</v>
      </c>
      <c r="E9" s="3">
        <v>76551</v>
      </c>
      <c r="F9" s="7"/>
      <c r="G9" s="7"/>
      <c r="H9" s="7"/>
      <c r="I9" s="7"/>
      <c r="J9" s="8"/>
    </row>
    <row r="10" spans="1:10">
      <c r="A10" s="33">
        <v>3</v>
      </c>
      <c r="B10" s="33" t="s">
        <v>113</v>
      </c>
      <c r="C10" s="3">
        <v>362082</v>
      </c>
      <c r="D10" s="3">
        <v>2364</v>
      </c>
      <c r="E10" s="3">
        <v>76887</v>
      </c>
      <c r="F10" s="7"/>
      <c r="G10" s="7"/>
      <c r="H10" s="7"/>
      <c r="I10" s="7"/>
      <c r="J10" s="8"/>
    </row>
    <row r="11" spans="1:10">
      <c r="A11" s="33">
        <v>4</v>
      </c>
      <c r="B11" s="33" t="s">
        <v>114</v>
      </c>
      <c r="C11" s="3">
        <v>175345</v>
      </c>
      <c r="D11" s="3">
        <v>2367</v>
      </c>
      <c r="E11" s="3" t="s">
        <v>115</v>
      </c>
      <c r="F11" s="7"/>
      <c r="G11" s="7"/>
      <c r="H11" s="7"/>
      <c r="I11" s="7"/>
      <c r="J11" s="8"/>
    </row>
    <row r="12" spans="1:10">
      <c r="A12" s="33">
        <v>5</v>
      </c>
      <c r="B12" s="33" t="s">
        <v>114</v>
      </c>
      <c r="C12" s="3">
        <v>165974</v>
      </c>
      <c r="D12" s="3">
        <v>2366</v>
      </c>
      <c r="E12" s="3">
        <v>90302</v>
      </c>
      <c r="F12" s="7"/>
      <c r="G12" s="7"/>
      <c r="H12" s="7"/>
      <c r="I12" s="7"/>
      <c r="J12" s="8"/>
    </row>
    <row r="13" spans="1:10">
      <c r="A13" s="33">
        <v>6</v>
      </c>
      <c r="B13" s="33" t="s">
        <v>116</v>
      </c>
      <c r="C13" s="3">
        <v>329918</v>
      </c>
      <c r="D13" s="3">
        <v>3267</v>
      </c>
      <c r="E13" s="3">
        <v>91616</v>
      </c>
      <c r="F13" s="7"/>
      <c r="G13" s="7"/>
      <c r="H13" s="7"/>
      <c r="I13" s="7"/>
      <c r="J13" s="8"/>
    </row>
    <row r="14" spans="1:10">
      <c r="A14" s="33">
        <v>7</v>
      </c>
      <c r="B14" s="33" t="s">
        <v>2</v>
      </c>
      <c r="C14" s="3">
        <v>437009</v>
      </c>
      <c r="D14" s="3">
        <v>3466</v>
      </c>
      <c r="E14" s="3">
        <v>91732</v>
      </c>
      <c r="F14" s="7"/>
      <c r="G14" s="7"/>
      <c r="H14" s="7"/>
      <c r="I14" s="7"/>
      <c r="J14" s="8"/>
    </row>
    <row r="15" spans="1:10">
      <c r="A15" s="33">
        <v>8</v>
      </c>
      <c r="B15" s="33" t="s">
        <v>117</v>
      </c>
      <c r="C15" s="3" t="s">
        <v>118</v>
      </c>
      <c r="D15" s="3">
        <v>3675</v>
      </c>
      <c r="E15" s="3">
        <v>92591</v>
      </c>
      <c r="F15" s="7"/>
      <c r="G15" s="7"/>
      <c r="H15" s="7"/>
      <c r="I15" s="7"/>
      <c r="J15" s="8"/>
    </row>
    <row r="16" spans="1:10">
      <c r="A16" s="33">
        <v>9</v>
      </c>
      <c r="B16" s="33" t="s">
        <v>117</v>
      </c>
      <c r="C16" s="3" t="s">
        <v>119</v>
      </c>
      <c r="D16" s="3">
        <v>2249</v>
      </c>
      <c r="E16" s="3">
        <v>90496</v>
      </c>
      <c r="F16" s="7"/>
      <c r="G16" s="7"/>
      <c r="H16" s="7"/>
      <c r="I16" s="7"/>
      <c r="J16" s="8"/>
    </row>
    <row r="17" spans="1:11">
      <c r="A17" s="33">
        <v>10</v>
      </c>
      <c r="B17" s="33" t="s">
        <v>2</v>
      </c>
      <c r="C17" s="3">
        <v>437011</v>
      </c>
      <c r="D17" s="3">
        <v>2247</v>
      </c>
      <c r="E17" s="3" t="s">
        <v>120</v>
      </c>
      <c r="F17" s="7"/>
      <c r="G17" s="7"/>
      <c r="H17" s="7"/>
      <c r="I17" s="7"/>
      <c r="J17" s="8"/>
    </row>
    <row r="18" spans="1:11">
      <c r="A18" s="33">
        <v>11</v>
      </c>
      <c r="B18" s="33" t="s">
        <v>194</v>
      </c>
      <c r="C18" s="3" t="s">
        <v>121</v>
      </c>
      <c r="D18" s="3">
        <v>2246</v>
      </c>
      <c r="E18" s="3">
        <v>10634</v>
      </c>
      <c r="F18" s="7"/>
      <c r="G18" s="7"/>
      <c r="H18" s="7"/>
      <c r="I18" s="7"/>
      <c r="J18" s="8"/>
    </row>
    <row r="19" spans="1:11">
      <c r="A19" s="33">
        <v>12</v>
      </c>
      <c r="B19" s="33" t="s">
        <v>194</v>
      </c>
      <c r="C19" s="3" t="s">
        <v>122</v>
      </c>
      <c r="D19" s="3">
        <v>2248</v>
      </c>
      <c r="E19" s="3">
        <v>10635</v>
      </c>
      <c r="F19" s="7"/>
      <c r="G19" s="7"/>
      <c r="H19" s="7"/>
      <c r="I19" s="7"/>
      <c r="J19" s="8"/>
    </row>
    <row r="20" spans="1:11">
      <c r="A20" s="33">
        <v>13</v>
      </c>
      <c r="B20" s="33" t="s">
        <v>117</v>
      </c>
      <c r="C20" s="3" t="s">
        <v>123</v>
      </c>
      <c r="D20" s="3">
        <v>2254</v>
      </c>
      <c r="E20" s="32">
        <v>92592</v>
      </c>
      <c r="F20" s="7"/>
      <c r="G20" s="7"/>
      <c r="H20" s="7"/>
      <c r="I20" s="7"/>
      <c r="J20" s="8"/>
    </row>
    <row r="21" spans="1:11">
      <c r="A21" s="33">
        <v>14</v>
      </c>
      <c r="B21" s="33" t="s">
        <v>124</v>
      </c>
      <c r="C21" s="3">
        <v>381094043</v>
      </c>
      <c r="D21" s="3">
        <v>2257</v>
      </c>
      <c r="E21" s="3">
        <v>77523</v>
      </c>
      <c r="F21" s="7"/>
      <c r="G21" s="7"/>
      <c r="H21" s="7"/>
      <c r="I21" s="7"/>
      <c r="J21" s="8"/>
    </row>
    <row r="22" spans="1:11">
      <c r="A22" s="33">
        <v>15</v>
      </c>
      <c r="B22" s="33" t="s">
        <v>124</v>
      </c>
      <c r="C22" s="3">
        <v>383109402</v>
      </c>
      <c r="D22" s="3" t="s">
        <v>132</v>
      </c>
      <c r="E22" s="3">
        <v>91147</v>
      </c>
      <c r="F22" s="7"/>
      <c r="G22" s="7"/>
      <c r="H22" s="7"/>
      <c r="I22" s="7"/>
      <c r="J22" s="8"/>
    </row>
    <row r="23" spans="1:11">
      <c r="A23" s="33">
        <v>16</v>
      </c>
      <c r="B23" s="33" t="s">
        <v>117</v>
      </c>
      <c r="C23" s="3" t="s">
        <v>125</v>
      </c>
      <c r="D23" s="3">
        <v>3628</v>
      </c>
      <c r="E23" s="38" t="s">
        <v>126</v>
      </c>
      <c r="F23" s="7"/>
      <c r="G23" s="7"/>
      <c r="H23" s="7"/>
      <c r="I23" s="7"/>
      <c r="J23" s="8"/>
    </row>
    <row r="24" spans="1:11">
      <c r="A24" s="33">
        <v>17</v>
      </c>
      <c r="B24" s="33" t="s">
        <v>2</v>
      </c>
      <c r="C24" s="3">
        <v>523877</v>
      </c>
      <c r="D24" s="3">
        <v>2471</v>
      </c>
      <c r="E24" s="3">
        <v>20701</v>
      </c>
      <c r="F24" s="7"/>
      <c r="G24" s="7"/>
      <c r="H24" s="7"/>
      <c r="I24" s="7"/>
      <c r="J24" s="8"/>
    </row>
    <row r="25" spans="1:11" ht="15.75">
      <c r="A25" s="33">
        <v>18</v>
      </c>
      <c r="B25" s="33" t="s">
        <v>2</v>
      </c>
      <c r="C25" s="3">
        <v>528712</v>
      </c>
      <c r="D25" s="3">
        <v>3531</v>
      </c>
      <c r="E25" s="3" t="s">
        <v>115</v>
      </c>
      <c r="F25" s="7"/>
      <c r="G25" s="7"/>
      <c r="H25" s="7"/>
      <c r="I25" s="7"/>
      <c r="J25" s="8"/>
      <c r="K25" s="5"/>
    </row>
    <row r="26" spans="1:11" ht="15.75">
      <c r="A26" s="33">
        <v>19</v>
      </c>
      <c r="B26" s="33" t="s">
        <v>116</v>
      </c>
      <c r="C26" s="3">
        <v>328984</v>
      </c>
      <c r="D26" s="3">
        <v>2572</v>
      </c>
      <c r="E26" s="3" t="s">
        <v>127</v>
      </c>
      <c r="F26" s="7"/>
      <c r="G26" s="7"/>
      <c r="H26" s="7"/>
      <c r="I26" s="7"/>
      <c r="J26" s="8"/>
      <c r="K26" s="5"/>
    </row>
    <row r="27" spans="1:11">
      <c r="A27" s="33">
        <v>20</v>
      </c>
      <c r="B27" s="33" t="s">
        <v>5</v>
      </c>
      <c r="C27" s="3" t="s">
        <v>179</v>
      </c>
      <c r="D27" s="3">
        <v>2671</v>
      </c>
      <c r="E27" s="3" t="s">
        <v>127</v>
      </c>
      <c r="F27" s="7"/>
      <c r="G27" s="7"/>
      <c r="H27" s="7"/>
      <c r="I27" s="7"/>
      <c r="J27" s="8"/>
    </row>
    <row r="28" spans="1:11" ht="20.25" customHeight="1">
      <c r="A28" s="1"/>
      <c r="C28" s="2"/>
      <c r="D28" s="5" t="s">
        <v>207</v>
      </c>
      <c r="E28" s="2"/>
      <c r="F28" s="7">
        <f>SUM(F8:F27)</f>
        <v>0</v>
      </c>
      <c r="G28" s="7">
        <f t="shared" ref="G28:J28" si="0">SUM(G8:G27)</f>
        <v>0</v>
      </c>
      <c r="H28" s="7">
        <f t="shared" si="0"/>
        <v>0</v>
      </c>
      <c r="I28" s="7">
        <f t="shared" si="0"/>
        <v>0</v>
      </c>
      <c r="J28" s="7">
        <f t="shared" si="0"/>
        <v>0</v>
      </c>
      <c r="K28" s="5"/>
    </row>
    <row r="29" spans="1:11" ht="19.5" customHeight="1">
      <c r="D29" s="109" t="s">
        <v>209</v>
      </c>
    </row>
  </sheetData>
  <mergeCells count="2">
    <mergeCell ref="A1:J1"/>
    <mergeCell ref="A2:J2"/>
  </mergeCells>
  <printOptions horizontalCentered="1"/>
  <pageMargins left="0.25" right="0.25" top="1" bottom="1" header="0.5" footer="0.5"/>
  <pageSetup scale="85" orientation="landscape" horizontalDpi="1200" verticalDpi="1200" r:id="rId1"/>
  <headerFooter alignWithMargins="0">
    <oddHeader xml:space="preserve">&amp;LTime/Date Stamp EMA &amp; Service
IFB #YR3869-14
</oddHeader>
    <oddFooter>&amp;LTime Stamps - Central &amp;R&amp;D</oddFooter>
  </headerFooter>
  <colBreaks count="1" manualBreakCount="1">
    <brk id="10" max="3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zoomScaleNormal="100" zoomScaleSheetLayoutView="75" workbookViewId="0">
      <selection activeCell="F8" sqref="F8"/>
    </sheetView>
  </sheetViews>
  <sheetFormatPr defaultRowHeight="15"/>
  <cols>
    <col min="1" max="1" width="4" style="17" customWidth="1"/>
    <col min="2" max="2" width="21" style="17" customWidth="1"/>
    <col min="3" max="3" width="13.42578125" style="18" customWidth="1"/>
    <col min="4" max="4" width="12.42578125" style="18" customWidth="1"/>
    <col min="5" max="5" width="11" style="17" customWidth="1"/>
    <col min="6" max="6" width="19.5703125" style="17" customWidth="1"/>
    <col min="7" max="7" width="15.42578125" style="17" customWidth="1"/>
    <col min="8" max="8" width="16.5703125" style="17" customWidth="1"/>
    <col min="9" max="9" width="17.5703125" style="17" customWidth="1"/>
    <col min="10" max="10" width="17.5703125" style="55" customWidth="1"/>
    <col min="11" max="11" width="18.140625" style="17" customWidth="1"/>
    <col min="12" max="16384" width="9.140625" style="17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2" t="s">
        <v>128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0" ht="15.75">
      <c r="A3" s="19"/>
      <c r="B3" s="17" t="s">
        <v>7</v>
      </c>
      <c r="C3" s="19"/>
      <c r="D3" s="19"/>
      <c r="E3" s="19"/>
      <c r="F3" s="19"/>
      <c r="G3" s="19"/>
      <c r="H3" s="19"/>
      <c r="I3" s="19"/>
      <c r="J3" s="19"/>
    </row>
    <row r="4" spans="1:10" ht="15.75">
      <c r="A4" s="19"/>
      <c r="B4" s="17" t="s">
        <v>129</v>
      </c>
      <c r="C4" s="19"/>
      <c r="D4" s="19"/>
      <c r="E4" s="19"/>
      <c r="F4" s="19"/>
      <c r="G4" s="19"/>
      <c r="H4" s="19"/>
      <c r="I4" s="19"/>
      <c r="J4" s="19"/>
    </row>
    <row r="5" spans="1:10" ht="15.75">
      <c r="A5" s="19"/>
      <c r="B5" s="17" t="s">
        <v>110</v>
      </c>
      <c r="C5" s="19"/>
      <c r="D5" s="19"/>
      <c r="E5" s="19"/>
      <c r="F5" s="40"/>
      <c r="G5" s="19"/>
      <c r="H5" s="19"/>
      <c r="I5" s="19"/>
      <c r="J5" s="19"/>
    </row>
    <row r="6" spans="1:10" ht="15.75">
      <c r="A6" s="19"/>
      <c r="G6" s="19"/>
      <c r="H6" s="19"/>
      <c r="I6" s="19"/>
      <c r="J6" s="19"/>
    </row>
    <row r="7" spans="1:10" ht="15.75">
      <c r="A7" s="41"/>
      <c r="B7" s="42" t="s">
        <v>0</v>
      </c>
      <c r="C7" s="42" t="s">
        <v>1</v>
      </c>
      <c r="D7" s="35" t="s">
        <v>195</v>
      </c>
      <c r="E7" s="42" t="s">
        <v>77</v>
      </c>
      <c r="F7" s="35" t="s">
        <v>200</v>
      </c>
      <c r="G7" s="35" t="s">
        <v>201</v>
      </c>
      <c r="H7" s="35" t="s">
        <v>202</v>
      </c>
      <c r="I7" s="36" t="s">
        <v>203</v>
      </c>
      <c r="J7" s="35" t="s">
        <v>204</v>
      </c>
    </row>
    <row r="8" spans="1:10">
      <c r="A8" s="43">
        <v>1</v>
      </c>
      <c r="B8" s="43" t="s">
        <v>130</v>
      </c>
      <c r="C8" s="44">
        <v>334507540</v>
      </c>
      <c r="D8" s="44" t="s">
        <v>112</v>
      </c>
      <c r="E8" s="44">
        <v>93407</v>
      </c>
      <c r="F8" s="7"/>
      <c r="G8" s="7"/>
      <c r="H8" s="7"/>
      <c r="I8" s="7"/>
      <c r="J8" s="8"/>
    </row>
    <row r="9" spans="1:10">
      <c r="A9" s="43">
        <v>2</v>
      </c>
      <c r="B9" s="43" t="s">
        <v>3</v>
      </c>
      <c r="C9" s="44">
        <v>381094331</v>
      </c>
      <c r="D9" s="44">
        <v>1952</v>
      </c>
      <c r="E9" s="44">
        <v>93035</v>
      </c>
      <c r="F9" s="7"/>
      <c r="G9" s="7"/>
      <c r="H9" s="7"/>
      <c r="I9" s="7"/>
      <c r="J9" s="8"/>
    </row>
    <row r="10" spans="1:10">
      <c r="A10" s="43">
        <v>3</v>
      </c>
      <c r="B10" s="43" t="s">
        <v>3</v>
      </c>
      <c r="C10" s="44">
        <v>343045477</v>
      </c>
      <c r="D10" s="44">
        <v>2180</v>
      </c>
      <c r="E10" s="44">
        <v>76052</v>
      </c>
      <c r="F10" s="7"/>
      <c r="G10" s="7"/>
      <c r="H10" s="7"/>
      <c r="I10" s="7"/>
      <c r="J10" s="8"/>
    </row>
    <row r="11" spans="1:10">
      <c r="A11" s="43">
        <v>4</v>
      </c>
      <c r="B11" s="43" t="s">
        <v>131</v>
      </c>
      <c r="C11" s="44">
        <v>363074448</v>
      </c>
      <c r="D11" s="44">
        <v>3456</v>
      </c>
      <c r="E11" s="44">
        <v>76511</v>
      </c>
      <c r="F11" s="7"/>
      <c r="G11" s="7"/>
      <c r="H11" s="7"/>
      <c r="I11" s="7"/>
      <c r="J11" s="8"/>
    </row>
    <row r="12" spans="1:10">
      <c r="A12" s="43">
        <v>5</v>
      </c>
      <c r="B12" s="43" t="s">
        <v>131</v>
      </c>
      <c r="C12" s="44">
        <v>302129978</v>
      </c>
      <c r="D12" s="44">
        <v>2181</v>
      </c>
      <c r="E12" s="44">
        <v>90235</v>
      </c>
      <c r="F12" s="7"/>
      <c r="G12" s="7"/>
      <c r="H12" s="7"/>
      <c r="I12" s="7"/>
      <c r="J12" s="8"/>
    </row>
    <row r="13" spans="1:10">
      <c r="A13" s="43">
        <v>6</v>
      </c>
      <c r="B13" s="43" t="s">
        <v>131</v>
      </c>
      <c r="C13" s="44">
        <v>372184412</v>
      </c>
      <c r="D13" s="44">
        <v>2187</v>
      </c>
      <c r="E13" s="44"/>
      <c r="F13" s="7"/>
      <c r="G13" s="7"/>
      <c r="H13" s="7"/>
      <c r="I13" s="7"/>
      <c r="J13" s="8"/>
    </row>
    <row r="14" spans="1:10" s="45" customFormat="1">
      <c r="A14" s="43">
        <v>7</v>
      </c>
      <c r="B14" s="43" t="s">
        <v>2</v>
      </c>
      <c r="C14" s="44">
        <v>351032</v>
      </c>
      <c r="D14" s="44">
        <v>2097</v>
      </c>
      <c r="E14" s="44">
        <v>76256</v>
      </c>
      <c r="F14" s="7"/>
      <c r="G14" s="7"/>
      <c r="H14" s="7"/>
      <c r="I14" s="7"/>
      <c r="J14" s="8"/>
    </row>
    <row r="15" spans="1:10" s="45" customFormat="1">
      <c r="A15" s="43">
        <v>8</v>
      </c>
      <c r="B15" s="43" t="s">
        <v>4</v>
      </c>
      <c r="C15" s="44">
        <v>153508</v>
      </c>
      <c r="D15" s="44">
        <v>2096</v>
      </c>
      <c r="E15" s="44">
        <v>76002</v>
      </c>
      <c r="F15" s="7"/>
      <c r="G15" s="7"/>
      <c r="H15" s="7"/>
      <c r="I15" s="7"/>
      <c r="J15" s="8"/>
    </row>
    <row r="16" spans="1:10" s="45" customFormat="1">
      <c r="A16" s="43">
        <v>9</v>
      </c>
      <c r="B16" s="43" t="s">
        <v>4</v>
      </c>
      <c r="C16" s="44">
        <v>153507</v>
      </c>
      <c r="D16" s="44">
        <v>2155</v>
      </c>
      <c r="E16" s="44">
        <v>76005</v>
      </c>
      <c r="F16" s="7"/>
      <c r="G16" s="7"/>
      <c r="H16" s="7"/>
      <c r="I16" s="7"/>
      <c r="J16" s="8"/>
    </row>
    <row r="17" spans="1:10" s="45" customFormat="1">
      <c r="A17" s="43">
        <v>10</v>
      </c>
      <c r="B17" s="43" t="s">
        <v>4</v>
      </c>
      <c r="C17" s="44">
        <v>153506</v>
      </c>
      <c r="D17" s="44">
        <v>2102</v>
      </c>
      <c r="E17" s="44">
        <v>76003</v>
      </c>
      <c r="F17" s="7"/>
      <c r="G17" s="7"/>
      <c r="H17" s="7"/>
      <c r="I17" s="7"/>
      <c r="J17" s="8"/>
    </row>
    <row r="18" spans="1:10" s="45" customFormat="1">
      <c r="A18" s="43">
        <v>11</v>
      </c>
      <c r="B18" s="43" t="s">
        <v>2</v>
      </c>
      <c r="C18" s="44">
        <v>410690</v>
      </c>
      <c r="D18" s="44">
        <v>2101</v>
      </c>
      <c r="E18" s="44">
        <v>76217</v>
      </c>
      <c r="F18" s="7"/>
      <c r="G18" s="7"/>
      <c r="H18" s="7"/>
      <c r="I18" s="7"/>
      <c r="J18" s="8"/>
    </row>
    <row r="19" spans="1:10" s="45" customFormat="1">
      <c r="A19" s="43">
        <v>12</v>
      </c>
      <c r="B19" s="43" t="s">
        <v>4</v>
      </c>
      <c r="C19" s="44">
        <v>153505</v>
      </c>
      <c r="D19" s="44">
        <v>2154</v>
      </c>
      <c r="E19" s="44">
        <v>76004</v>
      </c>
      <c r="F19" s="7"/>
      <c r="G19" s="7"/>
      <c r="H19" s="7"/>
      <c r="I19" s="7"/>
      <c r="J19" s="8"/>
    </row>
    <row r="20" spans="1:10" s="45" customFormat="1">
      <c r="A20" s="43">
        <v>13</v>
      </c>
      <c r="B20" s="43" t="s">
        <v>4</v>
      </c>
      <c r="C20" s="44">
        <v>163670</v>
      </c>
      <c r="D20" s="44">
        <v>2184</v>
      </c>
      <c r="E20" s="44">
        <v>77335</v>
      </c>
      <c r="F20" s="7"/>
      <c r="G20" s="7"/>
      <c r="H20" s="7"/>
      <c r="I20" s="7"/>
      <c r="J20" s="8"/>
    </row>
    <row r="21" spans="1:10" s="45" customFormat="1">
      <c r="A21" s="43">
        <v>14</v>
      </c>
      <c r="B21" s="43" t="s">
        <v>2</v>
      </c>
      <c r="C21" s="44">
        <v>437012</v>
      </c>
      <c r="D21" s="44">
        <v>2157</v>
      </c>
      <c r="E21" s="44">
        <v>90312</v>
      </c>
      <c r="F21" s="7"/>
      <c r="G21" s="7"/>
      <c r="H21" s="7"/>
      <c r="I21" s="7"/>
      <c r="J21" s="8"/>
    </row>
    <row r="22" spans="1:10" s="45" customFormat="1">
      <c r="A22" s="43">
        <v>15</v>
      </c>
      <c r="B22" s="43" t="s">
        <v>2</v>
      </c>
      <c r="C22" s="44">
        <v>437013</v>
      </c>
      <c r="D22" s="44" t="s">
        <v>112</v>
      </c>
      <c r="E22" s="44" t="s">
        <v>132</v>
      </c>
      <c r="F22" s="7"/>
      <c r="G22" s="7"/>
      <c r="H22" s="7"/>
      <c r="I22" s="7"/>
      <c r="J22" s="8"/>
    </row>
    <row r="23" spans="1:10" s="45" customFormat="1">
      <c r="A23" s="43">
        <v>16</v>
      </c>
      <c r="B23" s="43" t="s">
        <v>133</v>
      </c>
      <c r="C23" s="44">
        <v>352057318</v>
      </c>
      <c r="D23" s="44">
        <v>2256</v>
      </c>
      <c r="E23" s="46" t="s">
        <v>134</v>
      </c>
      <c r="F23" s="7"/>
      <c r="G23" s="7"/>
      <c r="H23" s="7"/>
      <c r="I23" s="7"/>
      <c r="J23" s="8"/>
    </row>
    <row r="24" spans="1:10" s="45" customFormat="1">
      <c r="A24" s="43">
        <v>17</v>
      </c>
      <c r="B24" s="43" t="s">
        <v>3</v>
      </c>
      <c r="C24" s="44">
        <v>362069932</v>
      </c>
      <c r="D24" s="44">
        <v>2103</v>
      </c>
      <c r="E24" s="46" t="s">
        <v>135</v>
      </c>
      <c r="F24" s="7"/>
      <c r="G24" s="7"/>
      <c r="H24" s="7"/>
      <c r="I24" s="7"/>
      <c r="J24" s="8"/>
    </row>
    <row r="25" spans="1:10" s="45" customFormat="1">
      <c r="A25" s="43">
        <v>18</v>
      </c>
      <c r="B25" s="43" t="s">
        <v>6</v>
      </c>
      <c r="C25" s="47">
        <v>354062783</v>
      </c>
      <c r="D25" s="44">
        <v>2255</v>
      </c>
      <c r="E25" s="48" t="s">
        <v>136</v>
      </c>
      <c r="F25" s="7"/>
      <c r="G25" s="7"/>
      <c r="H25" s="7"/>
      <c r="I25" s="7"/>
      <c r="J25" s="8"/>
    </row>
    <row r="26" spans="1:10" s="45" customFormat="1">
      <c r="A26" s="43">
        <v>19</v>
      </c>
      <c r="B26" s="43" t="s">
        <v>137</v>
      </c>
      <c r="C26" s="44">
        <v>383109358</v>
      </c>
      <c r="D26" s="44">
        <v>2379</v>
      </c>
      <c r="E26" s="46" t="s">
        <v>132</v>
      </c>
      <c r="F26" s="7"/>
      <c r="G26" s="7"/>
      <c r="H26" s="7"/>
      <c r="I26" s="7"/>
      <c r="J26" s="8"/>
    </row>
    <row r="27" spans="1:10" s="45" customFormat="1">
      <c r="A27" s="43">
        <v>20</v>
      </c>
      <c r="B27" s="43" t="s">
        <v>2</v>
      </c>
      <c r="C27" s="44">
        <v>437015</v>
      </c>
      <c r="D27" s="44">
        <v>2156</v>
      </c>
      <c r="E27" s="44">
        <v>107681</v>
      </c>
      <c r="F27" s="7"/>
      <c r="G27" s="7"/>
      <c r="H27" s="7"/>
      <c r="I27" s="7"/>
      <c r="J27" s="8"/>
    </row>
    <row r="28" spans="1:10" s="45" customFormat="1">
      <c r="A28" s="43">
        <v>21</v>
      </c>
      <c r="B28" s="43" t="s">
        <v>2</v>
      </c>
      <c r="C28" s="44">
        <v>483717</v>
      </c>
      <c r="D28" s="44">
        <v>2095</v>
      </c>
      <c r="E28" s="44">
        <v>90639</v>
      </c>
      <c r="F28" s="7"/>
      <c r="G28" s="7"/>
      <c r="H28" s="7"/>
      <c r="I28" s="7"/>
      <c r="J28" s="7"/>
    </row>
    <row r="29" spans="1:10" s="45" customFormat="1">
      <c r="A29" s="43">
        <v>22</v>
      </c>
      <c r="B29" s="43" t="s">
        <v>2</v>
      </c>
      <c r="C29" s="44">
        <v>483789</v>
      </c>
      <c r="D29" s="44">
        <v>2092</v>
      </c>
      <c r="E29" s="44">
        <v>90638</v>
      </c>
      <c r="F29" s="44"/>
      <c r="G29" s="44"/>
      <c r="H29" s="43"/>
      <c r="I29" s="44"/>
      <c r="J29" s="4"/>
    </row>
    <row r="30" spans="1:10" s="45" customFormat="1">
      <c r="A30" s="43">
        <v>23</v>
      </c>
      <c r="B30" s="43" t="s">
        <v>2</v>
      </c>
      <c r="C30" s="44">
        <v>483790</v>
      </c>
      <c r="D30" s="44">
        <v>2093</v>
      </c>
      <c r="E30" s="44">
        <v>90637</v>
      </c>
      <c r="F30" s="44"/>
      <c r="G30" s="44"/>
      <c r="H30" s="43"/>
      <c r="I30" s="44"/>
      <c r="J30" s="4"/>
    </row>
    <row r="31" spans="1:10" s="45" customFormat="1">
      <c r="A31" s="43">
        <v>24</v>
      </c>
      <c r="B31" s="43" t="s">
        <v>2</v>
      </c>
      <c r="C31" s="44">
        <v>483791</v>
      </c>
      <c r="D31" s="44">
        <v>2640</v>
      </c>
      <c r="E31" s="44">
        <v>90636</v>
      </c>
      <c r="F31" s="44"/>
      <c r="G31" s="44"/>
      <c r="H31" s="43"/>
      <c r="I31" s="44"/>
      <c r="J31" s="4"/>
    </row>
    <row r="32" spans="1:10" s="45" customFormat="1">
      <c r="A32" s="43">
        <v>25</v>
      </c>
      <c r="B32" s="43" t="s">
        <v>4</v>
      </c>
      <c r="C32" s="44">
        <v>163672</v>
      </c>
      <c r="D32" s="44">
        <v>2094</v>
      </c>
      <c r="E32" s="44">
        <v>77339</v>
      </c>
      <c r="F32" s="44"/>
      <c r="G32" s="44"/>
      <c r="H32" s="43"/>
      <c r="I32" s="44"/>
      <c r="J32" s="4"/>
    </row>
    <row r="33" spans="1:10" s="45" customFormat="1">
      <c r="A33" s="43">
        <v>26</v>
      </c>
      <c r="B33" s="43" t="s">
        <v>4</v>
      </c>
      <c r="C33" s="44">
        <v>194958</v>
      </c>
      <c r="D33" s="44">
        <v>2098</v>
      </c>
      <c r="E33" s="44">
        <v>194958</v>
      </c>
      <c r="F33" s="44"/>
      <c r="G33" s="44"/>
      <c r="H33" s="43"/>
      <c r="I33" s="44"/>
      <c r="J33" s="4"/>
    </row>
    <row r="34" spans="1:10" s="45" customFormat="1">
      <c r="A34" s="43">
        <v>27</v>
      </c>
      <c r="B34" s="43" t="s">
        <v>68</v>
      </c>
      <c r="C34" s="44">
        <v>525572</v>
      </c>
      <c r="D34" s="44">
        <v>2465</v>
      </c>
      <c r="E34" s="44">
        <v>20765</v>
      </c>
      <c r="F34" s="44"/>
      <c r="G34" s="44"/>
      <c r="H34" s="43"/>
      <c r="I34" s="44"/>
      <c r="J34" s="4"/>
    </row>
    <row r="35" spans="1:10" s="45" customFormat="1">
      <c r="A35" s="43">
        <v>28</v>
      </c>
      <c r="B35" s="43" t="s">
        <v>68</v>
      </c>
      <c r="C35" s="44">
        <v>525573</v>
      </c>
      <c r="D35" s="44">
        <v>2493</v>
      </c>
      <c r="E35" s="44">
        <v>20766</v>
      </c>
      <c r="F35" s="44"/>
      <c r="G35" s="44"/>
      <c r="H35" s="43"/>
      <c r="I35" s="44"/>
      <c r="J35" s="4"/>
    </row>
    <row r="36" spans="1:10" s="45" customFormat="1">
      <c r="A36" s="43">
        <v>29</v>
      </c>
      <c r="B36" s="43" t="s">
        <v>138</v>
      </c>
      <c r="C36" s="49">
        <v>558167</v>
      </c>
      <c r="D36" s="44">
        <v>3750</v>
      </c>
      <c r="E36" s="44" t="s">
        <v>132</v>
      </c>
      <c r="F36" s="44"/>
      <c r="G36" s="44"/>
      <c r="H36" s="43"/>
      <c r="I36" s="44"/>
      <c r="J36" s="4"/>
    </row>
    <row r="37" spans="1:10" s="45" customFormat="1">
      <c r="A37" s="43">
        <v>30</v>
      </c>
      <c r="B37" s="43" t="s">
        <v>138</v>
      </c>
      <c r="C37" s="49">
        <v>557536</v>
      </c>
      <c r="D37" s="44">
        <v>3749</v>
      </c>
      <c r="E37" s="44" t="s">
        <v>132</v>
      </c>
      <c r="F37" s="44"/>
      <c r="G37" s="44"/>
      <c r="H37" s="43"/>
      <c r="I37" s="44"/>
      <c r="J37" s="4"/>
    </row>
    <row r="38" spans="1:10" s="45" customFormat="1">
      <c r="A38" s="43">
        <v>31</v>
      </c>
      <c r="B38" s="43" t="s">
        <v>133</v>
      </c>
      <c r="C38" s="44">
        <v>342041780</v>
      </c>
      <c r="D38" s="44">
        <v>1989</v>
      </c>
      <c r="E38" s="46" t="s">
        <v>139</v>
      </c>
      <c r="F38" s="44"/>
      <c r="G38" s="44"/>
      <c r="H38" s="43"/>
      <c r="I38" s="44"/>
      <c r="J38" s="4"/>
    </row>
    <row r="39" spans="1:10" s="45" customFormat="1">
      <c r="A39" s="41">
        <v>32</v>
      </c>
      <c r="B39" s="43" t="s">
        <v>68</v>
      </c>
      <c r="C39" s="50" t="s">
        <v>64</v>
      </c>
      <c r="D39" s="50" t="s">
        <v>84</v>
      </c>
      <c r="E39" s="51">
        <v>92597</v>
      </c>
      <c r="F39" s="44"/>
      <c r="G39" s="50"/>
      <c r="H39" s="43"/>
      <c r="I39" s="50"/>
      <c r="J39" s="4"/>
    </row>
    <row r="40" spans="1:10" s="45" customFormat="1">
      <c r="A40" s="41">
        <v>33</v>
      </c>
      <c r="B40" s="43" t="s">
        <v>68</v>
      </c>
      <c r="C40" s="51">
        <v>507727</v>
      </c>
      <c r="D40" s="50" t="s">
        <v>93</v>
      </c>
      <c r="E40" s="51">
        <v>10458</v>
      </c>
      <c r="F40" s="44"/>
      <c r="G40" s="50"/>
      <c r="H40" s="43"/>
      <c r="I40" s="44"/>
      <c r="J40" s="4"/>
    </row>
    <row r="41" spans="1:10">
      <c r="A41" s="41">
        <v>34</v>
      </c>
      <c r="B41" s="52" t="s">
        <v>2</v>
      </c>
      <c r="C41" s="53">
        <v>351035</v>
      </c>
      <c r="D41" s="51">
        <v>2063</v>
      </c>
      <c r="E41" s="53">
        <v>76611</v>
      </c>
      <c r="F41" s="44"/>
      <c r="G41" s="51"/>
      <c r="H41" s="41"/>
      <c r="I41" s="44"/>
      <c r="J41" s="4"/>
    </row>
    <row r="42" spans="1:10">
      <c r="A42" s="41">
        <v>35</v>
      </c>
      <c r="B42" s="41" t="s">
        <v>34</v>
      </c>
      <c r="C42" s="51" t="s">
        <v>31</v>
      </c>
      <c r="D42" s="51">
        <v>3304</v>
      </c>
      <c r="E42" s="51">
        <v>10934</v>
      </c>
      <c r="F42" s="44"/>
      <c r="G42" s="51"/>
      <c r="H42" s="41"/>
      <c r="I42" s="51"/>
      <c r="J42" s="4"/>
    </row>
    <row r="43" spans="1:10">
      <c r="A43" s="41">
        <v>36</v>
      </c>
      <c r="B43" s="43" t="s">
        <v>198</v>
      </c>
      <c r="C43" s="51">
        <v>523881</v>
      </c>
      <c r="D43" s="44">
        <v>3854</v>
      </c>
      <c r="E43" s="51">
        <v>20696</v>
      </c>
      <c r="F43" s="51"/>
      <c r="G43" s="51"/>
      <c r="H43" s="41"/>
      <c r="I43" s="51"/>
      <c r="J43" s="4"/>
    </row>
    <row r="44" spans="1:10" ht="19.5" customHeight="1">
      <c r="A44" s="54"/>
      <c r="C44" s="2"/>
      <c r="D44" s="5" t="s">
        <v>207</v>
      </c>
      <c r="E44" s="2"/>
      <c r="F44" s="7">
        <f>SUM(F8:F43)</f>
        <v>0</v>
      </c>
      <c r="G44" s="7">
        <f t="shared" ref="G44:J44" si="0">SUM(G8:G43)</f>
        <v>0</v>
      </c>
      <c r="H44" s="7">
        <f t="shared" si="0"/>
        <v>0</v>
      </c>
      <c r="I44" s="7">
        <f t="shared" si="0"/>
        <v>0</v>
      </c>
      <c r="J44" s="7">
        <f t="shared" si="0"/>
        <v>0</v>
      </c>
    </row>
    <row r="45" spans="1:10">
      <c r="D45" s="109" t="s">
        <v>209</v>
      </c>
      <c r="F45" s="45"/>
    </row>
    <row r="46" spans="1:10">
      <c r="F46" s="45"/>
    </row>
    <row r="47" spans="1:10">
      <c r="F47" s="45"/>
    </row>
    <row r="48" spans="1:10">
      <c r="C48" s="17"/>
      <c r="D48" s="17"/>
      <c r="F48" s="45"/>
      <c r="J48" s="17"/>
    </row>
    <row r="49" spans="6:6">
      <c r="F49" s="45"/>
    </row>
    <row r="50" spans="6:6">
      <c r="F50" s="45"/>
    </row>
    <row r="51" spans="6:6">
      <c r="F51" s="45"/>
    </row>
    <row r="52" spans="6:6">
      <c r="F52" s="45"/>
    </row>
    <row r="53" spans="6:6">
      <c r="F53" s="45"/>
    </row>
    <row r="54" spans="6:6">
      <c r="F54" s="45"/>
    </row>
    <row r="55" spans="6:6">
      <c r="F55" s="45"/>
    </row>
    <row r="56" spans="6:6">
      <c r="F56" s="45"/>
    </row>
    <row r="57" spans="6:6">
      <c r="F57" s="45"/>
    </row>
    <row r="58" spans="6:6">
      <c r="F58" s="45"/>
    </row>
    <row r="59" spans="6:6">
      <c r="F59" s="45"/>
    </row>
    <row r="60" spans="6:6">
      <c r="F60" s="45"/>
    </row>
    <row r="61" spans="6:6">
      <c r="F61" s="45"/>
    </row>
    <row r="62" spans="6:6">
      <c r="F62" s="45"/>
    </row>
    <row r="63" spans="6:6">
      <c r="F63" s="45"/>
    </row>
    <row r="64" spans="6:6">
      <c r="F64" s="45"/>
    </row>
    <row r="65" spans="6:6">
      <c r="F65" s="45"/>
    </row>
    <row r="66" spans="6:6">
      <c r="F66" s="45"/>
    </row>
  </sheetData>
  <mergeCells count="2">
    <mergeCell ref="A1:J1"/>
    <mergeCell ref="A2:J2"/>
  </mergeCells>
  <printOptions horizontalCentered="1"/>
  <pageMargins left="0.5" right="0.5" top="0.85" bottom="0.6" header="0.5" footer="0.3"/>
  <pageSetup scale="86" orientation="landscape" horizontalDpi="1200" verticalDpi="1200" r:id="rId1"/>
  <headerFooter alignWithMargins="0">
    <oddHeader>&amp;LTime/Date Stamp EMA &amp; Service
IFB #YR3869-14</oddHeader>
    <oddFooter>&amp;LTime Stamps - Central &amp;C&amp;P&amp;R&amp;D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zoomScaleNormal="100" workbookViewId="0">
      <selection activeCell="F9" sqref="F9"/>
    </sheetView>
  </sheetViews>
  <sheetFormatPr defaultRowHeight="15"/>
  <cols>
    <col min="1" max="1" width="2.7109375" style="9" customWidth="1"/>
    <col min="2" max="2" width="21.5703125" style="9" customWidth="1"/>
    <col min="3" max="3" width="12.85546875" style="9" customWidth="1"/>
    <col min="4" max="4" width="12.42578125" style="9" customWidth="1"/>
    <col min="5" max="5" width="10.42578125" style="9" customWidth="1"/>
    <col min="6" max="6" width="21.85546875" style="9" customWidth="1"/>
    <col min="7" max="7" width="17" style="10" customWidth="1"/>
    <col min="8" max="8" width="15.85546875" style="10" customWidth="1"/>
    <col min="9" max="9" width="15.42578125" style="10" customWidth="1"/>
    <col min="10" max="10" width="16.140625" style="9" customWidth="1"/>
    <col min="11" max="11" width="16.85546875" style="9" customWidth="1"/>
    <col min="12" max="16384" width="9.140625" style="9"/>
  </cols>
  <sheetData>
    <row r="1" spans="1:11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>
      <c r="A2" s="113" t="s">
        <v>216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1">
      <c r="B3" s="56" t="s">
        <v>8</v>
      </c>
      <c r="C3" s="56"/>
      <c r="D3" s="56"/>
      <c r="E3" s="56"/>
      <c r="F3" s="56"/>
      <c r="J3" s="56"/>
    </row>
    <row r="4" spans="1:11" ht="15.75">
      <c r="A4" s="57"/>
      <c r="B4" s="56" t="s">
        <v>9</v>
      </c>
      <c r="C4" s="56"/>
      <c r="D4" s="56"/>
      <c r="E4" s="56"/>
      <c r="F4" s="56"/>
      <c r="J4" s="56"/>
    </row>
    <row r="5" spans="1:11" ht="15.75">
      <c r="A5" s="57"/>
      <c r="B5" s="56" t="s">
        <v>10</v>
      </c>
      <c r="C5" s="56"/>
      <c r="D5" s="56"/>
      <c r="E5" s="56"/>
      <c r="F5" s="56"/>
      <c r="J5" s="56"/>
    </row>
    <row r="6" spans="1:11" ht="15.75">
      <c r="A6" s="57"/>
      <c r="B6" s="56" t="s">
        <v>11</v>
      </c>
      <c r="C6" s="56"/>
      <c r="D6" s="56"/>
      <c r="E6" s="56"/>
      <c r="F6" s="56"/>
      <c r="J6" s="56"/>
    </row>
    <row r="7" spans="1:11">
      <c r="A7" s="114"/>
      <c r="B7" s="114"/>
      <c r="C7" s="114"/>
      <c r="D7" s="114"/>
      <c r="E7" s="114"/>
      <c r="F7" s="114"/>
      <c r="G7" s="114"/>
      <c r="H7" s="114"/>
      <c r="I7" s="114"/>
      <c r="J7" s="10"/>
    </row>
    <row r="8" spans="1:11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1">
      <c r="A9" s="58">
        <v>1</v>
      </c>
      <c r="B9" s="58" t="s">
        <v>2</v>
      </c>
      <c r="C9" s="60">
        <v>349039</v>
      </c>
      <c r="D9" s="60">
        <v>2034</v>
      </c>
      <c r="E9" s="60">
        <v>91466</v>
      </c>
      <c r="F9" s="58"/>
      <c r="G9" s="60"/>
      <c r="H9" s="60"/>
      <c r="I9" s="60"/>
      <c r="J9" s="4"/>
    </row>
    <row r="10" spans="1:11">
      <c r="A10" s="58">
        <v>2</v>
      </c>
      <c r="B10" s="58" t="s">
        <v>51</v>
      </c>
      <c r="C10" s="60" t="s">
        <v>12</v>
      </c>
      <c r="D10" s="60">
        <v>2035</v>
      </c>
      <c r="E10" s="60">
        <v>93244</v>
      </c>
      <c r="F10" s="58"/>
      <c r="G10" s="60"/>
      <c r="H10" s="60"/>
      <c r="I10" s="60"/>
      <c r="J10" s="4"/>
      <c r="K10" s="61"/>
    </row>
    <row r="11" spans="1:11">
      <c r="A11" s="58">
        <v>3</v>
      </c>
      <c r="B11" s="58" t="s">
        <v>51</v>
      </c>
      <c r="C11" s="60" t="s">
        <v>13</v>
      </c>
      <c r="D11" s="60">
        <v>2036</v>
      </c>
      <c r="E11" s="60">
        <v>93243</v>
      </c>
      <c r="F11" s="58"/>
      <c r="G11" s="60"/>
      <c r="H11" s="60"/>
      <c r="I11" s="60"/>
      <c r="J11" s="4"/>
      <c r="K11" s="61"/>
    </row>
    <row r="12" spans="1:11">
      <c r="A12" s="58">
        <v>4</v>
      </c>
      <c r="B12" s="58" t="s">
        <v>51</v>
      </c>
      <c r="C12" s="60" t="s">
        <v>14</v>
      </c>
      <c r="D12" s="60">
        <v>2050</v>
      </c>
      <c r="E12" s="60">
        <v>93245</v>
      </c>
      <c r="F12" s="58"/>
      <c r="G12" s="60"/>
      <c r="H12" s="60"/>
      <c r="I12" s="60"/>
      <c r="J12" s="4"/>
      <c r="K12" s="1"/>
    </row>
    <row r="13" spans="1:11">
      <c r="A13" s="58">
        <v>5</v>
      </c>
      <c r="B13" s="58" t="s">
        <v>4</v>
      </c>
      <c r="C13" s="60">
        <v>256305</v>
      </c>
      <c r="D13" s="60">
        <v>3621</v>
      </c>
      <c r="E13" s="60" t="s">
        <v>95</v>
      </c>
      <c r="F13" s="58"/>
      <c r="G13" s="60"/>
      <c r="H13" s="60"/>
      <c r="I13" s="60"/>
      <c r="J13" s="4"/>
    </row>
    <row r="14" spans="1:11" ht="19.5" customHeight="1">
      <c r="A14" s="62"/>
      <c r="C14" s="2"/>
      <c r="D14" s="5" t="s">
        <v>207</v>
      </c>
      <c r="E14" s="2"/>
      <c r="F14" s="7">
        <f>SUM(F9:F13)</f>
        <v>0</v>
      </c>
      <c r="G14" s="7">
        <f t="shared" ref="G14:J14" si="0">SUM(G9:G13)</f>
        <v>0</v>
      </c>
      <c r="H14" s="7">
        <f t="shared" si="0"/>
        <v>0</v>
      </c>
      <c r="I14" s="7">
        <f t="shared" si="0"/>
        <v>0</v>
      </c>
      <c r="J14" s="7">
        <f t="shared" si="0"/>
        <v>0</v>
      </c>
    </row>
    <row r="15" spans="1:11">
      <c r="A15" s="62"/>
      <c r="B15" s="62"/>
      <c r="C15" s="62"/>
      <c r="D15" s="109" t="s">
        <v>209</v>
      </c>
      <c r="E15" s="62"/>
      <c r="F15" s="62"/>
      <c r="G15" s="63"/>
      <c r="H15" s="63"/>
      <c r="I15" s="63"/>
      <c r="J15" s="16"/>
    </row>
  </sheetData>
  <mergeCells count="3">
    <mergeCell ref="A1:J1"/>
    <mergeCell ref="A2:J2"/>
    <mergeCell ref="A7:I7"/>
  </mergeCells>
  <pageMargins left="0.5" right="0.5" top="1" bottom="1" header="0.5" footer="0.5"/>
  <pageSetup scale="88" orientation="landscape" horizontalDpi="1200" verticalDpi="1200" r:id="rId1"/>
  <headerFooter alignWithMargins="0">
    <oddHeader>&amp;LTime/Date Stamp EMA &amp; Service
IFB #YR3869-14</oddHeader>
    <oddFooter>&amp;LTime Stamps - North Annex 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zoomScaleNormal="100" workbookViewId="0">
      <selection activeCell="F9" sqref="F9"/>
    </sheetView>
  </sheetViews>
  <sheetFormatPr defaultRowHeight="15"/>
  <cols>
    <col min="1" max="1" width="4.140625" style="9" customWidth="1"/>
    <col min="2" max="2" width="25.85546875" style="9" customWidth="1"/>
    <col min="3" max="3" width="15" style="10" customWidth="1"/>
    <col min="4" max="4" width="13.42578125" style="10" customWidth="1"/>
    <col min="5" max="5" width="10.42578125" style="10" customWidth="1"/>
    <col min="6" max="6" width="20.140625" style="10" customWidth="1"/>
    <col min="7" max="7" width="15.28515625" style="10" customWidth="1"/>
    <col min="8" max="8" width="15.140625" style="10" customWidth="1"/>
    <col min="9" max="9" width="15.7109375" style="65" customWidth="1"/>
    <col min="10" max="10" width="16.42578125" style="9" customWidth="1"/>
    <col min="11" max="11" width="18.28515625" style="9" customWidth="1"/>
    <col min="12" max="16384" width="9.140625" style="9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3" t="s">
        <v>15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ht="15.75">
      <c r="B3" s="56" t="s">
        <v>8</v>
      </c>
      <c r="C3" s="13"/>
      <c r="D3" s="13"/>
      <c r="E3" s="13"/>
      <c r="F3" s="13"/>
      <c r="G3" s="13"/>
      <c r="H3" s="13"/>
      <c r="I3" s="64"/>
    </row>
    <row r="4" spans="1:10" ht="15.75">
      <c r="A4" s="13"/>
      <c r="B4" s="56" t="s">
        <v>9</v>
      </c>
      <c r="C4" s="13"/>
      <c r="D4" s="13"/>
      <c r="E4" s="13"/>
      <c r="F4" s="13"/>
      <c r="G4" s="13"/>
      <c r="H4" s="13"/>
      <c r="I4" s="64"/>
      <c r="J4" s="10"/>
    </row>
    <row r="5" spans="1:10" ht="15.75">
      <c r="A5" s="13"/>
      <c r="B5" s="56" t="s">
        <v>16</v>
      </c>
      <c r="C5" s="13"/>
      <c r="D5" s="13"/>
      <c r="E5" s="13"/>
      <c r="F5" s="13"/>
      <c r="G5" s="13"/>
      <c r="H5" s="13"/>
      <c r="I5" s="64"/>
    </row>
    <row r="6" spans="1:10" ht="15.75">
      <c r="A6" s="13"/>
      <c r="B6" s="56" t="s">
        <v>11</v>
      </c>
      <c r="C6" s="13"/>
      <c r="D6" s="13"/>
      <c r="E6" s="13"/>
      <c r="F6" s="31"/>
      <c r="G6" s="13"/>
      <c r="H6" s="13"/>
      <c r="I6" s="64"/>
    </row>
    <row r="7" spans="1:10">
      <c r="A7" s="114"/>
      <c r="B7" s="114"/>
      <c r="C7" s="114"/>
      <c r="D7" s="114"/>
      <c r="E7" s="114"/>
      <c r="F7" s="114"/>
      <c r="G7" s="114"/>
      <c r="H7" s="114"/>
    </row>
    <row r="8" spans="1:10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0">
      <c r="A9" s="58">
        <v>1</v>
      </c>
      <c r="B9" s="58" t="s">
        <v>3</v>
      </c>
      <c r="C9" s="60">
        <v>343048095</v>
      </c>
      <c r="D9" s="3">
        <v>2258</v>
      </c>
      <c r="E9" s="60">
        <v>71548</v>
      </c>
      <c r="F9" s="7"/>
      <c r="G9" s="7"/>
      <c r="H9" s="7"/>
      <c r="I9" s="8"/>
      <c r="J9" s="12"/>
    </row>
    <row r="10" spans="1:10">
      <c r="A10" s="58">
        <v>2</v>
      </c>
      <c r="B10" s="58" t="s">
        <v>3</v>
      </c>
      <c r="C10" s="60">
        <v>321145909</v>
      </c>
      <c r="D10" s="60">
        <v>2260</v>
      </c>
      <c r="E10" s="60">
        <v>93184</v>
      </c>
      <c r="F10" s="7"/>
      <c r="G10" s="11"/>
      <c r="H10" s="11"/>
      <c r="I10" s="8"/>
      <c r="J10" s="12"/>
    </row>
    <row r="11" spans="1:10">
      <c r="A11" s="58">
        <v>3</v>
      </c>
      <c r="B11" s="58" t="s">
        <v>3</v>
      </c>
      <c r="C11" s="60">
        <v>302130086</v>
      </c>
      <c r="D11" s="60">
        <v>2259</v>
      </c>
      <c r="E11" s="60">
        <v>90191</v>
      </c>
      <c r="F11" s="7"/>
      <c r="G11" s="11"/>
      <c r="H11" s="11"/>
      <c r="I11" s="8"/>
      <c r="J11" s="12"/>
    </row>
    <row r="12" spans="1:10">
      <c r="A12" s="58">
        <v>4</v>
      </c>
      <c r="B12" s="58" t="s">
        <v>2</v>
      </c>
      <c r="C12" s="60">
        <v>302982</v>
      </c>
      <c r="D12" s="60">
        <v>2185</v>
      </c>
      <c r="E12" s="60">
        <v>76592</v>
      </c>
      <c r="F12" s="11"/>
      <c r="G12" s="11"/>
      <c r="H12" s="11"/>
      <c r="I12" s="8"/>
      <c r="J12" s="24"/>
    </row>
    <row r="13" spans="1:10">
      <c r="A13" s="58">
        <v>5</v>
      </c>
      <c r="B13" s="58" t="s">
        <v>2</v>
      </c>
      <c r="C13" s="60">
        <v>369458</v>
      </c>
      <c r="D13" s="60">
        <v>2239</v>
      </c>
      <c r="E13" s="60">
        <v>76609</v>
      </c>
      <c r="F13" s="11"/>
      <c r="G13" s="11"/>
      <c r="H13" s="11"/>
      <c r="I13" s="8"/>
      <c r="J13" s="24"/>
    </row>
    <row r="14" spans="1:10">
      <c r="A14" s="58">
        <v>6</v>
      </c>
      <c r="B14" s="58" t="s">
        <v>20</v>
      </c>
      <c r="C14" s="60" t="s">
        <v>21</v>
      </c>
      <c r="D14" s="60">
        <v>2232</v>
      </c>
      <c r="E14" s="60">
        <v>91226</v>
      </c>
      <c r="F14" s="11"/>
      <c r="G14" s="11"/>
      <c r="H14" s="11"/>
      <c r="I14" s="8"/>
      <c r="J14" s="24"/>
    </row>
    <row r="15" spans="1:10">
      <c r="A15" s="58">
        <v>7</v>
      </c>
      <c r="B15" s="58" t="s">
        <v>20</v>
      </c>
      <c r="C15" s="60" t="s">
        <v>22</v>
      </c>
      <c r="D15" s="60">
        <v>2241</v>
      </c>
      <c r="E15" s="60">
        <v>91219</v>
      </c>
      <c r="F15" s="11"/>
      <c r="G15" s="11"/>
      <c r="H15" s="11"/>
      <c r="I15" s="8"/>
      <c r="J15" s="24"/>
    </row>
    <row r="16" spans="1:10">
      <c r="A16" s="58">
        <v>8</v>
      </c>
      <c r="B16" s="58" t="s">
        <v>20</v>
      </c>
      <c r="C16" s="60" t="s">
        <v>23</v>
      </c>
      <c r="D16" s="60">
        <v>2190</v>
      </c>
      <c r="E16" s="60">
        <v>91220</v>
      </c>
      <c r="F16" s="11"/>
      <c r="G16" s="11"/>
      <c r="H16" s="11"/>
      <c r="I16" s="8"/>
      <c r="J16" s="24"/>
    </row>
    <row r="17" spans="1:10">
      <c r="A17" s="58">
        <v>9</v>
      </c>
      <c r="B17" s="58" t="s">
        <v>20</v>
      </c>
      <c r="C17" s="60" t="s">
        <v>24</v>
      </c>
      <c r="D17" s="60">
        <v>2234</v>
      </c>
      <c r="E17" s="60">
        <v>91227</v>
      </c>
      <c r="F17" s="11"/>
      <c r="G17" s="11"/>
      <c r="H17" s="11"/>
      <c r="I17" s="8"/>
      <c r="J17" s="24"/>
    </row>
    <row r="18" spans="1:10">
      <c r="A18" s="58">
        <v>10</v>
      </c>
      <c r="B18" s="58" t="s">
        <v>20</v>
      </c>
      <c r="C18" s="60" t="s">
        <v>25</v>
      </c>
      <c r="D18" s="3">
        <v>2378</v>
      </c>
      <c r="E18" s="60">
        <v>91216</v>
      </c>
      <c r="F18" s="11"/>
      <c r="G18" s="11"/>
      <c r="H18" s="11"/>
      <c r="I18" s="8"/>
      <c r="J18" s="24"/>
    </row>
    <row r="19" spans="1:10">
      <c r="A19" s="58">
        <v>11</v>
      </c>
      <c r="B19" s="58" t="s">
        <v>20</v>
      </c>
      <c r="C19" s="60" t="s">
        <v>27</v>
      </c>
      <c r="D19" s="60">
        <v>2163</v>
      </c>
      <c r="E19" s="60">
        <v>91222</v>
      </c>
      <c r="F19" s="11"/>
      <c r="G19" s="11"/>
      <c r="H19" s="11"/>
      <c r="I19" s="8"/>
      <c r="J19" s="24"/>
    </row>
    <row r="20" spans="1:10">
      <c r="A20" s="58">
        <v>12</v>
      </c>
      <c r="B20" s="58" t="s">
        <v>34</v>
      </c>
      <c r="C20" s="60" t="s">
        <v>32</v>
      </c>
      <c r="D20" s="60">
        <v>2272</v>
      </c>
      <c r="E20" s="60">
        <v>91909</v>
      </c>
      <c r="F20" s="11"/>
      <c r="G20" s="11"/>
      <c r="H20" s="11"/>
      <c r="I20" s="8"/>
      <c r="J20" s="12"/>
    </row>
    <row r="21" spans="1:10" ht="12" customHeight="1">
      <c r="A21" s="58">
        <v>13</v>
      </c>
      <c r="B21" s="58" t="s">
        <v>20</v>
      </c>
      <c r="C21" s="60" t="s">
        <v>33</v>
      </c>
      <c r="D21" s="60">
        <v>2164</v>
      </c>
      <c r="E21" s="60">
        <v>10255</v>
      </c>
      <c r="F21" s="11"/>
      <c r="G21" s="11"/>
      <c r="H21" s="11"/>
      <c r="I21" s="8"/>
      <c r="J21" s="12"/>
    </row>
    <row r="22" spans="1:10">
      <c r="A22" s="58">
        <v>14</v>
      </c>
      <c r="B22" s="58" t="s">
        <v>34</v>
      </c>
      <c r="C22" s="60" t="s">
        <v>36</v>
      </c>
      <c r="D22" s="3">
        <v>2401</v>
      </c>
      <c r="E22" s="60">
        <v>91215</v>
      </c>
      <c r="F22" s="11"/>
      <c r="G22" s="11"/>
      <c r="H22" s="11"/>
      <c r="I22" s="8"/>
      <c r="J22" s="12"/>
    </row>
    <row r="23" spans="1:10">
      <c r="A23" s="58">
        <v>15</v>
      </c>
      <c r="B23" s="58" t="s">
        <v>34</v>
      </c>
      <c r="C23" s="60" t="s">
        <v>38</v>
      </c>
      <c r="D23" s="60">
        <v>2269</v>
      </c>
      <c r="E23" s="60">
        <v>90493</v>
      </c>
      <c r="F23" s="11"/>
      <c r="G23" s="11"/>
      <c r="H23" s="11"/>
      <c r="I23" s="8"/>
      <c r="J23" s="12"/>
    </row>
    <row r="24" spans="1:10">
      <c r="A24" s="58">
        <v>16</v>
      </c>
      <c r="B24" s="58" t="s">
        <v>4</v>
      </c>
      <c r="C24" s="60">
        <v>157706</v>
      </c>
      <c r="D24" s="60">
        <v>2189</v>
      </c>
      <c r="E24" s="60">
        <v>76622</v>
      </c>
      <c r="F24" s="11"/>
      <c r="G24" s="11"/>
      <c r="H24" s="11"/>
      <c r="I24" s="8"/>
      <c r="J24" s="12"/>
    </row>
    <row r="25" spans="1:10">
      <c r="A25" s="58">
        <v>17</v>
      </c>
      <c r="B25" s="58" t="s">
        <v>2</v>
      </c>
      <c r="C25" s="60">
        <v>507996</v>
      </c>
      <c r="D25" s="60">
        <v>2233</v>
      </c>
      <c r="E25" s="60">
        <v>10518</v>
      </c>
      <c r="F25" s="11"/>
      <c r="G25" s="11"/>
      <c r="H25" s="11"/>
      <c r="I25" s="8"/>
      <c r="J25" s="12"/>
    </row>
    <row r="26" spans="1:10">
      <c r="A26" s="58">
        <v>18</v>
      </c>
      <c r="B26" s="33" t="s">
        <v>2</v>
      </c>
      <c r="C26" s="3">
        <v>508113</v>
      </c>
      <c r="D26" s="3">
        <v>2237</v>
      </c>
      <c r="E26" s="60">
        <v>10519</v>
      </c>
      <c r="F26" s="11"/>
      <c r="G26" s="11"/>
      <c r="H26" s="11"/>
      <c r="I26" s="8"/>
      <c r="J26" s="24"/>
    </row>
    <row r="27" spans="1:10">
      <c r="A27" s="58">
        <v>19</v>
      </c>
      <c r="B27" s="58" t="s">
        <v>2</v>
      </c>
      <c r="C27" s="60">
        <v>504927</v>
      </c>
      <c r="D27" s="60">
        <v>2151</v>
      </c>
      <c r="E27" s="60">
        <v>10448</v>
      </c>
      <c r="F27" s="11"/>
      <c r="G27" s="11"/>
      <c r="H27" s="11"/>
      <c r="I27" s="8"/>
      <c r="J27" s="12"/>
    </row>
    <row r="28" spans="1:10">
      <c r="A28" s="58">
        <v>20</v>
      </c>
      <c r="B28" s="58" t="s">
        <v>2</v>
      </c>
      <c r="C28" s="60">
        <v>507406</v>
      </c>
      <c r="D28" s="60">
        <v>2230</v>
      </c>
      <c r="E28" s="60">
        <v>10442</v>
      </c>
      <c r="F28" s="11"/>
      <c r="G28" s="11"/>
      <c r="H28" s="11"/>
      <c r="I28" s="8"/>
      <c r="J28" s="12"/>
    </row>
    <row r="29" spans="1:10">
      <c r="A29" s="58">
        <v>21</v>
      </c>
      <c r="B29" s="58" t="s">
        <v>2</v>
      </c>
      <c r="C29" s="60">
        <v>507407</v>
      </c>
      <c r="D29" s="60">
        <v>2158</v>
      </c>
      <c r="E29" s="60">
        <v>10441</v>
      </c>
      <c r="F29" s="11"/>
      <c r="G29" s="11"/>
      <c r="H29" s="11"/>
      <c r="I29" s="8"/>
      <c r="J29" s="12"/>
    </row>
    <row r="30" spans="1:10">
      <c r="A30" s="58">
        <v>22</v>
      </c>
      <c r="B30" s="58" t="s">
        <v>2</v>
      </c>
      <c r="C30" s="60">
        <v>507411</v>
      </c>
      <c r="D30" s="60">
        <v>2264</v>
      </c>
      <c r="E30" s="60">
        <v>10438</v>
      </c>
      <c r="F30" s="11"/>
      <c r="G30" s="11"/>
      <c r="H30" s="11"/>
      <c r="I30" s="8"/>
      <c r="J30" s="12"/>
    </row>
    <row r="31" spans="1:10">
      <c r="A31" s="58">
        <v>23</v>
      </c>
      <c r="B31" s="58" t="s">
        <v>2</v>
      </c>
      <c r="C31" s="60">
        <v>507412</v>
      </c>
      <c r="D31" s="60">
        <v>2992</v>
      </c>
      <c r="E31" s="60">
        <v>10440</v>
      </c>
      <c r="F31" s="11"/>
      <c r="G31" s="11"/>
      <c r="H31" s="11"/>
      <c r="I31" s="8"/>
      <c r="J31" s="12"/>
    </row>
    <row r="32" spans="1:10">
      <c r="A32" s="58">
        <v>24</v>
      </c>
      <c r="B32" s="58" t="s">
        <v>2</v>
      </c>
      <c r="C32" s="60">
        <v>507413</v>
      </c>
      <c r="D32" s="60">
        <v>2243</v>
      </c>
      <c r="E32" s="60">
        <v>10439</v>
      </c>
      <c r="F32" s="11"/>
      <c r="G32" s="11"/>
      <c r="H32" s="11"/>
      <c r="I32" s="8"/>
      <c r="J32" s="12"/>
    </row>
    <row r="33" spans="1:10">
      <c r="A33" s="58">
        <v>25</v>
      </c>
      <c r="B33" s="58" t="s">
        <v>2</v>
      </c>
      <c r="C33" s="60">
        <v>507416</v>
      </c>
      <c r="D33" s="60">
        <v>2231</v>
      </c>
      <c r="E33" s="60">
        <v>10447</v>
      </c>
      <c r="F33" s="11"/>
      <c r="G33" s="11"/>
      <c r="H33" s="11"/>
      <c r="I33" s="8"/>
      <c r="J33" s="12"/>
    </row>
    <row r="34" spans="1:10">
      <c r="A34" s="58">
        <v>26</v>
      </c>
      <c r="B34" s="58" t="s">
        <v>2</v>
      </c>
      <c r="C34" s="60">
        <v>509998</v>
      </c>
      <c r="D34" s="60">
        <v>2153</v>
      </c>
      <c r="E34" s="60"/>
      <c r="F34" s="11"/>
      <c r="G34" s="11"/>
      <c r="H34" s="11"/>
      <c r="I34" s="8"/>
      <c r="J34" s="12"/>
    </row>
    <row r="35" spans="1:10">
      <c r="A35" s="58">
        <v>27</v>
      </c>
      <c r="B35" s="58" t="s">
        <v>2</v>
      </c>
      <c r="C35" s="60">
        <v>509999</v>
      </c>
      <c r="D35" s="60">
        <v>2240</v>
      </c>
      <c r="E35" s="60"/>
      <c r="F35" s="11"/>
      <c r="G35" s="11"/>
      <c r="H35" s="11"/>
      <c r="I35" s="8"/>
      <c r="J35" s="12"/>
    </row>
    <row r="36" spans="1:10">
      <c r="A36" s="58">
        <v>28</v>
      </c>
      <c r="B36" s="58" t="s">
        <v>2</v>
      </c>
      <c r="C36" s="60">
        <v>510000</v>
      </c>
      <c r="D36" s="60">
        <v>2236</v>
      </c>
      <c r="E36" s="60"/>
      <c r="F36" s="11"/>
      <c r="G36" s="11"/>
      <c r="H36" s="11"/>
      <c r="I36" s="8"/>
      <c r="J36" s="24"/>
    </row>
    <row r="37" spans="1:10" s="6" customFormat="1">
      <c r="A37" s="58">
        <v>29</v>
      </c>
      <c r="B37" s="33" t="s">
        <v>4</v>
      </c>
      <c r="C37" s="3">
        <v>161147</v>
      </c>
      <c r="D37" s="3">
        <v>2165</v>
      </c>
      <c r="E37" s="3">
        <v>10653</v>
      </c>
      <c r="F37" s="7"/>
      <c r="G37" s="7"/>
      <c r="H37" s="7"/>
      <c r="I37" s="8"/>
      <c r="J37" s="24"/>
    </row>
    <row r="38" spans="1:10">
      <c r="A38" s="58">
        <v>30</v>
      </c>
      <c r="B38" s="58" t="s">
        <v>4</v>
      </c>
      <c r="C38" s="60">
        <v>162470</v>
      </c>
      <c r="D38" s="60">
        <v>2270</v>
      </c>
      <c r="E38" s="60">
        <v>10996</v>
      </c>
      <c r="F38" s="11"/>
      <c r="G38" s="11"/>
      <c r="H38" s="11"/>
      <c r="I38" s="8"/>
      <c r="J38" s="24"/>
    </row>
    <row r="39" spans="1:10">
      <c r="A39" s="58">
        <v>31</v>
      </c>
      <c r="B39" s="58" t="s">
        <v>20</v>
      </c>
      <c r="C39" s="60" t="s">
        <v>19</v>
      </c>
      <c r="D39" s="60">
        <v>2271</v>
      </c>
      <c r="E39" s="60">
        <v>77556</v>
      </c>
      <c r="F39" s="11"/>
      <c r="G39" s="11"/>
      <c r="H39" s="11"/>
      <c r="I39" s="8"/>
      <c r="J39" s="12"/>
    </row>
    <row r="40" spans="1:10">
      <c r="A40" s="58">
        <v>32</v>
      </c>
      <c r="B40" s="58" t="s">
        <v>20</v>
      </c>
      <c r="C40" s="60" t="s">
        <v>28</v>
      </c>
      <c r="D40" s="60">
        <v>2275</v>
      </c>
      <c r="E40" s="60">
        <v>91225</v>
      </c>
      <c r="F40" s="11"/>
      <c r="G40" s="11"/>
      <c r="H40" s="11"/>
      <c r="I40" s="8"/>
      <c r="J40" s="24"/>
    </row>
    <row r="41" spans="1:10">
      <c r="A41" s="58">
        <v>33</v>
      </c>
      <c r="B41" s="58" t="s">
        <v>20</v>
      </c>
      <c r="C41" s="60" t="s">
        <v>29</v>
      </c>
      <c r="D41" s="60">
        <v>2277</v>
      </c>
      <c r="E41" s="60">
        <v>91218</v>
      </c>
      <c r="F41" s="11"/>
      <c r="G41" s="11"/>
      <c r="H41" s="11"/>
      <c r="I41" s="8"/>
      <c r="J41" s="12"/>
    </row>
    <row r="42" spans="1:10">
      <c r="A42" s="58">
        <v>34</v>
      </c>
      <c r="B42" s="58" t="s">
        <v>20</v>
      </c>
      <c r="C42" s="60" t="s">
        <v>30</v>
      </c>
      <c r="D42" s="60">
        <v>2535</v>
      </c>
      <c r="E42" s="60">
        <v>10603</v>
      </c>
      <c r="F42" s="11"/>
      <c r="G42" s="11"/>
      <c r="H42" s="11"/>
      <c r="I42" s="8"/>
      <c r="J42" s="12"/>
    </row>
    <row r="43" spans="1:10">
      <c r="A43" s="58">
        <v>35</v>
      </c>
      <c r="B43" s="58" t="s">
        <v>2</v>
      </c>
      <c r="C43" s="60">
        <v>507414</v>
      </c>
      <c r="D43" s="60">
        <v>2276</v>
      </c>
      <c r="E43" s="60">
        <v>10445</v>
      </c>
      <c r="F43" s="11"/>
      <c r="G43" s="11"/>
      <c r="H43" s="11"/>
      <c r="I43" s="8"/>
      <c r="J43" s="12"/>
    </row>
    <row r="44" spans="1:10">
      <c r="A44" s="58">
        <v>36</v>
      </c>
      <c r="B44" s="58" t="s">
        <v>2</v>
      </c>
      <c r="C44" s="60">
        <v>507415</v>
      </c>
      <c r="D44" s="60">
        <v>2274</v>
      </c>
      <c r="E44" s="60">
        <v>10446</v>
      </c>
      <c r="F44" s="11"/>
      <c r="G44" s="11"/>
      <c r="H44" s="11"/>
      <c r="I44" s="8"/>
      <c r="J44" s="12"/>
    </row>
    <row r="45" spans="1:10">
      <c r="A45" s="58">
        <v>37</v>
      </c>
      <c r="B45" s="58" t="s">
        <v>2</v>
      </c>
      <c r="C45" s="66" t="s">
        <v>17</v>
      </c>
      <c r="D45" s="60">
        <v>2056</v>
      </c>
      <c r="E45" s="60">
        <v>91270</v>
      </c>
      <c r="F45" s="7"/>
      <c r="G45" s="11"/>
      <c r="H45" s="11"/>
      <c r="I45" s="8"/>
      <c r="J45" s="12"/>
    </row>
    <row r="46" spans="1:10">
      <c r="A46" s="58">
        <v>38</v>
      </c>
      <c r="B46" s="67" t="s">
        <v>2</v>
      </c>
      <c r="C46" s="68">
        <v>369457</v>
      </c>
      <c r="D46" s="60">
        <v>2054</v>
      </c>
      <c r="E46" s="68">
        <v>76384</v>
      </c>
      <c r="F46" s="7"/>
      <c r="G46" s="11"/>
      <c r="H46" s="11"/>
      <c r="I46" s="8"/>
      <c r="J46" s="69"/>
    </row>
    <row r="47" spans="1:10">
      <c r="A47" s="58">
        <v>39</v>
      </c>
      <c r="B47" s="58" t="s">
        <v>2</v>
      </c>
      <c r="C47" s="60">
        <v>507452</v>
      </c>
      <c r="D47" s="60">
        <v>2055</v>
      </c>
      <c r="E47" s="60"/>
      <c r="F47" s="7"/>
      <c r="G47" s="11"/>
      <c r="H47" s="11"/>
      <c r="I47" s="8"/>
      <c r="J47" s="12"/>
    </row>
    <row r="48" spans="1:10">
      <c r="A48" s="58">
        <v>40</v>
      </c>
      <c r="B48" s="67" t="s">
        <v>2</v>
      </c>
      <c r="C48" s="68">
        <v>507453</v>
      </c>
      <c r="D48" s="60">
        <v>2051</v>
      </c>
      <c r="E48" s="68"/>
      <c r="F48" s="7"/>
      <c r="G48" s="11"/>
      <c r="H48" s="11"/>
      <c r="I48" s="8"/>
      <c r="J48" s="69"/>
    </row>
    <row r="49" spans="1:15">
      <c r="A49" s="58">
        <v>41</v>
      </c>
      <c r="B49" s="67" t="s">
        <v>2</v>
      </c>
      <c r="C49" s="68">
        <v>507454</v>
      </c>
      <c r="D49" s="68">
        <v>2053</v>
      </c>
      <c r="E49" s="68">
        <v>10493</v>
      </c>
      <c r="F49" s="70"/>
      <c r="G49" s="71"/>
      <c r="H49" s="71"/>
      <c r="I49" s="8"/>
      <c r="J49" s="69"/>
    </row>
    <row r="50" spans="1:15">
      <c r="A50" s="58">
        <v>42</v>
      </c>
      <c r="B50" s="58" t="s">
        <v>34</v>
      </c>
      <c r="C50" s="60" t="s">
        <v>35</v>
      </c>
      <c r="D50" s="60">
        <v>2057</v>
      </c>
      <c r="E50" s="60">
        <v>91067</v>
      </c>
      <c r="F50" s="7"/>
      <c r="G50" s="11"/>
      <c r="H50" s="11"/>
      <c r="I50" s="8"/>
      <c r="J50" s="12"/>
    </row>
    <row r="51" spans="1:15">
      <c r="A51" s="58">
        <v>43</v>
      </c>
      <c r="B51" s="58" t="s">
        <v>4</v>
      </c>
      <c r="C51" s="60">
        <v>198639</v>
      </c>
      <c r="D51" s="60">
        <v>2536</v>
      </c>
      <c r="E51" s="60"/>
      <c r="F51" s="7"/>
      <c r="G51" s="11"/>
      <c r="H51" s="11"/>
      <c r="I51" s="8"/>
      <c r="J51" s="24"/>
    </row>
    <row r="52" spans="1:15">
      <c r="A52" s="58">
        <v>44</v>
      </c>
      <c r="B52" s="58" t="s">
        <v>2</v>
      </c>
      <c r="C52" s="60">
        <v>396874</v>
      </c>
      <c r="D52" s="60">
        <v>2152</v>
      </c>
      <c r="E52" s="60">
        <v>76411</v>
      </c>
      <c r="F52" s="7"/>
      <c r="G52" s="11"/>
      <c r="H52" s="11"/>
      <c r="I52" s="8"/>
      <c r="J52" s="12"/>
    </row>
    <row r="53" spans="1:15">
      <c r="A53" s="58">
        <v>45</v>
      </c>
      <c r="B53" s="33" t="s">
        <v>2</v>
      </c>
      <c r="C53" s="3">
        <v>507408</v>
      </c>
      <c r="D53" s="3">
        <v>3042</v>
      </c>
      <c r="E53" s="3">
        <v>10443</v>
      </c>
      <c r="F53" s="7"/>
      <c r="G53" s="7"/>
      <c r="H53" s="7"/>
      <c r="I53" s="8"/>
      <c r="J53" s="12"/>
      <c r="K53" s="6"/>
      <c r="L53" s="6"/>
      <c r="M53" s="6"/>
      <c r="N53" s="6"/>
      <c r="O53" s="6"/>
    </row>
    <row r="54" spans="1:15">
      <c r="A54" s="58">
        <v>46</v>
      </c>
      <c r="B54" s="33" t="s">
        <v>68</v>
      </c>
      <c r="C54" s="3">
        <v>491163</v>
      </c>
      <c r="D54" s="3">
        <v>2052</v>
      </c>
      <c r="E54" s="3">
        <v>2052</v>
      </c>
      <c r="F54" s="7"/>
      <c r="G54" s="7"/>
      <c r="H54" s="7"/>
      <c r="I54" s="8"/>
      <c r="J54" s="24"/>
      <c r="K54" s="6"/>
      <c r="L54" s="6"/>
      <c r="M54" s="6"/>
      <c r="N54" s="6"/>
      <c r="O54" s="6"/>
    </row>
    <row r="55" spans="1:15">
      <c r="A55" s="58">
        <v>47</v>
      </c>
      <c r="B55" s="33" t="s">
        <v>2</v>
      </c>
      <c r="C55" s="3">
        <v>376491</v>
      </c>
      <c r="D55" s="3">
        <v>2442</v>
      </c>
      <c r="E55" s="3">
        <v>76414</v>
      </c>
      <c r="F55" s="7"/>
      <c r="G55" s="7"/>
      <c r="H55" s="7"/>
      <c r="I55" s="8"/>
      <c r="J55" s="12"/>
      <c r="K55" s="6"/>
      <c r="L55" s="6"/>
      <c r="M55" s="6"/>
      <c r="N55" s="6"/>
      <c r="O55" s="6"/>
    </row>
    <row r="56" spans="1:15">
      <c r="A56" s="58">
        <v>48</v>
      </c>
      <c r="B56" s="33" t="s">
        <v>97</v>
      </c>
      <c r="C56" s="60">
        <v>177875</v>
      </c>
      <c r="D56" s="3">
        <v>3282</v>
      </c>
      <c r="E56" s="60">
        <v>10724</v>
      </c>
      <c r="F56" s="7"/>
      <c r="G56" s="11"/>
      <c r="H56" s="11"/>
      <c r="I56" s="8"/>
      <c r="J56" s="24"/>
    </row>
    <row r="57" spans="1:15">
      <c r="A57" s="58">
        <v>49</v>
      </c>
      <c r="B57" s="58" t="s">
        <v>2</v>
      </c>
      <c r="C57" s="60">
        <v>362083</v>
      </c>
      <c r="D57" s="60">
        <v>2186</v>
      </c>
      <c r="E57" s="60"/>
      <c r="F57" s="7"/>
      <c r="G57" s="11"/>
      <c r="H57" s="7"/>
      <c r="I57" s="8"/>
      <c r="J57" s="72"/>
    </row>
    <row r="58" spans="1:15" ht="18.75" customHeight="1">
      <c r="A58" s="58">
        <v>50</v>
      </c>
      <c r="B58" s="73" t="s">
        <v>206</v>
      </c>
      <c r="C58" s="60">
        <v>154735</v>
      </c>
      <c r="D58" s="60">
        <v>2191</v>
      </c>
      <c r="E58" s="60"/>
      <c r="F58" s="7"/>
      <c r="G58" s="11"/>
      <c r="H58" s="7"/>
      <c r="I58" s="8"/>
      <c r="J58" s="72"/>
      <c r="K58" s="74"/>
    </row>
    <row r="59" spans="1:15">
      <c r="A59" s="58">
        <v>51</v>
      </c>
      <c r="B59" s="33" t="s">
        <v>75</v>
      </c>
      <c r="C59" s="60">
        <v>165975</v>
      </c>
      <c r="D59" s="60">
        <v>2229</v>
      </c>
      <c r="E59" s="60"/>
      <c r="F59" s="7"/>
      <c r="G59" s="11"/>
      <c r="H59" s="11"/>
      <c r="I59" s="8"/>
      <c r="J59" s="24"/>
    </row>
    <row r="60" spans="1:15" ht="15" customHeight="1">
      <c r="A60" s="58">
        <v>52</v>
      </c>
      <c r="B60" s="33" t="s">
        <v>20</v>
      </c>
      <c r="C60" s="60" t="s">
        <v>106</v>
      </c>
      <c r="D60" s="60">
        <v>2555</v>
      </c>
      <c r="E60" s="60">
        <v>20541</v>
      </c>
      <c r="F60" s="7"/>
      <c r="G60" s="11"/>
      <c r="H60" s="11"/>
      <c r="I60" s="8"/>
      <c r="J60" s="24"/>
      <c r="K60" s="75"/>
    </row>
    <row r="61" spans="1:15" ht="15.75" customHeight="1">
      <c r="A61" s="58">
        <v>53</v>
      </c>
      <c r="B61" s="33" t="s">
        <v>181</v>
      </c>
      <c r="C61" s="60">
        <v>165976</v>
      </c>
      <c r="D61" s="60">
        <v>2273</v>
      </c>
      <c r="E61" s="60"/>
      <c r="F61" s="11"/>
      <c r="G61" s="11"/>
      <c r="H61" s="11"/>
      <c r="I61" s="8"/>
      <c r="J61" s="24"/>
    </row>
    <row r="62" spans="1:15" ht="19.5" customHeight="1">
      <c r="D62" s="5" t="s">
        <v>207</v>
      </c>
      <c r="F62" s="11">
        <f>SUM(F9:F61)</f>
        <v>0</v>
      </c>
      <c r="G62" s="11">
        <f t="shared" ref="G62:J62" si="0">SUM(G9:G61)</f>
        <v>0</v>
      </c>
      <c r="H62" s="11">
        <f t="shared" si="0"/>
        <v>0</v>
      </c>
      <c r="I62" s="11">
        <f t="shared" si="0"/>
        <v>0</v>
      </c>
      <c r="J62" s="11">
        <f t="shared" si="0"/>
        <v>0</v>
      </c>
    </row>
    <row r="63" spans="1:15">
      <c r="D63" s="109" t="s">
        <v>209</v>
      </c>
      <c r="J63" s="76"/>
    </row>
    <row r="64" spans="1:15">
      <c r="C64" s="9"/>
      <c r="D64" s="9"/>
      <c r="E64" s="9"/>
      <c r="F64" s="9"/>
      <c r="G64" s="9"/>
      <c r="H64" s="9"/>
      <c r="J64" s="76"/>
    </row>
    <row r="65" spans="3:9">
      <c r="C65" s="9"/>
      <c r="D65" s="9"/>
      <c r="E65" s="9"/>
      <c r="F65" s="9"/>
      <c r="G65" s="9"/>
      <c r="H65" s="9"/>
      <c r="I65" s="9"/>
    </row>
  </sheetData>
  <mergeCells count="3">
    <mergeCell ref="A1:J1"/>
    <mergeCell ref="A2:J2"/>
    <mergeCell ref="A7:H7"/>
  </mergeCells>
  <printOptions horizontalCentered="1"/>
  <pageMargins left="0.25" right="0.25" top="1" bottom="1" header="0.5" footer="0.5"/>
  <pageSetup scale="72" orientation="landscape" horizontalDpi="1200" verticalDpi="1200" r:id="rId1"/>
  <headerFooter alignWithMargins="0">
    <oddHeader>&amp;LTime/Date Stamp EMA &amp; Service
IFB #YR3869-14</oddHeader>
    <oddFooter>&amp;LTime Stamps - North &amp;C&amp;P&amp;R&amp;D</oddFooter>
  </headerFooter>
  <colBreaks count="1" manualBreakCount="1">
    <brk id="10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>
      <selection activeCell="F9" sqref="F9"/>
    </sheetView>
  </sheetViews>
  <sheetFormatPr defaultRowHeight="15"/>
  <cols>
    <col min="1" max="1" width="4.28515625" style="9" customWidth="1"/>
    <col min="2" max="2" width="33.5703125" style="9" customWidth="1"/>
    <col min="3" max="3" width="14.7109375" style="9" customWidth="1"/>
    <col min="4" max="4" width="13.140625" style="9" customWidth="1"/>
    <col min="5" max="5" width="11.85546875" style="9" customWidth="1"/>
    <col min="6" max="6" width="19.7109375" style="9" customWidth="1"/>
    <col min="7" max="7" width="15.85546875" style="9" customWidth="1"/>
    <col min="8" max="8" width="16.140625" style="9" customWidth="1"/>
    <col min="9" max="9" width="17.28515625" style="9" customWidth="1"/>
    <col min="10" max="10" width="17.140625" style="9" customWidth="1"/>
    <col min="11" max="16384" width="9.140625" style="9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3" t="s">
        <v>140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ht="15.75">
      <c r="A3" s="13"/>
      <c r="B3" s="56" t="s">
        <v>7</v>
      </c>
      <c r="C3" s="13"/>
      <c r="D3" s="13"/>
      <c r="E3" s="13"/>
      <c r="F3" s="13"/>
      <c r="G3" s="13"/>
      <c r="H3" s="13"/>
    </row>
    <row r="4" spans="1:10" ht="15.75">
      <c r="A4" s="13"/>
      <c r="B4" s="56" t="s">
        <v>141</v>
      </c>
      <c r="C4" s="13"/>
      <c r="D4" s="13"/>
      <c r="E4" s="13"/>
      <c r="F4" s="13"/>
      <c r="G4" s="13"/>
      <c r="H4" s="10"/>
    </row>
    <row r="5" spans="1:10" ht="15.75">
      <c r="A5" s="13"/>
      <c r="B5" s="56" t="s">
        <v>142</v>
      </c>
      <c r="C5" s="13"/>
      <c r="D5" s="13"/>
      <c r="E5" s="13"/>
      <c r="F5" s="13"/>
      <c r="G5" s="31"/>
      <c r="H5" s="31"/>
    </row>
    <row r="6" spans="1:10" ht="15.75">
      <c r="A6" s="13"/>
      <c r="B6" s="56" t="s">
        <v>110</v>
      </c>
      <c r="C6" s="13"/>
      <c r="D6" s="13"/>
      <c r="E6" s="13"/>
      <c r="F6" s="13"/>
      <c r="G6" s="13"/>
      <c r="H6" s="13"/>
    </row>
    <row r="7" spans="1:10">
      <c r="A7" s="114"/>
      <c r="B7" s="114"/>
      <c r="C7" s="114"/>
      <c r="D7" s="114"/>
      <c r="E7" s="114"/>
      <c r="F7" s="114"/>
      <c r="G7" s="114"/>
      <c r="H7" s="114"/>
    </row>
    <row r="8" spans="1:10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0">
      <c r="A9" s="33">
        <v>1</v>
      </c>
      <c r="B9" s="33" t="s">
        <v>143</v>
      </c>
      <c r="C9" s="3" t="s">
        <v>144</v>
      </c>
      <c r="D9" s="3">
        <v>2011</v>
      </c>
      <c r="E9" s="3">
        <v>91464</v>
      </c>
      <c r="F9" s="7"/>
      <c r="G9" s="7"/>
      <c r="H9" s="7"/>
      <c r="I9" s="8"/>
      <c r="J9" s="24"/>
    </row>
    <row r="10" spans="1:10">
      <c r="A10" s="33">
        <v>2</v>
      </c>
      <c r="B10" s="33" t="s">
        <v>4</v>
      </c>
      <c r="C10" s="3">
        <v>184620</v>
      </c>
      <c r="D10" s="3">
        <v>2013</v>
      </c>
      <c r="E10" s="3">
        <v>93154</v>
      </c>
      <c r="F10" s="7"/>
      <c r="G10" s="7"/>
      <c r="H10" s="7"/>
      <c r="I10" s="8"/>
      <c r="J10" s="24"/>
    </row>
    <row r="11" spans="1:10">
      <c r="A11" s="33">
        <v>3</v>
      </c>
      <c r="B11" s="33" t="s">
        <v>145</v>
      </c>
      <c r="C11" s="3">
        <v>154550</v>
      </c>
      <c r="D11" s="3">
        <v>2010</v>
      </c>
      <c r="E11" s="3">
        <v>76134</v>
      </c>
      <c r="F11" s="7"/>
      <c r="G11" s="7"/>
      <c r="H11" s="7"/>
      <c r="I11" s="8"/>
      <c r="J11" s="24"/>
    </row>
    <row r="12" spans="1:10">
      <c r="A12" s="33">
        <v>4</v>
      </c>
      <c r="B12" s="58" t="s">
        <v>4</v>
      </c>
      <c r="C12" s="60">
        <v>187762</v>
      </c>
      <c r="D12" s="3">
        <v>2014</v>
      </c>
      <c r="E12" s="60">
        <v>93340</v>
      </c>
      <c r="F12" s="7"/>
      <c r="G12" s="7"/>
      <c r="H12" s="7"/>
      <c r="I12" s="8"/>
      <c r="J12" s="12"/>
    </row>
    <row r="13" spans="1:10">
      <c r="A13" s="33">
        <v>5</v>
      </c>
      <c r="B13" s="33" t="s">
        <v>146</v>
      </c>
      <c r="C13" s="3" t="s">
        <v>147</v>
      </c>
      <c r="D13" s="32">
        <v>3220</v>
      </c>
      <c r="E13" s="60">
        <v>20230</v>
      </c>
      <c r="F13" s="7"/>
      <c r="G13" s="11"/>
      <c r="H13" s="11"/>
      <c r="I13" s="8"/>
      <c r="J13" s="12"/>
    </row>
    <row r="14" spans="1:10">
      <c r="A14" s="33">
        <v>6</v>
      </c>
      <c r="B14" s="33" t="s">
        <v>2</v>
      </c>
      <c r="C14" s="3">
        <v>523879</v>
      </c>
      <c r="D14" s="60">
        <v>3368</v>
      </c>
      <c r="E14" s="3">
        <v>20698</v>
      </c>
      <c r="F14" s="7"/>
      <c r="G14" s="11"/>
      <c r="H14" s="11"/>
      <c r="I14" s="8"/>
      <c r="J14" s="24"/>
    </row>
    <row r="15" spans="1:10">
      <c r="A15" s="33">
        <v>7</v>
      </c>
      <c r="B15" s="33" t="s">
        <v>49</v>
      </c>
      <c r="C15" s="60" t="s">
        <v>148</v>
      </c>
      <c r="D15" s="60">
        <v>2462</v>
      </c>
      <c r="E15" s="60"/>
      <c r="F15" s="7"/>
      <c r="G15" s="11"/>
      <c r="H15" s="11"/>
      <c r="I15" s="8"/>
      <c r="J15" s="12"/>
    </row>
    <row r="16" spans="1:10">
      <c r="A16" s="33">
        <v>8</v>
      </c>
      <c r="B16" s="33" t="s">
        <v>49</v>
      </c>
      <c r="C16" s="60" t="s">
        <v>149</v>
      </c>
      <c r="D16" s="60">
        <v>2554</v>
      </c>
      <c r="E16" s="60">
        <v>20226</v>
      </c>
      <c r="F16" s="7"/>
      <c r="G16" s="11"/>
      <c r="H16" s="11"/>
      <c r="I16" s="8"/>
      <c r="J16" s="12"/>
    </row>
    <row r="17" spans="1:10">
      <c r="A17" s="33">
        <v>9</v>
      </c>
      <c r="B17" s="33" t="s">
        <v>150</v>
      </c>
      <c r="C17" s="3">
        <v>341186</v>
      </c>
      <c r="D17" s="60">
        <v>2479</v>
      </c>
      <c r="E17" s="3" t="s">
        <v>94</v>
      </c>
      <c r="F17" s="7"/>
      <c r="G17" s="11"/>
      <c r="H17" s="11"/>
      <c r="I17" s="8"/>
      <c r="J17" s="24"/>
    </row>
    <row r="18" spans="1:10">
      <c r="A18" s="33">
        <v>10</v>
      </c>
      <c r="B18" s="33" t="s">
        <v>196</v>
      </c>
      <c r="C18" s="3" t="s">
        <v>197</v>
      </c>
      <c r="D18" s="60" t="s">
        <v>115</v>
      </c>
      <c r="E18" s="3"/>
      <c r="F18" s="7"/>
      <c r="G18" s="11"/>
      <c r="H18" s="11"/>
      <c r="I18" s="8"/>
      <c r="J18" s="24"/>
    </row>
    <row r="19" spans="1:10">
      <c r="A19" s="33">
        <v>11</v>
      </c>
      <c r="B19" s="33" t="s">
        <v>143</v>
      </c>
      <c r="C19" s="3" t="s">
        <v>199</v>
      </c>
      <c r="D19" s="60">
        <v>2183</v>
      </c>
      <c r="E19" s="3">
        <v>93206</v>
      </c>
      <c r="F19" s="7"/>
      <c r="G19" s="11"/>
      <c r="H19" s="11"/>
      <c r="I19" s="8"/>
      <c r="J19" s="24"/>
    </row>
    <row r="20" spans="1:10" ht="23.25" customHeight="1">
      <c r="D20" s="5" t="s">
        <v>207</v>
      </c>
      <c r="F20" s="12">
        <f>SUM(F9:F19)</f>
        <v>0</v>
      </c>
      <c r="G20" s="12">
        <f t="shared" ref="G20:J20" si="0">SUM(G9:G19)</f>
        <v>0</v>
      </c>
      <c r="H20" s="12">
        <f t="shared" si="0"/>
        <v>0</v>
      </c>
      <c r="I20" s="12">
        <f t="shared" si="0"/>
        <v>0</v>
      </c>
      <c r="J20" s="12">
        <f t="shared" si="0"/>
        <v>0</v>
      </c>
    </row>
    <row r="21" spans="1:10">
      <c r="B21" s="1"/>
      <c r="D21" s="109" t="s">
        <v>209</v>
      </c>
      <c r="F21" s="14"/>
      <c r="G21" s="14"/>
      <c r="H21" s="14"/>
      <c r="I21" s="14"/>
      <c r="J21" s="14"/>
    </row>
  </sheetData>
  <mergeCells count="3">
    <mergeCell ref="A1:J1"/>
    <mergeCell ref="A2:J2"/>
    <mergeCell ref="A7:H7"/>
  </mergeCells>
  <printOptions horizontalCentered="1"/>
  <pageMargins left="0.5" right="0.5" top="1" bottom="1" header="0.5" footer="0.5"/>
  <pageSetup scale="73" orientation="landscape" horizontalDpi="4294967292" r:id="rId1"/>
  <headerFooter alignWithMargins="0">
    <oddHeader>&amp;LTime/Date Stamp EMA &amp; Service
IFB #YR3869-14</oddHeader>
    <oddFooter>&amp;LTime Stamps - Madge Bradley 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4" zoomScaleNormal="100" zoomScaleSheetLayoutView="75" workbookViewId="0">
      <selection activeCell="H25" sqref="H25"/>
    </sheetView>
  </sheetViews>
  <sheetFormatPr defaultRowHeight="15"/>
  <cols>
    <col min="1" max="1" width="4.28515625" style="9" customWidth="1"/>
    <col min="2" max="2" width="26.5703125" style="9" customWidth="1"/>
    <col min="3" max="3" width="12" style="10" customWidth="1"/>
    <col min="4" max="4" width="13.28515625" style="10" customWidth="1"/>
    <col min="5" max="5" width="11.28515625" style="10" customWidth="1"/>
    <col min="6" max="6" width="20" style="10" customWidth="1"/>
    <col min="7" max="8" width="15.42578125" style="10" customWidth="1"/>
    <col min="9" max="9" width="15.140625" style="55" customWidth="1"/>
    <col min="10" max="10" width="18.42578125" style="9" customWidth="1"/>
    <col min="11" max="11" width="10.140625" style="9" customWidth="1"/>
    <col min="12" max="16384" width="9.140625" style="9"/>
  </cols>
  <sheetData>
    <row r="1" spans="1:11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ht="15.75">
      <c r="A2" s="113" t="s">
        <v>39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1" ht="15.75">
      <c r="A3" s="13"/>
      <c r="B3" s="56" t="s">
        <v>7</v>
      </c>
      <c r="C3" s="13"/>
      <c r="D3" s="13"/>
      <c r="E3" s="13"/>
      <c r="F3" s="13"/>
      <c r="G3" s="13"/>
      <c r="H3" s="13"/>
    </row>
    <row r="4" spans="1:11" ht="15.75">
      <c r="A4" s="13"/>
      <c r="B4" s="56" t="s">
        <v>40</v>
      </c>
      <c r="C4" s="13"/>
      <c r="D4" s="13"/>
      <c r="E4" s="13"/>
      <c r="F4" s="13"/>
      <c r="G4" s="13"/>
      <c r="H4" s="13"/>
      <c r="J4" s="10"/>
    </row>
    <row r="5" spans="1:11" ht="15.75">
      <c r="A5" s="13"/>
      <c r="B5" s="56" t="s">
        <v>41</v>
      </c>
      <c r="C5" s="13"/>
      <c r="D5" s="13"/>
      <c r="E5" s="13"/>
      <c r="F5" s="13"/>
      <c r="G5" s="13"/>
      <c r="H5" s="13"/>
    </row>
    <row r="6" spans="1:11" ht="15.75">
      <c r="A6" s="13"/>
      <c r="B6" s="56" t="s">
        <v>42</v>
      </c>
      <c r="C6" s="13"/>
      <c r="D6" s="13"/>
      <c r="E6" s="13"/>
      <c r="F6" s="31"/>
      <c r="G6" s="13"/>
      <c r="H6" s="13"/>
    </row>
    <row r="7" spans="1:11">
      <c r="A7" s="114"/>
      <c r="B7" s="114"/>
      <c r="C7" s="114"/>
      <c r="D7" s="114"/>
      <c r="E7" s="114"/>
      <c r="F7" s="114"/>
      <c r="G7" s="114"/>
      <c r="H7" s="114"/>
    </row>
    <row r="8" spans="1:11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1">
      <c r="A9" s="33">
        <v>1</v>
      </c>
      <c r="B9" s="58" t="s">
        <v>50</v>
      </c>
      <c r="C9" s="60">
        <v>351169987</v>
      </c>
      <c r="D9" s="3">
        <v>2496</v>
      </c>
      <c r="E9" s="60">
        <v>10317</v>
      </c>
      <c r="F9" s="7"/>
      <c r="G9" s="7"/>
      <c r="H9" s="7"/>
      <c r="I9" s="8"/>
      <c r="J9" s="12"/>
    </row>
    <row r="10" spans="1:11">
      <c r="A10" s="33">
        <v>2</v>
      </c>
      <c r="B10" s="33" t="s">
        <v>4</v>
      </c>
      <c r="C10" s="3">
        <v>155317</v>
      </c>
      <c r="D10" s="3">
        <v>2061</v>
      </c>
      <c r="E10" s="3">
        <v>77290</v>
      </c>
      <c r="F10" s="7"/>
      <c r="G10" s="7"/>
      <c r="H10" s="7"/>
      <c r="I10" s="8"/>
      <c r="J10" s="24"/>
    </row>
    <row r="11" spans="1:11">
      <c r="A11" s="33">
        <v>3</v>
      </c>
      <c r="B11" s="33" t="s">
        <v>4</v>
      </c>
      <c r="C11" s="3">
        <v>161144</v>
      </c>
      <c r="D11" s="3">
        <v>2065</v>
      </c>
      <c r="E11" s="3">
        <v>10252</v>
      </c>
      <c r="F11" s="7"/>
      <c r="G11" s="7"/>
      <c r="H11" s="7"/>
      <c r="I11" s="8"/>
      <c r="J11" s="24"/>
    </row>
    <row r="12" spans="1:11">
      <c r="A12" s="33">
        <v>4</v>
      </c>
      <c r="B12" s="33" t="s">
        <v>4</v>
      </c>
      <c r="C12" s="3">
        <v>161148</v>
      </c>
      <c r="D12" s="3">
        <v>2062</v>
      </c>
      <c r="E12" s="3">
        <v>10027</v>
      </c>
      <c r="F12" s="7"/>
      <c r="G12" s="7"/>
      <c r="H12" s="7"/>
      <c r="I12" s="8"/>
      <c r="J12" s="24"/>
      <c r="K12" s="6"/>
    </row>
    <row r="13" spans="1:11" s="6" customFormat="1">
      <c r="A13" s="33">
        <v>5</v>
      </c>
      <c r="B13" s="33" t="s">
        <v>2</v>
      </c>
      <c r="C13" s="3">
        <v>242155</v>
      </c>
      <c r="D13" s="38" t="s">
        <v>78</v>
      </c>
      <c r="E13" s="38" t="s">
        <v>44</v>
      </c>
      <c r="F13" s="7"/>
      <c r="G13" s="7"/>
      <c r="H13" s="7"/>
      <c r="I13" s="8"/>
      <c r="J13" s="24"/>
    </row>
    <row r="14" spans="1:11">
      <c r="A14" s="33">
        <v>6</v>
      </c>
      <c r="B14" s="33" t="s">
        <v>4</v>
      </c>
      <c r="C14" s="3">
        <v>154916</v>
      </c>
      <c r="D14" s="38" t="s">
        <v>79</v>
      </c>
      <c r="E14" s="3">
        <v>10912</v>
      </c>
      <c r="F14" s="7"/>
      <c r="G14" s="7"/>
      <c r="H14" s="7"/>
      <c r="I14" s="8"/>
      <c r="J14" s="24"/>
      <c r="K14" s="6"/>
    </row>
    <row r="15" spans="1:11">
      <c r="A15" s="33">
        <v>7</v>
      </c>
      <c r="B15" s="33" t="s">
        <v>4</v>
      </c>
      <c r="C15" s="3">
        <v>154828</v>
      </c>
      <c r="D15" s="38" t="s">
        <v>80</v>
      </c>
      <c r="E15" s="3">
        <v>10779</v>
      </c>
      <c r="F15" s="7"/>
      <c r="G15" s="7"/>
      <c r="H15" s="7"/>
      <c r="I15" s="8"/>
      <c r="J15" s="24"/>
      <c r="K15" s="6"/>
    </row>
    <row r="16" spans="1:11">
      <c r="A16" s="33">
        <v>8</v>
      </c>
      <c r="B16" s="33" t="s">
        <v>2</v>
      </c>
      <c r="C16" s="3">
        <v>379542</v>
      </c>
      <c r="D16" s="38" t="s">
        <v>98</v>
      </c>
      <c r="E16" s="3">
        <v>93110</v>
      </c>
      <c r="F16" s="7"/>
      <c r="G16" s="7"/>
      <c r="H16" s="7"/>
      <c r="I16" s="8"/>
      <c r="J16" s="24"/>
      <c r="K16" s="6"/>
    </row>
    <row r="17" spans="1:11" s="6" customFormat="1">
      <c r="A17" s="33">
        <v>9</v>
      </c>
      <c r="B17" s="33" t="s">
        <v>4</v>
      </c>
      <c r="C17" s="38" t="s">
        <v>43</v>
      </c>
      <c r="D17" s="3">
        <v>2058</v>
      </c>
      <c r="E17" s="3">
        <v>77467</v>
      </c>
      <c r="F17" s="7"/>
      <c r="G17" s="7"/>
      <c r="H17" s="7"/>
      <c r="I17" s="8"/>
      <c r="J17" s="24"/>
    </row>
    <row r="18" spans="1:11">
      <c r="A18" s="33">
        <v>10</v>
      </c>
      <c r="B18" s="33" t="s">
        <v>2</v>
      </c>
      <c r="C18" s="3">
        <v>338597</v>
      </c>
      <c r="D18" s="3">
        <v>2066</v>
      </c>
      <c r="E18" s="3">
        <v>77465</v>
      </c>
      <c r="F18" s="7"/>
      <c r="G18" s="7"/>
      <c r="H18" s="7"/>
      <c r="I18" s="8"/>
      <c r="J18" s="24"/>
    </row>
    <row r="19" spans="1:11">
      <c r="A19" s="33">
        <v>11</v>
      </c>
      <c r="B19" s="33" t="s">
        <v>5</v>
      </c>
      <c r="C19" s="3" t="s">
        <v>45</v>
      </c>
      <c r="D19" s="3">
        <v>2048</v>
      </c>
      <c r="E19" s="3">
        <v>76603</v>
      </c>
      <c r="F19" s="7"/>
      <c r="G19" s="7"/>
      <c r="H19" s="7"/>
      <c r="I19" s="8"/>
      <c r="J19" s="24"/>
    </row>
    <row r="20" spans="1:11">
      <c r="A20" s="33">
        <v>12</v>
      </c>
      <c r="B20" s="33" t="s">
        <v>46</v>
      </c>
      <c r="C20" s="3" t="s">
        <v>47</v>
      </c>
      <c r="D20" s="3">
        <v>2049</v>
      </c>
      <c r="E20" s="38" t="s">
        <v>48</v>
      </c>
      <c r="F20" s="7"/>
      <c r="G20" s="7"/>
      <c r="H20" s="7"/>
      <c r="I20" s="8"/>
      <c r="J20" s="24"/>
    </row>
    <row r="21" spans="1:11" ht="15.75">
      <c r="A21" s="33">
        <v>13</v>
      </c>
      <c r="B21" s="33" t="s">
        <v>2</v>
      </c>
      <c r="C21" s="3">
        <v>468704</v>
      </c>
      <c r="D21" s="3">
        <v>3612</v>
      </c>
      <c r="E21" s="38"/>
      <c r="F21" s="7"/>
      <c r="G21" s="7"/>
      <c r="H21" s="7"/>
      <c r="I21" s="8"/>
      <c r="J21" s="24"/>
      <c r="K21" s="5"/>
    </row>
    <row r="22" spans="1:11" ht="15.75">
      <c r="A22" s="33">
        <v>14</v>
      </c>
      <c r="B22" s="33" t="s">
        <v>107</v>
      </c>
      <c r="C22" s="3">
        <v>154733</v>
      </c>
      <c r="D22" s="3">
        <v>3413</v>
      </c>
      <c r="E22" s="38"/>
      <c r="F22" s="77"/>
      <c r="G22" s="7"/>
      <c r="H22" s="7"/>
      <c r="I22" s="8"/>
      <c r="J22" s="24"/>
      <c r="K22" s="5"/>
    </row>
    <row r="23" spans="1:11">
      <c r="A23" s="33">
        <v>15</v>
      </c>
      <c r="B23" s="58" t="s">
        <v>96</v>
      </c>
      <c r="C23" s="60">
        <v>523450</v>
      </c>
      <c r="D23" s="60">
        <v>3241</v>
      </c>
      <c r="E23" s="60" t="s">
        <v>95</v>
      </c>
      <c r="F23" s="11"/>
      <c r="G23" s="11"/>
      <c r="H23" s="11"/>
      <c r="I23" s="8"/>
      <c r="J23" s="12"/>
      <c r="K23" s="6"/>
    </row>
    <row r="24" spans="1:11">
      <c r="A24" s="33">
        <v>16</v>
      </c>
      <c r="B24" s="58" t="s">
        <v>96</v>
      </c>
      <c r="C24" s="60">
        <v>523880</v>
      </c>
      <c r="D24" s="60">
        <v>2443</v>
      </c>
      <c r="E24" s="60" t="s">
        <v>95</v>
      </c>
      <c r="F24" s="11"/>
      <c r="G24" s="11"/>
      <c r="H24" s="11"/>
      <c r="I24" s="8"/>
      <c r="J24" s="12"/>
    </row>
    <row r="25" spans="1:11" ht="21" customHeight="1">
      <c r="D25" s="5" t="s">
        <v>207</v>
      </c>
      <c r="F25" s="11">
        <f>SUM(F14:F24)</f>
        <v>0</v>
      </c>
      <c r="G25" s="11">
        <f t="shared" ref="G25:J25" si="0">SUM(G14:G24)</f>
        <v>0</v>
      </c>
      <c r="H25" s="11">
        <f t="shared" si="0"/>
        <v>0</v>
      </c>
      <c r="I25" s="15">
        <f t="shared" si="0"/>
        <v>0</v>
      </c>
      <c r="J25" s="12">
        <f t="shared" si="0"/>
        <v>0</v>
      </c>
    </row>
    <row r="26" spans="1:11">
      <c r="D26" s="109" t="s">
        <v>209</v>
      </c>
    </row>
  </sheetData>
  <mergeCells count="3">
    <mergeCell ref="A1:J1"/>
    <mergeCell ref="A2:J2"/>
    <mergeCell ref="A7:H7"/>
  </mergeCells>
  <printOptions horizontalCentered="1"/>
  <pageMargins left="0.25" right="0.25" top="1" bottom="1" header="0.5" footer="0.5"/>
  <pageSetup scale="80" orientation="landscape" horizontalDpi="1200" verticalDpi="1200" r:id="rId1"/>
  <headerFooter alignWithMargins="0">
    <oddHeader>&amp;LTime/Date Stamp EMA &amp; Service
IFB #YR3869-14</oddHeader>
    <oddFooter>&amp;LTime Stamps - South 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selection activeCell="F9" sqref="F9"/>
    </sheetView>
  </sheetViews>
  <sheetFormatPr defaultRowHeight="15"/>
  <cols>
    <col min="1" max="1" width="2.7109375" style="9" customWidth="1"/>
    <col min="2" max="2" width="26.42578125" style="9" customWidth="1"/>
    <col min="3" max="3" width="13.28515625" style="9" customWidth="1"/>
    <col min="4" max="4" width="12.28515625" style="9" customWidth="1"/>
    <col min="5" max="5" width="12" style="9" customWidth="1"/>
    <col min="6" max="6" width="21.85546875" style="9" customWidth="1"/>
    <col min="7" max="7" width="16.28515625" style="9" customWidth="1"/>
    <col min="8" max="8" width="15.85546875" style="9" customWidth="1"/>
    <col min="9" max="9" width="15.5703125" style="9" customWidth="1"/>
    <col min="10" max="10" width="18.28515625" style="9" customWidth="1"/>
    <col min="11" max="11" width="15.42578125" style="9" customWidth="1"/>
    <col min="12" max="16384" width="9.140625" style="9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3" t="s">
        <v>151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ht="15.75">
      <c r="A3" s="13"/>
      <c r="B3" s="56" t="s">
        <v>7</v>
      </c>
      <c r="C3" s="13"/>
      <c r="D3" s="13"/>
      <c r="E3" s="13"/>
      <c r="F3" s="13"/>
      <c r="G3" s="13"/>
      <c r="H3" s="13"/>
    </row>
    <row r="4" spans="1:10" ht="15.75">
      <c r="A4" s="13"/>
      <c r="B4" s="56" t="s">
        <v>152</v>
      </c>
      <c r="C4" s="13"/>
      <c r="D4" s="13"/>
      <c r="E4" s="13"/>
      <c r="F4" s="13"/>
      <c r="G4" s="13"/>
      <c r="H4" s="10"/>
    </row>
    <row r="5" spans="1:10" ht="15.75">
      <c r="A5" s="13"/>
      <c r="B5" s="56" t="s">
        <v>153</v>
      </c>
      <c r="C5" s="13"/>
      <c r="D5" s="13"/>
      <c r="E5" s="13"/>
      <c r="F5" s="13"/>
      <c r="G5" s="13"/>
      <c r="H5" s="13"/>
    </row>
    <row r="6" spans="1:10" ht="15.75">
      <c r="A6" s="56"/>
      <c r="B6" s="56" t="s">
        <v>154</v>
      </c>
      <c r="C6" s="56"/>
      <c r="D6" s="56"/>
      <c r="E6" s="56"/>
      <c r="F6" s="31"/>
      <c r="G6" s="56"/>
      <c r="H6" s="56"/>
    </row>
    <row r="7" spans="1:10">
      <c r="A7" s="114"/>
      <c r="B7" s="114"/>
      <c r="C7" s="114"/>
      <c r="D7" s="114"/>
      <c r="E7" s="114"/>
      <c r="F7" s="114"/>
      <c r="G7" s="114"/>
      <c r="H7" s="114"/>
    </row>
    <row r="8" spans="1:10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0">
      <c r="A9" s="33">
        <v>1</v>
      </c>
      <c r="B9" s="33" t="s">
        <v>117</v>
      </c>
      <c r="C9" s="38" t="s">
        <v>155</v>
      </c>
      <c r="D9" s="3">
        <v>2250</v>
      </c>
      <c r="E9" s="3">
        <v>91643</v>
      </c>
      <c r="F9" s="7"/>
      <c r="G9" s="7"/>
      <c r="H9" s="7"/>
      <c r="I9" s="8"/>
      <c r="J9" s="24"/>
    </row>
    <row r="10" spans="1:10">
      <c r="A10" s="33">
        <v>2</v>
      </c>
      <c r="B10" s="33" t="s">
        <v>156</v>
      </c>
      <c r="C10" s="3">
        <v>338598</v>
      </c>
      <c r="D10" s="3">
        <v>2253</v>
      </c>
      <c r="E10" s="3">
        <v>10800</v>
      </c>
      <c r="F10" s="7"/>
      <c r="G10" s="7"/>
      <c r="H10" s="7"/>
      <c r="I10" s="8"/>
      <c r="J10" s="24"/>
    </row>
    <row r="11" spans="1:10">
      <c r="A11" s="33">
        <v>3</v>
      </c>
      <c r="B11" s="33" t="s">
        <v>117</v>
      </c>
      <c r="C11" s="60" t="s">
        <v>157</v>
      </c>
      <c r="D11" s="3">
        <v>2251</v>
      </c>
      <c r="E11" s="3">
        <v>92676</v>
      </c>
      <c r="F11" s="7"/>
      <c r="G11" s="7"/>
      <c r="H11" s="7"/>
      <c r="I11" s="8"/>
      <c r="J11" s="24"/>
    </row>
    <row r="12" spans="1:10">
      <c r="A12" s="33">
        <v>4</v>
      </c>
      <c r="B12" s="33" t="s">
        <v>156</v>
      </c>
      <c r="C12" s="60">
        <v>523878</v>
      </c>
      <c r="D12" s="3">
        <v>2551</v>
      </c>
      <c r="E12" s="3">
        <v>20699</v>
      </c>
      <c r="F12" s="7"/>
      <c r="G12" s="7"/>
      <c r="H12" s="7"/>
      <c r="I12" s="8"/>
      <c r="J12" s="24"/>
    </row>
    <row r="13" spans="1:10" ht="20.25" customHeight="1">
      <c r="D13" s="5" t="s">
        <v>207</v>
      </c>
      <c r="F13" s="12">
        <f>SUM(F9:F12)</f>
        <v>0</v>
      </c>
      <c r="G13" s="12">
        <f t="shared" ref="G13:J13" si="0">SUM(G9:G12)</f>
        <v>0</v>
      </c>
      <c r="H13" s="12">
        <f t="shared" si="0"/>
        <v>0</v>
      </c>
      <c r="I13" s="12">
        <f t="shared" si="0"/>
        <v>0</v>
      </c>
      <c r="J13" s="12">
        <f t="shared" si="0"/>
        <v>0</v>
      </c>
    </row>
    <row r="14" spans="1:10">
      <c r="D14" s="109" t="s">
        <v>209</v>
      </c>
      <c r="I14" s="16"/>
    </row>
  </sheetData>
  <mergeCells count="3">
    <mergeCell ref="A1:J1"/>
    <mergeCell ref="A2:J2"/>
    <mergeCell ref="A7:H7"/>
  </mergeCells>
  <printOptions horizontalCentered="1"/>
  <pageMargins left="0.75" right="0.75" top="1" bottom="1" header="0.5" footer="0.5"/>
  <pageSetup scale="76" orientation="landscape" horizontalDpi="1200" verticalDpi="1200" r:id="rId1"/>
  <headerFooter alignWithMargins="0">
    <oddHeader>&amp;LTime/Date Stamp EMA &amp; Service
IFB #YR3869-14</oddHeader>
    <oddFooter>&amp;LTime Stamps - Juvenile 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Normal="100" workbookViewId="0">
      <selection activeCell="F9" sqref="F9"/>
    </sheetView>
  </sheetViews>
  <sheetFormatPr defaultRowHeight="15"/>
  <cols>
    <col min="1" max="1" width="4" style="9" customWidth="1"/>
    <col min="2" max="2" width="17" style="9" customWidth="1"/>
    <col min="3" max="3" width="12.85546875" style="9" customWidth="1"/>
    <col min="4" max="4" width="13.140625" style="9" customWidth="1"/>
    <col min="5" max="5" width="10.85546875" style="9" bestFit="1" customWidth="1"/>
    <col min="6" max="6" width="19.85546875" style="9" customWidth="1"/>
    <col min="7" max="7" width="16" style="9" customWidth="1"/>
    <col min="8" max="8" width="16.42578125" style="9" customWidth="1"/>
    <col min="9" max="9" width="14.7109375" style="9" customWidth="1"/>
    <col min="10" max="10" width="17.85546875" style="9" customWidth="1"/>
    <col min="11" max="16384" width="9.140625" style="9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3" t="s">
        <v>158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ht="15.75">
      <c r="A3" s="13"/>
      <c r="B3" s="56" t="s">
        <v>7</v>
      </c>
      <c r="C3" s="13"/>
      <c r="D3" s="13"/>
      <c r="E3" s="13"/>
      <c r="F3" s="13"/>
      <c r="G3" s="13"/>
      <c r="H3" s="13"/>
      <c r="I3" s="13"/>
    </row>
    <row r="4" spans="1:10" ht="15.75">
      <c r="A4" s="13"/>
      <c r="B4" s="56" t="s">
        <v>159</v>
      </c>
      <c r="C4" s="13"/>
      <c r="D4" s="13"/>
      <c r="E4" s="13"/>
      <c r="F4" s="13"/>
      <c r="G4" s="13"/>
      <c r="H4" s="13"/>
      <c r="I4" s="13"/>
      <c r="J4" s="10"/>
    </row>
    <row r="5" spans="1:10" ht="15.75">
      <c r="A5" s="13"/>
      <c r="B5" s="56" t="s">
        <v>205</v>
      </c>
      <c r="C5" s="13"/>
      <c r="D5" s="13"/>
      <c r="E5" s="13"/>
      <c r="F5" s="13"/>
      <c r="G5" s="13"/>
      <c r="H5" s="13"/>
      <c r="I5" s="13"/>
    </row>
    <row r="6" spans="1:10" ht="15.75">
      <c r="A6" s="13"/>
      <c r="B6" s="56" t="s">
        <v>110</v>
      </c>
      <c r="C6" s="13"/>
      <c r="D6" s="13"/>
      <c r="E6" s="13"/>
      <c r="F6" s="31"/>
      <c r="G6" s="13"/>
      <c r="H6" s="13"/>
      <c r="I6" s="13"/>
    </row>
    <row r="7" spans="1:10">
      <c r="A7" s="114"/>
      <c r="B7" s="114"/>
      <c r="C7" s="114"/>
      <c r="D7" s="114"/>
      <c r="E7" s="114"/>
      <c r="F7" s="114"/>
      <c r="G7" s="114"/>
      <c r="H7" s="114"/>
      <c r="I7" s="10"/>
    </row>
    <row r="8" spans="1:10" ht="15.75">
      <c r="A8" s="58"/>
      <c r="B8" s="59" t="s">
        <v>0</v>
      </c>
      <c r="C8" s="59" t="s">
        <v>1</v>
      </c>
      <c r="D8" s="35" t="s">
        <v>195</v>
      </c>
      <c r="E8" s="59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0">
      <c r="A9" s="33">
        <v>1</v>
      </c>
      <c r="B9" s="33" t="s">
        <v>4</v>
      </c>
      <c r="C9" s="3">
        <v>160154</v>
      </c>
      <c r="D9" s="3">
        <v>2090</v>
      </c>
      <c r="E9" s="3">
        <v>10900</v>
      </c>
      <c r="F9" s="7"/>
      <c r="G9" s="7"/>
      <c r="H9" s="7"/>
      <c r="I9" s="8"/>
      <c r="J9" s="24"/>
    </row>
    <row r="10" spans="1:10">
      <c r="A10" s="33">
        <v>2</v>
      </c>
      <c r="B10" s="33" t="s">
        <v>4</v>
      </c>
      <c r="C10" s="3">
        <v>161146</v>
      </c>
      <c r="D10" s="3">
        <v>2106</v>
      </c>
      <c r="E10" s="3">
        <v>92620</v>
      </c>
      <c r="F10" s="7"/>
      <c r="G10" s="7"/>
      <c r="H10" s="7"/>
      <c r="I10" s="8"/>
      <c r="J10" s="24"/>
    </row>
    <row r="11" spans="1:10">
      <c r="A11" s="33">
        <v>3</v>
      </c>
      <c r="B11" s="33" t="s">
        <v>4</v>
      </c>
      <c r="C11" s="3">
        <v>160153</v>
      </c>
      <c r="D11" s="3">
        <v>2085</v>
      </c>
      <c r="E11" s="3">
        <v>76975</v>
      </c>
      <c r="F11" s="7"/>
      <c r="G11" s="7"/>
      <c r="H11" s="7"/>
      <c r="I11" s="8"/>
      <c r="J11" s="24"/>
    </row>
    <row r="12" spans="1:10">
      <c r="A12" s="33">
        <v>4</v>
      </c>
      <c r="B12" s="33" t="s">
        <v>4</v>
      </c>
      <c r="C12" s="3">
        <v>182617</v>
      </c>
      <c r="D12" s="3">
        <v>2086</v>
      </c>
      <c r="E12" s="3">
        <v>92587</v>
      </c>
      <c r="F12" s="7"/>
      <c r="G12" s="7"/>
      <c r="H12" s="7"/>
      <c r="I12" s="8"/>
      <c r="J12" s="24"/>
    </row>
    <row r="13" spans="1:10">
      <c r="A13" s="33">
        <v>5</v>
      </c>
      <c r="B13" s="33" t="s">
        <v>4</v>
      </c>
      <c r="C13" s="3">
        <v>182618</v>
      </c>
      <c r="D13" s="3">
        <v>2107</v>
      </c>
      <c r="E13" s="3">
        <v>10600</v>
      </c>
      <c r="F13" s="7"/>
      <c r="G13" s="7"/>
      <c r="H13" s="7"/>
      <c r="I13" s="8"/>
      <c r="J13" s="24"/>
    </row>
    <row r="14" spans="1:10">
      <c r="A14" s="33">
        <v>6</v>
      </c>
      <c r="B14" s="78" t="s">
        <v>4</v>
      </c>
      <c r="C14" s="3">
        <v>182616</v>
      </c>
      <c r="D14" s="3">
        <v>2108</v>
      </c>
      <c r="E14" s="3">
        <v>92589</v>
      </c>
      <c r="F14" s="7"/>
      <c r="G14" s="7"/>
      <c r="H14" s="7"/>
      <c r="I14" s="8"/>
      <c r="J14" s="24"/>
    </row>
    <row r="15" spans="1:10">
      <c r="A15" s="79">
        <v>7</v>
      </c>
      <c r="B15" s="33" t="s">
        <v>5</v>
      </c>
      <c r="C15" s="80" t="s">
        <v>160</v>
      </c>
      <c r="D15" s="80">
        <v>2104</v>
      </c>
      <c r="E15" s="80">
        <v>10388</v>
      </c>
      <c r="F15" s="70"/>
      <c r="G15" s="70"/>
      <c r="H15" s="70"/>
      <c r="I15" s="8"/>
      <c r="J15" s="81"/>
    </row>
    <row r="16" spans="1:10" s="62" customFormat="1">
      <c r="A16" s="33">
        <v>8</v>
      </c>
      <c r="B16" s="33" t="s">
        <v>5</v>
      </c>
      <c r="C16" s="3" t="s">
        <v>161</v>
      </c>
      <c r="D16" s="80">
        <v>2083</v>
      </c>
      <c r="E16" s="3">
        <v>10706</v>
      </c>
      <c r="F16" s="70"/>
      <c r="G16" s="70"/>
      <c r="H16" s="70"/>
      <c r="I16" s="8"/>
      <c r="J16" s="82"/>
    </row>
    <row r="17" spans="1:11" s="62" customFormat="1">
      <c r="A17" s="79">
        <v>9</v>
      </c>
      <c r="B17" s="33" t="s">
        <v>5</v>
      </c>
      <c r="C17" s="3" t="s">
        <v>162</v>
      </c>
      <c r="D17" s="3">
        <v>2105</v>
      </c>
      <c r="E17" s="3">
        <v>10705</v>
      </c>
      <c r="F17" s="7"/>
      <c r="G17" s="7"/>
      <c r="H17" s="7"/>
      <c r="I17" s="8"/>
      <c r="J17" s="82"/>
    </row>
    <row r="18" spans="1:11">
      <c r="A18" s="33">
        <v>10</v>
      </c>
      <c r="B18" s="33" t="s">
        <v>49</v>
      </c>
      <c r="C18" s="3" t="s">
        <v>163</v>
      </c>
      <c r="D18" s="60">
        <v>2533</v>
      </c>
      <c r="E18" s="3">
        <v>20227</v>
      </c>
      <c r="F18" s="11"/>
      <c r="G18" s="7"/>
      <c r="H18" s="7"/>
      <c r="I18" s="8"/>
      <c r="J18" s="83"/>
    </row>
    <row r="19" spans="1:11">
      <c r="A19" s="79">
        <v>11</v>
      </c>
      <c r="B19" s="33" t="s">
        <v>49</v>
      </c>
      <c r="C19" s="60" t="s">
        <v>164</v>
      </c>
      <c r="D19" s="60">
        <v>2705</v>
      </c>
      <c r="E19" s="60">
        <v>20229</v>
      </c>
      <c r="F19" s="11"/>
      <c r="G19" s="7"/>
      <c r="H19" s="7"/>
      <c r="I19" s="8"/>
      <c r="J19" s="84"/>
    </row>
    <row r="20" spans="1:11">
      <c r="A20" s="33">
        <v>12</v>
      </c>
      <c r="B20" s="33" t="s">
        <v>49</v>
      </c>
      <c r="C20" s="60" t="s">
        <v>165</v>
      </c>
      <c r="D20" s="60">
        <v>2514</v>
      </c>
      <c r="E20" s="60">
        <v>20225</v>
      </c>
      <c r="F20" s="11"/>
      <c r="G20" s="7"/>
      <c r="H20" s="7"/>
      <c r="I20" s="8"/>
      <c r="J20" s="84"/>
    </row>
    <row r="21" spans="1:11">
      <c r="A21" s="79">
        <v>13</v>
      </c>
      <c r="B21" s="33" t="s">
        <v>49</v>
      </c>
      <c r="C21" s="60" t="s">
        <v>166</v>
      </c>
      <c r="D21" s="60">
        <v>2532</v>
      </c>
      <c r="E21" s="60">
        <v>20233</v>
      </c>
      <c r="F21" s="11"/>
      <c r="G21" s="7"/>
      <c r="H21" s="7"/>
      <c r="I21" s="8"/>
      <c r="J21" s="84"/>
    </row>
    <row r="22" spans="1:11">
      <c r="A22" s="33">
        <v>14</v>
      </c>
      <c r="B22" s="33" t="s">
        <v>49</v>
      </c>
      <c r="C22" s="60" t="s">
        <v>167</v>
      </c>
      <c r="D22" s="60">
        <v>2534</v>
      </c>
      <c r="E22" s="60" t="s">
        <v>115</v>
      </c>
      <c r="F22" s="11"/>
      <c r="G22" s="7"/>
      <c r="H22" s="7"/>
      <c r="I22" s="8"/>
      <c r="J22" s="84"/>
    </row>
    <row r="23" spans="1:11">
      <c r="A23" s="79">
        <v>15</v>
      </c>
      <c r="B23" s="33" t="s">
        <v>49</v>
      </c>
      <c r="C23" s="60" t="s">
        <v>168</v>
      </c>
      <c r="D23" s="60">
        <v>2513</v>
      </c>
      <c r="E23" s="60">
        <v>20232</v>
      </c>
      <c r="F23" s="11"/>
      <c r="G23" s="7"/>
      <c r="H23" s="7"/>
      <c r="I23" s="8"/>
      <c r="J23" s="84"/>
    </row>
    <row r="24" spans="1:11">
      <c r="A24" s="33">
        <v>16</v>
      </c>
      <c r="B24" s="58" t="s">
        <v>169</v>
      </c>
      <c r="C24" s="60">
        <v>177133</v>
      </c>
      <c r="D24" s="60">
        <v>2968</v>
      </c>
      <c r="E24" s="60" t="s">
        <v>132</v>
      </c>
      <c r="F24" s="11"/>
      <c r="G24" s="7"/>
      <c r="H24" s="7"/>
      <c r="I24" s="8"/>
      <c r="J24" s="84"/>
      <c r="K24" s="85"/>
    </row>
    <row r="25" spans="1:11" ht="23.25" customHeight="1">
      <c r="D25" s="5" t="s">
        <v>207</v>
      </c>
      <c r="F25" s="12">
        <f>SUM(F21:F24)</f>
        <v>0</v>
      </c>
      <c r="G25" s="12">
        <f t="shared" ref="G25:J25" si="0">SUM(G21:G24)</f>
        <v>0</v>
      </c>
      <c r="H25" s="12">
        <f t="shared" si="0"/>
        <v>0</v>
      </c>
      <c r="I25" s="12">
        <f t="shared" si="0"/>
        <v>0</v>
      </c>
      <c r="J25" s="12">
        <f t="shared" si="0"/>
        <v>0</v>
      </c>
    </row>
    <row r="26" spans="1:11">
      <c r="A26" s="62"/>
      <c r="B26" s="62"/>
      <c r="C26" s="62"/>
      <c r="D26" s="109" t="s">
        <v>209</v>
      </c>
      <c r="E26" s="62"/>
      <c r="F26" s="62"/>
      <c r="G26" s="62"/>
      <c r="H26" s="62"/>
      <c r="I26" s="86"/>
      <c r="J26" s="62"/>
    </row>
    <row r="27" spans="1:11">
      <c r="B27" s="1"/>
      <c r="I27" s="16"/>
    </row>
  </sheetData>
  <mergeCells count="3">
    <mergeCell ref="A1:J1"/>
    <mergeCell ref="A2:J2"/>
    <mergeCell ref="A7:H7"/>
  </mergeCells>
  <printOptions horizontalCentered="1"/>
  <pageMargins left="0.5" right="0.25" top="1" bottom="1" header="0.5" footer="0.5"/>
  <pageSetup scale="79" orientation="landscape" horizontalDpi="1200" verticalDpi="1200" r:id="rId1"/>
  <headerFooter alignWithMargins="0">
    <oddHeader>&amp;LTime/Date Stamp EMA &amp; Service
IFB #YR3869-14</oddHeader>
    <oddFooter>&amp;LTime Stamps - Family 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Normal="100" workbookViewId="0">
      <selection activeCell="F9" sqref="F9"/>
    </sheetView>
  </sheetViews>
  <sheetFormatPr defaultRowHeight="15"/>
  <cols>
    <col min="1" max="1" width="4" style="17" customWidth="1"/>
    <col min="2" max="2" width="24.28515625" style="17" customWidth="1"/>
    <col min="3" max="3" width="15" style="18" customWidth="1"/>
    <col min="4" max="4" width="13" style="18" customWidth="1"/>
    <col min="5" max="5" width="9.85546875" style="18" customWidth="1"/>
    <col min="6" max="6" width="21.85546875" style="18" customWidth="1"/>
    <col min="7" max="7" width="15.7109375" style="18" customWidth="1"/>
    <col min="8" max="8" width="16.42578125" style="18" customWidth="1"/>
    <col min="9" max="9" width="15.7109375" style="20" customWidth="1"/>
    <col min="10" max="10" width="17.42578125" style="17" customWidth="1"/>
    <col min="11" max="11" width="12.7109375" style="17" customWidth="1"/>
    <col min="12" max="16384" width="9.140625" style="17"/>
  </cols>
  <sheetData>
    <row r="1" spans="1:12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2" ht="15.75">
      <c r="A2" s="112" t="s">
        <v>52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2" ht="15.75">
      <c r="A3" s="19"/>
      <c r="B3" s="87" t="s">
        <v>7</v>
      </c>
      <c r="C3" s="19"/>
      <c r="D3" s="19"/>
      <c r="E3" s="19"/>
      <c r="F3" s="19"/>
      <c r="G3" s="19"/>
      <c r="H3" s="19"/>
    </row>
    <row r="4" spans="1:12" ht="15.75">
      <c r="A4" s="19"/>
      <c r="B4" s="87" t="s">
        <v>53</v>
      </c>
      <c r="C4" s="19"/>
      <c r="D4" s="19"/>
      <c r="E4" s="19"/>
      <c r="F4" s="19"/>
      <c r="G4" s="19"/>
      <c r="H4" s="19"/>
      <c r="J4" s="18"/>
    </row>
    <row r="5" spans="1:12" ht="15.75">
      <c r="A5" s="19"/>
      <c r="B5" s="87" t="s">
        <v>54</v>
      </c>
      <c r="C5" s="19"/>
      <c r="D5" s="19"/>
      <c r="E5" s="19"/>
      <c r="F5" s="19"/>
      <c r="G5" s="19"/>
      <c r="H5" s="19"/>
      <c r="J5" s="88"/>
    </row>
    <row r="6" spans="1:12" ht="15.75">
      <c r="A6" s="19"/>
      <c r="B6" s="87" t="s">
        <v>55</v>
      </c>
      <c r="C6" s="19"/>
      <c r="D6" s="19"/>
      <c r="E6" s="19"/>
      <c r="F6" s="40"/>
      <c r="G6" s="19"/>
      <c r="H6" s="19"/>
    </row>
    <row r="7" spans="1:12">
      <c r="A7" s="115"/>
      <c r="B7" s="115"/>
      <c r="C7" s="115"/>
      <c r="D7" s="115"/>
      <c r="E7" s="115"/>
      <c r="F7" s="115"/>
      <c r="G7" s="115"/>
      <c r="H7" s="115"/>
    </row>
    <row r="8" spans="1:12" ht="15.75">
      <c r="A8" s="89"/>
      <c r="B8" s="90" t="s">
        <v>0</v>
      </c>
      <c r="C8" s="90" t="s">
        <v>1</v>
      </c>
      <c r="D8" s="91" t="s">
        <v>195</v>
      </c>
      <c r="E8" s="90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  <c r="K8" s="45"/>
      <c r="L8" s="45"/>
    </row>
    <row r="9" spans="1:12">
      <c r="A9" s="41">
        <v>1</v>
      </c>
      <c r="B9" s="43" t="s">
        <v>68</v>
      </c>
      <c r="C9" s="44">
        <v>489874</v>
      </c>
      <c r="D9" s="46" t="s">
        <v>81</v>
      </c>
      <c r="E9" s="44">
        <v>92598</v>
      </c>
      <c r="F9" s="92"/>
      <c r="G9" s="92"/>
      <c r="H9" s="92"/>
      <c r="I9" s="93"/>
      <c r="J9" s="94"/>
      <c r="K9" s="45"/>
      <c r="L9" s="45"/>
    </row>
    <row r="10" spans="1:12">
      <c r="A10" s="41">
        <v>2</v>
      </c>
      <c r="B10" s="43" t="s">
        <v>68</v>
      </c>
      <c r="C10" s="44">
        <v>489878</v>
      </c>
      <c r="D10" s="46" t="s">
        <v>99</v>
      </c>
      <c r="E10" s="44">
        <v>92595</v>
      </c>
      <c r="F10" s="92"/>
      <c r="G10" s="92"/>
      <c r="H10" s="92"/>
      <c r="I10" s="93"/>
      <c r="J10" s="94"/>
      <c r="K10" s="45"/>
      <c r="L10" s="45"/>
    </row>
    <row r="11" spans="1:12">
      <c r="A11" s="41">
        <v>3</v>
      </c>
      <c r="B11" s="43" t="s">
        <v>68</v>
      </c>
      <c r="C11" s="44">
        <v>489879</v>
      </c>
      <c r="D11" s="46" t="s">
        <v>82</v>
      </c>
      <c r="E11" s="44">
        <v>92594</v>
      </c>
      <c r="F11" s="92"/>
      <c r="G11" s="92"/>
      <c r="H11" s="92"/>
      <c r="I11" s="93"/>
      <c r="J11" s="94"/>
      <c r="K11" s="45"/>
      <c r="L11" s="45"/>
    </row>
    <row r="12" spans="1:12">
      <c r="A12" s="41">
        <v>4</v>
      </c>
      <c r="B12" s="43" t="s">
        <v>68</v>
      </c>
      <c r="C12" s="46" t="s">
        <v>63</v>
      </c>
      <c r="D12" s="46" t="s">
        <v>83</v>
      </c>
      <c r="E12" s="44">
        <v>92596</v>
      </c>
      <c r="F12" s="92"/>
      <c r="G12" s="92"/>
      <c r="H12" s="92"/>
      <c r="I12" s="93"/>
      <c r="J12" s="94"/>
      <c r="K12" s="45"/>
      <c r="L12" s="45"/>
    </row>
    <row r="13" spans="1:12">
      <c r="A13" s="41">
        <v>5</v>
      </c>
      <c r="B13" s="43" t="s">
        <v>68</v>
      </c>
      <c r="C13" s="46" t="s">
        <v>65</v>
      </c>
      <c r="D13" s="46" t="s">
        <v>85</v>
      </c>
      <c r="E13" s="44">
        <v>10762</v>
      </c>
      <c r="F13" s="92"/>
      <c r="G13" s="92"/>
      <c r="H13" s="92"/>
      <c r="I13" s="93"/>
      <c r="J13" s="94"/>
      <c r="K13" s="45"/>
      <c r="L13" s="45"/>
    </row>
    <row r="14" spans="1:12">
      <c r="A14" s="41">
        <v>6</v>
      </c>
      <c r="B14" s="43" t="s">
        <v>2</v>
      </c>
      <c r="C14" s="46" t="s">
        <v>66</v>
      </c>
      <c r="D14" s="46" t="s">
        <v>86</v>
      </c>
      <c r="E14" s="44">
        <v>91189</v>
      </c>
      <c r="F14" s="92"/>
      <c r="G14" s="92"/>
      <c r="H14" s="92"/>
      <c r="I14" s="93"/>
      <c r="J14" s="94"/>
      <c r="K14" s="45"/>
      <c r="L14" s="45"/>
    </row>
    <row r="15" spans="1:12">
      <c r="A15" s="41">
        <v>7</v>
      </c>
      <c r="B15" s="43" t="s">
        <v>6</v>
      </c>
      <c r="C15" s="44">
        <v>392115826</v>
      </c>
      <c r="D15" s="46" t="s">
        <v>87</v>
      </c>
      <c r="E15" s="44">
        <v>91529</v>
      </c>
      <c r="F15" s="92"/>
      <c r="G15" s="92"/>
      <c r="H15" s="92"/>
      <c r="I15" s="93"/>
      <c r="J15" s="94"/>
      <c r="K15" s="45"/>
      <c r="L15" s="45"/>
    </row>
    <row r="16" spans="1:12">
      <c r="A16" s="41">
        <v>8</v>
      </c>
      <c r="B16" s="43" t="s">
        <v>2</v>
      </c>
      <c r="C16" s="44">
        <v>466834</v>
      </c>
      <c r="D16" s="46" t="s">
        <v>88</v>
      </c>
      <c r="E16" s="46" t="s">
        <v>76</v>
      </c>
      <c r="F16" s="92"/>
      <c r="G16" s="92"/>
      <c r="H16" s="92"/>
      <c r="I16" s="93"/>
      <c r="J16" s="95"/>
      <c r="K16" s="45"/>
      <c r="L16" s="45"/>
    </row>
    <row r="17" spans="1:12">
      <c r="A17" s="41">
        <v>9</v>
      </c>
      <c r="B17" s="43" t="s">
        <v>57</v>
      </c>
      <c r="C17" s="44" t="s">
        <v>58</v>
      </c>
      <c r="D17" s="46" t="s">
        <v>89</v>
      </c>
      <c r="E17" s="46" t="s">
        <v>59</v>
      </c>
      <c r="F17" s="92"/>
      <c r="G17" s="92"/>
      <c r="H17" s="92"/>
      <c r="I17" s="93"/>
      <c r="J17" s="95"/>
      <c r="K17" s="45"/>
      <c r="L17" s="45"/>
    </row>
    <row r="18" spans="1:12">
      <c r="A18" s="41">
        <v>10</v>
      </c>
      <c r="B18" s="43" t="s">
        <v>57</v>
      </c>
      <c r="C18" s="44" t="s">
        <v>60</v>
      </c>
      <c r="D18" s="46" t="s">
        <v>100</v>
      </c>
      <c r="E18" s="46" t="s">
        <v>61</v>
      </c>
      <c r="F18" s="92"/>
      <c r="G18" s="92"/>
      <c r="H18" s="92"/>
      <c r="I18" s="93"/>
      <c r="J18" s="95"/>
      <c r="K18" s="45"/>
      <c r="L18" s="45"/>
    </row>
    <row r="19" spans="1:12">
      <c r="A19" s="41">
        <v>11</v>
      </c>
      <c r="B19" s="43" t="s">
        <v>2</v>
      </c>
      <c r="C19" s="44">
        <v>467311</v>
      </c>
      <c r="D19" s="46" t="s">
        <v>90</v>
      </c>
      <c r="E19" s="46" t="s">
        <v>62</v>
      </c>
      <c r="F19" s="92"/>
      <c r="G19" s="92"/>
      <c r="H19" s="92"/>
      <c r="I19" s="93"/>
      <c r="J19" s="95"/>
      <c r="K19" s="45"/>
      <c r="L19" s="45"/>
    </row>
    <row r="20" spans="1:12">
      <c r="A20" s="41">
        <v>12</v>
      </c>
      <c r="B20" s="43" t="s">
        <v>2</v>
      </c>
      <c r="C20" s="46" t="s">
        <v>67</v>
      </c>
      <c r="D20" s="46" t="s">
        <v>101</v>
      </c>
      <c r="E20" s="44">
        <v>10130</v>
      </c>
      <c r="F20" s="92"/>
      <c r="G20" s="92"/>
      <c r="H20" s="92"/>
      <c r="I20" s="93"/>
      <c r="J20" s="94"/>
      <c r="K20" s="45"/>
      <c r="L20" s="45"/>
    </row>
    <row r="21" spans="1:12">
      <c r="A21" s="41">
        <v>13</v>
      </c>
      <c r="B21" s="43" t="s">
        <v>2</v>
      </c>
      <c r="C21" s="44">
        <v>383687</v>
      </c>
      <c r="D21" s="46" t="s">
        <v>91</v>
      </c>
      <c r="E21" s="44">
        <v>10494</v>
      </c>
      <c r="F21" s="92"/>
      <c r="G21" s="92"/>
      <c r="H21" s="92"/>
      <c r="I21" s="93"/>
      <c r="J21" s="94"/>
      <c r="K21" s="45"/>
      <c r="L21" s="45"/>
    </row>
    <row r="22" spans="1:12">
      <c r="A22" s="41">
        <v>14</v>
      </c>
      <c r="B22" s="43" t="s">
        <v>68</v>
      </c>
      <c r="C22" s="44">
        <v>507725</v>
      </c>
      <c r="D22" s="46" t="s">
        <v>92</v>
      </c>
      <c r="E22" s="44">
        <v>10455</v>
      </c>
      <c r="F22" s="92"/>
      <c r="G22" s="92"/>
      <c r="H22" s="92"/>
      <c r="I22" s="93"/>
      <c r="J22" s="94"/>
      <c r="K22" s="45"/>
      <c r="L22" s="45"/>
    </row>
    <row r="23" spans="1:12">
      <c r="A23" s="41">
        <v>15</v>
      </c>
      <c r="B23" s="43" t="s">
        <v>68</v>
      </c>
      <c r="C23" s="44">
        <v>507726</v>
      </c>
      <c r="D23" s="46" t="s">
        <v>102</v>
      </c>
      <c r="E23" s="44">
        <v>10457</v>
      </c>
      <c r="F23" s="92"/>
      <c r="G23" s="92"/>
      <c r="H23" s="92"/>
      <c r="I23" s="93"/>
      <c r="J23" s="94"/>
      <c r="K23" s="45"/>
      <c r="L23" s="45"/>
    </row>
    <row r="24" spans="1:12">
      <c r="A24" s="41">
        <v>16</v>
      </c>
      <c r="B24" s="43" t="s">
        <v>68</v>
      </c>
      <c r="C24" s="46" t="s">
        <v>69</v>
      </c>
      <c r="D24" s="44">
        <v>2397</v>
      </c>
      <c r="E24" s="44"/>
      <c r="F24" s="92"/>
      <c r="G24" s="92"/>
      <c r="H24" s="92"/>
      <c r="I24" s="93"/>
      <c r="J24" s="94"/>
      <c r="K24" s="45"/>
      <c r="L24" s="45"/>
    </row>
    <row r="25" spans="1:12">
      <c r="A25" s="41">
        <v>17</v>
      </c>
      <c r="B25" s="43" t="s">
        <v>68</v>
      </c>
      <c r="C25" s="46" t="s">
        <v>70</v>
      </c>
      <c r="D25" s="44">
        <v>2394</v>
      </c>
      <c r="E25" s="44"/>
      <c r="F25" s="92"/>
      <c r="G25" s="92"/>
      <c r="H25" s="92"/>
      <c r="I25" s="93"/>
      <c r="J25" s="94"/>
    </row>
    <row r="26" spans="1:12">
      <c r="A26" s="41">
        <v>18</v>
      </c>
      <c r="B26" s="43" t="s">
        <v>68</v>
      </c>
      <c r="C26" s="46" t="s">
        <v>71</v>
      </c>
      <c r="D26" s="44">
        <v>2393</v>
      </c>
      <c r="E26" s="44"/>
      <c r="F26" s="92"/>
      <c r="G26" s="92"/>
      <c r="H26" s="92"/>
      <c r="I26" s="93"/>
      <c r="J26" s="94"/>
    </row>
    <row r="27" spans="1:12">
      <c r="A27" s="41">
        <v>19</v>
      </c>
      <c r="B27" s="43" t="s">
        <v>68</v>
      </c>
      <c r="C27" s="46" t="s">
        <v>72</v>
      </c>
      <c r="D27" s="44">
        <v>2398</v>
      </c>
      <c r="E27" s="44"/>
      <c r="F27" s="92"/>
      <c r="G27" s="92"/>
      <c r="H27" s="92"/>
      <c r="I27" s="93"/>
      <c r="J27" s="94"/>
    </row>
    <row r="28" spans="1:12">
      <c r="A28" s="41">
        <v>20</v>
      </c>
      <c r="B28" s="43" t="s">
        <v>68</v>
      </c>
      <c r="C28" s="46" t="s">
        <v>73</v>
      </c>
      <c r="D28" s="44">
        <v>2396</v>
      </c>
      <c r="E28" s="44"/>
      <c r="F28" s="92"/>
      <c r="G28" s="92"/>
      <c r="H28" s="92"/>
      <c r="I28" s="93"/>
      <c r="J28" s="94"/>
    </row>
    <row r="29" spans="1:12">
      <c r="A29" s="41">
        <v>21</v>
      </c>
      <c r="B29" s="43" t="s">
        <v>68</v>
      </c>
      <c r="C29" s="44">
        <v>507724</v>
      </c>
      <c r="D29" s="44">
        <v>2395</v>
      </c>
      <c r="E29" s="44">
        <v>10456</v>
      </c>
      <c r="F29" s="92"/>
      <c r="G29" s="92"/>
      <c r="H29" s="92"/>
      <c r="I29" s="93"/>
      <c r="J29" s="94"/>
    </row>
    <row r="30" spans="1:12">
      <c r="A30" s="41">
        <v>22</v>
      </c>
      <c r="B30" s="43" t="s">
        <v>2</v>
      </c>
      <c r="C30" s="44">
        <v>509000</v>
      </c>
      <c r="D30" s="44">
        <v>3158</v>
      </c>
      <c r="E30" s="44">
        <v>10567</v>
      </c>
      <c r="F30" s="92"/>
      <c r="G30" s="92"/>
      <c r="H30" s="92"/>
      <c r="I30" s="93"/>
      <c r="J30" s="94"/>
    </row>
    <row r="31" spans="1:12">
      <c r="A31" s="41">
        <v>23</v>
      </c>
      <c r="B31" s="43" t="s">
        <v>2</v>
      </c>
      <c r="C31" s="44">
        <v>351037</v>
      </c>
      <c r="D31" s="46" t="s">
        <v>103</v>
      </c>
      <c r="E31" s="46" t="s">
        <v>56</v>
      </c>
      <c r="F31" s="92"/>
      <c r="G31" s="92"/>
      <c r="H31" s="92"/>
      <c r="I31" s="93"/>
      <c r="J31" s="94"/>
    </row>
    <row r="32" spans="1:12">
      <c r="A32" s="41">
        <v>24</v>
      </c>
      <c r="B32" s="43" t="s">
        <v>6</v>
      </c>
      <c r="C32" s="44">
        <v>323151662</v>
      </c>
      <c r="D32" s="46" t="s">
        <v>104</v>
      </c>
      <c r="E32" s="44">
        <v>93379</v>
      </c>
      <c r="F32" s="92"/>
      <c r="G32" s="92"/>
      <c r="H32" s="92"/>
      <c r="I32" s="93"/>
      <c r="J32" s="95"/>
    </row>
    <row r="33" spans="1:10">
      <c r="A33" s="41">
        <v>25</v>
      </c>
      <c r="B33" s="43" t="s">
        <v>6</v>
      </c>
      <c r="C33" s="46" t="s">
        <v>74</v>
      </c>
      <c r="D33" s="46" t="s">
        <v>105</v>
      </c>
      <c r="E33" s="44">
        <v>10008</v>
      </c>
      <c r="F33" s="92"/>
      <c r="G33" s="92"/>
      <c r="H33" s="92"/>
      <c r="I33" s="93"/>
      <c r="J33" s="94"/>
    </row>
    <row r="34" spans="1:10">
      <c r="A34" s="41">
        <v>26</v>
      </c>
      <c r="B34" s="43" t="s">
        <v>2</v>
      </c>
      <c r="C34" s="44">
        <v>369456</v>
      </c>
      <c r="D34" s="44">
        <v>2159</v>
      </c>
      <c r="E34" s="44" t="s">
        <v>94</v>
      </c>
      <c r="F34" s="92"/>
      <c r="G34" s="92"/>
      <c r="H34" s="92"/>
      <c r="I34" s="93"/>
      <c r="J34" s="94"/>
    </row>
    <row r="35" spans="1:10">
      <c r="A35" s="41">
        <v>27</v>
      </c>
      <c r="B35" s="43" t="s">
        <v>68</v>
      </c>
      <c r="C35" s="44">
        <v>531515</v>
      </c>
      <c r="D35" s="44">
        <v>2567</v>
      </c>
      <c r="E35" s="44" t="s">
        <v>94</v>
      </c>
      <c r="F35" s="92"/>
      <c r="G35" s="92"/>
      <c r="H35" s="92"/>
      <c r="I35" s="93"/>
      <c r="J35" s="95"/>
    </row>
    <row r="36" spans="1:10">
      <c r="A36" s="41">
        <v>28</v>
      </c>
      <c r="B36" s="43" t="s">
        <v>68</v>
      </c>
      <c r="C36" s="44">
        <v>531516</v>
      </c>
      <c r="D36" s="44">
        <v>2568</v>
      </c>
      <c r="E36" s="44" t="s">
        <v>94</v>
      </c>
      <c r="F36" s="92"/>
      <c r="G36" s="92"/>
      <c r="H36" s="92"/>
      <c r="I36" s="93"/>
      <c r="J36" s="95"/>
    </row>
    <row r="37" spans="1:10">
      <c r="A37" s="41">
        <v>29</v>
      </c>
      <c r="B37" s="43" t="s">
        <v>68</v>
      </c>
      <c r="C37" s="44">
        <v>531517</v>
      </c>
      <c r="D37" s="44">
        <v>2569</v>
      </c>
      <c r="E37" s="44" t="s">
        <v>94</v>
      </c>
      <c r="F37" s="92"/>
      <c r="G37" s="92"/>
      <c r="H37" s="92"/>
      <c r="I37" s="93"/>
      <c r="J37" s="95"/>
    </row>
    <row r="38" spans="1:10" ht="21" customHeight="1">
      <c r="D38" s="5" t="s">
        <v>207</v>
      </c>
      <c r="F38" s="21">
        <f>SUM(F9:F37)</f>
        <v>0</v>
      </c>
      <c r="G38" s="21">
        <f t="shared" ref="G38:J38" si="0">SUM(G9:G37)</f>
        <v>0</v>
      </c>
      <c r="H38" s="21">
        <f t="shared" si="0"/>
        <v>0</v>
      </c>
      <c r="I38" s="21">
        <f t="shared" si="0"/>
        <v>0</v>
      </c>
      <c r="J38" s="21">
        <f t="shared" si="0"/>
        <v>0</v>
      </c>
    </row>
    <row r="39" spans="1:10">
      <c r="D39" s="109" t="s">
        <v>209</v>
      </c>
    </row>
  </sheetData>
  <mergeCells count="3">
    <mergeCell ref="A1:J1"/>
    <mergeCell ref="A2:J2"/>
    <mergeCell ref="A7:H7"/>
  </mergeCells>
  <printOptions horizontalCentered="1"/>
  <pageMargins left="0.25" right="0.25" top="0.75" bottom="1" header="0.5" footer="0.5"/>
  <pageSetup scale="75" orientation="landscape" horizontalDpi="1200" verticalDpi="1200" r:id="rId1"/>
  <headerFooter alignWithMargins="0">
    <oddHeader>&amp;LTime/Date Stamp EMA &amp; Service
IFB #YR3869-14</oddHeader>
    <oddFooter>&amp;LTime Stamps - East 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>
      <selection activeCell="F9" sqref="F9"/>
    </sheetView>
  </sheetViews>
  <sheetFormatPr defaultRowHeight="15"/>
  <cols>
    <col min="1" max="1" width="3.5703125" style="6" customWidth="1"/>
    <col min="2" max="2" width="23.140625" style="6" customWidth="1"/>
    <col min="3" max="3" width="14.140625" style="6" customWidth="1"/>
    <col min="4" max="4" width="13.28515625" style="6" customWidth="1"/>
    <col min="5" max="5" width="10.85546875" style="6" customWidth="1"/>
    <col min="6" max="6" width="21.42578125" style="6" customWidth="1"/>
    <col min="7" max="7" width="16.140625" style="6" customWidth="1"/>
    <col min="8" max="8" width="17.140625" style="6" customWidth="1"/>
    <col min="9" max="9" width="15.5703125" style="39" customWidth="1"/>
    <col min="10" max="10" width="17.28515625" style="6" customWidth="1"/>
    <col min="11" max="16384" width="9.140625" style="6"/>
  </cols>
  <sheetData>
    <row r="1" spans="1:10" ht="15.75">
      <c r="A1" s="111" t="s">
        <v>208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15.75">
      <c r="A2" s="111" t="s">
        <v>170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10" ht="15.75">
      <c r="A3" s="31"/>
      <c r="B3" s="96" t="s">
        <v>7</v>
      </c>
      <c r="C3" s="31"/>
      <c r="D3" s="31"/>
      <c r="E3" s="31"/>
      <c r="F3" s="31"/>
      <c r="G3" s="31"/>
      <c r="H3" s="31"/>
      <c r="I3" s="31"/>
      <c r="J3" s="31"/>
    </row>
    <row r="4" spans="1:10" ht="15.75">
      <c r="A4" s="31"/>
      <c r="B4" s="96" t="s">
        <v>171</v>
      </c>
      <c r="C4" s="31"/>
      <c r="D4" s="31"/>
      <c r="E4" s="31"/>
      <c r="F4" s="31"/>
      <c r="G4" s="31"/>
      <c r="H4" s="31"/>
      <c r="I4" s="31"/>
      <c r="J4" s="32"/>
    </row>
    <row r="5" spans="1:10" ht="15.75">
      <c r="A5" s="31"/>
      <c r="B5" s="96" t="s">
        <v>172</v>
      </c>
      <c r="C5" s="31"/>
      <c r="D5" s="31"/>
      <c r="E5" s="31"/>
      <c r="F5" s="31"/>
      <c r="G5" s="31"/>
      <c r="H5" s="31"/>
      <c r="I5" s="31"/>
      <c r="J5" s="32"/>
    </row>
    <row r="6" spans="1:10" ht="15.75">
      <c r="A6" s="97"/>
      <c r="B6" s="96" t="s">
        <v>154</v>
      </c>
      <c r="C6" s="97"/>
      <c r="D6" s="97"/>
      <c r="E6" s="97"/>
      <c r="F6" s="31"/>
      <c r="G6" s="97"/>
      <c r="H6" s="97"/>
      <c r="I6" s="31"/>
      <c r="J6" s="31"/>
    </row>
    <row r="7" spans="1:10">
      <c r="A7" s="116"/>
      <c r="B7" s="116"/>
      <c r="C7" s="116"/>
      <c r="D7" s="116"/>
      <c r="E7" s="116"/>
      <c r="F7" s="116"/>
      <c r="G7" s="116"/>
      <c r="H7" s="116"/>
    </row>
    <row r="8" spans="1:10" ht="15.75">
      <c r="A8" s="33"/>
      <c r="B8" s="34" t="s">
        <v>0</v>
      </c>
      <c r="C8" s="34" t="s">
        <v>1</v>
      </c>
      <c r="D8" s="35" t="s">
        <v>195</v>
      </c>
      <c r="E8" s="34" t="s">
        <v>77</v>
      </c>
      <c r="F8" s="35" t="s">
        <v>200</v>
      </c>
      <c r="G8" s="35" t="s">
        <v>201</v>
      </c>
      <c r="H8" s="35" t="s">
        <v>202</v>
      </c>
      <c r="I8" s="36" t="s">
        <v>203</v>
      </c>
      <c r="J8" s="35" t="s">
        <v>204</v>
      </c>
    </row>
    <row r="9" spans="1:10">
      <c r="A9" s="33">
        <v>1</v>
      </c>
      <c r="B9" s="33" t="s">
        <v>68</v>
      </c>
      <c r="C9" s="38" t="s">
        <v>173</v>
      </c>
      <c r="D9" s="3">
        <v>2266</v>
      </c>
      <c r="E9" s="3">
        <v>93137</v>
      </c>
      <c r="F9" s="7"/>
      <c r="G9" s="7"/>
      <c r="H9" s="7"/>
      <c r="I9" s="8"/>
      <c r="J9" s="24"/>
    </row>
    <row r="10" spans="1:10">
      <c r="A10" s="33">
        <v>2</v>
      </c>
      <c r="B10" s="33" t="s">
        <v>116</v>
      </c>
      <c r="C10" s="38" t="s">
        <v>174</v>
      </c>
      <c r="D10" s="3">
        <v>2042</v>
      </c>
      <c r="E10" s="38" t="s">
        <v>175</v>
      </c>
      <c r="F10" s="7"/>
      <c r="G10" s="7"/>
      <c r="H10" s="7"/>
      <c r="I10" s="8"/>
      <c r="J10" s="24"/>
    </row>
    <row r="11" spans="1:10">
      <c r="A11" s="33">
        <v>3</v>
      </c>
      <c r="B11" s="33" t="s">
        <v>18</v>
      </c>
      <c r="C11" s="3" t="s">
        <v>176</v>
      </c>
      <c r="D11" s="3">
        <v>2265</v>
      </c>
      <c r="E11" s="3">
        <v>90222</v>
      </c>
      <c r="F11" s="7"/>
      <c r="G11" s="7"/>
      <c r="H11" s="7"/>
      <c r="I11" s="8"/>
      <c r="J11" s="24"/>
    </row>
    <row r="12" spans="1:10">
      <c r="A12" s="33">
        <v>4</v>
      </c>
      <c r="B12" s="33" t="s">
        <v>18</v>
      </c>
      <c r="C12" s="3" t="s">
        <v>177</v>
      </c>
      <c r="D12" s="3">
        <v>2295</v>
      </c>
      <c r="E12" s="3">
        <v>91065</v>
      </c>
      <c r="F12" s="7"/>
      <c r="G12" s="7"/>
      <c r="H12" s="7"/>
      <c r="I12" s="8"/>
      <c r="J12" s="24"/>
    </row>
    <row r="13" spans="1:10">
      <c r="A13" s="33">
        <v>5</v>
      </c>
      <c r="B13" s="33" t="s">
        <v>68</v>
      </c>
      <c r="C13" s="3">
        <v>507783</v>
      </c>
      <c r="D13" s="3">
        <v>2296</v>
      </c>
      <c r="E13" s="3">
        <v>10464</v>
      </c>
      <c r="F13" s="7"/>
      <c r="G13" s="7"/>
      <c r="H13" s="7"/>
      <c r="I13" s="8"/>
      <c r="J13" s="24"/>
    </row>
    <row r="14" spans="1:10">
      <c r="A14" s="33">
        <v>6</v>
      </c>
      <c r="B14" s="33" t="s">
        <v>68</v>
      </c>
      <c r="C14" s="3">
        <v>468809</v>
      </c>
      <c r="D14" s="3">
        <v>2291</v>
      </c>
      <c r="E14" s="3"/>
      <c r="F14" s="7"/>
      <c r="G14" s="7"/>
      <c r="H14" s="7"/>
      <c r="I14" s="8"/>
      <c r="J14" s="24"/>
    </row>
    <row r="15" spans="1:10">
      <c r="A15" s="33">
        <v>7</v>
      </c>
      <c r="B15" s="33" t="s">
        <v>68</v>
      </c>
      <c r="C15" s="3">
        <v>468810</v>
      </c>
      <c r="D15" s="3">
        <v>2293</v>
      </c>
      <c r="E15" s="3">
        <v>90368</v>
      </c>
      <c r="F15" s="7"/>
      <c r="G15" s="7"/>
      <c r="H15" s="7"/>
      <c r="I15" s="8"/>
      <c r="J15" s="24"/>
    </row>
    <row r="16" spans="1:10">
      <c r="A16" s="33">
        <v>8</v>
      </c>
      <c r="B16" s="33" t="s">
        <v>68</v>
      </c>
      <c r="C16" s="3">
        <v>470281</v>
      </c>
      <c r="D16" s="3">
        <v>2292</v>
      </c>
      <c r="E16" s="3"/>
      <c r="F16" s="7"/>
      <c r="G16" s="7"/>
      <c r="H16" s="7"/>
      <c r="I16" s="8"/>
      <c r="J16" s="24"/>
    </row>
    <row r="17" spans="1:10">
      <c r="A17" s="33">
        <v>9</v>
      </c>
      <c r="B17" s="33" t="s">
        <v>2</v>
      </c>
      <c r="C17" s="3">
        <v>523882</v>
      </c>
      <c r="D17" s="3">
        <v>3610</v>
      </c>
      <c r="E17" s="3">
        <v>20697</v>
      </c>
      <c r="F17" s="7"/>
      <c r="G17" s="7"/>
      <c r="H17" s="7"/>
      <c r="I17" s="8"/>
      <c r="J17" s="24"/>
    </row>
    <row r="18" spans="1:10">
      <c r="A18" s="33">
        <v>10</v>
      </c>
      <c r="B18" s="33" t="s">
        <v>4</v>
      </c>
      <c r="C18" s="3">
        <v>156386</v>
      </c>
      <c r="D18" s="60">
        <v>2692</v>
      </c>
      <c r="E18" s="38" t="s">
        <v>180</v>
      </c>
      <c r="F18" s="7"/>
      <c r="G18" s="7"/>
      <c r="H18" s="7"/>
      <c r="I18" s="8"/>
      <c r="J18" s="24"/>
    </row>
    <row r="19" spans="1:10">
      <c r="A19" s="33">
        <v>11</v>
      </c>
      <c r="B19" s="58" t="s">
        <v>20</v>
      </c>
      <c r="C19" s="38" t="s">
        <v>178</v>
      </c>
      <c r="D19" s="3">
        <v>2693</v>
      </c>
      <c r="E19" s="3">
        <v>90215</v>
      </c>
      <c r="F19" s="11"/>
      <c r="G19" s="7"/>
      <c r="H19" s="7"/>
      <c r="I19" s="8"/>
      <c r="J19" s="12"/>
    </row>
    <row r="20" spans="1:10">
      <c r="A20" s="58">
        <v>12</v>
      </c>
      <c r="B20" s="58" t="s">
        <v>34</v>
      </c>
      <c r="C20" s="60" t="s">
        <v>37</v>
      </c>
      <c r="D20" s="60">
        <v>2235</v>
      </c>
      <c r="E20" s="60">
        <v>90494</v>
      </c>
      <c r="F20" s="11"/>
      <c r="G20" s="11"/>
      <c r="H20" s="11"/>
      <c r="I20" s="8"/>
      <c r="J20" s="12"/>
    </row>
    <row r="21" spans="1:10">
      <c r="A21" s="58">
        <v>13</v>
      </c>
      <c r="B21" s="58" t="s">
        <v>20</v>
      </c>
      <c r="C21" s="60" t="s">
        <v>26</v>
      </c>
      <c r="D21" s="60">
        <v>2162</v>
      </c>
      <c r="E21" s="60">
        <v>91223</v>
      </c>
      <c r="F21" s="11"/>
      <c r="G21" s="11"/>
      <c r="H21" s="11"/>
      <c r="I21" s="8"/>
      <c r="J21" s="24"/>
    </row>
    <row r="22" spans="1:10" ht="19.5" customHeight="1">
      <c r="D22" s="5" t="s">
        <v>207</v>
      </c>
      <c r="F22" s="24">
        <f>SUM(F9:F21)</f>
        <v>0</v>
      </c>
      <c r="G22" s="24">
        <f t="shared" ref="G22:J22" si="0">SUM(G9:G21)</f>
        <v>0</v>
      </c>
      <c r="H22" s="24">
        <f t="shared" si="0"/>
        <v>0</v>
      </c>
      <c r="I22" s="24">
        <f t="shared" si="0"/>
        <v>0</v>
      </c>
      <c r="J22" s="24">
        <f t="shared" si="0"/>
        <v>0</v>
      </c>
    </row>
    <row r="23" spans="1:10">
      <c r="D23" s="109" t="s">
        <v>209</v>
      </c>
      <c r="F23" s="22"/>
      <c r="G23" s="22"/>
      <c r="H23" s="22"/>
      <c r="I23" s="23"/>
      <c r="J23" s="22"/>
    </row>
  </sheetData>
  <mergeCells count="3">
    <mergeCell ref="A1:J1"/>
    <mergeCell ref="A2:J2"/>
    <mergeCell ref="A7:H7"/>
  </mergeCells>
  <printOptions horizontalCentered="1"/>
  <pageMargins left="0.25" right="0.25" top="1" bottom="1" header="0.5" footer="0.5"/>
  <pageSetup scale="85" orientation="landscape" horizontalDpi="1200" verticalDpi="1200" r:id="rId1"/>
  <headerFooter alignWithMargins="0">
    <oddHeader>&amp;LTime/Date Stamp EMA &amp; Service
IFB #YR3869-14</oddHeader>
    <oddFooter>&amp;LTime Stamps - KMF&amp;R&amp;D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Summary</vt:lpstr>
      <vt:lpstr>Central</vt:lpstr>
      <vt:lpstr>HOJ</vt:lpstr>
      <vt:lpstr>North, Vista Annex</vt:lpstr>
      <vt:lpstr>North, Vista</vt:lpstr>
      <vt:lpstr>Madge Bradley</vt:lpstr>
      <vt:lpstr>South</vt:lpstr>
      <vt:lpstr>Juvenile</vt:lpstr>
      <vt:lpstr>Family</vt:lpstr>
      <vt:lpstr>East</vt:lpstr>
      <vt:lpstr>KMF</vt:lpstr>
      <vt:lpstr>Central!Print_Area</vt:lpstr>
      <vt:lpstr>East!Print_Area</vt:lpstr>
      <vt:lpstr>Family!Print_Area</vt:lpstr>
      <vt:lpstr>HOJ!Print_Area</vt:lpstr>
      <vt:lpstr>KMF!Print_Area</vt:lpstr>
      <vt:lpstr>'Madge Bradley'!Print_Area</vt:lpstr>
      <vt:lpstr>'North, Vista'!Print_Area</vt:lpstr>
      <vt:lpstr>South!Print_Area</vt:lpstr>
      <vt:lpstr>Central!Print_Titles</vt:lpstr>
      <vt:lpstr>East!Print_Titles</vt:lpstr>
      <vt:lpstr>Family!Print_Titles</vt:lpstr>
      <vt:lpstr>HOJ!Print_Titles</vt:lpstr>
      <vt:lpstr>Juvenile!Print_Titles</vt:lpstr>
      <vt:lpstr>KMF!Print_Titles</vt:lpstr>
      <vt:lpstr>'Madge Bradley'!Print_Titles</vt:lpstr>
      <vt:lpstr>'North, Vista'!Print_Titles</vt:lpstr>
      <vt:lpstr>'North, Vista Annex'!Print_Titles</vt:lpstr>
      <vt:lpstr>South!Print_Titles</vt:lpstr>
    </vt:vector>
  </TitlesOfParts>
  <Company>San Diego Superior Court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2010-11 Inventory</dc:title>
  <dc:creator/>
  <cp:lastModifiedBy>Roper, Yvonne</cp:lastModifiedBy>
  <cp:lastPrinted>2013-08-12T18:53:36Z</cp:lastPrinted>
  <dcterms:created xsi:type="dcterms:W3CDTF">2000-05-10T15:15:31Z</dcterms:created>
  <dcterms:modified xsi:type="dcterms:W3CDTF">2013-08-14T20:39:29Z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-1630047483</vt:i4>
  </property>
  <property fmtid="{D5CDD505-2E9C-101B-9397-08002B2CF9AE}" pid="3" name="_NewReviewCycle">
    <vt:lpwstr/>
  </property>
  <property fmtid="{D5CDD505-2E9C-101B-9397-08002B2CF9AE}" pid="4" name="_EmailSubject">
    <vt:lpwstr>Time/Date Stamp Machine Maintenance Renewals due 6-21-11 4 p.m.</vt:lpwstr>
  </property>
  <property fmtid="{D5CDD505-2E9C-101B-9397-08002B2CF9AE}" pid="5" name="_AuthorEmail">
    <vt:lpwstr>Debbie.Parker@SDCourt.CA.Gov</vt:lpwstr>
  </property>
  <property fmtid="{D5CDD505-2E9C-101B-9397-08002B2CF9AE}" pid="6" name="_AuthorEmailDisplayName">
    <vt:lpwstr>Parker, Debbie</vt:lpwstr>
  </property>
  <property fmtid="{D5CDD505-2E9C-101B-9397-08002B2CF9AE}" pid="7" name="_PreviousAdHocReviewCycleID">
    <vt:i4>159703688</vt:i4>
  </property>
  <property fmtid="{D5CDD505-2E9C-101B-9397-08002B2CF9AE}" pid="8" name="_ReviewingToolsShownOnce">
    <vt:lpwstr/>
  </property>
</Properties>
</file>