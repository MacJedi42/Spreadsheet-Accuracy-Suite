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18576" yWindow="-156" windowWidth="9228" windowHeight="11760"/>
  </bookViews>
  <sheets>
    <sheet name="App Date" sheetId="1" r:id="rId1"/>
    <sheet name="App Trend" sheetId="2" r:id="rId2"/>
  </sheets>
  <calcPr calcId="145621"/>
</workbook>
</file>

<file path=xl/calcChain.xml><?xml version="1.0" encoding="utf-8"?>
<calcChain xmlns="http://schemas.openxmlformats.org/spreadsheetml/2006/main">
  <c r="D104" i="1" l="1"/>
  <c r="D5" i="1" l="1"/>
  <c r="C104" i="1" l="1"/>
  <c r="B104" i="1"/>
  <c r="D6" i="1" l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4" i="1"/>
</calcChain>
</file>

<file path=xl/sharedStrings.xml><?xml version="1.0" encoding="utf-8"?>
<sst xmlns="http://schemas.openxmlformats.org/spreadsheetml/2006/main" count="15" uniqueCount="15">
  <si>
    <t>Application Received Date</t>
  </si>
  <si>
    <t># Applications</t>
  </si>
  <si>
    <t># Units</t>
  </si>
  <si>
    <t>Running Total</t>
  </si>
  <si>
    <t>Initial Application Period</t>
  </si>
  <si>
    <t>Ongoing Application Period</t>
  </si>
  <si>
    <t>Unit Application Threshold</t>
  </si>
  <si>
    <t>Grand Total Applications</t>
  </si>
  <si>
    <t>FY13 Q1: 13,709 units; 122 applications</t>
  </si>
  <si>
    <t>FY13 Q2: 664 units, 8 applications</t>
  </si>
  <si>
    <t>FY13 Q3: 3,388 units, 19 applications</t>
  </si>
  <si>
    <t>FY13 Q4: 32,478 units; 164 applications</t>
  </si>
  <si>
    <t>FY14 Q1 (ongoing): 58,702 units; 308 applications</t>
  </si>
  <si>
    <t>Total Appilcations Received</t>
  </si>
  <si>
    <t>RAD First Component Applications Received, by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</si>
</sst>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249977111117893"/>
        <bgColor rgb="FF000000"/>
      </patternFill>
    </fill>
  </fills>
  <borders count="5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/>
      <diagonal/>
    </border>
    <border>
      <left style="thin">
        <color rgb="FFD0D7E5"/>
      </left>
      <right style="thin">
        <color rgb="FFD0D7E5"/>
      </right>
      <top style="thin">
        <color indexed="64"/>
      </top>
      <bottom style="thin">
        <color rgb="FFD0D7E5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3" fillId="2" borderId="1" xfId="0" applyFont="1" applyFill="1" applyBorder="1" applyAlignment="1" applyProtection="1">
      <alignment horizontal="right" vertical="center" wrapText="1"/>
    </xf>
    <xf numFmtId="164" fontId="0" fillId="0" borderId="0" xfId="1" applyNumberFormat="1" applyFont="1"/>
    <xf numFmtId="164" fontId="3" fillId="2" borderId="1" xfId="1" applyNumberFormat="1" applyFont="1" applyFill="1" applyBorder="1" applyAlignment="1" applyProtection="1">
      <alignment horizontal="right" vertical="center" wrapText="1"/>
    </xf>
    <xf numFmtId="14" fontId="0" fillId="0" borderId="0" xfId="0" applyNumberFormat="1" applyAlignment="1" applyProtection="1">
      <alignment vertical="center"/>
    </xf>
    <xf numFmtId="164" fontId="5" fillId="2" borderId="1" xfId="1" applyNumberFormat="1" applyFont="1" applyFill="1" applyBorder="1" applyAlignment="1" applyProtection="1">
      <alignment horizontal="right" vertical="center" wrapText="1"/>
    </xf>
    <xf numFmtId="0" fontId="2" fillId="2" borderId="1" xfId="0" applyFont="1" applyFill="1" applyBorder="1" applyAlignment="1" applyProtection="1">
      <alignment horizontal="right" vertical="center" wrapText="1"/>
    </xf>
    <xf numFmtId="0" fontId="5" fillId="2" borderId="1" xfId="0" applyFont="1" applyFill="1" applyBorder="1" applyAlignment="1" applyProtection="1">
      <alignment horizontal="right" vertical="center" wrapText="1"/>
    </xf>
    <xf numFmtId="0" fontId="3" fillId="2" borderId="2" xfId="0" applyFont="1" applyFill="1" applyBorder="1" applyAlignment="1" applyProtection="1">
      <alignment horizontal="right" vertical="center" wrapText="1"/>
    </xf>
    <xf numFmtId="164" fontId="3" fillId="2" borderId="2" xfId="1" applyNumberFormat="1" applyFont="1" applyFill="1" applyBorder="1" applyAlignment="1" applyProtection="1">
      <alignment horizontal="right" vertical="center" wrapText="1"/>
    </xf>
    <xf numFmtId="0" fontId="3" fillId="2" borderId="3" xfId="0" applyFont="1" applyFill="1" applyBorder="1" applyAlignment="1" applyProtection="1">
      <alignment horizontal="right" vertical="center" wrapText="1"/>
    </xf>
    <xf numFmtId="0" fontId="1" fillId="2" borderId="3" xfId="0" applyFont="1" applyFill="1" applyBorder="1" applyAlignment="1" applyProtection="1">
      <alignment horizontal="right" vertical="center" wrapText="1"/>
    </xf>
    <xf numFmtId="164" fontId="1" fillId="2" borderId="3" xfId="1" applyNumberFormat="1" applyFont="1" applyFill="1" applyBorder="1" applyAlignment="1" applyProtection="1">
      <alignment horizontal="right" vertical="center" wrapText="1"/>
    </xf>
    <xf numFmtId="0" fontId="6" fillId="0" borderId="0" xfId="0" applyFont="1" applyAlignment="1">
      <alignment horizontal="center" wrapText="1"/>
    </xf>
    <xf numFmtId="164" fontId="6" fillId="0" borderId="0" xfId="1" applyNumberFormat="1" applyFont="1" applyAlignment="1">
      <alignment horizontal="center" wrapText="1"/>
    </xf>
    <xf numFmtId="0" fontId="7" fillId="0" borderId="0" xfId="0" applyFont="1"/>
    <xf numFmtId="164" fontId="3" fillId="0" borderId="1" xfId="1" applyNumberFormat="1" applyFont="1" applyFill="1" applyBorder="1" applyAlignment="1" applyProtection="1">
      <alignment horizontal="right" vertical="center" wrapText="1"/>
    </xf>
    <xf numFmtId="164" fontId="0" fillId="0" borderId="0" xfId="0" applyNumberFormat="1"/>
    <xf numFmtId="0" fontId="6" fillId="0" borderId="0" xfId="0" applyFont="1" applyAlignment="1">
      <alignment horizontal="center" wrapText="1"/>
    </xf>
    <xf numFmtId="14" fontId="0" fillId="3" borderId="0" xfId="0" applyNumberFormat="1" applyFill="1" applyAlignment="1" applyProtection="1">
      <alignment vertical="center"/>
    </xf>
    <xf numFmtId="0" fontId="3" fillId="4" borderId="1" xfId="0" applyFont="1" applyFill="1" applyBorder="1" applyAlignment="1" applyProtection="1">
      <alignment horizontal="right" vertical="center" wrapText="1"/>
    </xf>
    <xf numFmtId="164" fontId="5" fillId="4" borderId="1" xfId="1" applyNumberFormat="1" applyFont="1" applyFill="1" applyBorder="1" applyAlignment="1" applyProtection="1">
      <alignment horizontal="right" vertical="center" wrapText="1"/>
    </xf>
    <xf numFmtId="164" fontId="0" fillId="3" borderId="0" xfId="1" applyNumberFormat="1" applyFont="1" applyFill="1"/>
    <xf numFmtId="164" fontId="7" fillId="0" borderId="0" xfId="0" applyNumberFormat="1" applyFont="1"/>
    <xf numFmtId="0" fontId="7" fillId="3" borderId="0" xfId="0" applyFont="1" applyFill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64" fontId="7" fillId="0" borderId="4" xfId="1" applyNumberFormat="1" applyFont="1" applyBorder="1"/>
  </cellXfs>
  <cellStyles count="2">
    <cellStyle name="Comma" xfId="1" builtinId="3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034951881014872"/>
          <c:y val="7.4548702245552628E-2"/>
          <c:w val="0.67380271216097987"/>
          <c:h val="0.66560586176727909"/>
        </c:manualLayout>
      </c:layout>
      <c:lineChart>
        <c:grouping val="stacked"/>
        <c:varyColors val="0"/>
        <c:ser>
          <c:idx val="0"/>
          <c:order val="0"/>
          <c:tx>
            <c:v>Total Units</c:v>
          </c:tx>
          <c:marker>
            <c:symbol val="none"/>
          </c:marker>
          <c:cat>
            <c:numRef>
              <c:f>'App Date'!$A$4:$A$103</c:f>
              <c:numCache>
                <c:formatCode>m/d/yyyy</c:formatCode>
                <c:ptCount val="100"/>
                <c:pt idx="0">
                  <c:v>41206</c:v>
                </c:pt>
                <c:pt idx="1">
                  <c:v>41247</c:v>
                </c:pt>
                <c:pt idx="2">
                  <c:v>41250</c:v>
                </c:pt>
                <c:pt idx="3">
                  <c:v>41263</c:v>
                </c:pt>
                <c:pt idx="4">
                  <c:v>41279</c:v>
                </c:pt>
                <c:pt idx="5">
                  <c:v>41288</c:v>
                </c:pt>
                <c:pt idx="6">
                  <c:v>41303</c:v>
                </c:pt>
                <c:pt idx="7">
                  <c:v>41305</c:v>
                </c:pt>
                <c:pt idx="8">
                  <c:v>41307</c:v>
                </c:pt>
                <c:pt idx="9">
                  <c:v>41318</c:v>
                </c:pt>
                <c:pt idx="10">
                  <c:v>41319</c:v>
                </c:pt>
                <c:pt idx="11">
                  <c:v>41346</c:v>
                </c:pt>
                <c:pt idx="12">
                  <c:v>41393</c:v>
                </c:pt>
                <c:pt idx="13">
                  <c:v>41401</c:v>
                </c:pt>
                <c:pt idx="14">
                  <c:v>41404</c:v>
                </c:pt>
                <c:pt idx="15">
                  <c:v>41423</c:v>
                </c:pt>
                <c:pt idx="16">
                  <c:v>41425</c:v>
                </c:pt>
                <c:pt idx="17">
                  <c:v>41431</c:v>
                </c:pt>
                <c:pt idx="18">
                  <c:v>41432</c:v>
                </c:pt>
                <c:pt idx="19">
                  <c:v>41438</c:v>
                </c:pt>
                <c:pt idx="20">
                  <c:v>41442</c:v>
                </c:pt>
                <c:pt idx="21">
                  <c:v>41444</c:v>
                </c:pt>
                <c:pt idx="22">
                  <c:v>41453</c:v>
                </c:pt>
                <c:pt idx="23">
                  <c:v>41458</c:v>
                </c:pt>
                <c:pt idx="24">
                  <c:v>41464</c:v>
                </c:pt>
                <c:pt idx="25">
                  <c:v>41465</c:v>
                </c:pt>
                <c:pt idx="26">
                  <c:v>41474</c:v>
                </c:pt>
                <c:pt idx="27">
                  <c:v>41478</c:v>
                </c:pt>
                <c:pt idx="28">
                  <c:v>41480</c:v>
                </c:pt>
                <c:pt idx="29">
                  <c:v>41484</c:v>
                </c:pt>
                <c:pt idx="30">
                  <c:v>41486</c:v>
                </c:pt>
                <c:pt idx="31">
                  <c:v>41493</c:v>
                </c:pt>
                <c:pt idx="32">
                  <c:v>41494</c:v>
                </c:pt>
                <c:pt idx="33">
                  <c:v>41495</c:v>
                </c:pt>
                <c:pt idx="34">
                  <c:v>41498</c:v>
                </c:pt>
                <c:pt idx="35">
                  <c:v>41500</c:v>
                </c:pt>
                <c:pt idx="36">
                  <c:v>41501</c:v>
                </c:pt>
                <c:pt idx="37">
                  <c:v>41502</c:v>
                </c:pt>
                <c:pt idx="38">
                  <c:v>41503</c:v>
                </c:pt>
                <c:pt idx="39">
                  <c:v>41506</c:v>
                </c:pt>
                <c:pt idx="40">
                  <c:v>41507</c:v>
                </c:pt>
                <c:pt idx="41">
                  <c:v>41508</c:v>
                </c:pt>
                <c:pt idx="42">
                  <c:v>41509</c:v>
                </c:pt>
                <c:pt idx="43">
                  <c:v>41512</c:v>
                </c:pt>
                <c:pt idx="44">
                  <c:v>41514</c:v>
                </c:pt>
                <c:pt idx="45">
                  <c:v>41515</c:v>
                </c:pt>
                <c:pt idx="46">
                  <c:v>41516</c:v>
                </c:pt>
                <c:pt idx="47">
                  <c:v>41520</c:v>
                </c:pt>
                <c:pt idx="48">
                  <c:v>41522</c:v>
                </c:pt>
                <c:pt idx="49">
                  <c:v>41526</c:v>
                </c:pt>
                <c:pt idx="50">
                  <c:v>41527</c:v>
                </c:pt>
                <c:pt idx="51">
                  <c:v>41528</c:v>
                </c:pt>
                <c:pt idx="52">
                  <c:v>41530</c:v>
                </c:pt>
                <c:pt idx="53">
                  <c:v>41533</c:v>
                </c:pt>
                <c:pt idx="54">
                  <c:v>41535</c:v>
                </c:pt>
                <c:pt idx="55">
                  <c:v>41537</c:v>
                </c:pt>
                <c:pt idx="56">
                  <c:v>41540</c:v>
                </c:pt>
                <c:pt idx="57">
                  <c:v>41542</c:v>
                </c:pt>
                <c:pt idx="58">
                  <c:v>41543</c:v>
                </c:pt>
                <c:pt idx="59">
                  <c:v>41544</c:v>
                </c:pt>
                <c:pt idx="60">
                  <c:v>41547</c:v>
                </c:pt>
                <c:pt idx="61">
                  <c:v>41548</c:v>
                </c:pt>
                <c:pt idx="62">
                  <c:v>41550</c:v>
                </c:pt>
                <c:pt idx="63">
                  <c:v>41551</c:v>
                </c:pt>
                <c:pt idx="64">
                  <c:v>41554</c:v>
                </c:pt>
                <c:pt idx="65">
                  <c:v>41555</c:v>
                </c:pt>
                <c:pt idx="66">
                  <c:v>41556</c:v>
                </c:pt>
                <c:pt idx="67">
                  <c:v>41557</c:v>
                </c:pt>
                <c:pt idx="68">
                  <c:v>41558</c:v>
                </c:pt>
                <c:pt idx="69">
                  <c:v>41559</c:v>
                </c:pt>
                <c:pt idx="70">
                  <c:v>41562</c:v>
                </c:pt>
                <c:pt idx="71">
                  <c:v>41563</c:v>
                </c:pt>
                <c:pt idx="72">
                  <c:v>41564</c:v>
                </c:pt>
                <c:pt idx="73">
                  <c:v>41565</c:v>
                </c:pt>
                <c:pt idx="74">
                  <c:v>41568</c:v>
                </c:pt>
                <c:pt idx="75">
                  <c:v>41569</c:v>
                </c:pt>
                <c:pt idx="76">
                  <c:v>41570</c:v>
                </c:pt>
                <c:pt idx="77">
                  <c:v>41571</c:v>
                </c:pt>
                <c:pt idx="78">
                  <c:v>41572</c:v>
                </c:pt>
                <c:pt idx="79">
                  <c:v>41573</c:v>
                </c:pt>
                <c:pt idx="80">
                  <c:v>41575</c:v>
                </c:pt>
                <c:pt idx="81">
                  <c:v>41577</c:v>
                </c:pt>
                <c:pt idx="82">
                  <c:v>41578</c:v>
                </c:pt>
                <c:pt idx="83">
                  <c:v>41579</c:v>
                </c:pt>
                <c:pt idx="84">
                  <c:v>41582</c:v>
                </c:pt>
                <c:pt idx="85">
                  <c:v>41583</c:v>
                </c:pt>
                <c:pt idx="86">
                  <c:v>41585</c:v>
                </c:pt>
                <c:pt idx="87">
                  <c:v>41586</c:v>
                </c:pt>
                <c:pt idx="88">
                  <c:v>41590</c:v>
                </c:pt>
                <c:pt idx="89">
                  <c:v>41591</c:v>
                </c:pt>
                <c:pt idx="90">
                  <c:v>41592</c:v>
                </c:pt>
                <c:pt idx="91">
                  <c:v>41593</c:v>
                </c:pt>
                <c:pt idx="92">
                  <c:v>41595</c:v>
                </c:pt>
                <c:pt idx="93">
                  <c:v>41596</c:v>
                </c:pt>
                <c:pt idx="94">
                  <c:v>41597</c:v>
                </c:pt>
                <c:pt idx="95">
                  <c:v>41598</c:v>
                </c:pt>
                <c:pt idx="96">
                  <c:v>41602</c:v>
                </c:pt>
                <c:pt idx="97">
                  <c:v>41603</c:v>
                </c:pt>
                <c:pt idx="98">
                  <c:v>41604</c:v>
                </c:pt>
                <c:pt idx="99">
                  <c:v>41605</c:v>
                </c:pt>
              </c:numCache>
            </c:numRef>
          </c:cat>
          <c:val>
            <c:numRef>
              <c:f>'App Date'!$D$4:$D$103</c:f>
              <c:numCache>
                <c:formatCode>_(* #,##0_);_(* \(#,##0\);_(* "-"??_);_(@_)</c:formatCode>
                <c:ptCount val="100"/>
                <c:pt idx="0">
                  <c:v>13400</c:v>
                </c:pt>
                <c:pt idx="1">
                  <c:v>13500</c:v>
                </c:pt>
                <c:pt idx="2">
                  <c:v>13600</c:v>
                </c:pt>
                <c:pt idx="3">
                  <c:v>13709</c:v>
                </c:pt>
                <c:pt idx="4">
                  <c:v>13850</c:v>
                </c:pt>
                <c:pt idx="5">
                  <c:v>13894</c:v>
                </c:pt>
                <c:pt idx="6">
                  <c:v>13941</c:v>
                </c:pt>
                <c:pt idx="7">
                  <c:v>14091</c:v>
                </c:pt>
                <c:pt idx="8">
                  <c:v>14103</c:v>
                </c:pt>
                <c:pt idx="9">
                  <c:v>14183</c:v>
                </c:pt>
                <c:pt idx="10">
                  <c:v>14321</c:v>
                </c:pt>
                <c:pt idx="11">
                  <c:v>14373</c:v>
                </c:pt>
                <c:pt idx="12">
                  <c:v>14491</c:v>
                </c:pt>
                <c:pt idx="13">
                  <c:v>14523</c:v>
                </c:pt>
                <c:pt idx="14">
                  <c:v>14643</c:v>
                </c:pt>
                <c:pt idx="15">
                  <c:v>14773</c:v>
                </c:pt>
                <c:pt idx="16">
                  <c:v>14907</c:v>
                </c:pt>
                <c:pt idx="17">
                  <c:v>16432</c:v>
                </c:pt>
                <c:pt idx="18">
                  <c:v>17073</c:v>
                </c:pt>
                <c:pt idx="19">
                  <c:v>17176</c:v>
                </c:pt>
                <c:pt idx="20">
                  <c:v>17262</c:v>
                </c:pt>
                <c:pt idx="21">
                  <c:v>17489</c:v>
                </c:pt>
                <c:pt idx="22">
                  <c:v>17761</c:v>
                </c:pt>
                <c:pt idx="23">
                  <c:v>18057</c:v>
                </c:pt>
                <c:pt idx="24">
                  <c:v>18251</c:v>
                </c:pt>
                <c:pt idx="25">
                  <c:v>18384</c:v>
                </c:pt>
                <c:pt idx="26">
                  <c:v>18705</c:v>
                </c:pt>
                <c:pt idx="27">
                  <c:v>18726</c:v>
                </c:pt>
                <c:pt idx="28">
                  <c:v>19062</c:v>
                </c:pt>
                <c:pt idx="29">
                  <c:v>19724</c:v>
                </c:pt>
                <c:pt idx="30">
                  <c:v>20512</c:v>
                </c:pt>
                <c:pt idx="31">
                  <c:v>20776</c:v>
                </c:pt>
                <c:pt idx="32">
                  <c:v>20876</c:v>
                </c:pt>
                <c:pt idx="33">
                  <c:v>21028</c:v>
                </c:pt>
                <c:pt idx="34">
                  <c:v>21171</c:v>
                </c:pt>
                <c:pt idx="35">
                  <c:v>21578</c:v>
                </c:pt>
                <c:pt idx="36">
                  <c:v>21937</c:v>
                </c:pt>
                <c:pt idx="37">
                  <c:v>22306</c:v>
                </c:pt>
                <c:pt idx="38">
                  <c:v>28652</c:v>
                </c:pt>
                <c:pt idx="39">
                  <c:v>29595</c:v>
                </c:pt>
                <c:pt idx="40">
                  <c:v>30151</c:v>
                </c:pt>
                <c:pt idx="41">
                  <c:v>30329</c:v>
                </c:pt>
                <c:pt idx="42">
                  <c:v>31691</c:v>
                </c:pt>
                <c:pt idx="43">
                  <c:v>31852</c:v>
                </c:pt>
                <c:pt idx="44">
                  <c:v>32969</c:v>
                </c:pt>
                <c:pt idx="45">
                  <c:v>33495</c:v>
                </c:pt>
                <c:pt idx="46">
                  <c:v>34028</c:v>
                </c:pt>
                <c:pt idx="47">
                  <c:v>34095</c:v>
                </c:pt>
                <c:pt idx="48">
                  <c:v>34279</c:v>
                </c:pt>
                <c:pt idx="49">
                  <c:v>34680</c:v>
                </c:pt>
                <c:pt idx="50">
                  <c:v>36710</c:v>
                </c:pt>
                <c:pt idx="51">
                  <c:v>36901</c:v>
                </c:pt>
                <c:pt idx="52">
                  <c:v>37205</c:v>
                </c:pt>
                <c:pt idx="53">
                  <c:v>38585</c:v>
                </c:pt>
                <c:pt idx="54">
                  <c:v>39981</c:v>
                </c:pt>
                <c:pt idx="55">
                  <c:v>41491</c:v>
                </c:pt>
                <c:pt idx="56">
                  <c:v>41675</c:v>
                </c:pt>
                <c:pt idx="57">
                  <c:v>41709</c:v>
                </c:pt>
                <c:pt idx="58">
                  <c:v>42190</c:v>
                </c:pt>
                <c:pt idx="59">
                  <c:v>47943</c:v>
                </c:pt>
                <c:pt idx="60">
                  <c:v>50239</c:v>
                </c:pt>
                <c:pt idx="61">
                  <c:v>50766</c:v>
                </c:pt>
                <c:pt idx="62">
                  <c:v>51513</c:v>
                </c:pt>
                <c:pt idx="63">
                  <c:v>52073</c:v>
                </c:pt>
                <c:pt idx="64">
                  <c:v>52285</c:v>
                </c:pt>
                <c:pt idx="65">
                  <c:v>54679</c:v>
                </c:pt>
                <c:pt idx="66">
                  <c:v>58742</c:v>
                </c:pt>
                <c:pt idx="67">
                  <c:v>58875</c:v>
                </c:pt>
                <c:pt idx="68">
                  <c:v>61883</c:v>
                </c:pt>
                <c:pt idx="69">
                  <c:v>62048</c:v>
                </c:pt>
                <c:pt idx="70">
                  <c:v>62098</c:v>
                </c:pt>
                <c:pt idx="71">
                  <c:v>62268</c:v>
                </c:pt>
                <c:pt idx="72">
                  <c:v>63599</c:v>
                </c:pt>
                <c:pt idx="73">
                  <c:v>65742</c:v>
                </c:pt>
                <c:pt idx="74">
                  <c:v>66257</c:v>
                </c:pt>
                <c:pt idx="75">
                  <c:v>66557</c:v>
                </c:pt>
                <c:pt idx="76">
                  <c:v>67126</c:v>
                </c:pt>
                <c:pt idx="77">
                  <c:v>79247</c:v>
                </c:pt>
                <c:pt idx="78">
                  <c:v>85532</c:v>
                </c:pt>
                <c:pt idx="79">
                  <c:v>85817</c:v>
                </c:pt>
                <c:pt idx="80">
                  <c:v>85841</c:v>
                </c:pt>
                <c:pt idx="81">
                  <c:v>87029</c:v>
                </c:pt>
                <c:pt idx="82">
                  <c:v>92818</c:v>
                </c:pt>
                <c:pt idx="83">
                  <c:v>93292</c:v>
                </c:pt>
                <c:pt idx="84">
                  <c:v>94464</c:v>
                </c:pt>
                <c:pt idx="85">
                  <c:v>94712</c:v>
                </c:pt>
                <c:pt idx="86">
                  <c:v>96444</c:v>
                </c:pt>
                <c:pt idx="87">
                  <c:v>97092</c:v>
                </c:pt>
                <c:pt idx="88">
                  <c:v>97577</c:v>
                </c:pt>
                <c:pt idx="89">
                  <c:v>98209</c:v>
                </c:pt>
                <c:pt idx="90">
                  <c:v>98571</c:v>
                </c:pt>
                <c:pt idx="91">
                  <c:v>99045</c:v>
                </c:pt>
                <c:pt idx="92">
                  <c:v>99365</c:v>
                </c:pt>
                <c:pt idx="93">
                  <c:v>99850</c:v>
                </c:pt>
                <c:pt idx="94">
                  <c:v>100190</c:v>
                </c:pt>
                <c:pt idx="95">
                  <c:v>100645</c:v>
                </c:pt>
                <c:pt idx="96">
                  <c:v>100933</c:v>
                </c:pt>
                <c:pt idx="97">
                  <c:v>102183</c:v>
                </c:pt>
                <c:pt idx="98">
                  <c:v>106068</c:v>
                </c:pt>
                <c:pt idx="99">
                  <c:v>108941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729600"/>
        <c:axId val="36731136"/>
      </c:lineChart>
      <c:dateAx>
        <c:axId val="3672960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6731136"/>
        <c:crosses val="autoZero"/>
        <c:auto val="1"/>
        <c:lblOffset val="100"/>
        <c:baseTimeUnit val="days"/>
      </c:dateAx>
      <c:valAx>
        <c:axId val="36731136"/>
        <c:scaling>
          <c:orientation val="minMax"/>
        </c:scaling>
        <c:delete val="0"/>
        <c:axPos val="l"/>
        <c:majorGridlines/>
        <c:numFmt formatCode="_(* #,##0_);_(* \(#,##0\);_(* &quot;-&quot;??_);_(@_)" sourceLinked="1"/>
        <c:majorTickMark val="out"/>
        <c:minorTickMark val="none"/>
        <c:tickLblPos val="nextTo"/>
        <c:crossAx val="36729600"/>
        <c:crosses val="autoZero"/>
        <c:crossBetween val="between"/>
      </c:valAx>
    </c:plotArea>
    <c:legend>
      <c:legendPos val="r"/>
      <c:layout/>
      <c:overlay val="0"/>
    </c:legend>
    <c:plotVisOnly val="1"/>
    <c:dispBlanksAs val="zero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9524</xdr:colOff>
      <xdr:row>1</xdr:row>
      <xdr:rowOff>171449</xdr:rowOff>
    </xdr:from>
    <xdr:to>
      <xdr:col>11</xdr:col>
      <xdr:colOff>609599</xdr:colOff>
      <xdr:row>21</xdr:row>
      <xdr:rowOff>161924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tabSelected="1" workbookViewId="0">
      <pane ySplit="3" topLeftCell="A10" activePane="bottomLeft" state="frozen"/>
      <selection pane="bottomLeft" activeCell="E24" sqref="E24"/>
    </sheetView>
  </sheetViews>
  <sheetFormatPr defaultRowHeight="14.4" x14ac:dyDescent="0.3"/>
  <cols>
    <col min="1" max="1" width="15.33203125" bestFit="1" customWidth="1"/>
    <col min="2" max="2" width="13.5546875" bestFit="1" customWidth="1"/>
    <col min="3" max="3" width="8.44140625" style="2" bestFit="1" customWidth="1"/>
    <col min="4" max="4" width="12.6640625" style="2" bestFit="1" customWidth="1"/>
    <col min="5" max="5" width="44.6640625" style="15" bestFit="1" customWidth="1"/>
    <col min="6" max="6" width="31.33203125" bestFit="1" customWidth="1"/>
    <col min="7" max="7" width="14.6640625" customWidth="1"/>
    <col min="9" max="9" width="13.6640625" bestFit="1" customWidth="1"/>
  </cols>
  <sheetData>
    <row r="1" spans="1:8" ht="15.75" x14ac:dyDescent="0.25">
      <c r="A1" s="25" t="s">
        <v>14</v>
      </c>
      <c r="B1" s="25"/>
      <c r="C1" s="25"/>
      <c r="D1" s="25"/>
      <c r="E1" s="25"/>
    </row>
    <row r="2" spans="1:8" ht="8.1" customHeight="1" x14ac:dyDescent="0.25"/>
    <row r="3" spans="1:8" ht="30" x14ac:dyDescent="0.25">
      <c r="A3" s="13" t="s">
        <v>0</v>
      </c>
      <c r="B3" s="13" t="s">
        <v>1</v>
      </c>
      <c r="C3" s="14" t="s">
        <v>2</v>
      </c>
      <c r="D3" s="14" t="s">
        <v>3</v>
      </c>
      <c r="E3" s="18"/>
    </row>
    <row r="4" spans="1:8" ht="14.1" customHeight="1" x14ac:dyDescent="0.25">
      <c r="A4" s="4">
        <v>41206</v>
      </c>
      <c r="B4" s="1">
        <v>119</v>
      </c>
      <c r="C4" s="3">
        <v>13400</v>
      </c>
      <c r="D4" s="2">
        <f>SUM($C$4:C4)</f>
        <v>13400</v>
      </c>
      <c r="E4" s="15" t="s">
        <v>4</v>
      </c>
    </row>
    <row r="5" spans="1:8" ht="15" x14ac:dyDescent="0.25">
      <c r="A5" s="4">
        <v>41247</v>
      </c>
      <c r="B5" s="1">
        <v>1</v>
      </c>
      <c r="C5" s="3">
        <v>100</v>
      </c>
      <c r="D5" s="2">
        <f>SUM($C$4:C5)</f>
        <v>13500</v>
      </c>
      <c r="E5" s="15" t="s">
        <v>5</v>
      </c>
    </row>
    <row r="6" spans="1:8" ht="15" x14ac:dyDescent="0.25">
      <c r="A6" s="4">
        <v>41250</v>
      </c>
      <c r="B6" s="1">
        <v>1</v>
      </c>
      <c r="C6" s="3">
        <v>100</v>
      </c>
      <c r="D6" s="2">
        <f>SUM($C$4:C6)</f>
        <v>13600</v>
      </c>
    </row>
    <row r="7" spans="1:8" ht="15" x14ac:dyDescent="0.25">
      <c r="A7" s="4">
        <v>41263</v>
      </c>
      <c r="B7" s="1">
        <v>1</v>
      </c>
      <c r="C7" s="3">
        <v>109</v>
      </c>
      <c r="D7" s="2">
        <f>SUM($C$4:C7)</f>
        <v>13709</v>
      </c>
      <c r="E7" s="23" t="s">
        <v>8</v>
      </c>
    </row>
    <row r="8" spans="1:8" ht="15" x14ac:dyDescent="0.25">
      <c r="A8" s="4">
        <v>41279</v>
      </c>
      <c r="B8" s="1">
        <v>1</v>
      </c>
      <c r="C8" s="3">
        <v>141</v>
      </c>
      <c r="D8" s="2">
        <f>SUM($C$4:C8)</f>
        <v>13850</v>
      </c>
    </row>
    <row r="9" spans="1:8" ht="15" x14ac:dyDescent="0.25">
      <c r="A9" s="4">
        <v>41288</v>
      </c>
      <c r="B9" s="1">
        <v>1</v>
      </c>
      <c r="C9" s="3">
        <v>44</v>
      </c>
      <c r="D9" s="2">
        <f>SUM($C$4:C9)</f>
        <v>13894</v>
      </c>
    </row>
    <row r="10" spans="1:8" ht="15" x14ac:dyDescent="0.25">
      <c r="A10" s="4">
        <v>41303</v>
      </c>
      <c r="B10" s="1">
        <v>1</v>
      </c>
      <c r="C10" s="3">
        <v>47</v>
      </c>
      <c r="D10" s="2">
        <f>SUM($C$4:C10)</f>
        <v>13941</v>
      </c>
      <c r="H10" s="17"/>
    </row>
    <row r="11" spans="1:8" ht="15" x14ac:dyDescent="0.25">
      <c r="A11" s="4">
        <v>41305</v>
      </c>
      <c r="B11" s="1">
        <v>1</v>
      </c>
      <c r="C11" s="3">
        <v>150</v>
      </c>
      <c r="D11" s="2">
        <f>SUM($C$4:C11)</f>
        <v>14091</v>
      </c>
    </row>
    <row r="12" spans="1:8" ht="15" x14ac:dyDescent="0.25">
      <c r="A12" s="4">
        <v>41307</v>
      </c>
      <c r="B12" s="1">
        <v>1</v>
      </c>
      <c r="C12" s="3">
        <v>12</v>
      </c>
      <c r="D12" s="2">
        <f>SUM($C$4:C12)</f>
        <v>14103</v>
      </c>
    </row>
    <row r="13" spans="1:8" ht="15" x14ac:dyDescent="0.25">
      <c r="A13" s="4">
        <v>41318</v>
      </c>
      <c r="B13" s="1">
        <v>1</v>
      </c>
      <c r="C13" s="3">
        <v>80</v>
      </c>
      <c r="D13" s="2">
        <f>SUM($C$4:C13)</f>
        <v>14183</v>
      </c>
    </row>
    <row r="14" spans="1:8" ht="15" x14ac:dyDescent="0.25">
      <c r="A14" s="4">
        <v>41319</v>
      </c>
      <c r="B14" s="1">
        <v>1</v>
      </c>
      <c r="C14" s="3">
        <v>138</v>
      </c>
      <c r="D14" s="2">
        <f>SUM($C$4:C14)</f>
        <v>14321</v>
      </c>
    </row>
    <row r="15" spans="1:8" ht="15" x14ac:dyDescent="0.25">
      <c r="A15" s="4">
        <v>41346</v>
      </c>
      <c r="B15" s="1">
        <v>1</v>
      </c>
      <c r="C15" s="3">
        <v>52</v>
      </c>
      <c r="D15" s="2">
        <f>SUM($C$4:C15)</f>
        <v>14373</v>
      </c>
      <c r="E15" s="15" t="s">
        <v>9</v>
      </c>
    </row>
    <row r="16" spans="1:8" ht="15" x14ac:dyDescent="0.25">
      <c r="A16" s="4">
        <v>41393</v>
      </c>
      <c r="B16" s="1">
        <v>1</v>
      </c>
      <c r="C16" s="3">
        <v>118</v>
      </c>
      <c r="D16" s="2">
        <f>SUM($C$4:C16)</f>
        <v>14491</v>
      </c>
    </row>
    <row r="17" spans="1:7" ht="15" x14ac:dyDescent="0.25">
      <c r="A17" s="4">
        <v>41401</v>
      </c>
      <c r="B17" s="1">
        <v>1</v>
      </c>
      <c r="C17" s="3">
        <v>32</v>
      </c>
      <c r="D17" s="2">
        <f>SUM($C$4:C17)</f>
        <v>14523</v>
      </c>
    </row>
    <row r="18" spans="1:7" ht="15" x14ac:dyDescent="0.25">
      <c r="A18" s="4">
        <v>41404</v>
      </c>
      <c r="B18" s="1">
        <v>1</v>
      </c>
      <c r="C18" s="3">
        <v>120</v>
      </c>
      <c r="D18" s="2">
        <f>SUM($C$4:C18)</f>
        <v>14643</v>
      </c>
    </row>
    <row r="19" spans="1:7" ht="15" x14ac:dyDescent="0.25">
      <c r="A19" s="4">
        <v>41423</v>
      </c>
      <c r="B19" s="1">
        <v>2</v>
      </c>
      <c r="C19" s="3">
        <v>130</v>
      </c>
      <c r="D19" s="2">
        <f>SUM($C$4:C19)</f>
        <v>14773</v>
      </c>
    </row>
    <row r="20" spans="1:7" ht="15" x14ac:dyDescent="0.25">
      <c r="A20" s="4">
        <v>41425</v>
      </c>
      <c r="B20" s="1">
        <v>2</v>
      </c>
      <c r="C20" s="3">
        <v>134</v>
      </c>
      <c r="D20" s="2">
        <f>SUM($C$4:C20)</f>
        <v>14907</v>
      </c>
    </row>
    <row r="21" spans="1:7" ht="15" x14ac:dyDescent="0.25">
      <c r="A21" s="4">
        <v>41431</v>
      </c>
      <c r="B21" s="1">
        <v>4</v>
      </c>
      <c r="C21" s="3">
        <v>1525</v>
      </c>
      <c r="D21" s="2">
        <f>SUM($C$4:C21)</f>
        <v>16432</v>
      </c>
    </row>
    <row r="22" spans="1:7" ht="15" x14ac:dyDescent="0.25">
      <c r="A22" s="4">
        <v>41432</v>
      </c>
      <c r="B22" s="1">
        <v>3</v>
      </c>
      <c r="C22" s="3">
        <v>641</v>
      </c>
      <c r="D22" s="2">
        <f>SUM($C$4:C22)</f>
        <v>17073</v>
      </c>
    </row>
    <row r="23" spans="1:7" ht="15" x14ac:dyDescent="0.25">
      <c r="A23" s="4">
        <v>41438</v>
      </c>
      <c r="B23" s="1">
        <v>2</v>
      </c>
      <c r="C23" s="3">
        <v>103</v>
      </c>
      <c r="D23" s="2">
        <f>SUM($C$4:C23)</f>
        <v>17176</v>
      </c>
    </row>
    <row r="24" spans="1:7" ht="15" x14ac:dyDescent="0.25">
      <c r="A24" s="4">
        <v>41442</v>
      </c>
      <c r="B24" s="1">
        <v>1</v>
      </c>
      <c r="C24" s="3">
        <v>86</v>
      </c>
      <c r="D24" s="2">
        <f>SUM($C$4:C24)</f>
        <v>17262</v>
      </c>
    </row>
    <row r="25" spans="1:7" ht="15" x14ac:dyDescent="0.25">
      <c r="A25" s="4">
        <v>41444</v>
      </c>
      <c r="B25" s="1">
        <v>1</v>
      </c>
      <c r="C25" s="3">
        <v>227</v>
      </c>
      <c r="D25" s="2">
        <f>SUM($C$4:C25)</f>
        <v>17489</v>
      </c>
    </row>
    <row r="26" spans="1:7" ht="15" x14ac:dyDescent="0.25">
      <c r="A26" s="4">
        <v>41453</v>
      </c>
      <c r="B26" s="1">
        <v>1</v>
      </c>
      <c r="C26" s="3">
        <v>272</v>
      </c>
      <c r="D26" s="2">
        <f>SUM($C$4:C26)</f>
        <v>17761</v>
      </c>
      <c r="E26" s="15" t="s">
        <v>10</v>
      </c>
    </row>
    <row r="27" spans="1:7" ht="15" x14ac:dyDescent="0.25">
      <c r="A27" s="4">
        <v>41458</v>
      </c>
      <c r="B27" s="1">
        <v>1</v>
      </c>
      <c r="C27" s="3">
        <v>296</v>
      </c>
      <c r="D27" s="2">
        <f>SUM($C$4:C27)</f>
        <v>18057</v>
      </c>
      <c r="G27" s="17"/>
    </row>
    <row r="28" spans="1:7" ht="15" x14ac:dyDescent="0.25">
      <c r="A28" s="4">
        <v>41464</v>
      </c>
      <c r="B28" s="1">
        <v>1</v>
      </c>
      <c r="C28" s="3">
        <v>194</v>
      </c>
      <c r="D28" s="2">
        <f>SUM($C$4:C28)</f>
        <v>18251</v>
      </c>
      <c r="G28" s="17"/>
    </row>
    <row r="29" spans="1:7" ht="15" x14ac:dyDescent="0.25">
      <c r="A29" s="4">
        <v>41465</v>
      </c>
      <c r="B29" s="1">
        <v>1</v>
      </c>
      <c r="C29" s="3">
        <v>133</v>
      </c>
      <c r="D29" s="2">
        <f>SUM($C$4:C29)</f>
        <v>18384</v>
      </c>
    </row>
    <row r="30" spans="1:7" ht="15" x14ac:dyDescent="0.25">
      <c r="A30" s="4">
        <v>41474</v>
      </c>
      <c r="B30" s="1">
        <v>2</v>
      </c>
      <c r="C30" s="3">
        <v>321</v>
      </c>
      <c r="D30" s="2">
        <f>SUM($C$4:C30)</f>
        <v>18705</v>
      </c>
    </row>
    <row r="31" spans="1:7" ht="15" x14ac:dyDescent="0.25">
      <c r="A31" s="4">
        <v>41478</v>
      </c>
      <c r="B31" s="1">
        <v>1</v>
      </c>
      <c r="C31" s="3">
        <v>21</v>
      </c>
      <c r="D31" s="2">
        <f>SUM($C$4:C31)</f>
        <v>18726</v>
      </c>
    </row>
    <row r="32" spans="1:7" ht="15" x14ac:dyDescent="0.25">
      <c r="A32" s="4">
        <v>41480</v>
      </c>
      <c r="B32" s="1">
        <v>2</v>
      </c>
      <c r="C32" s="3">
        <v>336</v>
      </c>
      <c r="D32" s="2">
        <f>SUM($C$4:C32)</f>
        <v>19062</v>
      </c>
    </row>
    <row r="33" spans="1:6" ht="15" x14ac:dyDescent="0.25">
      <c r="A33" s="4">
        <v>41484</v>
      </c>
      <c r="B33" s="1">
        <v>3</v>
      </c>
      <c r="C33" s="3">
        <v>662</v>
      </c>
      <c r="D33" s="2">
        <f>SUM($C$4:C33)</f>
        <v>19724</v>
      </c>
    </row>
    <row r="34" spans="1:6" ht="15" x14ac:dyDescent="0.25">
      <c r="A34" s="4">
        <v>41486</v>
      </c>
      <c r="B34" s="1">
        <v>9</v>
      </c>
      <c r="C34" s="3">
        <v>788</v>
      </c>
      <c r="D34" s="2">
        <f>SUM($C$4:C34)</f>
        <v>20512</v>
      </c>
    </row>
    <row r="35" spans="1:6" ht="15" x14ac:dyDescent="0.25">
      <c r="A35" s="4">
        <v>41493</v>
      </c>
      <c r="B35" s="1">
        <v>3</v>
      </c>
      <c r="C35" s="3">
        <v>264</v>
      </c>
      <c r="D35" s="2">
        <f>SUM($C$4:C35)</f>
        <v>20776</v>
      </c>
    </row>
    <row r="36" spans="1:6" ht="15" x14ac:dyDescent="0.25">
      <c r="A36" s="4">
        <v>41494</v>
      </c>
      <c r="B36" s="1">
        <v>1</v>
      </c>
      <c r="C36" s="3">
        <v>100</v>
      </c>
      <c r="D36" s="2">
        <f>SUM($C$4:C36)</f>
        <v>20876</v>
      </c>
    </row>
    <row r="37" spans="1:6" ht="15" x14ac:dyDescent="0.25">
      <c r="A37" s="4">
        <v>41495</v>
      </c>
      <c r="B37" s="1">
        <v>1</v>
      </c>
      <c r="C37" s="3">
        <v>152</v>
      </c>
      <c r="D37" s="2">
        <f>SUM($C$4:C37)</f>
        <v>21028</v>
      </c>
    </row>
    <row r="38" spans="1:6" ht="15" x14ac:dyDescent="0.25">
      <c r="A38" s="4">
        <v>41498</v>
      </c>
      <c r="B38" s="1">
        <v>1</v>
      </c>
      <c r="C38" s="3">
        <v>143</v>
      </c>
      <c r="D38" s="2">
        <f>SUM($C$4:C38)</f>
        <v>21171</v>
      </c>
    </row>
    <row r="39" spans="1:6" ht="15" x14ac:dyDescent="0.25">
      <c r="A39" s="4">
        <v>41500</v>
      </c>
      <c r="B39" s="1">
        <v>1</v>
      </c>
      <c r="C39" s="3">
        <v>407</v>
      </c>
      <c r="D39" s="2">
        <f>SUM($C$4:C39)</f>
        <v>21578</v>
      </c>
    </row>
    <row r="40" spans="1:6" ht="15" x14ac:dyDescent="0.25">
      <c r="A40" s="4">
        <v>41501</v>
      </c>
      <c r="B40" s="1">
        <v>3</v>
      </c>
      <c r="C40" s="3">
        <v>359</v>
      </c>
      <c r="D40" s="2">
        <f>SUM($C$4:C40)</f>
        <v>21937</v>
      </c>
      <c r="F40" s="15"/>
    </row>
    <row r="41" spans="1:6" x14ac:dyDescent="0.3">
      <c r="A41" s="4">
        <v>41502</v>
      </c>
      <c r="B41" s="1">
        <v>3</v>
      </c>
      <c r="C41" s="3">
        <v>369</v>
      </c>
      <c r="D41" s="2">
        <f>SUM($C$4:C41)</f>
        <v>22306</v>
      </c>
    </row>
    <row r="42" spans="1:6" x14ac:dyDescent="0.3">
      <c r="A42" s="4">
        <v>41503</v>
      </c>
      <c r="B42" s="1">
        <v>9</v>
      </c>
      <c r="C42" s="6">
        <v>6346</v>
      </c>
      <c r="D42" s="2">
        <f>SUM($C$4:C42)</f>
        <v>28652</v>
      </c>
    </row>
    <row r="43" spans="1:6" x14ac:dyDescent="0.3">
      <c r="A43" s="4">
        <v>41506</v>
      </c>
      <c r="B43" s="1">
        <v>7</v>
      </c>
      <c r="C43" s="3">
        <v>943</v>
      </c>
      <c r="D43" s="2">
        <f>SUM($C$4:C43)</f>
        <v>29595</v>
      </c>
    </row>
    <row r="44" spans="1:6" x14ac:dyDescent="0.3">
      <c r="A44" s="4">
        <v>41507</v>
      </c>
      <c r="B44" s="1">
        <v>6</v>
      </c>
      <c r="C44" s="3">
        <v>556</v>
      </c>
      <c r="D44" s="2">
        <f>SUM($C$4:C44)</f>
        <v>30151</v>
      </c>
    </row>
    <row r="45" spans="1:6" x14ac:dyDescent="0.3">
      <c r="A45" s="4">
        <v>41508</v>
      </c>
      <c r="B45" s="1">
        <v>1</v>
      </c>
      <c r="C45" s="3">
        <v>178</v>
      </c>
      <c r="D45" s="2">
        <f>SUM($C$4:C45)</f>
        <v>30329</v>
      </c>
    </row>
    <row r="46" spans="1:6" x14ac:dyDescent="0.3">
      <c r="A46" s="4">
        <v>41509</v>
      </c>
      <c r="B46" s="1">
        <v>11</v>
      </c>
      <c r="C46" s="3">
        <v>1362</v>
      </c>
      <c r="D46" s="2">
        <f>SUM($C$4:C46)</f>
        <v>31691</v>
      </c>
    </row>
    <row r="47" spans="1:6" x14ac:dyDescent="0.3">
      <c r="A47" s="4">
        <v>41512</v>
      </c>
      <c r="B47" s="1">
        <v>3</v>
      </c>
      <c r="C47" s="3">
        <v>161</v>
      </c>
      <c r="D47" s="2">
        <f>SUM($C$4:C47)</f>
        <v>31852</v>
      </c>
    </row>
    <row r="48" spans="1:6" x14ac:dyDescent="0.3">
      <c r="A48" s="4">
        <v>41514</v>
      </c>
      <c r="B48" s="1">
        <v>3</v>
      </c>
      <c r="C48" s="3">
        <v>1117</v>
      </c>
      <c r="D48" s="2">
        <f>SUM($C$4:C48)</f>
        <v>32969</v>
      </c>
    </row>
    <row r="49" spans="1:5" x14ac:dyDescent="0.3">
      <c r="A49" s="4">
        <v>41515</v>
      </c>
      <c r="B49" s="1">
        <v>4</v>
      </c>
      <c r="C49" s="3">
        <v>526</v>
      </c>
      <c r="D49" s="2">
        <f>SUM($C$4:C49)</f>
        <v>33495</v>
      </c>
    </row>
    <row r="50" spans="1:5" x14ac:dyDescent="0.3">
      <c r="A50" s="4">
        <v>41516</v>
      </c>
      <c r="B50" s="1">
        <v>2</v>
      </c>
      <c r="C50" s="3">
        <v>533</v>
      </c>
      <c r="D50" s="2">
        <f>SUM($C$4:C50)</f>
        <v>34028</v>
      </c>
    </row>
    <row r="51" spans="1:5" x14ac:dyDescent="0.3">
      <c r="A51" s="4">
        <v>41520</v>
      </c>
      <c r="B51" s="1">
        <v>2</v>
      </c>
      <c r="C51" s="3">
        <v>67</v>
      </c>
      <c r="D51" s="2">
        <f>SUM($C$4:C51)</f>
        <v>34095</v>
      </c>
    </row>
    <row r="52" spans="1:5" x14ac:dyDescent="0.3">
      <c r="A52" s="4">
        <v>41522</v>
      </c>
      <c r="B52" s="1">
        <v>1</v>
      </c>
      <c r="C52" s="3">
        <v>184</v>
      </c>
      <c r="D52" s="2">
        <f>SUM($C$4:C52)</f>
        <v>34279</v>
      </c>
    </row>
    <row r="53" spans="1:5" x14ac:dyDescent="0.3">
      <c r="A53" s="4">
        <v>41526</v>
      </c>
      <c r="B53" s="1">
        <v>3</v>
      </c>
      <c r="C53" s="3">
        <v>401</v>
      </c>
      <c r="D53" s="2">
        <f>SUM($C$4:C53)</f>
        <v>34680</v>
      </c>
    </row>
    <row r="54" spans="1:5" x14ac:dyDescent="0.3">
      <c r="A54" s="4">
        <v>41527</v>
      </c>
      <c r="B54" s="1">
        <v>8</v>
      </c>
      <c r="C54" s="3">
        <v>2030</v>
      </c>
      <c r="D54" s="2">
        <f>SUM($C$4:C54)</f>
        <v>36710</v>
      </c>
    </row>
    <row r="55" spans="1:5" x14ac:dyDescent="0.3">
      <c r="A55" s="4">
        <v>41528</v>
      </c>
      <c r="B55" s="1">
        <v>2</v>
      </c>
      <c r="C55" s="3">
        <v>191</v>
      </c>
      <c r="D55" s="2">
        <f>SUM($C$4:C55)</f>
        <v>36901</v>
      </c>
    </row>
    <row r="56" spans="1:5" x14ac:dyDescent="0.3">
      <c r="A56" s="4">
        <v>41530</v>
      </c>
      <c r="B56" s="1">
        <v>2</v>
      </c>
      <c r="C56" s="3">
        <v>304</v>
      </c>
      <c r="D56" s="2">
        <f>SUM($C$4:C56)</f>
        <v>37205</v>
      </c>
    </row>
    <row r="57" spans="1:5" x14ac:dyDescent="0.3">
      <c r="A57" s="4">
        <v>41533</v>
      </c>
      <c r="B57" s="1">
        <v>6</v>
      </c>
      <c r="C57" s="16">
        <v>1380</v>
      </c>
      <c r="D57" s="2">
        <f>SUM($C$4:C57)</f>
        <v>38585</v>
      </c>
    </row>
    <row r="58" spans="1:5" x14ac:dyDescent="0.3">
      <c r="A58" s="4">
        <v>41535</v>
      </c>
      <c r="B58" s="1">
        <v>5</v>
      </c>
      <c r="C58" s="5">
        <v>1396</v>
      </c>
      <c r="D58" s="2">
        <f>SUM($C$4:C58)</f>
        <v>39981</v>
      </c>
    </row>
    <row r="59" spans="1:5" x14ac:dyDescent="0.3">
      <c r="A59" s="4">
        <v>41537</v>
      </c>
      <c r="B59" s="7">
        <v>9</v>
      </c>
      <c r="C59" s="3">
        <v>1510</v>
      </c>
      <c r="D59" s="2">
        <f>SUM($C$4:C59)</f>
        <v>41491</v>
      </c>
    </row>
    <row r="60" spans="1:5" x14ac:dyDescent="0.3">
      <c r="A60" s="4">
        <v>41540</v>
      </c>
      <c r="B60" s="1">
        <v>4</v>
      </c>
      <c r="C60" s="3">
        <v>184</v>
      </c>
      <c r="D60" s="2">
        <f>SUM($C$4:C60)</f>
        <v>41675</v>
      </c>
    </row>
    <row r="61" spans="1:5" x14ac:dyDescent="0.3">
      <c r="A61" s="4">
        <v>41542</v>
      </c>
      <c r="B61" s="1">
        <v>1</v>
      </c>
      <c r="C61" s="3">
        <v>34</v>
      </c>
      <c r="D61" s="2">
        <f>SUM($C$4:C61)</f>
        <v>41709</v>
      </c>
    </row>
    <row r="62" spans="1:5" x14ac:dyDescent="0.3">
      <c r="A62" s="4">
        <v>41543</v>
      </c>
      <c r="B62" s="1">
        <v>5</v>
      </c>
      <c r="C62" s="3">
        <v>481</v>
      </c>
      <c r="D62" s="2">
        <f>SUM($C$4:C62)</f>
        <v>42190</v>
      </c>
    </row>
    <row r="63" spans="1:5" x14ac:dyDescent="0.3">
      <c r="A63" s="4">
        <v>41544</v>
      </c>
      <c r="B63" s="1">
        <v>28</v>
      </c>
      <c r="C63" s="3">
        <v>5753</v>
      </c>
      <c r="D63" s="2">
        <f>SUM($C$4:C63)</f>
        <v>47943</v>
      </c>
    </row>
    <row r="64" spans="1:5" x14ac:dyDescent="0.3">
      <c r="A64" s="4">
        <v>41547</v>
      </c>
      <c r="B64" s="1">
        <v>9</v>
      </c>
      <c r="C64" s="16">
        <v>2296</v>
      </c>
      <c r="D64" s="2">
        <f>SUM($C$4:C64)</f>
        <v>50239</v>
      </c>
      <c r="E64" s="15" t="s">
        <v>11</v>
      </c>
    </row>
    <row r="65" spans="1:5" x14ac:dyDescent="0.3">
      <c r="A65" s="4">
        <v>41548</v>
      </c>
      <c r="B65" s="1">
        <v>2</v>
      </c>
      <c r="C65" s="3">
        <v>527</v>
      </c>
      <c r="D65" s="2">
        <f>SUM($C$4:C65)</f>
        <v>50766</v>
      </c>
    </row>
    <row r="66" spans="1:5" x14ac:dyDescent="0.3">
      <c r="A66" s="4">
        <v>41550</v>
      </c>
      <c r="B66" s="1">
        <v>4</v>
      </c>
      <c r="C66" s="3">
        <v>747</v>
      </c>
      <c r="D66" s="2">
        <f>SUM($C$4:C66)</f>
        <v>51513</v>
      </c>
    </row>
    <row r="67" spans="1:5" x14ac:dyDescent="0.3">
      <c r="A67" s="4">
        <v>41551</v>
      </c>
      <c r="B67" s="1">
        <v>2</v>
      </c>
      <c r="C67" s="16">
        <v>560</v>
      </c>
      <c r="D67" s="2">
        <f>SUM($C$4:C67)</f>
        <v>52073</v>
      </c>
    </row>
    <row r="68" spans="1:5" x14ac:dyDescent="0.3">
      <c r="A68" s="4">
        <v>41554</v>
      </c>
      <c r="B68" s="1">
        <v>1</v>
      </c>
      <c r="C68" s="3">
        <v>212</v>
      </c>
      <c r="D68" s="2">
        <f>SUM($C$4:C68)</f>
        <v>52285</v>
      </c>
    </row>
    <row r="69" spans="1:5" x14ac:dyDescent="0.3">
      <c r="A69" s="4">
        <v>41555</v>
      </c>
      <c r="B69" s="1">
        <v>12</v>
      </c>
      <c r="C69" s="3">
        <v>2394</v>
      </c>
      <c r="D69" s="2">
        <f>SUM($C$4:C69)</f>
        <v>54679</v>
      </c>
    </row>
    <row r="70" spans="1:5" x14ac:dyDescent="0.3">
      <c r="A70" s="4">
        <v>41556</v>
      </c>
      <c r="B70" s="1">
        <v>11</v>
      </c>
      <c r="C70" s="3">
        <v>4063</v>
      </c>
      <c r="D70" s="2">
        <f>SUM($C$4:C70)</f>
        <v>58742</v>
      </c>
    </row>
    <row r="71" spans="1:5" x14ac:dyDescent="0.3">
      <c r="A71" s="4">
        <v>41557</v>
      </c>
      <c r="B71" s="1">
        <v>1</v>
      </c>
      <c r="C71" s="3">
        <v>133</v>
      </c>
      <c r="D71" s="2">
        <f>SUM($C$4:C71)</f>
        <v>58875</v>
      </c>
    </row>
    <row r="72" spans="1:5" x14ac:dyDescent="0.3">
      <c r="A72" s="19">
        <v>41558</v>
      </c>
      <c r="B72" s="20">
        <v>15</v>
      </c>
      <c r="C72" s="21">
        <v>3008</v>
      </c>
      <c r="D72" s="22">
        <f>SUM($C$4:C72)</f>
        <v>61883</v>
      </c>
      <c r="E72" s="24" t="s">
        <v>6</v>
      </c>
    </row>
    <row r="73" spans="1:5" x14ac:dyDescent="0.3">
      <c r="A73" s="4">
        <v>41559</v>
      </c>
      <c r="B73" s="1">
        <v>1</v>
      </c>
      <c r="C73" s="5">
        <v>165</v>
      </c>
      <c r="D73" s="2">
        <f>SUM($C$4:C73)</f>
        <v>62048</v>
      </c>
    </row>
    <row r="74" spans="1:5" x14ac:dyDescent="0.3">
      <c r="A74" s="4">
        <v>41562</v>
      </c>
      <c r="B74" s="1">
        <v>1</v>
      </c>
      <c r="C74" s="3">
        <v>50</v>
      </c>
      <c r="D74" s="2">
        <f>SUM($C$4:C74)</f>
        <v>62098</v>
      </c>
    </row>
    <row r="75" spans="1:5" x14ac:dyDescent="0.3">
      <c r="A75" s="4">
        <v>41563</v>
      </c>
      <c r="B75" s="1">
        <v>2</v>
      </c>
      <c r="C75" s="3">
        <v>170</v>
      </c>
      <c r="D75" s="2">
        <f>SUM($C$4:C75)</f>
        <v>62268</v>
      </c>
    </row>
    <row r="76" spans="1:5" x14ac:dyDescent="0.3">
      <c r="A76" s="4">
        <v>41564</v>
      </c>
      <c r="B76" s="1">
        <v>7</v>
      </c>
      <c r="C76" s="3">
        <v>1331</v>
      </c>
      <c r="D76" s="2">
        <f>SUM($C$4:C76)</f>
        <v>63599</v>
      </c>
    </row>
    <row r="77" spans="1:5" x14ac:dyDescent="0.3">
      <c r="A77" s="4">
        <v>41565</v>
      </c>
      <c r="B77" s="1">
        <v>17</v>
      </c>
      <c r="C77" s="5">
        <v>2143</v>
      </c>
      <c r="D77" s="2">
        <f>SUM($C$4:C77)</f>
        <v>65742</v>
      </c>
    </row>
    <row r="78" spans="1:5" x14ac:dyDescent="0.3">
      <c r="A78" s="4">
        <v>41568</v>
      </c>
      <c r="B78" s="1">
        <v>3</v>
      </c>
      <c r="C78" s="5">
        <v>515</v>
      </c>
      <c r="D78" s="2">
        <f>SUM($C$4:C78)</f>
        <v>66257</v>
      </c>
    </row>
    <row r="79" spans="1:5" x14ac:dyDescent="0.3">
      <c r="A79" s="4">
        <v>41569</v>
      </c>
      <c r="B79" s="1">
        <v>1</v>
      </c>
      <c r="C79" s="3">
        <v>300</v>
      </c>
      <c r="D79" s="2">
        <f>SUM($C$4:C79)</f>
        <v>66557</v>
      </c>
    </row>
    <row r="80" spans="1:5" x14ac:dyDescent="0.3">
      <c r="A80" s="4">
        <v>41570</v>
      </c>
      <c r="B80" s="1">
        <v>2</v>
      </c>
      <c r="C80" s="3">
        <v>569</v>
      </c>
      <c r="D80" s="2">
        <f>SUM($C$4:C80)</f>
        <v>67126</v>
      </c>
    </row>
    <row r="81" spans="1:4" x14ac:dyDescent="0.3">
      <c r="A81" s="4">
        <v>41571</v>
      </c>
      <c r="B81" s="1">
        <v>48</v>
      </c>
      <c r="C81" s="3">
        <v>12121</v>
      </c>
      <c r="D81" s="2">
        <f>SUM($C$4:C81)</f>
        <v>79247</v>
      </c>
    </row>
    <row r="82" spans="1:4" x14ac:dyDescent="0.3">
      <c r="A82" s="4">
        <v>41572</v>
      </c>
      <c r="B82" s="1">
        <v>28</v>
      </c>
      <c r="C82" s="5">
        <v>6285</v>
      </c>
      <c r="D82" s="2">
        <f>SUM($C$4:C82)</f>
        <v>85532</v>
      </c>
    </row>
    <row r="83" spans="1:4" x14ac:dyDescent="0.3">
      <c r="A83" s="4">
        <v>41573</v>
      </c>
      <c r="B83" s="1">
        <v>2</v>
      </c>
      <c r="C83" s="3">
        <v>285</v>
      </c>
      <c r="D83" s="2">
        <f>SUM($C$4:C83)</f>
        <v>85817</v>
      </c>
    </row>
    <row r="84" spans="1:4" x14ac:dyDescent="0.3">
      <c r="A84" s="4">
        <v>41575</v>
      </c>
      <c r="B84" s="1">
        <v>1</v>
      </c>
      <c r="C84" s="3">
        <v>24</v>
      </c>
      <c r="D84" s="2">
        <f>SUM($C$4:C84)</f>
        <v>85841</v>
      </c>
    </row>
    <row r="85" spans="1:4" x14ac:dyDescent="0.3">
      <c r="A85" s="4">
        <v>41577</v>
      </c>
      <c r="B85" s="1">
        <v>11</v>
      </c>
      <c r="C85" s="3">
        <v>1188</v>
      </c>
      <c r="D85" s="2">
        <f>SUM($C$4:C85)</f>
        <v>87029</v>
      </c>
    </row>
    <row r="86" spans="1:4" x14ac:dyDescent="0.3">
      <c r="A86" s="4">
        <v>41578</v>
      </c>
      <c r="B86" s="1">
        <v>21</v>
      </c>
      <c r="C86" s="3">
        <v>5789</v>
      </c>
      <c r="D86" s="2">
        <f>SUM($C$4:C86)</f>
        <v>92818</v>
      </c>
    </row>
    <row r="87" spans="1:4" x14ac:dyDescent="0.3">
      <c r="A87" s="4">
        <v>41579</v>
      </c>
      <c r="B87" s="1">
        <v>1</v>
      </c>
      <c r="C87" s="3">
        <v>474</v>
      </c>
      <c r="D87" s="2">
        <f>SUM($C$4:C87)</f>
        <v>93292</v>
      </c>
    </row>
    <row r="88" spans="1:4" x14ac:dyDescent="0.3">
      <c r="A88" s="4">
        <v>41582</v>
      </c>
      <c r="B88" s="1">
        <v>6</v>
      </c>
      <c r="C88" s="3">
        <v>1172</v>
      </c>
      <c r="D88" s="2">
        <f>SUM($C$4:C88)</f>
        <v>94464</v>
      </c>
    </row>
    <row r="89" spans="1:4" x14ac:dyDescent="0.3">
      <c r="A89" s="4">
        <v>41583</v>
      </c>
      <c r="B89" s="1">
        <v>1</v>
      </c>
      <c r="C89" s="3">
        <v>248</v>
      </c>
      <c r="D89" s="2">
        <f>SUM($C$4:C89)</f>
        <v>94712</v>
      </c>
    </row>
    <row r="90" spans="1:4" x14ac:dyDescent="0.3">
      <c r="A90" s="4">
        <v>41585</v>
      </c>
      <c r="B90" s="1">
        <v>14</v>
      </c>
      <c r="C90" s="3">
        <v>1732</v>
      </c>
      <c r="D90" s="2">
        <f>SUM($C$4:C90)</f>
        <v>96444</v>
      </c>
    </row>
    <row r="91" spans="1:4" x14ac:dyDescent="0.3">
      <c r="A91" s="4">
        <v>41586</v>
      </c>
      <c r="B91" s="1">
        <v>4</v>
      </c>
      <c r="C91" s="3">
        <v>648</v>
      </c>
      <c r="D91" s="2">
        <f>SUM($C$4:C91)</f>
        <v>97092</v>
      </c>
    </row>
    <row r="92" spans="1:4" x14ac:dyDescent="0.3">
      <c r="A92" s="4">
        <v>41590</v>
      </c>
      <c r="B92" s="1">
        <v>7</v>
      </c>
      <c r="C92" s="3">
        <v>485</v>
      </c>
      <c r="D92" s="2">
        <f>SUM($C$4:C92)</f>
        <v>97577</v>
      </c>
    </row>
    <row r="93" spans="1:4" x14ac:dyDescent="0.3">
      <c r="A93" s="4">
        <v>41591</v>
      </c>
      <c r="B93" s="1">
        <v>6</v>
      </c>
      <c r="C93" s="3">
        <v>632</v>
      </c>
      <c r="D93" s="2">
        <f>SUM($C$4:C93)</f>
        <v>98209</v>
      </c>
    </row>
    <row r="94" spans="1:4" x14ac:dyDescent="0.3">
      <c r="A94" s="4">
        <v>41592</v>
      </c>
      <c r="B94" s="1">
        <v>4</v>
      </c>
      <c r="C94" s="3">
        <v>362</v>
      </c>
      <c r="D94" s="2">
        <f>SUM($C$4:C94)</f>
        <v>98571</v>
      </c>
    </row>
    <row r="95" spans="1:4" x14ac:dyDescent="0.3">
      <c r="A95" s="4">
        <v>41593</v>
      </c>
      <c r="B95" s="1">
        <v>3</v>
      </c>
      <c r="C95" s="3">
        <v>474</v>
      </c>
      <c r="D95" s="2">
        <f>SUM($C$4:C95)</f>
        <v>99045</v>
      </c>
    </row>
    <row r="96" spans="1:4" x14ac:dyDescent="0.3">
      <c r="A96" s="4">
        <v>41595</v>
      </c>
      <c r="B96" s="1">
        <v>5</v>
      </c>
      <c r="C96" s="3">
        <v>320</v>
      </c>
      <c r="D96" s="2">
        <f>SUM($C$4:C96)</f>
        <v>99365</v>
      </c>
    </row>
    <row r="97" spans="1:5" x14ac:dyDescent="0.3">
      <c r="A97" s="4">
        <v>41596</v>
      </c>
      <c r="B97" s="1">
        <v>3</v>
      </c>
      <c r="C97" s="3">
        <v>485</v>
      </c>
      <c r="D97" s="2">
        <f>SUM($C$4:C97)</f>
        <v>99850</v>
      </c>
    </row>
    <row r="98" spans="1:5" x14ac:dyDescent="0.3">
      <c r="A98" s="4">
        <v>41597</v>
      </c>
      <c r="B98" s="1">
        <v>3</v>
      </c>
      <c r="C98" s="3">
        <v>340</v>
      </c>
      <c r="D98" s="2">
        <f>SUM($C$4:C98)</f>
        <v>100190</v>
      </c>
    </row>
    <row r="99" spans="1:5" x14ac:dyDescent="0.3">
      <c r="A99" s="4">
        <v>41598</v>
      </c>
      <c r="B99" s="1">
        <v>5</v>
      </c>
      <c r="C99" s="3">
        <v>455</v>
      </c>
      <c r="D99" s="2">
        <f>SUM($C$4:C99)</f>
        <v>100645</v>
      </c>
    </row>
    <row r="100" spans="1:5" x14ac:dyDescent="0.3">
      <c r="A100" s="4">
        <v>41602</v>
      </c>
      <c r="B100" s="1">
        <v>1</v>
      </c>
      <c r="C100" s="3">
        <v>288</v>
      </c>
      <c r="D100" s="2">
        <f>SUM($C$4:C100)</f>
        <v>100933</v>
      </c>
    </row>
    <row r="101" spans="1:5" x14ac:dyDescent="0.3">
      <c r="A101" s="4">
        <v>41603</v>
      </c>
      <c r="B101" s="1">
        <v>17</v>
      </c>
      <c r="C101" s="3">
        <v>1250</v>
      </c>
      <c r="D101" s="2">
        <f>SUM($C$4:C101)</f>
        <v>102183</v>
      </c>
    </row>
    <row r="102" spans="1:5" x14ac:dyDescent="0.3">
      <c r="A102" s="4">
        <v>41604</v>
      </c>
      <c r="B102" s="1">
        <v>19</v>
      </c>
      <c r="C102" s="3">
        <v>3885</v>
      </c>
      <c r="D102" s="2">
        <f>SUM($C$4:C102)</f>
        <v>106068</v>
      </c>
    </row>
    <row r="103" spans="1:5" x14ac:dyDescent="0.3">
      <c r="A103" s="4">
        <v>41605</v>
      </c>
      <c r="B103" s="8">
        <v>16</v>
      </c>
      <c r="C103" s="9">
        <v>2873</v>
      </c>
      <c r="D103" s="2">
        <f>SUM($C$4:C103)</f>
        <v>108941</v>
      </c>
      <c r="E103" s="15" t="s">
        <v>12</v>
      </c>
    </row>
    <row r="104" spans="1:5" x14ac:dyDescent="0.3">
      <c r="A104" s="10"/>
      <c r="B104" s="11">
        <f>SUM(B4:B103)</f>
        <v>621</v>
      </c>
      <c r="C104" s="12">
        <f>SUM(C4:C103)</f>
        <v>108941</v>
      </c>
      <c r="D104" s="27">
        <f>D103</f>
        <v>108941</v>
      </c>
      <c r="E104" s="15" t="s">
        <v>7</v>
      </c>
    </row>
  </sheetData>
  <mergeCells count="1">
    <mergeCell ref="A1:E1"/>
  </mergeCells>
  <conditionalFormatting sqref="A4">
    <cfRule type="duplicateValues" dxfId="2" priority="4"/>
  </conditionalFormatting>
  <conditionalFormatting sqref="A3">
    <cfRule type="duplicateValues" dxfId="1" priority="2"/>
  </conditionalFormatting>
  <conditionalFormatting sqref="A5:A103">
    <cfRule type="duplicateValues" dxfId="0" priority="11"/>
  </conditionalFormatting>
  <pageMargins left="0.7" right="0.7" top="0.75" bottom="0.75" header="0.3" footer="0.3"/>
  <pageSetup orientation="portrait" horizontalDpi="1200" verticalDpi="1200" r:id="rId1"/>
  <ignoredErrors>
    <ignoredError sqref="D5 D6:D102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L1"/>
  <sheetViews>
    <sheetView workbookViewId="0">
      <selection activeCell="O12" sqref="O12"/>
    </sheetView>
  </sheetViews>
  <sheetFormatPr defaultRowHeight="14.4" x14ac:dyDescent="0.3"/>
  <sheetData>
    <row r="1" spans="2:12" ht="18.75" x14ac:dyDescent="0.3">
      <c r="B1" s="26" t="s">
        <v>13</v>
      </c>
      <c r="C1" s="26"/>
      <c r="D1" s="26"/>
      <c r="E1" s="26"/>
      <c r="F1" s="26"/>
      <c r="G1" s="26"/>
      <c r="H1" s="26"/>
      <c r="I1" s="26"/>
      <c r="J1" s="26"/>
      <c r="K1" s="26"/>
      <c r="L1" s="26"/>
    </row>
  </sheetData>
  <mergeCells count="1">
    <mergeCell ref="B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 Date</vt:lpstr>
      <vt:lpstr>App Trend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Traynor</dc:creator>
  <cp:lastModifiedBy>gregory anthony byrne</cp:lastModifiedBy>
  <dcterms:created xsi:type="dcterms:W3CDTF">2013-12-03T17:09:26Z</dcterms:created>
  <dcterms:modified xsi:type="dcterms:W3CDTF">2013-12-09T12:15:45Z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651375553</vt:i4>
  </property>
  <property fmtid="{D5CDD505-2E9C-101B-9397-08002B2CF9AE}" pid="3" name="_NewReviewCycle">
    <vt:lpwstr/>
  </property>
  <property fmtid="{D5CDD505-2E9C-101B-9397-08002B2CF9AE}" pid="4" name="_EmailSubject">
    <vt:lpwstr>web language</vt:lpwstr>
  </property>
  <property fmtid="{D5CDD505-2E9C-101B-9397-08002B2CF9AE}" pid="5" name="_AuthorEmail">
    <vt:lpwstr>Gregory.A.Byrne@hud.gov</vt:lpwstr>
  </property>
  <property fmtid="{D5CDD505-2E9C-101B-9397-08002B2CF9AE}" pid="6" name="_AuthorEmailDisplayName">
    <vt:lpwstr>Byrne, Gregory A</vt:lpwstr>
  </property>
</Properties>
</file>