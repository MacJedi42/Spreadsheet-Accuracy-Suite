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" yWindow="30" windowWidth="15450" windowHeight="9900"/>
  </bookViews>
  <sheets>
    <sheet name="Blank" sheetId="23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67" i="23"/>
  <c r="K49"/>
  <c r="K47"/>
  <c r="K33"/>
  <c r="K32"/>
  <c r="K67" i="30"/>
  <c r="K65"/>
  <c r="K63"/>
  <c r="K61"/>
  <c r="K59"/>
  <c r="K57"/>
  <c r="K55"/>
  <c r="K53"/>
  <c r="K51"/>
  <c r="K49"/>
  <c r="K47"/>
  <c r="K39"/>
  <c r="K40"/>
  <c r="K41"/>
  <c r="K42"/>
  <c r="K43"/>
  <c r="K44"/>
  <c r="K45"/>
  <c r="K33"/>
  <c r="K34"/>
  <c r="K35"/>
  <c r="K36"/>
  <c r="K37"/>
  <c r="K38"/>
  <c r="K32"/>
</calcChain>
</file>

<file path=xl/sharedStrings.xml><?xml version="1.0" encoding="utf-8"?>
<sst xmlns="http://schemas.openxmlformats.org/spreadsheetml/2006/main" count="274" uniqueCount="103">
  <si>
    <t>2035 Riley Road</t>
  </si>
  <si>
    <t>Sparta, WI  54656</t>
  </si>
  <si>
    <t>Phone: (608) 269-0832</t>
  </si>
  <si>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</si>
  <si>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</si>
  <si>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</si>
  <si>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</si>
  <si>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</si>
  <si>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</si>
  <si>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</si>
  <si>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</si>
  <si>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</si>
  <si>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</si>
  <si>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</si>
  <si>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</si>
  <si>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</si>
  <si>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</si>
  <si>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</si>
  <si>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</si>
  <si>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</si>
  <si>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</si>
  <si>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Residential</t>
  </si>
  <si>
    <t>Commercial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</si>
  <si>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</si>
  <si>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</si>
  <si>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</si>
  <si>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</si>
  <si>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</si>
  <si>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</si>
  <si>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</si>
  <si>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</si>
  <si>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</si>
  <si>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</si>
  <si>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</si>
  <si>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</si>
  <si>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</si>
  <si>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</si>
  <si>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</si>
  <si>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</si>
  <si>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</si>
  <si>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t>Fax:     (608) 269-0172</t>
  </si>
  <si>
    <r>
      <t>Morrell</t>
    </r>
    <r>
      <rPr>
        <sz val="10"/>
        <rFont val="Arial"/>
        <family val="2"/>
      </rPr>
      <t xml:space="preserve"> 33" Eternity Target</t>
    </r>
  </si>
  <si>
    <r>
      <t>Papes</t>
    </r>
    <r>
      <rPr>
        <sz val="10"/>
        <rFont val="Arial"/>
        <family val="2"/>
      </rPr>
      <t xml:space="preserve"> Repair Kit #102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</si>
  <si>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</si>
  <si>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</si>
  <si>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</si>
  <si>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</si>
  <si>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</si>
  <si>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</si>
  <si>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</si>
  <si>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</si>
  <si>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 xml:space="preserve">Brownell </t>
    </r>
    <r>
      <rPr>
        <sz val="10"/>
        <rFont val="Arial"/>
        <family val="2"/>
      </rPr>
      <t>30' x 10'</t>
    </r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</si>
  <si>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</si>
  <si>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</si>
  <si>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</si>
  <si>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</si>
  <si>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</si>
  <si>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</si>
  <si>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www.archeryintheschools.org</t>
  </si>
  <si>
    <t>$158 / target</t>
  </si>
  <si>
    <t>$282 / net</t>
  </si>
  <si>
    <t>Right Hand Black</t>
  </si>
  <si>
    <t>Left Hand Black</t>
  </si>
  <si>
    <t>City State Zip:</t>
  </si>
  <si>
    <t>email: customerservice@genesisbow.com</t>
  </si>
  <si>
    <t>(NO PO Box)</t>
  </si>
  <si>
    <t>(If different)</t>
  </si>
  <si>
    <t>Box</t>
  </si>
  <si>
    <t>PLEASE NOTE: You are free to choose components in any quantity or combination that suits your needs.</t>
  </si>
  <si>
    <t>A suggested "standard" school kit includes: 10 Right Hand Bows, 2 Left Hand Bows,</t>
  </si>
  <si>
    <t>Price **</t>
  </si>
  <si>
    <t>$156 / target</t>
  </si>
  <si>
    <t>$195 / target</t>
  </si>
  <si>
    <t>$310 / net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</si>
  <si>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</si>
  <si>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t>*** BY SUBMITTING AN ORDER TO BRENNAN INDUSTRIES, INC. YOU AGREE THAT NO ITEMS WILL BE RESOLD</t>
  </si>
  <si>
    <t>Brennan Industries, Inc. - The Official Equipment Distributor for the National Archery in the Schools Program</t>
  </si>
  <si>
    <t xml:space="preserve">Brennan Industries, Inc.  </t>
  </si>
  <si>
    <t>Jan 1 - Dec 31, 2012</t>
  </si>
  <si>
    <t>Customer #:</t>
  </si>
  <si>
    <r>
      <t>NASP</t>
    </r>
    <r>
      <rPr>
        <b/>
        <sz val="14"/>
        <rFont val="Calibri"/>
        <family val="2"/>
      </rPr>
      <t>® Equipment Order Form -  Public School &amp; Government</t>
    </r>
  </si>
  <si>
    <t>*** A blank FET Exemption From can be found under the ordering link on the NASP Website.  FET is not the same as Sales &amp; Use Tax. ***</t>
  </si>
  <si>
    <t>*** All Public Schools/Gov't agencies purchasing arrows MUST complete an FET Exemption Form ***</t>
  </si>
  <si>
    <t>$141 / box</t>
  </si>
  <si>
    <t>$110 / kit</t>
  </si>
  <si>
    <t>$275 each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</si>
  <si>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</si>
  <si>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</si>
  <si>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</si>
  <si>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*** Order will NOT BE PROCESSED without current FET Exemption Form on file ***</t>
  </si>
  <si>
    <t>$158 each</t>
  </si>
  <si>
    <t>2 boxes arrows, 5 targets, 1 arrow curtain, 1 repair kit and 1 bow rack.</t>
  </si>
  <si>
    <t>VISA / MasterCard:</t>
  </si>
  <si>
    <t>PO Number:</t>
  </si>
  <si>
    <t>Card #:</t>
  </si>
  <si>
    <t>Expires:</t>
  </si>
  <si>
    <t>Payment accepted by Check, MasterCard, Visa, or Purchase Order:</t>
  </si>
  <si>
    <t>** Estimated Delivery time is 3-4 weeks.</t>
  </si>
  <si>
    <t>Delivery Notes:</t>
  </si>
  <si>
    <t>SO#</t>
  </si>
  <si>
    <t>Set</t>
  </si>
  <si>
    <t>$200 / set</t>
  </si>
  <si>
    <t>Strings, Cables, Arrow Rests, and Cable Rod Slides can be found on the Supplemental Order Form.</t>
  </si>
</sst>
</file>

<file path=xl/styles.xml><?xml version="1.0" encoding="utf-8"?>
<styleSheet xmlns="http://schemas.openxmlformats.org/spreadsheetml/2006/main">
  <numFmts count="1">
    <numFmt numFmtId="164" formatCode="#,###.00"/>
  </numFmts>
  <fonts count="15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16" fontId="4" fillId="0" borderId="2" xfId="0" applyNumberFormat="1" applyFont="1" applyFill="1" applyBorder="1"/>
    <xf numFmtId="0" fontId="6" fillId="0" borderId="0" xfId="0" applyFont="1" applyBorder="1" applyAlignment="1"/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0" fontId="11" fillId="0" borderId="0" xfId="0" applyFont="1" applyAlignment="1">
      <alignment horizontal="center"/>
    </xf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5" fillId="2" borderId="0" xfId="0" applyFont="1" applyFill="1" applyBorder="1" applyAlignment="1">
      <alignment horizontal="centerContinuous" shrinkToFit="1"/>
    </xf>
    <xf numFmtId="0" fontId="5" fillId="2" borderId="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2" fillId="2" borderId="0" xfId="0" applyFont="1" applyFill="1" applyBorder="1" applyAlignment="1">
      <alignment horizontal="centerContinuous" shrinkToFit="1"/>
    </xf>
    <xf numFmtId="0" fontId="4" fillId="2" borderId="0" xfId="0" applyFont="1" applyFill="1" applyBorder="1"/>
    <xf numFmtId="0" fontId="6" fillId="2" borderId="0" xfId="0" applyFont="1" applyFill="1"/>
    <xf numFmtId="0" fontId="8" fillId="0" borderId="0" xfId="0" applyFont="1" applyAlignment="1">
      <alignment horizontal="left"/>
    </xf>
    <xf numFmtId="0" fontId="14" fillId="0" borderId="0" xfId="0" applyFont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3" xfId="0" applyBorder="1" applyAlignment="1"/>
    <xf numFmtId="0" fontId="0" fillId="0" borderId="11" xfId="0" applyBorder="1" applyAlignment="1"/>
    <xf numFmtId="0" fontId="2" fillId="0" borderId="2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2" xfId="0" applyFont="1" applyBorder="1" applyAlignment="1"/>
    <xf numFmtId="0" fontId="2" fillId="2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57" name="AutoShape 6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58" name="AutoShape 7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59" name="AutoShape 11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0" name="AutoShape 12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61" name="AutoShape 13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2" name="AutoShape 14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63" name="AutoShape 4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4" name="AutoShape 5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65" name="AutoShape 6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6" name="AutoShape 7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367" name="AutoShape 8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368" name="AutoShape 9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49" name="AutoShape 6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0" name="AutoShape 7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1" name="AutoShape 11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2" name="AutoShape 12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3" name="AutoShape 13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4" name="AutoShape 14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5" name="AutoShape 4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6" name="AutoShape 5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7" name="AutoShape 6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58" name="AutoShape 7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59" name="AutoShape 8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660" name="AutoShape 9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76"/>
  <sheetViews>
    <sheetView tabSelected="1" view="pageBreakPreview" zoomScaleNormal="100" zoomScaleSheetLayoutView="100" workbookViewId="0">
      <selection activeCell="K68" sqref="K68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4.28515625" customWidth="1"/>
    <col min="8" max="8" width="6.7109375" customWidth="1"/>
    <col min="9" max="9" width="5.85546875" bestFit="1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9.75" customHeight="1"/>
    <row r="2" spans="1:18" ht="18.75">
      <c r="B2" s="74" t="s">
        <v>80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8">
      <c r="A3" s="45"/>
      <c r="B3" s="46" t="s">
        <v>76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8" ht="15.75">
      <c r="B4" s="31" t="s">
        <v>77</v>
      </c>
      <c r="E4" s="75" t="s">
        <v>57</v>
      </c>
      <c r="F4" s="75"/>
      <c r="G4" s="75"/>
      <c r="H4" s="75"/>
      <c r="I4" s="75"/>
      <c r="J4" s="9"/>
      <c r="K4" s="9"/>
      <c r="L4" s="12" t="s">
        <v>2</v>
      </c>
    </row>
    <row r="5" spans="1:18" ht="15.75">
      <c r="B5" s="31" t="s">
        <v>0</v>
      </c>
      <c r="E5" s="75" t="s">
        <v>78</v>
      </c>
      <c r="F5" s="75"/>
      <c r="G5" s="75"/>
      <c r="H5" s="75"/>
      <c r="I5" s="75"/>
      <c r="J5" s="9"/>
      <c r="K5" s="9"/>
      <c r="L5" s="12" t="s">
        <v>40</v>
      </c>
    </row>
    <row r="6" spans="1:18" ht="15.75">
      <c r="B6" s="31" t="s">
        <v>1</v>
      </c>
      <c r="E6" s="33"/>
      <c r="F6" s="33"/>
      <c r="G6" s="33"/>
      <c r="H6" s="62" t="s">
        <v>64</v>
      </c>
      <c r="I6" s="62"/>
      <c r="J6" s="62"/>
      <c r="K6" s="62"/>
      <c r="L6" s="62"/>
    </row>
    <row r="7" spans="1:18" ht="13.15" customHeight="1">
      <c r="E7" s="11"/>
      <c r="F7" s="11"/>
      <c r="G7" s="11"/>
      <c r="H7" s="62" t="s">
        <v>58</v>
      </c>
      <c r="I7" s="62"/>
      <c r="J7" s="62"/>
      <c r="K7" s="62"/>
      <c r="L7" s="62"/>
    </row>
    <row r="8" spans="1:18" ht="13.15" customHeight="1">
      <c r="B8" s="19" t="s">
        <v>79</v>
      </c>
      <c r="C8" s="7"/>
      <c r="D8" s="7"/>
      <c r="E8" s="7"/>
      <c r="F8" s="11"/>
      <c r="G8" s="11"/>
      <c r="H8" s="42"/>
      <c r="I8" s="42"/>
      <c r="J8" s="42"/>
      <c r="K8" s="42"/>
      <c r="L8" s="42"/>
    </row>
    <row r="9" spans="1:18" s="18" customFormat="1" ht="15.6" customHeight="1">
      <c r="B9" s="19" t="s">
        <v>4</v>
      </c>
      <c r="C9" s="7"/>
      <c r="D9" s="7"/>
      <c r="E9" s="7"/>
      <c r="F9" s="22"/>
      <c r="G9" s="19" t="s">
        <v>8</v>
      </c>
      <c r="H9" s="19"/>
      <c r="I9" s="19"/>
      <c r="J9" s="7"/>
      <c r="K9" s="7"/>
      <c r="L9" s="7"/>
    </row>
    <row r="10" spans="1:18" s="18" customFormat="1" ht="15.6" customHeight="1">
      <c r="B10" s="19" t="s">
        <v>3</v>
      </c>
      <c r="C10" s="7"/>
      <c r="D10" s="10"/>
      <c r="E10" s="10"/>
      <c r="F10" s="22"/>
      <c r="G10" s="63" t="s">
        <v>66</v>
      </c>
      <c r="H10" s="63"/>
      <c r="I10" s="63"/>
      <c r="J10" s="7"/>
      <c r="K10" s="7"/>
      <c r="L10" s="7"/>
      <c r="Q10" s="20"/>
    </row>
    <row r="11" spans="1:18" s="18" customFormat="1" ht="15.6" customHeight="1">
      <c r="B11" s="19" t="s">
        <v>5</v>
      </c>
      <c r="C11" s="7"/>
      <c r="D11" s="10"/>
      <c r="E11" s="7"/>
      <c r="F11" s="22"/>
      <c r="G11" s="67" t="s">
        <v>63</v>
      </c>
      <c r="H11" s="67"/>
      <c r="I11" s="67"/>
      <c r="J11" s="7"/>
      <c r="K11" s="10"/>
      <c r="L11" s="10"/>
    </row>
    <row r="12" spans="1:18" s="18" customFormat="1" ht="15.6" customHeight="1">
      <c r="B12" s="6" t="s">
        <v>65</v>
      </c>
      <c r="C12" s="7"/>
      <c r="D12" s="10"/>
      <c r="E12" s="10"/>
      <c r="F12" s="22"/>
      <c r="G12" s="20" t="s">
        <v>6</v>
      </c>
      <c r="I12" s="8"/>
      <c r="J12" s="7"/>
      <c r="K12" s="7"/>
    </row>
    <row r="13" spans="1:18" s="18" customFormat="1" ht="15.6" customHeight="1">
      <c r="B13" s="19" t="s">
        <v>63</v>
      </c>
      <c r="C13" s="7"/>
      <c r="D13" s="7"/>
      <c r="E13" s="10"/>
      <c r="F13" s="22"/>
      <c r="G13" s="20" t="s">
        <v>7</v>
      </c>
      <c r="I13" s="8"/>
      <c r="J13" s="7"/>
      <c r="K13" s="7"/>
    </row>
    <row r="14" spans="1:18" s="18" customFormat="1" ht="15.6" customHeight="1">
      <c r="B14" s="19"/>
      <c r="C14" s="19" t="s">
        <v>22</v>
      </c>
      <c r="E14" s="19" t="s">
        <v>21</v>
      </c>
      <c r="F14" s="22"/>
      <c r="G14" s="20" t="s">
        <v>19</v>
      </c>
      <c r="I14" s="8"/>
      <c r="J14" s="30"/>
      <c r="K14" s="7"/>
      <c r="L14" s="8"/>
      <c r="N14" s="22"/>
      <c r="R14" s="22"/>
    </row>
    <row r="15" spans="1:18" s="18" customFormat="1" ht="15.6" customHeight="1">
      <c r="N15" s="22"/>
      <c r="R15" s="22"/>
    </row>
    <row r="16" spans="1:18" s="18" customFormat="1" ht="15.6" customHeight="1">
      <c r="B16" s="29" t="s">
        <v>96</v>
      </c>
    </row>
    <row r="17" spans="1:22" s="18" customFormat="1" ht="15.6" customHeight="1">
      <c r="C17" s="29"/>
      <c r="G17" s="26"/>
      <c r="H17" s="19" t="s">
        <v>92</v>
      </c>
      <c r="K17" s="26"/>
      <c r="L17" s="26"/>
    </row>
    <row r="18" spans="1:22" s="18" customFormat="1" ht="15.6" customHeight="1">
      <c r="B18" s="22" t="s">
        <v>93</v>
      </c>
      <c r="C18" s="21"/>
      <c r="D18" s="21"/>
      <c r="H18" s="24" t="s">
        <v>20</v>
      </c>
      <c r="I18" s="34"/>
      <c r="J18" s="34"/>
      <c r="K18" s="34"/>
      <c r="L18" s="34"/>
    </row>
    <row r="19" spans="1:22" s="18" customFormat="1" ht="15.6" customHeight="1">
      <c r="B19" s="1" t="s">
        <v>87</v>
      </c>
      <c r="H19" s="24" t="s">
        <v>94</v>
      </c>
      <c r="I19" s="41"/>
      <c r="J19" s="41"/>
      <c r="K19" s="41"/>
      <c r="L19" s="41"/>
    </row>
    <row r="20" spans="1:22" s="18" customFormat="1" ht="15.6" customHeight="1">
      <c r="H20" s="24" t="s">
        <v>95</v>
      </c>
      <c r="I20" s="35"/>
      <c r="J20" s="34"/>
      <c r="K20" s="38" t="s">
        <v>47</v>
      </c>
      <c r="L20" s="10"/>
    </row>
    <row r="21" spans="1:22" s="18" customFormat="1" ht="15.6" customHeight="1">
      <c r="B21" s="22"/>
      <c r="J21" s="18" t="s">
        <v>88</v>
      </c>
      <c r="V21" s="25"/>
    </row>
    <row r="22" spans="1:22" s="18" customFormat="1" ht="7.5" customHeight="1" thickBot="1">
      <c r="L22" s="22"/>
    </row>
    <row r="23" spans="1:22" s="18" customFormat="1" ht="13.9" customHeight="1">
      <c r="B23" s="79" t="s">
        <v>68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22" s="18" customFormat="1" ht="13.9" customHeight="1">
      <c r="B24" s="76" t="s">
        <v>69</v>
      </c>
      <c r="C24" s="77"/>
      <c r="D24" s="77"/>
      <c r="E24" s="77"/>
      <c r="F24" s="77"/>
      <c r="G24" s="77"/>
      <c r="H24" s="77"/>
      <c r="I24" s="77"/>
      <c r="J24" s="77"/>
      <c r="K24" s="77"/>
      <c r="L24" s="78"/>
    </row>
    <row r="25" spans="1:22" s="18" customFormat="1" ht="13.9" customHeight="1" thickBot="1">
      <c r="B25" s="64" t="s">
        <v>91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22" s="18" customFormat="1" ht="8.4499999999999993" customHeight="1"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</row>
    <row r="27" spans="1:22" s="1" customFormat="1" ht="16.899999999999999" customHeight="1">
      <c r="A27" s="49"/>
      <c r="B27" s="48" t="s">
        <v>82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9"/>
    </row>
    <row r="28" spans="1:22" s="1" customFormat="1" ht="16.899999999999999" customHeight="1">
      <c r="A28" s="49"/>
      <c r="B28" s="48" t="s">
        <v>89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9"/>
    </row>
    <row r="29" spans="1:22" s="1" customFormat="1" ht="16.899999999999999" customHeight="1">
      <c r="A29" s="49"/>
      <c r="B29" s="50" t="s">
        <v>81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9"/>
    </row>
    <row r="30" spans="1:22" s="18" customFormat="1">
      <c r="C30" s="6" t="s">
        <v>16</v>
      </c>
      <c r="F30" s="6"/>
      <c r="G30" s="6"/>
      <c r="H30" s="6" t="s">
        <v>17</v>
      </c>
      <c r="J30" s="6" t="s">
        <v>70</v>
      </c>
      <c r="K30" s="6" t="s">
        <v>13</v>
      </c>
      <c r="L30" s="27"/>
    </row>
    <row r="31" spans="1:22" s="18" customFormat="1">
      <c r="C31" s="6" t="s">
        <v>15</v>
      </c>
      <c r="D31" s="71" t="s">
        <v>12</v>
      </c>
      <c r="E31" s="71"/>
      <c r="F31" s="71"/>
      <c r="G31" s="71"/>
      <c r="H31" s="6" t="s">
        <v>10</v>
      </c>
      <c r="J31" s="40" t="s">
        <v>18</v>
      </c>
      <c r="K31" s="6" t="s">
        <v>11</v>
      </c>
      <c r="L31" s="27"/>
    </row>
    <row r="32" spans="1:22" s="18" customFormat="1" ht="15" customHeight="1">
      <c r="B32" s="2" t="s">
        <v>24</v>
      </c>
      <c r="C32" s="28">
        <v>10478</v>
      </c>
      <c r="D32" s="60" t="s">
        <v>30</v>
      </c>
      <c r="E32" s="61"/>
      <c r="F32" s="61"/>
      <c r="G32" s="61"/>
      <c r="H32" s="13">
        <v>2</v>
      </c>
      <c r="I32" s="28" t="s">
        <v>25</v>
      </c>
      <c r="J32" s="28" t="s">
        <v>49</v>
      </c>
      <c r="K32" s="3">
        <f>H32*111</f>
        <v>222</v>
      </c>
      <c r="L32" s="14"/>
    </row>
    <row r="33" spans="2:13" s="18" customFormat="1" ht="15" customHeight="1">
      <c r="B33" s="2" t="s">
        <v>23</v>
      </c>
      <c r="C33" s="28">
        <v>10476</v>
      </c>
      <c r="D33" s="60" t="s">
        <v>36</v>
      </c>
      <c r="E33" s="61"/>
      <c r="F33" s="61"/>
      <c r="G33" s="61"/>
      <c r="H33" s="13">
        <v>2</v>
      </c>
      <c r="I33" s="28" t="s">
        <v>25</v>
      </c>
      <c r="J33" s="28" t="s">
        <v>49</v>
      </c>
      <c r="K33" s="3">
        <f>H33*111</f>
        <v>222</v>
      </c>
      <c r="L33" s="14"/>
    </row>
    <row r="34" spans="2:13" s="18" customFormat="1" ht="15" customHeight="1">
      <c r="B34" s="2" t="s">
        <v>9</v>
      </c>
      <c r="C34" s="28">
        <v>10480</v>
      </c>
      <c r="D34" s="60" t="s">
        <v>37</v>
      </c>
      <c r="E34" s="61"/>
      <c r="F34" s="61"/>
      <c r="G34" s="61"/>
      <c r="H34" s="13">
        <v>2</v>
      </c>
      <c r="I34" s="28" t="s">
        <v>25</v>
      </c>
      <c r="J34" s="28" t="s">
        <v>49</v>
      </c>
      <c r="K34" s="3">
        <v>222</v>
      </c>
      <c r="L34" s="14"/>
    </row>
    <row r="35" spans="2:13" s="18" customFormat="1" ht="15" customHeight="1">
      <c r="C35" s="28">
        <v>10474</v>
      </c>
      <c r="D35" s="60" t="s">
        <v>38</v>
      </c>
      <c r="E35" s="61"/>
      <c r="F35" s="61"/>
      <c r="G35" s="61"/>
      <c r="H35" s="13">
        <v>2</v>
      </c>
      <c r="I35" s="28" t="s">
        <v>25</v>
      </c>
      <c r="J35" s="28" t="s">
        <v>49</v>
      </c>
      <c r="K35" s="3">
        <v>222</v>
      </c>
      <c r="L35" s="14"/>
    </row>
    <row r="36" spans="2:13" s="18" customFormat="1" ht="15" customHeight="1">
      <c r="C36" s="28">
        <v>10472</v>
      </c>
      <c r="D36" s="72" t="s">
        <v>39</v>
      </c>
      <c r="E36" s="73"/>
      <c r="F36" s="73"/>
      <c r="G36" s="73"/>
      <c r="H36" s="13">
        <v>2</v>
      </c>
      <c r="I36" s="28" t="s">
        <v>25</v>
      </c>
      <c r="J36" s="28" t="s">
        <v>49</v>
      </c>
      <c r="K36" s="3">
        <v>222</v>
      </c>
      <c r="L36" s="14"/>
    </row>
    <row r="37" spans="2:13" s="18" customFormat="1" ht="15" customHeight="1">
      <c r="C37" s="32">
        <v>11409</v>
      </c>
      <c r="D37" s="60" t="s">
        <v>44</v>
      </c>
      <c r="E37" s="61"/>
      <c r="F37" s="61"/>
      <c r="G37" s="61"/>
      <c r="H37" s="13"/>
      <c r="I37" s="28" t="s">
        <v>25</v>
      </c>
      <c r="J37" s="28" t="s">
        <v>49</v>
      </c>
      <c r="K37" s="3"/>
      <c r="L37" s="14"/>
    </row>
    <row r="38" spans="2:13" s="18" customFormat="1" ht="15" customHeight="1">
      <c r="C38" s="32">
        <v>12232</v>
      </c>
      <c r="D38" s="60" t="s">
        <v>61</v>
      </c>
      <c r="E38" s="61"/>
      <c r="F38" s="61"/>
      <c r="G38" s="61"/>
      <c r="H38" s="13"/>
      <c r="I38" s="28" t="s">
        <v>25</v>
      </c>
      <c r="J38" s="28" t="s">
        <v>49</v>
      </c>
      <c r="K38" s="3"/>
      <c r="L38" s="14"/>
    </row>
    <row r="39" spans="2:13" s="18" customFormat="1" ht="15" customHeight="1">
      <c r="C39" s="28">
        <v>10477</v>
      </c>
      <c r="D39" s="84" t="s">
        <v>35</v>
      </c>
      <c r="E39" s="85"/>
      <c r="F39" s="85"/>
      <c r="G39" s="85"/>
      <c r="H39" s="13"/>
      <c r="I39" s="28" t="s">
        <v>25</v>
      </c>
      <c r="J39" s="28" t="s">
        <v>49</v>
      </c>
      <c r="K39" s="3"/>
      <c r="L39" s="14"/>
    </row>
    <row r="40" spans="2:13" s="18" customFormat="1" ht="15" customHeight="1">
      <c r="C40" s="28">
        <v>10475</v>
      </c>
      <c r="D40" s="60" t="s">
        <v>34</v>
      </c>
      <c r="E40" s="61"/>
      <c r="F40" s="61"/>
      <c r="G40" s="61"/>
      <c r="H40" s="13"/>
      <c r="I40" s="28" t="s">
        <v>25</v>
      </c>
      <c r="J40" s="28" t="s">
        <v>49</v>
      </c>
      <c r="K40" s="3"/>
      <c r="L40" s="14"/>
    </row>
    <row r="41" spans="2:13" s="18" customFormat="1" ht="15" customHeight="1">
      <c r="C41" s="28">
        <v>10479</v>
      </c>
      <c r="D41" s="60" t="s">
        <v>33</v>
      </c>
      <c r="E41" s="61"/>
      <c r="F41" s="61"/>
      <c r="G41" s="61"/>
      <c r="H41" s="13"/>
      <c r="I41" s="28" t="s">
        <v>25</v>
      </c>
      <c r="J41" s="28" t="s">
        <v>49</v>
      </c>
      <c r="K41" s="3"/>
      <c r="L41" s="14"/>
    </row>
    <row r="42" spans="2:13" s="18" customFormat="1" ht="15" customHeight="1">
      <c r="C42" s="28">
        <v>10473</v>
      </c>
      <c r="D42" s="60" t="s">
        <v>32</v>
      </c>
      <c r="E42" s="61"/>
      <c r="F42" s="61"/>
      <c r="G42" s="61"/>
      <c r="H42" s="15"/>
      <c r="I42" s="28" t="s">
        <v>25</v>
      </c>
      <c r="J42" s="28" t="s">
        <v>49</v>
      </c>
      <c r="K42" s="3"/>
      <c r="L42" s="14"/>
    </row>
    <row r="43" spans="2:13" s="18" customFormat="1" ht="15" customHeight="1">
      <c r="C43" s="28">
        <v>10471</v>
      </c>
      <c r="D43" s="72" t="s">
        <v>31</v>
      </c>
      <c r="E43" s="73"/>
      <c r="F43" s="73"/>
      <c r="G43" s="73"/>
      <c r="H43" s="15"/>
      <c r="I43" s="28" t="s">
        <v>25</v>
      </c>
      <c r="J43" s="28" t="s">
        <v>49</v>
      </c>
      <c r="K43" s="3"/>
      <c r="L43" s="14"/>
    </row>
    <row r="44" spans="2:13" s="18" customFormat="1" ht="15" customHeight="1">
      <c r="C44" s="32">
        <v>11410</v>
      </c>
      <c r="D44" s="60" t="s">
        <v>45</v>
      </c>
      <c r="E44" s="61"/>
      <c r="F44" s="61"/>
      <c r="G44" s="61"/>
      <c r="H44" s="15"/>
      <c r="I44" s="28" t="s">
        <v>25</v>
      </c>
      <c r="J44" s="28" t="s">
        <v>49</v>
      </c>
      <c r="K44" s="3"/>
      <c r="L44" s="14"/>
    </row>
    <row r="45" spans="2:13" s="18" customFormat="1" ht="15" customHeight="1">
      <c r="C45" s="32">
        <v>12231</v>
      </c>
      <c r="D45" s="60" t="s">
        <v>62</v>
      </c>
      <c r="E45" s="61"/>
      <c r="F45" s="61"/>
      <c r="G45" s="61"/>
      <c r="H45" s="15">
        <v>2</v>
      </c>
      <c r="I45" s="28" t="s">
        <v>25</v>
      </c>
      <c r="J45" s="28" t="s">
        <v>49</v>
      </c>
      <c r="K45" s="3">
        <v>222</v>
      </c>
      <c r="L45" s="14"/>
    </row>
    <row r="46" spans="2:13" s="18" customFormat="1" ht="4.9000000000000004" customHeight="1">
      <c r="C46" s="26"/>
      <c r="E46" s="19"/>
      <c r="F46" s="19"/>
      <c r="G46" s="19"/>
      <c r="H46" s="9"/>
      <c r="I46" s="26"/>
      <c r="J46" s="26"/>
      <c r="K46" s="4"/>
      <c r="L46" s="9"/>
    </row>
    <row r="47" spans="2:13" s="18" customFormat="1" ht="15" customHeight="1">
      <c r="B47" s="2" t="s">
        <v>27</v>
      </c>
      <c r="C47" s="28">
        <v>10940</v>
      </c>
      <c r="D47" s="83" t="s">
        <v>74</v>
      </c>
      <c r="E47" s="61"/>
      <c r="F47" s="61"/>
      <c r="G47" s="61"/>
      <c r="H47" s="13">
        <v>2</v>
      </c>
      <c r="I47" s="28" t="s">
        <v>67</v>
      </c>
      <c r="J47" s="28" t="s">
        <v>83</v>
      </c>
      <c r="K47" s="3">
        <f>2*141</f>
        <v>282</v>
      </c>
      <c r="L47" s="51" t="s">
        <v>48</v>
      </c>
      <c r="M47" s="52"/>
    </row>
    <row r="48" spans="2:13" s="18" customFormat="1" ht="4.9000000000000004" customHeight="1">
      <c r="B48" s="2"/>
      <c r="C48" s="26"/>
      <c r="E48" s="19"/>
      <c r="F48" s="19"/>
      <c r="G48" s="19"/>
      <c r="H48" s="9"/>
      <c r="I48" s="26"/>
      <c r="J48" s="26"/>
      <c r="K48" s="4"/>
      <c r="L48" s="17"/>
    </row>
    <row r="49" spans="2:12" s="18" customFormat="1" ht="15" customHeight="1">
      <c r="B49" s="2" t="s">
        <v>53</v>
      </c>
      <c r="C49" s="28">
        <v>11375</v>
      </c>
      <c r="D49" s="82" t="s">
        <v>41</v>
      </c>
      <c r="E49" s="61"/>
      <c r="F49" s="61"/>
      <c r="G49" s="61"/>
      <c r="H49" s="13">
        <v>5</v>
      </c>
      <c r="I49" s="28" t="s">
        <v>25</v>
      </c>
      <c r="J49" s="28" t="s">
        <v>71</v>
      </c>
      <c r="K49" s="3">
        <f>5*156</f>
        <v>780</v>
      </c>
      <c r="L49" s="16"/>
    </row>
    <row r="50" spans="2:12" s="18" customFormat="1" ht="4.9000000000000004" customHeight="1">
      <c r="B50" s="2"/>
      <c r="C50" s="26"/>
      <c r="E50" s="19"/>
      <c r="F50" s="19"/>
      <c r="G50" s="19"/>
      <c r="H50" s="9"/>
      <c r="I50" s="26"/>
      <c r="J50" s="26"/>
      <c r="K50"/>
      <c r="L50" s="16"/>
    </row>
    <row r="51" spans="2:12" s="18" customFormat="1" ht="15" customHeight="1">
      <c r="B51" s="2"/>
      <c r="C51" s="28">
        <v>10921</v>
      </c>
      <c r="D51" s="82" t="s">
        <v>52</v>
      </c>
      <c r="E51" s="61"/>
      <c r="F51" s="61"/>
      <c r="G51" s="61"/>
      <c r="H51" s="13"/>
      <c r="I51" s="28" t="s">
        <v>25</v>
      </c>
      <c r="J51" s="28" t="s">
        <v>72</v>
      </c>
      <c r="K51" s="3"/>
      <c r="L51" s="16"/>
    </row>
    <row r="52" spans="2:12" s="18" customFormat="1" ht="4.9000000000000004" customHeight="1">
      <c r="B52" s="2"/>
      <c r="C52" s="26"/>
      <c r="E52" s="19"/>
      <c r="F52" s="19"/>
      <c r="G52" s="19"/>
      <c r="H52" s="9"/>
      <c r="I52" s="26"/>
      <c r="J52" s="26"/>
      <c r="K52"/>
      <c r="L52" s="16"/>
    </row>
    <row r="53" spans="2:12" s="18" customFormat="1" ht="15" customHeight="1">
      <c r="B53" s="2"/>
      <c r="C53" s="28">
        <v>10994</v>
      </c>
      <c r="D53" s="82" t="s">
        <v>54</v>
      </c>
      <c r="E53" s="61"/>
      <c r="F53" s="61"/>
      <c r="G53" s="61"/>
      <c r="H53" s="13"/>
      <c r="I53" s="28" t="s">
        <v>25</v>
      </c>
      <c r="J53" s="28" t="s">
        <v>59</v>
      </c>
      <c r="K53" s="3"/>
      <c r="L53" s="16"/>
    </row>
    <row r="54" spans="2:12" s="18" customFormat="1" ht="4.9000000000000004" customHeight="1">
      <c r="B54" s="2"/>
      <c r="C54" s="26"/>
      <c r="E54" s="19"/>
      <c r="F54" s="19"/>
      <c r="G54" s="19"/>
      <c r="H54" s="9"/>
      <c r="I54" s="26"/>
      <c r="J54" s="26"/>
      <c r="K54"/>
      <c r="L54" s="16"/>
    </row>
    <row r="55" spans="2:12" s="18" customFormat="1" ht="15" customHeight="1">
      <c r="B55" s="2" t="s">
        <v>50</v>
      </c>
      <c r="C55" s="28">
        <v>10922</v>
      </c>
      <c r="D55" s="82" t="s">
        <v>56</v>
      </c>
      <c r="E55" s="61"/>
      <c r="F55" s="61"/>
      <c r="G55" s="61"/>
      <c r="H55" s="13">
        <v>1</v>
      </c>
      <c r="I55" s="28" t="s">
        <v>25</v>
      </c>
      <c r="J55" s="28" t="s">
        <v>60</v>
      </c>
      <c r="K55" s="3">
        <v>282</v>
      </c>
      <c r="L55" s="16"/>
    </row>
    <row r="56" spans="2:12" s="18" customFormat="1" ht="4.5" customHeight="1">
      <c r="B56" s="2"/>
      <c r="C56" s="23"/>
      <c r="D56" s="37"/>
      <c r="E56" s="36"/>
      <c r="F56" s="36"/>
      <c r="G56" s="36"/>
      <c r="H56" s="8"/>
      <c r="I56" s="23"/>
      <c r="J56" s="23"/>
      <c r="K56" s="5"/>
      <c r="L56" s="16"/>
    </row>
    <row r="57" spans="2:12" s="18" customFormat="1" ht="15" customHeight="1">
      <c r="B57" s="2"/>
      <c r="C57" s="28">
        <v>12065</v>
      </c>
      <c r="D57" s="68" t="s">
        <v>51</v>
      </c>
      <c r="E57" s="69"/>
      <c r="F57" s="69"/>
      <c r="G57" s="70"/>
      <c r="H57" s="13"/>
      <c r="I57" s="28" t="s">
        <v>25</v>
      </c>
      <c r="J57" s="28" t="s">
        <v>73</v>
      </c>
      <c r="K57" s="3"/>
      <c r="L57" s="16"/>
    </row>
    <row r="58" spans="2:12" s="18" customFormat="1" ht="4.9000000000000004" customHeight="1">
      <c r="B58" s="2"/>
      <c r="C58" s="23"/>
      <c r="E58" s="19"/>
      <c r="F58" s="19"/>
      <c r="G58" s="19"/>
      <c r="H58" s="8"/>
      <c r="I58" s="23"/>
      <c r="J58" s="23"/>
      <c r="K58" s="5"/>
      <c r="L58" s="16"/>
    </row>
    <row r="59" spans="2:12" s="18" customFormat="1" ht="15" customHeight="1">
      <c r="B59" s="2" t="s">
        <v>29</v>
      </c>
      <c r="C59" s="28">
        <v>10996</v>
      </c>
      <c r="D59" s="82" t="s">
        <v>42</v>
      </c>
      <c r="E59" s="61"/>
      <c r="F59" s="61"/>
      <c r="G59" s="61"/>
      <c r="H59" s="13">
        <v>1</v>
      </c>
      <c r="I59" s="28" t="s">
        <v>26</v>
      </c>
      <c r="J59" s="28" t="s">
        <v>84</v>
      </c>
      <c r="K59" s="3">
        <v>110</v>
      </c>
      <c r="L59" s="16"/>
    </row>
    <row r="60" spans="2:12" s="18" customFormat="1" ht="4.9000000000000004" customHeight="1">
      <c r="B60" s="2"/>
      <c r="C60" s="23"/>
      <c r="E60" s="19"/>
      <c r="F60" s="19"/>
      <c r="G60" s="19"/>
      <c r="H60" s="8"/>
      <c r="I60" s="23"/>
      <c r="J60" s="23"/>
      <c r="K60" s="5"/>
      <c r="L60" s="16"/>
    </row>
    <row r="61" spans="2:12" s="18" customFormat="1" ht="15" customHeight="1">
      <c r="B61" s="2" t="s">
        <v>28</v>
      </c>
      <c r="C61" s="28">
        <v>11376</v>
      </c>
      <c r="D61" s="82" t="s">
        <v>43</v>
      </c>
      <c r="E61" s="61"/>
      <c r="F61" s="61"/>
      <c r="G61" s="61"/>
      <c r="H61" s="13">
        <v>1</v>
      </c>
      <c r="I61" s="28" t="s">
        <v>25</v>
      </c>
      <c r="J61" s="28" t="s">
        <v>85</v>
      </c>
      <c r="K61" s="3">
        <v>275</v>
      </c>
      <c r="L61" s="16"/>
    </row>
    <row r="62" spans="2:12" s="18" customFormat="1" ht="4.9000000000000004" customHeight="1">
      <c r="B62" s="2"/>
      <c r="C62" s="23"/>
      <c r="E62" s="19"/>
      <c r="F62" s="19"/>
      <c r="G62" s="19"/>
      <c r="H62" s="8"/>
      <c r="I62" s="23"/>
      <c r="J62" s="23"/>
      <c r="K62" s="5"/>
      <c r="L62" s="16"/>
    </row>
    <row r="63" spans="2:12" s="18" customFormat="1" ht="15" customHeight="1">
      <c r="B63" s="2"/>
      <c r="C63" s="28">
        <v>11576</v>
      </c>
      <c r="D63" s="82" t="s">
        <v>46</v>
      </c>
      <c r="E63" s="61"/>
      <c r="F63" s="61"/>
      <c r="G63" s="61"/>
      <c r="H63" s="13"/>
      <c r="I63" s="28" t="s">
        <v>100</v>
      </c>
      <c r="J63" s="28" t="s">
        <v>101</v>
      </c>
      <c r="K63" s="3"/>
      <c r="L63" s="16"/>
    </row>
    <row r="64" spans="2:12" s="18" customFormat="1" ht="4.9000000000000004" customHeight="1">
      <c r="B64" s="2"/>
      <c r="C64" s="23"/>
      <c r="E64" s="19"/>
      <c r="F64" s="19"/>
      <c r="G64" s="19"/>
      <c r="H64" s="8"/>
      <c r="I64" s="23"/>
      <c r="J64" s="23"/>
      <c r="K64" s="5"/>
      <c r="L64" s="16"/>
    </row>
    <row r="65" spans="1:13" s="18" customFormat="1" ht="15" customHeight="1">
      <c r="B65" s="2"/>
      <c r="C65" s="28">
        <v>12026</v>
      </c>
      <c r="D65" s="82" t="s">
        <v>55</v>
      </c>
      <c r="E65" s="61"/>
      <c r="F65" s="61"/>
      <c r="G65" s="61"/>
      <c r="H65" s="13"/>
      <c r="I65" s="28" t="s">
        <v>25</v>
      </c>
      <c r="J65" s="28" t="s">
        <v>90</v>
      </c>
      <c r="K65" s="3"/>
      <c r="L65" s="16"/>
    </row>
    <row r="66" spans="1:13" s="18" customFormat="1" ht="4.9000000000000004" customHeight="1">
      <c r="B66" s="2"/>
      <c r="C66" s="23"/>
      <c r="E66" s="19"/>
      <c r="F66" s="19"/>
      <c r="G66" s="19"/>
      <c r="H66" s="8"/>
      <c r="I66" s="23"/>
      <c r="J66" s="23"/>
      <c r="K66" s="5"/>
      <c r="L66" s="16"/>
    </row>
    <row r="67" spans="1:13" s="18" customFormat="1" ht="15" customHeight="1" thickBot="1">
      <c r="D67" s="43"/>
      <c r="E67" s="43"/>
      <c r="F67" s="43"/>
      <c r="G67" s="43"/>
      <c r="H67" s="43"/>
      <c r="I67" s="43"/>
      <c r="J67" s="2" t="s">
        <v>14</v>
      </c>
      <c r="K67" s="39">
        <f>SUM(K32:K65)</f>
        <v>3061</v>
      </c>
      <c r="L67" s="16"/>
    </row>
    <row r="68" spans="1:13" s="18" customFormat="1" ht="16.5" thickTop="1">
      <c r="B68" s="54" t="s">
        <v>102</v>
      </c>
      <c r="C68" s="43"/>
      <c r="D68" s="43"/>
      <c r="E68" s="43"/>
      <c r="F68" s="43"/>
      <c r="G68" s="43"/>
      <c r="H68" s="43"/>
      <c r="I68" s="43"/>
      <c r="L68" s="9"/>
    </row>
    <row r="69" spans="1:13" s="18" customFormat="1"/>
    <row r="70" spans="1:13" s="18" customFormat="1" ht="15">
      <c r="B70" s="53" t="s">
        <v>86</v>
      </c>
    </row>
    <row r="71" spans="1:13" s="18" customFormat="1" ht="15" customHeight="1"/>
    <row r="72" spans="1:13" s="18" customFormat="1" ht="15" customHeight="1">
      <c r="B72" s="1" t="s">
        <v>97</v>
      </c>
      <c r="F72" s="18" t="s">
        <v>98</v>
      </c>
      <c r="I72" s="21"/>
      <c r="J72" s="21"/>
      <c r="K72" s="21"/>
    </row>
    <row r="73" spans="1:13" s="18" customFormat="1" ht="15" customHeight="1"/>
    <row r="74" spans="1:13" s="18" customFormat="1" ht="15" customHeight="1">
      <c r="B74" s="18" t="s">
        <v>99</v>
      </c>
      <c r="I74" s="21"/>
      <c r="J74" s="21"/>
      <c r="K74" s="21"/>
    </row>
    <row r="75" spans="1:13" s="18" customFormat="1" ht="10.15" customHeight="1">
      <c r="C75" s="22"/>
    </row>
    <row r="76" spans="1:13" s="18" customFormat="1">
      <c r="A76" s="86" t="s">
        <v>75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</row>
  </sheetData>
  <mergeCells count="36">
    <mergeCell ref="A76:M76"/>
    <mergeCell ref="D55:G55"/>
    <mergeCell ref="D63:G63"/>
    <mergeCell ref="D61:G61"/>
    <mergeCell ref="D65:G65"/>
    <mergeCell ref="D59:G59"/>
    <mergeCell ref="D53:G53"/>
    <mergeCell ref="D34:G34"/>
    <mergeCell ref="D49:G49"/>
    <mergeCell ref="D45:G45"/>
    <mergeCell ref="D47:G47"/>
    <mergeCell ref="D51:G51"/>
    <mergeCell ref="D39:G39"/>
    <mergeCell ref="D40:G40"/>
    <mergeCell ref="D41:G41"/>
    <mergeCell ref="B2:L2"/>
    <mergeCell ref="E4:I4"/>
    <mergeCell ref="E5:I5"/>
    <mergeCell ref="B24:L24"/>
    <mergeCell ref="B23:L23"/>
    <mergeCell ref="D57:G57"/>
    <mergeCell ref="D33:G33"/>
    <mergeCell ref="D32:G32"/>
    <mergeCell ref="D31:G31"/>
    <mergeCell ref="D44:G44"/>
    <mergeCell ref="D35:G35"/>
    <mergeCell ref="D43:G43"/>
    <mergeCell ref="D42:G42"/>
    <mergeCell ref="D38:G38"/>
    <mergeCell ref="D36:G36"/>
    <mergeCell ref="D37:G37"/>
    <mergeCell ref="H6:L6"/>
    <mergeCell ref="H7:L7"/>
    <mergeCell ref="G10:I10"/>
    <mergeCell ref="B25:L25"/>
    <mergeCell ref="G11:I11"/>
  </mergeCells>
  <phoneticPr fontId="0" type="noConversion"/>
  <pageMargins left="0.5" right="0.5" top="0.25" bottom="0.25" header="0.5" footer="0.5"/>
  <pageSetup scale="77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M76"/>
  <sheetViews>
    <sheetView topLeftCell="A58" workbookViewId="0">
      <selection activeCell="M35" sqref="M35"/>
    </sheetView>
  </sheetViews>
  <sheetFormatPr defaultRowHeight="12.75"/>
  <cols>
    <col min="2" max="2" width="15.28515625" customWidth="1"/>
    <col min="7" max="7" width="8" customWidth="1"/>
    <col min="10" max="10" width="10.7109375" customWidth="1"/>
  </cols>
  <sheetData>
    <row r="2" spans="1:13" ht="18.75">
      <c r="B2" s="74" t="s">
        <v>80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3">
      <c r="A3" s="45"/>
      <c r="B3" s="46" t="s">
        <v>76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ht="15.75">
      <c r="B4" s="31" t="s">
        <v>77</v>
      </c>
      <c r="E4" s="75" t="s">
        <v>57</v>
      </c>
      <c r="F4" s="75"/>
      <c r="G4" s="75"/>
      <c r="H4" s="75"/>
      <c r="I4" s="75"/>
      <c r="J4" s="9"/>
      <c r="K4" s="9"/>
      <c r="L4" s="12" t="s">
        <v>2</v>
      </c>
    </row>
    <row r="5" spans="1:13" ht="15.75">
      <c r="B5" s="31" t="s">
        <v>0</v>
      </c>
      <c r="E5" s="75" t="s">
        <v>78</v>
      </c>
      <c r="F5" s="75"/>
      <c r="G5" s="75"/>
      <c r="H5" s="75"/>
      <c r="I5" s="75"/>
      <c r="J5" s="9"/>
      <c r="K5" s="9"/>
      <c r="L5" s="12" t="s">
        <v>40</v>
      </c>
    </row>
    <row r="6" spans="1:13" ht="15.75">
      <c r="B6" s="31" t="s">
        <v>1</v>
      </c>
      <c r="E6" s="33"/>
      <c r="F6" s="33"/>
      <c r="G6" s="33"/>
      <c r="H6" s="62" t="s">
        <v>64</v>
      </c>
      <c r="I6" s="62"/>
      <c r="J6" s="62"/>
      <c r="K6" s="62"/>
      <c r="L6" s="62"/>
    </row>
    <row r="7" spans="1:13" ht="15.75">
      <c r="E7" s="11"/>
      <c r="F7" s="11"/>
      <c r="G7" s="11"/>
      <c r="H7" s="62" t="s">
        <v>58</v>
      </c>
      <c r="I7" s="62"/>
      <c r="J7" s="62"/>
      <c r="K7" s="62"/>
      <c r="L7" s="62"/>
    </row>
    <row r="8" spans="1:13" ht="15.75">
      <c r="B8" s="20" t="s">
        <v>79</v>
      </c>
      <c r="C8" s="57"/>
      <c r="D8" s="7"/>
      <c r="E8" s="7"/>
      <c r="F8" s="7"/>
      <c r="G8" s="11"/>
      <c r="H8" s="42"/>
      <c r="I8" s="42"/>
      <c r="J8" s="42"/>
      <c r="K8" s="42"/>
      <c r="L8" s="42"/>
    </row>
    <row r="9" spans="1:13" ht="15">
      <c r="A9" s="18"/>
      <c r="B9" s="20" t="s">
        <v>4</v>
      </c>
      <c r="C9" s="58"/>
      <c r="D9" s="7"/>
      <c r="E9" s="7"/>
      <c r="F9" s="7"/>
      <c r="H9" s="19" t="s">
        <v>8</v>
      </c>
      <c r="I9" s="19"/>
      <c r="J9" s="7"/>
      <c r="K9" s="7"/>
      <c r="L9" s="7"/>
      <c r="M9" s="18"/>
    </row>
    <row r="10" spans="1:13" ht="15">
      <c r="A10" s="18"/>
      <c r="B10" s="20" t="s">
        <v>3</v>
      </c>
      <c r="C10" s="58"/>
      <c r="D10" s="7"/>
      <c r="E10" s="10"/>
      <c r="F10" s="10"/>
      <c r="G10" s="63" t="s">
        <v>66</v>
      </c>
      <c r="H10" s="63"/>
      <c r="I10" s="63"/>
      <c r="J10" s="7"/>
      <c r="K10" s="7"/>
      <c r="L10" s="7"/>
      <c r="M10" s="18"/>
    </row>
    <row r="11" spans="1:13" ht="15">
      <c r="A11" s="18"/>
      <c r="B11" s="20" t="s">
        <v>5</v>
      </c>
      <c r="C11" s="58"/>
      <c r="D11" s="7"/>
      <c r="E11" s="10"/>
      <c r="F11" s="7"/>
      <c r="H11" s="19" t="s">
        <v>63</v>
      </c>
      <c r="I11" s="19"/>
      <c r="J11" s="55"/>
      <c r="K11" s="10"/>
      <c r="L11" s="10"/>
      <c r="M11" s="18"/>
    </row>
    <row r="12" spans="1:13" ht="15">
      <c r="A12" s="18"/>
      <c r="B12" s="56" t="s">
        <v>65</v>
      </c>
      <c r="C12" s="58"/>
      <c r="D12" s="7"/>
      <c r="E12" s="10"/>
      <c r="F12" s="10"/>
      <c r="H12" s="20" t="s">
        <v>6</v>
      </c>
      <c r="J12" s="7"/>
      <c r="K12" s="7"/>
      <c r="L12" s="18"/>
      <c r="M12" s="18"/>
    </row>
    <row r="13" spans="1:13" ht="15">
      <c r="A13" s="18"/>
      <c r="B13" s="20" t="s">
        <v>63</v>
      </c>
      <c r="C13" s="58"/>
      <c r="D13" s="7"/>
      <c r="E13" s="7"/>
      <c r="F13" s="10"/>
      <c r="H13" s="20" t="s">
        <v>7</v>
      </c>
      <c r="J13" s="7"/>
      <c r="K13" s="7"/>
      <c r="L13" s="18"/>
      <c r="M13" s="18"/>
    </row>
    <row r="14" spans="1:13" ht="15">
      <c r="A14" s="18"/>
      <c r="B14" s="19"/>
      <c r="C14" s="19" t="s">
        <v>22</v>
      </c>
      <c r="D14" s="18"/>
      <c r="E14" s="19" t="s">
        <v>21</v>
      </c>
      <c r="F14" s="22"/>
      <c r="H14" s="20" t="s">
        <v>19</v>
      </c>
      <c r="J14" s="30"/>
      <c r="K14" s="7"/>
      <c r="L14" s="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8"/>
      <c r="B16" s="29" t="s">
        <v>96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18"/>
      <c r="C17" s="29"/>
      <c r="D17" s="18"/>
      <c r="E17" s="18"/>
      <c r="F17" s="18"/>
      <c r="G17" s="26"/>
      <c r="H17" s="19" t="s">
        <v>92</v>
      </c>
      <c r="I17" s="18"/>
      <c r="J17" s="18"/>
      <c r="K17" s="26"/>
      <c r="L17" s="26"/>
      <c r="M17" s="18"/>
    </row>
    <row r="18" spans="1:13" ht="15">
      <c r="A18" s="18"/>
      <c r="B18" s="22" t="s">
        <v>93</v>
      </c>
      <c r="C18" s="21"/>
      <c r="D18" s="21"/>
      <c r="E18" s="18"/>
      <c r="F18" s="18"/>
      <c r="G18" s="18"/>
      <c r="H18" s="24" t="s">
        <v>20</v>
      </c>
      <c r="I18" s="34"/>
      <c r="J18" s="34"/>
      <c r="K18" s="34"/>
      <c r="L18" s="34"/>
      <c r="M18" s="18"/>
    </row>
    <row r="19" spans="1:13" ht="15">
      <c r="A19" s="18"/>
      <c r="B19" s="1" t="s">
        <v>87</v>
      </c>
      <c r="C19" s="18"/>
      <c r="D19" s="18"/>
      <c r="E19" s="18"/>
      <c r="F19" s="18"/>
      <c r="G19" s="18"/>
      <c r="H19" s="24" t="s">
        <v>94</v>
      </c>
      <c r="I19" s="41"/>
      <c r="J19" s="41"/>
      <c r="K19" s="41"/>
      <c r="L19" s="41"/>
      <c r="M19" s="18"/>
    </row>
    <row r="20" spans="1:13" ht="15">
      <c r="A20" s="18"/>
      <c r="B20" s="18"/>
      <c r="C20" s="18"/>
      <c r="D20" s="18"/>
      <c r="E20" s="18"/>
      <c r="F20" s="18"/>
      <c r="G20" s="18"/>
      <c r="H20" s="24" t="s">
        <v>95</v>
      </c>
      <c r="I20" s="35"/>
      <c r="J20" s="34"/>
      <c r="K20" s="38" t="s">
        <v>47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88</v>
      </c>
      <c r="J21" s="18"/>
      <c r="K21" s="18"/>
      <c r="L21" s="18"/>
    </row>
    <row r="22" spans="1:13" ht="13.5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18"/>
      <c r="B23" s="79" t="s">
        <v>68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  <c r="M23" s="18"/>
    </row>
    <row r="24" spans="1:13">
      <c r="A24" s="18"/>
      <c r="B24" s="76" t="s">
        <v>69</v>
      </c>
      <c r="C24" s="77"/>
      <c r="D24" s="77"/>
      <c r="E24" s="77"/>
      <c r="F24" s="77"/>
      <c r="G24" s="77"/>
      <c r="H24" s="77"/>
      <c r="I24" s="77"/>
      <c r="J24" s="77"/>
      <c r="K24" s="77"/>
      <c r="L24" s="78"/>
      <c r="M24" s="18"/>
    </row>
    <row r="25" spans="1:13" ht="13.5" thickBot="1">
      <c r="A25" s="18"/>
      <c r="B25" s="64" t="s">
        <v>91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18"/>
    </row>
    <row r="26" spans="1:13">
      <c r="A26" s="18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18"/>
    </row>
    <row r="27" spans="1:13" ht="15.75">
      <c r="A27" s="49"/>
      <c r="B27" s="48" t="s">
        <v>82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9"/>
    </row>
    <row r="28" spans="1:13" ht="15.75">
      <c r="A28" s="49"/>
      <c r="B28" s="48" t="s">
        <v>89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9"/>
    </row>
    <row r="29" spans="1:13" ht="15.75">
      <c r="A29" s="49"/>
      <c r="B29" s="50" t="s">
        <v>81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9"/>
    </row>
    <row r="30" spans="1:13">
      <c r="A30" s="18"/>
      <c r="B30" s="18"/>
      <c r="C30" s="6" t="s">
        <v>16</v>
      </c>
      <c r="D30" s="18"/>
      <c r="E30" s="18"/>
      <c r="F30" s="6"/>
      <c r="G30" s="6"/>
      <c r="H30" s="6" t="s">
        <v>17</v>
      </c>
      <c r="I30" s="18"/>
      <c r="J30" s="6" t="s">
        <v>70</v>
      </c>
      <c r="K30" s="6" t="s">
        <v>13</v>
      </c>
      <c r="L30" s="27"/>
      <c r="M30" s="18"/>
    </row>
    <row r="31" spans="1:13">
      <c r="A31" s="18"/>
      <c r="B31" s="18"/>
      <c r="C31" s="6" t="s">
        <v>15</v>
      </c>
      <c r="D31" s="71" t="s">
        <v>12</v>
      </c>
      <c r="E31" s="71"/>
      <c r="F31" s="71"/>
      <c r="G31" s="71"/>
      <c r="H31" s="6" t="s">
        <v>10</v>
      </c>
      <c r="J31" s="59" t="s">
        <v>18</v>
      </c>
      <c r="K31" s="6" t="s">
        <v>11</v>
      </c>
      <c r="L31" s="27"/>
      <c r="M31" s="18"/>
    </row>
    <row r="32" spans="1:13" ht="15">
      <c r="A32" s="18"/>
      <c r="B32" s="2" t="s">
        <v>24</v>
      </c>
      <c r="C32" s="28">
        <v>10478</v>
      </c>
      <c r="D32" s="60" t="s">
        <v>30</v>
      </c>
      <c r="E32" s="61"/>
      <c r="F32" s="61"/>
      <c r="G32" s="61"/>
      <c r="H32" s="13"/>
      <c r="I32" s="28" t="s">
        <v>25</v>
      </c>
      <c r="J32" s="28" t="s">
        <v>49</v>
      </c>
      <c r="K32" s="3">
        <f>H32*111</f>
        <v>0</v>
      </c>
      <c r="L32" s="14"/>
      <c r="M32" s="18"/>
    </row>
    <row r="33" spans="1:13" ht="15">
      <c r="A33" s="18"/>
      <c r="B33" s="2" t="s">
        <v>23</v>
      </c>
      <c r="C33" s="28">
        <v>10476</v>
      </c>
      <c r="D33" s="60" t="s">
        <v>36</v>
      </c>
      <c r="E33" s="61"/>
      <c r="F33" s="61"/>
      <c r="G33" s="61"/>
      <c r="H33" s="13"/>
      <c r="I33" s="28" t="s">
        <v>25</v>
      </c>
      <c r="J33" s="28" t="s">
        <v>49</v>
      </c>
      <c r="K33" s="3">
        <f t="shared" ref="K33:K45" si="0">H33*111</f>
        <v>0</v>
      </c>
      <c r="L33" s="14"/>
      <c r="M33" s="18"/>
    </row>
    <row r="34" spans="1:13" ht="15">
      <c r="A34" s="18"/>
      <c r="B34" s="2" t="s">
        <v>9</v>
      </c>
      <c r="C34" s="28">
        <v>10480</v>
      </c>
      <c r="D34" s="60" t="s">
        <v>37</v>
      </c>
      <c r="E34" s="61"/>
      <c r="F34" s="61"/>
      <c r="G34" s="61"/>
      <c r="H34" s="13"/>
      <c r="I34" s="28" t="s">
        <v>25</v>
      </c>
      <c r="J34" s="28" t="s">
        <v>49</v>
      </c>
      <c r="K34" s="3">
        <f t="shared" si="0"/>
        <v>0</v>
      </c>
      <c r="L34" s="14"/>
      <c r="M34" s="18"/>
    </row>
    <row r="35" spans="1:13" ht="15">
      <c r="A35" s="18"/>
      <c r="B35" s="18"/>
      <c r="C35" s="28">
        <v>10474</v>
      </c>
      <c r="D35" s="60" t="s">
        <v>38</v>
      </c>
      <c r="E35" s="61"/>
      <c r="F35" s="61"/>
      <c r="G35" s="61"/>
      <c r="H35" s="13"/>
      <c r="I35" s="28" t="s">
        <v>25</v>
      </c>
      <c r="J35" s="28" t="s">
        <v>49</v>
      </c>
      <c r="K35" s="3">
        <f t="shared" si="0"/>
        <v>0</v>
      </c>
      <c r="L35" s="14"/>
      <c r="M35" s="18"/>
    </row>
    <row r="36" spans="1:13" ht="15">
      <c r="A36" s="18"/>
      <c r="B36" s="18"/>
      <c r="C36" s="28">
        <v>10472</v>
      </c>
      <c r="D36" s="72" t="s">
        <v>39</v>
      </c>
      <c r="E36" s="73"/>
      <c r="F36" s="73"/>
      <c r="G36" s="73"/>
      <c r="H36" s="13"/>
      <c r="I36" s="28" t="s">
        <v>25</v>
      </c>
      <c r="J36" s="28" t="s">
        <v>49</v>
      </c>
      <c r="K36" s="3">
        <f t="shared" si="0"/>
        <v>0</v>
      </c>
      <c r="L36" s="14"/>
      <c r="M36" s="18"/>
    </row>
    <row r="37" spans="1:13" ht="15">
      <c r="A37" s="18"/>
      <c r="B37" s="18"/>
      <c r="C37" s="32">
        <v>11409</v>
      </c>
      <c r="D37" s="60" t="s">
        <v>44</v>
      </c>
      <c r="E37" s="61"/>
      <c r="F37" s="61"/>
      <c r="G37" s="61"/>
      <c r="H37" s="13"/>
      <c r="I37" s="28" t="s">
        <v>25</v>
      </c>
      <c r="J37" s="28" t="s">
        <v>49</v>
      </c>
      <c r="K37" s="3">
        <f t="shared" si="0"/>
        <v>0</v>
      </c>
      <c r="L37" s="14"/>
      <c r="M37" s="18"/>
    </row>
    <row r="38" spans="1:13" ht="15">
      <c r="A38" s="18"/>
      <c r="B38" s="18"/>
      <c r="C38" s="32">
        <v>12232</v>
      </c>
      <c r="D38" s="60" t="s">
        <v>61</v>
      </c>
      <c r="E38" s="61"/>
      <c r="F38" s="61"/>
      <c r="G38" s="61"/>
      <c r="H38" s="13"/>
      <c r="I38" s="28" t="s">
        <v>25</v>
      </c>
      <c r="J38" s="28" t="s">
        <v>49</v>
      </c>
      <c r="K38" s="3">
        <f t="shared" si="0"/>
        <v>0</v>
      </c>
      <c r="L38" s="14"/>
      <c r="M38" s="18"/>
    </row>
    <row r="39" spans="1:13" ht="15">
      <c r="A39" s="18"/>
      <c r="B39" s="18"/>
      <c r="C39" s="28">
        <v>10477</v>
      </c>
      <c r="D39" s="84" t="s">
        <v>35</v>
      </c>
      <c r="E39" s="85"/>
      <c r="F39" s="85"/>
      <c r="G39" s="85"/>
      <c r="H39" s="13"/>
      <c r="I39" s="28" t="s">
        <v>25</v>
      </c>
      <c r="J39" s="28" t="s">
        <v>49</v>
      </c>
      <c r="K39" s="3">
        <f>H39*111</f>
        <v>0</v>
      </c>
      <c r="L39" s="14"/>
      <c r="M39" s="18"/>
    </row>
    <row r="40" spans="1:13" ht="15">
      <c r="A40" s="18"/>
      <c r="B40" s="18"/>
      <c r="C40" s="28">
        <v>10475</v>
      </c>
      <c r="D40" s="60" t="s">
        <v>34</v>
      </c>
      <c r="E40" s="61"/>
      <c r="F40" s="61"/>
      <c r="G40" s="61"/>
      <c r="H40" s="13"/>
      <c r="I40" s="28" t="s">
        <v>25</v>
      </c>
      <c r="J40" s="28" t="s">
        <v>49</v>
      </c>
      <c r="K40" s="3">
        <f t="shared" si="0"/>
        <v>0</v>
      </c>
      <c r="L40" s="14"/>
      <c r="M40" s="18"/>
    </row>
    <row r="41" spans="1:13" ht="15">
      <c r="A41" s="18"/>
      <c r="B41" s="18"/>
      <c r="C41" s="28">
        <v>10479</v>
      </c>
      <c r="D41" s="60" t="s">
        <v>33</v>
      </c>
      <c r="E41" s="61"/>
      <c r="F41" s="61"/>
      <c r="G41" s="61"/>
      <c r="H41" s="13"/>
      <c r="I41" s="28" t="s">
        <v>25</v>
      </c>
      <c r="J41" s="28" t="s">
        <v>49</v>
      </c>
      <c r="K41" s="3">
        <f t="shared" si="0"/>
        <v>0</v>
      </c>
      <c r="L41" s="14"/>
      <c r="M41" s="18"/>
    </row>
    <row r="42" spans="1:13" ht="15">
      <c r="A42" s="18"/>
      <c r="B42" s="18"/>
      <c r="C42" s="28">
        <v>10473</v>
      </c>
      <c r="D42" s="60" t="s">
        <v>32</v>
      </c>
      <c r="E42" s="61"/>
      <c r="F42" s="61"/>
      <c r="G42" s="61"/>
      <c r="H42" s="15"/>
      <c r="I42" s="28" t="s">
        <v>25</v>
      </c>
      <c r="J42" s="28" t="s">
        <v>49</v>
      </c>
      <c r="K42" s="3">
        <f t="shared" si="0"/>
        <v>0</v>
      </c>
      <c r="L42" s="14"/>
      <c r="M42" s="18"/>
    </row>
    <row r="43" spans="1:13" ht="15">
      <c r="A43" s="18"/>
      <c r="B43" s="18"/>
      <c r="C43" s="28">
        <v>10471</v>
      </c>
      <c r="D43" s="72" t="s">
        <v>31</v>
      </c>
      <c r="E43" s="73"/>
      <c r="F43" s="73"/>
      <c r="G43" s="73"/>
      <c r="H43" s="15"/>
      <c r="I43" s="28" t="s">
        <v>25</v>
      </c>
      <c r="J43" s="28" t="s">
        <v>49</v>
      </c>
      <c r="K43" s="3">
        <f t="shared" si="0"/>
        <v>0</v>
      </c>
      <c r="L43" s="14"/>
      <c r="M43" s="18"/>
    </row>
    <row r="44" spans="1:13" ht="15">
      <c r="A44" s="18"/>
      <c r="B44" s="18"/>
      <c r="C44" s="32">
        <v>11410</v>
      </c>
      <c r="D44" s="60" t="s">
        <v>45</v>
      </c>
      <c r="E44" s="61"/>
      <c r="F44" s="61"/>
      <c r="G44" s="61"/>
      <c r="H44" s="15"/>
      <c r="I44" s="28" t="s">
        <v>25</v>
      </c>
      <c r="J44" s="28" t="s">
        <v>49</v>
      </c>
      <c r="K44" s="3">
        <f t="shared" si="0"/>
        <v>0</v>
      </c>
      <c r="L44" s="14"/>
      <c r="M44" s="18"/>
    </row>
    <row r="45" spans="1:13" ht="15">
      <c r="A45" s="18"/>
      <c r="B45" s="18"/>
      <c r="C45" s="32">
        <v>12231</v>
      </c>
      <c r="D45" s="60" t="s">
        <v>62</v>
      </c>
      <c r="E45" s="61"/>
      <c r="F45" s="61"/>
      <c r="G45" s="61"/>
      <c r="H45" s="15"/>
      <c r="I45" s="28" t="s">
        <v>25</v>
      </c>
      <c r="J45" s="28" t="s">
        <v>49</v>
      </c>
      <c r="K45" s="3">
        <f t="shared" si="0"/>
        <v>0</v>
      </c>
      <c r="L45" s="14"/>
      <c r="M45" s="18"/>
    </row>
    <row r="46" spans="1:13" ht="15">
      <c r="A46" s="18"/>
      <c r="B46" s="18"/>
      <c r="C46" s="26"/>
      <c r="D46" s="18"/>
      <c r="E46" s="19"/>
      <c r="F46" s="19"/>
      <c r="G46" s="19"/>
      <c r="H46" s="9"/>
      <c r="I46" s="26"/>
      <c r="J46" s="26"/>
      <c r="K46" s="4"/>
      <c r="L46" s="9"/>
      <c r="M46" s="18"/>
    </row>
    <row r="47" spans="1:13" ht="15">
      <c r="A47" s="18"/>
      <c r="B47" s="2" t="s">
        <v>27</v>
      </c>
      <c r="C47" s="28">
        <v>10940</v>
      </c>
      <c r="D47" s="83" t="s">
        <v>74</v>
      </c>
      <c r="E47" s="61"/>
      <c r="F47" s="61"/>
      <c r="G47" s="61"/>
      <c r="H47" s="13"/>
      <c r="I47" s="28" t="s">
        <v>67</v>
      </c>
      <c r="J47" s="28" t="s">
        <v>83</v>
      </c>
      <c r="K47" s="3">
        <f>H47*141</f>
        <v>0</v>
      </c>
      <c r="L47" s="51" t="s">
        <v>48</v>
      </c>
      <c r="M47" s="52"/>
    </row>
    <row r="48" spans="1:13" ht="15">
      <c r="A48" s="18"/>
      <c r="B48" s="2"/>
      <c r="C48" s="26"/>
      <c r="D48" s="18"/>
      <c r="E48" s="19"/>
      <c r="F48" s="19"/>
      <c r="G48" s="19"/>
      <c r="H48" s="9"/>
      <c r="I48" s="26"/>
      <c r="J48" s="26"/>
      <c r="K48" s="4"/>
      <c r="L48" s="17"/>
      <c r="M48" s="18"/>
    </row>
    <row r="49" spans="1:13" ht="15">
      <c r="A49" s="18"/>
      <c r="B49" s="2" t="s">
        <v>53</v>
      </c>
      <c r="C49" s="28">
        <v>11375</v>
      </c>
      <c r="D49" s="82" t="s">
        <v>41</v>
      </c>
      <c r="E49" s="61"/>
      <c r="F49" s="61"/>
      <c r="G49" s="61"/>
      <c r="H49" s="13"/>
      <c r="I49" s="28" t="s">
        <v>25</v>
      </c>
      <c r="J49" s="28" t="s">
        <v>71</v>
      </c>
      <c r="K49" s="3">
        <f>H49*156</f>
        <v>0</v>
      </c>
      <c r="L49" s="16"/>
      <c r="M49" s="18"/>
    </row>
    <row r="50" spans="1:13" ht="15">
      <c r="A50" s="18"/>
      <c r="B50" s="2"/>
      <c r="C50" s="26"/>
      <c r="D50" s="18"/>
      <c r="E50" s="19"/>
      <c r="F50" s="19"/>
      <c r="G50" s="19"/>
      <c r="H50" s="9"/>
      <c r="I50" s="26"/>
      <c r="J50" s="26"/>
      <c r="L50" s="16"/>
      <c r="M50" s="18"/>
    </row>
    <row r="51" spans="1:13" ht="15">
      <c r="A51" s="18"/>
      <c r="B51" s="2"/>
      <c r="C51" s="28">
        <v>10921</v>
      </c>
      <c r="D51" s="82" t="s">
        <v>52</v>
      </c>
      <c r="E51" s="61"/>
      <c r="F51" s="61"/>
      <c r="G51" s="61"/>
      <c r="H51" s="13"/>
      <c r="I51" s="28" t="s">
        <v>25</v>
      </c>
      <c r="J51" s="28" t="s">
        <v>72</v>
      </c>
      <c r="K51" s="3">
        <f>H51*195</f>
        <v>0</v>
      </c>
      <c r="L51" s="16"/>
      <c r="M51" s="18"/>
    </row>
    <row r="52" spans="1:13" ht="15">
      <c r="A52" s="18"/>
      <c r="B52" s="2"/>
      <c r="C52" s="26"/>
      <c r="D52" s="18"/>
      <c r="E52" s="19"/>
      <c r="F52" s="19"/>
      <c r="G52" s="19"/>
      <c r="H52" s="9"/>
      <c r="I52" s="26"/>
      <c r="J52" s="26"/>
      <c r="L52" s="16"/>
      <c r="M52" s="18"/>
    </row>
    <row r="53" spans="1:13" ht="15">
      <c r="A53" s="18"/>
      <c r="B53" s="2"/>
      <c r="C53" s="28">
        <v>10994</v>
      </c>
      <c r="D53" s="82" t="s">
        <v>54</v>
      </c>
      <c r="E53" s="61"/>
      <c r="F53" s="61"/>
      <c r="G53" s="61"/>
      <c r="H53" s="13"/>
      <c r="I53" s="28" t="s">
        <v>25</v>
      </c>
      <c r="J53" s="28" t="s">
        <v>59</v>
      </c>
      <c r="K53" s="3">
        <f>H53*158</f>
        <v>0</v>
      </c>
      <c r="L53" s="16"/>
      <c r="M53" s="18"/>
    </row>
    <row r="54" spans="1:13" ht="15">
      <c r="A54" s="18"/>
      <c r="B54" s="2"/>
      <c r="C54" s="26"/>
      <c r="D54" s="18"/>
      <c r="E54" s="19"/>
      <c r="F54" s="19"/>
      <c r="G54" s="19"/>
      <c r="H54" s="9"/>
      <c r="I54" s="26"/>
      <c r="J54" s="26"/>
      <c r="L54" s="16"/>
      <c r="M54" s="18"/>
    </row>
    <row r="55" spans="1:13" ht="15">
      <c r="A55" s="18"/>
      <c r="B55" s="2" t="s">
        <v>50</v>
      </c>
      <c r="C55" s="28">
        <v>10922</v>
      </c>
      <c r="D55" s="82" t="s">
        <v>56</v>
      </c>
      <c r="E55" s="61"/>
      <c r="F55" s="61"/>
      <c r="G55" s="61"/>
      <c r="H55" s="13"/>
      <c r="I55" s="28" t="s">
        <v>25</v>
      </c>
      <c r="J55" s="28" t="s">
        <v>60</v>
      </c>
      <c r="K55" s="3">
        <f>H55*282</f>
        <v>0</v>
      </c>
      <c r="L55" s="16"/>
      <c r="M55" s="18"/>
    </row>
    <row r="56" spans="1:13" ht="15">
      <c r="A56" s="18"/>
      <c r="B56" s="2"/>
      <c r="C56" s="23"/>
      <c r="D56" s="37"/>
      <c r="E56" s="36"/>
      <c r="F56" s="36"/>
      <c r="G56" s="36"/>
      <c r="H56" s="8"/>
      <c r="I56" s="23"/>
      <c r="J56" s="23"/>
      <c r="K56" s="5"/>
      <c r="L56" s="16"/>
      <c r="M56" s="18"/>
    </row>
    <row r="57" spans="1:13" ht="15">
      <c r="A57" s="18"/>
      <c r="B57" s="2"/>
      <c r="C57" s="28">
        <v>12065</v>
      </c>
      <c r="D57" s="68" t="s">
        <v>51</v>
      </c>
      <c r="E57" s="69"/>
      <c r="F57" s="69"/>
      <c r="G57" s="70"/>
      <c r="H57" s="13"/>
      <c r="I57" s="28" t="s">
        <v>25</v>
      </c>
      <c r="J57" s="28" t="s">
        <v>73</v>
      </c>
      <c r="K57" s="3">
        <f>H57*310</f>
        <v>0</v>
      </c>
      <c r="L57" s="16"/>
      <c r="M57" s="18"/>
    </row>
    <row r="58" spans="1:13" ht="15">
      <c r="A58" s="18"/>
      <c r="B58" s="2"/>
      <c r="C58" s="23"/>
      <c r="D58" s="18"/>
      <c r="E58" s="19"/>
      <c r="F58" s="19"/>
      <c r="G58" s="19"/>
      <c r="H58" s="8"/>
      <c r="I58" s="23"/>
      <c r="J58" s="23"/>
      <c r="K58" s="5"/>
      <c r="L58" s="16"/>
      <c r="M58" s="18"/>
    </row>
    <row r="59" spans="1:13" ht="15">
      <c r="A59" s="18"/>
      <c r="B59" s="2" t="s">
        <v>29</v>
      </c>
      <c r="C59" s="28">
        <v>10996</v>
      </c>
      <c r="D59" s="82" t="s">
        <v>42</v>
      </c>
      <c r="E59" s="61"/>
      <c r="F59" s="61"/>
      <c r="G59" s="61"/>
      <c r="H59" s="13"/>
      <c r="I59" s="28" t="s">
        <v>26</v>
      </c>
      <c r="J59" s="28" t="s">
        <v>84</v>
      </c>
      <c r="K59" s="3">
        <f>H59*110</f>
        <v>0</v>
      </c>
      <c r="L59" s="16"/>
      <c r="M59" s="18"/>
    </row>
    <row r="60" spans="1:13" ht="15">
      <c r="A60" s="18"/>
      <c r="B60" s="2"/>
      <c r="C60" s="23"/>
      <c r="D60" s="18"/>
      <c r="E60" s="19"/>
      <c r="F60" s="19"/>
      <c r="G60" s="19"/>
      <c r="H60" s="8"/>
      <c r="I60" s="23"/>
      <c r="J60" s="23"/>
      <c r="K60" s="5"/>
      <c r="L60" s="16"/>
      <c r="M60" s="18"/>
    </row>
    <row r="61" spans="1:13" ht="15">
      <c r="A61" s="18"/>
      <c r="B61" s="2" t="s">
        <v>28</v>
      </c>
      <c r="C61" s="28">
        <v>11376</v>
      </c>
      <c r="D61" s="82" t="s">
        <v>43</v>
      </c>
      <c r="E61" s="61"/>
      <c r="F61" s="61"/>
      <c r="G61" s="61"/>
      <c r="H61" s="13"/>
      <c r="I61" s="28" t="s">
        <v>25</v>
      </c>
      <c r="J61" s="28" t="s">
        <v>85</v>
      </c>
      <c r="K61" s="3">
        <f>H61*275</f>
        <v>0</v>
      </c>
      <c r="L61" s="16"/>
      <c r="M61" s="18"/>
    </row>
    <row r="62" spans="1:13" ht="15">
      <c r="A62" s="18"/>
      <c r="B62" s="2"/>
      <c r="C62" s="23"/>
      <c r="D62" s="18"/>
      <c r="E62" s="19"/>
      <c r="F62" s="19"/>
      <c r="G62" s="19"/>
      <c r="H62" s="8"/>
      <c r="I62" s="23"/>
      <c r="J62" s="23"/>
      <c r="K62" s="5"/>
      <c r="L62" s="16"/>
      <c r="M62" s="18"/>
    </row>
    <row r="63" spans="1:13" ht="15">
      <c r="A63" s="18"/>
      <c r="B63" s="2"/>
      <c r="C63" s="28">
        <v>11576</v>
      </c>
      <c r="D63" s="82" t="s">
        <v>46</v>
      </c>
      <c r="E63" s="61"/>
      <c r="F63" s="61"/>
      <c r="G63" s="61"/>
      <c r="H63" s="13"/>
      <c r="I63" s="28" t="s">
        <v>100</v>
      </c>
      <c r="J63" s="28" t="s">
        <v>101</v>
      </c>
      <c r="K63" s="3">
        <f>H63*200</f>
        <v>0</v>
      </c>
      <c r="L63" s="16"/>
      <c r="M63" s="18"/>
    </row>
    <row r="64" spans="1:13" ht="15">
      <c r="A64" s="18"/>
      <c r="B64" s="2"/>
      <c r="C64" s="23"/>
      <c r="D64" s="18"/>
      <c r="E64" s="19"/>
      <c r="F64" s="19"/>
      <c r="G64" s="19"/>
      <c r="H64" s="8"/>
      <c r="I64" s="23"/>
      <c r="J64" s="23"/>
      <c r="K64" s="5"/>
      <c r="L64" s="16"/>
      <c r="M64" s="18"/>
    </row>
    <row r="65" spans="1:13" ht="15">
      <c r="A65" s="18"/>
      <c r="B65" s="2"/>
      <c r="C65" s="28">
        <v>12026</v>
      </c>
      <c r="D65" s="82" t="s">
        <v>55</v>
      </c>
      <c r="E65" s="61"/>
      <c r="F65" s="61"/>
      <c r="G65" s="61"/>
      <c r="H65" s="13"/>
      <c r="I65" s="28" t="s">
        <v>25</v>
      </c>
      <c r="J65" s="28" t="s">
        <v>90</v>
      </c>
      <c r="K65" s="3">
        <f>H65*158</f>
        <v>0</v>
      </c>
      <c r="L65" s="16"/>
      <c r="M65" s="18"/>
    </row>
    <row r="66" spans="1:13" ht="15">
      <c r="A66" s="18"/>
      <c r="B66" s="2"/>
      <c r="C66" s="23"/>
      <c r="D66" s="18"/>
      <c r="E66" s="19"/>
      <c r="F66" s="19"/>
      <c r="G66" s="19"/>
      <c r="H66" s="8"/>
      <c r="I66" s="23"/>
      <c r="J66" s="23"/>
      <c r="K66" s="5"/>
      <c r="L66" s="16"/>
      <c r="M66" s="18"/>
    </row>
    <row r="67" spans="1:13" ht="16.5" thickBot="1">
      <c r="A67" s="18"/>
      <c r="B67" s="18"/>
      <c r="C67" s="18"/>
      <c r="D67" s="43"/>
      <c r="E67" s="43"/>
      <c r="F67" s="43"/>
      <c r="G67" s="43"/>
      <c r="H67" s="43"/>
      <c r="I67" s="43"/>
      <c r="J67" s="2" t="s">
        <v>14</v>
      </c>
      <c r="K67" s="39">
        <f>SUM(K32:K65)</f>
        <v>0</v>
      </c>
      <c r="L67" s="16"/>
      <c r="M67" s="18"/>
    </row>
    <row r="68" spans="1:13" ht="16.5" thickTop="1">
      <c r="A68" s="18"/>
      <c r="B68" s="54" t="s">
        <v>102</v>
      </c>
      <c r="C68" s="43"/>
      <c r="D68" s="43"/>
      <c r="E68" s="43"/>
      <c r="F68" s="43"/>
      <c r="G68" s="43"/>
      <c r="H68" s="43"/>
      <c r="I68" s="43"/>
      <c r="J68" s="18"/>
      <c r="K68" s="18"/>
      <c r="L68" s="9"/>
      <c r="M68" s="18"/>
    </row>
    <row r="69" spans="1:1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5">
      <c r="A70" s="18"/>
      <c r="B70" s="53" t="s">
        <v>86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>
      <c r="A72" s="18"/>
      <c r="B72" s="1" t="s">
        <v>97</v>
      </c>
      <c r="C72" s="18"/>
      <c r="D72" s="18"/>
      <c r="E72" s="18"/>
      <c r="G72" s="18" t="s">
        <v>98</v>
      </c>
      <c r="I72" s="21"/>
      <c r="J72" s="21"/>
      <c r="K72" s="21"/>
      <c r="L72" s="18"/>
      <c r="M72" s="18"/>
    </row>
    <row r="73" spans="1:1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>
      <c r="A74" s="18"/>
      <c r="B74" s="18" t="s">
        <v>99</v>
      </c>
      <c r="C74" s="18"/>
      <c r="D74" s="18"/>
      <c r="E74" s="18"/>
      <c r="F74" s="18"/>
      <c r="G74" s="18"/>
      <c r="H74" s="18"/>
      <c r="I74" s="21"/>
      <c r="J74" s="21"/>
      <c r="K74" s="21"/>
      <c r="L74" s="18"/>
      <c r="M74" s="18"/>
    </row>
    <row r="75" spans="1:13">
      <c r="A75" s="18"/>
      <c r="B75" s="18"/>
      <c r="C75" s="22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>
      <c r="A76" s="86" t="s">
        <v>75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</row>
  </sheetData>
  <mergeCells count="35">
    <mergeCell ref="D61:G61"/>
    <mergeCell ref="D63:G63"/>
    <mergeCell ref="D65:G65"/>
    <mergeCell ref="A76:M76"/>
    <mergeCell ref="D51:G51"/>
    <mergeCell ref="D53:G53"/>
    <mergeCell ref="D55:G55"/>
    <mergeCell ref="D57:G57"/>
    <mergeCell ref="D59:G59"/>
    <mergeCell ref="D43:G43"/>
    <mergeCell ref="D44:G44"/>
    <mergeCell ref="D45:G45"/>
    <mergeCell ref="D47:G47"/>
    <mergeCell ref="D49:G49"/>
    <mergeCell ref="D38:G38"/>
    <mergeCell ref="D39:G39"/>
    <mergeCell ref="D40:G40"/>
    <mergeCell ref="D41:G41"/>
    <mergeCell ref="D42:G42"/>
    <mergeCell ref="D33:G33"/>
    <mergeCell ref="D34:G34"/>
    <mergeCell ref="D35:G35"/>
    <mergeCell ref="D36:G36"/>
    <mergeCell ref="D37:G37"/>
    <mergeCell ref="D32:G32"/>
    <mergeCell ref="B2:L2"/>
    <mergeCell ref="E4:I4"/>
    <mergeCell ref="E5:I5"/>
    <mergeCell ref="H6:L6"/>
    <mergeCell ref="H7:L7"/>
    <mergeCell ref="G10:I10"/>
    <mergeCell ref="B23:L23"/>
    <mergeCell ref="B24:L24"/>
    <mergeCell ref="B25:L25"/>
    <mergeCell ref="D31:G31"/>
  </mergeCells>
  <pageMargins left="0.83" right="0.27" top="0.32" bottom="0.24" header="0.21" footer="0.17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2011-11-04T15:11:21Z</cp:lastPrinted>
  <dcterms:created xsi:type="dcterms:W3CDTF">2003-01-09T21:56:35Z</dcterms:created>
  <dcterms:modified xsi:type="dcterms:W3CDTF">2012-01-16T18:00:08Z</dcterms:modified>
</cp:coreProperties>
</file>