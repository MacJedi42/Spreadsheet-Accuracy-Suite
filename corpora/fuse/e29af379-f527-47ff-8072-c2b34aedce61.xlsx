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35600" yWindow="2560" windowWidth="25600" windowHeight="13980" tabRatio="500"/>
  </bookViews>
  <sheets>
    <sheet name="Revenue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0" i="1" l="1"/>
  <c r="J25" i="1"/>
  <c r="J23" i="1"/>
  <c r="J22" i="1"/>
  <c r="J27" i="1"/>
  <c r="J31" i="1"/>
  <c r="J33" i="1"/>
  <c r="J35" i="1"/>
  <c r="J40" i="1"/>
  <c r="J37" i="1"/>
  <c r="J41" i="1"/>
  <c r="J42" i="1"/>
  <c r="J43" i="1"/>
  <c r="K24" i="1"/>
  <c r="K25" i="1"/>
  <c r="K23" i="1"/>
  <c r="K22" i="1"/>
  <c r="K27" i="1"/>
  <c r="K31" i="1"/>
  <c r="K33" i="1"/>
  <c r="K35" i="1"/>
  <c r="K40" i="1"/>
  <c r="K37" i="1"/>
  <c r="K41" i="1"/>
  <c r="K42" i="1"/>
  <c r="K43" i="1"/>
  <c r="L24" i="1"/>
  <c r="L25" i="1"/>
  <c r="L23" i="1"/>
  <c r="L22" i="1"/>
  <c r="L27" i="1"/>
  <c r="L31" i="1"/>
  <c r="L33" i="1"/>
  <c r="L35" i="1"/>
  <c r="L40" i="1"/>
  <c r="L37" i="1"/>
  <c r="L41" i="1"/>
  <c r="L42" i="1"/>
  <c r="L43" i="1"/>
  <c r="M24" i="1"/>
  <c r="M25" i="1"/>
  <c r="M23" i="1"/>
  <c r="M22" i="1"/>
  <c r="M27" i="1"/>
  <c r="M31" i="1"/>
  <c r="M33" i="1"/>
  <c r="M35" i="1"/>
  <c r="M40" i="1"/>
  <c r="M37" i="1"/>
  <c r="M41" i="1"/>
  <c r="M42" i="1"/>
  <c r="M43" i="1"/>
  <c r="N24" i="1"/>
  <c r="N25" i="1"/>
  <c r="N23" i="1"/>
  <c r="N22" i="1"/>
  <c r="N27" i="1"/>
  <c r="N31" i="1"/>
  <c r="N33" i="1"/>
  <c r="N35" i="1"/>
  <c r="N40" i="1"/>
  <c r="N37" i="1"/>
  <c r="N41" i="1"/>
  <c r="N42" i="1"/>
  <c r="N43" i="1"/>
  <c r="O24" i="1"/>
  <c r="O25" i="1"/>
  <c r="O23" i="1"/>
  <c r="O22" i="1"/>
  <c r="O27" i="1"/>
  <c r="O31" i="1"/>
  <c r="O33" i="1"/>
  <c r="O35" i="1"/>
  <c r="O40" i="1"/>
  <c r="O37" i="1"/>
  <c r="O41" i="1"/>
  <c r="O42" i="1"/>
  <c r="O43" i="1"/>
  <c r="P24" i="1"/>
  <c r="P25" i="1"/>
  <c r="P23" i="1"/>
  <c r="P22" i="1"/>
  <c r="P27" i="1"/>
  <c r="P31" i="1"/>
  <c r="P33" i="1"/>
  <c r="P35" i="1"/>
  <c r="P40" i="1"/>
  <c r="P37" i="1"/>
  <c r="P41" i="1"/>
  <c r="P42" i="1"/>
  <c r="P43" i="1"/>
  <c r="Q24" i="1"/>
  <c r="Q25" i="1"/>
  <c r="Q23" i="1"/>
  <c r="Q22" i="1"/>
  <c r="Q27" i="1"/>
  <c r="Q31" i="1"/>
  <c r="Q33" i="1"/>
  <c r="Q35" i="1"/>
  <c r="Q40" i="1"/>
  <c r="Q37" i="1"/>
  <c r="Q41" i="1"/>
  <c r="Q42" i="1"/>
  <c r="Q43" i="1"/>
  <c r="R24" i="1"/>
  <c r="R25" i="1"/>
  <c r="R23" i="1"/>
  <c r="R22" i="1"/>
  <c r="R27" i="1"/>
  <c r="R31" i="1"/>
  <c r="R33" i="1"/>
  <c r="R35" i="1"/>
  <c r="R40" i="1"/>
  <c r="R37" i="1"/>
  <c r="R41" i="1"/>
  <c r="R42" i="1"/>
  <c r="R43" i="1"/>
  <c r="S24" i="1"/>
  <c r="S25" i="1"/>
  <c r="S23" i="1"/>
  <c r="S22" i="1"/>
  <c r="S27" i="1"/>
  <c r="S31" i="1"/>
  <c r="S33" i="1"/>
  <c r="S35" i="1"/>
  <c r="S40" i="1"/>
  <c r="S37" i="1"/>
  <c r="S41" i="1"/>
  <c r="S42" i="1"/>
  <c r="S43" i="1"/>
  <c r="T24" i="1"/>
  <c r="T25" i="1"/>
  <c r="T23" i="1"/>
  <c r="T22" i="1"/>
  <c r="T27" i="1"/>
  <c r="T31" i="1"/>
  <c r="T33" i="1"/>
  <c r="T35" i="1"/>
  <c r="T40" i="1"/>
  <c r="T37" i="1"/>
  <c r="T41" i="1"/>
  <c r="T42" i="1"/>
  <c r="T43" i="1"/>
  <c r="U24" i="1"/>
  <c r="U25" i="1"/>
  <c r="U23" i="1"/>
  <c r="U22" i="1"/>
  <c r="U27" i="1"/>
  <c r="U31" i="1"/>
  <c r="U33" i="1"/>
  <c r="U35" i="1"/>
  <c r="U40" i="1"/>
  <c r="U37" i="1"/>
  <c r="U41" i="1"/>
  <c r="U42" i="1"/>
  <c r="F49" i="1"/>
  <c r="F48" i="1"/>
  <c r="F47" i="1"/>
  <c r="U43" i="1"/>
  <c r="J29" i="1"/>
  <c r="K29" i="1"/>
  <c r="L29" i="1"/>
  <c r="M29" i="1"/>
  <c r="N29" i="1"/>
  <c r="O29" i="1"/>
  <c r="P29" i="1"/>
  <c r="Q29" i="1"/>
  <c r="R29" i="1"/>
  <c r="S29" i="1"/>
  <c r="T29" i="1"/>
  <c r="U29" i="1"/>
</calcChain>
</file>

<file path=xl/sharedStrings.xml><?xml version="1.0" encoding="utf-8"?>
<sst xmlns="http://schemas.openxmlformats.org/spreadsheetml/2006/main" count="47" uniqueCount="43">
  <si>
    <t>ARPDAU</t>
  </si>
  <si>
    <t>CPI</t>
  </si>
  <si>
    <t>Organic Installs</t>
  </si>
  <si>
    <t>Viral Installs</t>
  </si>
  <si>
    <t>K-factor</t>
  </si>
  <si>
    <t>Month 1</t>
  </si>
  <si>
    <t>Month 2</t>
  </si>
  <si>
    <t>Net Revenue Reinvestment</t>
  </si>
  <si>
    <t>Paid Installs</t>
  </si>
  <si>
    <t>Total Users</t>
  </si>
  <si>
    <t>Total Revenue</t>
  </si>
  <si>
    <t>Total Expenses</t>
  </si>
  <si>
    <t>Monthly Acquisition Budget</t>
  </si>
  <si>
    <t>Monthly Organic Installs</t>
  </si>
  <si>
    <t>Additional Expenses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</si>
  <si>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</si>
  <si>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</si>
  <si>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</si>
  <si>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</si>
  <si>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</si>
  <si>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</si>
  <si>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</si>
  <si>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</si>
  <si>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</si>
  <si>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</si>
  <si>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Net of Expenses</t>
  </si>
  <si>
    <t>Net of Platform Fee</t>
  </si>
  <si>
    <t>52-Week Total Revenue</t>
  </si>
  <si>
    <t>Net of Platform Fees</t>
  </si>
  <si>
    <t>Less half of net revenue</t>
  </si>
  <si>
    <t>Game Assumptions</t>
  </si>
  <si>
    <t>Publishing Agreement Assumptions</t>
  </si>
  <si>
    <t>Revenue Split</t>
  </si>
  <si>
    <t>Acquisition spend per month</t>
  </si>
  <si>
    <t>Revenue split until acquisition recoup</t>
  </si>
  <si>
    <t>Publishing Agreement?</t>
  </si>
  <si>
    <t>Yes</t>
  </si>
  <si>
    <t>No</t>
  </si>
  <si>
    <t>Net of Publishing Agreement</t>
  </si>
  <si>
    <t>Total Acquisition Budget</t>
  </si>
  <si>
    <t>From Publisher</t>
  </si>
  <si>
    <t>From Developer Monthly Acquisition Budget</t>
  </si>
  <si>
    <t>From Developer Reinvestment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</si>
</sst>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€&quot;* #,##0.00_);_(&quot;€&quot;* \(#,##0.00\);_(&quot;€&quot;* &quot;-&quot;??_);_(@_)"/>
    <numFmt numFmtId="164" formatCode="_([$$-409]* #,##0.00_);_([$$-409]* \(#,##0.00\);_([$$-409]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8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6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9">
    <xf numFmtId="0" fontId="0" fillId="0" borderId="0" xfId="0"/>
    <xf numFmtId="164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3" fontId="0" fillId="0" borderId="0" xfId="1" applyNumberFormat="1" applyFon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/>
    <xf numFmtId="164" fontId="0" fillId="2" borderId="0" xfId="0" applyNumberForma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0" xfId="0" applyFont="1" applyFill="1" applyBorder="1"/>
    <xf numFmtId="164" fontId="0" fillId="0" borderId="8" xfId="0" applyNumberFormat="1" applyBorder="1"/>
    <xf numFmtId="0" fontId="2" fillId="0" borderId="0" xfId="0" applyFont="1"/>
    <xf numFmtId="9" fontId="0" fillId="2" borderId="0" xfId="0" applyNumberFormat="1" applyFill="1"/>
    <xf numFmtId="0" fontId="0" fillId="3" borderId="0" xfId="0" applyFill="1"/>
    <xf numFmtId="0" fontId="0" fillId="3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3" fontId="0" fillId="2" borderId="0" xfId="2" applyNumberFormat="1" applyFont="1" applyFill="1" applyBorder="1"/>
    <xf numFmtId="0" fontId="2" fillId="3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2" fillId="3" borderId="0" xfId="0" applyNumberFormat="1" applyFont="1" applyFill="1" applyBorder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 indent="1"/>
    </xf>
    <xf numFmtId="10" fontId="0" fillId="2" borderId="0" xfId="2" applyNumberFormat="1" applyFont="1" applyFill="1" applyBorder="1"/>
    <xf numFmtId="0" fontId="0" fillId="4" borderId="2" xfId="0" applyFill="1" applyBorder="1"/>
    <xf numFmtId="0" fontId="0" fillId="4" borderId="3" xfId="0" applyFill="1" applyBorder="1"/>
    <xf numFmtId="164" fontId="0" fillId="4" borderId="3" xfId="0" applyNumberFormat="1" applyFill="1" applyBorder="1"/>
    <xf numFmtId="0" fontId="0" fillId="4" borderId="4" xfId="0" applyFill="1" applyBorder="1"/>
    <xf numFmtId="0" fontId="0" fillId="4" borderId="5" xfId="0" applyFill="1" applyBorder="1"/>
    <xf numFmtId="0" fontId="2" fillId="4" borderId="0" xfId="0" applyFont="1" applyFill="1" applyBorder="1"/>
    <xf numFmtId="0" fontId="0" fillId="4" borderId="0" xfId="0" applyFill="1" applyBorder="1"/>
    <xf numFmtId="164" fontId="0" fillId="4" borderId="0" xfId="0" applyNumberFormat="1" applyFill="1" applyBorder="1"/>
    <xf numFmtId="0" fontId="0" fillId="4" borderId="6" xfId="0" applyFill="1" applyBorder="1"/>
    <xf numFmtId="9" fontId="0" fillId="4" borderId="0" xfId="0" applyNumberFormat="1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3" fillId="0" borderId="0" xfId="0" applyFont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2" fillId="5" borderId="0" xfId="0" applyFont="1" applyFill="1" applyBorder="1"/>
    <xf numFmtId="0" fontId="0" fillId="5" borderId="0" xfId="0" applyFill="1" applyBorder="1"/>
    <xf numFmtId="0" fontId="3" fillId="5" borderId="6" xfId="0" applyFont="1" applyFill="1" applyBorder="1"/>
    <xf numFmtId="9" fontId="0" fillId="5" borderId="0" xfId="0" applyNumberFormat="1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9" fontId="0" fillId="5" borderId="8" xfId="0" applyNumberFormat="1" applyFill="1" applyBorder="1"/>
    <xf numFmtId="0" fontId="0" fillId="5" borderId="9" xfId="0" applyFill="1" applyBorder="1"/>
    <xf numFmtId="0" fontId="6" fillId="6" borderId="1" xfId="0" applyFont="1" applyFill="1" applyBorder="1" applyAlignment="1">
      <alignment horizontal="center"/>
    </xf>
    <xf numFmtId="164" fontId="0" fillId="5" borderId="0" xfId="0" applyNumberFormat="1" applyFill="1" applyBorder="1"/>
    <xf numFmtId="0" fontId="0" fillId="3" borderId="0" xfId="0" applyFont="1" applyFill="1"/>
    <xf numFmtId="164" fontId="2" fillId="0" borderId="0" xfId="0" applyNumberFormat="1" applyFont="1"/>
  </cellXfs>
  <cellStyles count="165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Normal" xfId="0" builtinId="0"/>
    <cellStyle name="Percent" xfId="2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</a:t>
            </a:r>
            <a:r>
              <a:rPr lang="en-US" baseline="0"/>
              <a:t> Revenue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Revenues!$E$42</c:f>
              <c:strCache>
                <c:ptCount val="1"/>
                <c:pt idx="0">
                  <c:v>Net of Platform Fee</c:v>
                </c:pt>
              </c:strCache>
            </c:strRef>
          </c:tx>
          <c:marker>
            <c:symbol val="none"/>
          </c:marker>
          <c:cat>
            <c:strRef>
              <c:f>Revenues!$J$20:$U$20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Revenues!$J$42:$U$42</c:f>
              <c:numCache>
                <c:formatCode>_([$$-409]* #,##0.00_);_([$$-409]* \(#,##0.00\);_([$$-409]* "-"??_);_(@_)</c:formatCode>
                <c:ptCount val="12"/>
                <c:pt idx="0">
                  <c:v>44275.06578085938</c:v>
                </c:pt>
                <c:pt idx="1">
                  <c:v>47946.36416380289</c:v>
                </c:pt>
                <c:pt idx="2">
                  <c:v>48363.97545259524</c:v>
                </c:pt>
                <c:pt idx="3">
                  <c:v>48411.47886156278</c:v>
                </c:pt>
                <c:pt idx="4">
                  <c:v>48416.88238853655</c:v>
                </c:pt>
                <c:pt idx="5">
                  <c:v>48417.49704134549</c:v>
                </c:pt>
                <c:pt idx="6">
                  <c:v>48417.5669582863</c:v>
                </c:pt>
                <c:pt idx="7">
                  <c:v>48417.57491135922</c:v>
                </c:pt>
                <c:pt idx="8">
                  <c:v>48417.57581602364</c:v>
                </c:pt>
                <c:pt idx="9">
                  <c:v>48417.5759189295</c:v>
                </c:pt>
                <c:pt idx="10">
                  <c:v>48417.57593063507</c:v>
                </c:pt>
                <c:pt idx="11">
                  <c:v>48417.57593196657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432280"/>
        <c:axId val="-1977067304"/>
      </c:lineChart>
      <c:catAx>
        <c:axId val="18244322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977067304"/>
        <c:crosses val="autoZero"/>
        <c:auto val="1"/>
        <c:lblAlgn val="ctr"/>
        <c:lblOffset val="100"/>
        <c:noMultiLvlLbl val="0"/>
      </c:catAx>
      <c:valAx>
        <c:axId val="-1977067304"/>
        <c:scaling>
          <c:orientation val="minMax"/>
        </c:scaling>
        <c:delete val="0"/>
        <c:axPos val="l"/>
        <c:majorGridlines/>
        <c:numFmt formatCode="_([$$-409]* #,##0.00_);_([$$-409]* \(#,##0.00\);_([$$-409]* &quot;-&quot;??_);_(@_)" sourceLinked="1"/>
        <c:majorTickMark val="out"/>
        <c:minorTickMark val="none"/>
        <c:tickLblPos val="nextTo"/>
        <c:crossAx val="1824432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177800</xdr:rowOff>
    </xdr:from>
    <xdr:to>
      <xdr:col>20</xdr:col>
      <xdr:colOff>0</xdr:colOff>
      <xdr:row>17</xdr:row>
      <xdr:rowOff>25400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J51"/>
  <sheetViews>
    <sheetView tabSelected="1" topLeftCell="A22" workbookViewId="0">
      <selection activeCell="K45" sqref="K45"/>
    </sheetView>
  </sheetViews>
  <sheetFormatPr baseColWidth="10" defaultRowHeight="15" x14ac:dyDescent="0"/>
  <cols>
    <col min="2" max="2" width="0.6640625" customWidth="1"/>
    <col min="3" max="3" width="2.33203125" customWidth="1"/>
    <col min="4" max="4" width="0.6640625" customWidth="1"/>
    <col min="5" max="5" width="28.5" customWidth="1"/>
    <col min="6" max="6" width="14.1640625" bestFit="1" customWidth="1"/>
    <col min="7" max="7" width="0.6640625" customWidth="1"/>
    <col min="8" max="8" width="3.33203125" customWidth="1"/>
    <col min="9" max="9" width="0.6640625" customWidth="1"/>
    <col min="10" max="21" width="12.83203125" customWidth="1"/>
  </cols>
  <sheetData>
    <row r="1" spans="1:374">
      <c r="A1" s="51" t="s">
        <v>36</v>
      </c>
    </row>
    <row r="2" spans="1:374">
      <c r="A2" s="51" t="s">
        <v>37</v>
      </c>
      <c r="C2" s="20" t="s">
        <v>30</v>
      </c>
    </row>
    <row r="3" spans="1:374" ht="4" customHeight="1">
      <c r="B3" s="8"/>
      <c r="C3" s="9"/>
      <c r="D3" s="9"/>
      <c r="E3" s="9"/>
      <c r="F3" s="9"/>
      <c r="G3" s="10"/>
    </row>
    <row r="4" spans="1:374">
      <c r="B4" s="11"/>
      <c r="C4" s="18" t="s">
        <v>1</v>
      </c>
      <c r="D4" s="18"/>
      <c r="E4" s="12"/>
      <c r="F4" s="13">
        <v>1.5</v>
      </c>
      <c r="G4" s="14"/>
    </row>
    <row r="5" spans="1:374">
      <c r="B5" s="11"/>
      <c r="C5" s="18" t="s">
        <v>0</v>
      </c>
      <c r="D5" s="18"/>
      <c r="E5" s="12"/>
      <c r="F5" s="13">
        <v>0.1</v>
      </c>
      <c r="G5" s="14"/>
    </row>
    <row r="6" spans="1:374">
      <c r="B6" s="11"/>
      <c r="C6" s="18" t="s">
        <v>4</v>
      </c>
      <c r="D6" s="18"/>
      <c r="E6" s="12"/>
      <c r="F6" s="37">
        <v>0.15</v>
      </c>
      <c r="G6" s="14"/>
    </row>
    <row r="7" spans="1:374">
      <c r="B7" s="11"/>
      <c r="C7" s="18" t="s">
        <v>13</v>
      </c>
      <c r="D7" s="18"/>
      <c r="E7" s="12"/>
      <c r="F7" s="31">
        <v>5000</v>
      </c>
      <c r="G7" s="14"/>
    </row>
    <row r="8" spans="1:374">
      <c r="B8" s="11"/>
      <c r="C8" s="18" t="s">
        <v>12</v>
      </c>
      <c r="D8" s="18"/>
      <c r="E8" s="6"/>
      <c r="F8" s="7">
        <v>0</v>
      </c>
      <c r="G8" s="14"/>
    </row>
    <row r="9" spans="1:374">
      <c r="B9" s="11"/>
      <c r="C9" s="18" t="s">
        <v>7</v>
      </c>
      <c r="D9" s="18"/>
      <c r="E9" s="6"/>
      <c r="F9" s="21">
        <v>0.25</v>
      </c>
      <c r="G9" s="14"/>
      <c r="K9" s="5"/>
    </row>
    <row r="10" spans="1:374" ht="4" customHeight="1">
      <c r="B10" s="15"/>
      <c r="C10" s="16"/>
      <c r="D10" s="16"/>
      <c r="E10" s="16"/>
      <c r="F10" s="16"/>
      <c r="G10" s="17"/>
    </row>
    <row r="11" spans="1:374"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</row>
    <row r="12" spans="1:374" ht="4" customHeight="1">
      <c r="B12" s="52"/>
      <c r="C12" s="53"/>
      <c r="D12" s="53"/>
      <c r="E12" s="53"/>
      <c r="F12" s="53"/>
      <c r="G12" s="54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</row>
    <row r="13" spans="1:374">
      <c r="B13" s="55"/>
      <c r="C13" s="56" t="s">
        <v>31</v>
      </c>
      <c r="D13" s="57"/>
      <c r="E13" s="57"/>
      <c r="F13" s="57"/>
      <c r="G13" s="58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</row>
    <row r="14" spans="1:374">
      <c r="B14" s="55"/>
      <c r="C14" s="57" t="s">
        <v>35</v>
      </c>
      <c r="D14" s="57"/>
      <c r="E14" s="57"/>
      <c r="F14" s="65" t="s">
        <v>36</v>
      </c>
      <c r="G14" s="58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</row>
    <row r="15" spans="1:374">
      <c r="B15" s="55"/>
      <c r="C15" s="57" t="s">
        <v>32</v>
      </c>
      <c r="D15" s="57"/>
      <c r="E15" s="57"/>
      <c r="F15" s="59">
        <v>0.5</v>
      </c>
      <c r="G15" s="6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</row>
    <row r="16" spans="1:374">
      <c r="B16" s="55"/>
      <c r="C16" s="57" t="s">
        <v>33</v>
      </c>
      <c r="D16" s="57"/>
      <c r="E16" s="57"/>
      <c r="F16" s="66">
        <v>20000</v>
      </c>
      <c r="G16" s="6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</row>
    <row r="17" spans="2:374">
      <c r="B17" s="55"/>
      <c r="C17" s="57" t="s">
        <v>34</v>
      </c>
      <c r="D17" s="57"/>
      <c r="E17" s="57"/>
      <c r="F17" s="59">
        <v>0.8</v>
      </c>
      <c r="G17" s="6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</row>
    <row r="18" spans="2:374" ht="4" customHeight="1">
      <c r="B18" s="61"/>
      <c r="C18" s="62"/>
      <c r="D18" s="62"/>
      <c r="E18" s="62"/>
      <c r="F18" s="63"/>
      <c r="G18" s="64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</row>
    <row r="19" spans="2:374"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</row>
    <row r="20" spans="2:374">
      <c r="F20" s="20"/>
      <c r="J20" s="20" t="s">
        <v>5</v>
      </c>
      <c r="K20" s="20" t="s">
        <v>6</v>
      </c>
      <c r="L20" s="20" t="s">
        <v>15</v>
      </c>
      <c r="M20" s="20" t="s">
        <v>16</v>
      </c>
      <c r="N20" s="20" t="s">
        <v>17</v>
      </c>
      <c r="O20" s="20" t="s">
        <v>18</v>
      </c>
      <c r="P20" s="20" t="s">
        <v>19</v>
      </c>
      <c r="Q20" s="20" t="s">
        <v>20</v>
      </c>
      <c r="R20" s="20" t="s">
        <v>21</v>
      </c>
      <c r="S20" s="20" t="s">
        <v>22</v>
      </c>
      <c r="T20" s="20" t="s">
        <v>23</v>
      </c>
      <c r="U20" s="20" t="s">
        <v>24</v>
      </c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</row>
    <row r="21" spans="2:374" ht="4" customHeight="1">
      <c r="B21" s="24"/>
      <c r="C21" s="25"/>
      <c r="D21" s="25"/>
      <c r="E21" s="25"/>
      <c r="F21" s="25"/>
      <c r="G21" s="26"/>
    </row>
    <row r="22" spans="2:374">
      <c r="B22" s="27"/>
      <c r="C22" s="22"/>
      <c r="D22" s="32" t="s">
        <v>39</v>
      </c>
      <c r="E22" s="22"/>
      <c r="G22" s="28"/>
      <c r="J22" s="3">
        <f>SUM(J23:J25)</f>
        <v>20000</v>
      </c>
      <c r="K22" s="3">
        <f t="shared" ref="K22:U22" si="0">SUM(K23:K25)</f>
        <v>24034.383222607423</v>
      </c>
      <c r="L22" s="3">
        <f t="shared" si="0"/>
        <v>24493.29552047536</v>
      </c>
      <c r="M22" s="3">
        <f t="shared" si="0"/>
        <v>24545.496931574406</v>
      </c>
      <c r="N22" s="3">
        <f t="shared" si="0"/>
        <v>24551.434857695349</v>
      </c>
      <c r="O22" s="3">
        <f t="shared" si="0"/>
        <v>24552.11029856707</v>
      </c>
      <c r="P22" s="3">
        <f t="shared" si="0"/>
        <v>24552.187130168186</v>
      </c>
      <c r="Q22" s="3">
        <f t="shared" si="0"/>
        <v>24552.195869785788</v>
      </c>
      <c r="R22" s="3">
        <f t="shared" si="0"/>
        <v>24552.196863919904</v>
      </c>
      <c r="S22" s="3">
        <f t="shared" si="0"/>
        <v>24552.196977002954</v>
      </c>
      <c r="T22" s="3">
        <f t="shared" si="0"/>
        <v>24552.196989866185</v>
      </c>
      <c r="U22" s="3">
        <f t="shared" si="0"/>
        <v>24552.196991329383</v>
      </c>
    </row>
    <row r="23" spans="2:374">
      <c r="B23" s="27"/>
      <c r="C23" s="22"/>
      <c r="D23" s="32"/>
      <c r="E23" s="22" t="s">
        <v>41</v>
      </c>
      <c r="F23" s="22"/>
      <c r="G23" s="28"/>
      <c r="J23" s="3">
        <f>$F$8</f>
        <v>0</v>
      </c>
      <c r="K23" s="3">
        <f t="shared" ref="K23:U23" si="1">$F$8</f>
        <v>0</v>
      </c>
      <c r="L23" s="3">
        <f t="shared" si="1"/>
        <v>0</v>
      </c>
      <c r="M23" s="3">
        <f t="shared" si="1"/>
        <v>0</v>
      </c>
      <c r="N23" s="3">
        <f t="shared" si="1"/>
        <v>0</v>
      </c>
      <c r="O23" s="3">
        <f t="shared" si="1"/>
        <v>0</v>
      </c>
      <c r="P23" s="3">
        <f t="shared" si="1"/>
        <v>0</v>
      </c>
      <c r="Q23" s="3">
        <f t="shared" si="1"/>
        <v>0</v>
      </c>
      <c r="R23" s="3">
        <f t="shared" si="1"/>
        <v>0</v>
      </c>
      <c r="S23" s="3">
        <f t="shared" si="1"/>
        <v>0</v>
      </c>
      <c r="T23" s="3">
        <f t="shared" si="1"/>
        <v>0</v>
      </c>
      <c r="U23" s="3">
        <f t="shared" si="1"/>
        <v>0</v>
      </c>
    </row>
    <row r="24" spans="2:374">
      <c r="B24" s="27"/>
      <c r="C24" s="22"/>
      <c r="D24" s="32"/>
      <c r="E24" s="22" t="s">
        <v>42</v>
      </c>
      <c r="F24" s="22"/>
      <c r="G24" s="28"/>
      <c r="J24" s="3">
        <v>0</v>
      </c>
      <c r="K24" s="3">
        <f>(IF($F$9 &gt;=1, J43, J43*$F$9))</f>
        <v>4034.3832226074228</v>
      </c>
      <c r="L24" s="3">
        <f t="shared" ref="L24:U24" si="2">(IF($F$9 &gt;=1, K43, K43*$F$9))</f>
        <v>4493.2955204753607</v>
      </c>
      <c r="M24" s="3">
        <f t="shared" si="2"/>
        <v>4545.4969315744056</v>
      </c>
      <c r="N24" s="3">
        <f t="shared" si="2"/>
        <v>4551.434857695348</v>
      </c>
      <c r="O24" s="3">
        <f t="shared" si="2"/>
        <v>4552.1102985670695</v>
      </c>
      <c r="P24" s="3">
        <f t="shared" si="2"/>
        <v>4552.1871301681867</v>
      </c>
      <c r="Q24" s="3">
        <f t="shared" si="2"/>
        <v>4552.1958697857872</v>
      </c>
      <c r="R24" s="3">
        <f t="shared" si="2"/>
        <v>4552.1968639199031</v>
      </c>
      <c r="S24" s="3">
        <f t="shared" si="2"/>
        <v>4552.1969770029555</v>
      </c>
      <c r="T24" s="3">
        <f t="shared" si="2"/>
        <v>4552.1969898661864</v>
      </c>
      <c r="U24" s="3">
        <f t="shared" si="2"/>
        <v>4552.1969913293833</v>
      </c>
    </row>
    <row r="25" spans="2:374">
      <c r="B25" s="27"/>
      <c r="C25" s="22"/>
      <c r="D25" s="32"/>
      <c r="E25" s="22" t="s">
        <v>40</v>
      </c>
      <c r="F25" s="22"/>
      <c r="G25" s="28"/>
      <c r="J25" s="3">
        <f>IF($F$14="Yes", $F$16,0)</f>
        <v>20000</v>
      </c>
      <c r="K25" s="3">
        <f t="shared" ref="K25:U25" si="3">IF($F$14="Yes", $F$16,0)</f>
        <v>20000</v>
      </c>
      <c r="L25" s="3">
        <f t="shared" si="3"/>
        <v>20000</v>
      </c>
      <c r="M25" s="3">
        <f t="shared" si="3"/>
        <v>20000</v>
      </c>
      <c r="N25" s="3">
        <f t="shared" si="3"/>
        <v>20000</v>
      </c>
      <c r="O25" s="3">
        <f t="shared" si="3"/>
        <v>20000</v>
      </c>
      <c r="P25" s="3">
        <f t="shared" si="3"/>
        <v>20000</v>
      </c>
      <c r="Q25" s="3">
        <f t="shared" si="3"/>
        <v>20000</v>
      </c>
      <c r="R25" s="3">
        <f t="shared" si="3"/>
        <v>20000</v>
      </c>
      <c r="S25" s="3">
        <f t="shared" si="3"/>
        <v>20000</v>
      </c>
      <c r="T25" s="3">
        <f t="shared" si="3"/>
        <v>20000</v>
      </c>
      <c r="U25" s="3">
        <f t="shared" si="3"/>
        <v>20000</v>
      </c>
    </row>
    <row r="26" spans="2:374">
      <c r="B26" s="27"/>
      <c r="C26" s="22"/>
      <c r="D26" s="33"/>
      <c r="E26" s="22"/>
      <c r="F26" s="22"/>
      <c r="G26" s="28"/>
      <c r="J26" s="3"/>
    </row>
    <row r="27" spans="2:374">
      <c r="B27" s="27"/>
      <c r="C27" s="22"/>
      <c r="D27" s="32" t="s">
        <v>8</v>
      </c>
      <c r="E27" s="22"/>
      <c r="F27" s="22"/>
      <c r="G27" s="28"/>
      <c r="J27" s="2">
        <f>J22/$F$4</f>
        <v>13333.333333333334</v>
      </c>
      <c r="K27" s="2">
        <f>K22/$F$4</f>
        <v>16022.922148404949</v>
      </c>
      <c r="L27" s="2">
        <f>L22/$F$4</f>
        <v>16328.863680316907</v>
      </c>
      <c r="M27" s="2">
        <f t="shared" ref="M27:U27" si="4">M22/$F$4</f>
        <v>16363.664621049604</v>
      </c>
      <c r="N27" s="2">
        <f t="shared" si="4"/>
        <v>16367.623238463566</v>
      </c>
      <c r="O27" s="2">
        <f t="shared" si="4"/>
        <v>16368.073532378046</v>
      </c>
      <c r="P27" s="2">
        <f t="shared" si="4"/>
        <v>16368.124753445458</v>
      </c>
      <c r="Q27" s="2">
        <f t="shared" si="4"/>
        <v>16368.130579857192</v>
      </c>
      <c r="R27" s="2">
        <f t="shared" si="4"/>
        <v>16368.13124261327</v>
      </c>
      <c r="S27" s="2">
        <f t="shared" si="4"/>
        <v>16368.13131800197</v>
      </c>
      <c r="T27" s="2">
        <f t="shared" si="4"/>
        <v>16368.131326577457</v>
      </c>
      <c r="U27" s="2">
        <f t="shared" si="4"/>
        <v>16368.131327552923</v>
      </c>
    </row>
    <row r="28" spans="2:374">
      <c r="B28" s="27"/>
      <c r="C28" s="22"/>
      <c r="D28" s="33"/>
      <c r="E28" s="22"/>
      <c r="F28" s="22"/>
      <c r="G28" s="28"/>
    </row>
    <row r="29" spans="2:374">
      <c r="B29" s="27"/>
      <c r="C29" s="22"/>
      <c r="D29" s="34" t="s">
        <v>2</v>
      </c>
      <c r="E29" s="22"/>
      <c r="F29" s="22"/>
      <c r="G29" s="28"/>
      <c r="J29" s="4">
        <f>$F$7</f>
        <v>5000</v>
      </c>
      <c r="K29" s="4">
        <f>$F$7</f>
        <v>5000</v>
      </c>
      <c r="L29" s="4">
        <f>$F$7</f>
        <v>5000</v>
      </c>
      <c r="M29" s="4">
        <f t="shared" ref="M29:U29" si="5">$F$7</f>
        <v>5000</v>
      </c>
      <c r="N29" s="4">
        <f t="shared" si="5"/>
        <v>5000</v>
      </c>
      <c r="O29" s="4">
        <f t="shared" si="5"/>
        <v>5000</v>
      </c>
      <c r="P29" s="4">
        <f t="shared" si="5"/>
        <v>5000</v>
      </c>
      <c r="Q29" s="4">
        <f t="shared" si="5"/>
        <v>5000</v>
      </c>
      <c r="R29" s="4">
        <f t="shared" si="5"/>
        <v>5000</v>
      </c>
      <c r="S29" s="4">
        <f t="shared" si="5"/>
        <v>5000</v>
      </c>
      <c r="T29" s="4">
        <f t="shared" si="5"/>
        <v>5000</v>
      </c>
      <c r="U29" s="4">
        <f t="shared" si="5"/>
        <v>5000</v>
      </c>
    </row>
    <row r="30" spans="2:374">
      <c r="B30" s="27"/>
      <c r="C30" s="22"/>
      <c r="D30" s="33"/>
      <c r="E30" s="22"/>
      <c r="F30" s="22"/>
      <c r="G30" s="28"/>
    </row>
    <row r="31" spans="2:374">
      <c r="B31" s="27"/>
      <c r="C31" s="22"/>
      <c r="D31" s="32" t="s">
        <v>3</v>
      </c>
      <c r="E31" s="22"/>
      <c r="F31" s="22"/>
      <c r="G31" s="28"/>
      <c r="J31" s="2">
        <f>(J29+J27)*(($F$6)+($F$6^7))</f>
        <v>2750.0313242187503</v>
      </c>
      <c r="K31" s="2">
        <f t="shared" ref="K31:U31" si="6">(K29+K27)*(($F$6)+($F$6^7))</f>
        <v>3153.4742418941319</v>
      </c>
      <c r="L31" s="2">
        <f t="shared" si="6"/>
        <v>3199.3659944107148</v>
      </c>
      <c r="M31" s="2">
        <f t="shared" si="6"/>
        <v>3204.5861949812893</v>
      </c>
      <c r="N31" s="2">
        <f t="shared" si="6"/>
        <v>3205.1799943570527</v>
      </c>
      <c r="O31" s="2">
        <f t="shared" si="6"/>
        <v>3205.2475392135939</v>
      </c>
      <c r="P31" s="2">
        <f t="shared" si="6"/>
        <v>3205.2552224612218</v>
      </c>
      <c r="Q31" s="2">
        <f t="shared" si="6"/>
        <v>3205.2560964329368</v>
      </c>
      <c r="R31" s="2">
        <f t="shared" si="6"/>
        <v>3205.2561958474812</v>
      </c>
      <c r="S31" s="2">
        <f t="shared" si="6"/>
        <v>3205.256207155915</v>
      </c>
      <c r="T31" s="2">
        <f t="shared" si="6"/>
        <v>3205.2562084422525</v>
      </c>
      <c r="U31" s="2">
        <f t="shared" si="6"/>
        <v>3205.2562085885743</v>
      </c>
    </row>
    <row r="32" spans="2:374">
      <c r="B32" s="27"/>
      <c r="C32" s="22"/>
      <c r="D32" s="33"/>
      <c r="E32" s="22"/>
      <c r="F32" s="22"/>
      <c r="G32" s="28"/>
    </row>
    <row r="33" spans="2:21">
      <c r="B33" s="27"/>
      <c r="C33" s="22"/>
      <c r="D33" s="32" t="s">
        <v>9</v>
      </c>
      <c r="E33" s="22"/>
      <c r="F33" s="22"/>
      <c r="G33" s="28"/>
      <c r="J33" s="2">
        <f>J27+J29+J31</f>
        <v>21083.364657552087</v>
      </c>
      <c r="K33" s="2">
        <f>K27+K29+K31</f>
        <v>24176.39639029908</v>
      </c>
      <c r="L33" s="2">
        <f>L27+L29+L31</f>
        <v>24528.22967472762</v>
      </c>
      <c r="M33" s="2">
        <f t="shared" ref="M33:U33" si="7">M27+M29+M31</f>
        <v>24568.250816030893</v>
      </c>
      <c r="N33" s="2">
        <f t="shared" si="7"/>
        <v>24572.803232820617</v>
      </c>
      <c r="O33" s="2">
        <f t="shared" si="7"/>
        <v>24573.321071591639</v>
      </c>
      <c r="P33" s="2">
        <f t="shared" si="7"/>
        <v>24573.379975906682</v>
      </c>
      <c r="Q33" s="2">
        <f t="shared" si="7"/>
        <v>24573.386676290131</v>
      </c>
      <c r="R33" s="2">
        <f t="shared" si="7"/>
        <v>24573.387438460752</v>
      </c>
      <c r="S33" s="2">
        <f t="shared" si="7"/>
        <v>24573.387525157887</v>
      </c>
      <c r="T33" s="2">
        <f t="shared" si="7"/>
        <v>24573.387535019712</v>
      </c>
      <c r="U33" s="2">
        <f t="shared" si="7"/>
        <v>24573.387536141498</v>
      </c>
    </row>
    <row r="34" spans="2:21">
      <c r="B34" s="27"/>
      <c r="C34" s="22"/>
      <c r="D34" s="33"/>
      <c r="E34" s="22"/>
      <c r="F34" s="22"/>
      <c r="G34" s="28"/>
    </row>
    <row r="35" spans="2:21">
      <c r="B35" s="27"/>
      <c r="C35" s="22"/>
      <c r="D35" s="32" t="s">
        <v>10</v>
      </c>
      <c r="E35" s="22"/>
      <c r="F35" s="22"/>
      <c r="G35" s="28"/>
      <c r="J35" s="1">
        <f>$F$5*J33*30</f>
        <v>63250.093972656265</v>
      </c>
      <c r="K35" s="1">
        <f t="shared" ref="K35:U35" si="8">$F$5*K33*30</f>
        <v>72529.189170897254</v>
      </c>
      <c r="L35" s="1">
        <f t="shared" si="8"/>
        <v>73584.689024182866</v>
      </c>
      <c r="M35" s="1">
        <f t="shared" si="8"/>
        <v>73704.75244809268</v>
      </c>
      <c r="N35" s="1">
        <f t="shared" si="8"/>
        <v>73718.409698461866</v>
      </c>
      <c r="O35" s="1">
        <f t="shared" si="8"/>
        <v>73719.963214774922</v>
      </c>
      <c r="P35" s="1">
        <f t="shared" si="8"/>
        <v>73720.13992772004</v>
      </c>
      <c r="Q35" s="1">
        <f t="shared" si="8"/>
        <v>73720.160028870407</v>
      </c>
      <c r="R35" s="1">
        <f t="shared" si="8"/>
        <v>73720.162315382258</v>
      </c>
      <c r="S35" s="1">
        <f t="shared" si="8"/>
        <v>73720.16257547366</v>
      </c>
      <c r="T35" s="1">
        <f t="shared" si="8"/>
        <v>73720.162605059144</v>
      </c>
      <c r="U35" s="1">
        <f t="shared" si="8"/>
        <v>73720.162608424493</v>
      </c>
    </row>
    <row r="36" spans="2:21">
      <c r="B36" s="27"/>
      <c r="C36" s="22"/>
      <c r="D36" s="33"/>
      <c r="E36" s="22"/>
      <c r="F36" s="22"/>
      <c r="G36" s="28"/>
    </row>
    <row r="37" spans="2:21">
      <c r="B37" s="27"/>
      <c r="C37" s="22"/>
      <c r="D37" s="32" t="s">
        <v>11</v>
      </c>
      <c r="E37" s="22"/>
      <c r="F37" s="22"/>
      <c r="G37" s="28"/>
      <c r="J37" s="1">
        <f>J23+J38+J24</f>
        <v>0</v>
      </c>
      <c r="K37" s="1">
        <f t="shared" ref="K37:U37" si="9">K23+K38+K24</f>
        <v>4034.3832226074228</v>
      </c>
      <c r="L37" s="1">
        <f t="shared" si="9"/>
        <v>4493.2955204753607</v>
      </c>
      <c r="M37" s="1">
        <f t="shared" si="9"/>
        <v>4545.4969315744056</v>
      </c>
      <c r="N37" s="1">
        <f t="shared" si="9"/>
        <v>4551.434857695348</v>
      </c>
      <c r="O37" s="1">
        <f t="shared" si="9"/>
        <v>4552.1102985670695</v>
      </c>
      <c r="P37" s="1">
        <f t="shared" si="9"/>
        <v>4552.1871301681867</v>
      </c>
      <c r="Q37" s="1">
        <f t="shared" si="9"/>
        <v>4552.1958697857872</v>
      </c>
      <c r="R37" s="1">
        <f t="shared" si="9"/>
        <v>4552.1968639199031</v>
      </c>
      <c r="S37" s="1">
        <f t="shared" si="9"/>
        <v>4552.1969770029555</v>
      </c>
      <c r="T37" s="1">
        <f t="shared" si="9"/>
        <v>4552.1969898661864</v>
      </c>
      <c r="U37" s="1">
        <f t="shared" si="9"/>
        <v>4552.1969913293833</v>
      </c>
    </row>
    <row r="38" spans="2:21">
      <c r="B38" s="27"/>
      <c r="C38" s="22"/>
      <c r="D38" s="36"/>
      <c r="E38" s="67" t="s">
        <v>14</v>
      </c>
      <c r="G38" s="28"/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2:21">
      <c r="B39" s="27"/>
      <c r="C39" s="22"/>
      <c r="D39" s="33"/>
      <c r="E39" s="22"/>
      <c r="F39" s="35"/>
      <c r="G39" s="28"/>
    </row>
    <row r="40" spans="2:21">
      <c r="B40" s="27"/>
      <c r="C40" s="22"/>
      <c r="D40" s="32" t="s">
        <v>10</v>
      </c>
      <c r="E40" s="22"/>
      <c r="F40" s="22"/>
      <c r="G40" s="28"/>
      <c r="J40" s="1">
        <f>J35</f>
        <v>63250.093972656265</v>
      </c>
      <c r="K40" s="1">
        <f t="shared" ref="K40:U40" si="10">K35</f>
        <v>72529.189170897254</v>
      </c>
      <c r="L40" s="1">
        <f t="shared" si="10"/>
        <v>73584.689024182866</v>
      </c>
      <c r="M40" s="1">
        <f t="shared" si="10"/>
        <v>73704.75244809268</v>
      </c>
      <c r="N40" s="1">
        <f t="shared" si="10"/>
        <v>73718.409698461866</v>
      </c>
      <c r="O40" s="1">
        <f t="shared" si="10"/>
        <v>73719.963214774922</v>
      </c>
      <c r="P40" s="1">
        <f t="shared" si="10"/>
        <v>73720.13992772004</v>
      </c>
      <c r="Q40" s="1">
        <f t="shared" si="10"/>
        <v>73720.160028870407</v>
      </c>
      <c r="R40" s="1">
        <f t="shared" si="10"/>
        <v>73720.162315382258</v>
      </c>
      <c r="S40" s="1">
        <f t="shared" si="10"/>
        <v>73720.16257547366</v>
      </c>
      <c r="T40" s="1">
        <f t="shared" si="10"/>
        <v>73720.162605059144</v>
      </c>
      <c r="U40" s="1">
        <f t="shared" si="10"/>
        <v>73720.162608424493</v>
      </c>
    </row>
    <row r="41" spans="2:21">
      <c r="B41" s="27"/>
      <c r="C41" s="22"/>
      <c r="D41" s="32"/>
      <c r="E41" s="22" t="s">
        <v>25</v>
      </c>
      <c r="F41" s="22"/>
      <c r="G41" s="28"/>
      <c r="J41" s="1">
        <f>J40-J37</f>
        <v>63250.093972656265</v>
      </c>
      <c r="K41" s="1">
        <f t="shared" ref="K41:U41" si="11">K40-K37</f>
        <v>68494.805948289839</v>
      </c>
      <c r="L41" s="1">
        <f t="shared" si="11"/>
        <v>69091.393503707499</v>
      </c>
      <c r="M41" s="1">
        <f t="shared" si="11"/>
        <v>69159.255516518271</v>
      </c>
      <c r="N41" s="1">
        <f t="shared" si="11"/>
        <v>69166.974840766517</v>
      </c>
      <c r="O41" s="1">
        <f t="shared" si="11"/>
        <v>69167.852916207848</v>
      </c>
      <c r="P41" s="1">
        <f t="shared" si="11"/>
        <v>69167.952797551858</v>
      </c>
      <c r="Q41" s="1">
        <f t="shared" si="11"/>
        <v>69167.964159084615</v>
      </c>
      <c r="R41" s="1">
        <f t="shared" si="11"/>
        <v>69167.965451462354</v>
      </c>
      <c r="S41" s="1">
        <f t="shared" si="11"/>
        <v>69167.965598470706</v>
      </c>
      <c r="T41" s="1">
        <f t="shared" si="11"/>
        <v>69167.965615192952</v>
      </c>
      <c r="U41" s="1">
        <f t="shared" si="11"/>
        <v>69167.965617095106</v>
      </c>
    </row>
    <row r="42" spans="2:21">
      <c r="B42" s="27"/>
      <c r="C42" s="22"/>
      <c r="D42" s="32"/>
      <c r="E42" s="23" t="s">
        <v>26</v>
      </c>
      <c r="F42" s="22"/>
      <c r="G42" s="28"/>
      <c r="J42" s="19">
        <f>J41*0.7</f>
        <v>44275.065780859382</v>
      </c>
      <c r="K42" s="19">
        <f t="shared" ref="K42:U42" si="12">K41*0.7</f>
        <v>47946.364163802886</v>
      </c>
      <c r="L42" s="19">
        <f t="shared" si="12"/>
        <v>48363.975452595245</v>
      </c>
      <c r="M42" s="19">
        <f t="shared" si="12"/>
        <v>48411.478861562784</v>
      </c>
      <c r="N42" s="19">
        <f t="shared" si="12"/>
        <v>48416.882388536556</v>
      </c>
      <c r="O42" s="19">
        <f t="shared" si="12"/>
        <v>48417.497041345494</v>
      </c>
      <c r="P42" s="19">
        <f t="shared" si="12"/>
        <v>48417.566958286297</v>
      </c>
      <c r="Q42" s="19">
        <f t="shared" si="12"/>
        <v>48417.574911359225</v>
      </c>
      <c r="R42" s="19">
        <f t="shared" si="12"/>
        <v>48417.575816023644</v>
      </c>
      <c r="S42" s="19">
        <f t="shared" si="12"/>
        <v>48417.575918929491</v>
      </c>
      <c r="T42" s="19">
        <f t="shared" si="12"/>
        <v>48417.575930635066</v>
      </c>
      <c r="U42" s="19">
        <f t="shared" si="12"/>
        <v>48417.575931966574</v>
      </c>
    </row>
    <row r="43" spans="2:21">
      <c r="B43" s="27"/>
      <c r="C43" s="22"/>
      <c r="D43" s="35" t="s">
        <v>38</v>
      </c>
      <c r="F43" s="22"/>
      <c r="G43" s="28"/>
      <c r="J43" s="68">
        <f>IF($F$14="Yes", IF($J$42&gt;$F$16, (($F$16)*(1-$F$17)) + $F$15 * (J42-$F$16)), J42)</f>
        <v>16137.532890429691</v>
      </c>
      <c r="K43" s="68">
        <f t="shared" ref="K43:U43" si="13">IF($F$14="Yes", IF($J$42&gt;$F$16, (($F$16)*(1-$F$17)) + $F$15 * (K42-$F$16)), K42)</f>
        <v>17973.182081901443</v>
      </c>
      <c r="L43" s="68">
        <f t="shared" si="13"/>
        <v>18181.987726297622</v>
      </c>
      <c r="M43" s="68">
        <f t="shared" si="13"/>
        <v>18205.739430781392</v>
      </c>
      <c r="N43" s="68">
        <f t="shared" si="13"/>
        <v>18208.441194268278</v>
      </c>
      <c r="O43" s="68">
        <f t="shared" si="13"/>
        <v>18208.748520672747</v>
      </c>
      <c r="P43" s="68">
        <f t="shared" si="13"/>
        <v>18208.783479143149</v>
      </c>
      <c r="Q43" s="68">
        <f t="shared" si="13"/>
        <v>18208.787455679612</v>
      </c>
      <c r="R43" s="68">
        <f t="shared" si="13"/>
        <v>18208.787908011822</v>
      </c>
      <c r="S43" s="68">
        <f t="shared" si="13"/>
        <v>18208.787959464746</v>
      </c>
      <c r="T43" s="68">
        <f t="shared" si="13"/>
        <v>18208.787965317533</v>
      </c>
      <c r="U43" s="68">
        <f t="shared" si="13"/>
        <v>18208.787965983287</v>
      </c>
    </row>
    <row r="44" spans="2:21" ht="4" customHeight="1">
      <c r="B44" s="29"/>
      <c r="C44" s="23"/>
      <c r="D44" s="23"/>
      <c r="E44" s="23"/>
      <c r="F44" s="23"/>
      <c r="G44" s="30"/>
    </row>
    <row r="45" spans="2:21">
      <c r="F45" s="1"/>
    </row>
    <row r="46" spans="2:21" ht="4" customHeight="1">
      <c r="B46" s="38"/>
      <c r="C46" s="39"/>
      <c r="D46" s="39"/>
      <c r="E46" s="39"/>
      <c r="F46" s="40"/>
      <c r="G46" s="41"/>
    </row>
    <row r="47" spans="2:21">
      <c r="B47" s="42"/>
      <c r="C47" s="43" t="s">
        <v>27</v>
      </c>
      <c r="D47" s="44"/>
      <c r="E47" s="44"/>
      <c r="F47" s="45">
        <f>SUM(J40:U40)</f>
        <v>872828.0475899959</v>
      </c>
      <c r="G47" s="46"/>
      <c r="J47" s="1"/>
      <c r="K47" s="1"/>
    </row>
    <row r="48" spans="2:21">
      <c r="B48" s="42"/>
      <c r="C48" s="44"/>
      <c r="D48" s="47" t="s">
        <v>25</v>
      </c>
      <c r="E48" s="44"/>
      <c r="F48" s="45">
        <f>SUM(J41:U41)</f>
        <v>823338.15593700367</v>
      </c>
      <c r="G48" s="46"/>
    </row>
    <row r="49" spans="2:12">
      <c r="B49" s="42"/>
      <c r="C49" s="44"/>
      <c r="D49" s="44" t="s">
        <v>28</v>
      </c>
      <c r="E49" s="44"/>
      <c r="F49" s="45">
        <f>SUM(J42:U42)</f>
        <v>576336.70915590262</v>
      </c>
      <c r="G49" s="46"/>
      <c r="L49" s="1"/>
    </row>
    <row r="50" spans="2:12">
      <c r="B50" s="42"/>
      <c r="C50" s="44"/>
      <c r="D50" s="44" t="s">
        <v>29</v>
      </c>
      <c r="E50" s="44" t="s">
        <v>38</v>
      </c>
      <c r="F50" s="45">
        <f>SUM(J43:U43)</f>
        <v>216168.35457795134</v>
      </c>
      <c r="G50" s="46"/>
      <c r="L50" s="1"/>
    </row>
    <row r="51" spans="2:12" ht="4" customHeight="1">
      <c r="B51" s="48"/>
      <c r="C51" s="49"/>
      <c r="D51" s="49"/>
      <c r="E51" s="49"/>
      <c r="F51" s="49"/>
      <c r="G51" s="50"/>
    </row>
  </sheetData>
  <dataValidations count="1">
    <dataValidation type="list" allowBlank="1" showInputMessage="1" showErrorMessage="1" sqref="F14">
      <formula1>A1:A2</formula1>
    </dataValidation>
  </dataValidation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Revenues</vt:lpstr>
    </vt:vector>
  </TitlesOfParts>
  <Company>Grey Area 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Seufert</dc:creator>
  <cp:lastModifiedBy>Eric Seufert</cp:lastModifiedBy>
  <dcterms:created xsi:type="dcterms:W3CDTF">2013-04-15T07:23:06Z</dcterms:created>
  <dcterms:modified xsi:type="dcterms:W3CDTF">2013-04-16T07:39:22Z</dcterms:modified>
</cp:coreProperties>
</file>