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360" yWindow="105" windowWidth="17400" windowHeight="9975"/>
  </bookViews>
  <sheets>
    <sheet name="ARM Historical Financial Data" sheetId="2" r:id="rId1"/>
  </sheets>
  <calcPr calcId="145621" refMode="R1C1"/>
  <fileRecoveryPr repairLoad="1"/>
</workbook>
</file>

<file path=xl/calcChain.xml><?xml version="1.0" encoding="utf-8"?>
<calcChain xmlns="http://schemas.openxmlformats.org/spreadsheetml/2006/main">
  <c r="W63" i="2" l="1"/>
  <c r="W62" i="2"/>
  <c r="W61" i="2"/>
  <c r="W60" i="2"/>
  <c r="W58" i="2"/>
  <c r="W57" i="2"/>
  <c r="W56" i="2"/>
  <c r="W55" i="2"/>
  <c r="W54" i="2"/>
  <c r="W53" i="2"/>
  <c r="AB58" i="2"/>
  <c r="AB57" i="2"/>
  <c r="AB56" i="2"/>
  <c r="AB55" i="2"/>
  <c r="AB54" i="2"/>
  <c r="AB53" i="2"/>
  <c r="AB63" i="2" l="1"/>
  <c r="AB62" i="2"/>
  <c r="AB61" i="2"/>
  <c r="AB60" i="2"/>
  <c r="AG63" i="2"/>
  <c r="AG62" i="2"/>
  <c r="AG61" i="2"/>
  <c r="AG60" i="2"/>
  <c r="AG58" i="2"/>
  <c r="AG57" i="2"/>
  <c r="AG56" i="2"/>
  <c r="AG55" i="2"/>
  <c r="AG54" i="2"/>
  <c r="AG53" i="2"/>
  <c r="AL63" i="2"/>
  <c r="AL62" i="2"/>
  <c r="AL60" i="2"/>
  <c r="AL57" i="2"/>
  <c r="AL56" i="2"/>
  <c r="AL55" i="2"/>
  <c r="AL54" i="2"/>
  <c r="AL53" i="2"/>
  <c r="AQ63" i="2"/>
  <c r="AQ62" i="2"/>
  <c r="AQ61" i="2"/>
  <c r="AQ60" i="2"/>
  <c r="AQ58" i="2"/>
  <c r="AQ57" i="2"/>
  <c r="AQ56" i="2"/>
  <c r="AQ55" i="2"/>
  <c r="AQ54" i="2"/>
  <c r="AQ53" i="2"/>
</calcChain>
</file>

<file path=xl/sharedStrings.xml><?xml version="1.0" encoding="utf-8"?>
<sst xmlns="http://schemas.openxmlformats.org/spreadsheetml/2006/main" count="93" uniqueCount="91">
  <si>
    <t>Services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</si>
  <si>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</si>
  <si>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</si>
  <si>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</si>
  <si>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</si>
  <si>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</si>
  <si>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</si>
  <si>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</si>
  <si>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</si>
  <si>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</si>
  <si>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</si>
  <si>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</si>
  <si>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</si>
  <si>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</si>
  <si>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</si>
  <si>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</si>
  <si>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</si>
  <si>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</si>
  <si>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</si>
  <si>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</si>
  <si>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</si>
  <si>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Total Revenue</t>
  </si>
  <si>
    <t>Revenue ($m)</t>
  </si>
  <si>
    <t>Revenue (£m)</t>
  </si>
  <si>
    <t>Exchange Rate</t>
  </si>
  <si>
    <t>Operating Profit (£m)</t>
  </si>
  <si>
    <t>Operating Margin (%)</t>
  </si>
  <si>
    <t>Operating Costs (£m)</t>
  </si>
  <si>
    <t>Gross Margin (%)</t>
  </si>
  <si>
    <t>R&amp;D Expenditure (£m)</t>
  </si>
  <si>
    <t>S&amp;M Expenditure (£m)</t>
  </si>
  <si>
    <t>G&amp;A Expenditure (£m)</t>
  </si>
  <si>
    <t>Effective Tax Rate (%)</t>
  </si>
  <si>
    <t>Profit Before Tax (£m)</t>
  </si>
  <si>
    <t>Tax (£m)</t>
  </si>
  <si>
    <t>Profit After Tax (£m)</t>
  </si>
  <si>
    <t>Earnings per Share (£, pence)</t>
  </si>
  <si>
    <t>Number of Shares (m)</t>
  </si>
  <si>
    <t>Average royalty ($, cents)</t>
  </si>
  <si>
    <t>Cash (£m)</t>
  </si>
  <si>
    <t>Cost of Sales (£m)</t>
  </si>
  <si>
    <t>Profit Before Tax (%)</t>
  </si>
  <si>
    <t>Normalised &amp; unaudited accounts</t>
  </si>
  <si>
    <t>Normalised Net Cash Generation (£m)</t>
  </si>
  <si>
    <t>Declared Dividend (£)</t>
  </si>
  <si>
    <t>Disclamer</t>
  </si>
  <si>
    <t>Royalty Units (bn)</t>
  </si>
  <si>
    <t>1Q11</t>
  </si>
  <si>
    <t>2Q11</t>
  </si>
  <si>
    <t>3Q11</t>
  </si>
  <si>
    <t>4Q11</t>
  </si>
  <si>
    <t>1Q12</t>
  </si>
  <si>
    <t>2Q12</t>
  </si>
  <si>
    <t>3Q12</t>
  </si>
  <si>
    <t>4Q12</t>
  </si>
  <si>
    <t>1Q13</t>
  </si>
  <si>
    <t>2Q13</t>
  </si>
  <si>
    <t>3Q13</t>
  </si>
  <si>
    <t>4Q13</t>
  </si>
  <si>
    <t>Investment income, net (£m)</t>
  </si>
  <si>
    <t>Technology Licensing</t>
  </si>
  <si>
    <t>Processors</t>
  </si>
  <si>
    <t>Physical IP</t>
  </si>
  <si>
    <t>Total Technology Licensing</t>
  </si>
  <si>
    <t>Technology Royalty</t>
  </si>
  <si>
    <t>Total Technology Royalty</t>
  </si>
  <si>
    <t>Software and Tools</t>
  </si>
  <si>
    <t>FY13</t>
  </si>
  <si>
    <t>FY06</t>
  </si>
  <si>
    <t>FY07</t>
  </si>
  <si>
    <t>FY08</t>
  </si>
  <si>
    <t>FY09</t>
  </si>
  <si>
    <t>FY10</t>
  </si>
  <si>
    <t>FY11</t>
  </si>
  <si>
    <t>FY12</t>
  </si>
  <si>
    <t>Please note that these are unaudited numbers and that some total and sub totals will not reconcile due to rounding</t>
  </si>
  <si>
    <t>Breakdown by processor</t>
  </si>
  <si>
    <t>Cortex-A</t>
  </si>
  <si>
    <t>Cortex-R</t>
  </si>
  <si>
    <t>Cortex-M</t>
  </si>
  <si>
    <t>ARM7</t>
  </si>
  <si>
    <t>ARM9</t>
  </si>
  <si>
    <t>ARM11</t>
  </si>
  <si>
    <t>Breakdown by end market</t>
  </si>
  <si>
    <t>Mobile</t>
  </si>
  <si>
    <t>Enterprise</t>
  </si>
  <si>
    <t>Home</t>
  </si>
  <si>
    <t>Embedded</t>
  </si>
  <si>
    <t>Non-Financial Data</t>
  </si>
  <si>
    <t>1Q14</t>
  </si>
  <si>
    <t>2Q14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</si>
</sst>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0.0%"/>
    <numFmt numFmtId="165" formatCode="_-* #,##0.0_-;\-* #,##0.0_-;_-* &quot;-&quot;??_-;_-@_-"/>
    <numFmt numFmtId="166" formatCode="_-* #,##0_-;\-* #,##0_-;_-* &quot;-&quot;??_-;_-@_-"/>
    <numFmt numFmtId="167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5"/>
      <color theme="1" tint="0.1499984740745262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i/>
      <sz val="11"/>
      <color theme="1" tint="0.14999847407452621"/>
      <name val="Calibri"/>
      <family val="2"/>
      <scheme val="minor"/>
    </font>
    <font>
      <i/>
      <sz val="11"/>
      <color theme="1" tint="0.1499984740745262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sz val="11"/>
      <color theme="1"/>
      <name val="Calibri"/>
      <family val="2"/>
    </font>
    <font>
      <sz val="11"/>
      <color rgb="FF262626"/>
      <name val="Calibri"/>
      <family val="2"/>
    </font>
    <font>
      <sz val="10"/>
      <color rgb="FF262626"/>
      <name val="Calibri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rgb="FFF7FBFD"/>
        <bgColor indexed="64"/>
      </patternFill>
    </fill>
    <fill>
      <patternFill patternType="solid">
        <fgColor rgb="FFF7FBFD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8" tint="-0.2499465926084170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" fillId="0" borderId="0"/>
    <xf numFmtId="0" fontId="8" fillId="0" borderId="3" applyNumberFormat="0" applyFill="0" applyAlignment="0" applyProtection="0"/>
  </cellStyleXfs>
  <cellXfs count="65">
    <xf numFmtId="0" fontId="0" fillId="0" borderId="0" xfId="0"/>
    <xf numFmtId="0" fontId="3" fillId="0" borderId="0" xfId="0" applyFont="1"/>
    <xf numFmtId="0" fontId="0" fillId="0" borderId="0" xfId="0" applyFont="1"/>
    <xf numFmtId="0" fontId="0" fillId="3" borderId="0" xfId="0" applyFill="1"/>
    <xf numFmtId="0" fontId="9" fillId="0" borderId="0" xfId="0" applyFont="1"/>
    <xf numFmtId="0" fontId="0" fillId="0" borderId="0" xfId="0" applyFont="1" applyFill="1"/>
    <xf numFmtId="0" fontId="0" fillId="3" borderId="0" xfId="0" applyFont="1" applyFill="1"/>
    <xf numFmtId="165" fontId="6" fillId="0" borderId="0" xfId="1" applyNumberFormat="1" applyFont="1" applyFill="1"/>
    <xf numFmtId="165" fontId="7" fillId="0" borderId="0" xfId="1" applyNumberFormat="1" applyFont="1" applyFill="1"/>
    <xf numFmtId="0" fontId="2" fillId="4" borderId="0" xfId="3" applyFont="1" applyFill="1" applyAlignment="1">
      <alignment horizontal="right" vertical="center" indent="1"/>
    </xf>
    <xf numFmtId="0" fontId="10" fillId="4" borderId="0" xfId="3" applyFont="1" applyFill="1" applyAlignment="1">
      <alignment horizontal="right" vertical="center" indent="1"/>
    </xf>
    <xf numFmtId="165" fontId="11" fillId="5" borderId="0" xfId="1" applyNumberFormat="1" applyFont="1" applyFill="1"/>
    <xf numFmtId="0" fontId="12" fillId="0" borderId="7" xfId="7" applyFont="1" applyBorder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0" fontId="13" fillId="0" borderId="2" xfId="0" applyFont="1" applyBorder="1"/>
    <xf numFmtId="0" fontId="14" fillId="0" borderId="0" xfId="4" applyFont="1"/>
    <xf numFmtId="0" fontId="13" fillId="0" borderId="0" xfId="4" applyFont="1"/>
    <xf numFmtId="0" fontId="14" fillId="0" borderId="1" xfId="4" applyFont="1" applyBorder="1"/>
    <xf numFmtId="0" fontId="14" fillId="0" borderId="0" xfId="4" applyFont="1" applyFill="1"/>
    <xf numFmtId="0" fontId="14" fillId="3" borderId="0" xfId="4" applyFont="1" applyFill="1"/>
    <xf numFmtId="0" fontId="15" fillId="3" borderId="4" xfId="4" applyFont="1" applyFill="1" applyBorder="1"/>
    <xf numFmtId="165" fontId="17" fillId="5" borderId="0" xfId="1" applyNumberFormat="1" applyFont="1" applyFill="1"/>
    <xf numFmtId="165" fontId="14" fillId="0" borderId="0" xfId="1" applyNumberFormat="1" applyFont="1" applyFill="1"/>
    <xf numFmtId="165" fontId="13" fillId="0" borderId="0" xfId="1" applyNumberFormat="1" applyFont="1" applyFill="1"/>
    <xf numFmtId="165" fontId="18" fillId="5" borderId="2" xfId="1" applyNumberFormat="1" applyFont="1" applyFill="1" applyBorder="1"/>
    <xf numFmtId="165" fontId="13" fillId="0" borderId="2" xfId="1" applyNumberFormat="1" applyFont="1" applyFill="1" applyBorder="1"/>
    <xf numFmtId="0" fontId="17" fillId="5" borderId="0" xfId="0" applyFont="1" applyFill="1"/>
    <xf numFmtId="0" fontId="14" fillId="0" borderId="0" xfId="0" applyFont="1" applyFill="1"/>
    <xf numFmtId="43" fontId="17" fillId="5" borderId="0" xfId="1" applyNumberFormat="1" applyFont="1" applyFill="1"/>
    <xf numFmtId="43" fontId="14" fillId="0" borderId="0" xfId="1" applyNumberFormat="1" applyFont="1" applyFill="1"/>
    <xf numFmtId="0" fontId="18" fillId="5" borderId="0" xfId="0" applyFont="1" applyFill="1"/>
    <xf numFmtId="167" fontId="18" fillId="5" borderId="0" xfId="0" applyNumberFormat="1" applyFont="1" applyFill="1"/>
    <xf numFmtId="164" fontId="17" fillId="5" borderId="0" xfId="2" applyNumberFormat="1" applyFont="1" applyFill="1"/>
    <xf numFmtId="164" fontId="14" fillId="0" borderId="0" xfId="2" applyNumberFormat="1" applyFont="1" applyFill="1"/>
    <xf numFmtId="165" fontId="14" fillId="0" borderId="0" xfId="1" applyNumberFormat="1" applyFont="1" applyFill="1" applyBorder="1"/>
    <xf numFmtId="165" fontId="13" fillId="0" borderId="0" xfId="1" applyNumberFormat="1" applyFont="1" applyFill="1" applyBorder="1"/>
    <xf numFmtId="9" fontId="17" fillId="5" borderId="0" xfId="2" applyFont="1" applyFill="1"/>
    <xf numFmtId="9" fontId="14" fillId="0" borderId="0" xfId="2" applyFont="1" applyFill="1"/>
    <xf numFmtId="165" fontId="14" fillId="3" borderId="0" xfId="1" applyNumberFormat="1" applyFont="1" applyFill="1"/>
    <xf numFmtId="0" fontId="14" fillId="0" borderId="1" xfId="0" applyFont="1" applyBorder="1"/>
    <xf numFmtId="43" fontId="17" fillId="5" borderId="1" xfId="1" applyNumberFormat="1" applyFont="1" applyFill="1" applyBorder="1"/>
    <xf numFmtId="43" fontId="14" fillId="0" borderId="1" xfId="1" applyNumberFormat="1" applyFont="1" applyFill="1" applyBorder="1"/>
    <xf numFmtId="166" fontId="17" fillId="5" borderId="0" xfId="1" applyNumberFormat="1" applyFont="1" applyFill="1"/>
    <xf numFmtId="166" fontId="14" fillId="0" borderId="0" xfId="1" applyNumberFormat="1" applyFont="1" applyFill="1"/>
    <xf numFmtId="165" fontId="14" fillId="0" borderId="0" xfId="1" applyNumberFormat="1" applyFont="1"/>
    <xf numFmtId="0" fontId="14" fillId="3" borderId="0" xfId="0" applyFont="1" applyFill="1"/>
    <xf numFmtId="0" fontId="13" fillId="0" borderId="0" xfId="4" applyFont="1" applyFill="1"/>
    <xf numFmtId="9" fontId="14" fillId="0" borderId="0" xfId="2" applyNumberFormat="1" applyFont="1" applyFill="1"/>
    <xf numFmtId="9" fontId="19" fillId="0" borderId="0" xfId="0" applyNumberFormat="1" applyFont="1" applyFill="1" applyBorder="1"/>
    <xf numFmtId="9" fontId="20" fillId="0" borderId="0" xfId="2" applyFont="1" applyFill="1" applyBorder="1"/>
    <xf numFmtId="9" fontId="21" fillId="6" borderId="0" xfId="2" applyFont="1" applyFill="1" applyBorder="1"/>
    <xf numFmtId="0" fontId="2" fillId="4" borderId="0" xfId="3" applyFont="1" applyFill="1" applyAlignment="1">
      <alignment horizontal="left" vertical="center" indent="1"/>
    </xf>
    <xf numFmtId="0" fontId="22" fillId="0" borderId="0" xfId="0" applyFont="1" applyFill="1"/>
    <xf numFmtId="0" fontId="2" fillId="4" borderId="0" xfId="3" applyFont="1" applyFill="1" applyBorder="1" applyAlignment="1">
      <alignment horizontal="left" vertical="center" indent="1"/>
    </xf>
    <xf numFmtId="0" fontId="14" fillId="3" borderId="0" xfId="4" applyFont="1" applyFill="1" applyBorder="1"/>
    <xf numFmtId="0" fontId="14" fillId="3" borderId="0" xfId="0" applyFont="1" applyFill="1" applyBorder="1"/>
    <xf numFmtId="0" fontId="17" fillId="5" borderId="0" xfId="0" applyFont="1" applyFill="1" applyBorder="1"/>
    <xf numFmtId="0" fontId="14" fillId="0" borderId="0" xfId="0" applyFont="1" applyAlignment="1">
      <alignment vertical="top"/>
    </xf>
    <xf numFmtId="165" fontId="17" fillId="5" borderId="0" xfId="1" applyNumberFormat="1" applyFont="1" applyFill="1" applyAlignment="1">
      <alignment vertical="top"/>
    </xf>
    <xf numFmtId="165" fontId="14" fillId="0" borderId="0" xfId="1" applyNumberFormat="1" applyFont="1" applyFill="1" applyAlignment="1">
      <alignment vertical="top"/>
    </xf>
    <xf numFmtId="0" fontId="0" fillId="0" borderId="0" xfId="0" applyFont="1" applyAlignment="1">
      <alignment vertical="top"/>
    </xf>
    <xf numFmtId="0" fontId="16" fillId="3" borderId="5" xfId="4" applyFont="1" applyFill="1" applyBorder="1" applyAlignment="1">
      <alignment horizontal="left" vertical="top" wrapText="1"/>
    </xf>
    <xf numFmtId="0" fontId="16" fillId="3" borderId="6" xfId="4" applyFont="1" applyFill="1" applyBorder="1" applyAlignment="1">
      <alignment horizontal="left" vertical="top" wrapText="1"/>
    </xf>
  </cellXfs>
  <cellStyles count="8">
    <cellStyle name="Accent1" xfId="3" builtinId="29"/>
    <cellStyle name="Comma" xfId="1" builtinId="3"/>
    <cellStyle name="Comma 2" xfId="5"/>
    <cellStyle name="Heading 1" xfId="7" builtinId="16"/>
    <cellStyle name="Normal" xfId="0" builtinId="0"/>
    <cellStyle name="Normal 2" xfId="6"/>
    <cellStyle name="Normal 3" xfId="4"/>
    <cellStyle name="Percent" xfId="2" builtinId="5"/>
  </cellStyles>
  <dxfs count="0"/>
  <tableStyles count="0" defaultTableStyle="TableStyleMedium9" defaultPivotStyle="PivotStyleLight16"/>
  <colors>
    <mruColors>
      <color rgb="FFF7FBFD"/>
      <color rgb="FFF3F9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AS71"/>
  <sheetViews>
    <sheetView showGridLines="0" tabSelected="1" zoomScale="85" zoomScaleNormal="85" workbookViewId="0">
      <pane xSplit="2" ySplit="4" topLeftCell="H52" activePane="bottomRight" state="frozen"/>
      <selection pane="topRight" activeCell="C1" sqref="C1"/>
      <selection pane="bottomLeft" activeCell="A4" sqref="A4"/>
      <selection pane="bottomRight" activeCell="H65" sqref="H65"/>
    </sheetView>
  </sheetViews>
  <sheetFormatPr defaultRowHeight="15" outlineLevelCol="1" x14ac:dyDescent="0.25"/>
  <cols>
    <col min="2" max="2" width="44.28515625" style="2" bestFit="1" customWidth="1"/>
    <col min="3" max="3" width="3" customWidth="1"/>
    <col min="4" max="7" width="9.42578125" style="4" hidden="1" customWidth="1" outlineLevel="1"/>
    <col min="8" max="8" width="9.42578125" customWidth="1" collapsed="1"/>
    <col min="9" max="12" width="9.42578125" style="4" hidden="1" customWidth="1" outlineLevel="1"/>
    <col min="13" max="13" width="9.42578125" customWidth="1" collapsed="1"/>
    <col min="14" max="17" width="9.42578125" style="4" hidden="1" customWidth="1" outlineLevel="1"/>
    <col min="18" max="18" width="9.42578125" customWidth="1" collapsed="1"/>
    <col min="19" max="22" width="9.42578125" style="4" hidden="1" customWidth="1" outlineLevel="1"/>
    <col min="23" max="23" width="9.42578125" customWidth="1" collapsed="1"/>
    <col min="24" max="27" width="9.42578125" style="4" hidden="1" customWidth="1" outlineLevel="1"/>
    <col min="28" max="28" width="9.42578125" customWidth="1" collapsed="1"/>
    <col min="29" max="32" width="9.42578125" style="4" hidden="1" customWidth="1" outlineLevel="1"/>
    <col min="33" max="33" width="9.42578125" customWidth="1" collapsed="1"/>
    <col min="34" max="37" width="9.42578125" style="4" hidden="1" customWidth="1" outlineLevel="1"/>
    <col min="38" max="38" width="9.42578125" style="1" customWidth="1" collapsed="1"/>
    <col min="39" max="42" width="9.42578125" style="4" customWidth="1" outlineLevel="1"/>
    <col min="43" max="43" width="9.42578125" style="1" customWidth="1"/>
    <col min="44" max="45" width="9.42578125" style="4" customWidth="1" outlineLevel="1"/>
  </cols>
  <sheetData>
    <row r="2" spans="2:45" ht="20.25" thickBot="1" x14ac:dyDescent="0.35">
      <c r="B2" s="12" t="s">
        <v>42</v>
      </c>
    </row>
    <row r="3" spans="2:45" ht="15.75" thickTop="1" x14ac:dyDescent="0.25"/>
    <row r="4" spans="2:45" s="2" customFormat="1" x14ac:dyDescent="0.25">
      <c r="B4" s="53" t="s">
        <v>22</v>
      </c>
      <c r="C4" s="53"/>
      <c r="D4" s="10" t="s">
        <v>1</v>
      </c>
      <c r="E4" s="10" t="s">
        <v>2</v>
      </c>
      <c r="F4" s="10" t="s">
        <v>3</v>
      </c>
      <c r="G4" s="10" t="s">
        <v>4</v>
      </c>
      <c r="H4" s="9" t="s">
        <v>68</v>
      </c>
      <c r="I4" s="10" t="s">
        <v>5</v>
      </c>
      <c r="J4" s="10" t="s">
        <v>6</v>
      </c>
      <c r="K4" s="10" t="s">
        <v>7</v>
      </c>
      <c r="L4" s="10" t="s">
        <v>8</v>
      </c>
      <c r="M4" s="9" t="s">
        <v>69</v>
      </c>
      <c r="N4" s="10" t="s">
        <v>9</v>
      </c>
      <c r="O4" s="10" t="s">
        <v>10</v>
      </c>
      <c r="P4" s="10" t="s">
        <v>11</v>
      </c>
      <c r="Q4" s="10" t="s">
        <v>12</v>
      </c>
      <c r="R4" s="9" t="s">
        <v>70</v>
      </c>
      <c r="S4" s="10" t="s">
        <v>13</v>
      </c>
      <c r="T4" s="10" t="s">
        <v>14</v>
      </c>
      <c r="U4" s="10" t="s">
        <v>15</v>
      </c>
      <c r="V4" s="10" t="s">
        <v>16</v>
      </c>
      <c r="W4" s="9" t="s">
        <v>71</v>
      </c>
      <c r="X4" s="10" t="s">
        <v>17</v>
      </c>
      <c r="Y4" s="10" t="s">
        <v>18</v>
      </c>
      <c r="Z4" s="10" t="s">
        <v>19</v>
      </c>
      <c r="AA4" s="10" t="s">
        <v>20</v>
      </c>
      <c r="AB4" s="9" t="s">
        <v>72</v>
      </c>
      <c r="AC4" s="10" t="s">
        <v>47</v>
      </c>
      <c r="AD4" s="10" t="s">
        <v>48</v>
      </c>
      <c r="AE4" s="10" t="s">
        <v>49</v>
      </c>
      <c r="AF4" s="10" t="s">
        <v>50</v>
      </c>
      <c r="AG4" s="9" t="s">
        <v>73</v>
      </c>
      <c r="AH4" s="10" t="s">
        <v>51</v>
      </c>
      <c r="AI4" s="10" t="s">
        <v>52</v>
      </c>
      <c r="AJ4" s="10" t="s">
        <v>53</v>
      </c>
      <c r="AK4" s="10" t="s">
        <v>54</v>
      </c>
      <c r="AL4" s="9" t="s">
        <v>74</v>
      </c>
      <c r="AM4" s="10" t="s">
        <v>55</v>
      </c>
      <c r="AN4" s="10" t="s">
        <v>56</v>
      </c>
      <c r="AO4" s="10" t="s">
        <v>57</v>
      </c>
      <c r="AP4" s="10" t="s">
        <v>58</v>
      </c>
      <c r="AQ4" s="9" t="s">
        <v>67</v>
      </c>
      <c r="AR4" s="10" t="s">
        <v>89</v>
      </c>
      <c r="AS4" s="10" t="s">
        <v>90</v>
      </c>
    </row>
    <row r="5" spans="2:45" s="2" customFormat="1" x14ac:dyDescent="0.25">
      <c r="B5" s="14"/>
      <c r="D5" s="11"/>
      <c r="E5" s="11"/>
      <c r="F5" s="11"/>
      <c r="G5" s="11"/>
      <c r="H5" s="7"/>
      <c r="I5" s="11"/>
      <c r="J5" s="11"/>
      <c r="K5" s="11"/>
      <c r="L5" s="11"/>
      <c r="M5" s="7"/>
      <c r="N5" s="11"/>
      <c r="O5" s="11"/>
      <c r="P5" s="11"/>
      <c r="Q5" s="11"/>
      <c r="R5" s="7"/>
      <c r="S5" s="11"/>
      <c r="T5" s="11"/>
      <c r="U5" s="11"/>
      <c r="V5" s="11"/>
      <c r="W5" s="7"/>
      <c r="X5" s="11"/>
      <c r="Y5" s="11"/>
      <c r="Z5" s="11"/>
      <c r="AA5" s="11"/>
      <c r="AB5" s="7"/>
      <c r="AC5" s="11"/>
      <c r="AD5" s="11"/>
      <c r="AE5" s="11"/>
      <c r="AF5" s="11"/>
      <c r="AG5" s="7"/>
      <c r="AH5" s="11"/>
      <c r="AI5" s="11"/>
      <c r="AJ5" s="11"/>
      <c r="AK5" s="11"/>
      <c r="AL5" s="8"/>
      <c r="AM5" s="11"/>
      <c r="AN5" s="11"/>
      <c r="AO5" s="11"/>
      <c r="AP5" s="11"/>
      <c r="AQ5" s="8"/>
      <c r="AR5" s="11"/>
      <c r="AS5" s="11"/>
    </row>
    <row r="6" spans="2:45" s="2" customFormat="1" x14ac:dyDescent="0.25">
      <c r="B6" s="13" t="s">
        <v>60</v>
      </c>
      <c r="C6" s="15"/>
      <c r="D6" s="23"/>
      <c r="E6" s="23"/>
      <c r="F6" s="23"/>
      <c r="G6" s="23"/>
      <c r="H6" s="24"/>
      <c r="I6" s="23"/>
      <c r="J6" s="23"/>
      <c r="K6" s="23"/>
      <c r="L6" s="23"/>
      <c r="M6" s="24"/>
      <c r="N6" s="23"/>
      <c r="O6" s="23"/>
      <c r="P6" s="23"/>
      <c r="Q6" s="23"/>
      <c r="R6" s="24"/>
      <c r="S6" s="23"/>
      <c r="T6" s="23"/>
      <c r="U6" s="23"/>
      <c r="V6" s="23"/>
      <c r="W6" s="24"/>
      <c r="X6" s="23"/>
      <c r="Y6" s="23"/>
      <c r="Z6" s="23"/>
      <c r="AA6" s="23"/>
      <c r="AB6" s="24"/>
      <c r="AC6" s="23"/>
      <c r="AD6" s="23"/>
      <c r="AE6" s="23"/>
      <c r="AF6" s="23"/>
      <c r="AG6" s="24"/>
      <c r="AH6" s="23"/>
      <c r="AI6" s="23"/>
      <c r="AJ6" s="23"/>
      <c r="AK6" s="23"/>
      <c r="AL6" s="25"/>
      <c r="AM6" s="23"/>
      <c r="AN6" s="23"/>
      <c r="AO6" s="23"/>
      <c r="AP6" s="23"/>
      <c r="AQ6" s="25"/>
      <c r="AR6" s="23"/>
      <c r="AS6" s="23"/>
    </row>
    <row r="7" spans="2:45" s="2" customFormat="1" x14ac:dyDescent="0.25">
      <c r="B7" s="14" t="s">
        <v>61</v>
      </c>
      <c r="C7" s="15"/>
      <c r="D7" s="23">
        <v>30</v>
      </c>
      <c r="E7" s="23">
        <v>35.9</v>
      </c>
      <c r="F7" s="23">
        <v>35</v>
      </c>
      <c r="G7" s="23">
        <v>37.4</v>
      </c>
      <c r="H7" s="24">
        <v>138.30000000000001</v>
      </c>
      <c r="I7" s="23">
        <v>37.4</v>
      </c>
      <c r="J7" s="23">
        <v>45.3</v>
      </c>
      <c r="K7" s="23">
        <v>42.4</v>
      </c>
      <c r="L7" s="23">
        <v>38.4</v>
      </c>
      <c r="M7" s="24">
        <v>163.5</v>
      </c>
      <c r="N7" s="23">
        <v>36.299999999999997</v>
      </c>
      <c r="O7" s="23">
        <v>30.2</v>
      </c>
      <c r="P7" s="23">
        <v>35.5</v>
      </c>
      <c r="Q7" s="23">
        <v>43</v>
      </c>
      <c r="R7" s="24">
        <v>145.1</v>
      </c>
      <c r="S7" s="23">
        <v>31.9</v>
      </c>
      <c r="T7" s="23">
        <v>29.5</v>
      </c>
      <c r="U7" s="23">
        <v>30.9</v>
      </c>
      <c r="V7" s="23">
        <v>35.700000000000003</v>
      </c>
      <c r="W7" s="24">
        <v>128.19999999999999</v>
      </c>
      <c r="X7" s="23">
        <v>34.200000000000003</v>
      </c>
      <c r="Y7" s="23">
        <v>36.6</v>
      </c>
      <c r="Z7" s="23">
        <v>42.2</v>
      </c>
      <c r="AA7" s="23">
        <v>53.8</v>
      </c>
      <c r="AB7" s="24">
        <v>166.9</v>
      </c>
      <c r="AC7" s="23">
        <v>51.3</v>
      </c>
      <c r="AD7" s="23">
        <v>58.1</v>
      </c>
      <c r="AE7" s="23">
        <v>59.7</v>
      </c>
      <c r="AF7" s="23">
        <v>67.5</v>
      </c>
      <c r="AG7" s="24">
        <v>236.5</v>
      </c>
      <c r="AH7" s="23">
        <v>65.2</v>
      </c>
      <c r="AI7" s="23">
        <v>67</v>
      </c>
      <c r="AJ7" s="23">
        <v>69.7</v>
      </c>
      <c r="AK7" s="23">
        <v>85.1</v>
      </c>
      <c r="AL7" s="24">
        <v>287.10000000000002</v>
      </c>
      <c r="AM7" s="23">
        <v>80.8</v>
      </c>
      <c r="AN7" s="23">
        <v>88.3</v>
      </c>
      <c r="AO7" s="23">
        <v>106.2</v>
      </c>
      <c r="AP7" s="23">
        <v>107.2</v>
      </c>
      <c r="AQ7" s="24">
        <v>382.6</v>
      </c>
      <c r="AR7" s="23">
        <v>111.6</v>
      </c>
      <c r="AS7" s="23">
        <v>125.8</v>
      </c>
    </row>
    <row r="8" spans="2:45" s="2" customFormat="1" x14ac:dyDescent="0.25">
      <c r="B8" s="14" t="s">
        <v>62</v>
      </c>
      <c r="C8" s="15"/>
      <c r="D8" s="23">
        <v>13.7</v>
      </c>
      <c r="E8" s="23">
        <v>15.8</v>
      </c>
      <c r="F8" s="23">
        <v>16.5</v>
      </c>
      <c r="G8" s="23">
        <v>18.100000000000001</v>
      </c>
      <c r="H8" s="24">
        <v>64.2</v>
      </c>
      <c r="I8" s="23">
        <v>16.899999999999999</v>
      </c>
      <c r="J8" s="23">
        <v>14</v>
      </c>
      <c r="K8" s="23">
        <v>12.7</v>
      </c>
      <c r="L8" s="23">
        <v>10.8</v>
      </c>
      <c r="M8" s="24">
        <v>54.4</v>
      </c>
      <c r="N8" s="23">
        <v>11.8</v>
      </c>
      <c r="O8" s="23">
        <v>12.6</v>
      </c>
      <c r="P8" s="23">
        <v>10.4</v>
      </c>
      <c r="Q8" s="23">
        <v>9.8000000000000007</v>
      </c>
      <c r="R8" s="24">
        <v>44.6</v>
      </c>
      <c r="S8" s="23">
        <v>8.8000000000000007</v>
      </c>
      <c r="T8" s="23">
        <v>9.1999999999999993</v>
      </c>
      <c r="U8" s="23">
        <v>8.8000000000000007</v>
      </c>
      <c r="V8" s="23">
        <v>9.1999999999999993</v>
      </c>
      <c r="W8" s="24">
        <v>35.9</v>
      </c>
      <c r="X8" s="23">
        <v>8.8000000000000007</v>
      </c>
      <c r="Y8" s="23">
        <v>10.4</v>
      </c>
      <c r="Z8" s="23">
        <v>10.5</v>
      </c>
      <c r="AA8" s="23">
        <v>11.6</v>
      </c>
      <c r="AB8" s="24">
        <v>41.3</v>
      </c>
      <c r="AC8" s="23">
        <v>12.6</v>
      </c>
      <c r="AD8" s="23">
        <v>12.3</v>
      </c>
      <c r="AE8" s="23">
        <v>12.9</v>
      </c>
      <c r="AF8" s="23">
        <v>11.4</v>
      </c>
      <c r="AG8" s="24">
        <v>49.2</v>
      </c>
      <c r="AH8" s="23">
        <v>11.6</v>
      </c>
      <c r="AI8" s="23">
        <v>11.6</v>
      </c>
      <c r="AJ8" s="23">
        <v>13.7</v>
      </c>
      <c r="AK8" s="23">
        <v>15.4</v>
      </c>
      <c r="AL8" s="24">
        <v>52.2</v>
      </c>
      <c r="AM8" s="23">
        <v>14.1</v>
      </c>
      <c r="AN8" s="23">
        <v>14.3</v>
      </c>
      <c r="AO8" s="23">
        <v>16.899999999999999</v>
      </c>
      <c r="AP8" s="23">
        <v>20.2</v>
      </c>
      <c r="AQ8" s="24">
        <v>65.3</v>
      </c>
      <c r="AR8" s="23">
        <v>18.3</v>
      </c>
      <c r="AS8" s="23">
        <v>20.3</v>
      </c>
    </row>
    <row r="9" spans="2:45" s="2" customFormat="1" x14ac:dyDescent="0.25">
      <c r="B9" s="13" t="s">
        <v>63</v>
      </c>
      <c r="C9" s="15"/>
      <c r="D9" s="23">
        <v>43.7</v>
      </c>
      <c r="E9" s="23">
        <v>51.7</v>
      </c>
      <c r="F9" s="23">
        <v>51.5</v>
      </c>
      <c r="G9" s="23">
        <v>55.5</v>
      </c>
      <c r="H9" s="24">
        <v>202.5</v>
      </c>
      <c r="I9" s="23">
        <v>54.3</v>
      </c>
      <c r="J9" s="23">
        <v>59.3</v>
      </c>
      <c r="K9" s="23">
        <v>55.099999999999994</v>
      </c>
      <c r="L9" s="23">
        <v>49.2</v>
      </c>
      <c r="M9" s="24">
        <v>217.9</v>
      </c>
      <c r="N9" s="23">
        <v>48.099999999999994</v>
      </c>
      <c r="O9" s="23">
        <v>42.8</v>
      </c>
      <c r="P9" s="23">
        <v>45.9</v>
      </c>
      <c r="Q9" s="23">
        <v>52.8</v>
      </c>
      <c r="R9" s="24">
        <v>189.7</v>
      </c>
      <c r="S9" s="23">
        <v>40.700000000000003</v>
      </c>
      <c r="T9" s="23">
        <v>38.700000000000003</v>
      </c>
      <c r="U9" s="23">
        <v>39.700000000000003</v>
      </c>
      <c r="V9" s="23">
        <v>44.900000000000006</v>
      </c>
      <c r="W9" s="24">
        <v>164.1</v>
      </c>
      <c r="X9" s="23">
        <v>43</v>
      </c>
      <c r="Y9" s="23">
        <v>47</v>
      </c>
      <c r="Z9" s="23">
        <v>52.7</v>
      </c>
      <c r="AA9" s="23">
        <v>65.399999999999991</v>
      </c>
      <c r="AB9" s="24">
        <v>208.2</v>
      </c>
      <c r="AC9" s="23">
        <v>63.9</v>
      </c>
      <c r="AD9" s="23">
        <v>70.400000000000006</v>
      </c>
      <c r="AE9" s="23">
        <v>72.600000000000009</v>
      </c>
      <c r="AF9" s="23">
        <v>78.900000000000006</v>
      </c>
      <c r="AG9" s="24">
        <v>285.7</v>
      </c>
      <c r="AH9" s="23">
        <v>76.8</v>
      </c>
      <c r="AI9" s="23">
        <v>78.599999999999994</v>
      </c>
      <c r="AJ9" s="23">
        <v>83.4</v>
      </c>
      <c r="AK9" s="23">
        <v>100.5</v>
      </c>
      <c r="AL9" s="24">
        <v>339.3</v>
      </c>
      <c r="AM9" s="23">
        <v>94.899999999999991</v>
      </c>
      <c r="AN9" s="23">
        <v>102.6</v>
      </c>
      <c r="AO9" s="23">
        <v>123.1</v>
      </c>
      <c r="AP9" s="23">
        <v>127.4</v>
      </c>
      <c r="AQ9" s="24">
        <v>447.9</v>
      </c>
      <c r="AR9" s="23">
        <v>129.9</v>
      </c>
      <c r="AS9" s="23">
        <v>146.1</v>
      </c>
    </row>
    <row r="10" spans="2:45" s="2" customFormat="1" ht="20.25" customHeight="1" x14ac:dyDescent="0.25">
      <c r="B10" s="13" t="s">
        <v>64</v>
      </c>
      <c r="C10" s="15"/>
      <c r="D10" s="23"/>
      <c r="E10" s="23"/>
      <c r="F10" s="23"/>
      <c r="G10" s="23"/>
      <c r="H10" s="24"/>
      <c r="I10" s="23"/>
      <c r="J10" s="23"/>
      <c r="K10" s="23"/>
      <c r="L10" s="23"/>
      <c r="M10" s="24"/>
      <c r="N10" s="23"/>
      <c r="O10" s="23"/>
      <c r="P10" s="23"/>
      <c r="Q10" s="23"/>
      <c r="R10" s="24"/>
      <c r="S10" s="23"/>
      <c r="T10" s="23"/>
      <c r="U10" s="23"/>
      <c r="V10" s="23"/>
      <c r="W10" s="24"/>
      <c r="X10" s="23"/>
      <c r="Y10" s="23"/>
      <c r="Z10" s="23"/>
      <c r="AA10" s="23"/>
      <c r="AB10" s="24"/>
      <c r="AC10" s="23"/>
      <c r="AD10" s="23"/>
      <c r="AE10" s="23"/>
      <c r="AF10" s="23"/>
      <c r="AG10" s="24"/>
      <c r="AH10" s="23"/>
      <c r="AI10" s="23"/>
      <c r="AJ10" s="23"/>
      <c r="AK10" s="23"/>
      <c r="AL10" s="24"/>
      <c r="AM10" s="23"/>
      <c r="AN10" s="23"/>
      <c r="AO10" s="23"/>
      <c r="AP10" s="23"/>
      <c r="AQ10" s="24"/>
      <c r="AR10" s="23"/>
      <c r="AS10" s="23"/>
    </row>
    <row r="11" spans="2:45" s="2" customFormat="1" x14ac:dyDescent="0.25">
      <c r="B11" s="14" t="s">
        <v>61</v>
      </c>
      <c r="C11" s="15"/>
      <c r="D11" s="23">
        <v>40.9</v>
      </c>
      <c r="E11" s="23">
        <v>40.200000000000003</v>
      </c>
      <c r="F11" s="23">
        <v>40.299999999999997</v>
      </c>
      <c r="G11" s="23">
        <v>42.8</v>
      </c>
      <c r="H11" s="24">
        <v>164.1</v>
      </c>
      <c r="I11" s="23">
        <v>45</v>
      </c>
      <c r="J11" s="23">
        <v>40.1</v>
      </c>
      <c r="K11" s="23">
        <v>42.6</v>
      </c>
      <c r="L11" s="23">
        <v>48.8</v>
      </c>
      <c r="M11" s="24">
        <v>176.5</v>
      </c>
      <c r="N11" s="23">
        <v>54.8</v>
      </c>
      <c r="O11" s="23">
        <v>51</v>
      </c>
      <c r="P11" s="23">
        <v>55.2</v>
      </c>
      <c r="Q11" s="23">
        <v>65.5</v>
      </c>
      <c r="R11" s="24">
        <v>226.5</v>
      </c>
      <c r="S11" s="23">
        <v>50.3</v>
      </c>
      <c r="T11" s="23">
        <v>41.3</v>
      </c>
      <c r="U11" s="23">
        <v>53.1</v>
      </c>
      <c r="V11" s="23">
        <v>63.5</v>
      </c>
      <c r="W11" s="24">
        <v>208.1</v>
      </c>
      <c r="X11" s="23">
        <v>66.7</v>
      </c>
      <c r="Y11" s="23">
        <v>72.5</v>
      </c>
      <c r="Z11" s="23">
        <v>70.400000000000006</v>
      </c>
      <c r="AA11" s="23">
        <v>81.900000000000006</v>
      </c>
      <c r="AB11" s="24">
        <v>291.5</v>
      </c>
      <c r="AC11" s="23">
        <v>87.9</v>
      </c>
      <c r="AD11" s="23">
        <v>84.4</v>
      </c>
      <c r="AE11" s="23">
        <v>84.2</v>
      </c>
      <c r="AF11" s="23">
        <v>100.4</v>
      </c>
      <c r="AG11" s="24">
        <v>356.9</v>
      </c>
      <c r="AH11" s="23">
        <v>92.9</v>
      </c>
      <c r="AI11" s="23">
        <v>96.3</v>
      </c>
      <c r="AJ11" s="23">
        <v>106.8</v>
      </c>
      <c r="AK11" s="23">
        <v>121.8</v>
      </c>
      <c r="AL11" s="24">
        <v>417.7</v>
      </c>
      <c r="AM11" s="23">
        <v>123.4</v>
      </c>
      <c r="AN11" s="23">
        <v>119.3</v>
      </c>
      <c r="AO11" s="23">
        <v>122</v>
      </c>
      <c r="AP11" s="23">
        <v>130.4</v>
      </c>
      <c r="AQ11" s="24">
        <v>495.1</v>
      </c>
      <c r="AR11" s="23">
        <v>128.1</v>
      </c>
      <c r="AS11" s="23">
        <v>121.2</v>
      </c>
    </row>
    <row r="12" spans="2:45" s="2" customFormat="1" x14ac:dyDescent="0.25">
      <c r="B12" s="14" t="s">
        <v>62</v>
      </c>
      <c r="C12" s="15"/>
      <c r="D12" s="23">
        <v>8.4</v>
      </c>
      <c r="E12" s="23">
        <v>7.9</v>
      </c>
      <c r="F12" s="23">
        <v>9.1</v>
      </c>
      <c r="G12" s="23">
        <v>9.6</v>
      </c>
      <c r="H12" s="24">
        <v>34.9</v>
      </c>
      <c r="I12" s="23">
        <v>8.4</v>
      </c>
      <c r="J12" s="23">
        <v>7.3</v>
      </c>
      <c r="K12" s="23">
        <v>8</v>
      </c>
      <c r="L12" s="23">
        <v>8.6999999999999993</v>
      </c>
      <c r="M12" s="24">
        <v>32.299999999999997</v>
      </c>
      <c r="N12" s="23">
        <v>9.1</v>
      </c>
      <c r="O12" s="23">
        <v>9.6999999999999993</v>
      </c>
      <c r="P12" s="23">
        <v>11</v>
      </c>
      <c r="Q12" s="23">
        <v>10.5</v>
      </c>
      <c r="R12" s="24">
        <v>40.299999999999997</v>
      </c>
      <c r="S12" s="23">
        <v>8</v>
      </c>
      <c r="T12" s="23">
        <v>7.8</v>
      </c>
      <c r="U12" s="23">
        <v>9.1999999999999993</v>
      </c>
      <c r="V12" s="23">
        <v>11.1</v>
      </c>
      <c r="W12" s="24">
        <v>36.200000000000003</v>
      </c>
      <c r="X12" s="23">
        <v>10.8</v>
      </c>
      <c r="Y12" s="23">
        <v>9.8000000000000007</v>
      </c>
      <c r="Z12" s="23">
        <v>11.3</v>
      </c>
      <c r="AA12" s="23">
        <v>12</v>
      </c>
      <c r="AB12" s="24">
        <v>43.8</v>
      </c>
      <c r="AC12" s="23">
        <v>10.7</v>
      </c>
      <c r="AD12" s="23">
        <v>11</v>
      </c>
      <c r="AE12" s="23">
        <v>12.6</v>
      </c>
      <c r="AF12" s="23">
        <v>14.3</v>
      </c>
      <c r="AG12" s="24">
        <v>48.7</v>
      </c>
      <c r="AH12" s="23">
        <v>13.1</v>
      </c>
      <c r="AI12" s="23">
        <v>13.7</v>
      </c>
      <c r="AJ12" s="23">
        <v>14.3</v>
      </c>
      <c r="AK12" s="23">
        <v>15</v>
      </c>
      <c r="AL12" s="24">
        <v>56.2</v>
      </c>
      <c r="AM12" s="23">
        <v>16.600000000000001</v>
      </c>
      <c r="AN12" s="23">
        <v>16</v>
      </c>
      <c r="AO12" s="23">
        <v>15.1</v>
      </c>
      <c r="AP12" s="23">
        <v>16</v>
      </c>
      <c r="AQ12" s="24">
        <v>63.8</v>
      </c>
      <c r="AR12" s="23">
        <v>16.399999999999999</v>
      </c>
      <c r="AS12" s="23">
        <v>14.3</v>
      </c>
    </row>
    <row r="13" spans="2:45" s="2" customFormat="1" x14ac:dyDescent="0.25">
      <c r="B13" s="13" t="s">
        <v>65</v>
      </c>
      <c r="C13" s="15"/>
      <c r="D13" s="23">
        <v>49.3</v>
      </c>
      <c r="E13" s="23">
        <v>48.1</v>
      </c>
      <c r="F13" s="23">
        <v>49.4</v>
      </c>
      <c r="G13" s="23">
        <v>52.4</v>
      </c>
      <c r="H13" s="24">
        <v>199</v>
      </c>
      <c r="I13" s="23">
        <v>53.4</v>
      </c>
      <c r="J13" s="23">
        <v>47.4</v>
      </c>
      <c r="K13" s="23">
        <v>50.6</v>
      </c>
      <c r="L13" s="23">
        <v>57.5</v>
      </c>
      <c r="M13" s="24">
        <v>208.8</v>
      </c>
      <c r="N13" s="23">
        <v>63.9</v>
      </c>
      <c r="O13" s="23">
        <v>60.7</v>
      </c>
      <c r="P13" s="23">
        <v>66.2</v>
      </c>
      <c r="Q13" s="23">
        <v>76</v>
      </c>
      <c r="R13" s="24">
        <v>266.8</v>
      </c>
      <c r="S13" s="23">
        <v>58.3</v>
      </c>
      <c r="T13" s="23">
        <v>49.099999999999994</v>
      </c>
      <c r="U13" s="23">
        <v>62.3</v>
      </c>
      <c r="V13" s="23">
        <v>74.599999999999994</v>
      </c>
      <c r="W13" s="24">
        <v>244.3</v>
      </c>
      <c r="X13" s="23">
        <v>77.5</v>
      </c>
      <c r="Y13" s="23">
        <v>82.3</v>
      </c>
      <c r="Z13" s="23">
        <v>81.7</v>
      </c>
      <c r="AA13" s="23">
        <v>93.9</v>
      </c>
      <c r="AB13" s="24">
        <v>335.3</v>
      </c>
      <c r="AC13" s="23">
        <v>98.600000000000009</v>
      </c>
      <c r="AD13" s="23">
        <v>95.4</v>
      </c>
      <c r="AE13" s="23">
        <v>96.8</v>
      </c>
      <c r="AF13" s="23">
        <v>114.7</v>
      </c>
      <c r="AG13" s="24">
        <v>405.59999999999997</v>
      </c>
      <c r="AH13" s="23">
        <v>106</v>
      </c>
      <c r="AI13" s="23">
        <v>110</v>
      </c>
      <c r="AJ13" s="23">
        <v>121.1</v>
      </c>
      <c r="AK13" s="23">
        <v>136.80000000000001</v>
      </c>
      <c r="AL13" s="24">
        <v>473.9</v>
      </c>
      <c r="AM13" s="23">
        <v>140</v>
      </c>
      <c r="AN13" s="23">
        <v>135.30000000000001</v>
      </c>
      <c r="AO13" s="23">
        <v>137.1</v>
      </c>
      <c r="AP13" s="23">
        <v>146.4</v>
      </c>
      <c r="AQ13" s="24">
        <v>558.9</v>
      </c>
      <c r="AR13" s="23">
        <v>144.5</v>
      </c>
      <c r="AS13" s="23">
        <v>135.5</v>
      </c>
    </row>
    <row r="14" spans="2:45" s="2" customFormat="1" ht="21" customHeight="1" x14ac:dyDescent="0.25">
      <c r="B14" s="15" t="s">
        <v>66</v>
      </c>
      <c r="C14" s="15"/>
      <c r="D14" s="23">
        <v>13.9</v>
      </c>
      <c r="E14" s="23">
        <v>12.9</v>
      </c>
      <c r="F14" s="23">
        <v>12.1</v>
      </c>
      <c r="G14" s="23">
        <v>14.1</v>
      </c>
      <c r="H14" s="24">
        <v>53</v>
      </c>
      <c r="I14" s="23">
        <v>13.5</v>
      </c>
      <c r="J14" s="23">
        <v>14.1</v>
      </c>
      <c r="K14" s="23">
        <v>12.3</v>
      </c>
      <c r="L14" s="23">
        <v>15.5</v>
      </c>
      <c r="M14" s="24">
        <v>55.6</v>
      </c>
      <c r="N14" s="23">
        <v>14.2</v>
      </c>
      <c r="O14" s="23">
        <v>16.2</v>
      </c>
      <c r="P14" s="23">
        <v>14.6</v>
      </c>
      <c r="Q14" s="23">
        <v>12.9</v>
      </c>
      <c r="R14" s="24">
        <v>57.8</v>
      </c>
      <c r="S14" s="23">
        <v>14.6</v>
      </c>
      <c r="T14" s="23">
        <v>10.3</v>
      </c>
      <c r="U14" s="23">
        <v>14</v>
      </c>
      <c r="V14" s="23">
        <v>12.7</v>
      </c>
      <c r="W14" s="24">
        <v>51.6</v>
      </c>
      <c r="X14" s="23">
        <v>14.8</v>
      </c>
      <c r="Y14" s="23">
        <v>13.4</v>
      </c>
      <c r="Z14" s="23">
        <v>15.6</v>
      </c>
      <c r="AA14" s="23">
        <v>11.6</v>
      </c>
      <c r="AB14" s="24">
        <v>55.4</v>
      </c>
      <c r="AC14" s="23">
        <v>13.3</v>
      </c>
      <c r="AD14" s="23">
        <v>13.9</v>
      </c>
      <c r="AE14" s="23">
        <v>12.5</v>
      </c>
      <c r="AF14" s="23">
        <v>12.7</v>
      </c>
      <c r="AG14" s="24">
        <v>52.4</v>
      </c>
      <c r="AH14" s="23">
        <v>15.5</v>
      </c>
      <c r="AI14" s="23">
        <v>13.3</v>
      </c>
      <c r="AJ14" s="23">
        <v>12.1</v>
      </c>
      <c r="AK14" s="23">
        <v>14</v>
      </c>
      <c r="AL14" s="24">
        <v>55</v>
      </c>
      <c r="AM14" s="23">
        <v>16.600000000000001</v>
      </c>
      <c r="AN14" s="23">
        <v>13.4</v>
      </c>
      <c r="AO14" s="23">
        <v>12.1</v>
      </c>
      <c r="AP14" s="23">
        <v>15.1</v>
      </c>
      <c r="AQ14" s="24">
        <v>57.1</v>
      </c>
      <c r="AR14" s="23">
        <v>16.100000000000001</v>
      </c>
      <c r="AS14" s="23">
        <v>13.2</v>
      </c>
    </row>
    <row r="15" spans="2:45" s="62" customFormat="1" ht="21" customHeight="1" x14ac:dyDescent="0.25">
      <c r="B15" s="59" t="s">
        <v>0</v>
      </c>
      <c r="C15" s="59"/>
      <c r="D15" s="60">
        <v>6</v>
      </c>
      <c r="E15" s="60">
        <v>7</v>
      </c>
      <c r="F15" s="60">
        <v>7.7</v>
      </c>
      <c r="G15" s="60">
        <v>8.3000000000000007</v>
      </c>
      <c r="H15" s="61">
        <v>29.1</v>
      </c>
      <c r="I15" s="60">
        <v>8</v>
      </c>
      <c r="J15" s="60">
        <v>8.4</v>
      </c>
      <c r="K15" s="60">
        <v>7.6</v>
      </c>
      <c r="L15" s="60">
        <v>8.1</v>
      </c>
      <c r="M15" s="61">
        <v>32</v>
      </c>
      <c r="N15" s="60">
        <v>8.1</v>
      </c>
      <c r="O15" s="60">
        <v>8.4</v>
      </c>
      <c r="P15" s="60">
        <v>7.7</v>
      </c>
      <c r="Q15" s="60">
        <v>7.7</v>
      </c>
      <c r="R15" s="61">
        <v>31.9</v>
      </c>
      <c r="S15" s="60">
        <v>7.3</v>
      </c>
      <c r="T15" s="60">
        <v>7.4</v>
      </c>
      <c r="U15" s="60">
        <v>7</v>
      </c>
      <c r="V15" s="60">
        <v>7.8</v>
      </c>
      <c r="W15" s="61">
        <v>29.5</v>
      </c>
      <c r="X15" s="60">
        <v>8</v>
      </c>
      <c r="Y15" s="60">
        <v>7.6</v>
      </c>
      <c r="Z15" s="60">
        <v>8.1</v>
      </c>
      <c r="AA15" s="60">
        <v>8.6999999999999993</v>
      </c>
      <c r="AB15" s="61">
        <v>32.4</v>
      </c>
      <c r="AC15" s="60">
        <v>9.6999999999999993</v>
      </c>
      <c r="AD15" s="60">
        <v>10.5</v>
      </c>
      <c r="AE15" s="60">
        <v>10.4</v>
      </c>
      <c r="AF15" s="60">
        <v>10.7</v>
      </c>
      <c r="AG15" s="61">
        <v>41.3</v>
      </c>
      <c r="AH15" s="60">
        <v>11.1</v>
      </c>
      <c r="AI15" s="60">
        <v>11.1</v>
      </c>
      <c r="AJ15" s="60">
        <v>11.3</v>
      </c>
      <c r="AK15" s="60">
        <v>11.5</v>
      </c>
      <c r="AL15" s="61">
        <v>45</v>
      </c>
      <c r="AM15" s="60">
        <v>12.4</v>
      </c>
      <c r="AN15" s="60">
        <v>13</v>
      </c>
      <c r="AO15" s="60">
        <v>14.4</v>
      </c>
      <c r="AP15" s="60">
        <v>14</v>
      </c>
      <c r="AQ15" s="61">
        <v>53.8</v>
      </c>
      <c r="AR15" s="60">
        <v>14.7</v>
      </c>
      <c r="AS15" s="60">
        <v>14.8</v>
      </c>
    </row>
    <row r="16" spans="2:45" s="1" customFormat="1" x14ac:dyDescent="0.25">
      <c r="B16" s="16" t="s">
        <v>21</v>
      </c>
      <c r="C16" s="16"/>
      <c r="D16" s="26">
        <v>112.9</v>
      </c>
      <c r="E16" s="26">
        <v>119.7</v>
      </c>
      <c r="F16" s="26">
        <v>120.7</v>
      </c>
      <c r="G16" s="26">
        <v>130.30000000000001</v>
      </c>
      <c r="H16" s="27">
        <v>483.6</v>
      </c>
      <c r="I16" s="26">
        <v>129.19999999999999</v>
      </c>
      <c r="J16" s="26">
        <v>129.19999999999999</v>
      </c>
      <c r="K16" s="26">
        <v>125.6</v>
      </c>
      <c r="L16" s="26">
        <v>130.30000000000001</v>
      </c>
      <c r="M16" s="27">
        <v>514.29999999999995</v>
      </c>
      <c r="N16" s="26">
        <v>134.30000000000001</v>
      </c>
      <c r="O16" s="26">
        <v>128.1</v>
      </c>
      <c r="P16" s="26">
        <v>134.4</v>
      </c>
      <c r="Q16" s="26">
        <v>149.4</v>
      </c>
      <c r="R16" s="27">
        <v>546.20000000000005</v>
      </c>
      <c r="S16" s="26">
        <v>120.9</v>
      </c>
      <c r="T16" s="26">
        <v>105.5</v>
      </c>
      <c r="U16" s="26">
        <v>123</v>
      </c>
      <c r="V16" s="26">
        <v>140</v>
      </c>
      <c r="W16" s="27">
        <v>489.5</v>
      </c>
      <c r="X16" s="26">
        <v>143.30000000000001</v>
      </c>
      <c r="Y16" s="26">
        <v>150.30000000000001</v>
      </c>
      <c r="Z16" s="26">
        <v>158.1</v>
      </c>
      <c r="AA16" s="26">
        <v>179.6</v>
      </c>
      <c r="AB16" s="27">
        <v>631.29999999999995</v>
      </c>
      <c r="AC16" s="26">
        <v>185.5</v>
      </c>
      <c r="AD16" s="26">
        <v>190.2</v>
      </c>
      <c r="AE16" s="26">
        <v>192.3</v>
      </c>
      <c r="AF16" s="26">
        <v>217</v>
      </c>
      <c r="AG16" s="27">
        <v>785</v>
      </c>
      <c r="AH16" s="26">
        <v>209.4</v>
      </c>
      <c r="AI16" s="26">
        <v>213</v>
      </c>
      <c r="AJ16" s="26">
        <v>227.9</v>
      </c>
      <c r="AK16" s="26">
        <v>262.8</v>
      </c>
      <c r="AL16" s="27">
        <v>913.1</v>
      </c>
      <c r="AM16" s="26">
        <v>263.89999999999998</v>
      </c>
      <c r="AN16" s="26">
        <v>264.3</v>
      </c>
      <c r="AO16" s="26">
        <v>286.7</v>
      </c>
      <c r="AP16" s="26">
        <v>302.89999999999998</v>
      </c>
      <c r="AQ16" s="27">
        <v>1117.7</v>
      </c>
      <c r="AR16" s="26">
        <v>305.2</v>
      </c>
      <c r="AS16" s="26">
        <v>309.60000000000002</v>
      </c>
    </row>
    <row r="17" spans="2:45" s="2" customFormat="1" x14ac:dyDescent="0.25">
      <c r="B17" s="15"/>
      <c r="C17" s="15"/>
      <c r="D17" s="28"/>
      <c r="E17" s="28"/>
      <c r="F17" s="28"/>
      <c r="G17" s="28"/>
      <c r="H17" s="15"/>
      <c r="I17" s="28"/>
      <c r="J17" s="28"/>
      <c r="K17" s="28"/>
      <c r="L17" s="28"/>
      <c r="M17" s="15"/>
      <c r="N17" s="28"/>
      <c r="O17" s="28"/>
      <c r="P17" s="28"/>
      <c r="Q17" s="28"/>
      <c r="R17" s="15"/>
      <c r="S17" s="28"/>
      <c r="T17" s="28"/>
      <c r="U17" s="28"/>
      <c r="V17" s="28"/>
      <c r="W17" s="15"/>
      <c r="X17" s="28"/>
      <c r="Y17" s="28"/>
      <c r="Z17" s="28"/>
      <c r="AA17" s="28"/>
      <c r="AB17" s="29"/>
      <c r="AC17" s="28"/>
      <c r="AD17" s="28"/>
      <c r="AE17" s="28"/>
      <c r="AF17" s="28"/>
      <c r="AG17" s="29"/>
      <c r="AH17" s="28"/>
      <c r="AI17" s="28"/>
      <c r="AJ17" s="28"/>
      <c r="AK17" s="28"/>
      <c r="AL17" s="29"/>
      <c r="AM17" s="28"/>
      <c r="AN17" s="28"/>
      <c r="AO17" s="28"/>
      <c r="AP17" s="28"/>
      <c r="AQ17" s="29"/>
      <c r="AR17" s="28"/>
      <c r="AS17" s="28"/>
    </row>
    <row r="18" spans="2:45" s="2" customFormat="1" x14ac:dyDescent="0.25">
      <c r="B18" s="17" t="s">
        <v>24</v>
      </c>
      <c r="C18" s="15"/>
      <c r="D18" s="30">
        <v>1.75</v>
      </c>
      <c r="E18" s="30">
        <v>1.82</v>
      </c>
      <c r="F18" s="30">
        <v>1.86</v>
      </c>
      <c r="G18" s="30">
        <v>1.92</v>
      </c>
      <c r="H18" s="31">
        <v>1.84</v>
      </c>
      <c r="I18" s="30">
        <v>1.94</v>
      </c>
      <c r="J18" s="30">
        <v>1.97</v>
      </c>
      <c r="K18" s="30">
        <v>2</v>
      </c>
      <c r="L18" s="30">
        <v>2.02</v>
      </c>
      <c r="M18" s="31">
        <v>1.98</v>
      </c>
      <c r="N18" s="30">
        <v>1.98</v>
      </c>
      <c r="O18" s="30">
        <v>1.97</v>
      </c>
      <c r="P18" s="30">
        <v>1.88</v>
      </c>
      <c r="Q18" s="30">
        <v>1.58</v>
      </c>
      <c r="R18" s="31">
        <v>1.83</v>
      </c>
      <c r="S18" s="30">
        <v>1.51</v>
      </c>
      <c r="T18" s="30">
        <v>1.63</v>
      </c>
      <c r="U18" s="30">
        <v>1.64</v>
      </c>
      <c r="V18" s="30">
        <v>1.64</v>
      </c>
      <c r="W18" s="31">
        <v>1.6</v>
      </c>
      <c r="X18" s="30">
        <v>1.55</v>
      </c>
      <c r="Y18" s="30">
        <v>1.5</v>
      </c>
      <c r="Z18" s="30">
        <v>1.58</v>
      </c>
      <c r="AA18" s="30">
        <v>1.55</v>
      </c>
      <c r="AB18" s="31">
        <v>1.6</v>
      </c>
      <c r="AC18" s="30">
        <v>1.6</v>
      </c>
      <c r="AD18" s="30">
        <v>1.61</v>
      </c>
      <c r="AE18" s="30">
        <v>1.6</v>
      </c>
      <c r="AF18" s="30">
        <v>1.58</v>
      </c>
      <c r="AG18" s="31">
        <v>1.6</v>
      </c>
      <c r="AH18" s="30">
        <v>1.58</v>
      </c>
      <c r="AI18" s="30">
        <v>1.58</v>
      </c>
      <c r="AJ18" s="30">
        <v>1.58</v>
      </c>
      <c r="AK18" s="30">
        <v>1.58</v>
      </c>
      <c r="AL18" s="31">
        <v>1.6</v>
      </c>
      <c r="AM18" s="30">
        <v>1.55</v>
      </c>
      <c r="AN18" s="30">
        <v>1.54</v>
      </c>
      <c r="AO18" s="30">
        <v>1.56</v>
      </c>
      <c r="AP18" s="30">
        <v>1.6</v>
      </c>
      <c r="AQ18" s="31">
        <v>1.56</v>
      </c>
      <c r="AR18" s="30">
        <v>1.63</v>
      </c>
      <c r="AS18" s="30">
        <v>1.65</v>
      </c>
    </row>
    <row r="19" spans="2:45" s="2" customFormat="1" x14ac:dyDescent="0.25">
      <c r="B19" s="15"/>
      <c r="C19" s="15"/>
      <c r="D19" s="28"/>
      <c r="E19" s="28"/>
      <c r="F19" s="28"/>
      <c r="G19" s="28"/>
      <c r="H19" s="24"/>
      <c r="I19" s="28"/>
      <c r="J19" s="28"/>
      <c r="K19" s="28"/>
      <c r="L19" s="28"/>
      <c r="M19" s="24"/>
      <c r="N19" s="28"/>
      <c r="O19" s="28"/>
      <c r="P19" s="28"/>
      <c r="Q19" s="28"/>
      <c r="R19" s="24"/>
      <c r="S19" s="28"/>
      <c r="T19" s="28"/>
      <c r="U19" s="28"/>
      <c r="V19" s="28"/>
      <c r="W19" s="24"/>
      <c r="X19" s="28"/>
      <c r="Y19" s="28"/>
      <c r="Z19" s="28"/>
      <c r="AA19" s="28"/>
      <c r="AB19" s="24"/>
      <c r="AC19" s="28"/>
      <c r="AD19" s="28"/>
      <c r="AE19" s="28"/>
      <c r="AF19" s="28"/>
      <c r="AG19" s="24"/>
      <c r="AH19" s="28"/>
      <c r="AI19" s="28"/>
      <c r="AJ19" s="28"/>
      <c r="AK19" s="28"/>
      <c r="AL19" s="24"/>
      <c r="AM19" s="28"/>
      <c r="AN19" s="28"/>
      <c r="AO19" s="28"/>
      <c r="AP19" s="28"/>
      <c r="AQ19" s="24"/>
      <c r="AR19" s="28"/>
      <c r="AS19" s="28"/>
    </row>
    <row r="20" spans="2:45" s="1" customFormat="1" x14ac:dyDescent="0.25">
      <c r="B20" s="18" t="s">
        <v>23</v>
      </c>
      <c r="C20" s="13"/>
      <c r="D20" s="32">
        <v>64.599999999999994</v>
      </c>
      <c r="E20" s="32">
        <v>65.7</v>
      </c>
      <c r="F20" s="33">
        <v>64.8</v>
      </c>
      <c r="G20" s="33">
        <v>68</v>
      </c>
      <c r="H20" s="25">
        <v>263.3</v>
      </c>
      <c r="I20" s="32">
        <v>66.5</v>
      </c>
      <c r="J20" s="32">
        <v>65.5</v>
      </c>
      <c r="K20" s="33">
        <v>62.8</v>
      </c>
      <c r="L20" s="33">
        <v>64.3</v>
      </c>
      <c r="M20" s="25">
        <v>259.2</v>
      </c>
      <c r="N20" s="32">
        <v>67.900000000000006</v>
      </c>
      <c r="O20" s="32">
        <v>65</v>
      </c>
      <c r="P20" s="33">
        <v>71.7</v>
      </c>
      <c r="Q20" s="33">
        <v>94.4</v>
      </c>
      <c r="R20" s="25">
        <v>298.89999999999998</v>
      </c>
      <c r="S20" s="32">
        <v>79.900000000000006</v>
      </c>
      <c r="T20" s="32">
        <v>64.8</v>
      </c>
      <c r="U20" s="33">
        <v>75.2</v>
      </c>
      <c r="V20" s="33">
        <v>85.2</v>
      </c>
      <c r="W20" s="25">
        <v>305</v>
      </c>
      <c r="X20" s="32">
        <v>92.3</v>
      </c>
      <c r="Y20" s="32">
        <v>100</v>
      </c>
      <c r="Z20" s="33">
        <v>100.4</v>
      </c>
      <c r="AA20" s="33">
        <v>113.9</v>
      </c>
      <c r="AB20" s="25">
        <v>406.6</v>
      </c>
      <c r="AC20" s="32">
        <v>116</v>
      </c>
      <c r="AD20" s="32">
        <v>117.8</v>
      </c>
      <c r="AE20" s="33">
        <v>120.2</v>
      </c>
      <c r="AF20" s="33">
        <v>137.80000000000001</v>
      </c>
      <c r="AG20" s="25">
        <v>491.8</v>
      </c>
      <c r="AH20" s="32">
        <v>132.5</v>
      </c>
      <c r="AI20" s="32">
        <v>135.5</v>
      </c>
      <c r="AJ20" s="33">
        <v>144.6</v>
      </c>
      <c r="AK20" s="33">
        <v>164.2</v>
      </c>
      <c r="AL20" s="25">
        <v>576.9</v>
      </c>
      <c r="AM20" s="32">
        <v>170.3</v>
      </c>
      <c r="AN20" s="32">
        <v>171.2</v>
      </c>
      <c r="AO20" s="33">
        <v>184</v>
      </c>
      <c r="AP20" s="33">
        <v>189.1</v>
      </c>
      <c r="AQ20" s="25">
        <v>714.6</v>
      </c>
      <c r="AR20" s="32">
        <v>186.7</v>
      </c>
      <c r="AS20" s="32">
        <v>187.1</v>
      </c>
    </row>
    <row r="21" spans="2:45" s="2" customFormat="1" x14ac:dyDescent="0.25">
      <c r="B21" s="15"/>
      <c r="C21" s="15"/>
      <c r="D21" s="28"/>
      <c r="E21" s="28"/>
      <c r="F21" s="28"/>
      <c r="G21" s="28"/>
      <c r="H21" s="24"/>
      <c r="I21" s="28"/>
      <c r="J21" s="28"/>
      <c r="K21" s="28"/>
      <c r="L21" s="28"/>
      <c r="M21" s="24"/>
      <c r="N21" s="28"/>
      <c r="O21" s="28"/>
      <c r="P21" s="28"/>
      <c r="Q21" s="28"/>
      <c r="R21" s="24"/>
      <c r="S21" s="28"/>
      <c r="T21" s="28"/>
      <c r="U21" s="28"/>
      <c r="V21" s="28"/>
      <c r="W21" s="24"/>
      <c r="X21" s="28"/>
      <c r="Y21" s="28"/>
      <c r="Z21" s="28"/>
      <c r="AA21" s="28"/>
      <c r="AB21" s="24"/>
      <c r="AC21" s="28"/>
      <c r="AD21" s="28"/>
      <c r="AE21" s="28"/>
      <c r="AF21" s="28"/>
      <c r="AG21" s="24"/>
      <c r="AH21" s="28"/>
      <c r="AI21" s="28"/>
      <c r="AJ21" s="28"/>
      <c r="AK21" s="28"/>
      <c r="AL21" s="24"/>
      <c r="AM21" s="28"/>
      <c r="AN21" s="28"/>
      <c r="AO21" s="28"/>
      <c r="AP21" s="28"/>
      <c r="AQ21" s="24"/>
      <c r="AR21" s="28"/>
      <c r="AS21" s="28"/>
    </row>
    <row r="22" spans="2:45" s="2" customFormat="1" x14ac:dyDescent="0.25">
      <c r="B22" s="17" t="s">
        <v>40</v>
      </c>
      <c r="C22" s="15"/>
      <c r="D22" s="23">
        <v>7.1</v>
      </c>
      <c r="E22" s="23">
        <v>7.1</v>
      </c>
      <c r="F22" s="23">
        <v>8</v>
      </c>
      <c r="G22" s="23">
        <v>7.5</v>
      </c>
      <c r="H22" s="24">
        <v>29.8</v>
      </c>
      <c r="I22" s="23">
        <v>7</v>
      </c>
      <c r="J22" s="23">
        <v>6.8</v>
      </c>
      <c r="K22" s="23">
        <v>6.4</v>
      </c>
      <c r="L22" s="23">
        <v>6.8</v>
      </c>
      <c r="M22" s="24">
        <v>27</v>
      </c>
      <c r="N22" s="23">
        <v>7.6</v>
      </c>
      <c r="O22" s="23">
        <v>7.1</v>
      </c>
      <c r="P22" s="23">
        <v>7.2</v>
      </c>
      <c r="Q22" s="23">
        <v>9.9</v>
      </c>
      <c r="R22" s="24">
        <v>31.8</v>
      </c>
      <c r="S22" s="23">
        <v>7.8</v>
      </c>
      <c r="T22" s="23">
        <v>5.7</v>
      </c>
      <c r="U22" s="23">
        <v>5.3</v>
      </c>
      <c r="V22" s="23">
        <v>4.9000000000000004</v>
      </c>
      <c r="W22" s="24">
        <v>23.7</v>
      </c>
      <c r="X22" s="23">
        <v>6.5</v>
      </c>
      <c r="Y22" s="23">
        <v>5.0999999999999996</v>
      </c>
      <c r="Z22" s="23">
        <v>5.8</v>
      </c>
      <c r="AA22" s="23">
        <v>5.8</v>
      </c>
      <c r="AB22" s="24">
        <v>23.3</v>
      </c>
      <c r="AC22" s="23">
        <v>6.5</v>
      </c>
      <c r="AD22" s="23">
        <v>6.1</v>
      </c>
      <c r="AE22" s="23">
        <v>6.1</v>
      </c>
      <c r="AF22" s="23">
        <v>5.6</v>
      </c>
      <c r="AG22" s="24">
        <v>24.2</v>
      </c>
      <c r="AH22" s="23">
        <v>7.4</v>
      </c>
      <c r="AI22" s="23">
        <v>6.6</v>
      </c>
      <c r="AJ22" s="23">
        <v>7.8</v>
      </c>
      <c r="AK22" s="23">
        <v>8</v>
      </c>
      <c r="AL22" s="24">
        <v>29.8</v>
      </c>
      <c r="AM22" s="23">
        <v>9.6999999999999993</v>
      </c>
      <c r="AN22" s="23">
        <v>9.8000000000000007</v>
      </c>
      <c r="AO22" s="23">
        <v>9</v>
      </c>
      <c r="AP22" s="23">
        <v>8.6999999999999993</v>
      </c>
      <c r="AQ22" s="24">
        <v>37.200000000000003</v>
      </c>
      <c r="AR22" s="23">
        <v>8.3000000000000007</v>
      </c>
      <c r="AS22" s="23">
        <v>8.4</v>
      </c>
    </row>
    <row r="23" spans="2:45" s="2" customFormat="1" x14ac:dyDescent="0.25">
      <c r="B23" s="17" t="s">
        <v>28</v>
      </c>
      <c r="C23" s="15"/>
      <c r="D23" s="34">
        <v>0.88</v>
      </c>
      <c r="E23" s="34">
        <v>0.89</v>
      </c>
      <c r="F23" s="34">
        <v>0.877</v>
      </c>
      <c r="G23" s="34">
        <v>0.88</v>
      </c>
      <c r="H23" s="35">
        <v>0.89</v>
      </c>
      <c r="I23" s="34">
        <v>0.89500000000000002</v>
      </c>
      <c r="J23" s="34">
        <v>0.89700000000000002</v>
      </c>
      <c r="K23" s="34">
        <v>0.89800000000000002</v>
      </c>
      <c r="L23" s="34">
        <v>0.89400000000000002</v>
      </c>
      <c r="M23" s="35">
        <v>0.89600000000000002</v>
      </c>
      <c r="N23" s="34">
        <v>0.88800000000000001</v>
      </c>
      <c r="O23" s="34">
        <v>0.89100000000000001</v>
      </c>
      <c r="P23" s="34">
        <v>0.89900000000000002</v>
      </c>
      <c r="Q23" s="34">
        <v>0.89500000000000002</v>
      </c>
      <c r="R23" s="35">
        <v>0.89400000000000002</v>
      </c>
      <c r="S23" s="34">
        <v>0.90200000000000002</v>
      </c>
      <c r="T23" s="34">
        <v>0.91200000000000003</v>
      </c>
      <c r="U23" s="34">
        <v>0.92900000000000005</v>
      </c>
      <c r="V23" s="34">
        <v>0.94299999999999995</v>
      </c>
      <c r="W23" s="35">
        <v>0.92200000000000004</v>
      </c>
      <c r="X23" s="34">
        <v>0.93</v>
      </c>
      <c r="Y23" s="34">
        <v>0.94899999999999995</v>
      </c>
      <c r="Z23" s="34">
        <v>0.94199999999999995</v>
      </c>
      <c r="AA23" s="34">
        <v>0.94899999999999995</v>
      </c>
      <c r="AB23" s="35">
        <v>0.94299999999999995</v>
      </c>
      <c r="AC23" s="34">
        <v>0.94399999999999995</v>
      </c>
      <c r="AD23" s="34">
        <v>0.94799999999999995</v>
      </c>
      <c r="AE23" s="34">
        <v>0.94899999999999995</v>
      </c>
      <c r="AF23" s="34">
        <v>0.96</v>
      </c>
      <c r="AG23" s="35">
        <v>0.95099999999999996</v>
      </c>
      <c r="AH23" s="34">
        <v>0.94399999999999995</v>
      </c>
      <c r="AI23" s="34">
        <v>0.95099999999999996</v>
      </c>
      <c r="AJ23" s="34">
        <v>0.94599999999999995</v>
      </c>
      <c r="AK23" s="34">
        <v>0.94699999999999995</v>
      </c>
      <c r="AL23" s="35">
        <v>0.94499999999999995</v>
      </c>
      <c r="AM23" s="34">
        <v>0.94299999999999995</v>
      </c>
      <c r="AN23" s="34">
        <v>0.94299999999999995</v>
      </c>
      <c r="AO23" s="34">
        <v>0.95099999999999996</v>
      </c>
      <c r="AP23" s="34">
        <v>0.95399999999999996</v>
      </c>
      <c r="AQ23" s="35">
        <v>0.94799999999999995</v>
      </c>
      <c r="AR23" s="34">
        <v>0.95599999999999996</v>
      </c>
      <c r="AS23" s="34">
        <v>0.95799999999999996</v>
      </c>
    </row>
    <row r="24" spans="2:45" s="2" customFormat="1" x14ac:dyDescent="0.25">
      <c r="B24" s="15"/>
      <c r="C24" s="15"/>
      <c r="D24" s="28"/>
      <c r="E24" s="28"/>
      <c r="F24" s="28"/>
      <c r="G24" s="28"/>
      <c r="H24" s="24"/>
      <c r="I24" s="28"/>
      <c r="J24" s="28"/>
      <c r="K24" s="28"/>
      <c r="L24" s="28"/>
      <c r="M24" s="24"/>
      <c r="N24" s="28"/>
      <c r="O24" s="28"/>
      <c r="P24" s="28"/>
      <c r="Q24" s="28"/>
      <c r="R24" s="24"/>
      <c r="S24" s="28"/>
      <c r="T24" s="28"/>
      <c r="U24" s="28"/>
      <c r="V24" s="28"/>
      <c r="W24" s="24"/>
      <c r="X24" s="28"/>
      <c r="Y24" s="28"/>
      <c r="Z24" s="28"/>
      <c r="AA24" s="28"/>
      <c r="AB24" s="24"/>
      <c r="AC24" s="28"/>
      <c r="AD24" s="28"/>
      <c r="AE24" s="28"/>
      <c r="AF24" s="28"/>
      <c r="AG24" s="24"/>
      <c r="AH24" s="28"/>
      <c r="AI24" s="28"/>
      <c r="AJ24" s="28"/>
      <c r="AK24" s="28"/>
      <c r="AL24" s="24"/>
      <c r="AM24" s="28"/>
      <c r="AN24" s="28"/>
      <c r="AO24" s="28"/>
      <c r="AP24" s="28"/>
      <c r="AQ24" s="24"/>
      <c r="AR24" s="28"/>
      <c r="AS24" s="28"/>
    </row>
    <row r="25" spans="2:45" s="2" customFormat="1" x14ac:dyDescent="0.25">
      <c r="B25" s="17" t="s">
        <v>29</v>
      </c>
      <c r="C25" s="15"/>
      <c r="D25" s="23">
        <v>15.1</v>
      </c>
      <c r="E25" s="23">
        <v>15</v>
      </c>
      <c r="F25" s="23">
        <v>15.5</v>
      </c>
      <c r="G25" s="23">
        <v>18.2</v>
      </c>
      <c r="H25" s="24">
        <v>63.8</v>
      </c>
      <c r="I25" s="23">
        <v>16.600000000000001</v>
      </c>
      <c r="J25" s="23">
        <v>15.5</v>
      </c>
      <c r="K25" s="23">
        <v>14.8</v>
      </c>
      <c r="L25" s="23">
        <v>15.1</v>
      </c>
      <c r="M25" s="24">
        <v>61.9</v>
      </c>
      <c r="N25" s="23">
        <v>16.3</v>
      </c>
      <c r="O25" s="23">
        <v>15.3</v>
      </c>
      <c r="P25" s="23">
        <v>15.7</v>
      </c>
      <c r="Q25" s="23">
        <v>18.600000000000001</v>
      </c>
      <c r="R25" s="24">
        <v>65.8</v>
      </c>
      <c r="S25" s="23">
        <v>21.8</v>
      </c>
      <c r="T25" s="23">
        <v>22.5</v>
      </c>
      <c r="U25" s="23">
        <v>21.5</v>
      </c>
      <c r="V25" s="23">
        <v>23.9</v>
      </c>
      <c r="W25" s="24">
        <v>89.7</v>
      </c>
      <c r="X25" s="23">
        <v>25.2</v>
      </c>
      <c r="Y25" s="23">
        <v>26.4</v>
      </c>
      <c r="Z25" s="23">
        <v>26.4</v>
      </c>
      <c r="AA25" s="23">
        <v>29.6</v>
      </c>
      <c r="AB25" s="24">
        <v>107.6</v>
      </c>
      <c r="AC25" s="23">
        <v>28.7</v>
      </c>
      <c r="AD25" s="23">
        <v>28.9</v>
      </c>
      <c r="AE25" s="23">
        <v>29.8</v>
      </c>
      <c r="AF25" s="23">
        <v>31.4</v>
      </c>
      <c r="AG25" s="24">
        <v>118.9</v>
      </c>
      <c r="AH25" s="23">
        <v>32.299999999999997</v>
      </c>
      <c r="AI25" s="23">
        <v>32.799999999999997</v>
      </c>
      <c r="AJ25" s="23">
        <v>32.200000000000003</v>
      </c>
      <c r="AK25" s="23">
        <v>36.700000000000003</v>
      </c>
      <c r="AL25" s="24">
        <v>134</v>
      </c>
      <c r="AM25" s="23">
        <v>36.6</v>
      </c>
      <c r="AN25" s="23">
        <v>37.200000000000003</v>
      </c>
      <c r="AO25" s="23">
        <v>35.700000000000003</v>
      </c>
      <c r="AP25" s="23">
        <v>38.9</v>
      </c>
      <c r="AQ25" s="24">
        <v>148.30000000000001</v>
      </c>
      <c r="AR25" s="23">
        <v>39.799999999999997</v>
      </c>
      <c r="AS25" s="23">
        <v>39.700000000000003</v>
      </c>
    </row>
    <row r="26" spans="2:45" s="2" customFormat="1" x14ac:dyDescent="0.25">
      <c r="B26" s="17" t="s">
        <v>30</v>
      </c>
      <c r="C26" s="15"/>
      <c r="D26" s="23">
        <v>9.4</v>
      </c>
      <c r="E26" s="23">
        <v>9.8000000000000007</v>
      </c>
      <c r="F26" s="23">
        <v>10</v>
      </c>
      <c r="G26" s="23">
        <v>11.4</v>
      </c>
      <c r="H26" s="24">
        <v>40.6</v>
      </c>
      <c r="I26" s="23">
        <v>11.1</v>
      </c>
      <c r="J26" s="23">
        <v>10.5</v>
      </c>
      <c r="K26" s="23">
        <v>10.3</v>
      </c>
      <c r="L26" s="23">
        <v>11.1</v>
      </c>
      <c r="M26" s="24">
        <v>43</v>
      </c>
      <c r="N26" s="23">
        <v>11</v>
      </c>
      <c r="O26" s="23">
        <v>10.9</v>
      </c>
      <c r="P26" s="23">
        <v>11.4</v>
      </c>
      <c r="Q26" s="23">
        <v>14.1</v>
      </c>
      <c r="R26" s="24">
        <v>47.4</v>
      </c>
      <c r="S26" s="23">
        <v>12.4</v>
      </c>
      <c r="T26" s="23">
        <v>11.6</v>
      </c>
      <c r="U26" s="23">
        <v>11.9</v>
      </c>
      <c r="V26" s="23">
        <v>12.7</v>
      </c>
      <c r="W26" s="24">
        <v>48.5</v>
      </c>
      <c r="X26" s="23">
        <v>12</v>
      </c>
      <c r="Y26" s="23">
        <v>12.8</v>
      </c>
      <c r="Z26" s="23">
        <v>13.3</v>
      </c>
      <c r="AA26" s="23">
        <v>15.9</v>
      </c>
      <c r="AB26" s="24">
        <v>54.1</v>
      </c>
      <c r="AC26" s="23">
        <v>14</v>
      </c>
      <c r="AD26" s="23">
        <v>13.7</v>
      </c>
      <c r="AE26" s="23">
        <v>15.6</v>
      </c>
      <c r="AF26" s="23">
        <v>17.3</v>
      </c>
      <c r="AG26" s="24">
        <v>60.4</v>
      </c>
      <c r="AH26" s="23">
        <v>15.3</v>
      </c>
      <c r="AI26" s="23">
        <v>15</v>
      </c>
      <c r="AJ26" s="23">
        <v>15.6</v>
      </c>
      <c r="AK26" s="23">
        <v>18.399999999999999</v>
      </c>
      <c r="AL26" s="24">
        <v>64.3</v>
      </c>
      <c r="AM26" s="23">
        <v>18.3</v>
      </c>
      <c r="AN26" s="23">
        <v>17.8</v>
      </c>
      <c r="AO26" s="23">
        <v>19.3</v>
      </c>
      <c r="AP26" s="23">
        <v>21.3</v>
      </c>
      <c r="AQ26" s="24">
        <v>76.7</v>
      </c>
      <c r="AR26" s="23">
        <v>20.399999999999999</v>
      </c>
      <c r="AS26" s="23">
        <v>19.8</v>
      </c>
    </row>
    <row r="27" spans="2:45" s="2" customFormat="1" x14ac:dyDescent="0.25">
      <c r="B27" s="17" t="s">
        <v>31</v>
      </c>
      <c r="C27" s="15"/>
      <c r="D27" s="23">
        <v>10</v>
      </c>
      <c r="E27" s="23">
        <v>12.6</v>
      </c>
      <c r="F27" s="23">
        <v>11.9</v>
      </c>
      <c r="G27" s="23">
        <v>11.2</v>
      </c>
      <c r="H27" s="24">
        <v>45.7</v>
      </c>
      <c r="I27" s="23">
        <v>11.6</v>
      </c>
      <c r="J27" s="23">
        <v>11.9</v>
      </c>
      <c r="K27" s="23">
        <v>11.4</v>
      </c>
      <c r="L27" s="23">
        <v>11.1</v>
      </c>
      <c r="M27" s="24">
        <v>45.9</v>
      </c>
      <c r="N27" s="23">
        <v>12.2</v>
      </c>
      <c r="O27" s="23">
        <v>11.3</v>
      </c>
      <c r="P27" s="23">
        <v>13.7</v>
      </c>
      <c r="Q27" s="23">
        <v>19.2</v>
      </c>
      <c r="R27" s="24">
        <v>56.4</v>
      </c>
      <c r="S27" s="23">
        <v>14.3</v>
      </c>
      <c r="T27" s="23">
        <v>9</v>
      </c>
      <c r="U27" s="23">
        <v>12.6</v>
      </c>
      <c r="V27" s="23">
        <v>12</v>
      </c>
      <c r="W27" s="24">
        <v>47.9</v>
      </c>
      <c r="X27" s="23">
        <v>11.8</v>
      </c>
      <c r="Y27" s="23">
        <v>12.9</v>
      </c>
      <c r="Z27" s="23">
        <v>16.899999999999999</v>
      </c>
      <c r="AA27" s="23">
        <v>15.7</v>
      </c>
      <c r="AB27" s="24">
        <v>57.3</v>
      </c>
      <c r="AC27" s="23">
        <v>17.600000000000001</v>
      </c>
      <c r="AD27" s="23">
        <v>16.8</v>
      </c>
      <c r="AE27" s="23">
        <v>15.1</v>
      </c>
      <c r="AF27" s="23">
        <v>17.100000000000001</v>
      </c>
      <c r="AG27" s="24">
        <v>66.599999999999994</v>
      </c>
      <c r="AH27" s="23">
        <v>18.5</v>
      </c>
      <c r="AI27" s="23">
        <v>18.2</v>
      </c>
      <c r="AJ27" s="23">
        <v>24.5</v>
      </c>
      <c r="AK27" s="23">
        <v>24.6</v>
      </c>
      <c r="AL27" s="24">
        <v>85.9</v>
      </c>
      <c r="AM27" s="23">
        <v>19.7</v>
      </c>
      <c r="AN27" s="23">
        <v>23.2</v>
      </c>
      <c r="AO27" s="23">
        <v>30.6</v>
      </c>
      <c r="AP27" s="23">
        <v>27.9</v>
      </c>
      <c r="AQ27" s="24">
        <v>101.5</v>
      </c>
      <c r="AR27" s="23">
        <v>24.1</v>
      </c>
      <c r="AS27" s="23">
        <v>28.2</v>
      </c>
    </row>
    <row r="28" spans="2:45" s="2" customFormat="1" x14ac:dyDescent="0.25">
      <c r="B28" s="15"/>
      <c r="C28" s="15"/>
      <c r="D28" s="28"/>
      <c r="E28" s="28"/>
      <c r="F28" s="28"/>
      <c r="G28" s="28"/>
      <c r="H28" s="24"/>
      <c r="I28" s="28"/>
      <c r="J28" s="28"/>
      <c r="K28" s="28"/>
      <c r="L28" s="28"/>
      <c r="M28" s="24"/>
      <c r="N28" s="28"/>
      <c r="O28" s="28"/>
      <c r="P28" s="28"/>
      <c r="Q28" s="28"/>
      <c r="R28" s="24"/>
      <c r="S28" s="28"/>
      <c r="T28" s="28"/>
      <c r="U28" s="28"/>
      <c r="V28" s="28"/>
      <c r="W28" s="24"/>
      <c r="X28" s="28"/>
      <c r="Y28" s="28"/>
      <c r="Z28" s="28"/>
      <c r="AA28" s="28"/>
      <c r="AB28" s="24"/>
      <c r="AC28" s="28"/>
      <c r="AD28" s="28"/>
      <c r="AE28" s="28"/>
      <c r="AF28" s="28"/>
      <c r="AG28" s="24"/>
      <c r="AH28" s="28"/>
      <c r="AI28" s="28"/>
      <c r="AJ28" s="28"/>
      <c r="AK28" s="28"/>
      <c r="AL28" s="24"/>
      <c r="AM28" s="28"/>
      <c r="AN28" s="28"/>
      <c r="AO28" s="28"/>
      <c r="AP28" s="28"/>
      <c r="AQ28" s="24"/>
      <c r="AR28" s="28"/>
      <c r="AS28" s="28"/>
    </row>
    <row r="29" spans="2:45" s="2" customFormat="1" x14ac:dyDescent="0.25">
      <c r="B29" s="17" t="s">
        <v>27</v>
      </c>
      <c r="C29" s="15"/>
      <c r="D29" s="23">
        <v>34.5</v>
      </c>
      <c r="E29" s="23">
        <v>37.4</v>
      </c>
      <c r="F29" s="23">
        <v>37.4</v>
      </c>
      <c r="G29" s="23">
        <v>40.799999999999997</v>
      </c>
      <c r="H29" s="24">
        <v>150.1</v>
      </c>
      <c r="I29" s="23">
        <v>39.299999999999997</v>
      </c>
      <c r="J29" s="23">
        <v>37.799999999999997</v>
      </c>
      <c r="K29" s="23">
        <v>36.5</v>
      </c>
      <c r="L29" s="23">
        <v>37.200000000000003</v>
      </c>
      <c r="M29" s="36">
        <v>150.80000000000001</v>
      </c>
      <c r="N29" s="23">
        <v>39.5</v>
      </c>
      <c r="O29" s="23">
        <v>37.5</v>
      </c>
      <c r="P29" s="23">
        <v>40.799999999999997</v>
      </c>
      <c r="Q29" s="23">
        <v>51.8</v>
      </c>
      <c r="R29" s="36">
        <v>169.6</v>
      </c>
      <c r="S29" s="23">
        <v>48.5</v>
      </c>
      <c r="T29" s="23">
        <v>43.1</v>
      </c>
      <c r="U29" s="23">
        <v>46</v>
      </c>
      <c r="V29" s="23">
        <v>48.6</v>
      </c>
      <c r="W29" s="24">
        <v>186.2</v>
      </c>
      <c r="X29" s="23">
        <v>49</v>
      </c>
      <c r="Y29" s="23">
        <v>52.1</v>
      </c>
      <c r="Z29" s="23">
        <v>56.6</v>
      </c>
      <c r="AA29" s="23">
        <v>61.2</v>
      </c>
      <c r="AB29" s="24">
        <v>219</v>
      </c>
      <c r="AC29" s="23">
        <v>60.3</v>
      </c>
      <c r="AD29" s="23">
        <v>59.4</v>
      </c>
      <c r="AE29" s="23">
        <v>60.5</v>
      </c>
      <c r="AF29" s="23">
        <v>65.8</v>
      </c>
      <c r="AG29" s="24">
        <v>245.9</v>
      </c>
      <c r="AH29" s="23">
        <v>66.099999999999994</v>
      </c>
      <c r="AI29" s="23">
        <v>66</v>
      </c>
      <c r="AJ29" s="23">
        <v>72.3</v>
      </c>
      <c r="AK29" s="23">
        <v>79.7</v>
      </c>
      <c r="AL29" s="24">
        <v>284.2</v>
      </c>
      <c r="AM29" s="23">
        <v>74.599999999999994</v>
      </c>
      <c r="AN29" s="23">
        <v>78.2</v>
      </c>
      <c r="AO29" s="23">
        <v>85.6</v>
      </c>
      <c r="AP29" s="23">
        <v>88.1</v>
      </c>
      <c r="AQ29" s="24">
        <v>326.5</v>
      </c>
      <c r="AR29" s="23">
        <v>84.3</v>
      </c>
      <c r="AS29" s="23">
        <v>87.7</v>
      </c>
    </row>
    <row r="30" spans="2:45" s="2" customFormat="1" x14ac:dyDescent="0.25">
      <c r="B30" s="15"/>
      <c r="C30" s="15"/>
      <c r="D30" s="28"/>
      <c r="E30" s="28"/>
      <c r="F30" s="28"/>
      <c r="G30" s="28"/>
      <c r="H30" s="24"/>
      <c r="I30" s="28"/>
      <c r="J30" s="28"/>
      <c r="K30" s="28"/>
      <c r="L30" s="28"/>
      <c r="M30" s="24"/>
      <c r="N30" s="28"/>
      <c r="O30" s="28"/>
      <c r="P30" s="28"/>
      <c r="Q30" s="28"/>
      <c r="R30" s="24"/>
      <c r="S30" s="28"/>
      <c r="T30" s="28"/>
      <c r="U30" s="28"/>
      <c r="V30" s="28"/>
      <c r="W30" s="24"/>
      <c r="X30" s="28"/>
      <c r="Y30" s="28"/>
      <c r="Z30" s="28"/>
      <c r="AA30" s="28"/>
      <c r="AB30" s="24"/>
      <c r="AC30" s="28"/>
      <c r="AD30" s="28"/>
      <c r="AE30" s="28"/>
      <c r="AF30" s="28"/>
      <c r="AG30" s="24"/>
      <c r="AH30" s="28"/>
      <c r="AI30" s="28"/>
      <c r="AJ30" s="28"/>
      <c r="AK30" s="28"/>
      <c r="AL30" s="24"/>
      <c r="AM30" s="28"/>
      <c r="AN30" s="28"/>
      <c r="AO30" s="28"/>
      <c r="AP30" s="28"/>
      <c r="AQ30" s="24"/>
      <c r="AR30" s="28"/>
      <c r="AS30" s="28"/>
    </row>
    <row r="31" spans="2:45" s="1" customFormat="1" x14ac:dyDescent="0.25">
      <c r="B31" s="18" t="s">
        <v>25</v>
      </c>
      <c r="C31" s="13"/>
      <c r="D31" s="32">
        <v>23</v>
      </c>
      <c r="E31" s="32">
        <v>21.2</v>
      </c>
      <c r="F31" s="32">
        <v>19.5</v>
      </c>
      <c r="G31" s="32">
        <v>19.7</v>
      </c>
      <c r="H31" s="25">
        <v>83.4</v>
      </c>
      <c r="I31" s="32">
        <v>20.2</v>
      </c>
      <c r="J31" s="32">
        <v>20.9</v>
      </c>
      <c r="K31" s="32">
        <v>20</v>
      </c>
      <c r="L31" s="32">
        <v>20.3</v>
      </c>
      <c r="M31" s="37">
        <v>81.3</v>
      </c>
      <c r="N31" s="32">
        <v>20.8</v>
      </c>
      <c r="O31" s="32">
        <v>20.5</v>
      </c>
      <c r="P31" s="32">
        <v>23.7</v>
      </c>
      <c r="Q31" s="32">
        <v>32.6</v>
      </c>
      <c r="R31" s="25">
        <v>97.6</v>
      </c>
      <c r="S31" s="32">
        <v>23.6</v>
      </c>
      <c r="T31" s="32">
        <v>16</v>
      </c>
      <c r="U31" s="32">
        <v>23.8</v>
      </c>
      <c r="V31" s="32">
        <v>31.8</v>
      </c>
      <c r="W31" s="25">
        <v>95.1</v>
      </c>
      <c r="X31" s="32">
        <v>36.9</v>
      </c>
      <c r="Y31" s="32">
        <v>42.7</v>
      </c>
      <c r="Z31" s="32">
        <v>37.9</v>
      </c>
      <c r="AA31" s="32">
        <v>46.9</v>
      </c>
      <c r="AB31" s="25">
        <v>164.3</v>
      </c>
      <c r="AC31" s="32">
        <v>49.3</v>
      </c>
      <c r="AD31" s="32">
        <v>52.4</v>
      </c>
      <c r="AE31" s="32">
        <v>53.6</v>
      </c>
      <c r="AF31" s="32">
        <v>66.5</v>
      </c>
      <c r="AG31" s="25">
        <v>221.7</v>
      </c>
      <c r="AH31" s="32">
        <v>59</v>
      </c>
      <c r="AI31" s="32">
        <v>62.9</v>
      </c>
      <c r="AJ31" s="32">
        <v>64.5</v>
      </c>
      <c r="AK31" s="32">
        <v>76.5</v>
      </c>
      <c r="AL31" s="25">
        <v>262.89999999999998</v>
      </c>
      <c r="AM31" s="32">
        <v>86</v>
      </c>
      <c r="AN31" s="32">
        <v>83.2</v>
      </c>
      <c r="AO31" s="32">
        <v>89.4</v>
      </c>
      <c r="AP31" s="32">
        <v>92.3</v>
      </c>
      <c r="AQ31" s="25">
        <v>350.9</v>
      </c>
      <c r="AR31" s="32">
        <v>94.1</v>
      </c>
      <c r="AS31" s="32">
        <v>91.5</v>
      </c>
    </row>
    <row r="32" spans="2:45" s="2" customFormat="1" x14ac:dyDescent="0.25">
      <c r="B32" s="17" t="s">
        <v>26</v>
      </c>
      <c r="C32" s="15"/>
      <c r="D32" s="34">
        <v>0.35599999999999998</v>
      </c>
      <c r="E32" s="34">
        <v>0.32200000000000001</v>
      </c>
      <c r="F32" s="34">
        <v>0.3</v>
      </c>
      <c r="G32" s="34">
        <v>0.28999999999999998</v>
      </c>
      <c r="H32" s="35">
        <v>0.317</v>
      </c>
      <c r="I32" s="34">
        <v>0.30299999999999999</v>
      </c>
      <c r="J32" s="34">
        <v>0.32</v>
      </c>
      <c r="K32" s="34">
        <v>0.318</v>
      </c>
      <c r="L32" s="34">
        <v>0.315</v>
      </c>
      <c r="M32" s="35">
        <v>0.314</v>
      </c>
      <c r="N32" s="34">
        <v>0.30599999999999999</v>
      </c>
      <c r="O32" s="34">
        <v>0.315</v>
      </c>
      <c r="P32" s="34">
        <v>0.33</v>
      </c>
      <c r="Q32" s="34">
        <v>0.34599999999999997</v>
      </c>
      <c r="R32" s="35">
        <v>0.32600000000000001</v>
      </c>
      <c r="S32" s="34">
        <v>0.29499999999999998</v>
      </c>
      <c r="T32" s="34">
        <v>0.247</v>
      </c>
      <c r="U32" s="34">
        <v>0.317</v>
      </c>
      <c r="V32" s="34">
        <v>0.373</v>
      </c>
      <c r="W32" s="35">
        <v>0.312</v>
      </c>
      <c r="X32" s="34">
        <v>0.4</v>
      </c>
      <c r="Y32" s="34">
        <v>0.42699999999999999</v>
      </c>
      <c r="Z32" s="34">
        <v>0.377</v>
      </c>
      <c r="AA32" s="34">
        <v>0.41099999999999998</v>
      </c>
      <c r="AB32" s="35">
        <v>0.40400000000000003</v>
      </c>
      <c r="AC32" s="34">
        <v>0.42499999999999999</v>
      </c>
      <c r="AD32" s="34">
        <v>0.44500000000000001</v>
      </c>
      <c r="AE32" s="34">
        <v>0.44600000000000001</v>
      </c>
      <c r="AF32" s="34">
        <v>0.48199999999999998</v>
      </c>
      <c r="AG32" s="35">
        <v>0.45100000000000001</v>
      </c>
      <c r="AH32" s="34">
        <v>0.44500000000000001</v>
      </c>
      <c r="AI32" s="34">
        <v>0.46600000000000003</v>
      </c>
      <c r="AJ32" s="34">
        <v>0.44600000000000001</v>
      </c>
      <c r="AK32" s="34">
        <v>0.46600000000000003</v>
      </c>
      <c r="AL32" s="35">
        <v>0.45600000000000002</v>
      </c>
      <c r="AM32" s="34">
        <v>0.505</v>
      </c>
      <c r="AN32" s="34">
        <v>0.48599999999999999</v>
      </c>
      <c r="AO32" s="34">
        <v>0.48599999999999999</v>
      </c>
      <c r="AP32" s="34">
        <v>0.48799999999999999</v>
      </c>
      <c r="AQ32" s="35">
        <v>0.49099999999999999</v>
      </c>
      <c r="AR32" s="34">
        <v>0.504</v>
      </c>
      <c r="AS32" s="34">
        <v>0.48899999999999999</v>
      </c>
    </row>
    <row r="33" spans="2:45" s="2" customFormat="1" x14ac:dyDescent="0.25">
      <c r="B33" s="15"/>
      <c r="C33" s="15"/>
      <c r="D33" s="28"/>
      <c r="E33" s="28"/>
      <c r="F33" s="28"/>
      <c r="G33" s="28"/>
      <c r="H33" s="25"/>
      <c r="I33" s="28"/>
      <c r="J33" s="28"/>
      <c r="K33" s="28"/>
      <c r="L33" s="28"/>
      <c r="M33" s="25"/>
      <c r="N33" s="28"/>
      <c r="O33" s="28"/>
      <c r="P33" s="28"/>
      <c r="Q33" s="28"/>
      <c r="R33" s="25"/>
      <c r="S33" s="28"/>
      <c r="T33" s="28"/>
      <c r="U33" s="28"/>
      <c r="V33" s="28"/>
      <c r="W33" s="25"/>
      <c r="X33" s="28"/>
      <c r="Y33" s="28"/>
      <c r="Z33" s="28"/>
      <c r="AA33" s="28"/>
      <c r="AB33" s="25"/>
      <c r="AC33" s="28"/>
      <c r="AD33" s="28"/>
      <c r="AE33" s="28"/>
      <c r="AF33" s="28"/>
      <c r="AG33" s="25"/>
      <c r="AH33" s="28"/>
      <c r="AI33" s="28"/>
      <c r="AJ33" s="28"/>
      <c r="AK33" s="28"/>
      <c r="AL33" s="24"/>
      <c r="AM33" s="28"/>
      <c r="AN33" s="28"/>
      <c r="AO33" s="28"/>
      <c r="AP33" s="28"/>
      <c r="AQ33" s="24"/>
      <c r="AR33" s="28"/>
      <c r="AS33" s="28"/>
    </row>
    <row r="34" spans="2:45" s="2" customFormat="1" x14ac:dyDescent="0.25">
      <c r="B34" s="17" t="s">
        <v>59</v>
      </c>
      <c r="C34" s="15"/>
      <c r="D34" s="23">
        <v>1.7</v>
      </c>
      <c r="E34" s="23">
        <v>1.8</v>
      </c>
      <c r="F34" s="23">
        <v>1.7</v>
      </c>
      <c r="G34" s="23">
        <v>1.6</v>
      </c>
      <c r="H34" s="24">
        <v>6.8</v>
      </c>
      <c r="I34" s="23">
        <v>1.5</v>
      </c>
      <c r="J34" s="23">
        <v>1.5</v>
      </c>
      <c r="K34" s="23">
        <v>1.4</v>
      </c>
      <c r="L34" s="23">
        <v>1</v>
      </c>
      <c r="M34" s="24">
        <v>5.4</v>
      </c>
      <c r="N34" s="23">
        <v>0.6</v>
      </c>
      <c r="O34" s="23">
        <v>0.7</v>
      </c>
      <c r="P34" s="23">
        <v>1.2</v>
      </c>
      <c r="Q34" s="23">
        <v>0.8</v>
      </c>
      <c r="R34" s="24">
        <v>3.2</v>
      </c>
      <c r="S34" s="23">
        <v>0.4</v>
      </c>
      <c r="T34" s="23">
        <v>0.3</v>
      </c>
      <c r="U34" s="23">
        <v>0.4</v>
      </c>
      <c r="V34" s="23">
        <v>0.6</v>
      </c>
      <c r="W34" s="24">
        <v>1.6</v>
      </c>
      <c r="X34" s="23">
        <v>0.7</v>
      </c>
      <c r="Y34" s="23">
        <v>0.8</v>
      </c>
      <c r="Z34" s="23">
        <v>0.9</v>
      </c>
      <c r="AA34" s="23">
        <v>0.7</v>
      </c>
      <c r="AB34" s="24">
        <v>3.1</v>
      </c>
      <c r="AC34" s="23">
        <v>1.5</v>
      </c>
      <c r="AD34" s="23">
        <v>1.8</v>
      </c>
      <c r="AE34" s="23">
        <v>2.2000000000000002</v>
      </c>
      <c r="AF34" s="23">
        <v>2.5</v>
      </c>
      <c r="AG34" s="24">
        <v>8</v>
      </c>
      <c r="AH34" s="23">
        <v>2.9</v>
      </c>
      <c r="AI34" s="23">
        <v>3.6</v>
      </c>
      <c r="AJ34" s="23">
        <v>3.6</v>
      </c>
      <c r="AK34" s="23">
        <v>3.5</v>
      </c>
      <c r="AL34" s="24">
        <v>13.6</v>
      </c>
      <c r="AM34" s="23">
        <v>3.4</v>
      </c>
      <c r="AN34" s="23">
        <v>3.4</v>
      </c>
      <c r="AO34" s="23">
        <v>3.2</v>
      </c>
      <c r="AP34" s="23">
        <v>3.2</v>
      </c>
      <c r="AQ34" s="24">
        <v>13.1</v>
      </c>
      <c r="AR34" s="23">
        <v>3</v>
      </c>
      <c r="AS34" s="23">
        <v>2.7</v>
      </c>
    </row>
    <row r="35" spans="2:45" s="1" customFormat="1" x14ac:dyDescent="0.25">
      <c r="B35" s="18" t="s">
        <v>33</v>
      </c>
      <c r="C35" s="13"/>
      <c r="D35" s="32">
        <v>24.7</v>
      </c>
      <c r="E35" s="32">
        <v>23</v>
      </c>
      <c r="F35" s="32">
        <v>21.2</v>
      </c>
      <c r="G35" s="32">
        <v>21.3</v>
      </c>
      <c r="H35" s="37">
        <v>90.1</v>
      </c>
      <c r="I35" s="32">
        <v>21.6</v>
      </c>
      <c r="J35" s="32">
        <v>22.5</v>
      </c>
      <c r="K35" s="32">
        <v>21.3</v>
      </c>
      <c r="L35" s="32">
        <v>21.3</v>
      </c>
      <c r="M35" s="37">
        <v>86.7</v>
      </c>
      <c r="N35" s="32">
        <v>21.3</v>
      </c>
      <c r="O35" s="32">
        <v>21.1</v>
      </c>
      <c r="P35" s="32">
        <v>24.9</v>
      </c>
      <c r="Q35" s="32">
        <v>33.4</v>
      </c>
      <c r="R35" s="25">
        <v>101</v>
      </c>
      <c r="S35" s="32">
        <v>23.9</v>
      </c>
      <c r="T35" s="32">
        <v>16.3</v>
      </c>
      <c r="U35" s="32">
        <v>24.3</v>
      </c>
      <c r="V35" s="32">
        <v>32.299999999999997</v>
      </c>
      <c r="W35" s="25">
        <v>96.8</v>
      </c>
      <c r="X35" s="32">
        <v>37.6</v>
      </c>
      <c r="Y35" s="32">
        <v>43.5</v>
      </c>
      <c r="Z35" s="32">
        <v>38.799999999999997</v>
      </c>
      <c r="AA35" s="32">
        <v>47.6</v>
      </c>
      <c r="AB35" s="25">
        <v>167.4</v>
      </c>
      <c r="AC35" s="32">
        <v>50.8</v>
      </c>
      <c r="AD35" s="32">
        <v>54.2</v>
      </c>
      <c r="AE35" s="32">
        <v>55.8</v>
      </c>
      <c r="AF35" s="32">
        <v>69</v>
      </c>
      <c r="AG35" s="25">
        <v>229.7</v>
      </c>
      <c r="AH35" s="32">
        <v>61.9</v>
      </c>
      <c r="AI35" s="32">
        <v>66.5</v>
      </c>
      <c r="AJ35" s="32">
        <v>68.099999999999994</v>
      </c>
      <c r="AK35" s="32">
        <v>80</v>
      </c>
      <c r="AL35" s="25">
        <v>276.5</v>
      </c>
      <c r="AM35" s="32">
        <v>89.4</v>
      </c>
      <c r="AN35" s="32">
        <v>86.6</v>
      </c>
      <c r="AO35" s="32">
        <v>92.6</v>
      </c>
      <c r="AP35" s="32">
        <v>95.5</v>
      </c>
      <c r="AQ35" s="25">
        <v>364</v>
      </c>
      <c r="AR35" s="32">
        <v>97.1</v>
      </c>
      <c r="AS35" s="32">
        <v>94.2</v>
      </c>
    </row>
    <row r="36" spans="2:45" s="1" customFormat="1" x14ac:dyDescent="0.25">
      <c r="B36" s="18"/>
      <c r="C36" s="13"/>
      <c r="D36" s="28"/>
      <c r="E36" s="28"/>
      <c r="F36" s="28"/>
      <c r="G36" s="28"/>
      <c r="H36" s="37"/>
      <c r="I36" s="28"/>
      <c r="J36" s="28"/>
      <c r="K36" s="28"/>
      <c r="L36" s="28"/>
      <c r="M36" s="37"/>
      <c r="N36" s="28"/>
      <c r="O36" s="28"/>
      <c r="P36" s="28"/>
      <c r="Q36" s="28"/>
      <c r="R36" s="37"/>
      <c r="S36" s="28"/>
      <c r="T36" s="28"/>
      <c r="U36" s="28"/>
      <c r="V36" s="28"/>
      <c r="W36" s="37"/>
      <c r="X36" s="28"/>
      <c r="Y36" s="28"/>
      <c r="Z36" s="28"/>
      <c r="AA36" s="28"/>
      <c r="AB36" s="37"/>
      <c r="AC36" s="28"/>
      <c r="AD36" s="28"/>
      <c r="AE36" s="28"/>
      <c r="AF36" s="28"/>
      <c r="AG36" s="37"/>
      <c r="AH36" s="28"/>
      <c r="AI36" s="28"/>
      <c r="AJ36" s="28"/>
      <c r="AK36" s="28"/>
      <c r="AL36" s="36"/>
      <c r="AM36" s="28"/>
      <c r="AN36" s="28"/>
      <c r="AO36" s="28"/>
      <c r="AP36" s="28"/>
      <c r="AQ36" s="36"/>
      <c r="AR36" s="28"/>
      <c r="AS36" s="28"/>
    </row>
    <row r="37" spans="2:45" s="2" customFormat="1" x14ac:dyDescent="0.25">
      <c r="B37" s="17" t="s">
        <v>41</v>
      </c>
      <c r="C37" s="15"/>
      <c r="D37" s="34">
        <v>0.38200000000000001</v>
      </c>
      <c r="E37" s="34">
        <v>0.35</v>
      </c>
      <c r="F37" s="34">
        <v>0.32600000000000001</v>
      </c>
      <c r="G37" s="34">
        <v>0.313</v>
      </c>
      <c r="H37" s="35">
        <v>0.34300000000000003</v>
      </c>
      <c r="I37" s="34">
        <v>0.32500000000000001</v>
      </c>
      <c r="J37" s="34">
        <v>0.34300000000000003</v>
      </c>
      <c r="K37" s="34">
        <v>0.34</v>
      </c>
      <c r="L37" s="34">
        <v>0.33100000000000002</v>
      </c>
      <c r="M37" s="35">
        <v>0.33500000000000002</v>
      </c>
      <c r="N37" s="34">
        <v>0.314</v>
      </c>
      <c r="O37" s="34">
        <v>0.32500000000000001</v>
      </c>
      <c r="P37" s="34">
        <v>0.34699999999999998</v>
      </c>
      <c r="Q37" s="34">
        <v>0.35399999999999998</v>
      </c>
      <c r="R37" s="35">
        <v>0.33800000000000002</v>
      </c>
      <c r="S37" s="34">
        <v>0.29899999999999999</v>
      </c>
      <c r="T37" s="34">
        <v>0.251</v>
      </c>
      <c r="U37" s="34">
        <v>0.32300000000000001</v>
      </c>
      <c r="V37" s="34">
        <v>0.379</v>
      </c>
      <c r="W37" s="35">
        <v>0.317</v>
      </c>
      <c r="X37" s="34">
        <v>0.4</v>
      </c>
      <c r="Y37" s="34">
        <v>0.42699999999999999</v>
      </c>
      <c r="Z37" s="34">
        <v>0.38600000000000001</v>
      </c>
      <c r="AA37" s="34">
        <v>0.41799999999999998</v>
      </c>
      <c r="AB37" s="35">
        <v>0.41199999999999998</v>
      </c>
      <c r="AC37" s="34">
        <v>0.43793103448275861</v>
      </c>
      <c r="AD37" s="34">
        <v>0.46010186757215621</v>
      </c>
      <c r="AE37" s="34">
        <v>0.46400000000000002</v>
      </c>
      <c r="AF37" s="34">
        <v>0.501</v>
      </c>
      <c r="AG37" s="35">
        <v>0.46700000000000003</v>
      </c>
      <c r="AH37" s="34">
        <v>0.46700000000000003</v>
      </c>
      <c r="AI37" s="34">
        <v>0.49099999999999999</v>
      </c>
      <c r="AJ37" s="34">
        <v>0.47095435684647302</v>
      </c>
      <c r="AK37" s="34">
        <v>0.48699999999999999</v>
      </c>
      <c r="AL37" s="35">
        <v>0.47899999999999998</v>
      </c>
      <c r="AM37" s="34">
        <v>0.52500000000000002</v>
      </c>
      <c r="AN37" s="34">
        <v>0.50600000000000001</v>
      </c>
      <c r="AO37" s="34">
        <v>0.503</v>
      </c>
      <c r="AP37" s="34">
        <v>0.505</v>
      </c>
      <c r="AQ37" s="35">
        <v>0.51</v>
      </c>
      <c r="AR37" s="34">
        <v>0.52500000000000002</v>
      </c>
      <c r="AS37" s="34">
        <v>0.503</v>
      </c>
    </row>
    <row r="38" spans="2:45" s="2" customFormat="1" x14ac:dyDescent="0.25">
      <c r="B38" s="17" t="s">
        <v>34</v>
      </c>
      <c r="C38" s="15"/>
      <c r="D38" s="23">
        <v>6.6</v>
      </c>
      <c r="E38" s="23">
        <v>5.7</v>
      </c>
      <c r="F38" s="23">
        <v>5.6</v>
      </c>
      <c r="G38" s="23">
        <v>0.8</v>
      </c>
      <c r="H38" s="24">
        <v>18.7</v>
      </c>
      <c r="I38" s="23">
        <v>6</v>
      </c>
      <c r="J38" s="23">
        <v>6.2</v>
      </c>
      <c r="K38" s="23">
        <v>6.1</v>
      </c>
      <c r="L38" s="23">
        <v>4.5999999999999996</v>
      </c>
      <c r="M38" s="24">
        <v>22.9</v>
      </c>
      <c r="N38" s="23">
        <v>6.1</v>
      </c>
      <c r="O38" s="23">
        <v>6.1</v>
      </c>
      <c r="P38" s="23">
        <v>7.1</v>
      </c>
      <c r="Q38" s="23">
        <v>8.6999999999999993</v>
      </c>
      <c r="R38" s="24">
        <v>28.1</v>
      </c>
      <c r="S38" s="23">
        <v>6.3</v>
      </c>
      <c r="T38" s="23">
        <v>4</v>
      </c>
      <c r="U38" s="23">
        <v>6.8</v>
      </c>
      <c r="V38" s="23">
        <v>8.8000000000000007</v>
      </c>
      <c r="W38" s="24">
        <v>25.9</v>
      </c>
      <c r="X38" s="23">
        <v>10.3</v>
      </c>
      <c r="Y38" s="23">
        <v>11.9</v>
      </c>
      <c r="Z38" s="23">
        <v>10.7</v>
      </c>
      <c r="AA38" s="23">
        <v>8.1999999999999993</v>
      </c>
      <c r="AB38" s="24">
        <v>41.1</v>
      </c>
      <c r="AC38" s="23">
        <v>13.4</v>
      </c>
      <c r="AD38" s="23">
        <v>13.2</v>
      </c>
      <c r="AE38" s="23">
        <v>13.8</v>
      </c>
      <c r="AF38" s="23">
        <v>17.899999999999999</v>
      </c>
      <c r="AG38" s="24">
        <v>58.4</v>
      </c>
      <c r="AH38" s="23">
        <v>15.5</v>
      </c>
      <c r="AI38" s="23">
        <v>16.600000000000001</v>
      </c>
      <c r="AJ38" s="23">
        <v>16.3</v>
      </c>
      <c r="AK38" s="23">
        <v>23</v>
      </c>
      <c r="AL38" s="24">
        <v>71.3</v>
      </c>
      <c r="AM38" s="23">
        <v>14.8</v>
      </c>
      <c r="AN38" s="23">
        <v>17.7</v>
      </c>
      <c r="AO38" s="23">
        <v>20.5</v>
      </c>
      <c r="AP38" s="23">
        <v>20.5</v>
      </c>
      <c r="AQ38" s="24">
        <v>73.400000000000006</v>
      </c>
      <c r="AR38" s="23">
        <v>17.7</v>
      </c>
      <c r="AS38" s="23">
        <v>17.2</v>
      </c>
    </row>
    <row r="39" spans="2:45" s="2" customFormat="1" x14ac:dyDescent="0.25">
      <c r="B39" s="17" t="s">
        <v>32</v>
      </c>
      <c r="C39" s="15"/>
      <c r="D39" s="38">
        <v>0.26700000000000002</v>
      </c>
      <c r="E39" s="38">
        <v>0.25</v>
      </c>
      <c r="F39" s="38">
        <v>0.26600000000000001</v>
      </c>
      <c r="G39" s="38">
        <v>3.5999999999999997E-2</v>
      </c>
      <c r="H39" s="39">
        <v>0.20799999999999999</v>
      </c>
      <c r="I39" s="38">
        <v>0.27600000000000002</v>
      </c>
      <c r="J39" s="38">
        <v>0.27700000000000002</v>
      </c>
      <c r="K39" s="38">
        <v>0.28699999999999998</v>
      </c>
      <c r="L39" s="38">
        <v>0.216</v>
      </c>
      <c r="M39" s="39">
        <v>0.26400000000000001</v>
      </c>
      <c r="N39" s="38">
        <v>0.28699999999999998</v>
      </c>
      <c r="O39" s="38">
        <v>0.28799999999999998</v>
      </c>
      <c r="P39" s="38">
        <v>0.28699999999999998</v>
      </c>
      <c r="Q39" s="38">
        <v>0.26100000000000001</v>
      </c>
      <c r="R39" s="39">
        <v>0.28100000000000003</v>
      </c>
      <c r="S39" s="38">
        <v>0.26500000000000001</v>
      </c>
      <c r="T39" s="38">
        <v>0.247</v>
      </c>
      <c r="U39" s="38">
        <v>0.28100000000000003</v>
      </c>
      <c r="V39" s="38">
        <v>0.27200000000000002</v>
      </c>
      <c r="W39" s="39">
        <v>0.26600000000000001</v>
      </c>
      <c r="X39" s="38">
        <v>0.27400000000000002</v>
      </c>
      <c r="Y39" s="38">
        <v>0.27400000000000002</v>
      </c>
      <c r="Z39" s="38">
        <v>0.27500000000000002</v>
      </c>
      <c r="AA39" s="38">
        <v>0.17299999999999999</v>
      </c>
      <c r="AB39" s="39">
        <v>0.245</v>
      </c>
      <c r="AC39" s="38">
        <v>0.26</v>
      </c>
      <c r="AD39" s="38">
        <v>0.24</v>
      </c>
      <c r="AE39" s="38">
        <v>0.25</v>
      </c>
      <c r="AF39" s="38">
        <v>0.26</v>
      </c>
      <c r="AG39" s="39">
        <v>0.25</v>
      </c>
      <c r="AH39" s="38">
        <v>0.25</v>
      </c>
      <c r="AI39" s="38">
        <v>0.25</v>
      </c>
      <c r="AJ39" s="38">
        <v>0.23935389133627022</v>
      </c>
      <c r="AK39" s="38">
        <v>0.28999999999999998</v>
      </c>
      <c r="AL39" s="39">
        <v>0.26</v>
      </c>
      <c r="AM39" s="38">
        <v>0.17</v>
      </c>
      <c r="AN39" s="38">
        <v>0.2</v>
      </c>
      <c r="AO39" s="38">
        <v>0.22</v>
      </c>
      <c r="AP39" s="38">
        <v>0.21</v>
      </c>
      <c r="AQ39" s="39">
        <v>0.2</v>
      </c>
      <c r="AR39" s="38">
        <v>0.17</v>
      </c>
      <c r="AS39" s="38">
        <v>0.18</v>
      </c>
    </row>
    <row r="40" spans="2:45" s="2" customFormat="1" x14ac:dyDescent="0.25">
      <c r="B40" s="17" t="s">
        <v>35</v>
      </c>
      <c r="C40" s="15"/>
      <c r="D40" s="23">
        <v>18.100000000000001</v>
      </c>
      <c r="E40" s="23">
        <v>17.3</v>
      </c>
      <c r="F40" s="23">
        <v>15.6</v>
      </c>
      <c r="G40" s="23">
        <v>20.5</v>
      </c>
      <c r="H40" s="24">
        <v>71.400000000000006</v>
      </c>
      <c r="I40" s="23">
        <v>15.7</v>
      </c>
      <c r="J40" s="23">
        <v>16.2</v>
      </c>
      <c r="K40" s="23">
        <v>15.2</v>
      </c>
      <c r="L40" s="23">
        <v>16.7</v>
      </c>
      <c r="M40" s="36">
        <v>63.8</v>
      </c>
      <c r="N40" s="23">
        <v>15.2</v>
      </c>
      <c r="O40" s="23">
        <v>15.1</v>
      </c>
      <c r="P40" s="23">
        <v>17.7</v>
      </c>
      <c r="Q40" s="23">
        <v>24.7</v>
      </c>
      <c r="R40" s="24">
        <v>72.7</v>
      </c>
      <c r="S40" s="23">
        <v>17.600000000000001</v>
      </c>
      <c r="T40" s="23">
        <v>12.3</v>
      </c>
      <c r="U40" s="23">
        <v>17.5</v>
      </c>
      <c r="V40" s="23">
        <v>23.5</v>
      </c>
      <c r="W40" s="24">
        <v>70.8</v>
      </c>
      <c r="X40" s="23">
        <v>27.3</v>
      </c>
      <c r="Y40" s="23">
        <v>31.6</v>
      </c>
      <c r="Z40" s="23">
        <v>28.1</v>
      </c>
      <c r="AA40" s="23">
        <v>39.299999999999997</v>
      </c>
      <c r="AB40" s="40">
        <v>126.3</v>
      </c>
      <c r="AC40" s="23">
        <v>37.299999999999997</v>
      </c>
      <c r="AD40" s="23">
        <v>40.9</v>
      </c>
      <c r="AE40" s="23">
        <v>41.9</v>
      </c>
      <c r="AF40" s="23">
        <v>51.1</v>
      </c>
      <c r="AG40" s="40">
        <v>171.2</v>
      </c>
      <c r="AH40" s="23">
        <v>46.4</v>
      </c>
      <c r="AI40" s="23">
        <v>49.9</v>
      </c>
      <c r="AJ40" s="23">
        <v>51.8</v>
      </c>
      <c r="AK40" s="23">
        <v>57</v>
      </c>
      <c r="AL40" s="40">
        <v>205.2</v>
      </c>
      <c r="AM40" s="23">
        <v>74.599999999999994</v>
      </c>
      <c r="AN40" s="23">
        <v>68.900000000000006</v>
      </c>
      <c r="AO40" s="23">
        <v>72.2</v>
      </c>
      <c r="AP40" s="23">
        <v>75</v>
      </c>
      <c r="AQ40" s="40">
        <v>290.60000000000002</v>
      </c>
      <c r="AR40" s="23">
        <v>79.400000000000006</v>
      </c>
      <c r="AS40" s="23">
        <v>77</v>
      </c>
    </row>
    <row r="41" spans="2:45" s="2" customFormat="1" x14ac:dyDescent="0.25">
      <c r="B41" s="15"/>
      <c r="C41" s="15"/>
      <c r="D41" s="28"/>
      <c r="E41" s="28"/>
      <c r="F41" s="28"/>
      <c r="G41" s="28"/>
      <c r="H41" s="24"/>
      <c r="I41" s="28"/>
      <c r="J41" s="28"/>
      <c r="K41" s="28"/>
      <c r="L41" s="28"/>
      <c r="M41" s="24"/>
      <c r="N41" s="28"/>
      <c r="O41" s="28"/>
      <c r="P41" s="28"/>
      <c r="Q41" s="28"/>
      <c r="R41" s="24"/>
      <c r="S41" s="28"/>
      <c r="T41" s="28"/>
      <c r="U41" s="28"/>
      <c r="V41" s="28"/>
      <c r="W41" s="24"/>
      <c r="X41" s="28"/>
      <c r="Y41" s="28"/>
      <c r="Z41" s="28"/>
      <c r="AA41" s="28"/>
      <c r="AB41" s="24"/>
      <c r="AC41" s="28"/>
      <c r="AD41" s="28"/>
      <c r="AE41" s="28"/>
      <c r="AF41" s="28"/>
      <c r="AG41" s="24"/>
      <c r="AH41" s="28"/>
      <c r="AI41" s="28"/>
      <c r="AJ41" s="28"/>
      <c r="AK41" s="28"/>
      <c r="AL41" s="24"/>
      <c r="AM41" s="28"/>
      <c r="AN41" s="28"/>
      <c r="AO41" s="28"/>
      <c r="AP41" s="28"/>
      <c r="AQ41" s="24"/>
      <c r="AR41" s="28"/>
      <c r="AS41" s="28"/>
    </row>
    <row r="42" spans="2:45" s="2" customFormat="1" x14ac:dyDescent="0.25">
      <c r="B42" s="19" t="s">
        <v>36</v>
      </c>
      <c r="C42" s="41"/>
      <c r="D42" s="42">
        <v>1.27</v>
      </c>
      <c r="E42" s="42">
        <v>1.22</v>
      </c>
      <c r="F42" s="42">
        <v>1.1200000000000001</v>
      </c>
      <c r="G42" s="42">
        <v>1.49</v>
      </c>
      <c r="H42" s="43">
        <v>5.08</v>
      </c>
      <c r="I42" s="42">
        <v>1.1399999999999999</v>
      </c>
      <c r="J42" s="42">
        <v>1.18</v>
      </c>
      <c r="K42" s="42">
        <v>1.1200000000000001</v>
      </c>
      <c r="L42" s="42">
        <v>1.25</v>
      </c>
      <c r="M42" s="43">
        <v>4.67</v>
      </c>
      <c r="N42" s="42">
        <v>1.17</v>
      </c>
      <c r="O42" s="42">
        <v>1.17</v>
      </c>
      <c r="P42" s="42">
        <v>1.38</v>
      </c>
      <c r="Q42" s="42">
        <v>1.93</v>
      </c>
      <c r="R42" s="43">
        <v>5.63</v>
      </c>
      <c r="S42" s="42">
        <v>1.38</v>
      </c>
      <c r="T42" s="42">
        <v>0.95</v>
      </c>
      <c r="U42" s="42">
        <v>1.34</v>
      </c>
      <c r="V42" s="42">
        <v>1.79</v>
      </c>
      <c r="W42" s="43">
        <v>5.45</v>
      </c>
      <c r="X42" s="42">
        <v>2.04</v>
      </c>
      <c r="Y42" s="42">
        <v>2.34</v>
      </c>
      <c r="Z42" s="42">
        <v>2.08</v>
      </c>
      <c r="AA42" s="42">
        <v>2.9</v>
      </c>
      <c r="AB42" s="43">
        <v>9.34</v>
      </c>
      <c r="AC42" s="42">
        <v>2.73</v>
      </c>
      <c r="AD42" s="42">
        <v>2.98</v>
      </c>
      <c r="AE42" s="42">
        <v>3.05</v>
      </c>
      <c r="AF42" s="42">
        <v>3.71</v>
      </c>
      <c r="AG42" s="43">
        <v>12.45</v>
      </c>
      <c r="AH42" s="42">
        <v>3.36</v>
      </c>
      <c r="AI42" s="42">
        <v>3.58</v>
      </c>
      <c r="AJ42" s="42">
        <v>3.71</v>
      </c>
      <c r="AK42" s="42">
        <v>4.08</v>
      </c>
      <c r="AL42" s="43">
        <v>14.7</v>
      </c>
      <c r="AM42" s="42">
        <v>5.31</v>
      </c>
      <c r="AN42" s="42">
        <v>4.8899999999999997</v>
      </c>
      <c r="AO42" s="42">
        <v>5.1100000000000003</v>
      </c>
      <c r="AP42" s="42">
        <v>5.31</v>
      </c>
      <c r="AQ42" s="43">
        <v>20.59</v>
      </c>
      <c r="AR42" s="42">
        <v>5.6</v>
      </c>
      <c r="AS42" s="42">
        <v>5.43</v>
      </c>
    </row>
    <row r="43" spans="2:45" s="2" customFormat="1" x14ac:dyDescent="0.25">
      <c r="B43" s="17" t="s">
        <v>37</v>
      </c>
      <c r="C43" s="15"/>
      <c r="D43" s="44">
        <v>1420</v>
      </c>
      <c r="E43" s="44">
        <v>1413</v>
      </c>
      <c r="F43" s="44">
        <v>1396</v>
      </c>
      <c r="G43" s="44">
        <v>1381</v>
      </c>
      <c r="H43" s="45">
        <v>1405</v>
      </c>
      <c r="I43" s="44">
        <v>1377.58</v>
      </c>
      <c r="J43" s="44">
        <v>1374</v>
      </c>
      <c r="K43" s="44">
        <v>1363</v>
      </c>
      <c r="L43" s="44">
        <v>1335</v>
      </c>
      <c r="M43" s="45">
        <v>1366</v>
      </c>
      <c r="N43" s="44">
        <v>1301.123</v>
      </c>
      <c r="O43" s="44">
        <v>1290.856</v>
      </c>
      <c r="P43" s="44">
        <v>1285.059</v>
      </c>
      <c r="Q43" s="44">
        <v>1279.509</v>
      </c>
      <c r="R43" s="45">
        <v>1291</v>
      </c>
      <c r="S43" s="44">
        <v>1277.702</v>
      </c>
      <c r="T43" s="44">
        <v>1290.3520000000001</v>
      </c>
      <c r="U43" s="44">
        <v>1301.1020000000001</v>
      </c>
      <c r="V43" s="44">
        <v>1316.4390000000001</v>
      </c>
      <c r="W43" s="45">
        <v>1301</v>
      </c>
      <c r="X43" s="44">
        <v>1334.9179999999999</v>
      </c>
      <c r="Y43" s="44">
        <v>1347.999</v>
      </c>
      <c r="Z43" s="44">
        <v>1355</v>
      </c>
      <c r="AA43" s="44">
        <v>1358</v>
      </c>
      <c r="AB43" s="45">
        <v>1352</v>
      </c>
      <c r="AC43" s="44">
        <v>1368</v>
      </c>
      <c r="AD43" s="44">
        <v>1375</v>
      </c>
      <c r="AE43" s="44">
        <v>1376</v>
      </c>
      <c r="AF43" s="44">
        <v>1378</v>
      </c>
      <c r="AG43" s="45">
        <v>1376</v>
      </c>
      <c r="AH43" s="44">
        <v>1381</v>
      </c>
      <c r="AI43" s="44">
        <v>1394</v>
      </c>
      <c r="AJ43" s="44">
        <v>1395.9</v>
      </c>
      <c r="AK43" s="44">
        <v>1399</v>
      </c>
      <c r="AL43" s="45">
        <v>1396</v>
      </c>
      <c r="AM43" s="44">
        <v>1405</v>
      </c>
      <c r="AN43" s="44">
        <v>1410</v>
      </c>
      <c r="AO43" s="44">
        <v>1411</v>
      </c>
      <c r="AP43" s="44">
        <v>1414</v>
      </c>
      <c r="AQ43" s="45">
        <v>1412</v>
      </c>
      <c r="AR43" s="44">
        <v>1416.7</v>
      </c>
      <c r="AS43" s="44">
        <v>1418</v>
      </c>
    </row>
    <row r="44" spans="2:45" s="2" customFormat="1" x14ac:dyDescent="0.25">
      <c r="B44" s="15"/>
      <c r="C44" s="15"/>
      <c r="D44" s="23"/>
      <c r="E44" s="23"/>
      <c r="F44" s="23"/>
      <c r="G44" s="23"/>
      <c r="H44" s="24"/>
      <c r="I44" s="23"/>
      <c r="J44" s="23"/>
      <c r="K44" s="23"/>
      <c r="L44" s="23"/>
      <c r="M44" s="24"/>
      <c r="N44" s="23"/>
      <c r="O44" s="23"/>
      <c r="P44" s="23"/>
      <c r="Q44" s="23"/>
      <c r="R44" s="24"/>
      <c r="S44" s="23"/>
      <c r="T44" s="23"/>
      <c r="U44" s="23"/>
      <c r="V44" s="23"/>
      <c r="W44" s="24"/>
      <c r="X44" s="23"/>
      <c r="Y44" s="23"/>
      <c r="Z44" s="23"/>
      <c r="AA44" s="23"/>
      <c r="AB44" s="46"/>
      <c r="AC44" s="23"/>
      <c r="AD44" s="23"/>
      <c r="AE44" s="23"/>
      <c r="AF44" s="23"/>
      <c r="AG44" s="46"/>
      <c r="AH44" s="23"/>
      <c r="AI44" s="23"/>
      <c r="AJ44" s="23"/>
      <c r="AK44" s="23"/>
      <c r="AL44" s="46"/>
      <c r="AM44" s="23"/>
      <c r="AN44" s="23"/>
      <c r="AO44" s="23"/>
      <c r="AP44" s="23"/>
      <c r="AQ44" s="46"/>
      <c r="AR44" s="23"/>
      <c r="AS44" s="23"/>
    </row>
    <row r="45" spans="2:45" s="6" customFormat="1" x14ac:dyDescent="0.25">
      <c r="B45" s="21" t="s">
        <v>43</v>
      </c>
      <c r="C45" s="47"/>
      <c r="D45" s="23">
        <v>0</v>
      </c>
      <c r="E45" s="23">
        <v>0</v>
      </c>
      <c r="F45" s="23">
        <v>0</v>
      </c>
      <c r="G45" s="23">
        <v>0</v>
      </c>
      <c r="H45" s="24">
        <v>50.3</v>
      </c>
      <c r="I45" s="23">
        <v>0</v>
      </c>
      <c r="J45" s="23">
        <v>0</v>
      </c>
      <c r="K45" s="23">
        <v>0</v>
      </c>
      <c r="L45" s="23">
        <v>0</v>
      </c>
      <c r="M45" s="24">
        <v>57.1</v>
      </c>
      <c r="N45" s="23">
        <v>0</v>
      </c>
      <c r="O45" s="23">
        <v>0</v>
      </c>
      <c r="P45" s="23">
        <v>0</v>
      </c>
      <c r="Q45" s="23">
        <v>0</v>
      </c>
      <c r="R45" s="24">
        <v>91.2</v>
      </c>
      <c r="S45" s="23">
        <v>0</v>
      </c>
      <c r="T45" s="23">
        <v>0</v>
      </c>
      <c r="U45" s="23">
        <v>0</v>
      </c>
      <c r="V45" s="23">
        <v>0</v>
      </c>
      <c r="W45" s="24">
        <v>86.102999999999994</v>
      </c>
      <c r="X45" s="23"/>
      <c r="Y45" s="23">
        <v>0</v>
      </c>
      <c r="Z45" s="23"/>
      <c r="AA45" s="23"/>
      <c r="AB45" s="40">
        <v>179.9</v>
      </c>
      <c r="AC45" s="23"/>
      <c r="AD45" s="23"/>
      <c r="AE45" s="23"/>
      <c r="AF45" s="23"/>
      <c r="AG45" s="40">
        <v>203.7</v>
      </c>
      <c r="AH45" s="23"/>
      <c r="AI45" s="23"/>
      <c r="AJ45" s="23"/>
      <c r="AK45" s="23"/>
      <c r="AL45" s="40">
        <v>267.3</v>
      </c>
      <c r="AM45" s="23">
        <v>58.7</v>
      </c>
      <c r="AN45" s="23">
        <v>96.3</v>
      </c>
      <c r="AO45" s="23">
        <v>110.5</v>
      </c>
      <c r="AP45" s="23">
        <v>77.900000000000006</v>
      </c>
      <c r="AQ45" s="40">
        <v>344.5</v>
      </c>
      <c r="AR45" s="23">
        <v>40.1</v>
      </c>
      <c r="AS45" s="23">
        <v>86.7</v>
      </c>
    </row>
    <row r="46" spans="2:45" s="6" customFormat="1" x14ac:dyDescent="0.25">
      <c r="B46" s="21" t="s">
        <v>39</v>
      </c>
      <c r="C46" s="47"/>
      <c r="D46" s="23">
        <v>182.3</v>
      </c>
      <c r="E46" s="23">
        <v>148.80000000000001</v>
      </c>
      <c r="F46" s="23">
        <v>147.4</v>
      </c>
      <c r="G46" s="23">
        <v>128.5</v>
      </c>
      <c r="H46" s="24">
        <v>128.5</v>
      </c>
      <c r="I46" s="23">
        <v>126.78100000000001</v>
      </c>
      <c r="J46" s="23">
        <v>108.938</v>
      </c>
      <c r="K46" s="23">
        <v>99.284000000000006</v>
      </c>
      <c r="L46" s="23">
        <v>51.3</v>
      </c>
      <c r="M46" s="24">
        <v>51.3</v>
      </c>
      <c r="N46" s="23">
        <v>55.226999999999997</v>
      </c>
      <c r="O46" s="23">
        <v>50.643999999999998</v>
      </c>
      <c r="P46" s="23">
        <v>66.019000000000005</v>
      </c>
      <c r="Q46" s="23">
        <v>78.789000000000001</v>
      </c>
      <c r="R46" s="24">
        <v>78.789000000000001</v>
      </c>
      <c r="S46" s="23">
        <v>91.344999999999999</v>
      </c>
      <c r="T46" s="23">
        <v>88.215999999999994</v>
      </c>
      <c r="U46" s="23">
        <v>121.68899999999999</v>
      </c>
      <c r="V46" s="23">
        <v>141.80799999999999</v>
      </c>
      <c r="W46" s="24">
        <v>141.80799999999999</v>
      </c>
      <c r="X46" s="23">
        <v>195.95</v>
      </c>
      <c r="Y46" s="23">
        <v>202.25700000000001</v>
      </c>
      <c r="Z46" s="23">
        <v>251.9</v>
      </c>
      <c r="AA46" s="23">
        <v>275.10000000000002</v>
      </c>
      <c r="AB46" s="40">
        <v>275.10000000000002</v>
      </c>
      <c r="AC46" s="23">
        <v>344.3</v>
      </c>
      <c r="AD46" s="23">
        <v>353.8</v>
      </c>
      <c r="AE46" s="23">
        <v>397.2</v>
      </c>
      <c r="AF46" s="23">
        <v>424</v>
      </c>
      <c r="AG46" s="40">
        <v>424</v>
      </c>
      <c r="AH46" s="23">
        <v>469.2</v>
      </c>
      <c r="AI46" s="23">
        <v>495.9</v>
      </c>
      <c r="AJ46" s="23">
        <v>477.9</v>
      </c>
      <c r="AK46" s="23">
        <v>520.20000000000005</v>
      </c>
      <c r="AL46" s="40">
        <v>520.20000000000005</v>
      </c>
      <c r="AM46" s="23">
        <v>562.4</v>
      </c>
      <c r="AN46" s="23">
        <v>613.1</v>
      </c>
      <c r="AO46" s="23">
        <v>670.5</v>
      </c>
      <c r="AP46" s="23">
        <v>706.3</v>
      </c>
      <c r="AQ46" s="40">
        <v>706.3</v>
      </c>
      <c r="AR46" s="23">
        <v>735.6</v>
      </c>
      <c r="AS46" s="23">
        <v>746.4</v>
      </c>
    </row>
    <row r="47" spans="2:45" s="6" customFormat="1" x14ac:dyDescent="0.25">
      <c r="B47" s="21" t="s">
        <v>44</v>
      </c>
      <c r="C47" s="47"/>
      <c r="D47" s="28">
        <v>0</v>
      </c>
      <c r="E47" s="28">
        <v>0</v>
      </c>
      <c r="F47" s="28">
        <v>0</v>
      </c>
      <c r="G47" s="28">
        <v>0</v>
      </c>
      <c r="H47" s="24">
        <v>1</v>
      </c>
      <c r="I47" s="28">
        <v>0</v>
      </c>
      <c r="J47" s="28">
        <v>0</v>
      </c>
      <c r="K47" s="28">
        <v>0</v>
      </c>
      <c r="L47" s="28">
        <v>0</v>
      </c>
      <c r="M47" s="24">
        <v>2</v>
      </c>
      <c r="N47" s="28">
        <v>0</v>
      </c>
      <c r="O47" s="28">
        <v>0</v>
      </c>
      <c r="P47" s="28">
        <v>0</v>
      </c>
      <c r="Q47" s="28">
        <v>0</v>
      </c>
      <c r="R47" s="24">
        <v>2.2000000000000002</v>
      </c>
      <c r="S47" s="28">
        <v>0</v>
      </c>
      <c r="T47" s="28">
        <v>0</v>
      </c>
      <c r="U47" s="28">
        <v>0</v>
      </c>
      <c r="V47" s="28">
        <v>0</v>
      </c>
      <c r="W47" s="24">
        <v>2.42</v>
      </c>
      <c r="X47" s="28">
        <v>0</v>
      </c>
      <c r="Y47" s="28">
        <v>0</v>
      </c>
      <c r="Z47" s="28"/>
      <c r="AA47" s="28"/>
      <c r="AB47" s="24">
        <v>2.9</v>
      </c>
      <c r="AC47" s="28"/>
      <c r="AD47" s="28"/>
      <c r="AE47" s="28"/>
      <c r="AF47" s="28"/>
      <c r="AG47" s="24">
        <v>3.5</v>
      </c>
      <c r="AH47" s="28"/>
      <c r="AI47" s="28"/>
      <c r="AJ47" s="28"/>
      <c r="AK47" s="28"/>
      <c r="AL47" s="24">
        <v>4.5</v>
      </c>
      <c r="AM47" s="28"/>
      <c r="AN47" s="28"/>
      <c r="AO47" s="28"/>
      <c r="AP47" s="28"/>
      <c r="AQ47" s="24">
        <v>5.7</v>
      </c>
      <c r="AR47" s="28"/>
      <c r="AS47" s="28"/>
    </row>
    <row r="48" spans="2:45" s="6" customFormat="1" x14ac:dyDescent="0.25">
      <c r="B48" s="21"/>
      <c r="C48" s="47"/>
      <c r="D48" s="28"/>
      <c r="E48" s="28"/>
      <c r="F48" s="28"/>
      <c r="G48" s="28"/>
      <c r="H48" s="24"/>
      <c r="I48" s="28"/>
      <c r="J48" s="28"/>
      <c r="K48" s="28"/>
      <c r="L48" s="28"/>
      <c r="M48" s="24"/>
      <c r="N48" s="28"/>
      <c r="O48" s="28"/>
      <c r="P48" s="28"/>
      <c r="Q48" s="28"/>
      <c r="R48" s="24"/>
      <c r="S48" s="28"/>
      <c r="T48" s="28"/>
      <c r="U48" s="28"/>
      <c r="V48" s="28"/>
      <c r="W48" s="24"/>
      <c r="X48" s="28"/>
      <c r="Y48" s="28"/>
      <c r="Z48" s="28"/>
      <c r="AA48" s="28"/>
      <c r="AB48" s="24"/>
      <c r="AC48" s="28"/>
      <c r="AD48" s="28"/>
      <c r="AE48" s="28"/>
      <c r="AF48" s="28"/>
      <c r="AG48" s="24"/>
      <c r="AH48" s="28"/>
      <c r="AI48" s="28"/>
      <c r="AJ48" s="28"/>
      <c r="AK48" s="28"/>
      <c r="AL48" s="24"/>
      <c r="AM48" s="28"/>
      <c r="AN48" s="28"/>
      <c r="AO48" s="28"/>
      <c r="AP48" s="28"/>
      <c r="AQ48" s="24"/>
      <c r="AR48" s="28"/>
      <c r="AS48" s="28"/>
    </row>
    <row r="49" spans="2:45" s="3" customFormat="1" x14ac:dyDescent="0.25">
      <c r="B49" s="55" t="s">
        <v>88</v>
      </c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</row>
    <row r="50" spans="2:45" s="6" customFormat="1" x14ac:dyDescent="0.25">
      <c r="B50" s="56"/>
      <c r="C50" s="57"/>
      <c r="D50" s="58"/>
      <c r="E50" s="58"/>
      <c r="F50" s="58"/>
      <c r="G50" s="58"/>
      <c r="H50" s="36"/>
      <c r="I50" s="58"/>
      <c r="J50" s="58"/>
      <c r="K50" s="58"/>
      <c r="L50" s="58"/>
      <c r="M50" s="36"/>
      <c r="N50" s="58"/>
      <c r="O50" s="58"/>
      <c r="P50" s="58"/>
      <c r="Q50" s="58"/>
      <c r="R50" s="36"/>
      <c r="S50" s="58"/>
      <c r="T50" s="58"/>
      <c r="U50" s="58"/>
      <c r="V50" s="58"/>
      <c r="W50" s="36"/>
      <c r="X50" s="58"/>
      <c r="Y50" s="58"/>
      <c r="Z50" s="58"/>
      <c r="AA50" s="58"/>
      <c r="AB50" s="36"/>
      <c r="AC50" s="58"/>
      <c r="AD50" s="58"/>
      <c r="AE50" s="58"/>
      <c r="AF50" s="58"/>
      <c r="AG50" s="36"/>
      <c r="AH50" s="58"/>
      <c r="AI50" s="58"/>
      <c r="AJ50" s="58"/>
      <c r="AK50" s="58"/>
      <c r="AL50" s="36"/>
      <c r="AM50" s="58"/>
      <c r="AN50" s="58"/>
      <c r="AO50" s="58"/>
      <c r="AP50" s="58"/>
      <c r="AQ50" s="36"/>
      <c r="AR50" s="58"/>
      <c r="AS50" s="58"/>
    </row>
    <row r="51" spans="2:45" s="5" customFormat="1" x14ac:dyDescent="0.25">
      <c r="B51" s="20" t="s">
        <v>46</v>
      </c>
      <c r="C51" s="29"/>
      <c r="D51" s="23">
        <v>0.6</v>
      </c>
      <c r="E51" s="23">
        <v>0.6</v>
      </c>
      <c r="F51" s="23">
        <v>0.6</v>
      </c>
      <c r="G51" s="23">
        <v>0.7</v>
      </c>
      <c r="H51" s="24">
        <v>2.5</v>
      </c>
      <c r="I51" s="23">
        <v>0.7</v>
      </c>
      <c r="J51" s="23">
        <v>0.7</v>
      </c>
      <c r="K51" s="23">
        <v>0.7</v>
      </c>
      <c r="L51" s="23">
        <v>0.8</v>
      </c>
      <c r="M51" s="24">
        <v>2.9</v>
      </c>
      <c r="N51" s="23">
        <v>0.9</v>
      </c>
      <c r="O51" s="23">
        <v>0.9</v>
      </c>
      <c r="P51" s="23">
        <v>1</v>
      </c>
      <c r="Q51" s="23">
        <v>1.2</v>
      </c>
      <c r="R51" s="24">
        <v>4</v>
      </c>
      <c r="S51" s="23">
        <v>0.8</v>
      </c>
      <c r="T51" s="23">
        <v>0.7</v>
      </c>
      <c r="U51" s="23">
        <v>1</v>
      </c>
      <c r="V51" s="23">
        <v>1.3</v>
      </c>
      <c r="W51" s="24">
        <v>3.9</v>
      </c>
      <c r="X51" s="23">
        <v>1.4</v>
      </c>
      <c r="Y51" s="23">
        <v>1.4</v>
      </c>
      <c r="Z51" s="23">
        <v>1.5</v>
      </c>
      <c r="AA51" s="23">
        <v>1.8</v>
      </c>
      <c r="AB51" s="24">
        <v>6.1</v>
      </c>
      <c r="AC51" s="23">
        <v>1.85</v>
      </c>
      <c r="AD51" s="23">
        <v>1.9</v>
      </c>
      <c r="AE51" s="23">
        <v>1.9</v>
      </c>
      <c r="AF51" s="23">
        <v>2.2000000000000002</v>
      </c>
      <c r="AG51" s="24">
        <v>7.9</v>
      </c>
      <c r="AH51" s="23">
        <v>1.9</v>
      </c>
      <c r="AI51" s="23">
        <v>2</v>
      </c>
      <c r="AJ51" s="23">
        <v>2.2000000000000002</v>
      </c>
      <c r="AK51" s="23">
        <v>2.5</v>
      </c>
      <c r="AL51" s="24">
        <v>8.6999999999999993</v>
      </c>
      <c r="AM51" s="23">
        <v>2.6</v>
      </c>
      <c r="AN51" s="23">
        <v>2.4</v>
      </c>
      <c r="AO51" s="23">
        <v>2.5</v>
      </c>
      <c r="AP51" s="23">
        <v>2.9</v>
      </c>
      <c r="AQ51" s="24">
        <v>10.4</v>
      </c>
      <c r="AR51" s="23">
        <v>2.9</v>
      </c>
      <c r="AS51" s="23">
        <v>2.7</v>
      </c>
    </row>
    <row r="52" spans="2:45" s="5" customFormat="1" x14ac:dyDescent="0.25">
      <c r="B52" s="48" t="s">
        <v>76</v>
      </c>
      <c r="C52" s="29"/>
      <c r="D52" s="23"/>
      <c r="E52" s="23"/>
      <c r="F52" s="23"/>
      <c r="G52" s="23"/>
      <c r="H52" s="24"/>
      <c r="I52" s="23"/>
      <c r="J52" s="23"/>
      <c r="K52" s="23"/>
      <c r="L52" s="23"/>
      <c r="M52" s="24"/>
      <c r="N52" s="23"/>
      <c r="O52" s="23"/>
      <c r="P52" s="23"/>
      <c r="Q52" s="23"/>
      <c r="R52" s="24"/>
      <c r="S52" s="23"/>
      <c r="T52" s="23"/>
      <c r="U52" s="23"/>
      <c r="V52" s="23"/>
      <c r="W52" s="24"/>
      <c r="X52" s="23"/>
      <c r="Y52" s="23"/>
      <c r="Z52" s="23"/>
      <c r="AA52" s="23"/>
      <c r="AB52" s="24"/>
      <c r="AC52" s="23"/>
      <c r="AD52" s="23"/>
      <c r="AE52" s="23"/>
      <c r="AF52" s="23"/>
      <c r="AH52" s="23"/>
      <c r="AI52" s="23"/>
      <c r="AJ52" s="23"/>
      <c r="AR52" s="54"/>
      <c r="AS52" s="54"/>
    </row>
    <row r="53" spans="2:45" s="5" customFormat="1" x14ac:dyDescent="0.25">
      <c r="B53" s="20" t="s">
        <v>80</v>
      </c>
      <c r="C53" s="29"/>
      <c r="D53" s="52">
        <v>0.64622491572734375</v>
      </c>
      <c r="E53" s="52">
        <v>0.63114854005014276</v>
      </c>
      <c r="F53" s="52">
        <v>0.62319053860323181</v>
      </c>
      <c r="G53" s="52">
        <v>0.58679645090530841</v>
      </c>
      <c r="H53" s="52">
        <v>0.61997170492853182</v>
      </c>
      <c r="I53" s="52">
        <v>0.62830618572966257</v>
      </c>
      <c r="J53" s="52">
        <v>0.59075316673419864</v>
      </c>
      <c r="K53" s="52">
        <v>0.55078366843366289</v>
      </c>
      <c r="L53" s="52">
        <v>0.56589825068947452</v>
      </c>
      <c r="M53" s="52">
        <v>0.58340891064762268</v>
      </c>
      <c r="N53" s="52">
        <v>0.56707843864695862</v>
      </c>
      <c r="O53" s="52">
        <v>0.55350862074118101</v>
      </c>
      <c r="P53" s="52">
        <v>0.52940914992532973</v>
      </c>
      <c r="Q53" s="52">
        <v>0.56051728146391722</v>
      </c>
      <c r="R53" s="52">
        <v>0.5525664762229473</v>
      </c>
      <c r="S53" s="38">
        <v>0.55000000000000004</v>
      </c>
      <c r="T53" s="38">
        <v>0.53</v>
      </c>
      <c r="U53" s="38">
        <v>0.54</v>
      </c>
      <c r="V53" s="38">
        <v>0.56999999999999995</v>
      </c>
      <c r="W53" s="39">
        <f t="shared" ref="W53:W58" si="0">((S53*S$51)+(T53*T$51)+(U53*U$51)+(V53*V$51))/SUM(S$51:V$51)</f>
        <v>0.55052631578947375</v>
      </c>
      <c r="X53" s="38">
        <v>0.53</v>
      </c>
      <c r="Y53" s="38">
        <v>0.53</v>
      </c>
      <c r="Z53" s="38">
        <v>0.49</v>
      </c>
      <c r="AA53" s="38">
        <v>0.44</v>
      </c>
      <c r="AB53" s="39">
        <f t="shared" ref="AB53:AB58" si="1">((X53*X$51)+(Y53*Y$51)+(Z53*Z$51)+(AA53*AA$51))/SUM(X$51:AA$51)</f>
        <v>0.49360655737704923</v>
      </c>
      <c r="AC53" s="39">
        <v>0.44</v>
      </c>
      <c r="AD53" s="39">
        <v>0.45</v>
      </c>
      <c r="AE53" s="39">
        <v>0.45</v>
      </c>
      <c r="AF53" s="39">
        <v>0.44</v>
      </c>
      <c r="AG53" s="39">
        <f t="shared" ref="AG53:AG58" si="2">((AC53*AC$51)+(AD53*AD$51)+(AE53*AE$51)+(AF53*AF$51))/SUM(AC$51:AF$51)</f>
        <v>0.44484076433121017</v>
      </c>
      <c r="AH53" s="38">
        <v>0.38</v>
      </c>
      <c r="AI53" s="38">
        <v>0.38</v>
      </c>
      <c r="AJ53" s="38">
        <v>0.37</v>
      </c>
      <c r="AK53" s="38">
        <v>0.33</v>
      </c>
      <c r="AL53" s="49">
        <f>((AH53*AH$51)+(AI53*AI$51)+(AJ53*AJ$51)+(AK53*AK$51))/SUM(AH$51:AK$51)</f>
        <v>0.36290697674418609</v>
      </c>
      <c r="AM53" s="38">
        <v>0.28999999999999998</v>
      </c>
      <c r="AN53" s="38">
        <v>0.26</v>
      </c>
      <c r="AO53" s="38">
        <v>0.27</v>
      </c>
      <c r="AP53" s="38">
        <v>0.28000000000000003</v>
      </c>
      <c r="AQ53" s="39">
        <f t="shared" ref="AQ53:AQ58" si="3">((AM53*AM$51)+(AN53*AN$51)+(AO53*AO$51)+(AP53*AP$51))/SUM(AM$51:AP$51)</f>
        <v>0.27548076923076925</v>
      </c>
      <c r="AR53" s="38">
        <v>0.25</v>
      </c>
      <c r="AS53" s="38">
        <v>0.26</v>
      </c>
    </row>
    <row r="54" spans="2:45" s="5" customFormat="1" x14ac:dyDescent="0.25">
      <c r="B54" s="20" t="s">
        <v>81</v>
      </c>
      <c r="C54" s="29"/>
      <c r="D54" s="52">
        <v>0.35050012746038267</v>
      </c>
      <c r="E54" s="52">
        <v>0.36235472924960183</v>
      </c>
      <c r="F54" s="52">
        <v>0.36859026988291338</v>
      </c>
      <c r="G54" s="52">
        <v>0.40661554943073602</v>
      </c>
      <c r="H54" s="52">
        <v>0.37382158071419552</v>
      </c>
      <c r="I54" s="52">
        <v>0.35968476747290201</v>
      </c>
      <c r="J54" s="52">
        <v>0.39538662497689669</v>
      </c>
      <c r="K54" s="52">
        <v>0.43168849369870083</v>
      </c>
      <c r="L54" s="52">
        <v>0.41409086196280337</v>
      </c>
      <c r="M54" s="52">
        <v>0.40055153815953592</v>
      </c>
      <c r="N54" s="52">
        <v>0.39905624491690045</v>
      </c>
      <c r="O54" s="52">
        <v>0.42542758230933936</v>
      </c>
      <c r="P54" s="52">
        <v>0.43765917793985037</v>
      </c>
      <c r="Q54" s="52">
        <v>0.38790878984389948</v>
      </c>
      <c r="R54" s="52">
        <v>0.41139887273649317</v>
      </c>
      <c r="S54" s="38">
        <v>0.39</v>
      </c>
      <c r="T54" s="38">
        <v>0.41</v>
      </c>
      <c r="U54" s="38">
        <v>0.4</v>
      </c>
      <c r="V54" s="38">
        <v>0.36</v>
      </c>
      <c r="W54" s="39">
        <f t="shared" si="0"/>
        <v>0.38605263157894742</v>
      </c>
      <c r="X54" s="38">
        <v>0.36</v>
      </c>
      <c r="Y54" s="38">
        <v>0.36</v>
      </c>
      <c r="Z54" s="38">
        <v>0.33</v>
      </c>
      <c r="AA54" s="38">
        <v>0.31</v>
      </c>
      <c r="AB54" s="39">
        <f t="shared" si="1"/>
        <v>0.33786885245901638</v>
      </c>
      <c r="AC54" s="39">
        <v>0.31</v>
      </c>
      <c r="AD54" s="39">
        <v>0.27</v>
      </c>
      <c r="AE54" s="39">
        <v>0.24</v>
      </c>
      <c r="AF54" s="39">
        <v>0.24</v>
      </c>
      <c r="AG54" s="39">
        <f t="shared" si="2"/>
        <v>0.26375796178343947</v>
      </c>
      <c r="AH54" s="38">
        <v>0.23</v>
      </c>
      <c r="AI54" s="38">
        <v>0.22</v>
      </c>
      <c r="AJ54" s="38">
        <v>0.2</v>
      </c>
      <c r="AK54" s="38">
        <v>0.19</v>
      </c>
      <c r="AL54" s="49">
        <f>((AH54*AH$51)+(AI54*AI$51)+(AJ54*AJ$51)+(AK54*AK$51))/SUM(AH$51:AK$51)</f>
        <v>0.20837209302325585</v>
      </c>
      <c r="AM54" s="38">
        <v>0.19</v>
      </c>
      <c r="AN54" s="38">
        <v>0.17</v>
      </c>
      <c r="AO54" s="38">
        <v>0.16</v>
      </c>
      <c r="AP54" s="38">
        <v>0.16</v>
      </c>
      <c r="AQ54" s="39">
        <f t="shared" si="3"/>
        <v>0.1698076923076923</v>
      </c>
      <c r="AR54" s="38">
        <v>0.17</v>
      </c>
      <c r="AS54" s="38">
        <v>0.15</v>
      </c>
    </row>
    <row r="55" spans="2:45" s="5" customFormat="1" x14ac:dyDescent="0.25">
      <c r="B55" s="20" t="s">
        <v>82</v>
      </c>
      <c r="C55" s="29"/>
      <c r="D55" s="52">
        <v>1.8583483095629412E-2</v>
      </c>
      <c r="E55" s="52">
        <v>1.1569859024524377E-2</v>
      </c>
      <c r="F55" s="52">
        <v>2.1673858400695488E-2</v>
      </c>
      <c r="G55" s="52">
        <v>2.1809570997116532E-2</v>
      </c>
      <c r="H55" s="52">
        <v>1.8700082768511751E-2</v>
      </c>
      <c r="I55" s="52">
        <v>2.4326743604744103E-2</v>
      </c>
      <c r="J55" s="52">
        <v>2.7234968890620222E-2</v>
      </c>
      <c r="K55" s="52">
        <v>3.1035962120363574E-2</v>
      </c>
      <c r="L55" s="52">
        <v>4.8735181644630969E-2</v>
      </c>
      <c r="M55" s="52">
        <v>3.3577417102597373E-2</v>
      </c>
      <c r="N55" s="52">
        <v>6.6972357434969598E-2</v>
      </c>
      <c r="O55" s="52">
        <v>5.8886307301934407E-2</v>
      </c>
      <c r="P55" s="52">
        <v>7.1147394611165982E-2</v>
      </c>
      <c r="Q55" s="52">
        <v>8.578494011789016E-2</v>
      </c>
      <c r="R55" s="52">
        <v>7.1820751019781484E-2</v>
      </c>
      <c r="S55" s="38">
        <v>0.05</v>
      </c>
      <c r="T55" s="38">
        <v>0.06</v>
      </c>
      <c r="U55" s="38">
        <v>0.05</v>
      </c>
      <c r="V55" s="38">
        <v>0.05</v>
      </c>
      <c r="W55" s="39">
        <f t="shared" si="0"/>
        <v>5.1842105263157898E-2</v>
      </c>
      <c r="X55" s="38">
        <v>0.06</v>
      </c>
      <c r="Y55" s="38">
        <v>0.05</v>
      </c>
      <c r="Z55" s="38">
        <v>0.09</v>
      </c>
      <c r="AA55" s="38">
        <v>0.08</v>
      </c>
      <c r="AB55" s="39">
        <f t="shared" si="1"/>
        <v>7.0983606557377052E-2</v>
      </c>
      <c r="AC55" s="39">
        <v>0.08</v>
      </c>
      <c r="AD55" s="39">
        <v>0.09</v>
      </c>
      <c r="AE55" s="39">
        <v>0.09</v>
      </c>
      <c r="AF55" s="39">
        <v>0.09</v>
      </c>
      <c r="AG55" s="39">
        <f t="shared" si="2"/>
        <v>8.7643312101910814E-2</v>
      </c>
      <c r="AH55" s="38">
        <v>0.12</v>
      </c>
      <c r="AI55" s="38">
        <v>0.1</v>
      </c>
      <c r="AJ55" s="38">
        <v>0.09</v>
      </c>
      <c r="AK55" s="38">
        <v>0.08</v>
      </c>
      <c r="AL55" s="49">
        <f>((AH55*AH$51)+(AI55*AI$51)+(AJ55*AJ$51)+(AK55*AK$51))/SUM(AH$51:AK$51)</f>
        <v>9.6046511627906991E-2</v>
      </c>
      <c r="AM55" s="38">
        <v>7.0000000000000007E-2</v>
      </c>
      <c r="AN55" s="38">
        <v>7.0000000000000007E-2</v>
      </c>
      <c r="AO55" s="38">
        <v>0.04</v>
      </c>
      <c r="AP55" s="38">
        <v>0.04</v>
      </c>
      <c r="AQ55" s="39">
        <f t="shared" si="3"/>
        <v>5.4423076923076928E-2</v>
      </c>
      <c r="AR55" s="38">
        <v>0.04</v>
      </c>
      <c r="AS55" s="38">
        <v>0.03</v>
      </c>
    </row>
    <row r="56" spans="2:45" s="5" customFormat="1" x14ac:dyDescent="0.25">
      <c r="B56" s="20" t="s">
        <v>77</v>
      </c>
      <c r="C56" s="29"/>
      <c r="D56" s="23"/>
      <c r="E56" s="23"/>
      <c r="F56" s="23"/>
      <c r="G56" s="23"/>
      <c r="H56" s="24"/>
      <c r="I56" s="23"/>
      <c r="J56" s="23"/>
      <c r="K56" s="23"/>
      <c r="L56" s="23"/>
      <c r="M56" s="24"/>
      <c r="N56" s="23"/>
      <c r="O56" s="23"/>
      <c r="P56" s="23"/>
      <c r="Q56" s="23"/>
      <c r="R56" s="24"/>
      <c r="S56" s="50">
        <v>7.160082998158882E-5</v>
      </c>
      <c r="T56" s="50">
        <v>1.801060179407914E-4</v>
      </c>
      <c r="U56" s="50">
        <v>3.3521872623729567E-3</v>
      </c>
      <c r="V56" s="50">
        <v>6.9633192808132727E-3</v>
      </c>
      <c r="W56" s="39">
        <f t="shared" si="0"/>
        <v>3.3125940010457992E-3</v>
      </c>
      <c r="X56" s="50">
        <v>1.1316164040249493E-2</v>
      </c>
      <c r="Y56" s="50">
        <v>1.1028225847122774E-2</v>
      </c>
      <c r="Z56" s="50">
        <v>1.8957450729178527E-2</v>
      </c>
      <c r="AA56" s="50">
        <v>3.2182551455280893E-2</v>
      </c>
      <c r="AB56" s="39">
        <f t="shared" si="1"/>
        <v>1.9286379435343372E-2</v>
      </c>
      <c r="AC56" s="50">
        <v>4.1426920740473154E-2</v>
      </c>
      <c r="AD56" s="50">
        <v>4.1393720308462896E-2</v>
      </c>
      <c r="AE56" s="50">
        <v>4.9720754986470592E-2</v>
      </c>
      <c r="AF56" s="51">
        <v>0.06</v>
      </c>
      <c r="AG56" s="39">
        <f t="shared" si="2"/>
        <v>4.8631504003853368E-2</v>
      </c>
      <c r="AH56" s="38">
        <v>7.0000000000000007E-2</v>
      </c>
      <c r="AI56" s="38">
        <v>0.08</v>
      </c>
      <c r="AJ56" s="38">
        <v>0.09</v>
      </c>
      <c r="AK56" s="38">
        <v>0.11</v>
      </c>
      <c r="AL56" s="49">
        <f>((AH56*AH$51)+(AI56*AI$51)+(AJ56*AJ$51)+(AK56*AK$51))/SUM(AH$51:AK$51)</f>
        <v>8.9069767441860473E-2</v>
      </c>
      <c r="AM56" s="38">
        <v>0.15</v>
      </c>
      <c r="AN56" s="38">
        <v>0.17</v>
      </c>
      <c r="AO56" s="38">
        <v>0.18</v>
      </c>
      <c r="AP56" s="38">
        <v>0.18</v>
      </c>
      <c r="AQ56" s="39">
        <f t="shared" si="3"/>
        <v>0.1701923076923077</v>
      </c>
      <c r="AR56" s="38">
        <v>0.18</v>
      </c>
      <c r="AS56" s="38">
        <v>0.19</v>
      </c>
    </row>
    <row r="57" spans="2:45" s="5" customFormat="1" x14ac:dyDescent="0.25">
      <c r="B57" s="20" t="s">
        <v>78</v>
      </c>
      <c r="C57" s="29"/>
      <c r="D57" s="23"/>
      <c r="E57" s="23"/>
      <c r="F57" s="23"/>
      <c r="G57" s="23"/>
      <c r="H57" s="24"/>
      <c r="I57" s="23"/>
      <c r="J57" s="23"/>
      <c r="K57" s="23"/>
      <c r="L57" s="23"/>
      <c r="M57" s="24"/>
      <c r="N57" s="23"/>
      <c r="O57" s="23"/>
      <c r="P57" s="23"/>
      <c r="Q57" s="23"/>
      <c r="R57" s="24"/>
      <c r="S57" s="50">
        <v>4.511929775316695E-5</v>
      </c>
      <c r="T57" s="50">
        <v>3.0950929806523809E-4</v>
      </c>
      <c r="U57" s="50">
        <v>5.9987868723426036E-4</v>
      </c>
      <c r="V57" s="50">
        <v>5.7895962539749376E-4</v>
      </c>
      <c r="W57" s="39">
        <f t="shared" si="0"/>
        <v>4.2244161765768489E-4</v>
      </c>
      <c r="X57" s="50">
        <v>4.9925611232729218E-3</v>
      </c>
      <c r="Y57" s="50">
        <v>5.4814430535642658E-3</v>
      </c>
      <c r="Z57" s="50">
        <v>9.0438367149596119E-3</v>
      </c>
      <c r="AA57" s="50">
        <v>8.6841709846595446E-3</v>
      </c>
      <c r="AB57" s="39">
        <f t="shared" si="1"/>
        <v>7.190306343016175E-3</v>
      </c>
      <c r="AC57" s="50">
        <v>9.7418954814736253E-3</v>
      </c>
      <c r="AD57" s="50">
        <v>1.621139271530803E-2</v>
      </c>
      <c r="AE57" s="50">
        <v>2.2721783963073585E-2</v>
      </c>
      <c r="AF57" s="51">
        <v>0.02</v>
      </c>
      <c r="AG57" s="39">
        <f t="shared" si="2"/>
        <v>1.7324272908235828E-2</v>
      </c>
      <c r="AH57" s="38">
        <v>0.02</v>
      </c>
      <c r="AI57" s="38">
        <v>0.03</v>
      </c>
      <c r="AJ57" s="38">
        <v>0.03</v>
      </c>
      <c r="AK57" s="38">
        <v>0.03</v>
      </c>
      <c r="AL57" s="49">
        <f>((AH57*AH$51)+(AI57*AI$51)+(AJ57*AJ$51)+(AK57*AK$51))/SUM(AH$51:AK$51)</f>
        <v>2.7790697674418604E-2</v>
      </c>
      <c r="AM57" s="38">
        <v>0.03</v>
      </c>
      <c r="AN57" s="38">
        <v>0.04</v>
      </c>
      <c r="AO57" s="38">
        <v>0.04</v>
      </c>
      <c r="AP57" s="38">
        <v>0.04</v>
      </c>
      <c r="AQ57" s="39">
        <f t="shared" si="3"/>
        <v>3.7499999999999999E-2</v>
      </c>
      <c r="AR57" s="38">
        <v>0.04</v>
      </c>
      <c r="AS57" s="38">
        <v>0.04</v>
      </c>
    </row>
    <row r="58" spans="2:45" s="5" customFormat="1" x14ac:dyDescent="0.25">
      <c r="B58" s="20" t="s">
        <v>79</v>
      </c>
      <c r="C58" s="29"/>
      <c r="D58" s="23"/>
      <c r="E58" s="23"/>
      <c r="F58" s="23"/>
      <c r="G58" s="23"/>
      <c r="H58" s="24"/>
      <c r="I58" s="23"/>
      <c r="J58" s="23"/>
      <c r="K58" s="23"/>
      <c r="L58" s="23"/>
      <c r="M58" s="24"/>
      <c r="N58" s="23"/>
      <c r="O58" s="23"/>
      <c r="P58" s="23"/>
      <c r="Q58" s="23"/>
      <c r="R58" s="24"/>
      <c r="S58" s="50">
        <v>8.4505482500779883E-3</v>
      </c>
      <c r="T58" s="50">
        <v>1.0037101611602185E-2</v>
      </c>
      <c r="U58" s="50">
        <v>1.6464452263232194E-2</v>
      </c>
      <c r="V58" s="50">
        <v>2.3075051002151639E-2</v>
      </c>
      <c r="W58" s="39">
        <f t="shared" si="0"/>
        <v>1.585484955110875E-2</v>
      </c>
      <c r="X58" s="50">
        <v>3.7055812916858742E-2</v>
      </c>
      <c r="Y58" s="50">
        <v>3.9464142939094664E-2</v>
      </c>
      <c r="Z58" s="50">
        <v>6.4580883950468168E-2</v>
      </c>
      <c r="AA58" s="50">
        <v>9.594576525925344E-2</v>
      </c>
      <c r="AB58" s="39">
        <f t="shared" si="1"/>
        <v>6.1754367473884131E-2</v>
      </c>
      <c r="AC58" s="50">
        <v>0.11903479199795682</v>
      </c>
      <c r="AD58" s="50">
        <v>0.13104688597376873</v>
      </c>
      <c r="AE58" s="50">
        <v>0.14169905631594679</v>
      </c>
      <c r="AF58" s="51">
        <v>0.15</v>
      </c>
      <c r="AG58" s="39">
        <f t="shared" si="2"/>
        <v>0.13610594338174264</v>
      </c>
      <c r="AH58" s="38">
        <v>0.18</v>
      </c>
      <c r="AI58" s="38">
        <v>0.19</v>
      </c>
      <c r="AJ58" s="38">
        <v>0.22</v>
      </c>
      <c r="AK58" s="38">
        <v>0.26</v>
      </c>
      <c r="AL58" s="49">
        <v>0.21</v>
      </c>
      <c r="AM58" s="38">
        <v>0.27</v>
      </c>
      <c r="AN58" s="38">
        <v>0.28999999999999998</v>
      </c>
      <c r="AO58" s="38">
        <v>0.31</v>
      </c>
      <c r="AP58" s="38">
        <v>0.3</v>
      </c>
      <c r="AQ58" s="39">
        <f t="shared" si="3"/>
        <v>0.29259615384615384</v>
      </c>
      <c r="AR58" s="38">
        <v>0.32</v>
      </c>
      <c r="AS58" s="38">
        <v>0.33</v>
      </c>
    </row>
    <row r="59" spans="2:45" s="5" customFormat="1" x14ac:dyDescent="0.25">
      <c r="B59" s="48" t="s">
        <v>83</v>
      </c>
      <c r="C59" s="29"/>
      <c r="D59" s="23"/>
      <c r="E59" s="23"/>
      <c r="F59" s="23"/>
      <c r="G59" s="23"/>
      <c r="H59" s="24"/>
      <c r="I59" s="23"/>
      <c r="J59" s="23"/>
      <c r="K59" s="23"/>
      <c r="L59" s="23"/>
      <c r="M59" s="24"/>
      <c r="N59" s="23"/>
      <c r="O59" s="23"/>
      <c r="P59" s="23"/>
      <c r="Q59" s="23"/>
      <c r="R59" s="24"/>
      <c r="S59" s="38"/>
      <c r="T59" s="38"/>
      <c r="U59" s="38"/>
      <c r="V59" s="38"/>
      <c r="W59" s="39"/>
      <c r="X59" s="38"/>
      <c r="Y59" s="38"/>
      <c r="Z59" s="38"/>
      <c r="AA59" s="38"/>
      <c r="AB59" s="24"/>
      <c r="AC59" s="39"/>
      <c r="AD59" s="39"/>
      <c r="AE59" s="39"/>
      <c r="AF59" s="39"/>
      <c r="AG59" s="24"/>
      <c r="AH59" s="38"/>
      <c r="AI59" s="38"/>
      <c r="AJ59" s="38"/>
      <c r="AK59" s="38"/>
      <c r="AL59" s="24"/>
      <c r="AM59" s="38"/>
      <c r="AN59" s="38"/>
      <c r="AO59" s="38"/>
      <c r="AP59" s="38"/>
      <c r="AQ59" s="24"/>
      <c r="AR59" s="38"/>
      <c r="AS59" s="38"/>
    </row>
    <row r="60" spans="2:45" s="5" customFormat="1" x14ac:dyDescent="0.25">
      <c r="B60" s="20" t="s">
        <v>84</v>
      </c>
      <c r="C60" s="29"/>
      <c r="D60" s="50">
        <v>0.62681166548409595</v>
      </c>
      <c r="E60" s="50">
        <v>0.67506826152548005</v>
      </c>
      <c r="F60" s="50">
        <v>0.66811425698560112</v>
      </c>
      <c r="G60" s="50">
        <v>0.6603962970500401</v>
      </c>
      <c r="H60" s="50">
        <v>0.65783005150420815</v>
      </c>
      <c r="I60" s="50">
        <v>0.6602851613166596</v>
      </c>
      <c r="J60" s="50">
        <v>0.66355777423171447</v>
      </c>
      <c r="K60" s="50">
        <v>0.66876315376393536</v>
      </c>
      <c r="L60" s="50">
        <v>0.68347657760725566</v>
      </c>
      <c r="M60" s="50">
        <v>0.66969341791577064</v>
      </c>
      <c r="N60" s="50">
        <v>0.69781275254006325</v>
      </c>
      <c r="O60" s="50">
        <v>0.66024072336063488</v>
      </c>
      <c r="P60" s="50">
        <v>0.64794353419712802</v>
      </c>
      <c r="Q60" s="50">
        <v>0.61414731627182029</v>
      </c>
      <c r="R60" s="50">
        <v>0.65180863596629512</v>
      </c>
      <c r="S60" s="50">
        <v>0.63119703547156536</v>
      </c>
      <c r="T60" s="50">
        <v>0.65941916582808724</v>
      </c>
      <c r="U60" s="38">
        <v>0.64</v>
      </c>
      <c r="V60" s="38">
        <v>0.62</v>
      </c>
      <c r="W60" s="39">
        <f>((S60*S$51)+(T60*T$51)+(U60*U$51)+(V60*V$51))/SUM(S$51:V$51)</f>
        <v>0.63488185380445095</v>
      </c>
      <c r="X60" s="38">
        <v>0.59</v>
      </c>
      <c r="Y60" s="38">
        <v>0.62</v>
      </c>
      <c r="Z60" s="38">
        <v>0.61</v>
      </c>
      <c r="AA60" s="38">
        <v>0.47</v>
      </c>
      <c r="AB60" s="39">
        <f>((X60*X$51)+(Y60*Y$51)+(Z60*Z$51)+(AA60*AA$51))/SUM(X$51:AA$51)</f>
        <v>0.56639344262295088</v>
      </c>
      <c r="AC60" s="39">
        <v>0.61</v>
      </c>
      <c r="AD60" s="39">
        <v>0.57999999999999996</v>
      </c>
      <c r="AE60" s="39">
        <v>0.55000000000000004</v>
      </c>
      <c r="AF60" s="39">
        <v>0.55000000000000004</v>
      </c>
      <c r="AG60" s="39">
        <f>((AC60*AC$51)+(AD60*AD$51)+(AE60*AE$51)+(AF60*AF$51))/SUM(AC$51:AF$51)</f>
        <v>0.57140127388535034</v>
      </c>
      <c r="AH60" s="38">
        <v>0.56999999999999995</v>
      </c>
      <c r="AI60" s="38">
        <v>0.54</v>
      </c>
      <c r="AJ60" s="38">
        <v>0.5</v>
      </c>
      <c r="AK60" s="38">
        <v>0.51</v>
      </c>
      <c r="AL60" s="49">
        <f>((AH60*AH$51)+(AI60*AI$51)+(AJ60*AJ$51)+(AK60*AK$51))/SUM(AH$51:AK$51)</f>
        <v>0.52767441860465125</v>
      </c>
      <c r="AM60" s="38">
        <v>0.52</v>
      </c>
      <c r="AN60" s="38">
        <v>0.51</v>
      </c>
      <c r="AO60" s="38">
        <v>0.48</v>
      </c>
      <c r="AP60" s="38">
        <v>0.46</v>
      </c>
      <c r="AQ60" s="39">
        <f>((AM60*AM$51)+(AN60*AN$51)+(AO60*AO$51)+(AP60*AP$51))/SUM(AM$51:AP$51)</f>
        <v>0.49134615384615377</v>
      </c>
      <c r="AR60" s="38">
        <v>0.46</v>
      </c>
      <c r="AS60" s="38">
        <v>0.43</v>
      </c>
    </row>
    <row r="61" spans="2:45" s="5" customFormat="1" x14ac:dyDescent="0.25">
      <c r="B61" s="20" t="s">
        <v>85</v>
      </c>
      <c r="C61" s="29"/>
      <c r="D61" s="50">
        <v>0.19800041188827378</v>
      </c>
      <c r="E61" s="50">
        <v>0.16754307341640023</v>
      </c>
      <c r="F61" s="50">
        <v>0.16733506109482738</v>
      </c>
      <c r="G61" s="50">
        <v>0.16332104936674496</v>
      </c>
      <c r="H61" s="50">
        <v>0.17340187149717534</v>
      </c>
      <c r="I61" s="50">
        <v>0.15597295736383612</v>
      </c>
      <c r="J61" s="50">
        <v>0.13301392760061925</v>
      </c>
      <c r="K61" s="50">
        <v>0.12844159880955933</v>
      </c>
      <c r="L61" s="50">
        <v>0.10892457017043017</v>
      </c>
      <c r="M61" s="50">
        <v>0.13074266093732512</v>
      </c>
      <c r="N61" s="50">
        <v>8.9621038941766221E-2</v>
      </c>
      <c r="O61" s="50">
        <v>0.12528133547253928</v>
      </c>
      <c r="P61" s="50">
        <v>0.14630522362208404</v>
      </c>
      <c r="Q61" s="50">
        <v>0.14500317889902486</v>
      </c>
      <c r="R61" s="50">
        <v>0.12847160740162963</v>
      </c>
      <c r="S61" s="50">
        <v>0.14112717198388222</v>
      </c>
      <c r="T61" s="50">
        <v>0.15987219834598851</v>
      </c>
      <c r="U61" s="38">
        <v>0.16</v>
      </c>
      <c r="V61" s="38">
        <v>0.15</v>
      </c>
      <c r="W61" s="39">
        <f>((S61*S$51)+(T61*T$51)+(U61*U$51)+(V61*V$51))/SUM(S$51:V$51)</f>
        <v>0.15258217800770993</v>
      </c>
      <c r="X61" s="38">
        <v>0.19</v>
      </c>
      <c r="Y61" s="38">
        <v>0.18</v>
      </c>
      <c r="Z61" s="38">
        <v>0.16</v>
      </c>
      <c r="AA61" s="38">
        <v>0.28999999999999998</v>
      </c>
      <c r="AB61" s="39">
        <f>((X61*X$51)+(Y61*Y$51)+(Z61*Z$51)+(AA61*AA$51))/SUM(X$51:AA$51)</f>
        <v>0.20983606557377052</v>
      </c>
      <c r="AC61" s="39">
        <v>0.16</v>
      </c>
      <c r="AD61" s="39">
        <v>0.16</v>
      </c>
      <c r="AE61" s="39">
        <v>0.17</v>
      </c>
      <c r="AF61" s="39">
        <v>0.16</v>
      </c>
      <c r="AG61" s="39">
        <f>((AC61*AC$51)+(AD61*AD$51)+(AE61*AE$51)+(AF61*AF$51))/SUM(AC$51:AF$51)</f>
        <v>0.16242038216560511</v>
      </c>
      <c r="AH61" s="38">
        <v>0.16</v>
      </c>
      <c r="AI61" s="38">
        <v>0.16</v>
      </c>
      <c r="AJ61" s="38">
        <v>0.18</v>
      </c>
      <c r="AK61" s="38">
        <v>0.16</v>
      </c>
      <c r="AL61" s="49">
        <v>0.16</v>
      </c>
      <c r="AM61" s="38">
        <v>0.18</v>
      </c>
      <c r="AN61" s="38">
        <v>0.18</v>
      </c>
      <c r="AO61" s="38">
        <v>0.18</v>
      </c>
      <c r="AP61" s="38">
        <v>0.17</v>
      </c>
      <c r="AQ61" s="39">
        <f>((AM61*AM$51)+(AN61*AN$51)+(AO61*AO$51)+(AP61*AP$51))/SUM(AM$51:AP$51)</f>
        <v>0.17721153846153845</v>
      </c>
      <c r="AR61" s="38">
        <v>0.17</v>
      </c>
      <c r="AS61" s="38">
        <v>0.17</v>
      </c>
    </row>
    <row r="62" spans="2:45" s="5" customFormat="1" x14ac:dyDescent="0.25">
      <c r="B62" s="20" t="s">
        <v>86</v>
      </c>
      <c r="C62" s="29"/>
      <c r="D62" s="50">
        <v>9.5894106316568251E-2</v>
      </c>
      <c r="E62" s="50">
        <v>8.4689981488457883E-2</v>
      </c>
      <c r="F62" s="50">
        <v>8.7149402945090326E-2</v>
      </c>
      <c r="G62" s="50">
        <v>9.005690224088056E-2</v>
      </c>
      <c r="H62" s="50">
        <v>8.9467178006268452E-2</v>
      </c>
      <c r="I62" s="50">
        <v>8.2289166295765506E-2</v>
      </c>
      <c r="J62" s="50">
        <v>8.7861805472210522E-2</v>
      </c>
      <c r="K62" s="50">
        <v>7.907614650258607E-2</v>
      </c>
      <c r="L62" s="50">
        <v>8.1720493249921464E-2</v>
      </c>
      <c r="M62" s="50">
        <v>8.2607233560229074E-2</v>
      </c>
      <c r="N62" s="50">
        <v>8.8843965475586401E-2</v>
      </c>
      <c r="O62" s="50">
        <v>8.3619955809652396E-2</v>
      </c>
      <c r="P62" s="50">
        <v>7.8688112881199021E-2</v>
      </c>
      <c r="Q62" s="50">
        <v>7.0126927897235486E-2</v>
      </c>
      <c r="R62" s="50">
        <v>7.9520531330885963E-2</v>
      </c>
      <c r="S62" s="50">
        <v>7.0763981515593877E-2</v>
      </c>
      <c r="T62" s="50">
        <v>5.3450538660184219E-2</v>
      </c>
      <c r="U62" s="38">
        <v>0.05</v>
      </c>
      <c r="V62" s="38">
        <v>0.05</v>
      </c>
      <c r="W62" s="39">
        <f>((S62*S$51)+(T62*T$51)+(U62*U$51)+(V62*V$51))/SUM(S$51:V$51)</f>
        <v>5.5006990072264221E-2</v>
      </c>
      <c r="X62" s="38">
        <v>0.06</v>
      </c>
      <c r="Y62" s="38">
        <v>0.05</v>
      </c>
      <c r="Z62" s="38">
        <v>0.05</v>
      </c>
      <c r="AA62" s="38">
        <v>0.11</v>
      </c>
      <c r="AB62" s="39">
        <f>((X62*X$51)+(Y62*Y$51)+(Z62*Z$51)+(AA62*AA$51))/SUM(X$51:AA$51)</f>
        <v>7.0000000000000007E-2</v>
      </c>
      <c r="AC62" s="39">
        <v>0.05</v>
      </c>
      <c r="AD62" s="39">
        <v>0.04</v>
      </c>
      <c r="AE62" s="39">
        <v>0.04</v>
      </c>
      <c r="AF62" s="39">
        <v>0.04</v>
      </c>
      <c r="AG62" s="39">
        <f>((AC62*AC$51)+(AD62*AD$51)+(AE62*AE$51)+(AF62*AF$51))/SUM(AC$51:AF$51)</f>
        <v>4.235668789808917E-2</v>
      </c>
      <c r="AH62" s="38">
        <v>0.04</v>
      </c>
      <c r="AI62" s="38">
        <v>0.04</v>
      </c>
      <c r="AJ62" s="38">
        <v>0.05</v>
      </c>
      <c r="AK62" s="38">
        <v>0.05</v>
      </c>
      <c r="AL62" s="49">
        <f>((AH62*AH$51)+(AI62*AI$51)+(AJ62*AJ$51)+(AK62*AK$51))/SUM(AH$51:AK$51)</f>
        <v>4.5465116279069774E-2</v>
      </c>
      <c r="AM62" s="38">
        <v>0.05</v>
      </c>
      <c r="AN62" s="38">
        <v>0.05</v>
      </c>
      <c r="AO62" s="38">
        <v>0.05</v>
      </c>
      <c r="AP62" s="38">
        <v>0.05</v>
      </c>
      <c r="AQ62" s="39">
        <f>((AM62*AM$51)+(AN62*AN$51)+(AO62*AO$51)+(AP62*AP$51))/SUM(AM$51:AP$51)</f>
        <v>0.05</v>
      </c>
      <c r="AR62" s="38">
        <v>0.05</v>
      </c>
      <c r="AS62" s="38">
        <v>0.05</v>
      </c>
    </row>
    <row r="63" spans="2:45" s="5" customFormat="1" x14ac:dyDescent="0.25">
      <c r="B63" s="20" t="s">
        <v>87</v>
      </c>
      <c r="C63" s="29"/>
      <c r="D63" s="50">
        <v>7.9293816311062082E-2</v>
      </c>
      <c r="E63" s="50">
        <v>7.2698683569661804E-2</v>
      </c>
      <c r="F63" s="50">
        <v>7.7401278974481222E-2</v>
      </c>
      <c r="G63" s="50">
        <v>8.6225751342334414E-2</v>
      </c>
      <c r="H63" s="50">
        <v>7.9300898992347935E-2</v>
      </c>
      <c r="I63" s="50">
        <v>0.10145271502373876</v>
      </c>
      <c r="J63" s="50">
        <v>0.11556649269545567</v>
      </c>
      <c r="K63" s="50">
        <v>0.12371910092391925</v>
      </c>
      <c r="L63" s="50">
        <v>0.12587835897239275</v>
      </c>
      <c r="M63" s="50">
        <v>0.11695668758667514</v>
      </c>
      <c r="N63" s="50">
        <v>0.1237222430425842</v>
      </c>
      <c r="O63" s="50">
        <v>0.13085798535717338</v>
      </c>
      <c r="P63" s="50">
        <v>0.12706312929958891</v>
      </c>
      <c r="Q63" s="50">
        <v>0.17072257693191928</v>
      </c>
      <c r="R63" s="50">
        <v>0.14019922530118922</v>
      </c>
      <c r="S63" s="50">
        <v>0.15691181102895849</v>
      </c>
      <c r="T63" s="50">
        <v>0.12725809716574019</v>
      </c>
      <c r="U63" s="38">
        <v>0.15</v>
      </c>
      <c r="V63" s="38">
        <v>0.18</v>
      </c>
      <c r="W63" s="39">
        <f>((S63*S$51)+(T63*T$51)+(U63*U$51)+(V63*V$51))/SUM(S$51:V$51)</f>
        <v>0.15752897811557498</v>
      </c>
      <c r="X63" s="38">
        <v>0.16</v>
      </c>
      <c r="Y63" s="38">
        <v>0.15</v>
      </c>
      <c r="Z63" s="38">
        <v>0.18</v>
      </c>
      <c r="AA63" s="38">
        <v>0.13</v>
      </c>
      <c r="AB63" s="39">
        <f>((X63*X$51)+(Y63*Y$51)+(Z63*Z$51)+(AA63*AA$51))/SUM(X$51:AA$51)</f>
        <v>0.15377049180327867</v>
      </c>
      <c r="AC63" s="39">
        <v>0.18</v>
      </c>
      <c r="AD63" s="39">
        <v>0.22</v>
      </c>
      <c r="AE63" s="39">
        <v>0.24</v>
      </c>
      <c r="AF63" s="39">
        <v>0.25</v>
      </c>
      <c r="AG63" s="39">
        <f>((AC63*AC$51)+(AD63*AD$51)+(AE63*AE$51)+(AF63*AF$51))/SUM(AC$51:AF$51)</f>
        <v>0.22382165605095539</v>
      </c>
      <c r="AH63" s="38">
        <v>0.23</v>
      </c>
      <c r="AI63" s="38">
        <v>0.26</v>
      </c>
      <c r="AJ63" s="38">
        <v>0.27</v>
      </c>
      <c r="AK63" s="38">
        <v>0.28000000000000003</v>
      </c>
      <c r="AL63" s="49">
        <f>((AH63*AH$51)+(AI63*AI$51)+(AJ63*AJ$51)+(AK63*AK$51))/SUM(AH$51:AK$51)</f>
        <v>0.26174418604651167</v>
      </c>
      <c r="AM63" s="38">
        <v>0.25</v>
      </c>
      <c r="AN63" s="38">
        <v>0.26</v>
      </c>
      <c r="AO63" s="38">
        <v>0.28999999999999998</v>
      </c>
      <c r="AP63" s="38">
        <v>0.32</v>
      </c>
      <c r="AQ63" s="39">
        <f>((AM63*AM$51)+(AN63*AN$51)+(AO63*AO$51)+(AP63*AP$51))/SUM(AM$51:AP$51)</f>
        <v>0.28144230769230771</v>
      </c>
      <c r="AR63" s="38">
        <v>0.32</v>
      </c>
      <c r="AS63" s="38">
        <v>0.35</v>
      </c>
    </row>
    <row r="64" spans="2:45" s="5" customFormat="1" x14ac:dyDescent="0.25">
      <c r="B64" s="20"/>
      <c r="C64" s="29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23"/>
      <c r="T64" s="23"/>
      <c r="U64" s="23"/>
      <c r="V64" s="23"/>
      <c r="W64" s="24"/>
      <c r="X64" s="23"/>
      <c r="Y64" s="23"/>
      <c r="Z64" s="23"/>
      <c r="AA64" s="23"/>
      <c r="AB64" s="24"/>
      <c r="AC64" s="23"/>
      <c r="AD64" s="23"/>
      <c r="AE64" s="23"/>
      <c r="AF64" s="23"/>
      <c r="AG64" s="24"/>
      <c r="AH64" s="23"/>
      <c r="AI64" s="23"/>
      <c r="AJ64" s="23"/>
      <c r="AK64" s="23"/>
      <c r="AL64" s="24"/>
      <c r="AM64" s="23"/>
      <c r="AN64" s="23"/>
      <c r="AO64" s="23"/>
      <c r="AP64" s="23"/>
      <c r="AQ64" s="24"/>
      <c r="AR64" s="23"/>
      <c r="AS64" s="23"/>
    </row>
    <row r="65" spans="2:45" s="2" customFormat="1" x14ac:dyDescent="0.25">
      <c r="B65" s="17" t="s">
        <v>38</v>
      </c>
      <c r="C65" s="15"/>
      <c r="D65" s="23">
        <v>7.2</v>
      </c>
      <c r="E65" s="23">
        <v>7.2</v>
      </c>
      <c r="F65" s="23">
        <v>6.5</v>
      </c>
      <c r="G65" s="23">
        <v>6.1</v>
      </c>
      <c r="H65" s="24">
        <v>6.7</v>
      </c>
      <c r="I65" s="23">
        <v>6.2</v>
      </c>
      <c r="J65" s="23">
        <v>6.2</v>
      </c>
      <c r="K65" s="23">
        <v>6.1</v>
      </c>
      <c r="L65" s="23">
        <v>5.9</v>
      </c>
      <c r="M65" s="24">
        <v>6.1</v>
      </c>
      <c r="N65" s="23">
        <v>6.2</v>
      </c>
      <c r="O65" s="23">
        <v>5.7</v>
      </c>
      <c r="P65" s="23">
        <v>5.5</v>
      </c>
      <c r="Q65" s="23">
        <v>5.4</v>
      </c>
      <c r="R65" s="24">
        <v>5.7</v>
      </c>
      <c r="S65" s="23">
        <v>6</v>
      </c>
      <c r="T65" s="23">
        <v>5.7</v>
      </c>
      <c r="U65" s="23">
        <v>5.3</v>
      </c>
      <c r="V65" s="23">
        <v>4.9000000000000004</v>
      </c>
      <c r="W65" s="24">
        <v>5.4</v>
      </c>
      <c r="X65" s="23">
        <v>4.8</v>
      </c>
      <c r="Y65" s="23">
        <v>4.5</v>
      </c>
      <c r="Z65" s="23">
        <v>4.7</v>
      </c>
      <c r="AA65" s="23">
        <v>4.5999999999999996</v>
      </c>
      <c r="AB65" s="24">
        <v>4.8</v>
      </c>
      <c r="AC65" s="23">
        <v>4.8</v>
      </c>
      <c r="AD65" s="23">
        <v>4.5</v>
      </c>
      <c r="AE65" s="23">
        <v>4.4000000000000004</v>
      </c>
      <c r="AF65" s="23">
        <v>4.5</v>
      </c>
      <c r="AG65" s="24">
        <v>4.5</v>
      </c>
      <c r="AH65" s="23">
        <v>4.8</v>
      </c>
      <c r="AI65" s="23">
        <v>4.8</v>
      </c>
      <c r="AJ65" s="23">
        <v>4.9000000000000004</v>
      </c>
      <c r="AK65" s="23">
        <v>4.8</v>
      </c>
      <c r="AL65" s="24">
        <v>4.8</v>
      </c>
      <c r="AM65" s="23">
        <v>4.8</v>
      </c>
      <c r="AN65" s="23">
        <v>5</v>
      </c>
      <c r="AO65" s="23">
        <v>4.9000000000000004</v>
      </c>
      <c r="AP65" s="23">
        <v>4.5</v>
      </c>
      <c r="AQ65" s="24">
        <v>4.8</v>
      </c>
      <c r="AR65" s="23">
        <v>4.7</v>
      </c>
      <c r="AS65" s="23">
        <v>4.5999999999999996</v>
      </c>
    </row>
    <row r="66" spans="2:45" s="2" customFormat="1" x14ac:dyDescent="0.25">
      <c r="B66" s="15"/>
      <c r="C66" s="15"/>
      <c r="D66" s="23"/>
      <c r="E66" s="23"/>
      <c r="F66" s="23"/>
      <c r="G66" s="23"/>
      <c r="H66" s="24"/>
      <c r="I66" s="23"/>
      <c r="J66" s="23"/>
      <c r="K66" s="23"/>
      <c r="L66" s="23"/>
      <c r="M66" s="24"/>
      <c r="N66" s="23"/>
      <c r="O66" s="23"/>
      <c r="P66" s="23"/>
      <c r="Q66" s="23"/>
      <c r="R66" s="24"/>
      <c r="S66" s="23"/>
      <c r="T66" s="23"/>
      <c r="U66" s="23"/>
      <c r="V66" s="23"/>
      <c r="W66" s="24"/>
      <c r="X66" s="23"/>
      <c r="Y66" s="23"/>
      <c r="Z66" s="23"/>
      <c r="AA66" s="23"/>
      <c r="AB66" s="46"/>
      <c r="AC66" s="23"/>
      <c r="AD66" s="23"/>
      <c r="AE66" s="23"/>
      <c r="AF66" s="23"/>
      <c r="AG66" s="46"/>
      <c r="AH66" s="23"/>
      <c r="AI66" s="23"/>
      <c r="AJ66" s="23"/>
      <c r="AK66" s="23"/>
      <c r="AL66" s="46"/>
      <c r="AM66" s="23"/>
      <c r="AN66" s="23"/>
      <c r="AO66" s="23"/>
      <c r="AP66" s="23"/>
      <c r="AQ66" s="46"/>
      <c r="AR66" s="23"/>
      <c r="AS66" s="23"/>
    </row>
    <row r="67" spans="2:45" ht="15.75" thickBot="1" x14ac:dyDescent="0.3">
      <c r="B67" s="15"/>
    </row>
    <row r="68" spans="2:45" x14ac:dyDescent="0.25">
      <c r="B68" s="22" t="s">
        <v>45</v>
      </c>
    </row>
    <row r="69" spans="2:45" ht="15" customHeight="1" x14ac:dyDescent="0.25">
      <c r="B69" s="63" t="s">
        <v>75</v>
      </c>
    </row>
    <row r="70" spans="2:45" x14ac:dyDescent="0.25">
      <c r="B70" s="63"/>
    </row>
    <row r="71" spans="2:45" ht="15.75" thickBot="1" x14ac:dyDescent="0.3">
      <c r="B71" s="64"/>
    </row>
  </sheetData>
  <mergeCells count="1">
    <mergeCell ref="B69:B7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 Historical Financial Data</vt:lpstr>
    </vt:vector>
  </TitlesOfParts>
  <Company>ARM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jonlaw01</dc:creator>
  <cp:lastModifiedBy>Philip Sparks</cp:lastModifiedBy>
  <dcterms:created xsi:type="dcterms:W3CDTF">2010-10-01T08:37:01Z</dcterms:created>
  <dcterms:modified xsi:type="dcterms:W3CDTF">2014-07-22T12:35:47Z</dcterms:modified>
</cp:coreProperties>
</file>